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óm tắt" sheetId="1" state="visible" r:id="rId1"/>
    <sheet xmlns:r="http://schemas.openxmlformats.org/officeDocument/2006/relationships" name="Đối chiếu DT-CP" sheetId="2" state="visible" r:id="rId2"/>
    <sheet xmlns:r="http://schemas.openxmlformats.org/officeDocument/2006/relationships" name="Đối chiếu lợi nhuận" sheetId="3" state="visible" r:id="rId3"/>
    <sheet xmlns:r="http://schemas.openxmlformats.org/officeDocument/2006/relationships" name="Cần xử lý" sheetId="4" state="visible" r:id="rId4"/>
    <sheet xmlns:r="http://schemas.openxmlformats.org/officeDocument/2006/relationships" name="Đối chiếu từng dòng" sheetId="5" state="visible" r:id="rId5"/>
  </sheets>
  <definedNames>
    <definedName name="_xlnm._FilterDatabase" localSheetId="1" hidden="1">'Đối chiếu DT-CP'!$A$3:$L$67</definedName>
    <definedName name="_xlnm._FilterDatabase" localSheetId="2" hidden="1">'Đối chiếu lợi nhuận'!$A$3:$K$67</definedName>
    <definedName name="_xlnm._FilterDatabase" localSheetId="4" hidden="1">'Đối chiếu từng dòng'!$A$1:$O$65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0" borderId="0" applyAlignment="1" pivotButton="0" quotePrefix="0" xfId="0">
      <alignment wrapText="1"/>
    </xf>
    <xf numFmtId="3" fontId="0" fillId="0" borderId="1" applyAlignment="1" pivotButton="0" quotePrefix="0" xfId="0">
      <alignment vertical="top" wrapText="1"/>
    </xf>
    <xf numFmtId="0" fontId="3" fillId="0" borderId="0" pivotButton="0" quotePrefix="0" xfId="0"/>
    <xf numFmtId="3" fontId="3" fillId="0" borderId="0" pivotButton="0" quotePrefix="0" xfId="0"/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pane="bottomLeft" activeCell="A1" sqref="A1"/>
    </sheetView>
  </sheetViews>
  <sheetFormatPr baseColWidth="8" defaultRowHeight="15"/>
  <cols>
    <col width="60" customWidth="1" min="1" max="1"/>
    <col width="12" customWidth="1" min="2" max="2"/>
  </cols>
  <sheetData>
    <row r="1">
      <c r="A1" s="1" t="inlineStr">
        <is>
          <t>KẾT QUẢ KIỂM TRA ID ĐƠN FREIGHTEK – BẢNG CỦA NGỌC ANH (chuyến tháng 9/2026)</t>
        </is>
      </c>
    </row>
    <row r="2">
      <c r="A2" t="inlineStr">
        <is>
          <t>Nguồn: dataTable_2.xlsx (xuất Freightek sau khi xóa đơn trùng) đối chiếu n.a.xlsx (bảng theo dõi), cột AI "Mã đơn web" = ID đơn. Kiểm tra ngày 20/10/2026.</t>
        </is>
      </c>
    </row>
    <row r="4">
      <c r="A4" s="2" t="inlineStr">
        <is>
          <t>Chỉ tiêu</t>
        </is>
      </c>
      <c r="B4" s="2" t="inlineStr">
        <is>
          <t>Số lượng</t>
        </is>
      </c>
    </row>
    <row r="5">
      <c r="A5" s="3" t="inlineStr">
        <is>
          <t>Số đơn trong file xuất Freightek (do Lê Ngọc Anh tạo)</t>
        </is>
      </c>
      <c r="B5" s="3" t="n">
        <v>63</v>
      </c>
    </row>
    <row r="6">
      <c r="A6" s="3" t="inlineStr">
        <is>
          <t>Số chuyến trong bảng theo dõi (có STT, 1–64)</t>
        </is>
      </c>
      <c r="B6" s="3" t="n">
        <v>64</v>
      </c>
    </row>
    <row r="7">
      <c r="A7" s="3" t="inlineStr">
        <is>
          <t xml:space="preserve">  – chuyến có ID</t>
        </is>
      </c>
      <c r="B7" s="3" t="n">
        <v>63</v>
      </c>
    </row>
    <row r="8">
      <c r="A8" s="3" t="inlineStr">
        <is>
          <t xml:space="preserve">  – chuyến chưa có ID</t>
        </is>
      </c>
      <c r="B8" s="3" t="n">
        <v>1</v>
      </c>
    </row>
    <row r="9">
      <c r="A9" s="3" t="inlineStr">
        <is>
          <t>Đơn Freightek chưa có trong Excel</t>
        </is>
      </c>
      <c r="B9" s="3" t="n">
        <v>0</v>
      </c>
    </row>
    <row r="10">
      <c r="A10" s="3" t="inlineStr">
        <is>
          <t>ID trong Excel không có trên Freightek</t>
        </is>
      </c>
      <c r="B10" s="3" t="n">
        <v>0</v>
      </c>
    </row>
    <row r="11">
      <c r="A11" s="3" t="inlineStr">
        <is>
          <t>ID bị trùng trong Excel</t>
        </is>
      </c>
      <c r="B11" s="3" t="n">
        <v>0</v>
      </c>
    </row>
    <row r="12">
      <c r="A12" s="3" t="inlineStr">
        <is>
          <t>Đơn khớp ID nhưng lệch ngày lấy/giao</t>
        </is>
      </c>
      <c r="B12" s="3" t="n">
        <v>3</v>
      </c>
    </row>
    <row r="13">
      <c r="A13" s="3" t="inlineStr">
        <is>
          <t>Đơn đã chạy nhưng Freightek còn Pending</t>
        </is>
      </c>
      <c r="B13" s="3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2" customWidth="1" min="11" max="11"/>
    <col width="80" customWidth="1" min="12" max="12"/>
  </cols>
  <sheetData>
    <row r="1" ht="32" customHeight="1">
      <c r="A1" s="7" t="inlineStr">
        <is>
          <t>ĐỐI CHIẾU DOANH THU – CHI PHÍ TỪNG ĐƠN: Excel n.a so với hóa đơn trên Freightek (dataTable_3 = 58 HĐ doanh thu, dataTable_4 = 48 HĐ chi phí, đều do Lê Ngọc Anh tạo). Đơn ghép nhiều lô đã cộng các dòng phụ.</t>
        </is>
      </c>
    </row>
    <row r="3">
      <c r="A3" s="2" t="inlineStr">
        <is>
          <t>STT</t>
        </is>
      </c>
      <c r="B3" s="2" t="inlineStr">
        <is>
          <t>ID</t>
        </is>
      </c>
      <c r="C3" s="2" t="inlineStr">
        <is>
          <t>DT chưa VAT (Excel)</t>
        </is>
      </c>
      <c r="D3" s="2" t="inlineStr">
        <is>
          <t>DT chưa VAT (Freightek)</t>
        </is>
      </c>
      <c r="E3" s="2" t="inlineStr">
        <is>
          <t>DT gồm VAT (Excel)</t>
        </is>
      </c>
      <c r="F3" s="2" t="inlineStr">
        <is>
          <t>DT gồm VAT (Freightek)</t>
        </is>
      </c>
      <c r="G3" s="2" t="inlineStr">
        <is>
          <t>CP chưa VAT (Excel)</t>
        </is>
      </c>
      <c r="H3" s="2" t="inlineStr">
        <is>
          <t>CP chưa VAT (Freightek)</t>
        </is>
      </c>
      <c r="I3" s="2" t="inlineStr">
        <is>
          <t>CP gồm VAT (Excel)</t>
        </is>
      </c>
      <c r="J3" s="2" t="inlineStr">
        <is>
          <t>CP gồm VAT (Freightek)</t>
        </is>
      </c>
      <c r="K3" s="2" t="inlineStr">
        <is>
          <t>Kết quả</t>
        </is>
      </c>
      <c r="L3" s="2" t="inlineStr">
        <is>
          <t>Ghi chú / cần làm</t>
        </is>
      </c>
    </row>
    <row r="4">
      <c r="A4" s="3" t="n">
        <v>1</v>
      </c>
      <c r="B4" s="3" t="inlineStr">
        <is>
          <t>RFC-E2609007</t>
        </is>
      </c>
      <c r="C4" s="8" t="n">
        <v>5405000</v>
      </c>
      <c r="D4" s="8" t="n">
        <v>5405000</v>
      </c>
      <c r="E4" s="8" t="n">
        <v>5837400</v>
      </c>
      <c r="F4" s="8" t="n">
        <v>5837400</v>
      </c>
      <c r="G4" s="8" t="n">
        <v>4935000</v>
      </c>
      <c r="H4" s="8" t="n">
        <v>0</v>
      </c>
      <c r="I4" s="8" t="n">
        <v>5329800</v>
      </c>
      <c r="J4" s="8" t="n">
        <v>0</v>
      </c>
      <c r="K4" s="6" t="inlineStr">
        <is>
          <t>Lệch chi phí</t>
        </is>
      </c>
      <c r="L4" s="3" t="inlineStr">
        <is>
          <t>HĐ chi phí trên Freightek (FTG) đang để 0đ → nhập 4.935.000 (NCC FTG theo Excel). Đây cũng là lý do Tổng LN trên Freightek = 0.</t>
        </is>
      </c>
    </row>
    <row r="5">
      <c r="A5" s="3" t="n">
        <v>2</v>
      </c>
      <c r="B5" s="3" t="inlineStr">
        <is>
          <t>RFC-E2609016</t>
        </is>
      </c>
      <c r="C5" s="8" t="n">
        <v>5405000</v>
      </c>
      <c r="D5" s="8" t="n">
        <v>5405000</v>
      </c>
      <c r="E5" s="8" t="n">
        <v>5837400</v>
      </c>
      <c r="F5" s="8" t="n">
        <v>5837400</v>
      </c>
      <c r="G5" s="8" t="n">
        <v>3584000</v>
      </c>
      <c r="H5" s="8" t="n">
        <v>3584000</v>
      </c>
      <c r="I5" s="8" t="n">
        <v>3584000</v>
      </c>
      <c r="J5" s="8" t="n">
        <v>3584000</v>
      </c>
      <c r="K5" s="3" t="inlineStr">
        <is>
          <t>Khớp</t>
        </is>
      </c>
      <c r="L5" s="3" t="inlineStr"/>
    </row>
    <row r="6">
      <c r="A6" s="3" t="n">
        <v>3</v>
      </c>
      <c r="B6" s="3" t="inlineStr">
        <is>
          <t>RFT-E2609029</t>
        </is>
      </c>
      <c r="C6" s="8" t="n">
        <v>9529824</v>
      </c>
      <c r="D6" s="8" t="n">
        <v>9492210</v>
      </c>
      <c r="E6" s="8" t="n">
        <v>10292210</v>
      </c>
      <c r="F6" s="8" t="n">
        <v>10251587</v>
      </c>
      <c r="G6" s="8" t="n">
        <v>12100000</v>
      </c>
      <c r="H6" s="8" t="n">
        <v>11600000</v>
      </c>
      <c r="I6" s="8" t="n">
        <v>12100000</v>
      </c>
      <c r="J6" s="8" t="n">
        <v>11600000</v>
      </c>
      <c r="K6" s="6" t="inlineStr">
        <is>
          <t>Lệch doanh thu; Lệch chi phí</t>
        </is>
      </c>
      <c r="L6" s="3" t="inlineStr">
        <is>
          <t>Freightek: doanh thu thấp hơn 37.614; chi phí T&amp;T thiếu 500.000 (chi phí khác NCC trong Excel). Kiểm tra lại số chi phí khác thu KH 800.000 và trả NCC 500.000.</t>
        </is>
      </c>
    </row>
    <row r="7">
      <c r="A7" s="3" t="n">
        <v>4</v>
      </c>
      <c r="B7" s="3" t="inlineStr">
        <is>
          <t>RFC-E2609076</t>
        </is>
      </c>
      <c r="C7" s="8" t="n">
        <v>6220741</v>
      </c>
      <c r="D7" s="8" t="n">
        <v>6220741</v>
      </c>
      <c r="E7" s="8" t="n">
        <v>6718400</v>
      </c>
      <c r="F7" s="8" t="n">
        <v>6718400</v>
      </c>
      <c r="G7" s="8" t="n">
        <v>5435000</v>
      </c>
      <c r="H7" s="8" t="n">
        <v>5435000</v>
      </c>
      <c r="I7" s="8" t="n">
        <v>5869800</v>
      </c>
      <c r="J7" s="8" t="n">
        <v>5869800</v>
      </c>
      <c r="K7" s="3" t="inlineStr">
        <is>
          <t>Khớp</t>
        </is>
      </c>
      <c r="L7" s="3" t="inlineStr"/>
    </row>
    <row r="8">
      <c r="A8" s="3" t="n">
        <v>5</v>
      </c>
      <c r="B8" s="3" t="inlineStr">
        <is>
          <t>RFT-E2609080</t>
        </is>
      </c>
      <c r="C8" s="8" t="n">
        <v>2971389</v>
      </c>
      <c r="D8" s="8" t="n">
        <v>2971389</v>
      </c>
      <c r="E8" s="8" t="n">
        <v>3209100</v>
      </c>
      <c r="F8" s="8" t="n">
        <v>3209100</v>
      </c>
      <c r="G8" s="8" t="n">
        <v>1438500</v>
      </c>
      <c r="H8" s="8" t="n">
        <v>1438500</v>
      </c>
      <c r="I8" s="8" t="n">
        <v>1553580</v>
      </c>
      <c r="J8" s="8" t="n">
        <v>1553580</v>
      </c>
      <c r="K8" s="3" t="inlineStr">
        <is>
          <t>Khớp</t>
        </is>
      </c>
      <c r="L8" s="3" t="inlineStr"/>
    </row>
    <row r="9">
      <c r="A9" s="3" t="n">
        <v>6</v>
      </c>
      <c r="B9" s="3" t="inlineStr">
        <is>
          <t>RFC-E2609082</t>
        </is>
      </c>
      <c r="C9" s="8" t="n">
        <v>13504630</v>
      </c>
      <c r="D9" s="8" t="n">
        <v>13504630</v>
      </c>
      <c r="E9" s="8" t="n">
        <v>14585000</v>
      </c>
      <c r="F9" s="8" t="n">
        <v>14585000</v>
      </c>
      <c r="G9" s="8" t="n">
        <v>9060000</v>
      </c>
      <c r="H9" s="8" t="n">
        <v>8560000</v>
      </c>
      <c r="I9" s="8" t="n">
        <v>9784800</v>
      </c>
      <c r="J9" s="8" t="n">
        <v>9244800</v>
      </c>
      <c r="K9" s="6" t="inlineStr">
        <is>
          <t>Lệch chi phí</t>
        </is>
      </c>
      <c r="L9" s="3" t="inlineStr">
        <is>
          <t>Chi phí FTG trên Freightek 8.560.000, Excel 9.060.000 (cước 7.560.000 + chi phí khác 1.500.000) → thiếu 500.000.</t>
        </is>
      </c>
    </row>
    <row r="10">
      <c r="A10" s="3" t="n">
        <v>7</v>
      </c>
      <c r="B10" s="3" t="inlineStr">
        <is>
          <t>RFT-I2609162</t>
        </is>
      </c>
      <c r="C10" s="8" t="n">
        <v>654444</v>
      </c>
      <c r="D10" s="8" t="n"/>
      <c r="E10" s="8" t="n">
        <v>706800</v>
      </c>
      <c r="F10" s="8" t="n"/>
      <c r="G10" s="8" t="n">
        <v>1200000</v>
      </c>
      <c r="H10" s="8" t="n"/>
      <c r="I10" s="8" t="n">
        <v>1200000</v>
      </c>
      <c r="J10" s="8" t="n"/>
      <c r="K10" s="6" t="inlineStr">
        <is>
          <t>Thiếu HĐ doanh thu; Thiếu HĐ chi phí</t>
        </is>
      </c>
      <c r="L10" s="3" t="inlineStr">
        <is>
          <t>Chưa lên HĐ doanh thu 654.444; Chưa lên HĐ chi phí 1.200.000 (NCC Lái ngoài).</t>
        </is>
      </c>
    </row>
    <row r="11">
      <c r="A11" s="3" t="n">
        <v>8</v>
      </c>
      <c r="B11" s="3" t="inlineStr">
        <is>
          <t>RFT-I2609138</t>
        </is>
      </c>
      <c r="C11" s="8" t="n">
        <v>5576852</v>
      </c>
      <c r="D11" s="8" t="n">
        <v>5576852</v>
      </c>
      <c r="E11" s="8" t="n">
        <v>6023000</v>
      </c>
      <c r="F11" s="8" t="n">
        <v>6023000</v>
      </c>
      <c r="G11" s="8" t="n">
        <v>2593500</v>
      </c>
      <c r="H11" s="8" t="n">
        <v>2593500</v>
      </c>
      <c r="I11" s="8" t="n">
        <v>2800980</v>
      </c>
      <c r="J11" s="8" t="n">
        <v>2800980</v>
      </c>
      <c r="K11" s="3" t="inlineStr">
        <is>
          <t>Khớp</t>
        </is>
      </c>
      <c r="L11" s="3" t="inlineStr"/>
    </row>
    <row r="12">
      <c r="A12" s="3" t="n">
        <v>9</v>
      </c>
      <c r="B12" s="3" t="inlineStr">
        <is>
          <t>RFT-I2609141</t>
        </is>
      </c>
      <c r="C12" s="8" t="n">
        <v>1275463</v>
      </c>
      <c r="D12" s="8" t="n">
        <v>1275463</v>
      </c>
      <c r="E12" s="8" t="n">
        <v>1377500</v>
      </c>
      <c r="F12" s="8" t="n">
        <v>1377500</v>
      </c>
      <c r="G12" s="8" t="n">
        <v>1217593</v>
      </c>
      <c r="H12" s="8" t="n">
        <v>1217593</v>
      </c>
      <c r="I12" s="8" t="n">
        <v>1315000</v>
      </c>
      <c r="J12" s="8" t="n">
        <v>1315000</v>
      </c>
      <c r="K12" s="3" t="inlineStr">
        <is>
          <t>Khớp</t>
        </is>
      </c>
      <c r="L12" s="3" t="inlineStr"/>
    </row>
    <row r="13">
      <c r="A13" s="3" t="n">
        <v>10</v>
      </c>
      <c r="B13" s="3" t="inlineStr">
        <is>
          <t>RFT-I2609104</t>
        </is>
      </c>
      <c r="C13" s="8" t="n">
        <v>42222</v>
      </c>
      <c r="D13" s="8" t="n">
        <v>42222</v>
      </c>
      <c r="E13" s="8" t="n">
        <v>45600</v>
      </c>
      <c r="F13" s="8" t="n">
        <v>45600</v>
      </c>
      <c r="G13" s="8" t="n">
        <v>808500</v>
      </c>
      <c r="H13" s="8" t="n">
        <v>808500</v>
      </c>
      <c r="I13" s="8" t="n">
        <v>873180</v>
      </c>
      <c r="J13" s="8" t="n">
        <v>873180</v>
      </c>
      <c r="K13" s="3" t="inlineStr">
        <is>
          <t>Khớp</t>
        </is>
      </c>
      <c r="L13" s="3" t="inlineStr"/>
    </row>
    <row r="14">
      <c r="A14" s="3" t="n">
        <v>11</v>
      </c>
      <c r="B14" s="3" t="inlineStr">
        <is>
          <t>RFC-I2609103</t>
        </is>
      </c>
      <c r="C14" s="8" t="n">
        <v>6569074</v>
      </c>
      <c r="D14" s="8" t="n">
        <v>6569074</v>
      </c>
      <c r="E14" s="8" t="n">
        <v>7094600</v>
      </c>
      <c r="F14" s="8" t="n">
        <v>7094600</v>
      </c>
      <c r="G14" s="8" t="n">
        <v>8400000</v>
      </c>
      <c r="H14" s="8" t="n">
        <v>8400000</v>
      </c>
      <c r="I14" s="8" t="n">
        <v>8400000</v>
      </c>
      <c r="J14" s="8" t="n">
        <v>8400000</v>
      </c>
      <c r="K14" s="3" t="inlineStr">
        <is>
          <t>Khớp</t>
        </is>
      </c>
      <c r="L14" s="3" t="inlineStr"/>
    </row>
    <row r="15">
      <c r="A15" s="3" t="n">
        <v>12</v>
      </c>
      <c r="B15" s="3" t="inlineStr">
        <is>
          <t>RFT-I2609142</t>
        </is>
      </c>
      <c r="C15" s="8" t="n">
        <v>2568519</v>
      </c>
      <c r="D15" s="8" t="n">
        <v>2568519</v>
      </c>
      <c r="E15" s="8" t="n">
        <v>2774000</v>
      </c>
      <c r="F15" s="8" t="n">
        <v>2774001</v>
      </c>
      <c r="G15" s="8" t="n">
        <v>1512000</v>
      </c>
      <c r="H15" s="8" t="n"/>
      <c r="I15" s="8" t="n">
        <v>1632960</v>
      </c>
      <c r="J15" s="8" t="n"/>
      <c r="K15" s="6" t="inlineStr">
        <is>
          <t>Thiếu HĐ chi phí</t>
        </is>
      </c>
      <c r="L15" s="3" t="inlineStr">
        <is>
          <t>Chưa lên HĐ chi phí 1.512.000 (NCC FTG).</t>
        </is>
      </c>
    </row>
    <row r="16">
      <c r="A16" s="3" t="n">
        <v>13</v>
      </c>
      <c r="B16" s="3" t="inlineStr">
        <is>
          <t>RFT-I2609146</t>
        </is>
      </c>
      <c r="C16" s="8" t="n">
        <v>326343</v>
      </c>
      <c r="D16" s="8" t="n">
        <v>326343</v>
      </c>
      <c r="E16" s="8" t="n">
        <v>352450</v>
      </c>
      <c r="F16" s="8" t="n">
        <v>352450</v>
      </c>
      <c r="G16" s="8" t="n">
        <v>525000</v>
      </c>
      <c r="H16" s="8" t="n">
        <v>525000</v>
      </c>
      <c r="I16" s="8" t="n">
        <v>567000</v>
      </c>
      <c r="J16" s="8" t="n">
        <v>567000</v>
      </c>
      <c r="K16" s="3" t="inlineStr">
        <is>
          <t>Khớp</t>
        </is>
      </c>
      <c r="L16" s="3" t="inlineStr"/>
    </row>
    <row r="17">
      <c r="A17" s="3" t="n">
        <v>14</v>
      </c>
      <c r="B17" s="3" t="inlineStr">
        <is>
          <t>RFC-I2609145</t>
        </is>
      </c>
      <c r="C17" s="8" t="n">
        <v>12311296</v>
      </c>
      <c r="D17" s="8" t="n">
        <v>12311296</v>
      </c>
      <c r="E17" s="8" t="n">
        <v>13296200</v>
      </c>
      <c r="F17" s="8" t="n">
        <v>13296200</v>
      </c>
      <c r="G17" s="8" t="n">
        <v>8060000</v>
      </c>
      <c r="H17" s="8" t="n">
        <v>8060000</v>
      </c>
      <c r="I17" s="8" t="n">
        <v>8704800</v>
      </c>
      <c r="J17" s="8" t="n">
        <v>8704800</v>
      </c>
      <c r="K17" s="3" t="inlineStr">
        <is>
          <t>Khớp</t>
        </is>
      </c>
      <c r="L17" s="3" t="inlineStr"/>
    </row>
    <row r="18">
      <c r="A18" s="3" t="n">
        <v>15</v>
      </c>
      <c r="B18" s="3" t="inlineStr">
        <is>
          <t>RFT-I2609148</t>
        </is>
      </c>
      <c r="C18" s="8" t="n">
        <v>2392593</v>
      </c>
      <c r="D18" s="8" t="n">
        <v>2392593</v>
      </c>
      <c r="E18" s="8" t="n">
        <v>2584000</v>
      </c>
      <c r="F18" s="8" t="n">
        <v>2584000</v>
      </c>
      <c r="G18" s="8" t="n">
        <v>1050000</v>
      </c>
      <c r="H18" s="8" t="n">
        <v>1050000</v>
      </c>
      <c r="I18" s="8" t="n">
        <v>1134000</v>
      </c>
      <c r="J18" s="8" t="n">
        <v>1134000</v>
      </c>
      <c r="K18" s="3" t="inlineStr">
        <is>
          <t>Khớp</t>
        </is>
      </c>
      <c r="L18" s="3" t="inlineStr"/>
    </row>
    <row r="19">
      <c r="A19" s="3" t="n">
        <v>16</v>
      </c>
      <c r="B19" s="3" t="inlineStr">
        <is>
          <t>RFT-I2609149</t>
        </is>
      </c>
      <c r="C19" s="8" t="n">
        <v>3138519</v>
      </c>
      <c r="D19" s="8" t="n">
        <v>3138519</v>
      </c>
      <c r="E19" s="8" t="n">
        <v>3389600</v>
      </c>
      <c r="F19" s="8" t="n">
        <v>3389601</v>
      </c>
      <c r="G19" s="8" t="n">
        <v>1512000</v>
      </c>
      <c r="H19" s="8" t="n">
        <v>1512000</v>
      </c>
      <c r="I19" s="8" t="n">
        <v>1632960</v>
      </c>
      <c r="J19" s="8" t="n">
        <v>1632960</v>
      </c>
      <c r="K19" s="3" t="inlineStr">
        <is>
          <t>Khớp</t>
        </is>
      </c>
      <c r="L19" s="3" t="inlineStr"/>
    </row>
    <row r="20">
      <c r="A20" s="3" t="n">
        <v>17</v>
      </c>
      <c r="B20" s="3" t="inlineStr">
        <is>
          <t>RFT-I2609147</t>
        </is>
      </c>
      <c r="C20" s="8" t="n">
        <v>844444</v>
      </c>
      <c r="D20" s="8" t="n">
        <v>844444</v>
      </c>
      <c r="E20" s="8" t="n">
        <v>912000</v>
      </c>
      <c r="F20" s="8" t="n">
        <v>912000</v>
      </c>
      <c r="G20" s="8" t="n">
        <v>2331000</v>
      </c>
      <c r="H20" s="8" t="n">
        <v>2331000</v>
      </c>
      <c r="I20" s="8" t="n">
        <v>2517480</v>
      </c>
      <c r="J20" s="8" t="n">
        <v>2517480</v>
      </c>
      <c r="K20" s="3" t="inlineStr">
        <is>
          <t>Khớp</t>
        </is>
      </c>
      <c r="L20" s="3" t="inlineStr"/>
    </row>
    <row r="21">
      <c r="A21" s="3" t="n">
        <v>18</v>
      </c>
      <c r="B21" s="3" t="inlineStr">
        <is>
          <t>RFT-I2609163</t>
        </is>
      </c>
      <c r="C21" s="8" t="n">
        <v>0</v>
      </c>
      <c r="D21" s="8" t="n">
        <v>0</v>
      </c>
      <c r="E21" s="8" t="n">
        <v>0</v>
      </c>
      <c r="F21" s="8" t="n">
        <v>0</v>
      </c>
      <c r="G21" s="8" t="n">
        <v>3349500</v>
      </c>
      <c r="H21" s="8" t="n">
        <v>3349500</v>
      </c>
      <c r="I21" s="8" t="n">
        <v>3617460</v>
      </c>
      <c r="J21" s="8" t="n">
        <v>3617460</v>
      </c>
      <c r="K21" s="3" t="inlineStr">
        <is>
          <t>Khớp</t>
        </is>
      </c>
      <c r="L21" s="3" t="inlineStr"/>
    </row>
    <row r="22">
      <c r="A22" s="3" t="n">
        <v>19</v>
      </c>
      <c r="B22" s="3" t="inlineStr">
        <is>
          <t>RFT-I2609150</t>
        </is>
      </c>
      <c r="C22" s="8" t="n">
        <v>1094259</v>
      </c>
      <c r="D22" s="8" t="n">
        <v>1094259</v>
      </c>
      <c r="E22" s="8" t="n">
        <v>1181800</v>
      </c>
      <c r="F22" s="8" t="n">
        <v>1181800</v>
      </c>
      <c r="G22" s="8" t="n">
        <v>1869000</v>
      </c>
      <c r="H22" s="8" t="n">
        <v>1869000</v>
      </c>
      <c r="I22" s="8" t="n">
        <v>2018520</v>
      </c>
      <c r="J22" s="8" t="n">
        <v>2018520</v>
      </c>
      <c r="K22" s="3" t="inlineStr">
        <is>
          <t>Khớp</t>
        </is>
      </c>
      <c r="L22" s="3" t="inlineStr"/>
    </row>
    <row r="23">
      <c r="A23" s="3" t="n">
        <v>20</v>
      </c>
      <c r="B23" s="3" t="inlineStr">
        <is>
          <t>RFT-I2609140</t>
        </is>
      </c>
      <c r="C23" s="8" t="n">
        <v>5060000</v>
      </c>
      <c r="D23" s="8" t="n">
        <v>5060000</v>
      </c>
      <c r="E23" s="8" t="n">
        <v>5464800</v>
      </c>
      <c r="F23" s="8" t="n">
        <v>5060000</v>
      </c>
      <c r="G23" s="8" t="n">
        <v>4480000</v>
      </c>
      <c r="H23" s="8" t="n">
        <v>4480000</v>
      </c>
      <c r="I23" s="8" t="n">
        <v>4480000</v>
      </c>
      <c r="J23" s="8" t="n">
        <v>4480000</v>
      </c>
      <c r="K23" s="5" t="inlineStr">
        <is>
          <t>Lệch VAT doanh thu</t>
        </is>
      </c>
      <c r="L23" s="3" t="inlineStr">
        <is>
          <t>HĐ doanh thu trên Freightek không có VAT (thuế 0), Excel tính VAT 8% = 404.800.</t>
        </is>
      </c>
    </row>
    <row r="24">
      <c r="A24" s="3" t="n">
        <v>21</v>
      </c>
      <c r="B24" s="3" t="inlineStr">
        <is>
          <t>RFT-I2609723</t>
        </is>
      </c>
      <c r="C24" s="8" t="n">
        <v>3634630</v>
      </c>
      <c r="D24" s="8" t="n">
        <v>3634630</v>
      </c>
      <c r="E24" s="8" t="n">
        <v>3925400</v>
      </c>
      <c r="F24" s="8" t="n">
        <v>3925400</v>
      </c>
      <c r="G24" s="8" t="n">
        <v>3884000</v>
      </c>
      <c r="H24" s="8" t="n">
        <v>3884000</v>
      </c>
      <c r="I24" s="8" t="n">
        <v>4194720</v>
      </c>
      <c r="J24" s="8" t="n">
        <v>4194720</v>
      </c>
      <c r="K24" s="3" t="inlineStr">
        <is>
          <t>Khớp</t>
        </is>
      </c>
      <c r="L24" s="3" t="inlineStr"/>
    </row>
    <row r="25">
      <c r="A25" s="3" t="n">
        <v>22</v>
      </c>
      <c r="B25" s="3" t="inlineStr">
        <is>
          <t>RFT-I2609724</t>
        </is>
      </c>
      <c r="C25" s="8" t="n">
        <v>6941158</v>
      </c>
      <c r="D25" s="8" t="n">
        <v>6941158</v>
      </c>
      <c r="E25" s="8" t="n">
        <v>7496450</v>
      </c>
      <c r="F25" s="8" t="n">
        <v>6941158</v>
      </c>
      <c r="G25" s="8" t="n">
        <v>6000000</v>
      </c>
      <c r="H25" s="8" t="n"/>
      <c r="I25" s="8" t="n">
        <v>6000000</v>
      </c>
      <c r="J25" s="8" t="n"/>
      <c r="K25" s="6" t="inlineStr">
        <is>
          <t>Lệch VAT doanh thu; Thiếu HĐ chi phí</t>
        </is>
      </c>
      <c r="L25" s="3" t="inlineStr">
        <is>
          <t>HĐ doanh thu trên Freightek không có VAT (Excel VAT 555.292). Chưa có HĐ chi phí T&amp;T 6.000.000.</t>
        </is>
      </c>
    </row>
    <row r="26">
      <c r="A26" s="3" t="n">
        <v>23</v>
      </c>
      <c r="B26" s="3" t="inlineStr">
        <is>
          <t>RFT-I2609379</t>
        </is>
      </c>
      <c r="C26" s="8" t="n">
        <v>380000</v>
      </c>
      <c r="D26" s="8" t="n">
        <v>380000</v>
      </c>
      <c r="E26" s="8" t="n">
        <v>410400</v>
      </c>
      <c r="F26" s="8" t="n">
        <v>410400</v>
      </c>
      <c r="G26" s="8" t="n">
        <v>870000</v>
      </c>
      <c r="H26" s="8" t="n">
        <v>870000</v>
      </c>
      <c r="I26" s="8" t="n">
        <v>939600</v>
      </c>
      <c r="J26" s="8" t="n">
        <v>939600</v>
      </c>
      <c r="K26" s="3" t="inlineStr">
        <is>
          <t>Khớp</t>
        </is>
      </c>
      <c r="L26" s="3" t="inlineStr"/>
    </row>
    <row r="27">
      <c r="A27" s="3" t="n">
        <v>24</v>
      </c>
      <c r="B27" s="3" t="inlineStr">
        <is>
          <t>RFT-I2609725</t>
        </is>
      </c>
      <c r="C27" s="8" t="n">
        <v>5060000</v>
      </c>
      <c r="D27" s="8" t="n">
        <v>5060000</v>
      </c>
      <c r="E27" s="8" t="n">
        <v>5464800</v>
      </c>
      <c r="F27" s="8" t="n">
        <v>5464800</v>
      </c>
      <c r="G27" s="8" t="n">
        <v>4480000</v>
      </c>
      <c r="H27" s="8" t="n"/>
      <c r="I27" s="8" t="n">
        <v>4480000</v>
      </c>
      <c r="J27" s="8" t="n"/>
      <c r="K27" s="6" t="inlineStr">
        <is>
          <t>Thiếu HĐ chi phí</t>
        </is>
      </c>
      <c r="L27" s="3" t="inlineStr">
        <is>
          <t>Chưa lên HĐ chi phí 4.480.000 (NCC Thắng Thao T&amp;T).</t>
        </is>
      </c>
    </row>
    <row r="28">
      <c r="A28" s="3" t="n">
        <v>25</v>
      </c>
      <c r="B28" s="3" t="inlineStr">
        <is>
          <t>RFT-I2609726</t>
        </is>
      </c>
      <c r="C28" s="8" t="n">
        <v>2408426</v>
      </c>
      <c r="D28" s="8" t="n">
        <v>2408426</v>
      </c>
      <c r="E28" s="8" t="n">
        <v>2601100</v>
      </c>
      <c r="F28" s="8" t="n">
        <v>2601100</v>
      </c>
      <c r="G28" s="8" t="n">
        <v>1732500</v>
      </c>
      <c r="H28" s="8" t="n">
        <v>1732500</v>
      </c>
      <c r="I28" s="8" t="n">
        <v>1871100</v>
      </c>
      <c r="J28" s="8" t="n">
        <v>1871100</v>
      </c>
      <c r="K28" s="3" t="inlineStr">
        <is>
          <t>Khớp</t>
        </is>
      </c>
      <c r="L28" s="3" t="inlineStr"/>
    </row>
    <row r="29">
      <c r="A29" s="3" t="n">
        <v>26</v>
      </c>
      <c r="B29" s="3" t="inlineStr">
        <is>
          <t>RFT-I2609647</t>
        </is>
      </c>
      <c r="C29" s="8" t="n">
        <v>0</v>
      </c>
      <c r="D29" s="8" t="n"/>
      <c r="E29" s="8" t="n">
        <v>0</v>
      </c>
      <c r="F29" s="8" t="n"/>
      <c r="G29" s="8" t="n">
        <v>3696000</v>
      </c>
      <c r="H29" s="8" t="n"/>
      <c r="I29" s="8" t="n">
        <v>3991680</v>
      </c>
      <c r="J29" s="8" t="n"/>
      <c r="K29" s="6" t="inlineStr">
        <is>
          <t>Thiếu HĐ chi phí</t>
        </is>
      </c>
      <c r="L29" s="3" t="inlineStr">
        <is>
          <t>Chưa lên HĐ chi phí 3.696.000 (NCC Thắng Thao T&amp;T).</t>
        </is>
      </c>
    </row>
    <row r="30">
      <c r="A30" s="3" t="n">
        <v>27</v>
      </c>
      <c r="B30" s="3" t="inlineStr">
        <is>
          <t>RFT-I2609380</t>
        </is>
      </c>
      <c r="C30" s="8" t="n">
        <v>1481297</v>
      </c>
      <c r="D30" s="8" t="n">
        <v>1481297</v>
      </c>
      <c r="E30" s="8" t="n">
        <v>1599800</v>
      </c>
      <c r="F30" s="8" t="n">
        <v>1599801</v>
      </c>
      <c r="G30" s="8" t="n">
        <v>1219500</v>
      </c>
      <c r="H30" s="8" t="n">
        <v>1219500</v>
      </c>
      <c r="I30" s="8" t="n">
        <v>1317060</v>
      </c>
      <c r="J30" s="8" t="n">
        <v>1311060</v>
      </c>
      <c r="K30" s="5" t="inlineStr">
        <is>
          <t>Lệch VAT chi phí</t>
        </is>
      </c>
      <c r="L30" s="3" t="inlineStr">
        <is>
          <t>VAT chi phí trên Freightek 91.560, Excel 97.560 (lệch 6.000).</t>
        </is>
      </c>
    </row>
    <row r="31">
      <c r="A31" s="3" t="n">
        <v>28</v>
      </c>
      <c r="B31" s="3" t="inlineStr">
        <is>
          <t>RFT-I2609383</t>
        </is>
      </c>
      <c r="C31" s="8" t="n">
        <v>3756019</v>
      </c>
      <c r="D31" s="8" t="n">
        <v>3756019</v>
      </c>
      <c r="E31" s="8" t="n">
        <v>4056500</v>
      </c>
      <c r="F31" s="8" t="n">
        <v>4056501</v>
      </c>
      <c r="G31" s="8" t="n">
        <v>1438500</v>
      </c>
      <c r="H31" s="8" t="n">
        <v>1438500</v>
      </c>
      <c r="I31" s="8" t="n">
        <v>1553580</v>
      </c>
      <c r="J31" s="8" t="n">
        <v>1553580</v>
      </c>
      <c r="K31" s="3" t="inlineStr">
        <is>
          <t>Khớp</t>
        </is>
      </c>
      <c r="L31" s="3" t="inlineStr"/>
    </row>
    <row r="32">
      <c r="A32" s="3" t="n">
        <v>29</v>
      </c>
      <c r="B32" s="3" t="inlineStr">
        <is>
          <t>RFT-I2609727</t>
        </is>
      </c>
      <c r="C32" s="8" t="n">
        <v>2470000</v>
      </c>
      <c r="D32" s="8" t="n">
        <v>2470000</v>
      </c>
      <c r="E32" s="8" t="n">
        <v>2667600</v>
      </c>
      <c r="F32" s="8" t="n">
        <v>2667600</v>
      </c>
      <c r="G32" s="8" t="n">
        <v>2457000</v>
      </c>
      <c r="H32" s="8" t="n">
        <v>2457000</v>
      </c>
      <c r="I32" s="8" t="n">
        <v>2653560</v>
      </c>
      <c r="J32" s="8" t="n">
        <v>2653560</v>
      </c>
      <c r="K32" s="3" t="inlineStr">
        <is>
          <t>Khớp</t>
        </is>
      </c>
      <c r="L32" s="3" t="inlineStr"/>
    </row>
    <row r="33">
      <c r="A33" s="3" t="n">
        <v>30</v>
      </c>
      <c r="B33" s="3" t="inlineStr">
        <is>
          <t>RFT-D2609213</t>
        </is>
      </c>
      <c r="C33" s="8" t="n">
        <v>3600000</v>
      </c>
      <c r="D33" s="8" t="n">
        <v>3600000</v>
      </c>
      <c r="E33" s="8" t="n">
        <v>3600000</v>
      </c>
      <c r="F33" s="8" t="n">
        <v>3600000</v>
      </c>
      <c r="G33" s="8" t="n">
        <v>3300000</v>
      </c>
      <c r="H33" s="8" t="n">
        <v>3300000</v>
      </c>
      <c r="I33" s="8" t="n">
        <v>3564000</v>
      </c>
      <c r="J33" s="8" t="n">
        <v>3564000</v>
      </c>
      <c r="K33" s="3" t="inlineStr">
        <is>
          <t>Khớp</t>
        </is>
      </c>
      <c r="L33" s="3" t="inlineStr"/>
    </row>
    <row r="34">
      <c r="A34" s="3" t="n">
        <v>31</v>
      </c>
      <c r="B34" s="3" t="inlineStr">
        <is>
          <t>RFT-I2609728</t>
        </is>
      </c>
      <c r="C34" s="8" t="n">
        <v>0</v>
      </c>
      <c r="D34" s="8" t="n">
        <v>0</v>
      </c>
      <c r="E34" s="8" t="n">
        <v>0</v>
      </c>
      <c r="F34" s="8" t="n">
        <v>0</v>
      </c>
      <c r="G34" s="8" t="n">
        <v>2912000</v>
      </c>
      <c r="H34" s="8" t="n">
        <v>2912000</v>
      </c>
      <c r="I34" s="8" t="n">
        <v>3144960</v>
      </c>
      <c r="J34" s="8" t="n">
        <v>3144960</v>
      </c>
      <c r="K34" s="3" t="inlineStr">
        <is>
          <t>Khớp</t>
        </is>
      </c>
      <c r="L34" s="3" t="inlineStr"/>
    </row>
    <row r="35">
      <c r="A35" s="3" t="n">
        <v>32</v>
      </c>
      <c r="B35" s="3" t="inlineStr">
        <is>
          <t>RFT-I2609282</t>
        </is>
      </c>
      <c r="C35" s="8" t="n">
        <v>3669815</v>
      </c>
      <c r="D35" s="8" t="n">
        <v>3669815</v>
      </c>
      <c r="E35" s="8" t="n">
        <v>3963400</v>
      </c>
      <c r="F35" s="8" t="n">
        <v>3963400</v>
      </c>
      <c r="G35" s="8" t="n">
        <v>2027778</v>
      </c>
      <c r="H35" s="8" t="n">
        <v>2027778</v>
      </c>
      <c r="I35" s="8" t="n">
        <v>2190000</v>
      </c>
      <c r="J35" s="8" t="n">
        <v>2190000.24</v>
      </c>
      <c r="K35" s="3" t="inlineStr">
        <is>
          <t>Khớp</t>
        </is>
      </c>
      <c r="L35" s="3" t="inlineStr"/>
    </row>
    <row r="36">
      <c r="A36" s="3" t="n">
        <v>33</v>
      </c>
      <c r="B36" s="3" t="inlineStr">
        <is>
          <t>RFT-I2609741</t>
        </is>
      </c>
      <c r="C36" s="8" t="n">
        <v>4255000</v>
      </c>
      <c r="D36" s="8" t="n">
        <v>4255000</v>
      </c>
      <c r="E36" s="8" t="n">
        <v>4595400</v>
      </c>
      <c r="F36" s="8" t="n">
        <v>4595400</v>
      </c>
      <c r="G36" s="8" t="n">
        <v>500000</v>
      </c>
      <c r="H36" s="8" t="n">
        <v>500000</v>
      </c>
      <c r="I36" s="8" t="n">
        <v>540000</v>
      </c>
      <c r="J36" s="8" t="n">
        <v>540000</v>
      </c>
      <c r="K36" s="3" t="inlineStr">
        <is>
          <t>Khớp</t>
        </is>
      </c>
      <c r="L36" s="3" t="inlineStr"/>
    </row>
    <row r="37">
      <c r="A37" s="3" t="n">
        <v>34</v>
      </c>
      <c r="B37" s="3" t="inlineStr">
        <is>
          <t>RFT-I2609729</t>
        </is>
      </c>
      <c r="C37" s="8" t="n">
        <v>3371620</v>
      </c>
      <c r="D37" s="8" t="n">
        <v>3371620</v>
      </c>
      <c r="E37" s="8" t="n">
        <v>3641350</v>
      </c>
      <c r="F37" s="8" t="n">
        <v>3641350</v>
      </c>
      <c r="G37" s="8" t="n">
        <v>5300000</v>
      </c>
      <c r="H37" s="8" t="n"/>
      <c r="I37" s="8" t="n">
        <v>5724000</v>
      </c>
      <c r="J37" s="8" t="n"/>
      <c r="K37" s="6" t="inlineStr">
        <is>
          <t>Thiếu HĐ chi phí</t>
        </is>
      </c>
      <c r="L37" s="3" t="inlineStr">
        <is>
          <t>Chưa lên HĐ chi phí 5.300.000 (NCC Bap Log).</t>
        </is>
      </c>
    </row>
    <row r="38">
      <c r="A38" s="3" t="n">
        <v>35</v>
      </c>
      <c r="B38" s="3" t="inlineStr">
        <is>
          <t>RLT-I2609730</t>
        </is>
      </c>
      <c r="C38" s="8" t="n">
        <v>3146400</v>
      </c>
      <c r="D38" s="8" t="n">
        <v>2913333</v>
      </c>
      <c r="E38" s="8" t="n">
        <v>3398112</v>
      </c>
      <c r="F38" s="8" t="n">
        <v>3146400</v>
      </c>
      <c r="G38" s="8" t="n">
        <v>2300000</v>
      </c>
      <c r="H38" s="8" t="n"/>
      <c r="I38" s="8" t="n">
        <v>2484000</v>
      </c>
      <c r="J38" s="8" t="n"/>
      <c r="K38" s="6" t="inlineStr">
        <is>
          <t>Lệch doanh thu; Thiếu HĐ chi phí</t>
        </is>
      </c>
      <c r="L38" s="3" t="inlineStr">
        <is>
          <t>Freightek nhập 3.146.400 là số ĐÃ GỒM VAT (chưa VAT 2.913.333), Excel 3.146.400 là số CHƯA VAT → doanh thu thiếu 233.067. Chưa có HĐ chi phí Bảo Lâm 2.300.000.</t>
        </is>
      </c>
    </row>
    <row r="39">
      <c r="A39" s="3" t="n">
        <v>36</v>
      </c>
      <c r="B39" s="3" t="inlineStr">
        <is>
          <t>RFC-D2609257</t>
        </is>
      </c>
      <c r="C39" s="8" t="n">
        <v>30000000</v>
      </c>
      <c r="D39" s="8" t="n">
        <v>30000000</v>
      </c>
      <c r="E39" s="8" t="n">
        <v>32400000</v>
      </c>
      <c r="F39" s="8" t="n">
        <v>32400000</v>
      </c>
      <c r="G39" s="8" t="n">
        <v>26500000</v>
      </c>
      <c r="H39" s="8" t="n">
        <v>26500000</v>
      </c>
      <c r="I39" s="8" t="n">
        <v>28620000</v>
      </c>
      <c r="J39" s="8" t="n">
        <v>28620000</v>
      </c>
      <c r="K39" s="3" t="inlineStr">
        <is>
          <t>Khớp</t>
        </is>
      </c>
      <c r="L39" s="3" t="inlineStr"/>
    </row>
    <row r="40">
      <c r="A40" s="3" t="n">
        <v>37</v>
      </c>
      <c r="B40" s="3" t="inlineStr">
        <is>
          <t>RFT-I2609734</t>
        </is>
      </c>
      <c r="C40" s="8" t="n">
        <v>5313000</v>
      </c>
      <c r="D40" s="8" t="n">
        <v>5313000</v>
      </c>
      <c r="E40" s="8" t="n">
        <v>5738040</v>
      </c>
      <c r="F40" s="8" t="n">
        <v>5738040</v>
      </c>
      <c r="G40" s="8" t="n">
        <v>4704000</v>
      </c>
      <c r="H40" s="8" t="n">
        <v>4704000</v>
      </c>
      <c r="I40" s="8" t="n">
        <v>4704000</v>
      </c>
      <c r="J40" s="8" t="n">
        <v>4704000</v>
      </c>
      <c r="K40" s="3" t="inlineStr">
        <is>
          <t>Khớp</t>
        </is>
      </c>
      <c r="L40" s="3" t="inlineStr"/>
    </row>
    <row r="41">
      <c r="A41" s="3" t="n">
        <v>38</v>
      </c>
      <c r="B41" s="3" t="inlineStr">
        <is>
          <t>RFT-I2609735</t>
        </is>
      </c>
      <c r="C41" s="8" t="n">
        <v>176805</v>
      </c>
      <c r="D41" s="8" t="n">
        <v>176805</v>
      </c>
      <c r="E41" s="8" t="n">
        <v>190950</v>
      </c>
      <c r="F41" s="8" t="n">
        <v>190949</v>
      </c>
      <c r="G41" s="8" t="n">
        <v>592593</v>
      </c>
      <c r="H41" s="8" t="n">
        <v>592593</v>
      </c>
      <c r="I41" s="8" t="n">
        <v>640000</v>
      </c>
      <c r="J41" s="8" t="n">
        <v>640000</v>
      </c>
      <c r="K41" s="3" t="inlineStr">
        <is>
          <t>Khớp</t>
        </is>
      </c>
      <c r="L41" s="3" t="inlineStr"/>
    </row>
    <row r="42">
      <c r="A42" s="3" t="n">
        <v>39</v>
      </c>
      <c r="B42" s="3" t="inlineStr">
        <is>
          <t>RFT-I2609342</t>
        </is>
      </c>
      <c r="C42" s="8" t="n">
        <v>2150500</v>
      </c>
      <c r="D42" s="8" t="n">
        <v>2150500</v>
      </c>
      <c r="E42" s="8" t="n">
        <v>2322540</v>
      </c>
      <c r="F42" s="8" t="n">
        <v>2322540</v>
      </c>
      <c r="G42" s="8" t="n">
        <v>2083333</v>
      </c>
      <c r="H42" s="8" t="n">
        <v>2083333</v>
      </c>
      <c r="I42" s="8" t="n">
        <v>2250000</v>
      </c>
      <c r="J42" s="8" t="n">
        <v>2250000</v>
      </c>
      <c r="K42" s="3" t="inlineStr">
        <is>
          <t>Khớp</t>
        </is>
      </c>
      <c r="L42" s="3" t="inlineStr"/>
    </row>
    <row r="43">
      <c r="A43" s="3" t="n">
        <v>40</v>
      </c>
      <c r="B43" s="3" t="inlineStr">
        <is>
          <t>RFT-I2610678</t>
        </is>
      </c>
      <c r="C43" s="8" t="n">
        <v>31667</v>
      </c>
      <c r="D43" s="8" t="n">
        <v>31667</v>
      </c>
      <c r="E43" s="8" t="n">
        <v>34200</v>
      </c>
      <c r="F43" s="8" t="n">
        <v>34200</v>
      </c>
      <c r="G43" s="8" t="n">
        <v>565950</v>
      </c>
      <c r="H43" s="8" t="n">
        <v>565950</v>
      </c>
      <c r="I43" s="8" t="n">
        <v>565950</v>
      </c>
      <c r="J43" s="8" t="n">
        <v>611226</v>
      </c>
      <c r="K43" s="5" t="inlineStr">
        <is>
          <t>Lệch VAT chi phí</t>
        </is>
      </c>
      <c r="L43" s="3" t="inlineStr">
        <is>
          <t>HĐ chi phí trên Freightek có VAT 8% (45.276), Excel không VAT.</t>
        </is>
      </c>
    </row>
    <row r="44">
      <c r="A44" s="3" t="n">
        <v>41</v>
      </c>
      <c r="B44" s="3" t="inlineStr">
        <is>
          <t>RFT-I2609377</t>
        </is>
      </c>
      <c r="C44" s="8" t="n">
        <v>2150500</v>
      </c>
      <c r="D44" s="8" t="n">
        <v>2150500</v>
      </c>
      <c r="E44" s="8" t="n">
        <v>2322540</v>
      </c>
      <c r="F44" s="8" t="n">
        <v>2322540</v>
      </c>
      <c r="G44" s="8" t="n">
        <v>1722222</v>
      </c>
      <c r="H44" s="8" t="n">
        <v>1722222</v>
      </c>
      <c r="I44" s="8" t="n">
        <v>1860000</v>
      </c>
      <c r="J44" s="8" t="n">
        <v>1860000</v>
      </c>
      <c r="K44" s="3" t="inlineStr">
        <is>
          <t>Khớp</t>
        </is>
      </c>
      <c r="L44" s="3" t="inlineStr"/>
    </row>
    <row r="45">
      <c r="A45" s="3" t="n">
        <v>42</v>
      </c>
      <c r="B45" s="3" t="inlineStr">
        <is>
          <t>RFT-I2609736</t>
        </is>
      </c>
      <c r="C45" s="8" t="n">
        <v>3583611</v>
      </c>
      <c r="D45" s="8" t="n">
        <v>3583611</v>
      </c>
      <c r="E45" s="8" t="n">
        <v>3870300</v>
      </c>
      <c r="F45" s="8" t="n">
        <v>3870300</v>
      </c>
      <c r="G45" s="8" t="n">
        <v>500000</v>
      </c>
      <c r="H45" s="8" t="n">
        <v>500000</v>
      </c>
      <c r="I45" s="8" t="n">
        <v>540000</v>
      </c>
      <c r="J45" s="8" t="n">
        <v>540000</v>
      </c>
      <c r="K45" s="3" t="inlineStr">
        <is>
          <t>Khớp</t>
        </is>
      </c>
      <c r="L45" s="3" t="inlineStr"/>
    </row>
    <row r="46">
      <c r="A46" s="3" t="n">
        <v>43</v>
      </c>
      <c r="B46" s="3" t="inlineStr">
        <is>
          <t>RFT-I2609739</t>
        </is>
      </c>
      <c r="C46" s="8" t="n">
        <v>11658612</v>
      </c>
      <c r="D46" s="8" t="n">
        <v>12399351</v>
      </c>
      <c r="E46" s="8" t="n">
        <v>13391300</v>
      </c>
      <c r="F46" s="8" t="n">
        <v>13391299</v>
      </c>
      <c r="G46" s="8" t="n">
        <v>4608000</v>
      </c>
      <c r="H46" s="8" t="n">
        <v>4608000</v>
      </c>
      <c r="I46" s="8" t="n">
        <v>4608000</v>
      </c>
      <c r="J46" s="8" t="n">
        <v>4608000</v>
      </c>
      <c r="K46" s="6" t="inlineStr">
        <is>
          <t>Lệch doanh thu</t>
        </is>
      </c>
      <c r="L46" s="3" t="inlineStr">
        <is>
          <t>Freightek ĐÚNG (12.399.351). Excel dòng 54 bỏ sót chi phí khác thu KH 800.000 (= 740.741 chưa VAT) ở ô Tổng cước chưa VAT.</t>
        </is>
      </c>
    </row>
    <row r="47">
      <c r="A47" s="3" t="n">
        <v>44</v>
      </c>
      <c r="B47" s="3" t="inlineStr">
        <is>
          <t>RFT-I2609153</t>
        </is>
      </c>
      <c r="C47" s="8" t="n">
        <v>0</v>
      </c>
      <c r="D47" s="8" t="n">
        <v>0</v>
      </c>
      <c r="E47" s="8" t="n">
        <v>0</v>
      </c>
      <c r="F47" s="8" t="n">
        <v>0</v>
      </c>
      <c r="G47" s="8" t="n">
        <v>650000</v>
      </c>
      <c r="H47" s="8" t="n">
        <v>650000</v>
      </c>
      <c r="I47" s="8" t="n">
        <v>650000</v>
      </c>
      <c r="J47" s="8" t="n">
        <v>650000</v>
      </c>
      <c r="K47" s="3" t="inlineStr">
        <is>
          <t>Khớp</t>
        </is>
      </c>
      <c r="L47" s="3" t="inlineStr"/>
    </row>
    <row r="48">
      <c r="A48" s="3" t="n">
        <v>45</v>
      </c>
      <c r="B48" s="3" t="inlineStr">
        <is>
          <t>RFC-I2609330</t>
        </is>
      </c>
      <c r="C48" s="8" t="n">
        <v>18500000</v>
      </c>
      <c r="D48" s="8" t="n">
        <v>26500000</v>
      </c>
      <c r="E48" s="8" t="n">
        <v>19980000</v>
      </c>
      <c r="F48" s="8" t="n">
        <v>28620000</v>
      </c>
      <c r="G48" s="8" t="n">
        <v>16100000</v>
      </c>
      <c r="H48" s="8" t="n"/>
      <c r="I48" s="8" t="n">
        <v>17388000</v>
      </c>
      <c r="J48" s="8" t="n"/>
      <c r="K48" s="6" t="inlineStr">
        <is>
          <t>Lệch doanh thu; Thiếu HĐ chi phí</t>
        </is>
      </c>
      <c r="L48" s="3" t="inlineStr">
        <is>
          <t>Freightek có thêm HĐ doanh thu 8.000.000 (+VAT 640.000) không có trong Excel; chưa có HĐ chi phí Hoàng Dũng 16.100.000.</t>
        </is>
      </c>
    </row>
    <row r="49">
      <c r="A49" s="3" t="n">
        <v>46</v>
      </c>
      <c r="B49" s="3" t="inlineStr">
        <is>
          <t>RFC-I2609335</t>
        </is>
      </c>
      <c r="C49" s="8" t="n">
        <v>18500000</v>
      </c>
      <c r="D49" s="8" t="n">
        <v>26500000</v>
      </c>
      <c r="E49" s="8" t="n">
        <v>19980000</v>
      </c>
      <c r="F49" s="8" t="n">
        <v>28620000</v>
      </c>
      <c r="G49" s="8" t="n">
        <v>16100000</v>
      </c>
      <c r="H49" s="8" t="n">
        <v>16100000</v>
      </c>
      <c r="I49" s="8" t="n">
        <v>17388000</v>
      </c>
      <c r="J49" s="8" t="n">
        <v>17388000</v>
      </c>
      <c r="K49" s="6" t="inlineStr">
        <is>
          <t>Lệch doanh thu</t>
        </is>
      </c>
      <c r="L49" s="3" t="inlineStr">
        <is>
          <t>Freightek có thêm HĐ doanh thu 8.000.000 (+VAT 640.000) không có trong Excel.</t>
        </is>
      </c>
    </row>
    <row r="50">
      <c r="A50" s="3" t="n">
        <v>47</v>
      </c>
      <c r="B50" s="3" t="inlineStr">
        <is>
          <t>RFC-I2609336</t>
        </is>
      </c>
      <c r="C50" s="8" t="n">
        <v>18500000</v>
      </c>
      <c r="D50" s="8" t="n">
        <v>18500000</v>
      </c>
      <c r="E50" s="8" t="n">
        <v>19980000</v>
      </c>
      <c r="F50" s="8" t="n">
        <v>19980000</v>
      </c>
      <c r="G50" s="8" t="n">
        <v>17250000</v>
      </c>
      <c r="H50" s="8" t="n">
        <v>17250000</v>
      </c>
      <c r="I50" s="8" t="n">
        <v>18630000</v>
      </c>
      <c r="J50" s="8" t="n">
        <v>18630000</v>
      </c>
      <c r="K50" s="3" t="inlineStr">
        <is>
          <t>Khớp</t>
        </is>
      </c>
      <c r="L50" s="3" t="inlineStr"/>
    </row>
    <row r="51">
      <c r="A51" s="3" t="n">
        <v>48</v>
      </c>
      <c r="B51" s="3" t="inlineStr">
        <is>
          <t>RFT-I2609644</t>
        </is>
      </c>
      <c r="C51" s="8" t="n">
        <v>6130667</v>
      </c>
      <c r="D51" s="8" t="n">
        <v>6130667</v>
      </c>
      <c r="E51" s="8" t="n">
        <v>6621120</v>
      </c>
      <c r="F51" s="8" t="n">
        <v>6621120</v>
      </c>
      <c r="G51" s="8" t="n">
        <v>4704000</v>
      </c>
      <c r="H51" s="8" t="n"/>
      <c r="I51" s="8" t="n">
        <v>4704000</v>
      </c>
      <c r="J51" s="8" t="n"/>
      <c r="K51" s="6" t="inlineStr">
        <is>
          <t>Thiếu HĐ chi phí</t>
        </is>
      </c>
      <c r="L51" s="3" t="inlineStr">
        <is>
          <t>Chưa lên HĐ chi phí 4.704.000 (NCC Thắng Thao T&amp;T).</t>
        </is>
      </c>
    </row>
    <row r="52">
      <c r="A52" s="3" t="n">
        <v>49</v>
      </c>
      <c r="B52" s="3" t="inlineStr">
        <is>
          <t>RFC-I2609648</t>
        </is>
      </c>
      <c r="C52" s="8" t="n">
        <v>17596111</v>
      </c>
      <c r="D52" s="8" t="n">
        <v>17596111</v>
      </c>
      <c r="E52" s="8" t="n">
        <v>19003800</v>
      </c>
      <c r="F52" s="8" t="n">
        <v>19003800</v>
      </c>
      <c r="G52" s="8" t="n">
        <v>10000000</v>
      </c>
      <c r="H52" s="8" t="n">
        <v>10000000</v>
      </c>
      <c r="I52" s="8" t="n">
        <v>10800000</v>
      </c>
      <c r="J52" s="8" t="n">
        <v>10800000</v>
      </c>
      <c r="K52" s="3" t="inlineStr">
        <is>
          <t>Khớp</t>
        </is>
      </c>
      <c r="L52" s="3" t="inlineStr"/>
    </row>
    <row r="53">
      <c r="A53" s="3" t="n">
        <v>50</v>
      </c>
      <c r="B53" s="3" t="inlineStr">
        <is>
          <t>RFC-I2609533</t>
        </is>
      </c>
      <c r="C53" s="8" t="n">
        <v>18500000</v>
      </c>
      <c r="D53" s="8" t="n"/>
      <c r="E53" s="8" t="n">
        <v>19980000</v>
      </c>
      <c r="F53" s="8" t="n"/>
      <c r="G53" s="8" t="n">
        <v>17825000</v>
      </c>
      <c r="H53" s="8" t="n"/>
      <c r="I53" s="8" t="n">
        <v>19251000</v>
      </c>
      <c r="J53" s="8" t="n"/>
      <c r="K53" s="6" t="inlineStr">
        <is>
          <t>Chưa đối chiếu được</t>
        </is>
      </c>
      <c r="L53" s="3" t="inlineStr">
        <is>
          <t>Không có hóa đơn nào trong 2 file xuất, nhưng LN thực tế trên Freightek = 3.575.000 → có thể hóa đơn do người khác tạo, cần xuất thêm để đối chiếu.</t>
        </is>
      </c>
    </row>
    <row r="54">
      <c r="A54" s="3" t="n">
        <v>51</v>
      </c>
      <c r="B54" s="3" t="inlineStr">
        <is>
          <t>RFC-I2609564</t>
        </is>
      </c>
      <c r="C54" s="8" t="n">
        <v>19500000</v>
      </c>
      <c r="D54" s="8" t="n"/>
      <c r="E54" s="8" t="n">
        <v>21060000</v>
      </c>
      <c r="F54" s="8" t="n"/>
      <c r="G54" s="8" t="n">
        <v>17100000</v>
      </c>
      <c r="H54" s="8" t="n"/>
      <c r="I54" s="8" t="n">
        <v>18468000</v>
      </c>
      <c r="J54" s="8" t="n"/>
      <c r="K54" s="6" t="inlineStr">
        <is>
          <t>Chưa đối chiếu được</t>
        </is>
      </c>
      <c r="L54" s="3" t="inlineStr">
        <is>
          <t>Không có hóa đơn nào trong 2 file xuất, nhưng LN thực tế trên Freightek = 5.300.000 → có thể hóa đơn do người khác tạo, cần xuất thêm để đối chiếu.</t>
        </is>
      </c>
    </row>
    <row r="55">
      <c r="A55" s="3" t="n">
        <v>52</v>
      </c>
      <c r="B55" s="3" t="inlineStr">
        <is>
          <t>RFC-I2609649</t>
        </is>
      </c>
      <c r="C55" s="8" t="n">
        <v>7828704</v>
      </c>
      <c r="D55" s="8" t="n"/>
      <c r="E55" s="8" t="n">
        <v>8455000</v>
      </c>
      <c r="F55" s="8" t="n"/>
      <c r="G55" s="8" t="n">
        <v>5952000</v>
      </c>
      <c r="H55" s="8" t="n"/>
      <c r="I55" s="8" t="n">
        <v>6428160</v>
      </c>
      <c r="J55" s="8" t="n"/>
      <c r="K55" s="6" t="inlineStr">
        <is>
          <t>Thiếu HĐ doanh thu; Thiếu HĐ chi phí</t>
        </is>
      </c>
      <c r="L55" s="3" t="inlineStr">
        <is>
          <t>Chưa lên HĐ doanh thu 7.828.704; Chưa lên HĐ chi phí 5.952.000 (NCC C&amp;T).</t>
        </is>
      </c>
    </row>
    <row r="56">
      <c r="A56" s="3" t="n">
        <v>53</v>
      </c>
      <c r="B56" s="3" t="inlineStr">
        <is>
          <t>RLT-E2609652</t>
        </is>
      </c>
      <c r="C56" s="8" t="n">
        <v>6819360</v>
      </c>
      <c r="D56" s="8" t="n">
        <v>6819360</v>
      </c>
      <c r="E56" s="8" t="n">
        <v>7364909</v>
      </c>
      <c r="F56" s="8" t="n">
        <v>7364909</v>
      </c>
      <c r="G56" s="8" t="n">
        <v>4200000</v>
      </c>
      <c r="H56" s="8" t="n">
        <v>4200000</v>
      </c>
      <c r="I56" s="8" t="n">
        <v>4536000</v>
      </c>
      <c r="J56" s="8" t="n">
        <v>4536000</v>
      </c>
      <c r="K56" s="3" t="inlineStr">
        <is>
          <t>Khớp</t>
        </is>
      </c>
      <c r="L56" s="3" t="inlineStr"/>
    </row>
    <row r="57">
      <c r="A57" s="3" t="n">
        <v>54</v>
      </c>
      <c r="B57" s="3" t="inlineStr">
        <is>
          <t>RLT-D2609611</t>
        </is>
      </c>
      <c r="C57" s="8" t="n">
        <v>2700000</v>
      </c>
      <c r="D57" s="8" t="n">
        <v>2700000</v>
      </c>
      <c r="E57" s="8" t="n">
        <v>2916000</v>
      </c>
      <c r="F57" s="8" t="n">
        <v>2916000</v>
      </c>
      <c r="G57" s="8" t="n">
        <v>2300000</v>
      </c>
      <c r="H57" s="8" t="n">
        <v>2300000</v>
      </c>
      <c r="I57" s="8" t="n">
        <v>2484000</v>
      </c>
      <c r="J57" s="8" t="n">
        <v>2484000</v>
      </c>
      <c r="K57" s="3" t="inlineStr">
        <is>
          <t>Khớp</t>
        </is>
      </c>
      <c r="L57" s="3" t="inlineStr"/>
    </row>
    <row r="58">
      <c r="A58" s="3" t="n">
        <v>55</v>
      </c>
      <c r="B58" s="3" t="inlineStr">
        <is>
          <t>RFT-I2609654</t>
        </is>
      </c>
      <c r="C58" s="8" t="n">
        <v>2258889</v>
      </c>
      <c r="D58" s="8" t="n">
        <v>2258889</v>
      </c>
      <c r="E58" s="8" t="n">
        <v>2439600</v>
      </c>
      <c r="F58" s="8" t="n">
        <v>2439600</v>
      </c>
      <c r="G58" s="8" t="n">
        <v>3490000</v>
      </c>
      <c r="H58" s="8" t="n"/>
      <c r="I58" s="8" t="n">
        <v>3769200</v>
      </c>
      <c r="J58" s="8" t="n"/>
      <c r="K58" s="6" t="inlineStr">
        <is>
          <t>Thiếu HĐ chi phí</t>
        </is>
      </c>
      <c r="L58" s="3" t="inlineStr">
        <is>
          <t>Chưa lên HĐ chi phí 3.490.000 (NCC FTG).</t>
        </is>
      </c>
    </row>
    <row r="59">
      <c r="A59" s="3" t="n">
        <v>56</v>
      </c>
      <c r="B59" s="3" t="inlineStr">
        <is>
          <t>RFC-D2609637</t>
        </is>
      </c>
      <c r="C59" s="8" t="n">
        <v>28500000</v>
      </c>
      <c r="D59" s="8" t="n">
        <v>28500000</v>
      </c>
      <c r="E59" s="8" t="n">
        <v>30780000</v>
      </c>
      <c r="F59" s="8" t="n">
        <v>30780000</v>
      </c>
      <c r="G59" s="8" t="n">
        <v>26000000</v>
      </c>
      <c r="H59" s="8" t="n">
        <v>26000000</v>
      </c>
      <c r="I59" s="8" t="n">
        <v>28080000</v>
      </c>
      <c r="J59" s="8" t="n">
        <v>28080000</v>
      </c>
      <c r="K59" s="3" t="inlineStr">
        <is>
          <t>Khớp</t>
        </is>
      </c>
      <c r="L59" s="3" t="inlineStr"/>
    </row>
    <row r="60">
      <c r="A60" s="3" t="n">
        <v>57</v>
      </c>
      <c r="B60" s="3" t="inlineStr">
        <is>
          <t>RFC-D2609638</t>
        </is>
      </c>
      <c r="C60" s="8" t="n">
        <v>30000000</v>
      </c>
      <c r="D60" s="8" t="n">
        <v>30000000</v>
      </c>
      <c r="E60" s="8" t="n">
        <v>32400000</v>
      </c>
      <c r="F60" s="8" t="n">
        <v>32400000</v>
      </c>
      <c r="G60" s="8" t="n">
        <v>24000000</v>
      </c>
      <c r="H60" s="8" t="n">
        <v>24000000</v>
      </c>
      <c r="I60" s="8" t="n">
        <v>25920000</v>
      </c>
      <c r="J60" s="8" t="n">
        <v>25920000</v>
      </c>
      <c r="K60" s="3" t="inlineStr">
        <is>
          <t>Khớp</t>
        </is>
      </c>
      <c r="L60" s="3" t="inlineStr"/>
    </row>
    <row r="61">
      <c r="A61" s="3" t="n">
        <v>58</v>
      </c>
      <c r="B61" s="3" t="inlineStr">
        <is>
          <t>RFC-I2609639</t>
        </is>
      </c>
      <c r="C61" s="8" t="n">
        <v>19500000</v>
      </c>
      <c r="D61" s="8" t="n"/>
      <c r="E61" s="8" t="n">
        <v>21060000</v>
      </c>
      <c r="F61" s="8" t="n"/>
      <c r="G61" s="8" t="n">
        <v>17250000</v>
      </c>
      <c r="H61" s="8" t="n"/>
      <c r="I61" s="8" t="n">
        <v>18630000</v>
      </c>
      <c r="J61" s="8" t="n"/>
      <c r="K61" s="6" t="inlineStr">
        <is>
          <t>Chưa đối chiếu được</t>
        </is>
      </c>
      <c r="L61" s="3" t="inlineStr">
        <is>
          <t>Không có hóa đơn nào trong 2 file xuất, nhưng LN thực tế trên Freightek = 5.150.000 → có thể hóa đơn do người khác tạo, cần xuất thêm để đối chiếu.</t>
        </is>
      </c>
    </row>
    <row r="62">
      <c r="A62" s="3" t="n">
        <v>59</v>
      </c>
      <c r="B62" s="3" t="inlineStr">
        <is>
          <t>RFC-I2609640</t>
        </is>
      </c>
      <c r="C62" s="8" t="n">
        <v>19500000</v>
      </c>
      <c r="D62" s="8" t="n"/>
      <c r="E62" s="8" t="n">
        <v>21060000</v>
      </c>
      <c r="F62" s="8" t="n"/>
      <c r="G62" s="8" t="n">
        <v>18000000</v>
      </c>
      <c r="H62" s="8" t="n"/>
      <c r="I62" s="8" t="n">
        <v>19440000</v>
      </c>
      <c r="J62" s="8" t="n"/>
      <c r="K62" s="6" t="inlineStr">
        <is>
          <t>Chưa đối chiếu được</t>
        </is>
      </c>
      <c r="L62" s="3" t="inlineStr">
        <is>
          <t>Không có hóa đơn nào trong 2 file xuất, nhưng LN thực tế trên Freightek = 4.400.000 → có thể hóa đơn do người khác tạo, cần xuất thêm để đối chiếu.</t>
        </is>
      </c>
    </row>
    <row r="63">
      <c r="A63" s="3" t="n">
        <v>60</v>
      </c>
      <c r="B63" s="3" t="inlineStr">
        <is>
          <t>RFT-I2609660</t>
        </is>
      </c>
      <c r="C63" s="8" t="n">
        <v>2403500</v>
      </c>
      <c r="D63" s="8" t="n">
        <v>2403500</v>
      </c>
      <c r="E63" s="8" t="n">
        <v>2595780</v>
      </c>
      <c r="F63" s="8" t="n">
        <v>2595780</v>
      </c>
      <c r="G63" s="8" t="n">
        <v>2300000</v>
      </c>
      <c r="H63" s="8" t="n">
        <v>2300000</v>
      </c>
      <c r="I63" s="8" t="n">
        <v>2484000</v>
      </c>
      <c r="J63" s="8" t="n">
        <v>2484000</v>
      </c>
      <c r="K63" s="3" t="inlineStr">
        <is>
          <t>Khớp</t>
        </is>
      </c>
      <c r="L63" s="3" t="inlineStr"/>
    </row>
    <row r="64">
      <c r="A64" s="3" t="n">
        <v>61</v>
      </c>
      <c r="B64" s="3" t="inlineStr">
        <is>
          <t>RLT-I2610135</t>
        </is>
      </c>
      <c r="C64" s="8" t="n">
        <v>5465280</v>
      </c>
      <c r="D64" s="8" t="n">
        <v>5465280</v>
      </c>
      <c r="E64" s="8" t="n">
        <v>5902502</v>
      </c>
      <c r="F64" s="8" t="n">
        <v>5902502</v>
      </c>
      <c r="G64" s="8" t="n">
        <v>3500000</v>
      </c>
      <c r="H64" s="8" t="n">
        <v>3500000</v>
      </c>
      <c r="I64" s="8" t="n">
        <v>3780000</v>
      </c>
      <c r="J64" s="8" t="n">
        <v>3780000</v>
      </c>
      <c r="K64" s="3" t="inlineStr">
        <is>
          <t>Khớp</t>
        </is>
      </c>
      <c r="L64" s="3" t="inlineStr"/>
    </row>
    <row r="65">
      <c r="A65" s="3" t="n">
        <v>62</v>
      </c>
      <c r="B65" s="3" t="inlineStr">
        <is>
          <t>(STT 62 – chưa có ID)</t>
        </is>
      </c>
      <c r="C65" s="8" t="n">
        <v>0</v>
      </c>
      <c r="D65" s="8" t="n"/>
      <c r="E65" s="8" t="n">
        <v>0</v>
      </c>
      <c r="F65" s="8" t="n"/>
      <c r="G65" s="8" t="n">
        <v>2352000</v>
      </c>
      <c r="H65" s="8" t="n"/>
      <c r="I65" s="8" t="n">
        <v>2352000</v>
      </c>
      <c r="J65" s="8" t="n"/>
      <c r="K65" s="6" t="inlineStr">
        <is>
          <t>Chưa có đơn</t>
        </is>
      </c>
      <c r="L65" s="3" t="inlineStr">
        <is>
          <t>Chưa có đơn trên Freightek (đơn tháng 8).</t>
        </is>
      </c>
    </row>
    <row r="66">
      <c r="A66" s="3" t="n">
        <v>63</v>
      </c>
      <c r="B66" s="3" t="inlineStr">
        <is>
          <t>RFC-I2610128</t>
        </is>
      </c>
      <c r="C66" s="8" t="n">
        <v>19500000</v>
      </c>
      <c r="D66" s="8" t="n">
        <v>19500000</v>
      </c>
      <c r="E66" s="8" t="n">
        <v>21060000</v>
      </c>
      <c r="F66" s="8" t="n">
        <v>21060000</v>
      </c>
      <c r="G66" s="8" t="n">
        <v>18000000</v>
      </c>
      <c r="H66" s="8" t="n">
        <v>18000000</v>
      </c>
      <c r="I66" s="8" t="n">
        <v>19440000</v>
      </c>
      <c r="J66" s="8" t="n">
        <v>19440000</v>
      </c>
      <c r="K66" s="3" t="inlineStr">
        <is>
          <t>Khớp</t>
        </is>
      </c>
      <c r="L66" s="3" t="inlineStr"/>
    </row>
    <row r="67">
      <c r="A67" s="3" t="n">
        <v>64</v>
      </c>
      <c r="B67" s="3" t="inlineStr">
        <is>
          <t>RFC-E2609742</t>
        </is>
      </c>
      <c r="C67" s="8" t="n">
        <v>17457552</v>
      </c>
      <c r="D67" s="8" t="n">
        <v>17457552</v>
      </c>
      <c r="E67" s="8" t="n">
        <v>18854156</v>
      </c>
      <c r="F67" s="8" t="n">
        <v>18854156</v>
      </c>
      <c r="G67" s="8" t="n">
        <v>8700000</v>
      </c>
      <c r="H67" s="8" t="n">
        <v>8700000</v>
      </c>
      <c r="I67" s="8" t="n">
        <v>9396000</v>
      </c>
      <c r="J67" s="8" t="n">
        <v>9396000</v>
      </c>
      <c r="K67" s="3" t="inlineStr">
        <is>
          <t>Khớp</t>
        </is>
      </c>
      <c r="L67" s="3" t="inlineStr"/>
    </row>
    <row r="68">
      <c r="B68" s="9" t="inlineStr">
        <is>
          <t>TỔNG</t>
        </is>
      </c>
      <c r="C68" s="10">
        <f>SUM(C4:C67)</f>
        <v/>
      </c>
      <c r="D68" s="10">
        <f>SUM(D4:D67)</f>
        <v/>
      </c>
      <c r="E68" s="10">
        <f>SUM(E4:E67)</f>
        <v/>
      </c>
      <c r="F68" s="10">
        <f>SUM(F4:F67)</f>
        <v/>
      </c>
      <c r="G68" s="10">
        <f>SUM(G4:G67)</f>
        <v/>
      </c>
      <c r="H68" s="10">
        <f>SUM(H4:H67)</f>
        <v/>
      </c>
      <c r="I68" s="10">
        <f>SUM(I4:I67)</f>
        <v/>
      </c>
      <c r="J68" s="10">
        <f>SUM(J4:J67)</f>
        <v/>
      </c>
    </row>
  </sheetData>
  <autoFilter ref="A3:L67"/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2" customWidth="1" min="10" max="10"/>
    <col width="80" customWidth="1" min="11" max="11"/>
  </cols>
  <sheetData>
    <row r="1" ht="32" customHeight="1">
      <c r="A1" s="7" t="inlineStr">
        <is>
          <t>ĐỐI CHIẾU DOANH THU – CHI PHÍ – LỢI NHUẬN (Excel n.a so với Freightek dataTable_2). Freightek tính LN theo USD, quy đổi tỷ giá 26,200đ (tỷ giá suy ra từ dữ liệu). Đơn ghép nhiều lô đã cộng cả các dòng phụ.</t>
        </is>
      </c>
    </row>
    <row r="3">
      <c r="A3" s="2" t="inlineStr">
        <is>
          <t>STT</t>
        </is>
      </c>
      <c r="B3" s="2" t="inlineStr">
        <is>
          <t>ID</t>
        </is>
      </c>
      <c r="C3" s="2" t="inlineStr">
        <is>
          <t>Dòng Excel</t>
        </is>
      </c>
      <c r="D3" s="2" t="inlineStr">
        <is>
          <t>Doanh thu KH chưa VAT (Excel)</t>
        </is>
      </c>
      <c r="E3" s="2" t="inlineStr">
        <is>
          <t>Chi phí NCC chưa VAT (Excel)</t>
        </is>
      </c>
      <c r="F3" s="2" t="inlineStr">
        <is>
          <t>LN gộp (Excel)</t>
        </is>
      </c>
      <c r="G3" s="2" t="inlineStr">
        <is>
          <t>Tổng LN Freightek (VND)</t>
        </is>
      </c>
      <c r="H3" s="2" t="inlineStr">
        <is>
          <t>LN thực tế Freightek (VND)</t>
        </is>
      </c>
      <c r="I3" s="2" t="inlineStr">
        <is>
          <t>Lệch (FT − Excel)</t>
        </is>
      </c>
      <c r="J3" s="2" t="inlineStr">
        <is>
          <t>Kết quả</t>
        </is>
      </c>
      <c r="K3" s="2" t="inlineStr">
        <is>
          <t>Ghi chú</t>
        </is>
      </c>
    </row>
    <row r="4">
      <c r="A4" s="3" t="n">
        <v>1</v>
      </c>
      <c r="B4" s="3" t="inlineStr">
        <is>
          <t>RFC-E2609007</t>
        </is>
      </c>
      <c r="C4" s="3" t="inlineStr">
        <is>
          <t>5</t>
        </is>
      </c>
      <c r="D4" s="8" t="n">
        <v>5405000</v>
      </c>
      <c r="E4" s="8" t="n">
        <v>4935000</v>
      </c>
      <c r="F4" s="8" t="n">
        <v>470000</v>
      </c>
      <c r="G4" s="8" t="n">
        <v>0</v>
      </c>
      <c r="H4" s="8" t="n">
        <v>5405000</v>
      </c>
      <c r="I4" s="8" t="n">
        <v>-470000</v>
      </c>
      <c r="J4" s="6" t="inlineStr">
        <is>
          <t>Lệch</t>
        </is>
      </c>
      <c r="K4" s="3" t="inlineStr">
        <is>
          <t>Freightek sai: Tổng LN = 0 (Excel 470.000 = KH 5.405.000 − NCC 4.935.000). LN thực tế trên Freightek = 5.405.000 = đúng bằng doanh thu → chi phí NCC 4.935.000 chưa lên đúng. Kiểm tra lại phần doanh thu/chi phí của đơn trên Freightek. LN thực tế chênh 5,405,000 so với tổng LN.</t>
        </is>
      </c>
    </row>
    <row r="5">
      <c r="A5" s="3" t="n">
        <v>2</v>
      </c>
      <c r="B5" s="3" t="inlineStr">
        <is>
          <t>RFC-E2609016</t>
        </is>
      </c>
      <c r="C5" s="3" t="inlineStr">
        <is>
          <t>6</t>
        </is>
      </c>
      <c r="D5" s="8" t="n">
        <v>5405000</v>
      </c>
      <c r="E5" s="8" t="n">
        <v>3584000</v>
      </c>
      <c r="F5" s="8" t="n">
        <v>1821000</v>
      </c>
      <c r="G5" s="8" t="n">
        <v>1821000</v>
      </c>
      <c r="H5" s="8" t="n">
        <v>1821000</v>
      </c>
      <c r="I5" s="8" t="n">
        <v>0</v>
      </c>
      <c r="J5" s="3" t="inlineStr">
        <is>
          <t>Khớp</t>
        </is>
      </c>
      <c r="K5" s="3" t="inlineStr"/>
    </row>
    <row r="6">
      <c r="A6" s="3" t="n">
        <v>3</v>
      </c>
      <c r="B6" s="3" t="inlineStr">
        <is>
          <t>RFT-E2609029</t>
        </is>
      </c>
      <c r="C6" s="3" t="inlineStr">
        <is>
          <t>7</t>
        </is>
      </c>
      <c r="D6" s="8" t="n">
        <v>9529824</v>
      </c>
      <c r="E6" s="8" t="n">
        <v>12100000</v>
      </c>
      <c r="F6" s="8" t="n">
        <v>-2570176</v>
      </c>
      <c r="G6" s="8" t="n">
        <v>-2570178</v>
      </c>
      <c r="H6" s="8" t="n">
        <v>-2107790</v>
      </c>
      <c r="I6" s="8" t="n">
        <v>-2</v>
      </c>
      <c r="J6" s="3" t="inlineStr">
        <is>
          <t>Khớp</t>
        </is>
      </c>
      <c r="K6" s="5" t="inlineStr">
        <is>
          <t>LN thực tế chênh 462,388 so với tổng LN.</t>
        </is>
      </c>
    </row>
    <row r="7">
      <c r="A7" s="3" t="n">
        <v>4</v>
      </c>
      <c r="B7" s="3" t="inlineStr">
        <is>
          <t>RFC-E2609076</t>
        </is>
      </c>
      <c r="C7" s="3" t="inlineStr">
        <is>
          <t>8</t>
        </is>
      </c>
      <c r="D7" s="8" t="n">
        <v>6220741</v>
      </c>
      <c r="E7" s="8" t="n">
        <v>5435000</v>
      </c>
      <c r="F7" s="8" t="n">
        <v>785741</v>
      </c>
      <c r="G7" s="8" t="n">
        <v>785743</v>
      </c>
      <c r="H7" s="8" t="n">
        <v>785741</v>
      </c>
      <c r="I7" s="8" t="n">
        <v>2</v>
      </c>
      <c r="J7" s="3" t="inlineStr">
        <is>
          <t>Khớp</t>
        </is>
      </c>
      <c r="K7" s="3" t="inlineStr"/>
    </row>
    <row r="8">
      <c r="A8" s="3" t="n">
        <v>5</v>
      </c>
      <c r="B8" s="3" t="inlineStr">
        <is>
          <t>RFT-E2609080</t>
        </is>
      </c>
      <c r="C8" s="3" t="inlineStr">
        <is>
          <t>9</t>
        </is>
      </c>
      <c r="D8" s="8" t="n">
        <v>2971389</v>
      </c>
      <c r="E8" s="8" t="n">
        <v>1438500</v>
      </c>
      <c r="F8" s="8" t="n">
        <v>1532889</v>
      </c>
      <c r="G8" s="8" t="n">
        <v>1532889</v>
      </c>
      <c r="H8" s="8" t="n">
        <v>1532889</v>
      </c>
      <c r="I8" s="8" t="n">
        <v>0</v>
      </c>
      <c r="J8" s="3" t="inlineStr">
        <is>
          <t>Khớp</t>
        </is>
      </c>
      <c r="K8" s="3" t="inlineStr"/>
    </row>
    <row r="9">
      <c r="A9" s="3" t="n">
        <v>6</v>
      </c>
      <c r="B9" s="3" t="inlineStr">
        <is>
          <t>RFC-E2609082</t>
        </is>
      </c>
      <c r="C9" s="3" t="inlineStr">
        <is>
          <t>10</t>
        </is>
      </c>
      <c r="D9" s="8" t="n">
        <v>13504630</v>
      </c>
      <c r="E9" s="8" t="n">
        <v>9060000</v>
      </c>
      <c r="F9" s="8" t="n">
        <v>4444630</v>
      </c>
      <c r="G9" s="8" t="n">
        <v>4444631</v>
      </c>
      <c r="H9" s="8" t="n">
        <v>4944630</v>
      </c>
      <c r="I9" s="8" t="n">
        <v>1</v>
      </c>
      <c r="J9" s="3" t="inlineStr">
        <is>
          <t>Khớp</t>
        </is>
      </c>
      <c r="K9" s="5" t="inlineStr">
        <is>
          <t>LN thực tế chênh 499,999 so với tổng LN.</t>
        </is>
      </c>
    </row>
    <row r="10">
      <c r="A10" s="3" t="n">
        <v>7</v>
      </c>
      <c r="B10" s="3" t="inlineStr">
        <is>
          <t>RFT-I2609162</t>
        </is>
      </c>
      <c r="C10" s="3" t="inlineStr">
        <is>
          <t>11</t>
        </is>
      </c>
      <c r="D10" s="8" t="n">
        <v>654444</v>
      </c>
      <c r="E10" s="8" t="n">
        <v>1200000</v>
      </c>
      <c r="F10" s="8" t="n">
        <v>-545556</v>
      </c>
      <c r="G10" s="8" t="n">
        <v>-545555</v>
      </c>
      <c r="H10" s="8" t="n">
        <v>0</v>
      </c>
      <c r="I10" s="8" t="n">
        <v>1</v>
      </c>
      <c r="J10" s="3" t="inlineStr">
        <is>
          <t>Khớp</t>
        </is>
      </c>
      <c r="K10" s="5" t="inlineStr">
        <is>
          <t>LN thực tế = 0 (chưa ghi nhận doanh thu/chi phí thực tế).</t>
        </is>
      </c>
    </row>
    <row r="11">
      <c r="A11" s="3" t="n">
        <v>8</v>
      </c>
      <c r="B11" s="3" t="inlineStr">
        <is>
          <t>RFT-I2609138</t>
        </is>
      </c>
      <c r="C11" s="3" t="inlineStr">
        <is>
          <t>12, 13</t>
        </is>
      </c>
      <c r="D11" s="8" t="n">
        <v>5576852</v>
      </c>
      <c r="E11" s="8" t="n">
        <v>2593500</v>
      </c>
      <c r="F11" s="8" t="n">
        <v>2983352</v>
      </c>
      <c r="G11" s="8" t="n">
        <v>2983352</v>
      </c>
      <c r="H11" s="8" t="n">
        <v>2983352</v>
      </c>
      <c r="I11" s="8" t="n">
        <v>0</v>
      </c>
      <c r="J11" s="3" t="inlineStr">
        <is>
          <t>Khớp</t>
        </is>
      </c>
      <c r="K11" s="3" t="inlineStr"/>
    </row>
    <row r="12">
      <c r="A12" s="3" t="n">
        <v>9</v>
      </c>
      <c r="B12" s="3" t="inlineStr">
        <is>
          <t>RFT-I2609141</t>
        </is>
      </c>
      <c r="C12" s="3" t="inlineStr">
        <is>
          <t>14</t>
        </is>
      </c>
      <c r="D12" s="8" t="n">
        <v>1275463</v>
      </c>
      <c r="E12" s="8" t="n">
        <v>1217593</v>
      </c>
      <c r="F12" s="8" t="n">
        <v>57870</v>
      </c>
      <c r="G12" s="8" t="n">
        <v>57871</v>
      </c>
      <c r="H12" s="8" t="n">
        <v>57870</v>
      </c>
      <c r="I12" s="8" t="n">
        <v>1</v>
      </c>
      <c r="J12" s="3" t="inlineStr">
        <is>
          <t>Khớp</t>
        </is>
      </c>
      <c r="K12" s="3" t="inlineStr"/>
    </row>
    <row r="13">
      <c r="A13" s="3" t="n">
        <v>10</v>
      </c>
      <c r="B13" s="3" t="inlineStr">
        <is>
          <t>RFT-I2609104</t>
        </is>
      </c>
      <c r="C13" s="3" t="inlineStr">
        <is>
          <t>15</t>
        </is>
      </c>
      <c r="D13" s="8" t="n">
        <v>42222</v>
      </c>
      <c r="E13" s="8" t="n">
        <v>808500</v>
      </c>
      <c r="F13" s="8" t="n">
        <v>-766278</v>
      </c>
      <c r="G13" s="8" t="n">
        <v>-766279</v>
      </c>
      <c r="H13" s="8" t="n">
        <v>-766278</v>
      </c>
      <c r="I13" s="8" t="n">
        <v>-1</v>
      </c>
      <c r="J13" s="3" t="inlineStr">
        <is>
          <t>Khớp</t>
        </is>
      </c>
      <c r="K13" s="3" t="inlineStr"/>
    </row>
    <row r="14">
      <c r="A14" s="3" t="n">
        <v>11</v>
      </c>
      <c r="B14" s="3" t="inlineStr">
        <is>
          <t>RFC-I2609103</t>
        </is>
      </c>
      <c r="C14" s="3" t="inlineStr">
        <is>
          <t>16</t>
        </is>
      </c>
      <c r="D14" s="8" t="n">
        <v>6569074</v>
      </c>
      <c r="E14" s="8" t="n">
        <v>8400000</v>
      </c>
      <c r="F14" s="8" t="n">
        <v>-1830926</v>
      </c>
      <c r="G14" s="8" t="n">
        <v>-1830927</v>
      </c>
      <c r="H14" s="8" t="n">
        <v>-1830926</v>
      </c>
      <c r="I14" s="8" t="n">
        <v>-1</v>
      </c>
      <c r="J14" s="3" t="inlineStr">
        <is>
          <t>Khớp</t>
        </is>
      </c>
      <c r="K14" s="3" t="inlineStr"/>
    </row>
    <row r="15">
      <c r="A15" s="3" t="n">
        <v>12</v>
      </c>
      <c r="B15" s="3" t="inlineStr">
        <is>
          <t>RFT-I2609142</t>
        </is>
      </c>
      <c r="C15" s="3" t="inlineStr">
        <is>
          <t>17</t>
        </is>
      </c>
      <c r="D15" s="8" t="n">
        <v>2568519</v>
      </c>
      <c r="E15" s="8" t="n">
        <v>1512000</v>
      </c>
      <c r="F15" s="8" t="n">
        <v>1056519</v>
      </c>
      <c r="G15" s="8" t="n">
        <v>1056520</v>
      </c>
      <c r="H15" s="8" t="n">
        <v>2568519</v>
      </c>
      <c r="I15" s="8" t="n">
        <v>1</v>
      </c>
      <c r="J15" s="3" t="inlineStr">
        <is>
          <t>Khớp</t>
        </is>
      </c>
      <c r="K15" s="5" t="inlineStr">
        <is>
          <t>LN thực tế = doanh thu (chưa trừ chi phí NCC) → chi phí NCC chưa được ghi nhận thực tế.</t>
        </is>
      </c>
    </row>
    <row r="16">
      <c r="A16" s="3" t="n">
        <v>13</v>
      </c>
      <c r="B16" s="3" t="inlineStr">
        <is>
          <t>RFT-I2609146</t>
        </is>
      </c>
      <c r="C16" s="3" t="inlineStr">
        <is>
          <t>18</t>
        </is>
      </c>
      <c r="D16" s="8" t="n">
        <v>326343</v>
      </c>
      <c r="E16" s="8" t="n">
        <v>525000</v>
      </c>
      <c r="F16" s="8" t="n">
        <v>-198657</v>
      </c>
      <c r="G16" s="8" t="n">
        <v>-198659</v>
      </c>
      <c r="H16" s="8" t="n">
        <v>-198657</v>
      </c>
      <c r="I16" s="8" t="n">
        <v>-2</v>
      </c>
      <c r="J16" s="3" t="inlineStr">
        <is>
          <t>Khớp</t>
        </is>
      </c>
      <c r="K16" s="3" t="inlineStr"/>
    </row>
    <row r="17">
      <c r="A17" s="3" t="n">
        <v>14</v>
      </c>
      <c r="B17" s="3" t="inlineStr">
        <is>
          <t>RFC-I2609145</t>
        </is>
      </c>
      <c r="C17" s="3" t="inlineStr">
        <is>
          <t>19, 20</t>
        </is>
      </c>
      <c r="D17" s="8" t="n">
        <v>12311296</v>
      </c>
      <c r="E17" s="8" t="n">
        <v>8060000</v>
      </c>
      <c r="F17" s="8" t="n">
        <v>4251296</v>
      </c>
      <c r="G17" s="8" t="n">
        <v>4251296</v>
      </c>
      <c r="H17" s="8" t="n">
        <v>4251296</v>
      </c>
      <c r="I17" s="8" t="n">
        <v>0</v>
      </c>
      <c r="J17" s="3" t="inlineStr">
        <is>
          <t>Khớp</t>
        </is>
      </c>
      <c r="K17" s="3" t="inlineStr"/>
    </row>
    <row r="18">
      <c r="A18" s="3" t="n">
        <v>15</v>
      </c>
      <c r="B18" s="3" t="inlineStr">
        <is>
          <t>RFT-I2609148</t>
        </is>
      </c>
      <c r="C18" s="3" t="inlineStr">
        <is>
          <t>21</t>
        </is>
      </c>
      <c r="D18" s="8" t="n">
        <v>2392593</v>
      </c>
      <c r="E18" s="8" t="n">
        <v>1050000</v>
      </c>
      <c r="F18" s="8" t="n">
        <v>1342593</v>
      </c>
      <c r="G18" s="8" t="n">
        <v>1342593</v>
      </c>
      <c r="H18" s="8" t="n">
        <v>1342593</v>
      </c>
      <c r="I18" s="8" t="n">
        <v>0</v>
      </c>
      <c r="J18" s="3" t="inlineStr">
        <is>
          <t>Khớp</t>
        </is>
      </c>
      <c r="K18" s="3" t="inlineStr"/>
    </row>
    <row r="19">
      <c r="A19" s="3" t="n">
        <v>16</v>
      </c>
      <c r="B19" s="3" t="inlineStr">
        <is>
          <t>RFT-I2609149</t>
        </is>
      </c>
      <c r="C19" s="3" t="inlineStr">
        <is>
          <t>22</t>
        </is>
      </c>
      <c r="D19" s="8" t="n">
        <v>3138519</v>
      </c>
      <c r="E19" s="8" t="n">
        <v>1512000</v>
      </c>
      <c r="F19" s="8" t="n">
        <v>1626519</v>
      </c>
      <c r="G19" s="8" t="n">
        <v>1626520</v>
      </c>
      <c r="H19" s="8" t="n">
        <v>1626519</v>
      </c>
      <c r="I19" s="8" t="n">
        <v>1</v>
      </c>
      <c r="J19" s="3" t="inlineStr">
        <is>
          <t>Khớp</t>
        </is>
      </c>
      <c r="K19" s="3" t="inlineStr"/>
    </row>
    <row r="20">
      <c r="A20" s="3" t="n">
        <v>17</v>
      </c>
      <c r="B20" s="3" t="inlineStr">
        <is>
          <t>RFT-I2609147</t>
        </is>
      </c>
      <c r="C20" s="3" t="inlineStr">
        <is>
          <t>23</t>
        </is>
      </c>
      <c r="D20" s="8" t="n">
        <v>844444</v>
      </c>
      <c r="E20" s="8" t="n">
        <v>2331000</v>
      </c>
      <c r="F20" s="8" t="n">
        <v>-1486556</v>
      </c>
      <c r="G20" s="8" t="n">
        <v>-1486557</v>
      </c>
      <c r="H20" s="8" t="n">
        <v>-1486556</v>
      </c>
      <c r="I20" s="8" t="n">
        <v>-1</v>
      </c>
      <c r="J20" s="3" t="inlineStr">
        <is>
          <t>Khớp</t>
        </is>
      </c>
      <c r="K20" s="3" t="inlineStr"/>
    </row>
    <row r="21">
      <c r="A21" s="3" t="n">
        <v>18</v>
      </c>
      <c r="B21" s="3" t="inlineStr">
        <is>
          <t>RFT-I2609163</t>
        </is>
      </c>
      <c r="C21" s="3" t="inlineStr">
        <is>
          <t>24</t>
        </is>
      </c>
      <c r="D21" s="8" t="n">
        <v>0</v>
      </c>
      <c r="E21" s="8" t="n">
        <v>3349500</v>
      </c>
      <c r="F21" s="8" t="n">
        <v>-3349500</v>
      </c>
      <c r="G21" s="8" t="n">
        <v>-3349500</v>
      </c>
      <c r="H21" s="8" t="n">
        <v>-3349500</v>
      </c>
      <c r="I21" s="8" t="n">
        <v>0</v>
      </c>
      <c r="J21" s="3" t="inlineStr">
        <is>
          <t>Khớp</t>
        </is>
      </c>
      <c r="K21" s="3" t="inlineStr"/>
    </row>
    <row r="22">
      <c r="A22" s="3" t="n">
        <v>19</v>
      </c>
      <c r="B22" s="3" t="inlineStr">
        <is>
          <t>RFT-I2609150</t>
        </is>
      </c>
      <c r="C22" s="3" t="inlineStr">
        <is>
          <t>25</t>
        </is>
      </c>
      <c r="D22" s="8" t="n">
        <v>1094259</v>
      </c>
      <c r="E22" s="8" t="n">
        <v>1869000</v>
      </c>
      <c r="F22" s="8" t="n">
        <v>-774741</v>
      </c>
      <c r="G22" s="8" t="n">
        <v>-774742</v>
      </c>
      <c r="H22" s="8" t="n">
        <v>-774741</v>
      </c>
      <c r="I22" s="8" t="n">
        <v>-1</v>
      </c>
      <c r="J22" s="3" t="inlineStr">
        <is>
          <t>Khớp</t>
        </is>
      </c>
      <c r="K22" s="3" t="inlineStr"/>
    </row>
    <row r="23">
      <c r="A23" s="3" t="n">
        <v>20</v>
      </c>
      <c r="B23" s="3" t="inlineStr">
        <is>
          <t>RFT-I2609140</t>
        </is>
      </c>
      <c r="C23" s="3" t="inlineStr">
        <is>
          <t>26</t>
        </is>
      </c>
      <c r="D23" s="8" t="n">
        <v>5060000</v>
      </c>
      <c r="E23" s="8" t="n">
        <v>4480000</v>
      </c>
      <c r="F23" s="8" t="n">
        <v>580000</v>
      </c>
      <c r="G23" s="8" t="n">
        <v>580000</v>
      </c>
      <c r="H23" s="8" t="n">
        <v>580000</v>
      </c>
      <c r="I23" s="8" t="n">
        <v>0</v>
      </c>
      <c r="J23" s="3" t="inlineStr">
        <is>
          <t>Khớp</t>
        </is>
      </c>
      <c r="K23" s="3" t="inlineStr"/>
    </row>
    <row r="24">
      <c r="A24" s="3" t="n">
        <v>21</v>
      </c>
      <c r="B24" s="3" t="inlineStr">
        <is>
          <t>RFT-I2609723</t>
        </is>
      </c>
      <c r="C24" s="3" t="inlineStr">
        <is>
          <t>27</t>
        </is>
      </c>
      <c r="D24" s="8" t="n">
        <v>3634630</v>
      </c>
      <c r="E24" s="8" t="n">
        <v>3884000</v>
      </c>
      <c r="F24" s="8" t="n">
        <v>-249370</v>
      </c>
      <c r="G24" s="8" t="n">
        <v>-249372</v>
      </c>
      <c r="H24" s="8" t="n">
        <v>-249370</v>
      </c>
      <c r="I24" s="8" t="n">
        <v>-2</v>
      </c>
      <c r="J24" s="3" t="inlineStr">
        <is>
          <t>Khớp</t>
        </is>
      </c>
      <c r="K24" s="3" t="inlineStr"/>
    </row>
    <row r="25">
      <c r="A25" s="3" t="n">
        <v>22</v>
      </c>
      <c r="B25" s="3" t="inlineStr">
        <is>
          <t>RFT-I2609724</t>
        </is>
      </c>
      <c r="C25" s="3" t="inlineStr">
        <is>
          <t>28, 29</t>
        </is>
      </c>
      <c r="D25" s="8" t="n">
        <v>6941158</v>
      </c>
      <c r="E25" s="8" t="n">
        <v>6000000</v>
      </c>
      <c r="F25" s="8" t="n">
        <v>941157</v>
      </c>
      <c r="G25" s="8" t="n">
        <v>941159</v>
      </c>
      <c r="H25" s="8" t="n">
        <v>6941158</v>
      </c>
      <c r="I25" s="8" t="n">
        <v>2</v>
      </c>
      <c r="J25" s="3" t="inlineStr">
        <is>
          <t>Khớp</t>
        </is>
      </c>
      <c r="K25" s="5" t="inlineStr">
        <is>
          <t>LN thực tế = doanh thu (chưa trừ chi phí NCC) → chi phí NCC chưa được ghi nhận thực tế.</t>
        </is>
      </c>
    </row>
    <row r="26">
      <c r="A26" s="3" t="n">
        <v>23</v>
      </c>
      <c r="B26" s="3" t="inlineStr">
        <is>
          <t>RFT-I2609379</t>
        </is>
      </c>
      <c r="C26" s="3" t="inlineStr">
        <is>
          <t>30, 31</t>
        </is>
      </c>
      <c r="D26" s="8" t="n">
        <v>380000</v>
      </c>
      <c r="E26" s="8" t="n">
        <v>870000</v>
      </c>
      <c r="F26" s="8" t="n">
        <v>-490000</v>
      </c>
      <c r="G26" s="8" t="n">
        <v>-490000</v>
      </c>
      <c r="H26" s="8" t="n">
        <v>-490000</v>
      </c>
      <c r="I26" s="8" t="n">
        <v>0</v>
      </c>
      <c r="J26" s="3" t="inlineStr">
        <is>
          <t>Khớp</t>
        </is>
      </c>
      <c r="K26" s="3" t="inlineStr"/>
    </row>
    <row r="27">
      <c r="A27" s="3" t="n">
        <v>24</v>
      </c>
      <c r="B27" s="3" t="inlineStr">
        <is>
          <t>RFT-I2609725</t>
        </is>
      </c>
      <c r="C27" s="3" t="inlineStr">
        <is>
          <t>32</t>
        </is>
      </c>
      <c r="D27" s="8" t="n">
        <v>5060000</v>
      </c>
      <c r="E27" s="8" t="n">
        <v>4480000</v>
      </c>
      <c r="F27" s="8" t="n">
        <v>580000</v>
      </c>
      <c r="G27" s="8" t="n">
        <v>580000</v>
      </c>
      <c r="H27" s="8" t="n">
        <v>5060000</v>
      </c>
      <c r="I27" s="8" t="n">
        <v>0</v>
      </c>
      <c r="J27" s="3" t="inlineStr">
        <is>
          <t>Khớp</t>
        </is>
      </c>
      <c r="K27" s="5" t="inlineStr">
        <is>
          <t>LN thực tế = doanh thu (chưa trừ chi phí NCC) → chi phí NCC chưa được ghi nhận thực tế.</t>
        </is>
      </c>
    </row>
    <row r="28">
      <c r="A28" s="3" t="n">
        <v>25</v>
      </c>
      <c r="B28" s="3" t="inlineStr">
        <is>
          <t>RFT-I2609726</t>
        </is>
      </c>
      <c r="C28" s="3" t="inlineStr">
        <is>
          <t>33</t>
        </is>
      </c>
      <c r="D28" s="8" t="n">
        <v>2408426</v>
      </c>
      <c r="E28" s="8" t="n">
        <v>1732500</v>
      </c>
      <c r="F28" s="8" t="n">
        <v>675926</v>
      </c>
      <c r="G28" s="8" t="n">
        <v>675926</v>
      </c>
      <c r="H28" s="8" t="n">
        <v>675926</v>
      </c>
      <c r="I28" s="8" t="n">
        <v>0</v>
      </c>
      <c r="J28" s="3" t="inlineStr">
        <is>
          <t>Khớp</t>
        </is>
      </c>
      <c r="K28" s="3" t="inlineStr"/>
    </row>
    <row r="29">
      <c r="A29" s="3" t="n">
        <v>26</v>
      </c>
      <c r="B29" s="3" t="inlineStr">
        <is>
          <t>RFT-I2609647</t>
        </is>
      </c>
      <c r="C29" s="3" t="inlineStr">
        <is>
          <t>34</t>
        </is>
      </c>
      <c r="D29" s="8" t="n">
        <v>0</v>
      </c>
      <c r="E29" s="8" t="n">
        <v>3696000</v>
      </c>
      <c r="F29" s="8" t="n">
        <v>-3696000</v>
      </c>
      <c r="G29" s="8" t="n">
        <v>-3696000</v>
      </c>
      <c r="H29" s="8" t="n">
        <v>0</v>
      </c>
      <c r="I29" s="8" t="n">
        <v>0</v>
      </c>
      <c r="J29" s="3" t="inlineStr">
        <is>
          <t>Khớp</t>
        </is>
      </c>
      <c r="K29" s="5" t="inlineStr">
        <is>
          <t>LN thực tế = doanh thu (chưa trừ chi phí NCC) → chi phí NCC chưa được ghi nhận thực tế.</t>
        </is>
      </c>
    </row>
    <row r="30">
      <c r="A30" s="3" t="n">
        <v>27</v>
      </c>
      <c r="B30" s="3" t="inlineStr">
        <is>
          <t>RFT-I2609380</t>
        </is>
      </c>
      <c r="C30" s="3" t="inlineStr">
        <is>
          <t>35, 36</t>
        </is>
      </c>
      <c r="D30" s="8" t="n">
        <v>1481297</v>
      </c>
      <c r="E30" s="8" t="n">
        <v>1219500</v>
      </c>
      <c r="F30" s="8" t="n">
        <v>261796</v>
      </c>
      <c r="G30" s="8" t="n">
        <v>261798</v>
      </c>
      <c r="H30" s="8" t="n">
        <v>261797</v>
      </c>
      <c r="I30" s="8" t="n">
        <v>2</v>
      </c>
      <c r="J30" s="3" t="inlineStr">
        <is>
          <t>Khớp</t>
        </is>
      </c>
      <c r="K30" s="3" t="inlineStr"/>
    </row>
    <row r="31">
      <c r="A31" s="3" t="n">
        <v>28</v>
      </c>
      <c r="B31" s="3" t="inlineStr">
        <is>
          <t>RFT-I2609383</t>
        </is>
      </c>
      <c r="C31" s="3" t="inlineStr">
        <is>
          <t>37, 38</t>
        </is>
      </c>
      <c r="D31" s="8" t="n">
        <v>3756019</v>
      </c>
      <c r="E31" s="8" t="n">
        <v>1438500</v>
      </c>
      <c r="F31" s="8" t="n">
        <v>2317519</v>
      </c>
      <c r="G31" s="8" t="n">
        <v>2317518</v>
      </c>
      <c r="H31" s="8" t="n">
        <v>2317519</v>
      </c>
      <c r="I31" s="8" t="n">
        <v>-1</v>
      </c>
      <c r="J31" s="3" t="inlineStr">
        <is>
          <t>Khớp</t>
        </is>
      </c>
      <c r="K31" s="3" t="inlineStr"/>
    </row>
    <row r="32">
      <c r="A32" s="3" t="n">
        <v>29</v>
      </c>
      <c r="B32" s="3" t="inlineStr">
        <is>
          <t>RFT-I2609727</t>
        </is>
      </c>
      <c r="C32" s="3" t="inlineStr">
        <is>
          <t>39</t>
        </is>
      </c>
      <c r="D32" s="8" t="n">
        <v>2470000</v>
      </c>
      <c r="E32" s="8" t="n">
        <v>2457000</v>
      </c>
      <c r="F32" s="8" t="n">
        <v>13000</v>
      </c>
      <c r="G32" s="8" t="n">
        <v>13000</v>
      </c>
      <c r="H32" s="8" t="n">
        <v>13000</v>
      </c>
      <c r="I32" s="8" t="n">
        <v>0</v>
      </c>
      <c r="J32" s="3" t="inlineStr">
        <is>
          <t>Khớp</t>
        </is>
      </c>
      <c r="K32" s="3" t="inlineStr"/>
    </row>
    <row r="33">
      <c r="A33" s="3" t="n">
        <v>30</v>
      </c>
      <c r="B33" s="3" t="inlineStr">
        <is>
          <t>RFT-D2609213</t>
        </is>
      </c>
      <c r="C33" s="3" t="inlineStr">
        <is>
          <t>40</t>
        </is>
      </c>
      <c r="D33" s="8" t="n">
        <v>3600000</v>
      </c>
      <c r="E33" s="8" t="n">
        <v>3300000</v>
      </c>
      <c r="F33" s="8" t="n">
        <v>300000</v>
      </c>
      <c r="G33" s="8" t="n">
        <v>300000</v>
      </c>
      <c r="H33" s="8" t="n">
        <v>300000</v>
      </c>
      <c r="I33" s="8" t="n">
        <v>0</v>
      </c>
      <c r="J33" s="3" t="inlineStr">
        <is>
          <t>Khớp</t>
        </is>
      </c>
      <c r="K33" s="3" t="inlineStr"/>
    </row>
    <row r="34">
      <c r="A34" s="3" t="n">
        <v>31</v>
      </c>
      <c r="B34" s="3" t="inlineStr">
        <is>
          <t>RFT-I2609728</t>
        </is>
      </c>
      <c r="C34" s="3" t="inlineStr">
        <is>
          <t>41</t>
        </is>
      </c>
      <c r="D34" s="8" t="n">
        <v>0</v>
      </c>
      <c r="E34" s="8" t="n">
        <v>2912000</v>
      </c>
      <c r="F34" s="8" t="n">
        <v>-2912000</v>
      </c>
      <c r="G34" s="8" t="n">
        <v>-2911999</v>
      </c>
      <c r="H34" s="8" t="n">
        <v>-2912000</v>
      </c>
      <c r="I34" s="8" t="n">
        <v>1</v>
      </c>
      <c r="J34" s="3" t="inlineStr">
        <is>
          <t>Khớp</t>
        </is>
      </c>
      <c r="K34" s="3" t="inlineStr"/>
    </row>
    <row r="35">
      <c r="A35" s="3" t="n">
        <v>32</v>
      </c>
      <c r="B35" s="3" t="inlineStr">
        <is>
          <t>RFT-I2609282</t>
        </is>
      </c>
      <c r="C35" s="3" t="inlineStr">
        <is>
          <t>42</t>
        </is>
      </c>
      <c r="D35" s="8" t="n">
        <v>3669815</v>
      </c>
      <c r="E35" s="8" t="n">
        <v>2027778</v>
      </c>
      <c r="F35" s="8" t="n">
        <v>1642037</v>
      </c>
      <c r="G35" s="8" t="n">
        <v>1642038</v>
      </c>
      <c r="H35" s="8" t="n">
        <v>1642037</v>
      </c>
      <c r="I35" s="8" t="n">
        <v>1</v>
      </c>
      <c r="J35" s="3" t="inlineStr">
        <is>
          <t>Khớp</t>
        </is>
      </c>
      <c r="K35" s="3" t="inlineStr"/>
    </row>
    <row r="36">
      <c r="A36" s="3" t="n">
        <v>33</v>
      </c>
      <c r="B36" s="3" t="inlineStr">
        <is>
          <t>RFT-I2609741</t>
        </is>
      </c>
      <c r="C36" s="3" t="inlineStr">
        <is>
          <t>43</t>
        </is>
      </c>
      <c r="D36" s="8" t="n">
        <v>4255000</v>
      </c>
      <c r="E36" s="8" t="n">
        <v>500000</v>
      </c>
      <c r="F36" s="8" t="n">
        <v>3755000</v>
      </c>
      <c r="G36" s="8" t="n">
        <v>3755000</v>
      </c>
      <c r="H36" s="8" t="n">
        <v>3755000</v>
      </c>
      <c r="I36" s="8" t="n">
        <v>0</v>
      </c>
      <c r="J36" s="3" t="inlineStr">
        <is>
          <t>Khớp</t>
        </is>
      </c>
      <c r="K36" s="3" t="inlineStr"/>
    </row>
    <row r="37">
      <c r="A37" s="3" t="n">
        <v>34</v>
      </c>
      <c r="B37" s="3" t="inlineStr">
        <is>
          <t>RFT-I2609729</t>
        </is>
      </c>
      <c r="C37" s="3" t="inlineStr">
        <is>
          <t>44</t>
        </is>
      </c>
      <c r="D37" s="8" t="n">
        <v>3371620</v>
      </c>
      <c r="E37" s="8" t="n">
        <v>5300000</v>
      </c>
      <c r="F37" s="8" t="n">
        <v>-1928380</v>
      </c>
      <c r="G37" s="8" t="n">
        <v>-1928380</v>
      </c>
      <c r="H37" s="8" t="n">
        <v>3371620</v>
      </c>
      <c r="I37" s="8" t="n">
        <v>0</v>
      </c>
      <c r="J37" s="3" t="inlineStr">
        <is>
          <t>Khớp</t>
        </is>
      </c>
      <c r="K37" s="5" t="inlineStr">
        <is>
          <t>LN thực tế = doanh thu (chưa trừ chi phí NCC) → chi phí NCC chưa được ghi nhận thực tế.</t>
        </is>
      </c>
    </row>
    <row r="38">
      <c r="A38" s="3" t="n">
        <v>35</v>
      </c>
      <c r="B38" s="3" t="inlineStr">
        <is>
          <t>RLT-I2609730</t>
        </is>
      </c>
      <c r="C38" s="3" t="inlineStr">
        <is>
          <t>45</t>
        </is>
      </c>
      <c r="D38" s="8" t="n">
        <v>3146400</v>
      </c>
      <c r="E38" s="8" t="n">
        <v>2300000</v>
      </c>
      <c r="F38" s="8" t="n">
        <v>846400</v>
      </c>
      <c r="G38" s="8" t="n">
        <v>846399</v>
      </c>
      <c r="H38" s="8" t="n">
        <v>2913333</v>
      </c>
      <c r="I38" s="8" t="n">
        <v>-1</v>
      </c>
      <c r="J38" s="3" t="inlineStr">
        <is>
          <t>Khớp</t>
        </is>
      </c>
      <c r="K38" s="5" t="inlineStr">
        <is>
          <t>LN thực tế chênh 2,066,934 so với tổng LN.</t>
        </is>
      </c>
    </row>
    <row r="39">
      <c r="A39" s="3" t="n">
        <v>36</v>
      </c>
      <c r="B39" s="3" t="inlineStr">
        <is>
          <t>RFC-D2609257</t>
        </is>
      </c>
      <c r="C39" s="3" t="inlineStr">
        <is>
          <t>46</t>
        </is>
      </c>
      <c r="D39" s="8" t="n">
        <v>30000000</v>
      </c>
      <c r="E39" s="8" t="n">
        <v>26500000</v>
      </c>
      <c r="F39" s="8" t="n">
        <v>3500000</v>
      </c>
      <c r="G39" s="8" t="n">
        <v>3500000</v>
      </c>
      <c r="H39" s="8" t="n">
        <v>3500000</v>
      </c>
      <c r="I39" s="8" t="n">
        <v>0</v>
      </c>
      <c r="J39" s="3" t="inlineStr">
        <is>
          <t>Khớp</t>
        </is>
      </c>
      <c r="K39" s="3" t="inlineStr"/>
    </row>
    <row r="40">
      <c r="A40" s="3" t="n">
        <v>37</v>
      </c>
      <c r="B40" s="3" t="inlineStr">
        <is>
          <t>RFT-I2609734</t>
        </is>
      </c>
      <c r="C40" s="3" t="inlineStr">
        <is>
          <t>47</t>
        </is>
      </c>
      <c r="D40" s="8" t="n">
        <v>5313000</v>
      </c>
      <c r="E40" s="8" t="n">
        <v>4704000</v>
      </c>
      <c r="F40" s="8" t="n">
        <v>609000</v>
      </c>
      <c r="G40" s="8" t="n">
        <v>609001</v>
      </c>
      <c r="H40" s="8" t="n">
        <v>609000</v>
      </c>
      <c r="I40" s="8" t="n">
        <v>1</v>
      </c>
      <c r="J40" s="3" t="inlineStr">
        <is>
          <t>Khớp</t>
        </is>
      </c>
      <c r="K40" s="3" t="inlineStr"/>
    </row>
    <row r="41">
      <c r="A41" s="3" t="n">
        <v>38</v>
      </c>
      <c r="B41" s="3" t="inlineStr">
        <is>
          <t>RFT-I2609735</t>
        </is>
      </c>
      <c r="C41" s="3" t="inlineStr">
        <is>
          <t>48, 49</t>
        </is>
      </c>
      <c r="D41" s="8" t="n">
        <v>176805</v>
      </c>
      <c r="E41" s="8" t="n">
        <v>592593</v>
      </c>
      <c r="F41" s="8" t="n">
        <v>-415787</v>
      </c>
      <c r="G41" s="8" t="n">
        <v>-415789</v>
      </c>
      <c r="H41" s="8" t="n">
        <v>-415788</v>
      </c>
      <c r="I41" s="8" t="n">
        <v>-2</v>
      </c>
      <c r="J41" s="3" t="inlineStr">
        <is>
          <t>Khớp</t>
        </is>
      </c>
      <c r="K41" s="3" t="inlineStr"/>
    </row>
    <row r="42">
      <c r="A42" s="3" t="n">
        <v>39</v>
      </c>
      <c r="B42" s="3" t="inlineStr">
        <is>
          <t>RFT-I2609342</t>
        </is>
      </c>
      <c r="C42" s="3" t="inlineStr">
        <is>
          <t>50</t>
        </is>
      </c>
      <c r="D42" s="8" t="n">
        <v>2150500</v>
      </c>
      <c r="E42" s="8" t="n">
        <v>2083333</v>
      </c>
      <c r="F42" s="8" t="n">
        <v>67167</v>
      </c>
      <c r="G42" s="8" t="n">
        <v>67169</v>
      </c>
      <c r="H42" s="8" t="n">
        <v>67167</v>
      </c>
      <c r="I42" s="8" t="n">
        <v>2</v>
      </c>
      <c r="J42" s="3" t="inlineStr">
        <is>
          <t>Khớp</t>
        </is>
      </c>
      <c r="K42" s="3" t="inlineStr"/>
    </row>
    <row r="43">
      <c r="A43" s="3" t="n">
        <v>40</v>
      </c>
      <c r="B43" s="3" t="inlineStr">
        <is>
          <t>RFT-I2610678</t>
        </is>
      </c>
      <c r="C43" s="3" t="inlineStr">
        <is>
          <t>51</t>
        </is>
      </c>
      <c r="D43" s="8" t="n">
        <v>31667</v>
      </c>
      <c r="E43" s="8" t="n">
        <v>565950</v>
      </c>
      <c r="F43" s="8" t="n">
        <v>0</v>
      </c>
      <c r="G43" s="8" t="n">
        <v>-534281</v>
      </c>
      <c r="H43" s="8" t="n">
        <v>-534283</v>
      </c>
      <c r="I43" s="8" t="n">
        <v>-534281</v>
      </c>
      <c r="J43" s="6" t="inlineStr">
        <is>
          <t>Lệch</t>
        </is>
      </c>
      <c r="K43" s="3" t="inlineStr">
        <is>
          <t>Excel sai: ô LN gộp ghi 0, trong khi KH 31.667 − NCC 565.950 = −534.283. Freightek đúng → sửa LN gộp dòng 51.</t>
        </is>
      </c>
    </row>
    <row r="44">
      <c r="A44" s="3" t="n">
        <v>41</v>
      </c>
      <c r="B44" s="3" t="inlineStr">
        <is>
          <t>RFT-I2609377</t>
        </is>
      </c>
      <c r="C44" s="3" t="inlineStr">
        <is>
          <t>52</t>
        </is>
      </c>
      <c r="D44" s="8" t="n">
        <v>2150500</v>
      </c>
      <c r="E44" s="8" t="n">
        <v>1722222</v>
      </c>
      <c r="F44" s="8" t="n">
        <v>428278</v>
      </c>
      <c r="G44" s="8" t="n">
        <v>428278</v>
      </c>
      <c r="H44" s="8" t="n">
        <v>428278</v>
      </c>
      <c r="I44" s="8" t="n">
        <v>0</v>
      </c>
      <c r="J44" s="3" t="inlineStr">
        <is>
          <t>Khớp</t>
        </is>
      </c>
      <c r="K44" s="3" t="inlineStr"/>
    </row>
    <row r="45">
      <c r="A45" s="3" t="n">
        <v>42</v>
      </c>
      <c r="B45" s="3" t="inlineStr">
        <is>
          <t>RFT-I2609736</t>
        </is>
      </c>
      <c r="C45" s="3" t="inlineStr">
        <is>
          <t>53</t>
        </is>
      </c>
      <c r="D45" s="8" t="n">
        <v>3583611</v>
      </c>
      <c r="E45" s="8" t="n">
        <v>500000</v>
      </c>
      <c r="F45" s="8" t="n">
        <v>3083611</v>
      </c>
      <c r="G45" s="8" t="n">
        <v>3083609</v>
      </c>
      <c r="H45" s="8" t="n">
        <v>3083611</v>
      </c>
      <c r="I45" s="8" t="n">
        <v>-2</v>
      </c>
      <c r="J45" s="3" t="inlineStr">
        <is>
          <t>Khớp</t>
        </is>
      </c>
      <c r="K45" s="3" t="inlineStr"/>
    </row>
    <row r="46">
      <c r="A46" s="3" t="n">
        <v>43</v>
      </c>
      <c r="B46" s="3" t="inlineStr">
        <is>
          <t>RFT-I2609739</t>
        </is>
      </c>
      <c r="C46" s="3" t="inlineStr">
        <is>
          <t>54, 55, 56, 57, 58, 59, 60, 61</t>
        </is>
      </c>
      <c r="D46" s="8" t="n">
        <v>11658612</v>
      </c>
      <c r="E46" s="8" t="n">
        <v>4608000</v>
      </c>
      <c r="F46" s="8" t="n">
        <v>7050611</v>
      </c>
      <c r="G46" s="8" t="n">
        <v>7791351</v>
      </c>
      <c r="H46" s="8" t="n">
        <v>7791351</v>
      </c>
      <c r="I46" s="8" t="n">
        <v>740740</v>
      </c>
      <c r="J46" s="6" t="inlineStr">
        <is>
          <t>Lệch</t>
        </is>
      </c>
      <c r="K46" s="3" t="inlineStr">
        <is>
          <t>Excel sai: dòng 54 có chi phí khác thu KH 800.000 nhưng ô "Tổng cước chưa VAT" chỉ ghi 554.167 (bỏ sót 740.741 = 800.000 ÷ 1,08). Freightek đúng → sửa ô Tổng cước chưa VAT dòng 54 thành 1.294.908.</t>
        </is>
      </c>
    </row>
    <row r="47">
      <c r="A47" s="3" t="n">
        <v>44</v>
      </c>
      <c r="B47" s="3" t="inlineStr">
        <is>
          <t>RFT-I2609153</t>
        </is>
      </c>
      <c r="C47" s="3" t="inlineStr">
        <is>
          <t>62</t>
        </is>
      </c>
      <c r="D47" s="8" t="n">
        <v>0</v>
      </c>
      <c r="E47" s="8" t="n">
        <v>650000</v>
      </c>
      <c r="F47" s="8" t="n">
        <v>-650000</v>
      </c>
      <c r="G47" s="8" t="n">
        <v>-650001</v>
      </c>
      <c r="H47" s="8" t="n">
        <v>-650000</v>
      </c>
      <c r="I47" s="8" t="n">
        <v>-1</v>
      </c>
      <c r="J47" s="3" t="inlineStr">
        <is>
          <t>Khớp</t>
        </is>
      </c>
      <c r="K47" s="3" t="inlineStr"/>
    </row>
    <row r="48">
      <c r="A48" s="3" t="n">
        <v>45</v>
      </c>
      <c r="B48" s="3" t="inlineStr">
        <is>
          <t>RFC-I2609330</t>
        </is>
      </c>
      <c r="C48" s="3" t="inlineStr">
        <is>
          <t>63</t>
        </is>
      </c>
      <c r="D48" s="8" t="n">
        <v>18500000</v>
      </c>
      <c r="E48" s="8" t="n">
        <v>16100000</v>
      </c>
      <c r="F48" s="8" t="n">
        <v>2400000</v>
      </c>
      <c r="G48" s="8" t="n">
        <v>2400001</v>
      </c>
      <c r="H48" s="8" t="n">
        <v>26500000</v>
      </c>
      <c r="I48" s="8" t="n">
        <v>1</v>
      </c>
      <c r="J48" s="3" t="inlineStr">
        <is>
          <t>Khớp</t>
        </is>
      </c>
      <c r="K48" s="5" t="inlineStr">
        <is>
          <t>Bất thường: LN thực tế 26,500,000 lớn hơn cả doanh thu 18,500,000 → kiểm tra phần thực tế trên Freightek.</t>
        </is>
      </c>
    </row>
    <row r="49">
      <c r="A49" s="3" t="n">
        <v>46</v>
      </c>
      <c r="B49" s="3" t="inlineStr">
        <is>
          <t>RFC-I2609335</t>
        </is>
      </c>
      <c r="C49" s="3" t="inlineStr">
        <is>
          <t>64</t>
        </is>
      </c>
      <c r="D49" s="8" t="n">
        <v>18500000</v>
      </c>
      <c r="E49" s="8" t="n">
        <v>16100000</v>
      </c>
      <c r="F49" s="8" t="n">
        <v>2400000</v>
      </c>
      <c r="G49" s="8" t="n">
        <v>2400001</v>
      </c>
      <c r="H49" s="8" t="n">
        <v>5300000</v>
      </c>
      <c r="I49" s="8" t="n">
        <v>1</v>
      </c>
      <c r="J49" s="3" t="inlineStr">
        <is>
          <t>Khớp</t>
        </is>
      </c>
      <c r="K49" s="5" t="inlineStr">
        <is>
          <t>LN thực tế cao hơn đúng 2.900.000 (lặp lại ở 7 đơn Hưng Giang) → có 1 khoản chi phí 2,9tr chưa ghi nhận thực tế.</t>
        </is>
      </c>
    </row>
    <row r="50">
      <c r="A50" s="3" t="n">
        <v>47</v>
      </c>
      <c r="B50" s="3" t="inlineStr">
        <is>
          <t>RFC-I2609336</t>
        </is>
      </c>
      <c r="C50" s="3" t="inlineStr">
        <is>
          <t>65</t>
        </is>
      </c>
      <c r="D50" s="8" t="n">
        <v>18500000</v>
      </c>
      <c r="E50" s="8" t="n">
        <v>17250000</v>
      </c>
      <c r="F50" s="8" t="n">
        <v>1250000</v>
      </c>
      <c r="G50" s="8" t="n">
        <v>1250002</v>
      </c>
      <c r="H50" s="8" t="n">
        <v>4150000</v>
      </c>
      <c r="I50" s="8" t="n">
        <v>2</v>
      </c>
      <c r="J50" s="3" t="inlineStr">
        <is>
          <t>Khớp</t>
        </is>
      </c>
      <c r="K50" s="5" t="inlineStr">
        <is>
          <t>LN thực tế cao hơn đúng 2.900.000 (lặp lại ở 7 đơn Hưng Giang) → có 1 khoản chi phí 2,9tr chưa ghi nhận thực tế.</t>
        </is>
      </c>
    </row>
    <row r="51">
      <c r="A51" s="3" t="n">
        <v>48</v>
      </c>
      <c r="B51" s="3" t="inlineStr">
        <is>
          <t>RFT-I2609644</t>
        </is>
      </c>
      <c r="C51" s="3" t="inlineStr">
        <is>
          <t>66</t>
        </is>
      </c>
      <c r="D51" s="8" t="n">
        <v>6130667</v>
      </c>
      <c r="E51" s="8" t="n">
        <v>4704000</v>
      </c>
      <c r="F51" s="8" t="n">
        <v>1426667</v>
      </c>
      <c r="G51" s="8" t="n">
        <v>1426666</v>
      </c>
      <c r="H51" s="8" t="n">
        <v>6130667</v>
      </c>
      <c r="I51" s="8" t="n">
        <v>-1</v>
      </c>
      <c r="J51" s="3" t="inlineStr">
        <is>
          <t>Khớp</t>
        </is>
      </c>
      <c r="K51" s="5" t="inlineStr">
        <is>
          <t>LN thực tế = doanh thu (chưa trừ chi phí NCC) → chi phí NCC chưa được ghi nhận thực tế.</t>
        </is>
      </c>
    </row>
    <row r="52">
      <c r="A52" s="3" t="n">
        <v>49</v>
      </c>
      <c r="B52" s="3" t="inlineStr">
        <is>
          <t>RFC-I2609648</t>
        </is>
      </c>
      <c r="C52" s="3" t="inlineStr">
        <is>
          <t>67</t>
        </is>
      </c>
      <c r="D52" s="8" t="n">
        <v>17596111</v>
      </c>
      <c r="E52" s="8" t="n">
        <v>10000000</v>
      </c>
      <c r="F52" s="8" t="n">
        <v>7596111</v>
      </c>
      <c r="G52" s="8" t="n">
        <v>7596111</v>
      </c>
      <c r="H52" s="8" t="n">
        <v>7596111</v>
      </c>
      <c r="I52" s="8" t="n">
        <v>0</v>
      </c>
      <c r="J52" s="3" t="inlineStr">
        <is>
          <t>Khớp</t>
        </is>
      </c>
      <c r="K52" s="3" t="inlineStr"/>
    </row>
    <row r="53">
      <c r="A53" s="3" t="n">
        <v>50</v>
      </c>
      <c r="B53" s="3" t="inlineStr">
        <is>
          <t>RFC-I2609533</t>
        </is>
      </c>
      <c r="C53" s="3" t="inlineStr">
        <is>
          <t>68</t>
        </is>
      </c>
      <c r="D53" s="8" t="n">
        <v>18500000</v>
      </c>
      <c r="E53" s="8" t="n">
        <v>17825000</v>
      </c>
      <c r="F53" s="8" t="n">
        <v>675000</v>
      </c>
      <c r="G53" s="8" t="n">
        <v>675001</v>
      </c>
      <c r="H53" s="8" t="n">
        <v>3575000</v>
      </c>
      <c r="I53" s="8" t="n">
        <v>1</v>
      </c>
      <c r="J53" s="3" t="inlineStr">
        <is>
          <t>Khớp</t>
        </is>
      </c>
      <c r="K53" s="5" t="inlineStr">
        <is>
          <t>LN thực tế cao hơn đúng 2.900.000 (lặp lại ở 7 đơn Hưng Giang) → có 1 khoản chi phí 2,9tr chưa ghi nhận thực tế.</t>
        </is>
      </c>
    </row>
    <row r="54">
      <c r="A54" s="3" t="n">
        <v>51</v>
      </c>
      <c r="B54" s="3" t="inlineStr">
        <is>
          <t>RFC-I2609564</t>
        </is>
      </c>
      <c r="C54" s="3" t="inlineStr">
        <is>
          <t>69</t>
        </is>
      </c>
      <c r="D54" s="8" t="n">
        <v>19500000</v>
      </c>
      <c r="E54" s="8" t="n">
        <v>17100000</v>
      </c>
      <c r="F54" s="8" t="n">
        <v>2400000</v>
      </c>
      <c r="G54" s="8" t="n">
        <v>2399999</v>
      </c>
      <c r="H54" s="8" t="n">
        <v>5300000</v>
      </c>
      <c r="I54" s="8" t="n">
        <v>-1</v>
      </c>
      <c r="J54" s="3" t="inlineStr">
        <is>
          <t>Khớp</t>
        </is>
      </c>
      <c r="K54" s="5" t="inlineStr">
        <is>
          <t>LN thực tế cao hơn đúng 2.900.000 (lặp lại ở 7 đơn Hưng Giang) → có 1 khoản chi phí 2,9tr chưa ghi nhận thực tế.</t>
        </is>
      </c>
    </row>
    <row r="55">
      <c r="A55" s="3" t="n">
        <v>52</v>
      </c>
      <c r="B55" s="3" t="inlineStr">
        <is>
          <t>RFC-I2609649</t>
        </is>
      </c>
      <c r="C55" s="3" t="inlineStr">
        <is>
          <t>70</t>
        </is>
      </c>
      <c r="D55" s="8" t="n">
        <v>7828704</v>
      </c>
      <c r="E55" s="8" t="n">
        <v>5952000</v>
      </c>
      <c r="F55" s="8" t="n">
        <v>1876704</v>
      </c>
      <c r="G55" s="8" t="n">
        <v>1876703</v>
      </c>
      <c r="H55" s="8" t="n">
        <v>0</v>
      </c>
      <c r="I55" s="8" t="n">
        <v>-1</v>
      </c>
      <c r="J55" s="3" t="inlineStr">
        <is>
          <t>Khớp</t>
        </is>
      </c>
      <c r="K55" s="5" t="inlineStr">
        <is>
          <t>LN thực tế = 0 (chưa ghi nhận doanh thu/chi phí thực tế).</t>
        </is>
      </c>
    </row>
    <row r="56">
      <c r="A56" s="3" t="n">
        <v>53</v>
      </c>
      <c r="B56" s="3" t="inlineStr">
        <is>
          <t>RLT-E2609652</t>
        </is>
      </c>
      <c r="C56" s="3" t="inlineStr">
        <is>
          <t>71</t>
        </is>
      </c>
      <c r="D56" s="8" t="n">
        <v>6819360</v>
      </c>
      <c r="E56" s="8" t="n">
        <v>4200000</v>
      </c>
      <c r="F56" s="8" t="n">
        <v>2619360</v>
      </c>
      <c r="G56" s="8" t="n">
        <v>2619361</v>
      </c>
      <c r="H56" s="8" t="n">
        <v>2619360</v>
      </c>
      <c r="I56" s="8" t="n">
        <v>1</v>
      </c>
      <c r="J56" s="3" t="inlineStr">
        <is>
          <t>Khớp</t>
        </is>
      </c>
      <c r="K56" s="3" t="inlineStr"/>
    </row>
    <row r="57">
      <c r="A57" s="3" t="n">
        <v>54</v>
      </c>
      <c r="B57" s="3" t="inlineStr">
        <is>
          <t>RLT-D2609611</t>
        </is>
      </c>
      <c r="C57" s="3" t="inlineStr">
        <is>
          <t>72</t>
        </is>
      </c>
      <c r="D57" s="8" t="n">
        <v>2700000</v>
      </c>
      <c r="E57" s="8" t="n">
        <v>2300000</v>
      </c>
      <c r="F57" s="8" t="n">
        <v>400000</v>
      </c>
      <c r="G57" s="8" t="n">
        <v>399998</v>
      </c>
      <c r="H57" s="8" t="n">
        <v>400000</v>
      </c>
      <c r="I57" s="8" t="n">
        <v>-2</v>
      </c>
      <c r="J57" s="3" t="inlineStr">
        <is>
          <t>Khớp</t>
        </is>
      </c>
      <c r="K57" s="3" t="inlineStr"/>
    </row>
    <row r="58">
      <c r="A58" s="3" t="n">
        <v>55</v>
      </c>
      <c r="B58" s="3" t="inlineStr">
        <is>
          <t>RFT-I2609654</t>
        </is>
      </c>
      <c r="C58" s="3" t="inlineStr">
        <is>
          <t>73, 74</t>
        </is>
      </c>
      <c r="D58" s="8" t="n">
        <v>2258889</v>
      </c>
      <c r="E58" s="8" t="n">
        <v>3490000</v>
      </c>
      <c r="F58" s="8" t="n">
        <v>-1231111</v>
      </c>
      <c r="G58" s="8" t="n">
        <v>-1231112</v>
      </c>
      <c r="H58" s="8" t="n">
        <v>2258889</v>
      </c>
      <c r="I58" s="8" t="n">
        <v>-1</v>
      </c>
      <c r="J58" s="3" t="inlineStr">
        <is>
          <t>Khớp</t>
        </is>
      </c>
      <c r="K58" s="5" t="inlineStr">
        <is>
          <t>LN thực tế = doanh thu (chưa trừ chi phí NCC) → chi phí NCC chưa được ghi nhận thực tế.</t>
        </is>
      </c>
    </row>
    <row r="59">
      <c r="A59" s="3" t="n">
        <v>56</v>
      </c>
      <c r="B59" s="3" t="inlineStr">
        <is>
          <t>RFC-D2609637</t>
        </is>
      </c>
      <c r="C59" s="3" t="inlineStr">
        <is>
          <t>75</t>
        </is>
      </c>
      <c r="D59" s="8" t="n">
        <v>28500000</v>
      </c>
      <c r="E59" s="8" t="n">
        <v>26000000</v>
      </c>
      <c r="F59" s="8" t="n">
        <v>2500000</v>
      </c>
      <c r="G59" s="8" t="n">
        <v>2500001</v>
      </c>
      <c r="H59" s="8" t="n">
        <v>2500000</v>
      </c>
      <c r="I59" s="8" t="n">
        <v>1</v>
      </c>
      <c r="J59" s="3" t="inlineStr">
        <is>
          <t>Khớp</t>
        </is>
      </c>
      <c r="K59" s="3" t="inlineStr"/>
    </row>
    <row r="60">
      <c r="A60" s="3" t="n">
        <v>57</v>
      </c>
      <c r="B60" s="3" t="inlineStr">
        <is>
          <t>RFC-D2609638</t>
        </is>
      </c>
      <c r="C60" s="3" t="inlineStr">
        <is>
          <t>76</t>
        </is>
      </c>
      <c r="D60" s="8" t="n">
        <v>30000000</v>
      </c>
      <c r="E60" s="8" t="n">
        <v>24000000</v>
      </c>
      <c r="F60" s="8" t="n">
        <v>6000000</v>
      </c>
      <c r="G60" s="8" t="n">
        <v>6000002</v>
      </c>
      <c r="H60" s="8" t="n">
        <v>6000000</v>
      </c>
      <c r="I60" s="8" t="n">
        <v>2</v>
      </c>
      <c r="J60" s="3" t="inlineStr">
        <is>
          <t>Khớp</t>
        </is>
      </c>
      <c r="K60" s="3" t="inlineStr"/>
    </row>
    <row r="61">
      <c r="A61" s="3" t="n">
        <v>58</v>
      </c>
      <c r="B61" s="3" t="inlineStr">
        <is>
          <t>RFC-I2609639</t>
        </is>
      </c>
      <c r="C61" s="3" t="inlineStr">
        <is>
          <t>77</t>
        </is>
      </c>
      <c r="D61" s="8" t="n">
        <v>19500000</v>
      </c>
      <c r="E61" s="8" t="n">
        <v>17250000</v>
      </c>
      <c r="F61" s="8" t="n">
        <v>2250000</v>
      </c>
      <c r="G61" s="8" t="n">
        <v>2250001</v>
      </c>
      <c r="H61" s="8" t="n">
        <v>5150000</v>
      </c>
      <c r="I61" s="8" t="n">
        <v>1</v>
      </c>
      <c r="J61" s="3" t="inlineStr">
        <is>
          <t>Khớp</t>
        </is>
      </c>
      <c r="K61" s="5" t="inlineStr">
        <is>
          <t>LN thực tế cao hơn đúng 2.900.000 (lặp lại ở 7 đơn Hưng Giang) → có 1 khoản chi phí 2,9tr chưa ghi nhận thực tế.</t>
        </is>
      </c>
    </row>
    <row r="62">
      <c r="A62" s="3" t="n">
        <v>59</v>
      </c>
      <c r="B62" s="3" t="inlineStr">
        <is>
          <t>RFC-I2609640</t>
        </is>
      </c>
      <c r="C62" s="3" t="inlineStr">
        <is>
          <t>78</t>
        </is>
      </c>
      <c r="D62" s="8" t="n">
        <v>19500000</v>
      </c>
      <c r="E62" s="8" t="n">
        <v>18000000</v>
      </c>
      <c r="F62" s="8" t="n">
        <v>1500000</v>
      </c>
      <c r="G62" s="8" t="n">
        <v>1500000</v>
      </c>
      <c r="H62" s="8" t="n">
        <v>4400000</v>
      </c>
      <c r="I62" s="8" t="n">
        <v>0</v>
      </c>
      <c r="J62" s="3" t="inlineStr">
        <is>
          <t>Khớp</t>
        </is>
      </c>
      <c r="K62" s="5" t="inlineStr">
        <is>
          <t>LN thực tế cao hơn đúng 2.900.000 (lặp lại ở 7 đơn Hưng Giang) → có 1 khoản chi phí 2,9tr chưa ghi nhận thực tế.</t>
        </is>
      </c>
    </row>
    <row r="63">
      <c r="A63" s="3" t="n">
        <v>60</v>
      </c>
      <c r="B63" s="3" t="inlineStr">
        <is>
          <t>RFT-I2609660</t>
        </is>
      </c>
      <c r="C63" s="3" t="inlineStr">
        <is>
          <t>79</t>
        </is>
      </c>
      <c r="D63" s="8" t="n">
        <v>2403500</v>
      </c>
      <c r="E63" s="8" t="n">
        <v>2300000</v>
      </c>
      <c r="F63" s="8" t="n">
        <v>103500</v>
      </c>
      <c r="G63" s="8" t="n">
        <v>103498</v>
      </c>
      <c r="H63" s="8" t="n">
        <v>103500</v>
      </c>
      <c r="I63" s="8" t="n">
        <v>-2</v>
      </c>
      <c r="J63" s="3" t="inlineStr">
        <is>
          <t>Khớp</t>
        </is>
      </c>
      <c r="K63" s="3" t="inlineStr"/>
    </row>
    <row r="64">
      <c r="A64" s="3" t="n">
        <v>61</v>
      </c>
      <c r="B64" s="3" t="inlineStr">
        <is>
          <t>RLT-I2610135</t>
        </is>
      </c>
      <c r="C64" s="3" t="inlineStr">
        <is>
          <t>80</t>
        </is>
      </c>
      <c r="D64" s="8" t="n">
        <v>5465280</v>
      </c>
      <c r="E64" s="8" t="n">
        <v>3500000</v>
      </c>
      <c r="F64" s="8" t="n">
        <v>1965280</v>
      </c>
      <c r="G64" s="8" t="n">
        <v>1965280</v>
      </c>
      <c r="H64" s="8" t="n">
        <v>1965280</v>
      </c>
      <c r="I64" s="8" t="n">
        <v>0</v>
      </c>
      <c r="J64" s="3" t="inlineStr">
        <is>
          <t>Khớp</t>
        </is>
      </c>
      <c r="K64" s="3" t="inlineStr"/>
    </row>
    <row r="65">
      <c r="A65" s="3" t="n">
        <v>62</v>
      </c>
      <c r="B65" s="3" t="inlineStr">
        <is>
          <t>(STT 62 – chưa có ID)</t>
        </is>
      </c>
      <c r="C65" s="3" t="inlineStr">
        <is>
          <t>81</t>
        </is>
      </c>
      <c r="D65" s="8" t="n">
        <v>0</v>
      </c>
      <c r="E65" s="8" t="n">
        <v>2352000</v>
      </c>
      <c r="F65" s="8" t="n">
        <v>-2352000</v>
      </c>
      <c r="G65" s="8" t="n"/>
      <c r="H65" s="8" t="n"/>
      <c r="I65" s="8" t="n"/>
      <c r="J65" s="6" t="inlineStr">
        <is>
          <t>Chưa có đơn trên Freightek</t>
        </is>
      </c>
      <c r="K65" s="3" t="inlineStr"/>
    </row>
    <row r="66">
      <c r="A66" s="3" t="n">
        <v>63</v>
      </c>
      <c r="B66" s="3" t="inlineStr">
        <is>
          <t>RFC-I2610128</t>
        </is>
      </c>
      <c r="C66" s="3" t="inlineStr">
        <is>
          <t>82</t>
        </is>
      </c>
      <c r="D66" s="8" t="n">
        <v>19500000</v>
      </c>
      <c r="E66" s="8" t="n">
        <v>18000000</v>
      </c>
      <c r="F66" s="8" t="n">
        <v>1500000</v>
      </c>
      <c r="G66" s="8" t="n">
        <v>1500000</v>
      </c>
      <c r="H66" s="8" t="n">
        <v>4400000</v>
      </c>
      <c r="I66" s="8" t="n">
        <v>0</v>
      </c>
      <c r="J66" s="3" t="inlineStr">
        <is>
          <t>Khớp</t>
        </is>
      </c>
      <c r="K66" s="5" t="inlineStr">
        <is>
          <t>LN thực tế cao hơn đúng 2.900.000 (lặp lại ở 7 đơn Hưng Giang) → có 1 khoản chi phí 2,9tr chưa ghi nhận thực tế.</t>
        </is>
      </c>
    </row>
    <row r="67">
      <c r="A67" s="3" t="n">
        <v>64</v>
      </c>
      <c r="B67" s="3" t="inlineStr">
        <is>
          <t>RFC-E2609742</t>
        </is>
      </c>
      <c r="C67" s="3" t="inlineStr">
        <is>
          <t>83</t>
        </is>
      </c>
      <c r="D67" s="8" t="n">
        <v>17457552</v>
      </c>
      <c r="E67" s="8" t="n">
        <v>8700000</v>
      </c>
      <c r="F67" s="8" t="n">
        <v>8757552</v>
      </c>
      <c r="G67" s="8" t="n">
        <v>8757552</v>
      </c>
      <c r="H67" s="8" t="n">
        <v>8757552</v>
      </c>
      <c r="I67" s="8" t="n">
        <v>0</v>
      </c>
      <c r="J67" s="3" t="inlineStr">
        <is>
          <t>Khớp</t>
        </is>
      </c>
      <c r="K67" s="3" t="inlineStr"/>
    </row>
    <row r="68">
      <c r="B68" s="9" t="inlineStr">
        <is>
          <t>TỔNG</t>
        </is>
      </c>
      <c r="D68" s="10">
        <f>SUM(D4:D67)</f>
        <v/>
      </c>
      <c r="E68" s="10">
        <f>SUM(E4:E67)</f>
        <v/>
      </c>
      <c r="F68" s="10">
        <f>SUM(F4:F67)</f>
        <v/>
      </c>
      <c r="G68" s="10">
        <f>SUM(G4:G67)</f>
        <v/>
      </c>
      <c r="H68" s="10">
        <f>SUM(H4:H67)</f>
        <v/>
      </c>
    </row>
  </sheetData>
  <autoFilter ref="A3:K6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22" customWidth="1" min="3" max="3"/>
    <col width="80" customWidth="1" min="4" max="4"/>
    <col width="50" customWidth="1" min="5" max="5"/>
  </cols>
  <sheetData>
    <row r="1">
      <c r="A1" s="2" t="inlineStr">
        <is>
          <t>Loại</t>
        </is>
      </c>
      <c r="B1" s="2" t="inlineStr">
        <is>
          <t>ID</t>
        </is>
      </c>
      <c r="C1" s="2" t="inlineStr">
        <is>
          <t>Vị trí trong Excel</t>
        </is>
      </c>
      <c r="D1" s="2" t="inlineStr">
        <is>
          <t>Chi tiết</t>
        </is>
      </c>
      <c r="E1" s="2" t="inlineStr">
        <is>
          <t>Đề xuất</t>
        </is>
      </c>
    </row>
    <row r="2">
      <c r="A2" s="3" t="inlineStr">
        <is>
          <t>Đã xử lý</t>
        </is>
      </c>
      <c r="B2" s="3" t="inlineStr">
        <is>
          <t>RLT-I2610121, RFC-I2610120, RFC-I2609329</t>
        </is>
      </c>
      <c r="C2" s="3" t="inlineStr">
        <is>
          <t>—</t>
        </is>
      </c>
      <c r="D2" s="3" t="inlineStr">
        <is>
          <t>Ba đơn tạo trùng đã được xóa khỏi Freightek (không còn trong file xuất dataTable_2).</t>
        </is>
      </c>
      <c r="E2" s="3" t="inlineStr">
        <is>
          <t>Xong.</t>
        </is>
      </c>
    </row>
    <row r="3">
      <c r="A3" s="3" t="inlineStr">
        <is>
          <t>Đã xử lý</t>
        </is>
      </c>
      <c r="B3" s="3" t="inlineStr">
        <is>
          <t>RFT-I2609660</t>
        </is>
      </c>
      <c r="C3" s="3" t="inlineStr">
        <is>
          <t>STT 60 (dòng 79)</t>
        </is>
      </c>
      <c r="D3" s="3" t="inlineStr">
        <is>
          <t>Đơn đã có trên Freightek: xe 12H 05295, 28/9–29/9, Hữu Nghị → Tiên Sơn, lợi nhuận 3,95 USD (≈ 103.500đ, khớp Excel). Ô Trucking No. đang ghi lặp "12H 05295; 12H 05295".</t>
        </is>
      </c>
      <c r="E3" s="3" t="inlineStr">
        <is>
          <t>Khớp. Có thể sửa Trucking No. còn 1 biển.</t>
        </is>
      </c>
    </row>
    <row r="4">
      <c r="A4" s="3" t="inlineStr">
        <is>
          <t>Thiếu ID</t>
        </is>
      </c>
      <c r="B4" s="3" t="inlineStr">
        <is>
          <t>(chưa có ID)</t>
        </is>
      </c>
      <c r="C4" s="3" t="inlineStr">
        <is>
          <t>STT 62 (dòng 81)</t>
        </is>
      </c>
      <c r="D4" s="3" t="inlineStr">
        <is>
          <t>TM, xe 98E01083 (C&amp;T), Hữu Nghị → Tiên Sơn, 26/8, ghi chú "về kho, đơn t8". Chi phí NCC 2.352.000, chưa có doanh thu KH. File Freightek chỉ có đơn tháng 9 nên chưa đối chiếu được.</t>
        </is>
      </c>
      <c r="E4" s="3" t="inlineStr">
        <is>
          <t>Kiểm tra đơn tháng 8 trên Freightek rồi điền ID.</t>
        </is>
      </c>
    </row>
    <row r="5">
      <c r="A5" s="3" t="inlineStr">
        <is>
          <t>Lệch ngày + biển số</t>
        </is>
      </c>
      <c r="B5" s="3" t="inlineStr">
        <is>
          <t>RFT-I2609377</t>
        </is>
      </c>
      <c r="C5" s="3" t="inlineStr">
        <is>
          <t>STT 41 (dòng 52)</t>
        </is>
      </c>
      <c r="D5" s="3" t="inlineStr">
        <is>
          <t>Excel: ngày 16/9. Freightek: ETD 9/9, ETA 10/9. Ngoài ra cột BKS (cả Excel và Freightek) ghi 29E75450 nhưng thông tin xe lại là "biển vàng 30M-896.82, Lưu Quyết Thắng". 29E75450 là xe của đơn RFT-I2609735 (STT 38) cùng ngày 16/9.</t>
        </is>
      </c>
      <c r="E5" s="3" t="inlineStr">
        <is>
          <t>Xác định ngày chạy và xe thật, sửa cho thống nhất ở cả hai nơi.</t>
        </is>
      </c>
    </row>
    <row r="6">
      <c r="A6" s="3" t="inlineStr">
        <is>
          <t>Lệch ngày</t>
        </is>
      </c>
      <c r="B6" s="3" t="inlineStr">
        <is>
          <t>RLT-E2609652</t>
        </is>
      </c>
      <c r="C6" s="3" t="inlineStr">
        <is>
          <t>STT 53 (dòng 71)</t>
        </is>
      </c>
      <c r="D6" s="3" t="inlineStr">
        <is>
          <t>Excel: lấy 24/9, giao 28/9. Freightek: ETD 28/9, ETA 29/9.</t>
        </is>
      </c>
      <c r="E6" s="3" t="inlineStr">
        <is>
          <t>Thống nhất ngày lấy/giao.</t>
        </is>
      </c>
    </row>
    <row r="7">
      <c r="A7" s="3" t="inlineStr">
        <is>
          <t>Cần sửa trên Freightek</t>
        </is>
      </c>
      <c r="B7" s="3" t="inlineStr">
        <is>
          <t>RFC-E2609742</t>
        </is>
      </c>
      <c r="C7" s="3" t="inlineStr">
        <is>
          <t>STT 64 (dòng 83)</t>
        </is>
      </c>
      <c r="D7" s="3" t="inlineStr">
        <is>
          <t>ETA trên Freightek là 28/10/2026, Excel giao 28/9/2026.</t>
        </is>
      </c>
      <c r="E7" s="3" t="inlineStr">
        <is>
          <t>Nhiều khả năng gõ nhầm tháng → sửa ETA thành 28/09/2026.</t>
        </is>
      </c>
    </row>
    <row r="8">
      <c r="A8" s="3" t="inlineStr">
        <is>
          <t>Cần cập nhật trạng thái</t>
        </is>
      </c>
      <c r="B8" s="3" t="inlineStr">
        <is>
          <t>RFT-I2609725, RFT-I2609736, RFC-I2609649, RFC-D2609638</t>
        </is>
      </c>
      <c r="C8" s="3" t="inlineStr">
        <is>
          <t>STT 24, 42, 52, 57</t>
        </is>
      </c>
      <c r="D8" s="3" t="inlineStr">
        <is>
          <t>Chuyến đã chạy trong tháng 9 nhưng trên Freightek vẫn "Chờ xác nhận" / Pending.</t>
        </is>
      </c>
      <c r="E8" s="3" t="inlineStr">
        <is>
          <t>Xác nhận đơn trên Freightek.</t>
        </is>
      </c>
    </row>
    <row r="9">
      <c r="A9" s="3" t="inlineStr">
        <is>
          <t>Ghi chú</t>
        </is>
      </c>
      <c r="B9" s="3" t="inlineStr">
        <is>
          <t>RFT-I2609282, RFT-I2609735</t>
        </is>
      </c>
      <c r="C9" s="3" t="inlineStr">
        <is>
          <t>STT 32, 38</t>
        </is>
      </c>
      <c r="D9" s="3" t="inlineStr">
        <is>
          <t>Ô "Mã đơn web" chứa 2 mã: "FTG2609157 / RFT-I2609282" và "FTG2609166 / RFT-I2609735". Mã RFT khớp Freightek.</t>
        </is>
      </c>
      <c r="E9" s="3" t="inlineStr">
        <is>
          <t>Nên để riêng mã FTG ra cột khác để lọc theo ID không bị lỗi.</t>
        </is>
      </c>
    </row>
    <row r="10">
      <c r="A10" s="3" t="inlineStr">
        <is>
          <t>Ghi chú</t>
        </is>
      </c>
      <c r="B10" s="3" t="inlineStr">
        <is>
          <t>RFT-I2609153</t>
        </is>
      </c>
      <c r="C10" s="3" t="inlineStr">
        <is>
          <t>STT 44 (dòng 62)</t>
        </is>
      </c>
      <c r="D10" s="3" t="inlineStr">
        <is>
          <t>Dòng chi phí lưu ca + vé bãi 650.000; cột BKS trong Excel để trống (thông tin xe là 12H04341, khớp Freightek).</t>
        </is>
      </c>
      <c r="E10" s="3" t="inlineStr">
        <is>
          <t>Điền 12H04341 vào cột BKS.</t>
        </is>
      </c>
    </row>
    <row r="11">
      <c r="A11" s="3" t="inlineStr">
        <is>
          <t>Không cần xử lý</t>
        </is>
      </c>
      <c r="B11" s="3" t="inlineStr">
        <is>
          <t>—</t>
        </is>
      </c>
      <c r="C11" s="3" t="inlineStr">
        <is>
          <t>15 dòng không có STT</t>
        </is>
      </c>
      <c r="D11" s="3" t="inlineStr">
        <is>
          <t>Các dòng không STT (dòng 13, 20, 29, 31, 36, 38, 49, 55–61, 74) là các lô hàng IFTZ-ZBL ghép chung xe với chuyến ngay phía trên, chỉ có cước thu KH.</t>
        </is>
      </c>
      <c r="E11" s="3" t="inlineStr">
        <is>
          <t>Thuộc đơn của dòng có STT ngay phía trên, không cần ID riêng.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11" customWidth="1" min="3" max="3"/>
    <col width="11" customWidth="1" min="4" max="4"/>
    <col width="10" customWidth="1" min="5" max="5"/>
    <col width="16" customWidth="1" min="6" max="6"/>
    <col width="13" customWidth="1" min="7" max="7"/>
    <col width="40" customWidth="1" min="8" max="8"/>
    <col width="15" customWidth="1" min="9" max="9"/>
    <col width="18" customWidth="1" min="10" max="10"/>
    <col width="12" customWidth="1" min="11" max="11"/>
    <col width="11" customWidth="1" min="12" max="12"/>
    <col width="11" customWidth="1" min="13" max="13"/>
    <col width="26" customWidth="1" min="14" max="14"/>
    <col width="32" customWidth="1" min="15" max="15"/>
  </cols>
  <sheetData>
    <row r="1">
      <c r="A1" s="2" t="inlineStr">
        <is>
          <t>Dòng Excel</t>
        </is>
      </c>
      <c r="B1" s="2" t="inlineStr">
        <is>
          <t>STT</t>
        </is>
      </c>
      <c r="C1" s="2" t="inlineStr">
        <is>
          <t>Ngày lấy</t>
        </is>
      </c>
      <c r="D1" s="2" t="inlineStr">
        <is>
          <t>Ngày giao</t>
        </is>
      </c>
      <c r="E1" s="2" t="inlineStr">
        <is>
          <t>KH (Excel)</t>
        </is>
      </c>
      <c r="F1" s="2" t="inlineStr">
        <is>
          <t>NCC</t>
        </is>
      </c>
      <c r="G1" s="2" t="inlineStr">
        <is>
          <t>BKS (Excel)</t>
        </is>
      </c>
      <c r="H1" s="2" t="inlineStr">
        <is>
          <t>Tuyến (Excel)</t>
        </is>
      </c>
      <c r="I1" s="2" t="inlineStr">
        <is>
          <t>ID</t>
        </is>
      </c>
      <c r="J1" s="2" t="inlineStr">
        <is>
          <t>KH (Freightek)</t>
        </is>
      </c>
      <c r="K1" s="2" t="inlineStr">
        <is>
          <t>BKS (Freightek)</t>
        </is>
      </c>
      <c r="L1" s="2" t="inlineStr">
        <is>
          <t>ETD</t>
        </is>
      </c>
      <c r="M1" s="2" t="inlineStr">
        <is>
          <t>ETA</t>
        </is>
      </c>
      <c r="N1" s="2" t="inlineStr">
        <is>
          <t>Trạng thái Freightek</t>
        </is>
      </c>
      <c r="O1" s="2" t="inlineStr">
        <is>
          <t>Kết quả</t>
        </is>
      </c>
    </row>
    <row r="2">
      <c r="A2" s="3" t="n">
        <v>5</v>
      </c>
      <c r="B2" s="3" t="n">
        <v>1</v>
      </c>
      <c r="C2" s="11" t="n">
        <v>46268</v>
      </c>
      <c r="D2" s="11" t="n">
        <v>46269</v>
      </c>
      <c r="E2" s="3" t="inlineStr">
        <is>
          <t>TM</t>
        </is>
      </c>
      <c r="F2" s="3" t="inlineStr">
        <is>
          <t>FTG</t>
        </is>
      </c>
      <c r="G2" s="3" t="inlineStr">
        <is>
          <t>29E 37464</t>
        </is>
      </c>
      <c r="H2" s="3" t="inlineStr">
        <is>
          <t>Cửa khẩu Hữu Nghị, Tỉnh Lạng Sơn → Phường Nếnh, Tỉnh Bắc Ninh</t>
        </is>
      </c>
      <c r="I2" s="3" t="inlineStr">
        <is>
          <t>RFC-E2609007</t>
        </is>
      </c>
      <c r="J2" s="3" t="inlineStr">
        <is>
          <t>Tongmao</t>
        </is>
      </c>
      <c r="K2" s="3" t="inlineStr">
        <is>
          <t>29E 37464</t>
        </is>
      </c>
      <c r="L2" s="11" t="n">
        <v>46268</v>
      </c>
      <c r="M2" s="11" t="n">
        <v>46269</v>
      </c>
      <c r="N2" s="3" t="inlineStr">
        <is>
          <t>Đã có tờ khai / Active</t>
        </is>
      </c>
      <c r="O2" s="3" t="inlineStr">
        <is>
          <t>Khớp</t>
        </is>
      </c>
    </row>
    <row r="3">
      <c r="A3" s="3" t="n">
        <v>6</v>
      </c>
      <c r="B3" s="3" t="n">
        <v>2</v>
      </c>
      <c r="C3" s="11" t="n">
        <v>46268</v>
      </c>
      <c r="D3" s="11" t="n">
        <v>46269</v>
      </c>
      <c r="E3" s="3" t="inlineStr">
        <is>
          <t>TM</t>
        </is>
      </c>
      <c r="F3" s="3" t="inlineStr">
        <is>
          <t>Thắng Thao T&amp;T</t>
        </is>
      </c>
      <c r="G3" s="3" t="inlineStr">
        <is>
          <t>12H 02581</t>
        </is>
      </c>
      <c r="H3" s="3" t="inlineStr">
        <is>
          <t>Cửa khẩu Hữu Nghị, Tỉnh Lạng Sơn → Phường Nếnh, Tỉnh Bắc Ninh</t>
        </is>
      </c>
      <c r="I3" s="3" t="inlineStr">
        <is>
          <t>RFC-E2609016</t>
        </is>
      </c>
      <c r="J3" s="3" t="inlineStr">
        <is>
          <t>Tongmao</t>
        </is>
      </c>
      <c r="K3" s="3" t="inlineStr">
        <is>
          <t>12H 02581</t>
        </is>
      </c>
      <c r="L3" s="11" t="n">
        <v>46268</v>
      </c>
      <c r="M3" s="11" t="n">
        <v>46269</v>
      </c>
      <c r="N3" s="3" t="inlineStr">
        <is>
          <t>Xử lí Thủ tục / Active</t>
        </is>
      </c>
      <c r="O3" s="3" t="inlineStr">
        <is>
          <t>Khớp</t>
        </is>
      </c>
    </row>
    <row r="4">
      <c r="A4" s="3" t="n">
        <v>7</v>
      </c>
      <c r="B4" s="3" t="n">
        <v>3</v>
      </c>
      <c r="C4" s="11" t="n">
        <v>46268</v>
      </c>
      <c r="D4" s="11" t="n">
        <v>46270</v>
      </c>
      <c r="E4" s="3" t="inlineStr">
        <is>
          <t>TM</t>
        </is>
      </c>
      <c r="F4" s="3" t="inlineStr">
        <is>
          <t>Thắng Thao T&amp;T</t>
        </is>
      </c>
      <c r="G4" s="3" t="inlineStr">
        <is>
          <t>12H 04097</t>
        </is>
      </c>
      <c r="H4" s="3" t="inlineStr">
        <is>
          <t>Cửa khẩu Hữu Nghị, Tỉnh Lạng Sơn → Xã Thần Lĩnh, Tỉnh Nghệ An</t>
        </is>
      </c>
      <c r="I4" s="3" t="inlineStr">
        <is>
          <t>RFT-E2609029</t>
        </is>
      </c>
      <c r="J4" s="3" t="inlineStr">
        <is>
          <t>Tongmao</t>
        </is>
      </c>
      <c r="K4" s="3" t="inlineStr">
        <is>
          <t>FB2270</t>
        </is>
      </c>
      <c r="L4" s="11" t="n">
        <v>46268</v>
      </c>
      <c r="M4" s="11" t="n">
        <v>46270</v>
      </c>
      <c r="N4" s="3" t="inlineStr">
        <is>
          <t>Xe đến điểm giao hàng / Active</t>
        </is>
      </c>
      <c r="O4" s="3" t="inlineStr">
        <is>
          <t>Khớp</t>
        </is>
      </c>
    </row>
    <row r="5">
      <c r="A5" s="3" t="n">
        <v>8</v>
      </c>
      <c r="B5" s="3" t="n">
        <v>4</v>
      </c>
      <c r="C5" s="11" t="n">
        <v>46269</v>
      </c>
      <c r="D5" s="11" t="n">
        <v>46270</v>
      </c>
      <c r="E5" s="3" t="inlineStr">
        <is>
          <t>TM</t>
        </is>
      </c>
      <c r="F5" s="3" t="inlineStr">
        <is>
          <t>FTG</t>
        </is>
      </c>
      <c r="G5" s="3" t="inlineStr">
        <is>
          <t>29E 37464</t>
        </is>
      </c>
      <c r="H5" s="3" t="inlineStr">
        <is>
          <t>Cửa khẩu Hữu Nghị, Tỉnh Lạng Sơn → KCN Tiên Sơn, Tỉnh Bắc Ninh và Phường Đào Viên, Tỉnh Bắc Ninh</t>
        </is>
      </c>
      <c r="I5" s="3" t="inlineStr">
        <is>
          <t>RFC-E2609076</t>
        </is>
      </c>
      <c r="J5" s="3" t="inlineStr">
        <is>
          <t>Tongmao</t>
        </is>
      </c>
      <c r="K5" s="3" t="inlineStr">
        <is>
          <t>29E37464</t>
        </is>
      </c>
      <c r="L5" s="11" t="n">
        <v>46269</v>
      </c>
      <c r="M5" s="11" t="n">
        <v>46270</v>
      </c>
      <c r="N5" s="3" t="inlineStr">
        <is>
          <t>Xử lí Thủ tục / Active</t>
        </is>
      </c>
      <c r="O5" s="3" t="inlineStr">
        <is>
          <t>Khớp</t>
        </is>
      </c>
    </row>
    <row r="6">
      <c r="A6" s="3" t="n">
        <v>9</v>
      </c>
      <c r="B6" s="3" t="n">
        <v>5</v>
      </c>
      <c r="C6" s="11" t="n">
        <v>46270</v>
      </c>
      <c r="D6" s="11" t="n">
        <v>46270</v>
      </c>
      <c r="E6" s="3" t="inlineStr">
        <is>
          <t>TM</t>
        </is>
      </c>
      <c r="F6" s="3" t="inlineStr">
        <is>
          <t>FTG</t>
        </is>
      </c>
      <c r="G6" s="3" t="inlineStr">
        <is>
          <t>29E81402</t>
        </is>
      </c>
      <c r="H6" s="3" t="inlineStr">
        <is>
          <t>KCN Tiên Sơn, Tỉnh Bắc Ninh → KCN Sông Công, Tỉnh Thái Nguyên</t>
        </is>
      </c>
      <c r="I6" s="3" t="inlineStr">
        <is>
          <t>RFT-E2609080</t>
        </is>
      </c>
      <c r="J6" s="3" t="inlineStr">
        <is>
          <t>Tongmao</t>
        </is>
      </c>
      <c r="K6" s="3" t="inlineStr">
        <is>
          <t>29E 81402</t>
        </is>
      </c>
      <c r="L6" s="11" t="n">
        <v>46270</v>
      </c>
      <c r="M6" s="11" t="n">
        <v>46270</v>
      </c>
      <c r="N6" s="3" t="inlineStr">
        <is>
          <t>Xử lí Thủ tục / Active</t>
        </is>
      </c>
      <c r="O6" s="3" t="inlineStr">
        <is>
          <t>Khớp</t>
        </is>
      </c>
    </row>
    <row r="7">
      <c r="A7" s="3" t="n">
        <v>10</v>
      </c>
      <c r="B7" s="3" t="n">
        <v>6</v>
      </c>
      <c r="C7" s="11" t="n">
        <v>46270</v>
      </c>
      <c r="D7" s="11" t="n">
        <v>46272</v>
      </c>
      <c r="E7" s="3" t="inlineStr">
        <is>
          <t>TM</t>
        </is>
      </c>
      <c r="F7" s="3" t="inlineStr">
        <is>
          <t>FTG</t>
        </is>
      </c>
      <c r="G7" s="3" t="inlineStr">
        <is>
          <t>29E 37537</t>
        </is>
      </c>
      <c r="H7" s="3" t="inlineStr">
        <is>
          <t>Cửa khẩu Hữu Nghị, Tỉnh Lạng Sơn → KCN Tiên Sơn, Tỉnh Bắc Ninh và Phường Lê Hồ, Tỉnh Ninh Bình</t>
        </is>
      </c>
      <c r="I7" s="3" t="inlineStr">
        <is>
          <t>RFC-E2609082</t>
        </is>
      </c>
      <c r="J7" s="3" t="inlineStr">
        <is>
          <t>Tongmao</t>
        </is>
      </c>
      <c r="K7" s="3" t="inlineStr">
        <is>
          <t>29E 37537</t>
        </is>
      </c>
      <c r="L7" s="11" t="n">
        <v>46270</v>
      </c>
      <c r="M7" s="11" t="n">
        <v>46272</v>
      </c>
      <c r="N7" s="3" t="inlineStr">
        <is>
          <t>Xử lí Thủ tục / Active</t>
        </is>
      </c>
      <c r="O7" s="3" t="inlineStr">
        <is>
          <t>Khớp</t>
        </is>
      </c>
    </row>
    <row r="8">
      <c r="A8" s="3" t="n">
        <v>11</v>
      </c>
      <c r="B8" s="3" t="n">
        <v>7</v>
      </c>
      <c r="C8" s="11" t="n">
        <v>46272</v>
      </c>
      <c r="D8" s="11" t="n">
        <v>46273</v>
      </c>
      <c r="E8" s="3" t="inlineStr">
        <is>
          <t>TM</t>
        </is>
      </c>
      <c r="F8" s="3" t="inlineStr">
        <is>
          <t>Lái ngoài</t>
        </is>
      </c>
      <c r="G8" s="3" t="inlineStr">
        <is>
          <t>15H20060</t>
        </is>
      </c>
      <c r="H8" s="3" t="inlineStr">
        <is>
          <t>KCN Tiên Sơn, Tỉnh Bắc Ninh → Phường Hòa Bình, TP Hải Phòng</t>
        </is>
      </c>
      <c r="I8" s="3" t="inlineStr">
        <is>
          <t>RFT-I2609162</t>
        </is>
      </c>
      <c r="J8" s="3" t="inlineStr">
        <is>
          <t>Tongmao</t>
        </is>
      </c>
      <c r="K8" s="3" t="inlineStr">
        <is>
          <t>15H20060</t>
        </is>
      </c>
      <c r="L8" s="11" t="n">
        <v>46272</v>
      </c>
      <c r="M8" s="11" t="n">
        <v>46273</v>
      </c>
      <c r="N8" s="3" t="inlineStr">
        <is>
          <t>Đã thanh toán NCC / Active</t>
        </is>
      </c>
      <c r="O8" s="3" t="inlineStr">
        <is>
          <t>Khớp</t>
        </is>
      </c>
    </row>
    <row r="9">
      <c r="A9" s="3" t="n">
        <v>12</v>
      </c>
      <c r="B9" s="3" t="n">
        <v>8</v>
      </c>
      <c r="C9" s="11" t="n">
        <v>46272</v>
      </c>
      <c r="D9" s="11" t="n">
        <v>46272</v>
      </c>
      <c r="E9" s="3" t="inlineStr">
        <is>
          <t>TM</t>
        </is>
      </c>
      <c r="F9" s="3" t="inlineStr">
        <is>
          <t>FTG</t>
        </is>
      </c>
      <c r="G9" s="3" t="inlineStr">
        <is>
          <t>29E76257</t>
        </is>
      </c>
      <c r="H9" s="3" t="inlineStr">
        <is>
          <t>KCN Tiên Sơn, Tỉnh Bắc Ninh → Phường Lê Hồ, Tỉnh Ninh Bình</t>
        </is>
      </c>
      <c r="I9" s="3" t="inlineStr">
        <is>
          <t>RFT-I2609138</t>
        </is>
      </c>
      <c r="J9" s="3" t="inlineStr">
        <is>
          <t>Tongmao</t>
        </is>
      </c>
      <c r="K9" s="3" t="inlineStr">
        <is>
          <t>29E76257</t>
        </is>
      </c>
      <c r="L9" s="11" t="n">
        <v>46272</v>
      </c>
      <c r="M9" s="11" t="n">
        <v>46272</v>
      </c>
      <c r="N9" s="3" t="inlineStr">
        <is>
          <t>Xử lí Thủ tục / Active</t>
        </is>
      </c>
      <c r="O9" s="3" t="inlineStr">
        <is>
          <t>Khớp</t>
        </is>
      </c>
    </row>
    <row r="10">
      <c r="A10" s="3" t="n">
        <v>14</v>
      </c>
      <c r="B10" s="3" t="n">
        <v>9</v>
      </c>
      <c r="C10" s="11" t="n">
        <v>46272</v>
      </c>
      <c r="D10" s="11" t="n">
        <v>46272</v>
      </c>
      <c r="E10" s="3" t="inlineStr">
        <is>
          <t>TM</t>
        </is>
      </c>
      <c r="F10" s="3" t="inlineStr">
        <is>
          <t>Full truck go</t>
        </is>
      </c>
      <c r="G10" s="3" t="inlineStr">
        <is>
          <t>15H35248</t>
        </is>
      </c>
      <c r="H10" s="3" t="inlineStr">
        <is>
          <t>KCN Tiên Sơn, Tỉnh Bắc Ninh → Phường Đông Hải, TP Hải Phòng</t>
        </is>
      </c>
      <c r="I10" s="3" t="inlineStr">
        <is>
          <t>RFT-I2609141</t>
        </is>
      </c>
      <c r="J10" s="3" t="inlineStr">
        <is>
          <t>Tongmao</t>
        </is>
      </c>
      <c r="K10" s="3" t="inlineStr">
        <is>
          <t>15H35248</t>
        </is>
      </c>
      <c r="L10" s="11" t="n">
        <v>46272</v>
      </c>
      <c r="M10" s="11" t="n">
        <v>46272</v>
      </c>
      <c r="N10" s="3" t="inlineStr">
        <is>
          <t>Đã thanh toán NCC / Active</t>
        </is>
      </c>
      <c r="O10" s="3" t="inlineStr">
        <is>
          <t>Khớp</t>
        </is>
      </c>
    </row>
    <row r="11">
      <c r="A11" s="3" t="n">
        <v>15</v>
      </c>
      <c r="B11" s="3" t="n">
        <v>10</v>
      </c>
      <c r="C11" s="11" t="n">
        <v>46270</v>
      </c>
      <c r="D11" s="11" t="n">
        <v>46270</v>
      </c>
      <c r="E11" s="3" t="inlineStr">
        <is>
          <t>TM</t>
        </is>
      </c>
      <c r="F11" s="3" t="inlineStr">
        <is>
          <t>FTG</t>
        </is>
      </c>
      <c r="G11" s="3" t="inlineStr">
        <is>
          <t>29E 76217</t>
        </is>
      </c>
      <c r="H11" s="3" t="inlineStr">
        <is>
          <t>KCN Tiên Sơn, Tỉnh Bắc Ninh → Phường Nam Sơn, Tỉnh Bắc Ninh</t>
        </is>
      </c>
      <c r="I11" s="3" t="inlineStr">
        <is>
          <t>RFT-I2609104</t>
        </is>
      </c>
      <c r="J11" s="3" t="inlineStr">
        <is>
          <t>Tongmao</t>
        </is>
      </c>
      <c r="K11" s="3" t="inlineStr">
        <is>
          <t>29E76217</t>
        </is>
      </c>
      <c r="L11" s="11" t="n">
        <v>46270</v>
      </c>
      <c r="M11" s="11" t="n">
        <v>46270</v>
      </c>
      <c r="N11" s="3" t="inlineStr">
        <is>
          <t>Xử lí Thủ tục / Active</t>
        </is>
      </c>
      <c r="O11" s="3" t="inlineStr">
        <is>
          <t>Khớp</t>
        </is>
      </c>
    </row>
    <row r="12">
      <c r="A12" s="3" t="n">
        <v>16</v>
      </c>
      <c r="B12" s="3" t="n">
        <v>11</v>
      </c>
      <c r="C12" s="11" t="n">
        <v>46270</v>
      </c>
      <c r="D12" s="11" t="n">
        <v>46271</v>
      </c>
      <c r="E12" s="3" t="inlineStr">
        <is>
          <t>TM</t>
        </is>
      </c>
      <c r="F12" s="3" t="inlineStr">
        <is>
          <t>Thắng Thao T&amp;T</t>
        </is>
      </c>
      <c r="G12" s="3" t="inlineStr">
        <is>
          <t>12H 04065</t>
        </is>
      </c>
      <c r="H12" s="3" t="inlineStr">
        <is>
          <t>Cửa khẩu Hữu Nghị, Tỉnh Lạng Sơn → KCN Tiên Sơn, Tỉnh Bắc Ninh và Huyện Cẩm Giàng, TP Hải Phòng</t>
        </is>
      </c>
      <c r="I12" s="3" t="inlineStr">
        <is>
          <t>RFC-I2609103</t>
        </is>
      </c>
      <c r="J12" s="3" t="inlineStr">
        <is>
          <t>Tongmao</t>
        </is>
      </c>
      <c r="K12" s="3" t="inlineStr">
        <is>
          <t>12H 04065</t>
        </is>
      </c>
      <c r="L12" s="11" t="n">
        <v>46270</v>
      </c>
      <c r="M12" s="11" t="n">
        <v>46271</v>
      </c>
      <c r="N12" s="3" t="inlineStr">
        <is>
          <t>Xử lí Thủ tục / Active</t>
        </is>
      </c>
      <c r="O12" s="3" t="inlineStr">
        <is>
          <t>Khớp</t>
        </is>
      </c>
    </row>
    <row r="13">
      <c r="A13" s="3" t="n">
        <v>17</v>
      </c>
      <c r="B13" s="3" t="n">
        <v>12</v>
      </c>
      <c r="C13" s="11" t="n">
        <v>46270</v>
      </c>
      <c r="D13" s="11" t="n">
        <v>46271</v>
      </c>
      <c r="E13" s="3" t="inlineStr">
        <is>
          <t>TM</t>
        </is>
      </c>
      <c r="F13" s="3" t="inlineStr">
        <is>
          <t>FTG</t>
        </is>
      </c>
      <c r="G13" s="3" t="inlineStr">
        <is>
          <t>29E81402</t>
        </is>
      </c>
      <c r="H13" s="3" t="inlineStr">
        <is>
          <t>Cửa khẩu Hữu Nghị, Tỉnh Lạng Sơn → Huyện Bình Xuyên, Tỉnh Phú Thọ</t>
        </is>
      </c>
      <c r="I13" s="3" t="inlineStr">
        <is>
          <t>RFT-I2609142</t>
        </is>
      </c>
      <c r="J13" s="3" t="inlineStr">
        <is>
          <t>Tongmao</t>
        </is>
      </c>
      <c r="K13" s="3" t="inlineStr">
        <is>
          <t>FB8351</t>
        </is>
      </c>
      <c r="L13" s="11" t="n">
        <v>46270</v>
      </c>
      <c r="M13" s="11" t="n">
        <v>46271</v>
      </c>
      <c r="N13" s="3" t="inlineStr">
        <is>
          <t>Xử lí Thủ tục / Active</t>
        </is>
      </c>
      <c r="O13" s="3" t="inlineStr">
        <is>
          <t>Khớp</t>
        </is>
      </c>
    </row>
    <row r="14">
      <c r="A14" s="3" t="n">
        <v>18</v>
      </c>
      <c r="B14" s="3" t="n">
        <v>13</v>
      </c>
      <c r="C14" s="11" t="n">
        <v>46272</v>
      </c>
      <c r="D14" s="11" t="n">
        <v>46272</v>
      </c>
      <c r="E14" s="3" t="inlineStr">
        <is>
          <t>TM</t>
        </is>
      </c>
      <c r="F14" s="3" t="inlineStr">
        <is>
          <t>FTG</t>
        </is>
      </c>
      <c r="G14" s="3" t="inlineStr">
        <is>
          <t>29E76260</t>
        </is>
      </c>
      <c r="H14" s="3" t="inlineStr">
        <is>
          <t>KCN Tiên Sơn, Tỉnh Bắc Ninh → Phường Từ Sơn, Tỉnh Bắc Ninh</t>
        </is>
      </c>
      <c r="I14" s="3" t="inlineStr">
        <is>
          <t>RFT-I2609146</t>
        </is>
      </c>
      <c r="J14" s="3" t="inlineStr">
        <is>
          <t>Tongmao</t>
        </is>
      </c>
      <c r="K14" s="3" t="inlineStr">
        <is>
          <t>29E76260</t>
        </is>
      </c>
      <c r="L14" s="11" t="n">
        <v>46272</v>
      </c>
      <c r="M14" s="11" t="n">
        <v>46272</v>
      </c>
      <c r="N14" s="3" t="inlineStr">
        <is>
          <t>Xử lí Thủ tục / Active</t>
        </is>
      </c>
      <c r="O14" s="3" t="inlineStr">
        <is>
          <t>Khớp</t>
        </is>
      </c>
    </row>
    <row r="15">
      <c r="A15" s="3" t="n">
        <v>19</v>
      </c>
      <c r="B15" s="3" t="n">
        <v>14</v>
      </c>
      <c r="C15" s="11" t="n">
        <v>46272</v>
      </c>
      <c r="D15" s="11" t="n">
        <v>46273</v>
      </c>
      <c r="E15" s="3" t="inlineStr">
        <is>
          <t>TM</t>
        </is>
      </c>
      <c r="F15" s="3" t="inlineStr">
        <is>
          <t>FTG</t>
        </is>
      </c>
      <c r="G15" s="3" t="inlineStr">
        <is>
          <t>29E37459</t>
        </is>
      </c>
      <c r="H15" s="3" t="inlineStr">
        <is>
          <t>Cửa khẩu Hữu Nghị, Tỉnh Lạng Sơn → KCN Tiên Sơn, Tỉnh Bắc Ninh và Phường Đồng Văn, Tỉnh Ninh Bình</t>
        </is>
      </c>
      <c r="I15" s="3" t="inlineStr">
        <is>
          <t>RFC-I2609145</t>
        </is>
      </c>
      <c r="J15" s="3" t="inlineStr">
        <is>
          <t>Tongmao</t>
        </is>
      </c>
      <c r="K15" s="3" t="inlineStr">
        <is>
          <t>29E37459</t>
        </is>
      </c>
      <c r="L15" s="11" t="n">
        <v>46272</v>
      </c>
      <c r="M15" s="11" t="n">
        <v>46273</v>
      </c>
      <c r="N15" s="3" t="inlineStr">
        <is>
          <t>Xử lí Thủ tục / Active</t>
        </is>
      </c>
      <c r="O15" s="3" t="inlineStr">
        <is>
          <t>Khớp</t>
        </is>
      </c>
    </row>
    <row r="16">
      <c r="A16" s="3" t="n">
        <v>21</v>
      </c>
      <c r="B16" s="3" t="n">
        <v>15</v>
      </c>
      <c r="C16" s="11" t="n">
        <v>46272</v>
      </c>
      <c r="D16" s="11" t="n">
        <v>46272</v>
      </c>
      <c r="E16" s="3" t="inlineStr">
        <is>
          <t>TM</t>
        </is>
      </c>
      <c r="F16" s="3" t="inlineStr">
        <is>
          <t>FTG</t>
        </is>
      </c>
      <c r="G16" s="3" t="inlineStr">
        <is>
          <t>29E81402</t>
        </is>
      </c>
      <c r="H16" s="3" t="inlineStr">
        <is>
          <t>KCN Tiên Sơn, Tỉnh Bắc Ninh → Phường Nếnh, Tỉnh Bắc Ninh</t>
        </is>
      </c>
      <c r="I16" s="3" t="inlineStr">
        <is>
          <t>RFT-I2609148</t>
        </is>
      </c>
      <c r="J16" s="3" t="inlineStr">
        <is>
          <t>Tongmao</t>
        </is>
      </c>
      <c r="K16" s="3" t="inlineStr">
        <is>
          <t>29E 81402</t>
        </is>
      </c>
      <c r="L16" s="11" t="n">
        <v>46272</v>
      </c>
      <c r="M16" s="11" t="n">
        <v>46272</v>
      </c>
      <c r="N16" s="3" t="inlineStr">
        <is>
          <t>Xử lí Thủ tục / Active</t>
        </is>
      </c>
      <c r="O16" s="3" t="inlineStr">
        <is>
          <t>Khớp</t>
        </is>
      </c>
    </row>
    <row r="17">
      <c r="A17" s="3" t="n">
        <v>22</v>
      </c>
      <c r="B17" s="3" t="n">
        <v>16</v>
      </c>
      <c r="C17" s="11" t="n">
        <v>46272</v>
      </c>
      <c r="D17" s="11" t="n">
        <v>46272</v>
      </c>
      <c r="E17" s="3" t="inlineStr">
        <is>
          <t>TM</t>
        </is>
      </c>
      <c r="F17" s="3" t="inlineStr">
        <is>
          <t>FTG</t>
        </is>
      </c>
      <c r="G17" s="3" t="inlineStr">
        <is>
          <t>29E81459</t>
        </is>
      </c>
      <c r="H17" s="3" t="inlineStr">
        <is>
          <t>KCN Tiên Sơn, Tỉnh Bắc Ninh → Xã Bình Tuyền, Tỉnh Phú Thọ</t>
        </is>
      </c>
      <c r="I17" s="3" t="inlineStr">
        <is>
          <t>RFT-I2609149</t>
        </is>
      </c>
      <c r="J17" s="3" t="inlineStr">
        <is>
          <t>Tongmao</t>
        </is>
      </c>
      <c r="K17" s="3" t="inlineStr">
        <is>
          <t>29E81459</t>
        </is>
      </c>
      <c r="L17" s="11" t="n">
        <v>46272</v>
      </c>
      <c r="M17" s="11" t="n">
        <v>46272</v>
      </c>
      <c r="N17" s="3" t="inlineStr">
        <is>
          <t>Xử lí Thủ tục / Active</t>
        </is>
      </c>
      <c r="O17" s="3" t="inlineStr">
        <is>
          <t>Khớp</t>
        </is>
      </c>
    </row>
    <row r="18">
      <c r="A18" s="3" t="n">
        <v>23</v>
      </c>
      <c r="B18" s="3" t="n">
        <v>17</v>
      </c>
      <c r="C18" s="11" t="n">
        <v>46272</v>
      </c>
      <c r="D18" s="11" t="n">
        <v>46272</v>
      </c>
      <c r="E18" s="3" t="inlineStr">
        <is>
          <t>TM</t>
        </is>
      </c>
      <c r="F18" s="3" t="inlineStr">
        <is>
          <t>FTG</t>
        </is>
      </c>
      <c r="G18" s="3" t="inlineStr">
        <is>
          <t>29E 76217</t>
        </is>
      </c>
      <c r="H18" s="3" t="inlineStr">
        <is>
          <t>KCN Tiên Sơn, Tỉnh Bắc Ninh → Xã Hiển Khánh, Tỉnh Ninh Bình</t>
        </is>
      </c>
      <c r="I18" s="3" t="inlineStr">
        <is>
          <t>RFT-I2609147</t>
        </is>
      </c>
      <c r="J18" s="3" t="inlineStr">
        <is>
          <t>Tongmao</t>
        </is>
      </c>
      <c r="K18" s="3" t="inlineStr">
        <is>
          <t>29E76217</t>
        </is>
      </c>
      <c r="L18" s="11" t="n">
        <v>46272</v>
      </c>
      <c r="M18" s="11" t="n">
        <v>46272</v>
      </c>
      <c r="N18" s="3" t="inlineStr">
        <is>
          <t>Xử lí Thủ tục / Active</t>
        </is>
      </c>
      <c r="O18" s="3" t="inlineStr">
        <is>
          <t>Khớp</t>
        </is>
      </c>
    </row>
    <row r="19">
      <c r="A19" s="3" t="n">
        <v>24</v>
      </c>
      <c r="B19" s="3" t="n">
        <v>18</v>
      </c>
      <c r="C19" s="11" t="n">
        <v>46272</v>
      </c>
      <c r="D19" s="11" t="n">
        <v>46273</v>
      </c>
      <c r="E19" s="3" t="inlineStr">
        <is>
          <t>TM</t>
        </is>
      </c>
      <c r="F19" s="3" t="inlineStr">
        <is>
          <t>FTG</t>
        </is>
      </c>
      <c r="G19" s="3" t="inlineStr">
        <is>
          <t>29E76257</t>
        </is>
      </c>
      <c r="H19" s="3" t="inlineStr">
        <is>
          <t>Cửa khẩu Hữu Nghị, Tỉnh Lạng Sơn → KCN Tiên Sơn, Tỉnh Bắc Ninh</t>
        </is>
      </c>
      <c r="I19" s="3" t="inlineStr">
        <is>
          <t>RFT-I2609163</t>
        </is>
      </c>
      <c r="J19" s="3" t="inlineStr">
        <is>
          <t>Tongmao</t>
        </is>
      </c>
      <c r="K19" s="3" t="inlineStr">
        <is>
          <t>29E76257</t>
        </is>
      </c>
      <c r="L19" s="11" t="n">
        <v>46272</v>
      </c>
      <c r="M19" s="11" t="n">
        <v>46273</v>
      </c>
      <c r="N19" s="3" t="inlineStr">
        <is>
          <t>Xử lí Thủ tục / Active</t>
        </is>
      </c>
      <c r="O19" s="3" t="inlineStr">
        <is>
          <t>Khớp</t>
        </is>
      </c>
    </row>
    <row r="20">
      <c r="A20" s="3" t="n">
        <v>25</v>
      </c>
      <c r="B20" s="3" t="n">
        <v>19</v>
      </c>
      <c r="C20" s="11" t="n">
        <v>46273</v>
      </c>
      <c r="D20" s="11" t="n">
        <v>46273</v>
      </c>
      <c r="E20" s="3" t="inlineStr">
        <is>
          <t>TM</t>
        </is>
      </c>
      <c r="F20" s="3" t="inlineStr">
        <is>
          <t>FTG</t>
        </is>
      </c>
      <c r="G20" s="3" t="inlineStr">
        <is>
          <t>29E76260</t>
        </is>
      </c>
      <c r="H20" s="3" t="inlineStr">
        <is>
          <t>KCN Tiên Sơn, Tỉnh Bắc Ninh → Phường Phú Thọ, Tỉnh Phú Thọ</t>
        </is>
      </c>
      <c r="I20" s="3" t="inlineStr">
        <is>
          <t>RFT-I2609150</t>
        </is>
      </c>
      <c r="J20" s="3" t="inlineStr">
        <is>
          <t>Tongmao</t>
        </is>
      </c>
      <c r="K20" s="3" t="inlineStr">
        <is>
          <t>29E76260</t>
        </is>
      </c>
      <c r="L20" s="11" t="n">
        <v>46273</v>
      </c>
      <c r="M20" s="11" t="n">
        <v>46273</v>
      </c>
      <c r="N20" s="3" t="inlineStr">
        <is>
          <t>Xử lí Thủ tục / Active</t>
        </is>
      </c>
      <c r="O20" s="3" t="inlineStr">
        <is>
          <t>Khớp</t>
        </is>
      </c>
    </row>
    <row r="21">
      <c r="A21" s="3" t="n">
        <v>26</v>
      </c>
      <c r="B21" s="3" t="n">
        <v>20</v>
      </c>
      <c r="C21" s="11" t="n">
        <v>46272</v>
      </c>
      <c r="D21" s="11" t="n">
        <v>46273</v>
      </c>
      <c r="E21" s="3" t="inlineStr">
        <is>
          <t>TM</t>
        </is>
      </c>
      <c r="F21" s="3" t="inlineStr">
        <is>
          <t>Thắng Thao T&amp;T</t>
        </is>
      </c>
      <c r="G21" s="3" t="inlineStr">
        <is>
          <t>12H 04683</t>
        </is>
      </c>
      <c r="H21" s="3" t="inlineStr">
        <is>
          <t>Cửa khẩu Hữu Nghị, Tỉnh Lạng Sơn → Phường Đồng Văn, Tỉnh Ninh Bình</t>
        </is>
      </c>
      <c r="I21" s="3" t="inlineStr">
        <is>
          <t>RFT-I2609140</t>
        </is>
      </c>
      <c r="J21" s="3" t="inlineStr">
        <is>
          <t>Tongmao</t>
        </is>
      </c>
      <c r="K21" s="3" t="inlineStr">
        <is>
          <t>CF9777</t>
        </is>
      </c>
      <c r="L21" s="11" t="n">
        <v>46272</v>
      </c>
      <c r="M21" s="11" t="n">
        <v>46273</v>
      </c>
      <c r="N21" s="3" t="inlineStr">
        <is>
          <t>Xử lí Thủ tục / Active</t>
        </is>
      </c>
      <c r="O21" s="3" t="inlineStr">
        <is>
          <t>Khớp</t>
        </is>
      </c>
    </row>
    <row r="22">
      <c r="A22" s="3" t="n">
        <v>27</v>
      </c>
      <c r="B22" s="3" t="n">
        <v>21</v>
      </c>
      <c r="C22" s="11" t="n">
        <v>46274</v>
      </c>
      <c r="D22" s="11" t="n">
        <v>46275</v>
      </c>
      <c r="E22" s="3" t="inlineStr">
        <is>
          <t>TM</t>
        </is>
      </c>
      <c r="F22" s="3" t="inlineStr">
        <is>
          <t>Cao Lộc</t>
        </is>
      </c>
      <c r="G22" s="3" t="inlineStr">
        <is>
          <t>12H01764</t>
        </is>
      </c>
      <c r="H22" s="3" t="inlineStr">
        <is>
          <t>Cửa khẩu Hữu Nghị, Tỉnh Lạng Sơn → KCN Tiên Sơn, Thành phố Bắc Ninh và Phường Đào Viên, Thành phố Bắc Ninh</t>
        </is>
      </c>
      <c r="I22" s="3" t="inlineStr">
        <is>
          <t>RFT-I2609723</t>
        </is>
      </c>
      <c r="J22" s="3" t="inlineStr">
        <is>
          <t>Tongmao</t>
        </is>
      </c>
      <c r="K22" s="3" t="inlineStr">
        <is>
          <t>12H01764</t>
        </is>
      </c>
      <c r="L22" s="11" t="n">
        <v>46274</v>
      </c>
      <c r="M22" s="11" t="n">
        <v>46275</v>
      </c>
      <c r="N22" s="3" t="inlineStr">
        <is>
          <t>Xe đến điểm giao hàng / Active</t>
        </is>
      </c>
      <c r="O22" s="3" t="inlineStr">
        <is>
          <t>Khớp</t>
        </is>
      </c>
    </row>
    <row r="23">
      <c r="A23" s="3" t="n">
        <v>28</v>
      </c>
      <c r="B23" s="3" t="n">
        <v>22</v>
      </c>
      <c r="C23" s="11" t="n">
        <v>46274</v>
      </c>
      <c r="D23" s="11" t="n">
        <v>46275</v>
      </c>
      <c r="E23" s="3" t="inlineStr">
        <is>
          <t>TM</t>
        </is>
      </c>
      <c r="F23" s="3" t="inlineStr">
        <is>
          <t>Thắng Thao T&amp;T</t>
        </is>
      </c>
      <c r="G23" s="3" t="inlineStr">
        <is>
          <t>12H 04433</t>
        </is>
      </c>
      <c r="H23" s="3" t="inlineStr">
        <is>
          <t>Cửa khẩu Hữu Nghị, Tỉnh Lạng Sơn → KCN Tiên Sơn, Thành phố Bắc Ninh và Phường Đồng Văn, Tỉnh Ninh Bình</t>
        </is>
      </c>
      <c r="I23" s="3" t="inlineStr">
        <is>
          <t>RFT-I2609724</t>
        </is>
      </c>
      <c r="J23" s="3" t="inlineStr">
        <is>
          <t>Tongmao</t>
        </is>
      </c>
      <c r="K23" s="3" t="inlineStr">
        <is>
          <t>12H04433</t>
        </is>
      </c>
      <c r="L23" s="11" t="n">
        <v>46274</v>
      </c>
      <c r="M23" s="11" t="n">
        <v>46275</v>
      </c>
      <c r="N23" s="3" t="inlineStr">
        <is>
          <t>Xe đến điểm giao hàng / Active</t>
        </is>
      </c>
      <c r="O23" s="5" t="inlineStr">
        <is>
          <t>ID dính xuống dòng/khoảng trắng</t>
        </is>
      </c>
    </row>
    <row r="24">
      <c r="A24" s="3" t="n">
        <v>30</v>
      </c>
      <c r="B24" s="3" t="n">
        <v>23</v>
      </c>
      <c r="C24" s="11" t="n">
        <v>46275</v>
      </c>
      <c r="D24" s="11" t="n">
        <v>46275</v>
      </c>
      <c r="E24" s="3" t="inlineStr">
        <is>
          <t>TM</t>
        </is>
      </c>
      <c r="F24" s="3" t="inlineStr">
        <is>
          <t>FTG</t>
        </is>
      </c>
      <c r="G24" s="3" t="inlineStr">
        <is>
          <t>29E81402</t>
        </is>
      </c>
      <c r="H24" s="3" t="inlineStr">
        <is>
          <t>KCN Tiên Sơn, Tỉnh Bắc Ninh → Phường Võ Cường, Tỉnh Bắc Ninh và Phường Từ Sơn, Tỉnh Bắc Ninh</t>
        </is>
      </c>
      <c r="I24" s="3" t="inlineStr">
        <is>
          <t>RFT-I2609379</t>
        </is>
      </c>
      <c r="J24" s="3" t="inlineStr">
        <is>
          <t>Tongmao</t>
        </is>
      </c>
      <c r="K24" s="3" t="inlineStr">
        <is>
          <t>29E81402</t>
        </is>
      </c>
      <c r="L24" s="11" t="n">
        <v>46275</v>
      </c>
      <c r="M24" s="11" t="n">
        <v>46275</v>
      </c>
      <c r="N24" s="3" t="inlineStr">
        <is>
          <t>Xử lí Thủ tục / Active</t>
        </is>
      </c>
      <c r="O24" s="3" t="inlineStr">
        <is>
          <t>Khớp</t>
        </is>
      </c>
    </row>
    <row r="25">
      <c r="A25" s="3" t="n">
        <v>32</v>
      </c>
      <c r="B25" s="3" t="n">
        <v>24</v>
      </c>
      <c r="C25" s="11" t="n">
        <v>46274</v>
      </c>
      <c r="D25" s="11" t="n">
        <v>46275</v>
      </c>
      <c r="E25" s="3" t="inlineStr">
        <is>
          <t>TM</t>
        </is>
      </c>
      <c r="F25" s="3" t="inlineStr">
        <is>
          <t>Thắng Thao T&amp;T</t>
        </is>
      </c>
      <c r="G25" s="3" t="inlineStr">
        <is>
          <t>12H 04690</t>
        </is>
      </c>
      <c r="H25" s="3" t="inlineStr">
        <is>
          <t>Cửa khẩu Hữu Nghị, Tỉnh Lạng Sơn → Phường Đồng Văn, Tỉnh Ninh Bình</t>
        </is>
      </c>
      <c r="I25" s="3" t="inlineStr">
        <is>
          <t>RFT-I2609725</t>
        </is>
      </c>
      <c r="J25" s="3" t="inlineStr">
        <is>
          <t>Tongmao</t>
        </is>
      </c>
      <c r="K25" s="3" t="n"/>
      <c r="L25" s="11" t="n">
        <v>46274</v>
      </c>
      <c r="M25" s="11" t="n">
        <v>46275</v>
      </c>
      <c r="N25" s="3" t="inlineStr">
        <is>
          <t>Chờ xác nhận / Pending</t>
        </is>
      </c>
      <c r="O25" s="6" t="inlineStr">
        <is>
          <t>Freightek còn Pending (Chờ xác nhận)</t>
        </is>
      </c>
    </row>
    <row r="26">
      <c r="A26" s="3" t="n">
        <v>33</v>
      </c>
      <c r="B26" s="3" t="n">
        <v>25</v>
      </c>
      <c r="C26" s="11" t="n">
        <v>46275</v>
      </c>
      <c r="D26" s="11" t="n">
        <v>46275</v>
      </c>
      <c r="E26" s="3" t="inlineStr">
        <is>
          <t>TM</t>
        </is>
      </c>
      <c r="F26" s="3" t="inlineStr">
        <is>
          <t>FTG</t>
        </is>
      </c>
      <c r="G26" s="3" t="inlineStr">
        <is>
          <t>29E81459</t>
        </is>
      </c>
      <c r="H26" s="3" t="inlineStr">
        <is>
          <t>KCN Tiên Sơn, Thành phố Bắc Ninh → Xã Cẩm Giàng, Thành phố Hải Phòng</t>
        </is>
      </c>
      <c r="I26" s="3" t="inlineStr">
        <is>
          <t>RFT-I2609726</t>
        </is>
      </c>
      <c r="J26" s="3" t="inlineStr">
        <is>
          <t>Tongmao</t>
        </is>
      </c>
      <c r="K26" s="3" t="n"/>
      <c r="L26" s="11" t="n">
        <v>46275</v>
      </c>
      <c r="M26" s="11" t="n">
        <v>46275</v>
      </c>
      <c r="N26" s="3" t="inlineStr">
        <is>
          <t>Xe đến điểm giao hàng / Active</t>
        </is>
      </c>
      <c r="O26" s="5" t="inlineStr">
        <is>
          <t>ID dính xuống dòng/khoảng trắng</t>
        </is>
      </c>
    </row>
    <row r="27">
      <c r="A27" s="3" t="n">
        <v>34</v>
      </c>
      <c r="B27" s="3" t="n">
        <v>26</v>
      </c>
      <c r="C27" s="11" t="n">
        <v>46275</v>
      </c>
      <c r="D27" s="11" t="n">
        <v>46275</v>
      </c>
      <c r="E27" s="3" t="inlineStr">
        <is>
          <t>TM</t>
        </is>
      </c>
      <c r="F27" s="3" t="inlineStr">
        <is>
          <t>Thắng Thao T&amp;T</t>
        </is>
      </c>
      <c r="G27" s="3" t="inlineStr">
        <is>
          <t>12H03894</t>
        </is>
      </c>
      <c r="H27" s="3" t="inlineStr">
        <is>
          <t>Cửa khẩu Hữu Nghị, Tỉnh Lạng Sơn → KCN Tiên Sơn, Tỉnh Bắc Ninh</t>
        </is>
      </c>
      <c r="I27" s="3" t="inlineStr">
        <is>
          <t>RFT-I2609647</t>
        </is>
      </c>
      <c r="J27" s="3" t="inlineStr">
        <is>
          <t>Tongmao</t>
        </is>
      </c>
      <c r="K27" s="3" t="inlineStr">
        <is>
          <t>29E75450</t>
        </is>
      </c>
      <c r="L27" s="11" t="n">
        <v>46275</v>
      </c>
      <c r="M27" s="11" t="n">
        <v>46275</v>
      </c>
      <c r="N27" s="3" t="inlineStr">
        <is>
          <t>Xe đến điểm giao hàng / Active</t>
        </is>
      </c>
      <c r="O27" s="3" t="inlineStr">
        <is>
          <t>Khớp</t>
        </is>
      </c>
    </row>
    <row r="28">
      <c r="A28" s="3" t="n">
        <v>35</v>
      </c>
      <c r="B28" s="3" t="n">
        <v>27</v>
      </c>
      <c r="C28" s="11" t="n">
        <v>46276</v>
      </c>
      <c r="D28" s="11" t="n">
        <v>46276</v>
      </c>
      <c r="E28" s="3" t="inlineStr">
        <is>
          <t>TM</t>
        </is>
      </c>
      <c r="F28" s="3" t="inlineStr">
        <is>
          <t>FTG</t>
        </is>
      </c>
      <c r="G28" s="3" t="inlineStr">
        <is>
          <t>29E76260</t>
        </is>
      </c>
      <c r="H28" s="3" t="inlineStr">
        <is>
          <t>KCN Tiên Sơn, Tỉnh Bắc Ninh → Phường Bách Quang, Tỉnh Thái Nguyên</t>
        </is>
      </c>
      <c r="I28" s="3" t="inlineStr">
        <is>
          <t>RFT-I2609380</t>
        </is>
      </c>
      <c r="J28" s="3" t="inlineStr">
        <is>
          <t>Tongmao</t>
        </is>
      </c>
      <c r="K28" s="3" t="inlineStr">
        <is>
          <t>29E76260</t>
        </is>
      </c>
      <c r="L28" s="11" t="n">
        <v>46276</v>
      </c>
      <c r="M28" s="11" t="n">
        <v>46276</v>
      </c>
      <c r="N28" s="3" t="inlineStr">
        <is>
          <t>Xử lí Thủ tục / Active</t>
        </is>
      </c>
      <c r="O28" s="3" t="inlineStr">
        <is>
          <t>Khớp</t>
        </is>
      </c>
    </row>
    <row r="29">
      <c r="A29" s="3" t="n">
        <v>37</v>
      </c>
      <c r="B29" s="3" t="n">
        <v>28</v>
      </c>
      <c r="C29" s="11" t="n">
        <v>46276</v>
      </c>
      <c r="D29" s="11" t="n">
        <v>46276</v>
      </c>
      <c r="E29" s="3" t="inlineStr">
        <is>
          <t>TM</t>
        </is>
      </c>
      <c r="F29" s="3" t="inlineStr">
        <is>
          <t>FTG</t>
        </is>
      </c>
      <c r="G29" s="3" t="inlineStr">
        <is>
          <t>29E81459</t>
        </is>
      </c>
      <c r="H29" s="3" t="inlineStr">
        <is>
          <t>KCN Tiên Sơn, Tỉnh Bắc Ninh → Phường Phổ Yên, Tỉnh Thái Nguyên</t>
        </is>
      </c>
      <c r="I29" s="3" t="inlineStr">
        <is>
          <t>RFT-I2609383</t>
        </is>
      </c>
      <c r="J29" s="3" t="inlineStr">
        <is>
          <t>Tongmao</t>
        </is>
      </c>
      <c r="K29" s="3" t="inlineStr">
        <is>
          <t>29E81459</t>
        </is>
      </c>
      <c r="L29" s="11" t="n">
        <v>46276</v>
      </c>
      <c r="M29" s="11" t="n">
        <v>46276</v>
      </c>
      <c r="N29" s="3" t="inlineStr">
        <is>
          <t>Xử lí Thủ tục / Active</t>
        </is>
      </c>
      <c r="O29" s="3" t="inlineStr">
        <is>
          <t>Khớp</t>
        </is>
      </c>
    </row>
    <row r="30">
      <c r="A30" s="3" t="n">
        <v>39</v>
      </c>
      <c r="B30" s="3" t="n">
        <v>29</v>
      </c>
      <c r="C30" s="11" t="n">
        <v>46276</v>
      </c>
      <c r="D30" s="11" t="n">
        <v>46276</v>
      </c>
      <c r="E30" s="3" t="inlineStr">
        <is>
          <t>TM</t>
        </is>
      </c>
      <c r="F30" s="3" t="inlineStr">
        <is>
          <t>FTG</t>
        </is>
      </c>
      <c r="G30" s="3" t="inlineStr">
        <is>
          <t>29E81402</t>
        </is>
      </c>
      <c r="H30" s="3" t="inlineStr">
        <is>
          <t>KCN Tiên Sơn, Thành phố Bắc Ninh → Xã Gia Hưng, Tỉnh Ninh Bình</t>
        </is>
      </c>
      <c r="I30" s="3" t="inlineStr">
        <is>
          <t>RFT-I2609727</t>
        </is>
      </c>
      <c r="J30" s="3" t="inlineStr">
        <is>
          <t>Tongmao</t>
        </is>
      </c>
      <c r="K30" s="3" t="inlineStr">
        <is>
          <t>29E81402</t>
        </is>
      </c>
      <c r="L30" s="11" t="n">
        <v>46276</v>
      </c>
      <c r="M30" s="11" t="n">
        <v>46276</v>
      </c>
      <c r="N30" s="3" t="inlineStr">
        <is>
          <t>Xe đến điểm giao hàng / Active</t>
        </is>
      </c>
      <c r="O30" s="3" t="inlineStr">
        <is>
          <t>Khớp</t>
        </is>
      </c>
    </row>
    <row r="31">
      <c r="A31" s="3" t="n">
        <v>40</v>
      </c>
      <c r="B31" s="3" t="n">
        <v>30</v>
      </c>
      <c r="C31" s="11" t="n">
        <v>46276</v>
      </c>
      <c r="D31" s="11" t="n">
        <v>46276</v>
      </c>
      <c r="E31" s="3" t="inlineStr">
        <is>
          <t>Yongxin 永鑫, Hoa Thiết</t>
        </is>
      </c>
      <c r="F31" s="3" t="inlineStr">
        <is>
          <t>Anh Minh</t>
        </is>
      </c>
      <c r="G31" s="3" t="inlineStr">
        <is>
          <t>29H-899.97</t>
        </is>
      </c>
      <c r="H31" s="3" t="inlineStr">
        <is>
          <t>Phường Lình Nam, TP Hà Nội → Xã Bình Xuyên, Tỉnh Phú Thọ</t>
        </is>
      </c>
      <c r="I31" s="3" t="inlineStr">
        <is>
          <t>RFT-D2609213</t>
        </is>
      </c>
      <c r="J31" s="3" t="inlineStr">
        <is>
          <t>CÔNG TY TNHH CHUỖI CUNG ỨNG LOGISTICS YONGXIN</t>
        </is>
      </c>
      <c r="K31" s="3" t="inlineStr">
        <is>
          <t>29H89997</t>
        </is>
      </c>
      <c r="L31" s="11" t="n">
        <v>46276</v>
      </c>
      <c r="M31" s="11" t="n">
        <v>46276</v>
      </c>
      <c r="N31" s="3" t="inlineStr">
        <is>
          <t>Đã thu tiền KH / Active</t>
        </is>
      </c>
      <c r="O31" s="3" t="inlineStr">
        <is>
          <t>Khớp</t>
        </is>
      </c>
    </row>
    <row r="32">
      <c r="A32" s="3" t="n">
        <v>41</v>
      </c>
      <c r="B32" s="3" t="n">
        <v>31</v>
      </c>
      <c r="C32" s="11" t="n">
        <v>46276</v>
      </c>
      <c r="D32" s="11" t="n">
        <v>46277</v>
      </c>
      <c r="E32" s="3" t="inlineStr">
        <is>
          <t>TM</t>
        </is>
      </c>
      <c r="F32" s="3" t="inlineStr">
        <is>
          <t>KK</t>
        </is>
      </c>
      <c r="G32" s="3" t="inlineStr">
        <is>
          <t>12H04110</t>
        </is>
      </c>
      <c r="H32" s="3" t="inlineStr">
        <is>
          <t>Cửa khẩu Hữu Nghị, Tỉnh Lạng Sơn 
 → KCN Tiên Sơn, Thành phố Bắc Ninh</t>
        </is>
      </c>
      <c r="I32" s="3" t="inlineStr">
        <is>
          <t>RFT-I2609728</t>
        </is>
      </c>
      <c r="J32" s="3" t="inlineStr">
        <is>
          <t>Tongmao</t>
        </is>
      </c>
      <c r="K32" s="3" t="inlineStr">
        <is>
          <t>12H04110</t>
        </is>
      </c>
      <c r="L32" s="11" t="n">
        <v>46276</v>
      </c>
      <c r="M32" s="11" t="n">
        <v>46277</v>
      </c>
      <c r="N32" s="3" t="inlineStr">
        <is>
          <t>Xe đến điểm giao hàng / Active</t>
        </is>
      </c>
      <c r="O32" s="5" t="inlineStr">
        <is>
          <t>ID dính xuống dòng/khoảng trắng</t>
        </is>
      </c>
    </row>
    <row r="33">
      <c r="A33" s="3" t="n">
        <v>42</v>
      </c>
      <c r="B33" s="3" t="n">
        <v>32</v>
      </c>
      <c r="C33" s="11" t="n">
        <v>46279</v>
      </c>
      <c r="D33" s="11" t="n">
        <v>46279</v>
      </c>
      <c r="E33" s="3" t="inlineStr">
        <is>
          <t>TM</t>
        </is>
      </c>
      <c r="F33" s="3" t="inlineStr">
        <is>
          <t>Full truck go</t>
        </is>
      </c>
      <c r="G33" s="3" t="inlineStr">
        <is>
          <t>29H30373</t>
        </is>
      </c>
      <c r="H33" s="3" t="inlineStr">
        <is>
          <t>KCN Tiên Sơn, Tỉnh Bắc Ninh → Phường Lê Hồ, Tỉnh Ninh Bình</t>
        </is>
      </c>
      <c r="I33" s="3" t="inlineStr">
        <is>
          <t>RFT-I2609282</t>
        </is>
      </c>
      <c r="J33" s="3" t="inlineStr">
        <is>
          <t>Tongmao</t>
        </is>
      </c>
      <c r="K33" s="3" t="inlineStr">
        <is>
          <t>29H30373</t>
        </is>
      </c>
      <c r="L33" s="11" t="n">
        <v>46279</v>
      </c>
      <c r="M33" s="11" t="n">
        <v>46279</v>
      </c>
      <c r="N33" s="3" t="inlineStr">
        <is>
          <t>Xử lí Thủ tục / Active</t>
        </is>
      </c>
      <c r="O33" s="5" t="inlineStr">
        <is>
          <t>Ô ID có thêm mã khác (FTG…)</t>
        </is>
      </c>
    </row>
    <row r="34">
      <c r="A34" s="3" t="n">
        <v>43</v>
      </c>
      <c r="B34" s="3" t="n">
        <v>33</v>
      </c>
      <c r="C34" s="11" t="n">
        <v>46277</v>
      </c>
      <c r="D34" s="11" t="n">
        <v>46277</v>
      </c>
      <c r="E34" s="3" t="inlineStr">
        <is>
          <t>TM</t>
        </is>
      </c>
      <c r="F34" s="3" t="inlineStr">
        <is>
          <t>FTG</t>
        </is>
      </c>
      <c r="G34" s="3" t="inlineStr">
        <is>
          <t>29E 762.17</t>
        </is>
      </c>
      <c r="H34" s="3" t="inlineStr">
        <is>
          <t>KCN Tiên Sơn, Thành phố Bắc Ninh → Xã Thần Lình, Tỉnh Nghệ An</t>
        </is>
      </c>
      <c r="I34" s="3" t="inlineStr">
        <is>
          <t>RFT-I2609741</t>
        </is>
      </c>
      <c r="J34" s="3" t="inlineStr">
        <is>
          <t>Tongmao</t>
        </is>
      </c>
      <c r="K34" s="3" t="inlineStr">
        <is>
          <t>29E 76217</t>
        </is>
      </c>
      <c r="L34" s="11" t="n">
        <v>46277</v>
      </c>
      <c r="M34" s="11" t="n">
        <v>46277</v>
      </c>
      <c r="N34" s="3" t="inlineStr">
        <is>
          <t>Xe đến điểm giao hàng / Active</t>
        </is>
      </c>
      <c r="O34" s="5" t="inlineStr">
        <is>
          <t>ID dính xuống dòng/khoảng trắng</t>
        </is>
      </c>
    </row>
    <row r="35">
      <c r="A35" s="3" t="n">
        <v>44</v>
      </c>
      <c r="B35" s="3" t="n">
        <v>34</v>
      </c>
      <c r="C35" s="11" t="n">
        <v>46276</v>
      </c>
      <c r="D35" s="11" t="n">
        <v>46277</v>
      </c>
      <c r="E35" s="3" t="inlineStr">
        <is>
          <t>TM</t>
        </is>
      </c>
      <c r="F35" s="3" t="inlineStr">
        <is>
          <t>Bap Log</t>
        </is>
      </c>
      <c r="G35" s="3" t="inlineStr">
        <is>
          <t>12H04391</t>
        </is>
      </c>
      <c r="H35" s="3" t="inlineStr">
        <is>
          <t>Cửa khẩu Hữu Nghị, Tỉnh Lạng Sơn 
 → KCN Tiên Sơn, Thành phố Bắc Ninh và Phường Đồng Văn, Tỉnh Ninh Bình</t>
        </is>
      </c>
      <c r="I35" s="3" t="inlineStr">
        <is>
          <t>RFT-I2609729</t>
        </is>
      </c>
      <c r="J35" s="3" t="inlineStr">
        <is>
          <t>Tongmao</t>
        </is>
      </c>
      <c r="K35" s="3" t="inlineStr">
        <is>
          <t>12H04391</t>
        </is>
      </c>
      <c r="L35" s="11" t="n">
        <v>46276</v>
      </c>
      <c r="M35" s="11" t="n">
        <v>46277</v>
      </c>
      <c r="N35" s="3" t="inlineStr">
        <is>
          <t>Xe đến điểm giao hàng / Active</t>
        </is>
      </c>
      <c r="O35" s="5" t="inlineStr">
        <is>
          <t>ID dính xuống dòng/khoảng trắng</t>
        </is>
      </c>
    </row>
    <row r="36">
      <c r="A36" s="3" t="n">
        <v>45</v>
      </c>
      <c r="B36" s="3" t="n">
        <v>35</v>
      </c>
      <c r="C36" s="11" t="n">
        <v>46279</v>
      </c>
      <c r="D36" s="11" t="n">
        <v>46282</v>
      </c>
      <c r="E36" s="3" t="inlineStr">
        <is>
          <t>TM</t>
        </is>
      </c>
      <c r="F36" s="3" t="inlineStr">
        <is>
          <t>Bảo Lâm</t>
        </is>
      </c>
      <c r="G36" s="3" t="inlineStr">
        <is>
          <t>99E01858</t>
        </is>
      </c>
      <c r="H36" s="3" t="inlineStr">
        <is>
          <t>KCN Tiên Sơn, Thành phố Bắc Ninh → Xã An Phước, Thành phố Đồng Nai</t>
        </is>
      </c>
      <c r="I36" s="3" t="inlineStr">
        <is>
          <t>RLT-I2609730</t>
        </is>
      </c>
      <c r="J36" s="3" t="inlineStr">
        <is>
          <t>Tongmao</t>
        </is>
      </c>
      <c r="K36" s="3" t="inlineStr">
        <is>
          <t>99E01858</t>
        </is>
      </c>
      <c r="L36" s="11" t="n">
        <v>46279</v>
      </c>
      <c r="M36" s="11" t="n">
        <v>46282</v>
      </c>
      <c r="N36" s="3" t="inlineStr">
        <is>
          <t>Xe đến điểm giao hàng / Active</t>
        </is>
      </c>
      <c r="O36" s="5" t="inlineStr">
        <is>
          <t>ID dính xuống dòng/khoảng trắng</t>
        </is>
      </c>
    </row>
    <row r="37">
      <c r="A37" s="3" t="n">
        <v>46</v>
      </c>
      <c r="B37" s="3" t="n">
        <v>36</v>
      </c>
      <c r="C37" s="11" t="n">
        <v>46270</v>
      </c>
      <c r="D37" s="11" t="n">
        <v>46273</v>
      </c>
      <c r="E37" s="3" t="inlineStr">
        <is>
          <t>YING TONG</t>
        </is>
      </c>
      <c r="F37" s="3" t="inlineStr">
        <is>
          <t>Viettel</t>
        </is>
      </c>
      <c r="G37" s="3" t="inlineStr">
        <is>
          <t>29E 656.52</t>
        </is>
      </c>
      <c r="H37" s="3" t="inlineStr">
        <is>
          <t>Xã Nhơn Trạch, Tỉnh Đồng Nai → Phường Nếnh, Tỉnh Bắc Ninh</t>
        </is>
      </c>
      <c r="I37" s="3" t="inlineStr">
        <is>
          <t>RFC-D2609257</t>
        </is>
      </c>
      <c r="J37" s="3" t="inlineStr">
        <is>
          <t>CÔNG TY  TNHH YING TONG (VIỆT NAM) ELECTRONIC TECHNOLOGY</t>
        </is>
      </c>
      <c r="K37" s="3" t="inlineStr">
        <is>
          <t>29E65652</t>
        </is>
      </c>
      <c r="L37" s="11" t="n">
        <v>46270</v>
      </c>
      <c r="M37" s="11" t="n">
        <v>46273</v>
      </c>
      <c r="N37" s="3" t="inlineStr">
        <is>
          <t>Xe đến điểm giao hàng / Active</t>
        </is>
      </c>
      <c r="O37" s="5" t="inlineStr">
        <is>
          <t>ID dính xuống dòng/khoảng trắng</t>
        </is>
      </c>
    </row>
    <row r="38">
      <c r="A38" s="3" t="n">
        <v>47</v>
      </c>
      <c r="B38" s="3" t="n">
        <v>37</v>
      </c>
      <c r="C38" s="11" t="n">
        <v>46279</v>
      </c>
      <c r="D38" s="11" t="n">
        <v>46280</v>
      </c>
      <c r="E38" s="3" t="inlineStr">
        <is>
          <t>TM</t>
        </is>
      </c>
      <c r="F38" s="3" t="inlineStr">
        <is>
          <t>Thắng Thao T&amp;T</t>
        </is>
      </c>
      <c r="G38" s="3" t="inlineStr">
        <is>
          <t>12H 04683</t>
        </is>
      </c>
      <c r="H38" s="3" t="inlineStr">
        <is>
          <t>Cửa khẩu Hữu Nghị, Tỉnh Lạng Sơn 
 → Phường Hồng An, TP. Hải Phòng</t>
        </is>
      </c>
      <c r="I38" s="3" t="inlineStr">
        <is>
          <t>RFT-I2609734</t>
        </is>
      </c>
      <c r="J38" s="3" t="inlineStr">
        <is>
          <t>Tongmao</t>
        </is>
      </c>
      <c r="K38" s="3" t="inlineStr">
        <is>
          <t>12H04683</t>
        </is>
      </c>
      <c r="L38" s="11" t="n">
        <v>46279</v>
      </c>
      <c r="M38" s="11" t="n">
        <v>46280</v>
      </c>
      <c r="N38" s="3" t="inlineStr">
        <is>
          <t>Xe đến điểm giao hàng / Active</t>
        </is>
      </c>
      <c r="O38" s="5" t="inlineStr">
        <is>
          <t>ID dính xuống dòng/khoảng trắng</t>
        </is>
      </c>
    </row>
    <row r="39">
      <c r="A39" s="3" t="n">
        <v>48</v>
      </c>
      <c r="B39" s="3" t="n">
        <v>38</v>
      </c>
      <c r="C39" s="11" t="n">
        <v>46281</v>
      </c>
      <c r="D39" s="11" t="n">
        <v>46281</v>
      </c>
      <c r="E39" s="3" t="inlineStr">
        <is>
          <t>TM</t>
        </is>
      </c>
      <c r="F39" s="3" t="inlineStr">
        <is>
          <t>Full truck go</t>
        </is>
      </c>
      <c r="G39" s="3" t="inlineStr">
        <is>
          <t>29E75450</t>
        </is>
      </c>
      <c r="H39" s="3" t="inlineStr">
        <is>
          <t>KCN Tiên Sơn, Thành phố Bắc Ninh → Phường Phổ Yên, Tỉnh Thái Nguyên</t>
        </is>
      </c>
      <c r="I39" s="3" t="inlineStr">
        <is>
          <t>RFT-I2609735</t>
        </is>
      </c>
      <c r="J39" s="3" t="inlineStr">
        <is>
          <t>Tongmao</t>
        </is>
      </c>
      <c r="K39" s="3" t="inlineStr">
        <is>
          <t>29E75450</t>
        </is>
      </c>
      <c r="L39" s="11" t="n">
        <v>46281</v>
      </c>
      <c r="M39" s="11" t="n">
        <v>46281</v>
      </c>
      <c r="N39" s="3" t="inlineStr">
        <is>
          <t>Đã thanh toán NCC / Active</t>
        </is>
      </c>
      <c r="O39" s="5" t="inlineStr">
        <is>
          <t>Ô ID có thêm mã khác (FTG…)</t>
        </is>
      </c>
    </row>
    <row r="40">
      <c r="A40" s="3" t="n">
        <v>50</v>
      </c>
      <c r="B40" s="3" t="n">
        <v>39</v>
      </c>
      <c r="C40" s="11" t="n">
        <v>46280</v>
      </c>
      <c r="D40" s="11" t="n">
        <v>46281</v>
      </c>
      <c r="E40" s="3" t="inlineStr">
        <is>
          <t>TM</t>
        </is>
      </c>
      <c r="F40" s="3" t="inlineStr">
        <is>
          <t>Huyền Trang</t>
        </is>
      </c>
      <c r="G40" s="3" t="inlineStr">
        <is>
          <t>12H04713</t>
        </is>
      </c>
      <c r="H40" s="3" t="inlineStr">
        <is>
          <t>Cửa khẩu Hữu Nghị, Tỉnh Lạng Sơn → Phường Việt Yên, tỉnh Bắc Ninh</t>
        </is>
      </c>
      <c r="I40" s="3" t="inlineStr">
        <is>
          <t>RFT-I2609342</t>
        </is>
      </c>
      <c r="J40" s="3" t="inlineStr">
        <is>
          <t>Tongmao</t>
        </is>
      </c>
      <c r="K40" s="3" t="inlineStr">
        <is>
          <t>12H04713</t>
        </is>
      </c>
      <c r="L40" s="11" t="n">
        <v>46280</v>
      </c>
      <c r="M40" s="11" t="n">
        <v>46281</v>
      </c>
      <c r="N40" s="3" t="inlineStr">
        <is>
          <t>Xử lí Thủ tục / Active</t>
        </is>
      </c>
      <c r="O40" s="3" t="inlineStr">
        <is>
          <t>Khớp</t>
        </is>
      </c>
    </row>
    <row r="41">
      <c r="A41" s="3" t="n">
        <v>51</v>
      </c>
      <c r="B41" s="3" t="n">
        <v>40</v>
      </c>
      <c r="C41" s="11" t="n">
        <v>46281</v>
      </c>
      <c r="D41" s="11" t="n">
        <v>46281</v>
      </c>
      <c r="E41" s="3" t="inlineStr">
        <is>
          <t>TM</t>
        </is>
      </c>
      <c r="F41" s="3" t="inlineStr">
        <is>
          <t>FTG</t>
        </is>
      </c>
      <c r="G41" s="3" t="inlineStr">
        <is>
          <t>29E76217</t>
        </is>
      </c>
      <c r="H41" s="3" t="inlineStr">
        <is>
          <t>KCN Tiên Sơn, Thành phố Bắc Ninh → Phường Kinh Bắc, Thành phố Bắc Ninh</t>
        </is>
      </c>
      <c r="I41" s="3" t="inlineStr">
        <is>
          <t>RFT-I2610678</t>
        </is>
      </c>
      <c r="J41" s="3" t="inlineStr">
        <is>
          <t>Tongmao</t>
        </is>
      </c>
      <c r="K41" s="3" t="inlineStr">
        <is>
          <t>29E76217</t>
        </is>
      </c>
      <c r="L41" s="11" t="n">
        <v>46281</v>
      </c>
      <c r="M41" s="11" t="n">
        <v>46281</v>
      </c>
      <c r="N41" s="3" t="inlineStr">
        <is>
          <t>Xe đến điểm giao hàng / Active</t>
        </is>
      </c>
      <c r="O41" s="5" t="inlineStr">
        <is>
          <t>ID dính xuống dòng/khoảng trắng</t>
        </is>
      </c>
    </row>
    <row r="42">
      <c r="A42" s="3" t="n">
        <v>52</v>
      </c>
      <c r="B42" s="3" t="n">
        <v>41</v>
      </c>
      <c r="C42" s="11" t="n">
        <v>46281</v>
      </c>
      <c r="D42" s="11" t="n">
        <v>46281</v>
      </c>
      <c r="E42" s="3" t="inlineStr">
        <is>
          <t>TM</t>
        </is>
      </c>
      <c r="F42" s="3" t="inlineStr">
        <is>
          <t>Full truck go</t>
        </is>
      </c>
      <c r="G42" s="3" t="inlineStr">
        <is>
          <t>29E-754.50</t>
        </is>
      </c>
      <c r="H42" s="3" t="inlineStr">
        <is>
          <t>KCN Tiên Sơn, Thành phố Bắc Ninh → Xã Đồng Đăng, Tỉnh Lạng Sơn</t>
        </is>
      </c>
      <c r="I42" s="3" t="inlineStr">
        <is>
          <t>RFT-I2609377</t>
        </is>
      </c>
      <c r="J42" s="3" t="inlineStr">
        <is>
          <t>Tongmao</t>
        </is>
      </c>
      <c r="K42" s="3" t="inlineStr">
        <is>
          <t>29E75450</t>
        </is>
      </c>
      <c r="L42" s="11" t="n">
        <v>46274</v>
      </c>
      <c r="M42" s="11" t="n">
        <v>46275</v>
      </c>
      <c r="N42" s="3" t="inlineStr">
        <is>
          <t>Xử lí Thủ tục / Active</t>
        </is>
      </c>
      <c r="O42" s="6" t="inlineStr">
        <is>
          <t>Lệch ngày lấy; Lệch ngày giao</t>
        </is>
      </c>
    </row>
    <row r="43">
      <c r="A43" s="3" t="n">
        <v>53</v>
      </c>
      <c r="B43" s="3" t="n">
        <v>42</v>
      </c>
      <c r="C43" s="11" t="n">
        <v>46281</v>
      </c>
      <c r="D43" s="11" t="n">
        <v>46281</v>
      </c>
      <c r="E43" s="3" t="inlineStr">
        <is>
          <t>TM</t>
        </is>
      </c>
      <c r="F43" s="3" t="inlineStr">
        <is>
          <t>FTG</t>
        </is>
      </c>
      <c r="G43" s="3" t="inlineStr">
        <is>
          <t>29E 81402</t>
        </is>
      </c>
      <c r="H43" s="3" t="inlineStr">
        <is>
          <t>KCN Tiên Sơn, Thành phố Bắc Ninh → Xã Thần Lĩnh, Tỉnh Nghệ An</t>
        </is>
      </c>
      <c r="I43" s="3" t="inlineStr">
        <is>
          <t>RFT-I2609736</t>
        </is>
      </c>
      <c r="J43" s="3" t="inlineStr">
        <is>
          <t>Tongmao</t>
        </is>
      </c>
      <c r="K43" s="3" t="inlineStr">
        <is>
          <t>29E 81402</t>
        </is>
      </c>
      <c r="L43" s="11" t="n">
        <v>46281</v>
      </c>
      <c r="M43" s="11" t="n">
        <v>46281</v>
      </c>
      <c r="N43" s="3" t="inlineStr">
        <is>
          <t>Chờ xác nhận / Pending</t>
        </is>
      </c>
      <c r="O43" s="6" t="inlineStr">
        <is>
          <t>Freightek còn Pending (Chờ xác nhận)</t>
        </is>
      </c>
    </row>
    <row r="44">
      <c r="A44" s="3" t="n">
        <v>54</v>
      </c>
      <c r="B44" s="3" t="n">
        <v>43</v>
      </c>
      <c r="C44" s="11" t="n">
        <v>46280</v>
      </c>
      <c r="D44" s="11" t="n">
        <v>46281</v>
      </c>
      <c r="E44" s="3" t="inlineStr">
        <is>
          <t>TM</t>
        </is>
      </c>
      <c r="F44" s="3" t="inlineStr">
        <is>
          <t>Thắng Thao T&amp;T</t>
        </is>
      </c>
      <c r="G44" s="3" t="inlineStr">
        <is>
          <t>12H04440</t>
        </is>
      </c>
      <c r="H44" s="3" t="inlineStr">
        <is>
          <t>Cửa khẩu Hữu Nghị, Tỉnh Lạng Sơn → KCN Tiên Sơn, Thành phố Bắc Ninh và KCN Thuận Thành III, Thành phố Bắc Ninh</t>
        </is>
      </c>
      <c r="I44" s="3" t="inlineStr">
        <is>
          <t>RFT-I2609739</t>
        </is>
      </c>
      <c r="J44" s="3" t="inlineStr">
        <is>
          <t>Tongmao</t>
        </is>
      </c>
      <c r="K44" s="3" t="inlineStr">
        <is>
          <t>12H04440</t>
        </is>
      </c>
      <c r="L44" s="11" t="n">
        <v>46280</v>
      </c>
      <c r="M44" s="11" t="n">
        <v>46281</v>
      </c>
      <c r="N44" s="3" t="inlineStr">
        <is>
          <t>Xe đến điểm giao hàng / Active</t>
        </is>
      </c>
      <c r="O44" s="3" t="inlineStr">
        <is>
          <t>Khớp</t>
        </is>
      </c>
    </row>
    <row r="45">
      <c r="A45" s="3" t="n">
        <v>62</v>
      </c>
      <c r="B45" s="3" t="n">
        <v>44</v>
      </c>
      <c r="C45" s="11" t="n">
        <v>46281</v>
      </c>
      <c r="D45" s="11" t="n">
        <v>46282</v>
      </c>
      <c r="E45" s="3" t="inlineStr">
        <is>
          <t>TM</t>
        </is>
      </c>
      <c r="F45" s="3" t="inlineStr">
        <is>
          <t>Bap Log</t>
        </is>
      </c>
      <c r="G45" s="3" t="n"/>
      <c r="H45" s="3" t="inlineStr">
        <is>
          <t xml:space="preserve">Cửa khẩu Hữu Nghị, Tỉnh Lạng Sơn → </t>
        </is>
      </c>
      <c r="I45" s="3" t="inlineStr">
        <is>
          <t>RFT-I2609153</t>
        </is>
      </c>
      <c r="J45" s="3" t="inlineStr">
        <is>
          <t>Tongmao</t>
        </is>
      </c>
      <c r="K45" s="3" t="inlineStr">
        <is>
          <t>12H04341</t>
        </is>
      </c>
      <c r="L45" s="11" t="n">
        <v>46281</v>
      </c>
      <c r="M45" s="11" t="n">
        <v>46282</v>
      </c>
      <c r="N45" s="3" t="inlineStr">
        <is>
          <t>Xe đến điểm giao hàng / Active</t>
        </is>
      </c>
      <c r="O45" s="5" t="inlineStr">
        <is>
          <t>Excel trống cột BKS</t>
        </is>
      </c>
    </row>
    <row r="46">
      <c r="A46" s="3" t="n">
        <v>63</v>
      </c>
      <c r="B46" s="3" t="n">
        <v>45</v>
      </c>
      <c r="C46" s="11" t="n">
        <v>46275</v>
      </c>
      <c r="D46" s="11" t="n">
        <v>46276</v>
      </c>
      <c r="E46" s="3" t="inlineStr">
        <is>
          <t>Hưng Giang</t>
        </is>
      </c>
      <c r="F46" s="3" t="inlineStr">
        <is>
          <t>Hoàng Dũng</t>
        </is>
      </c>
      <c r="G46" s="3" t="inlineStr">
        <is>
          <t>98H04455</t>
        </is>
      </c>
      <c r="H46" s="3" t="inlineStr">
        <is>
          <t>Cửa khẩu Tân Thanh, Tỉnh Lạng Sơn → Lương Sơn, Tỉnh Phú Thọ</t>
        </is>
      </c>
      <c r="I46" s="3" t="inlineStr">
        <is>
          <t>RFC-I2609330</t>
        </is>
      </c>
      <c r="J46" s="3" t="inlineStr">
        <is>
          <t>Hưng Giang</t>
        </is>
      </c>
      <c r="K46" s="3" t="n"/>
      <c r="L46" s="11" t="n">
        <v>46275</v>
      </c>
      <c r="M46" s="11" t="n">
        <v>46276</v>
      </c>
      <c r="N46" s="3" t="inlineStr">
        <is>
          <t>Đã thu tiền KH / Active</t>
        </is>
      </c>
      <c r="O46" s="3" t="inlineStr">
        <is>
          <t>Khớp</t>
        </is>
      </c>
    </row>
    <row r="47">
      <c r="A47" s="3" t="n">
        <v>64</v>
      </c>
      <c r="B47" s="3" t="n">
        <v>46</v>
      </c>
      <c r="C47" s="11" t="n">
        <v>46275</v>
      </c>
      <c r="D47" s="11" t="n">
        <v>46276</v>
      </c>
      <c r="E47" s="3" t="inlineStr">
        <is>
          <t>Hưng Giang</t>
        </is>
      </c>
      <c r="F47" s="3" t="inlineStr">
        <is>
          <t>Hoàng Dũng</t>
        </is>
      </c>
      <c r="G47" s="3" t="inlineStr">
        <is>
          <t>98H05381</t>
        </is>
      </c>
      <c r="H47" s="3" t="inlineStr">
        <is>
          <t>Cửa khẩu Tân Thanh, Tỉnh Lạng Sơn → Lương Sơn, Tỉnh Phú Thọ</t>
        </is>
      </c>
      <c r="I47" s="3" t="inlineStr">
        <is>
          <t>RFC-I2609335</t>
        </is>
      </c>
      <c r="J47" s="3" t="inlineStr">
        <is>
          <t>Hưng Giang</t>
        </is>
      </c>
      <c r="K47" s="3" t="n"/>
      <c r="L47" s="11" t="n">
        <v>46275</v>
      </c>
      <c r="M47" s="11" t="n">
        <v>46276</v>
      </c>
      <c r="N47" s="3" t="inlineStr">
        <is>
          <t>Đã thu tiền KH / Active</t>
        </is>
      </c>
      <c r="O47" s="3" t="inlineStr">
        <is>
          <t>Khớp</t>
        </is>
      </c>
    </row>
    <row r="48">
      <c r="A48" s="3" t="n">
        <v>65</v>
      </c>
      <c r="B48" s="3" t="n">
        <v>47</v>
      </c>
      <c r="C48" s="11" t="n">
        <v>46278</v>
      </c>
      <c r="D48" s="11" t="n">
        <v>46279</v>
      </c>
      <c r="E48" s="3" t="inlineStr">
        <is>
          <t>Hưng Giang</t>
        </is>
      </c>
      <c r="F48" s="3" t="inlineStr">
        <is>
          <t>Hoàng Dũng</t>
        </is>
      </c>
      <c r="G48" s="3" t="inlineStr">
        <is>
          <t>98H05381</t>
        </is>
      </c>
      <c r="H48" s="3" t="inlineStr">
        <is>
          <t>Cửa khẩu Tân Thanh, Tỉnh Lạng Sơn → Lương Sơn, Tỉnh Phú Thọ</t>
        </is>
      </c>
      <c r="I48" s="3" t="inlineStr">
        <is>
          <t>RFC-I2609336</t>
        </is>
      </c>
      <c r="J48" s="3" t="inlineStr">
        <is>
          <t>Hưng Giang</t>
        </is>
      </c>
      <c r="K48" s="3" t="inlineStr">
        <is>
          <t>98H05381</t>
        </is>
      </c>
      <c r="L48" s="11" t="n">
        <v>46278</v>
      </c>
      <c r="M48" s="11" t="n">
        <v>46279</v>
      </c>
      <c r="N48" s="3" t="inlineStr">
        <is>
          <t>Đã thu tiền KH / Active</t>
        </is>
      </c>
      <c r="O48" s="3" t="inlineStr">
        <is>
          <t>Khớp</t>
        </is>
      </c>
    </row>
    <row r="49">
      <c r="A49" s="3" t="n">
        <v>66</v>
      </c>
      <c r="B49" s="3" t="n">
        <v>48</v>
      </c>
      <c r="C49" s="11" t="n">
        <v>46282</v>
      </c>
      <c r="D49" s="11" t="n">
        <v>46283</v>
      </c>
      <c r="E49" s="3" t="inlineStr">
        <is>
          <t>TM</t>
        </is>
      </c>
      <c r="F49" s="3" t="inlineStr">
        <is>
          <t>Thắng Thao T&amp;T</t>
        </is>
      </c>
      <c r="G49" s="3" t="inlineStr">
        <is>
          <t>12H 02540</t>
        </is>
      </c>
      <c r="H49" s="3" t="inlineStr">
        <is>
          <t>Cửa khẩu Hữu Nghị, Tỉnh Lạng Sơn → Xã Cẩm Giàng, Thành phố Hải Phòng</t>
        </is>
      </c>
      <c r="I49" s="3" t="inlineStr">
        <is>
          <t>RFT-I2609644</t>
        </is>
      </c>
      <c r="J49" s="3" t="inlineStr">
        <is>
          <t>Tongmao</t>
        </is>
      </c>
      <c r="K49" s="3" t="inlineStr">
        <is>
          <t>2H 02540</t>
        </is>
      </c>
      <c r="L49" s="11" t="n">
        <v>46282</v>
      </c>
      <c r="M49" s="11" t="n">
        <v>46283</v>
      </c>
      <c r="N49" s="3" t="inlineStr">
        <is>
          <t>Xe đến điểm giao hàng / Active</t>
        </is>
      </c>
      <c r="O49" s="5" t="inlineStr">
        <is>
          <t>ID dính xuống dòng/khoảng trắng</t>
        </is>
      </c>
    </row>
    <row r="50">
      <c r="A50" s="3" t="n">
        <v>67</v>
      </c>
      <c r="B50" s="3" t="n">
        <v>49</v>
      </c>
      <c r="C50" s="11" t="n">
        <v>46285</v>
      </c>
      <c r="D50" s="11" t="n">
        <v>46286</v>
      </c>
      <c r="E50" s="3" t="inlineStr">
        <is>
          <t>TM</t>
        </is>
      </c>
      <c r="F50" s="3" t="inlineStr">
        <is>
          <t>Hoàng Dũng</t>
        </is>
      </c>
      <c r="G50" s="3" t="inlineStr">
        <is>
          <t>98H 04724</t>
        </is>
      </c>
      <c r="H50" s="3" t="inlineStr">
        <is>
          <t>Cửa khẩu Hữu Nghị, Tỉnh Lạng Sơn → Phường Đông Mai, Thành phố Quảng Ninh</t>
        </is>
      </c>
      <c r="I50" s="3" t="inlineStr">
        <is>
          <t>RFC-I2609648</t>
        </is>
      </c>
      <c r="J50" s="3" t="inlineStr">
        <is>
          <t>Tongmao</t>
        </is>
      </c>
      <c r="K50" s="3" t="inlineStr">
        <is>
          <t>98H04724</t>
        </is>
      </c>
      <c r="L50" s="11" t="n">
        <v>46285</v>
      </c>
      <c r="M50" s="11" t="n">
        <v>46286</v>
      </c>
      <c r="N50" s="3" t="inlineStr">
        <is>
          <t>Giao hàng thành công. / Active</t>
        </is>
      </c>
      <c r="O50" s="3" t="inlineStr">
        <is>
          <t>Khớp</t>
        </is>
      </c>
    </row>
    <row r="51">
      <c r="A51" s="3" t="n">
        <v>68</v>
      </c>
      <c r="B51" s="3" t="n">
        <v>50</v>
      </c>
      <c r="C51" s="11" t="n">
        <v>46285</v>
      </c>
      <c r="D51" s="11" t="n">
        <v>46286</v>
      </c>
      <c r="E51" s="3" t="inlineStr">
        <is>
          <t>Hưng Giang</t>
        </is>
      </c>
      <c r="F51" s="3" t="inlineStr">
        <is>
          <t>Hoàng Dũng</t>
        </is>
      </c>
      <c r="G51" s="3" t="inlineStr">
        <is>
          <t>98H 05381</t>
        </is>
      </c>
      <c r="H51" s="3" t="inlineStr">
        <is>
          <t>Cửa khẩu Tân Thanh, Tỉnh Lạng Sơn → Lương Sơn, Tỉnh Phú Thọ</t>
        </is>
      </c>
      <c r="I51" s="3" t="inlineStr">
        <is>
          <t>RFC-I2609533</t>
        </is>
      </c>
      <c r="J51" s="3" t="inlineStr">
        <is>
          <t>Hưng Giang</t>
        </is>
      </c>
      <c r="K51" s="3" t="inlineStr">
        <is>
          <t>98H05381</t>
        </is>
      </c>
      <c r="L51" s="11" t="n">
        <v>46285</v>
      </c>
      <c r="M51" s="11" t="n">
        <v>46286</v>
      </c>
      <c r="N51" s="3" t="inlineStr">
        <is>
          <t>Đã thu tiền KH / Active</t>
        </is>
      </c>
      <c r="O51" s="3" t="inlineStr">
        <is>
          <t>Khớp</t>
        </is>
      </c>
    </row>
    <row r="52">
      <c r="A52" s="3" t="n">
        <v>69</v>
      </c>
      <c r="B52" s="3" t="n">
        <v>51</v>
      </c>
      <c r="C52" s="11" t="n">
        <v>46286</v>
      </c>
      <c r="D52" s="11" t="n">
        <v>46288</v>
      </c>
      <c r="E52" s="3" t="inlineStr">
        <is>
          <t>Hưng Giang</t>
        </is>
      </c>
      <c r="F52" s="3" t="inlineStr">
        <is>
          <t>Hoàng Dũng</t>
        </is>
      </c>
      <c r="G52" s="3" t="inlineStr">
        <is>
          <t>98H04443</t>
        </is>
      </c>
      <c r="H52" s="3" t="inlineStr">
        <is>
          <t>Cửa khẩu Tân Thanh, Tỉnh Lạng Sơn → Lương Sơn, Tỉnh Phú Thọ</t>
        </is>
      </c>
      <c r="I52" s="3" t="inlineStr">
        <is>
          <t>RFC-I2609564</t>
        </is>
      </c>
      <c r="J52" s="3" t="inlineStr">
        <is>
          <t>Hưng Giang</t>
        </is>
      </c>
      <c r="K52" s="3" t="inlineStr">
        <is>
          <t>98H04443</t>
        </is>
      </c>
      <c r="L52" s="11" t="n">
        <v>46286</v>
      </c>
      <c r="M52" s="11" t="n">
        <v>46288</v>
      </c>
      <c r="N52" s="3" t="inlineStr">
        <is>
          <t>Đã thu tiền KH / Active</t>
        </is>
      </c>
      <c r="O52" s="3" t="inlineStr">
        <is>
          <t>Khớp</t>
        </is>
      </c>
    </row>
    <row r="53">
      <c r="A53" s="3" t="n">
        <v>70</v>
      </c>
      <c r="B53" s="3" t="n">
        <v>52</v>
      </c>
      <c r="C53" s="11" t="n">
        <v>46288</v>
      </c>
      <c r="D53" s="11" t="n">
        <v>46289</v>
      </c>
      <c r="E53" s="3" t="inlineStr">
        <is>
          <t>TM</t>
        </is>
      </c>
      <c r="F53" s="3" t="inlineStr">
        <is>
          <t>C&amp;T</t>
        </is>
      </c>
      <c r="G53" s="3" t="inlineStr">
        <is>
          <t>98C19539</t>
        </is>
      </c>
      <c r="H53" s="3" t="inlineStr">
        <is>
          <t>Cửa khẩu Hữu Nghị, Tỉnh Lạng Sơn → KCN Tiên Sơn,Thành Phố Bắc Ninh và Phường Đào Viên, Thành Phố Bắc Ninh</t>
        </is>
      </c>
      <c r="I53" s="3" t="inlineStr">
        <is>
          <t>RFC-I2609649</t>
        </is>
      </c>
      <c r="J53" s="3" t="inlineStr">
        <is>
          <t>Tongmao</t>
        </is>
      </c>
      <c r="K53" s="3" t="n"/>
      <c r="L53" s="11" t="n">
        <v>46288</v>
      </c>
      <c r="M53" s="11" t="n">
        <v>46289</v>
      </c>
      <c r="N53" s="3" t="inlineStr">
        <is>
          <t>Chờ xác nhận / Pending</t>
        </is>
      </c>
      <c r="O53" s="6" t="inlineStr">
        <is>
          <t>Freightek còn Pending (Chờ xác nhận)</t>
        </is>
      </c>
    </row>
    <row r="54">
      <c r="A54" s="3" t="n">
        <v>71</v>
      </c>
      <c r="B54" s="3" t="n">
        <v>53</v>
      </c>
      <c r="C54" s="11" t="n">
        <v>46289</v>
      </c>
      <c r="D54" s="11" t="n">
        <v>46293</v>
      </c>
      <c r="E54" s="3" t="inlineStr">
        <is>
          <t>TM</t>
        </is>
      </c>
      <c r="F54" s="3" t="inlineStr">
        <is>
          <t>Hinode</t>
        </is>
      </c>
      <c r="G54" s="3" t="inlineStr">
        <is>
          <t>29E46501</t>
        </is>
      </c>
      <c r="H54" s="3" t="inlineStr">
        <is>
          <t>KCN Tiên Sơn, Thành phố Bắc Ninh → Xã An Phước, Thành phố Đồng Nai</t>
        </is>
      </c>
      <c r="I54" s="3" t="inlineStr">
        <is>
          <t>RLT-E2609652</t>
        </is>
      </c>
      <c r="J54" s="3" t="inlineStr">
        <is>
          <t>Tongmao</t>
        </is>
      </c>
      <c r="K54" s="3" t="inlineStr">
        <is>
          <t>29E46501</t>
        </is>
      </c>
      <c r="L54" s="11" t="n">
        <v>46293</v>
      </c>
      <c r="M54" s="11" t="n">
        <v>46294</v>
      </c>
      <c r="N54" s="3" t="inlineStr">
        <is>
          <t>Đến điểm giao hàng / Active</t>
        </is>
      </c>
      <c r="O54" s="6" t="inlineStr">
        <is>
          <t>Lệch ngày lấy; Lệch ngày giao</t>
        </is>
      </c>
    </row>
    <row r="55">
      <c r="A55" s="3" t="n">
        <v>72</v>
      </c>
      <c r="B55" s="3" t="n">
        <v>54</v>
      </c>
      <c r="C55" s="11" t="n">
        <v>46288</v>
      </c>
      <c r="D55" s="11" t="n">
        <v>46289</v>
      </c>
      <c r="E55" s="3" t="inlineStr">
        <is>
          <t>ETOT</t>
        </is>
      </c>
      <c r="F55" s="3" t="inlineStr">
        <is>
          <t>Hinode</t>
        </is>
      </c>
      <c r="G55" s="3" t="inlineStr">
        <is>
          <t>29H84175</t>
        </is>
      </c>
      <c r="H55" s="3" t="inlineStr">
        <is>
          <t>Phường Phương Liễu, Thành phố Bắc Ninh → Phường Liên Chiểu, Thành phố Đà Nẵng</t>
        </is>
      </c>
      <c r="I55" s="3" t="inlineStr">
        <is>
          <t>RLT-D2609611</t>
        </is>
      </c>
      <c r="J55" s="3" t="inlineStr">
        <is>
          <t>ETOT</t>
        </is>
      </c>
      <c r="K55" s="3" t="inlineStr">
        <is>
          <t>29H84175</t>
        </is>
      </c>
      <c r="L55" s="11" t="n">
        <v>46288</v>
      </c>
      <c r="M55" s="11" t="n">
        <v>46289</v>
      </c>
      <c r="N55" s="3" t="inlineStr">
        <is>
          <t>Giao thành công / Active</t>
        </is>
      </c>
      <c r="O55" s="3" t="inlineStr">
        <is>
          <t>Khớp</t>
        </is>
      </c>
    </row>
    <row r="56">
      <c r="A56" s="3" t="n">
        <v>73</v>
      </c>
      <c r="B56" s="3" t="n">
        <v>55</v>
      </c>
      <c r="C56" s="11" t="n">
        <v>46289</v>
      </c>
      <c r="D56" s="11" t="n">
        <v>46290</v>
      </c>
      <c r="E56" s="3" t="inlineStr">
        <is>
          <t>TM</t>
        </is>
      </c>
      <c r="F56" s="3" t="inlineStr">
        <is>
          <t>FTG</t>
        </is>
      </c>
      <c r="G56" s="3" t="inlineStr">
        <is>
          <t>29E 81402</t>
        </is>
      </c>
      <c r="H56" s="3" t="inlineStr">
        <is>
          <t>Cửa khẩu Hữu Nghị, Tỉnh Lạng Sơn → Phường Nếnh, Thành phố Bắc Ninh và Xã Cẩm Giàng, Thành phố Hải Phòng</t>
        </is>
      </c>
      <c r="I56" s="3" t="inlineStr">
        <is>
          <t>RFT-I2609654</t>
        </is>
      </c>
      <c r="J56" s="3" t="inlineStr">
        <is>
          <t>Tongmao</t>
        </is>
      </c>
      <c r="K56" s="3" t="inlineStr">
        <is>
          <t>29E 81402; 29E81402</t>
        </is>
      </c>
      <c r="L56" s="11" t="n">
        <v>46289</v>
      </c>
      <c r="M56" s="11" t="n">
        <v>46290</v>
      </c>
      <c r="N56" s="3" t="inlineStr">
        <is>
          <t>Xe đến điểm giao hàng / Active</t>
        </is>
      </c>
      <c r="O56" s="3" t="inlineStr">
        <is>
          <t>Khớp</t>
        </is>
      </c>
    </row>
    <row r="57">
      <c r="A57" s="3" t="n">
        <v>75</v>
      </c>
      <c r="B57" s="3" t="n">
        <v>56</v>
      </c>
      <c r="C57" s="11" t="n">
        <v>46290</v>
      </c>
      <c r="D57" s="11" t="n">
        <v>46292</v>
      </c>
      <c r="E57" s="3" t="inlineStr">
        <is>
          <t>Linbo</t>
        </is>
      </c>
      <c r="F57" s="3" t="inlineStr">
        <is>
          <t>Ánh Bình Minh</t>
        </is>
      </c>
      <c r="G57" s="3" t="inlineStr">
        <is>
          <t>51C 94343</t>
        </is>
      </c>
      <c r="H57" s="3" t="inlineStr">
        <is>
          <t>Đào Viên, Thành phố Bắc Ninh → KCN Tân Bình, Thành phố Hồ Chí Minh</t>
        </is>
      </c>
      <c r="I57" s="3" t="inlineStr">
        <is>
          <t>RFC-D2609637</t>
        </is>
      </c>
      <c r="J57" s="3" t="inlineStr">
        <is>
          <t>Linbo</t>
        </is>
      </c>
      <c r="K57" s="3" t="inlineStr">
        <is>
          <t>51C 94343</t>
        </is>
      </c>
      <c r="L57" s="11" t="n">
        <v>46290</v>
      </c>
      <c r="M57" s="11" t="n">
        <v>46292</v>
      </c>
      <c r="N57" s="3" t="inlineStr">
        <is>
          <t>Giao thành công / Active</t>
        </is>
      </c>
      <c r="O57" s="3" t="inlineStr">
        <is>
          <t>Khớp</t>
        </is>
      </c>
    </row>
    <row r="58">
      <c r="A58" s="3" t="n">
        <v>76</v>
      </c>
      <c r="B58" s="3" t="n">
        <v>57</v>
      </c>
      <c r="C58" s="11" t="n">
        <v>46290</v>
      </c>
      <c r="D58" s="11" t="n">
        <v>46293</v>
      </c>
      <c r="E58" s="3" t="inlineStr">
        <is>
          <t>Linbo</t>
        </is>
      </c>
      <c r="F58" s="3" t="inlineStr">
        <is>
          <t>HPTEK</t>
        </is>
      </c>
      <c r="G58" s="3" t="inlineStr">
        <is>
          <t xml:space="preserve">
77H08331</t>
        </is>
      </c>
      <c r="H58" s="3" t="inlineStr">
        <is>
          <t>Đào Viên, Thành phố Bắc Ninh → KCN Tân Bình, Thành phố Hồ Chí Minh và KCN Mỹ Phước 1, Thành phố Hồ Chí Minh</t>
        </is>
      </c>
      <c r="I58" s="3" t="inlineStr">
        <is>
          <t>RFC-D2609638</t>
        </is>
      </c>
      <c r="J58" s="3" t="inlineStr">
        <is>
          <t>Linbo</t>
        </is>
      </c>
      <c r="K58" s="3" t="inlineStr">
        <is>
          <t>77H08331</t>
        </is>
      </c>
      <c r="L58" s="11" t="n">
        <v>46290</v>
      </c>
      <c r="M58" s="11" t="n">
        <v>46293</v>
      </c>
      <c r="N58" s="3" t="inlineStr">
        <is>
          <t>Chờ xác nhận / Pending</t>
        </is>
      </c>
      <c r="O58" s="6" t="inlineStr">
        <is>
          <t>Freightek còn Pending (Chờ xác nhận)</t>
        </is>
      </c>
    </row>
    <row r="59">
      <c r="A59" s="3" t="n">
        <v>77</v>
      </c>
      <c r="B59" s="3" t="n">
        <v>58</v>
      </c>
      <c r="C59" s="11" t="n">
        <v>46290</v>
      </c>
      <c r="D59" s="11" t="n">
        <v>46291</v>
      </c>
      <c r="E59" s="3" t="inlineStr">
        <is>
          <t>Hưng Giang</t>
        </is>
      </c>
      <c r="F59" s="3" t="inlineStr">
        <is>
          <t>Hoàng Dũng</t>
        </is>
      </c>
      <c r="G59" s="3" t="inlineStr">
        <is>
          <t>98H 05381</t>
        </is>
      </c>
      <c r="H59" s="3" t="inlineStr">
        <is>
          <t>Cửa khẩu Tân Thanh, Tỉnh Lạng Sơn → Lương Sơn, Tỉnh Phú Thọ</t>
        </is>
      </c>
      <c r="I59" s="3" t="inlineStr">
        <is>
          <t>RFC-I2609639</t>
        </is>
      </c>
      <c r="J59" s="3" t="inlineStr">
        <is>
          <t>Hưng Giang</t>
        </is>
      </c>
      <c r="K59" s="3" t="inlineStr">
        <is>
          <t>98H 05381</t>
        </is>
      </c>
      <c r="L59" s="11" t="n">
        <v>46290</v>
      </c>
      <c r="M59" s="11" t="n">
        <v>46291</v>
      </c>
      <c r="N59" s="3" t="inlineStr">
        <is>
          <t>Đã thu tiền KH / Active</t>
        </is>
      </c>
      <c r="O59" s="3" t="inlineStr">
        <is>
          <t>Khớp</t>
        </is>
      </c>
    </row>
    <row r="60">
      <c r="A60" s="3" t="n">
        <v>78</v>
      </c>
      <c r="B60" s="3" t="n">
        <v>59</v>
      </c>
      <c r="C60" s="11" t="n">
        <v>46293</v>
      </c>
      <c r="D60" s="11" t="n">
        <v>46294</v>
      </c>
      <c r="E60" s="3" t="inlineStr">
        <is>
          <t>Hưng Giang</t>
        </is>
      </c>
      <c r="F60" s="3" t="inlineStr">
        <is>
          <t>An Phong</t>
        </is>
      </c>
      <c r="G60" s="3" t="inlineStr">
        <is>
          <t>98H07407</t>
        </is>
      </c>
      <c r="H60" s="3" t="inlineStr">
        <is>
          <t>Cửa khẩu Tân Thanh, Tỉnh Lạng Sơn → Lương Sơn, Tỉnh Phú Thọ</t>
        </is>
      </c>
      <c r="I60" s="3" t="inlineStr">
        <is>
          <t>RFC-I2609640</t>
        </is>
      </c>
      <c r="J60" s="3" t="inlineStr">
        <is>
          <t>Hưng Giang</t>
        </is>
      </c>
      <c r="K60" s="3" t="inlineStr">
        <is>
          <t>98H07407</t>
        </is>
      </c>
      <c r="L60" s="11" t="n">
        <v>46293</v>
      </c>
      <c r="M60" s="11" t="n">
        <v>46294</v>
      </c>
      <c r="N60" s="3" t="inlineStr">
        <is>
          <t>Đã thu tiền KH / Active</t>
        </is>
      </c>
      <c r="O60" s="3" t="inlineStr">
        <is>
          <t>Khớp</t>
        </is>
      </c>
    </row>
    <row r="61">
      <c r="A61" s="3" t="n">
        <v>79</v>
      </c>
      <c r="B61" s="3" t="n">
        <v>60</v>
      </c>
      <c r="C61" s="11" t="n">
        <v>46293</v>
      </c>
      <c r="D61" s="11" t="n">
        <v>46294</v>
      </c>
      <c r="E61" s="3" t="inlineStr">
        <is>
          <t>TM</t>
        </is>
      </c>
      <c r="F61" s="3" t="inlineStr">
        <is>
          <t>Ngọc An</t>
        </is>
      </c>
      <c r="G61" s="3" t="inlineStr">
        <is>
          <t>12H 05295</t>
        </is>
      </c>
      <c r="H61" s="3" t="inlineStr">
        <is>
          <t>Cửa khẩu Hữu Nghị, Tỉnh Lạng Sơn → KCN Tiên Sơn, Thành phố Bắc Ninh</t>
        </is>
      </c>
      <c r="I61" s="3" t="inlineStr">
        <is>
          <t>RFT-I2609660</t>
        </is>
      </c>
      <c r="J61" s="3" t="inlineStr">
        <is>
          <t>Tongmao</t>
        </is>
      </c>
      <c r="K61" s="3" t="inlineStr">
        <is>
          <t>12H 05295; 12H 05295</t>
        </is>
      </c>
      <c r="L61" s="11" t="n">
        <v>46293</v>
      </c>
      <c r="M61" s="11" t="n">
        <v>46294</v>
      </c>
      <c r="N61" s="3" t="inlineStr">
        <is>
          <t>Xe đến điểm giao hàng / Active</t>
        </is>
      </c>
      <c r="O61" s="3" t="inlineStr">
        <is>
          <t>Khớp</t>
        </is>
      </c>
    </row>
    <row r="62">
      <c r="A62" s="3" t="n">
        <v>80</v>
      </c>
      <c r="B62" s="3" t="n">
        <v>61</v>
      </c>
      <c r="C62" s="11" t="n">
        <v>46294</v>
      </c>
      <c r="D62" s="11" t="n">
        <v>46296</v>
      </c>
      <c r="E62" s="3" t="inlineStr">
        <is>
          <t>TM</t>
        </is>
      </c>
      <c r="F62" s="3" t="inlineStr">
        <is>
          <t>Bảo Lâm</t>
        </is>
      </c>
      <c r="G62" s="3" t="inlineStr">
        <is>
          <t>99E01858</t>
        </is>
      </c>
      <c r="H62" s="3" t="inlineStr">
        <is>
          <t>KCN Tiên Sơn, Thành phố Bắc Ninh → Xã An Phước, Thành phố Đồng Nai</t>
        </is>
      </c>
      <c r="I62" s="3" t="inlineStr">
        <is>
          <t>RLT-I2610135</t>
        </is>
      </c>
      <c r="J62" s="3" t="inlineStr">
        <is>
          <t>Tongmao</t>
        </is>
      </c>
      <c r="K62" s="3" t="inlineStr">
        <is>
          <t>99E01858</t>
        </is>
      </c>
      <c r="L62" s="11" t="n">
        <v>46294</v>
      </c>
      <c r="M62" s="11" t="n">
        <v>46296</v>
      </c>
      <c r="N62" s="3" t="inlineStr">
        <is>
          <t>Xe đến điểm giao hàng / Active</t>
        </is>
      </c>
      <c r="O62" s="3" t="inlineStr">
        <is>
          <t>Khớp</t>
        </is>
      </c>
    </row>
    <row r="63">
      <c r="A63" s="3" t="n">
        <v>81</v>
      </c>
      <c r="B63" s="3" t="n">
        <v>62</v>
      </c>
      <c r="C63" s="11" t="n">
        <v>46260</v>
      </c>
      <c r="D63" s="3" t="n"/>
      <c r="E63" s="3" t="inlineStr">
        <is>
          <t>TM</t>
        </is>
      </c>
      <c r="F63" s="3" t="inlineStr">
        <is>
          <t>C&amp;T</t>
        </is>
      </c>
      <c r="G63" s="3" t="inlineStr">
        <is>
          <t>98E01083</t>
        </is>
      </c>
      <c r="H63" s="3" t="inlineStr">
        <is>
          <t>Cửa khẩu Hữu Nghị, Tỉnh Lạng Sơn → KCN Tiên Sơn, Thành phố Bắc Ninh</t>
        </is>
      </c>
      <c r="I63" s="3" t="n"/>
      <c r="J63" s="3" t="n"/>
      <c r="K63" s="3" t="n"/>
      <c r="L63" s="3" t="n"/>
      <c r="M63" s="3" t="n"/>
      <c r="N63" s="3" t="n"/>
      <c r="O63" s="6" t="inlineStr">
        <is>
          <t>Không có ID</t>
        </is>
      </c>
    </row>
    <row r="64">
      <c r="A64" s="3" t="n">
        <v>82</v>
      </c>
      <c r="B64" s="3" t="n">
        <v>63</v>
      </c>
      <c r="C64" s="11" t="n">
        <v>46295</v>
      </c>
      <c r="D64" s="11" t="n">
        <v>46296</v>
      </c>
      <c r="E64" s="3" t="inlineStr">
        <is>
          <t>Hưng Giang</t>
        </is>
      </c>
      <c r="F64" s="3" t="inlineStr">
        <is>
          <t>Hoàng Dũng</t>
        </is>
      </c>
      <c r="G64" s="3" t="inlineStr">
        <is>
          <t>98H 05381</t>
        </is>
      </c>
      <c r="H64" s="3" t="inlineStr">
        <is>
          <t>Cửa khẩu Tân Thanh, Tỉnh Lạng Sơn → Lương Sơn, Tỉnh Phú Thọ</t>
        </is>
      </c>
      <c r="I64" s="3" t="inlineStr">
        <is>
          <t>RFC-I2610128</t>
        </is>
      </c>
      <c r="J64" s="3" t="inlineStr">
        <is>
          <t>Hưng Giang</t>
        </is>
      </c>
      <c r="K64" s="3" t="inlineStr">
        <is>
          <t>98H 05381</t>
        </is>
      </c>
      <c r="L64" s="11" t="n">
        <v>46295</v>
      </c>
      <c r="M64" s="11" t="n">
        <v>46296</v>
      </c>
      <c r="N64" s="3" t="inlineStr">
        <is>
          <t>Đã thu tiền KH / Active</t>
        </is>
      </c>
      <c r="O64" s="3" t="inlineStr">
        <is>
          <t>Khớp</t>
        </is>
      </c>
    </row>
    <row r="65">
      <c r="A65" s="3" t="n">
        <v>83</v>
      </c>
      <c r="B65" s="3" t="n">
        <v>64</v>
      </c>
      <c r="C65" s="11" t="n">
        <v>46292</v>
      </c>
      <c r="D65" s="11" t="n">
        <v>46293</v>
      </c>
      <c r="E65" s="3" t="inlineStr">
        <is>
          <t>TM</t>
        </is>
      </c>
      <c r="F65" s="3" t="inlineStr">
        <is>
          <t>Bap Log</t>
        </is>
      </c>
      <c r="G65" s="3" t="inlineStr">
        <is>
          <t>12H02837</t>
        </is>
      </c>
      <c r="H65" s="3" t="inlineStr">
        <is>
          <t>Cửa khẩu Hữu Nghị, Tỉnh Lạng Sơn → Phường Đông Mai, Thành phố Quảng Ninh</t>
        </is>
      </c>
      <c r="I65" s="3" t="inlineStr">
        <is>
          <t>RFC-E2609742</t>
        </is>
      </c>
      <c r="J65" s="3" t="inlineStr">
        <is>
          <t>Tongmao</t>
        </is>
      </c>
      <c r="K65" s="3" t="inlineStr">
        <is>
          <t>12H02837</t>
        </is>
      </c>
      <c r="L65" s="11" t="n">
        <v>46292</v>
      </c>
      <c r="M65" s="11" t="n">
        <v>46323</v>
      </c>
      <c r="N65" s="3" t="inlineStr">
        <is>
          <t>Giao hàng thành công. / Active</t>
        </is>
      </c>
      <c r="O65" s="6" t="inlineStr">
        <is>
          <t>Lệch ngày giao</t>
        </is>
      </c>
    </row>
  </sheetData>
  <autoFilter ref="A1:O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2026-10-20T05:37:24Z</dcterms:created>
  <dcterms:modified xmlns:dcterms="http://purl.org/dc/terms/" xmlns:xsi="http://www.w3.org/2001/XMLSchema-instance" xsi:type="dcterms:W3CDTF">2026-10-20T06:31:19Z</dcterms:modified>
</cp:coreProperties>
</file>