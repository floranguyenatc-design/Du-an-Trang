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Doanh thu" sheetId="2" state="visible" r:id="rId2"/>
    <sheet xmlns:r="http://schemas.openxmlformats.org/officeDocument/2006/relationships" name="Chi phí" sheetId="3" state="visible" r:id="rId3"/>
    <sheet xmlns:r="http://schemas.openxmlformats.org/officeDocument/2006/relationships" name="Đối chiếu HĐ" sheetId="4" state="visible" r:id="rId4"/>
    <sheet xmlns:r="http://schemas.openxmlformats.org/officeDocument/2006/relationships" name="Cần xác nhận" sheetId="5" state="visible" r:id="rId5"/>
  </sheets>
  <definedNames>
    <definedName name="_xlnm._FilterDatabase" localSheetId="2" hidden="1">'Chi phí'!$A$4:$Q$43</definedName>
  </definedNames>
  <calcPr calcId="124519" fullCalcOnLoad="1"/>
</workbook>
</file>

<file path=xl/styles.xml><?xml version="1.0" encoding="utf-8"?>
<styleSheet xmlns="http://schemas.openxmlformats.org/spreadsheetml/2006/main">
  <numFmts count="3">
    <numFmt numFmtId="164" formatCode="#,##0.###"/>
    <numFmt numFmtId="165" formatCode="#,##0;[Red](#,##0);&quot;-&quot;"/>
    <numFmt numFmtId="166" formatCode="0.0%;[Red]-0.0%;&quot;-&quot;"/>
  </numFmts>
  <fonts count="7">
    <font>
      <name val="Calibri"/>
      <family val="2"/>
      <color theme="1"/>
      <sz val="11"/>
      <scheme val="minor"/>
    </font>
    <font>
      <name val="Arial"/>
      <b val="1"/>
      <sz val="12"/>
    </font>
    <font>
      <name val="Arial"/>
      <i val="1"/>
      <sz val="10"/>
    </font>
    <font>
      <name val="Arial"/>
      <b val="1"/>
      <color rgb="00FFFFFF"/>
      <sz val="10"/>
    </font>
    <font>
      <name val="Arial"/>
      <sz val="10"/>
    </font>
    <font>
      <name val="Arial"/>
      <b val="1"/>
      <sz val="10"/>
    </font>
    <font>
      <name val="Arial"/>
      <b val="1"/>
      <sz val="13"/>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6" fillId="0" borderId="0" pivotButton="0" quotePrefix="0" xfId="0"/>
    <xf numFmtId="0" fontId="2" fillId="0" borderId="0" pivotButton="0" quotePrefix="0" xfId="0"/>
    <xf numFmtId="0" fontId="3" fillId="2" borderId="1" applyAlignment="1" pivotButton="0" quotePrefix="0" xfId="0">
      <alignment horizontal="center" vertical="center" wrapText="1"/>
    </xf>
    <xf numFmtId="165" fontId="5" fillId="0" borderId="1" pivotButton="0" quotePrefix="0" xfId="0"/>
    <xf numFmtId="165" fontId="4" fillId="0" borderId="1" pivotButton="0" quotePrefix="0" xfId="0"/>
    <xf numFmtId="166" fontId="4" fillId="0" borderId="1" pivotButton="0" quotePrefix="0" xfId="0"/>
    <xf numFmtId="165" fontId="5" fillId="3" borderId="1" pivotButton="0" quotePrefix="0" xfId="0"/>
    <xf numFmtId="166" fontId="5" fillId="3" borderId="1" pivotButton="0" quotePrefix="0" xfId="0"/>
    <xf numFmtId="0" fontId="5" fillId="0" borderId="0" pivotButton="0" quotePrefix="0" xfId="0"/>
    <xf numFmtId="0" fontId="5" fillId="0" borderId="1" pivotButton="0" quotePrefix="0" xfId="0"/>
    <xf numFmtId="0" fontId="4" fillId="0" borderId="1" pivotButton="0" quotePrefix="0" xfId="0"/>
    <xf numFmtId="0" fontId="5" fillId="3" borderId="1" pivotButton="0" quotePrefix="0" xfId="0"/>
    <xf numFmtId="0" fontId="1" fillId="0" borderId="0" pivotButton="0" quotePrefix="0" xfId="0"/>
    <xf numFmtId="0" fontId="4" fillId="0" borderId="1" applyAlignment="1" pivotButton="0" quotePrefix="0" xfId="0">
      <alignment vertical="top" wrapText="1"/>
    </xf>
    <xf numFmtId="164" fontId="4" fillId="0" borderId="1" pivotButton="0" quotePrefix="0" xfId="0"/>
    <xf numFmtId="9" fontId="4" fillId="0"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3" customWidth="1" min="12" max="12"/>
  </cols>
  <sheetData>
    <row r="1">
      <c r="A1" s="1" t="inlineStr">
        <is>
          <t>BÁO CÁO DOANH THU – CHI PHÍ THEO CÔNG TRÌNH, QUÝ III/2026</t>
        </is>
      </c>
    </row>
    <row r="2">
      <c r="A2" s="2" t="inlineStr">
        <is>
          <t>Cty TNHH Thương mại Hưng Mộc (MST 2803104433) · Đơn vị: VNĐ · Số liệu trước thuế GTGT, theo ngày hóa đơn</t>
        </is>
      </c>
    </row>
    <row r="4" ht="44" customHeight="1">
      <c r="A4" s="3" t="inlineStr">
        <is>
          <t>Nhóm công trình</t>
        </is>
      </c>
      <c r="B4" s="3" t="inlineStr">
        <is>
          <t>Doanh thu</t>
        </is>
      </c>
      <c r="C4" s="3" t="inlineStr">
        <is>
          <t>Ván MDF/Melamine &amp; tấm bề mặt</t>
        </is>
      </c>
      <c r="D4" s="3" t="inlineStr">
        <is>
          <t>Chỉ/nẹp PVC</t>
        </is>
      </c>
      <c r="E4" s="3" t="inlineStr">
        <is>
          <t>Kính cường lực</t>
        </is>
      </c>
      <c r="F4" s="3" t="inlineStr">
        <is>
          <t>Nhôm – sắt</t>
        </is>
      </c>
      <c r="G4" s="3" t="inlineStr">
        <is>
          <t>Mica, nhựa, keo &amp; vật tư phụ</t>
        </is>
      </c>
      <c r="H4" s="3" t="inlineStr">
        <is>
          <t>Vận chuyển</t>
        </is>
      </c>
      <c r="I4" s="3" t="inlineStr">
        <is>
          <t>Hàng hóa mua bán (thiết bị)</t>
        </is>
      </c>
      <c r="J4" s="3" t="inlineStr">
        <is>
          <t>Tổng chi phí</t>
        </is>
      </c>
      <c r="K4" s="3" t="inlineStr">
        <is>
          <t>Lãi gộp</t>
        </is>
      </c>
      <c r="L4" s="3" t="inlineStr">
        <is>
          <t>Chi phí / Doanh thu</t>
        </is>
      </c>
    </row>
    <row r="5">
      <c r="A5" s="4" t="inlineStr">
        <is>
          <t>AEON – Golden Sea (GS)</t>
        </is>
      </c>
      <c r="B5" s="5">
        <f>SUMIFS('Doanh thu'!$L$5:$L$14,'Doanh thu'!$B$5:$B$14,$A5)</f>
        <v/>
      </c>
      <c r="C5" s="5">
        <f>SUMIFS('Chi phí'!$L$5:$L$43,'Chi phí'!$B$5:$B$43,$A5,'Chi phí'!$O$5:$O$43,C$4,'Chi phí'!$P$5:$P$43,"Có")</f>
        <v/>
      </c>
      <c r="D5" s="5">
        <f>SUMIFS('Chi phí'!$L$5:$L$43,'Chi phí'!$B$5:$B$43,$A5,'Chi phí'!$O$5:$O$43,D$4,'Chi phí'!$P$5:$P$43,"Có")</f>
        <v/>
      </c>
      <c r="E5" s="5">
        <f>SUMIFS('Chi phí'!$L$5:$L$43,'Chi phí'!$B$5:$B$43,$A5,'Chi phí'!$O$5:$O$43,E$4,'Chi phí'!$P$5:$P$43,"Có")</f>
        <v/>
      </c>
      <c r="F5" s="5">
        <f>SUMIFS('Chi phí'!$L$5:$L$43,'Chi phí'!$B$5:$B$43,$A5,'Chi phí'!$O$5:$O$43,F$4,'Chi phí'!$P$5:$P$43,"Có")</f>
        <v/>
      </c>
      <c r="G5" s="5">
        <f>SUMIFS('Chi phí'!$L$5:$L$43,'Chi phí'!$B$5:$B$43,$A5,'Chi phí'!$O$5:$O$43,G$4,'Chi phí'!$P$5:$P$43,"Có")</f>
        <v/>
      </c>
      <c r="H5" s="5">
        <f>SUMIFS('Chi phí'!$L$5:$L$43,'Chi phí'!$B$5:$B$43,$A5,'Chi phí'!$O$5:$O$43,H$4,'Chi phí'!$P$5:$P$43,"Có")</f>
        <v/>
      </c>
      <c r="I5" s="5">
        <f>SUMIFS('Chi phí'!$L$5:$L$43,'Chi phí'!$B$5:$B$43,$A5,'Chi phí'!$O$5:$O$43,I$4,'Chi phí'!$P$5:$P$43,"Có")</f>
        <v/>
      </c>
      <c r="J5" s="5">
        <f>SUM(C5:I5)</f>
        <v/>
      </c>
      <c r="K5" s="5">
        <f>B5-J5</f>
        <v/>
      </c>
      <c r="L5" s="6">
        <f>IF(B5=0,"",J5/B5)</f>
        <v/>
      </c>
    </row>
    <row r="6">
      <c r="A6" s="4" t="inlineStr">
        <is>
          <t>AEON – Nhóm Thống (Taco + ICO)</t>
        </is>
      </c>
      <c r="B6" s="5">
        <f>SUMIFS('Doanh thu'!$L$5:$L$14,'Doanh thu'!$B$5:$B$14,$A6)</f>
        <v/>
      </c>
      <c r="C6" s="5">
        <f>SUMIFS('Chi phí'!$L$5:$L$43,'Chi phí'!$B$5:$B$43,$A6,'Chi phí'!$O$5:$O$43,C$4,'Chi phí'!$P$5:$P$43,"Có")</f>
        <v/>
      </c>
      <c r="D6" s="5">
        <f>SUMIFS('Chi phí'!$L$5:$L$43,'Chi phí'!$B$5:$B$43,$A6,'Chi phí'!$O$5:$O$43,D$4,'Chi phí'!$P$5:$P$43,"Có")</f>
        <v/>
      </c>
      <c r="E6" s="5">
        <f>SUMIFS('Chi phí'!$L$5:$L$43,'Chi phí'!$B$5:$B$43,$A6,'Chi phí'!$O$5:$O$43,E$4,'Chi phí'!$P$5:$P$43,"Có")</f>
        <v/>
      </c>
      <c r="F6" s="5">
        <f>SUMIFS('Chi phí'!$L$5:$L$43,'Chi phí'!$B$5:$B$43,$A6,'Chi phí'!$O$5:$O$43,F$4,'Chi phí'!$P$5:$P$43,"Có")</f>
        <v/>
      </c>
      <c r="G6" s="5">
        <f>SUMIFS('Chi phí'!$L$5:$L$43,'Chi phí'!$B$5:$B$43,$A6,'Chi phí'!$O$5:$O$43,G$4,'Chi phí'!$P$5:$P$43,"Có")</f>
        <v/>
      </c>
      <c r="H6" s="5">
        <f>SUMIFS('Chi phí'!$L$5:$L$43,'Chi phí'!$B$5:$B$43,$A6,'Chi phí'!$O$5:$O$43,H$4,'Chi phí'!$P$5:$P$43,"Có")</f>
        <v/>
      </c>
      <c r="I6" s="5">
        <f>SUMIFS('Chi phí'!$L$5:$L$43,'Chi phí'!$B$5:$B$43,$A6,'Chi phí'!$O$5:$O$43,I$4,'Chi phí'!$P$5:$P$43,"Có")</f>
        <v/>
      </c>
      <c r="J6" s="5">
        <f>SUM(C6:I6)</f>
        <v/>
      </c>
      <c r="K6" s="5">
        <f>B6-J6</f>
        <v/>
      </c>
      <c r="L6" s="6">
        <f>IF(B6=0,"",J6/B6)</f>
        <v/>
      </c>
    </row>
    <row r="7">
      <c r="A7" s="4" t="inlineStr">
        <is>
          <t>Moly (Hua Long)</t>
        </is>
      </c>
      <c r="B7" s="5">
        <f>SUMIFS('Doanh thu'!$L$5:$L$14,'Doanh thu'!$B$5:$B$14,$A7)</f>
        <v/>
      </c>
      <c r="C7" s="5">
        <f>SUMIFS('Chi phí'!$L$5:$L$43,'Chi phí'!$B$5:$B$43,$A7,'Chi phí'!$O$5:$O$43,C$4,'Chi phí'!$P$5:$P$43,"Có")</f>
        <v/>
      </c>
      <c r="D7" s="5">
        <f>SUMIFS('Chi phí'!$L$5:$L$43,'Chi phí'!$B$5:$B$43,$A7,'Chi phí'!$O$5:$O$43,D$4,'Chi phí'!$P$5:$P$43,"Có")</f>
        <v/>
      </c>
      <c r="E7" s="5">
        <f>SUMIFS('Chi phí'!$L$5:$L$43,'Chi phí'!$B$5:$B$43,$A7,'Chi phí'!$O$5:$O$43,E$4,'Chi phí'!$P$5:$P$43,"Có")</f>
        <v/>
      </c>
      <c r="F7" s="5">
        <f>SUMIFS('Chi phí'!$L$5:$L$43,'Chi phí'!$B$5:$B$43,$A7,'Chi phí'!$O$5:$O$43,F$4,'Chi phí'!$P$5:$P$43,"Có")</f>
        <v/>
      </c>
      <c r="G7" s="5">
        <f>SUMIFS('Chi phí'!$L$5:$L$43,'Chi phí'!$B$5:$B$43,$A7,'Chi phí'!$O$5:$O$43,G$4,'Chi phí'!$P$5:$P$43,"Có")</f>
        <v/>
      </c>
      <c r="H7" s="5">
        <f>SUMIFS('Chi phí'!$L$5:$L$43,'Chi phí'!$B$5:$B$43,$A7,'Chi phí'!$O$5:$O$43,H$4,'Chi phí'!$P$5:$P$43,"Có")</f>
        <v/>
      </c>
      <c r="I7" s="5">
        <f>SUMIFS('Chi phí'!$L$5:$L$43,'Chi phí'!$B$5:$B$43,$A7,'Chi phí'!$O$5:$O$43,I$4,'Chi phí'!$P$5:$P$43,"Có")</f>
        <v/>
      </c>
      <c r="J7" s="5">
        <f>SUM(C7:I7)</f>
        <v/>
      </c>
      <c r="K7" s="5">
        <f>B7-J7</f>
        <v/>
      </c>
      <c r="L7" s="6">
        <f>IF(B7=0,"",J7/B7)</f>
        <v/>
      </c>
    </row>
    <row r="8">
      <c r="A8" s="4" t="inlineStr">
        <is>
          <t>SSTH (Smart Shopping)</t>
        </is>
      </c>
      <c r="B8" s="5">
        <f>SUMIFS('Doanh thu'!$L$5:$L$14,'Doanh thu'!$B$5:$B$14,$A8)</f>
        <v/>
      </c>
      <c r="C8" s="5">
        <f>SUMIFS('Chi phí'!$L$5:$L$43,'Chi phí'!$B$5:$B$43,$A8,'Chi phí'!$O$5:$O$43,C$4,'Chi phí'!$P$5:$P$43,"Có")</f>
        <v/>
      </c>
      <c r="D8" s="5">
        <f>SUMIFS('Chi phí'!$L$5:$L$43,'Chi phí'!$B$5:$B$43,$A8,'Chi phí'!$O$5:$O$43,D$4,'Chi phí'!$P$5:$P$43,"Có")</f>
        <v/>
      </c>
      <c r="E8" s="5">
        <f>SUMIFS('Chi phí'!$L$5:$L$43,'Chi phí'!$B$5:$B$43,$A8,'Chi phí'!$O$5:$O$43,E$4,'Chi phí'!$P$5:$P$43,"Có")</f>
        <v/>
      </c>
      <c r="F8" s="5">
        <f>SUMIFS('Chi phí'!$L$5:$L$43,'Chi phí'!$B$5:$B$43,$A8,'Chi phí'!$O$5:$O$43,F$4,'Chi phí'!$P$5:$P$43,"Có")</f>
        <v/>
      </c>
      <c r="G8" s="5">
        <f>SUMIFS('Chi phí'!$L$5:$L$43,'Chi phí'!$B$5:$B$43,$A8,'Chi phí'!$O$5:$O$43,G$4,'Chi phí'!$P$5:$P$43,"Có")</f>
        <v/>
      </c>
      <c r="H8" s="5">
        <f>SUMIFS('Chi phí'!$L$5:$L$43,'Chi phí'!$B$5:$B$43,$A8,'Chi phí'!$O$5:$O$43,H$4,'Chi phí'!$P$5:$P$43,"Có")</f>
        <v/>
      </c>
      <c r="I8" s="5">
        <f>SUMIFS('Chi phí'!$L$5:$L$43,'Chi phí'!$B$5:$B$43,$A8,'Chi phí'!$O$5:$O$43,I$4,'Chi phí'!$P$5:$P$43,"Có")</f>
        <v/>
      </c>
      <c r="J8" s="5">
        <f>SUM(C8:I8)</f>
        <v/>
      </c>
      <c r="K8" s="5">
        <f>B8-J8</f>
        <v/>
      </c>
      <c r="L8" s="6">
        <f>IF(B8=0,"",J8/B8)</f>
        <v/>
      </c>
    </row>
    <row r="9">
      <c r="A9" s="7" t="inlineStr">
        <is>
          <t>TỔNG CỘNG</t>
        </is>
      </c>
      <c r="B9" s="7">
        <f>SUM(B5:B8)</f>
        <v/>
      </c>
      <c r="C9" s="7">
        <f>SUM(C5:C8)</f>
        <v/>
      </c>
      <c r="D9" s="7">
        <f>SUM(D5:D8)</f>
        <v/>
      </c>
      <c r="E9" s="7">
        <f>SUM(E5:E8)</f>
        <v/>
      </c>
      <c r="F9" s="7">
        <f>SUM(F5:F8)</f>
        <v/>
      </c>
      <c r="G9" s="7">
        <f>SUM(G5:G8)</f>
        <v/>
      </c>
      <c r="H9" s="7">
        <f>SUM(H5:H8)</f>
        <v/>
      </c>
      <c r="I9" s="7">
        <f>SUM(I5:I8)</f>
        <v/>
      </c>
      <c r="J9" s="7">
        <f>SUM(J5:J8)</f>
        <v/>
      </c>
      <c r="K9" s="7">
        <f>SUM(K5:K8)</f>
        <v/>
      </c>
      <c r="L9" s="8">
        <f>IF(B9=0,"",J9/B9)</f>
        <v/>
      </c>
    </row>
    <row r="11">
      <c r="A11" s="9" t="inlineStr">
        <is>
          <t>Tỷ trọng từng đầu mục chi phí trên doanh thu</t>
        </is>
      </c>
    </row>
    <row r="12" ht="32" customHeight="1">
      <c r="A12" s="3" t="inlineStr">
        <is>
          <t>Nhóm công trình</t>
        </is>
      </c>
      <c r="B12" s="3" t="inlineStr"/>
      <c r="C12" s="3" t="inlineStr">
        <is>
          <t>Ván MDF/Melamine &amp; tấm bề mặt</t>
        </is>
      </c>
      <c r="D12" s="3" t="inlineStr">
        <is>
          <t>Chỉ/nẹp PVC</t>
        </is>
      </c>
      <c r="E12" s="3" t="inlineStr">
        <is>
          <t>Kính cường lực</t>
        </is>
      </c>
      <c r="F12" s="3" t="inlineStr">
        <is>
          <t>Nhôm – sắt</t>
        </is>
      </c>
      <c r="G12" s="3" t="inlineStr">
        <is>
          <t>Mica, nhựa, keo &amp; vật tư phụ</t>
        </is>
      </c>
      <c r="H12" s="3" t="inlineStr">
        <is>
          <t>Vận chuyển</t>
        </is>
      </c>
      <c r="I12" s="3" t="inlineStr">
        <is>
          <t>Hàng hóa mua bán (thiết bị)</t>
        </is>
      </c>
      <c r="J12" s="3" t="inlineStr">
        <is>
          <t>Tổng chi phí</t>
        </is>
      </c>
      <c r="K12" s="3" t="inlineStr"/>
      <c r="L12" s="3" t="inlineStr"/>
    </row>
    <row r="13">
      <c r="A13" s="10" t="inlineStr">
        <is>
          <t>AEON – Golden Sea (GS)</t>
        </is>
      </c>
      <c r="B13" s="11" t="n"/>
      <c r="C13" s="6">
        <f>IF($B5=0,"",C5/$B5)</f>
        <v/>
      </c>
      <c r="D13" s="6">
        <f>IF($B5=0,"",D5/$B5)</f>
        <v/>
      </c>
      <c r="E13" s="6">
        <f>IF($B5=0,"",E5/$B5)</f>
        <v/>
      </c>
      <c r="F13" s="6">
        <f>IF($B5=0,"",F5/$B5)</f>
        <v/>
      </c>
      <c r="G13" s="6">
        <f>IF($B5=0,"",G5/$B5)</f>
        <v/>
      </c>
      <c r="H13" s="6">
        <f>IF($B5=0,"",H5/$B5)</f>
        <v/>
      </c>
      <c r="I13" s="6">
        <f>IF($B5=0,"",I5/$B5)</f>
        <v/>
      </c>
      <c r="J13" s="6">
        <f>IF($B5=0,"",J5/$B5)</f>
        <v/>
      </c>
    </row>
    <row r="14">
      <c r="A14" s="10" t="inlineStr">
        <is>
          <t>AEON – Nhóm Thống (Taco + ICO)</t>
        </is>
      </c>
      <c r="B14" s="11" t="n"/>
      <c r="C14" s="6">
        <f>IF($B6=0,"",C6/$B6)</f>
        <v/>
      </c>
      <c r="D14" s="6">
        <f>IF($B6=0,"",D6/$B6)</f>
        <v/>
      </c>
      <c r="E14" s="6">
        <f>IF($B6=0,"",E6/$B6)</f>
        <v/>
      </c>
      <c r="F14" s="6">
        <f>IF($B6=0,"",F6/$B6)</f>
        <v/>
      </c>
      <c r="G14" s="6">
        <f>IF($B6=0,"",G6/$B6)</f>
        <v/>
      </c>
      <c r="H14" s="6">
        <f>IF($B6=0,"",H6/$B6)</f>
        <v/>
      </c>
      <c r="I14" s="6">
        <f>IF($B6=0,"",I6/$B6)</f>
        <v/>
      </c>
      <c r="J14" s="6">
        <f>IF($B6=0,"",J6/$B6)</f>
        <v/>
      </c>
    </row>
    <row r="15">
      <c r="A15" s="10" t="inlineStr">
        <is>
          <t>Moly (Hua Long)</t>
        </is>
      </c>
      <c r="B15" s="11" t="n"/>
      <c r="C15" s="6">
        <f>IF($B7=0,"",C7/$B7)</f>
        <v/>
      </c>
      <c r="D15" s="6">
        <f>IF($B7=0,"",D7/$B7)</f>
        <v/>
      </c>
      <c r="E15" s="6">
        <f>IF($B7=0,"",E7/$B7)</f>
        <v/>
      </c>
      <c r="F15" s="6">
        <f>IF($B7=0,"",F7/$B7)</f>
        <v/>
      </c>
      <c r="G15" s="6">
        <f>IF($B7=0,"",G7/$B7)</f>
        <v/>
      </c>
      <c r="H15" s="6">
        <f>IF($B7=0,"",H7/$B7)</f>
        <v/>
      </c>
      <c r="I15" s="6">
        <f>IF($B7=0,"",I7/$B7)</f>
        <v/>
      </c>
      <c r="J15" s="6">
        <f>IF($B7=0,"",J7/$B7)</f>
        <v/>
      </c>
    </row>
    <row r="16">
      <c r="A16" s="10" t="inlineStr">
        <is>
          <t>SSTH (Smart Shopping)</t>
        </is>
      </c>
      <c r="B16" s="11" t="n"/>
      <c r="C16" s="6">
        <f>IF($B8=0,"",C8/$B8)</f>
        <v/>
      </c>
      <c r="D16" s="6">
        <f>IF($B8=0,"",D8/$B8)</f>
        <v/>
      </c>
      <c r="E16" s="6">
        <f>IF($B8=0,"",E8/$B8)</f>
        <v/>
      </c>
      <c r="F16" s="6">
        <f>IF($B8=0,"",F8/$B8)</f>
        <v/>
      </c>
      <c r="G16" s="6">
        <f>IF($B8=0,"",G8/$B8)</f>
        <v/>
      </c>
      <c r="H16" s="6">
        <f>IF($B8=0,"",H8/$B8)</f>
        <v/>
      </c>
      <c r="I16" s="6">
        <f>IF($B8=0,"",I8/$B8)</f>
        <v/>
      </c>
      <c r="J16" s="6">
        <f>IF($B8=0,"",J8/$B8)</f>
        <v/>
      </c>
    </row>
    <row r="17">
      <c r="A17" s="12" t="inlineStr">
        <is>
          <t>TỔNG CỘNG</t>
        </is>
      </c>
      <c r="B17" s="12" t="n"/>
      <c r="C17" s="8">
        <f>IF($B9=0,"",C9/$B9)</f>
        <v/>
      </c>
      <c r="D17" s="8">
        <f>IF($B9=0,"",D9/$B9)</f>
        <v/>
      </c>
      <c r="E17" s="8">
        <f>IF($B9=0,"",E9/$B9)</f>
        <v/>
      </c>
      <c r="F17" s="8">
        <f>IF($B9=0,"",F9/$B9)</f>
        <v/>
      </c>
      <c r="G17" s="8">
        <f>IF($B9=0,"",G9/$B9)</f>
        <v/>
      </c>
      <c r="H17" s="8">
        <f>IF($B9=0,"",H9/$B9)</f>
        <v/>
      </c>
      <c r="I17" s="8">
        <f>IF($B9=0,"",I9/$B9)</f>
        <v/>
      </c>
      <c r="J17" s="8">
        <f>IF($B9=0,"",J9/$B9)</f>
        <v/>
      </c>
    </row>
    <row r="20">
      <c r="A20" s="9" t="inlineStr">
        <is>
          <t>Doanh thu chi tiết theo hóa đơn bán ra</t>
        </is>
      </c>
    </row>
    <row r="21" ht="32" customHeight="1">
      <c r="A21" s="3" t="inlineStr">
        <is>
          <t>Khách hàng</t>
        </is>
      </c>
      <c r="B21" s="3" t="inlineStr">
        <is>
          <t>Doanh thu (trước thuế)</t>
        </is>
      </c>
      <c r="C21" s="3" t="inlineStr">
        <is>
          <t>Số HĐ</t>
        </is>
      </c>
      <c r="D21" s="3" t="inlineStr">
        <is>
          <t>Ngày</t>
        </is>
      </c>
      <c r="E21" s="3" t="inlineStr">
        <is>
          <t>Nhóm công trình</t>
        </is>
      </c>
    </row>
    <row r="22">
      <c r="A22" s="11" t="inlineStr">
        <is>
          <t>Cty TNHH ĐT TM DV Golden Sea</t>
        </is>
      </c>
      <c r="B22" s="5">
        <f>SUMIFS('Doanh thu'!$L$5:$L$14,'Doanh thu'!$C$5:$C$14,A22)</f>
        <v/>
      </c>
      <c r="C22" s="11" t="inlineStr">
        <is>
          <t>14</t>
        </is>
      </c>
      <c r="D22" s="11" t="inlineStr">
        <is>
          <t>16/09/2026</t>
        </is>
      </c>
      <c r="E22" s="11" t="inlineStr">
        <is>
          <t>AEON – Golden Sea (GS)</t>
        </is>
      </c>
    </row>
    <row r="23">
      <c r="A23" s="11" t="inlineStr">
        <is>
          <t>Cty TNHH XD &amp; DV TM Taco</t>
        </is>
      </c>
      <c r="B23" s="5">
        <f>SUMIFS('Doanh thu'!$L$5:$L$14,'Doanh thu'!$C$5:$C$14,A23)</f>
        <v/>
      </c>
      <c r="C23" s="11" t="inlineStr">
        <is>
          <t>12</t>
        </is>
      </c>
      <c r="D23" s="11" t="inlineStr">
        <is>
          <t>14/09/2026</t>
        </is>
      </c>
      <c r="E23" s="11" t="inlineStr">
        <is>
          <t>AEON – Nhóm Thống (Taco + ICO)</t>
        </is>
      </c>
    </row>
    <row r="24">
      <c r="A24" s="11" t="inlineStr">
        <is>
          <t>Cty TNHH XD &amp; TM ICO</t>
        </is>
      </c>
      <c r="B24" s="5">
        <f>SUMIFS('Doanh thu'!$L$5:$L$14,'Doanh thu'!$C$5:$C$14,A24)</f>
        <v/>
      </c>
      <c r="C24" s="11" t="inlineStr">
        <is>
          <t>15</t>
        </is>
      </c>
      <c r="D24" s="11" t="inlineStr">
        <is>
          <t>16/09/2026</t>
        </is>
      </c>
      <c r="E24" s="11" t="inlineStr">
        <is>
          <t>AEON – Nhóm Thống (Taco + ICO)</t>
        </is>
      </c>
    </row>
    <row r="25">
      <c r="A25" s="11" t="inlineStr">
        <is>
          <t>Cty TNHH Hua Long Moly Việt Nam</t>
        </is>
      </c>
      <c r="B25" s="5">
        <f>SUMIFS('Doanh thu'!$L$5:$L$14,'Doanh thu'!$C$5:$C$14,A25)</f>
        <v/>
      </c>
      <c r="C25" s="11" t="inlineStr">
        <is>
          <t>16</t>
        </is>
      </c>
      <c r="D25" s="11" t="inlineStr">
        <is>
          <t>17/09/2026</t>
        </is>
      </c>
      <c r="E25" s="11" t="inlineStr">
        <is>
          <t>Moly (Hua Long)</t>
        </is>
      </c>
    </row>
    <row r="26">
      <c r="A26" s="11" t="inlineStr">
        <is>
          <t>CTCP Smart Shopping Thanh Hóa</t>
        </is>
      </c>
      <c r="B26" s="5">
        <f>SUMIFS('Doanh thu'!$L$5:$L$14,'Doanh thu'!$C$5:$C$14,A26)</f>
        <v/>
      </c>
      <c r="C26" s="11" t="inlineStr">
        <is>
          <t>10</t>
        </is>
      </c>
      <c r="D26" s="11" t="inlineStr">
        <is>
          <t>16/07/2026</t>
        </is>
      </c>
      <c r="E26" s="11" t="inlineStr">
        <is>
          <t>SSTH (Smart Shopping)</t>
        </is>
      </c>
    </row>
    <row r="29">
      <c r="A29" s="9" t="inlineStr">
        <is>
          <t>Doanh thu – chi phí theo tháng (ngày hóa đơn)</t>
        </is>
      </c>
    </row>
    <row r="30" ht="32" customHeight="1">
      <c r="A30" s="3" t="inlineStr">
        <is>
          <t>Tháng</t>
        </is>
      </c>
      <c r="B30" s="3" t="inlineStr">
        <is>
          <t>Doanh thu</t>
        </is>
      </c>
      <c r="C30" s="3" t="inlineStr">
        <is>
          <t>Chi phí</t>
        </is>
      </c>
      <c r="D30" s="3" t="inlineStr">
        <is>
          <t>Chênh lệch</t>
        </is>
      </c>
    </row>
    <row r="31">
      <c r="A31" s="11" t="n">
        <v>7</v>
      </c>
      <c r="B31" s="5">
        <f>SUMIFS('Doanh thu'!$L$5:$L$14,'Doanh thu'!$A$5:$A$14,A31)</f>
        <v/>
      </c>
      <c r="C31" s="5">
        <f>SUMIFS('Chi phí'!$L$5:$L$43,'Chi phí'!$A$5:$A$43,A31,'Chi phí'!$P$5:$P$43,"Có")</f>
        <v/>
      </c>
      <c r="D31" s="5">
        <f>B31-C31</f>
        <v/>
      </c>
    </row>
    <row r="32">
      <c r="A32" s="11" t="n">
        <v>8</v>
      </c>
      <c r="B32" s="5">
        <f>SUMIFS('Doanh thu'!$L$5:$L$14,'Doanh thu'!$A$5:$A$14,A32)</f>
        <v/>
      </c>
      <c r="C32" s="5">
        <f>SUMIFS('Chi phí'!$L$5:$L$43,'Chi phí'!$A$5:$A$43,A32,'Chi phí'!$P$5:$P$43,"Có")</f>
        <v/>
      </c>
      <c r="D32" s="5">
        <f>B32-C32</f>
        <v/>
      </c>
    </row>
    <row r="33">
      <c r="A33" s="11" t="n">
        <v>9</v>
      </c>
      <c r="B33" s="5">
        <f>SUMIFS('Doanh thu'!$L$5:$L$14,'Doanh thu'!$A$5:$A$14,A33)</f>
        <v/>
      </c>
      <c r="C33" s="5">
        <f>SUMIFS('Chi phí'!$L$5:$L$43,'Chi phí'!$A$5:$A$43,A33,'Chi phí'!$P$5:$P$43,"Có")</f>
        <v/>
      </c>
      <c r="D33" s="5">
        <f>B33-C33</f>
        <v/>
      </c>
    </row>
    <row r="34">
      <c r="A34" s="12" t="inlineStr">
        <is>
          <t>Tổng quý</t>
        </is>
      </c>
      <c r="B34" s="7">
        <f>SUM(B31:B33)</f>
        <v/>
      </c>
      <c r="C34" s="7">
        <f>SUM(C31:C33)</f>
        <v/>
      </c>
      <c r="D34" s="7">
        <f>SUM(D31:D33)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32" customWidth="1" min="3" max="3"/>
    <col width="13" customWidth="1" min="4" max="4"/>
    <col width="8" customWidth="1" min="5" max="5"/>
    <col width="12" customWidth="1" min="6" max="6"/>
    <col width="26" customWidth="1" min="7" max="7"/>
    <col width="52" customWidth="1" min="8" max="8"/>
    <col width="7" customWidth="1" min="9" max="9"/>
    <col width="10" customWidth="1" min="10" max="10"/>
    <col width="15" customWidth="1" min="11" max="11"/>
    <col width="18" customWidth="1" min="12" max="12"/>
    <col width="9" customWidth="1" min="13" max="13"/>
    <col width="14" customWidth="1" min="14" max="14"/>
    <col width="50" customWidth="1" min="15" max="15"/>
  </cols>
  <sheetData>
    <row r="1">
      <c r="A1" s="13" t="inlineStr">
        <is>
          <t>DOANH THU QUÝ III/2026 – HÓA ĐƠN BÁN RA (Cty TNHH TM Hưng Mộc, MST 2803104433)</t>
        </is>
      </c>
    </row>
    <row r="2">
      <c r="A2" s="2" t="inlineStr">
        <is>
          <t>Đơn vị: VNĐ. Thành tiền là giá trị trước thuế GTGT; Tiền thuế = Thành tiền × thuế suất.</t>
        </is>
      </c>
    </row>
    <row r="4" ht="32" customHeight="1">
      <c r="A4" s="3" t="inlineStr">
        <is>
          <t>Tháng</t>
        </is>
      </c>
      <c r="B4" s="3" t="inlineStr">
        <is>
          <t>Nhóm công trình</t>
        </is>
      </c>
      <c r="C4" s="3" t="inlineStr">
        <is>
          <t>Khách hàng</t>
        </is>
      </c>
      <c r="D4" s="3" t="inlineStr">
        <is>
          <t>MST</t>
        </is>
      </c>
      <c r="E4" s="3" t="inlineStr">
        <is>
          <t>Số HĐ</t>
        </is>
      </c>
      <c r="F4" s="3" t="inlineStr">
        <is>
          <t>Ngày HĐ</t>
        </is>
      </c>
      <c r="G4" s="3" t="inlineStr">
        <is>
          <t>Đầu mục doanh thu</t>
        </is>
      </c>
      <c r="H4" s="3" t="inlineStr">
        <is>
          <t>Tên hàng / dịch vụ</t>
        </is>
      </c>
      <c r="I4" s="3" t="inlineStr">
        <is>
          <t>ĐVT</t>
        </is>
      </c>
      <c r="J4" s="3" t="inlineStr">
        <is>
          <t>SL</t>
        </is>
      </c>
      <c r="K4" s="3" t="inlineStr">
        <is>
          <t>Đơn giá</t>
        </is>
      </c>
      <c r="L4" s="3" t="inlineStr">
        <is>
          <t>Thành tiền (trước thuế)</t>
        </is>
      </c>
      <c r="M4" s="3" t="inlineStr">
        <is>
          <t>Thuế suất</t>
        </is>
      </c>
      <c r="N4" s="3" t="inlineStr">
        <is>
          <t>Tiền thuế</t>
        </is>
      </c>
      <c r="O4" s="3" t="inlineStr">
        <is>
          <t>Ghi chú</t>
        </is>
      </c>
    </row>
    <row r="5">
      <c r="A5" s="11" t="n">
        <v>7</v>
      </c>
      <c r="B5" s="11" t="inlineStr">
        <is>
          <t>SSTH (Smart Shopping)</t>
        </is>
      </c>
      <c r="C5" s="11" t="inlineStr">
        <is>
          <t>CTCP Smart Shopping Thanh Hóa</t>
        </is>
      </c>
      <c r="D5" s="11" t="inlineStr">
        <is>
          <t>2803235154</t>
        </is>
      </c>
      <c r="E5" s="11" t="inlineStr">
        <is>
          <t>10</t>
        </is>
      </c>
      <c r="F5" s="11" t="inlineStr">
        <is>
          <t>16/07/2026</t>
        </is>
      </c>
      <c r="G5" s="11" t="inlineStr">
        <is>
          <t>Bàn, tủ văn phòng</t>
        </is>
      </c>
      <c r="H5" s="14" t="inlineStr">
        <is>
          <t>Bàn làm việc 1.2x0.6x0.75m</t>
        </is>
      </c>
      <c r="I5" s="11" t="inlineStr">
        <is>
          <t>cái</t>
        </is>
      </c>
      <c r="J5" s="15" t="n">
        <v>2</v>
      </c>
      <c r="K5" s="5" t="n">
        <v>1666666.667</v>
      </c>
      <c r="L5" s="5" t="n">
        <v>3333333.33</v>
      </c>
      <c r="M5" s="16" t="n">
        <v>0.08</v>
      </c>
      <c r="N5" s="5">
        <f>ROUND(L5*M5,0)</f>
        <v/>
      </c>
      <c r="O5" s="14" t="inlineStr"/>
    </row>
    <row r="6">
      <c r="A6" s="11" t="n">
        <v>7</v>
      </c>
      <c r="B6" s="11" t="inlineStr">
        <is>
          <t>SSTH (Smart Shopping)</t>
        </is>
      </c>
      <c r="C6" s="11" t="inlineStr">
        <is>
          <t>CTCP Smart Shopping Thanh Hóa</t>
        </is>
      </c>
      <c r="D6" s="11" t="inlineStr">
        <is>
          <t>2803235154</t>
        </is>
      </c>
      <c r="E6" s="11" t="inlineStr">
        <is>
          <t>10</t>
        </is>
      </c>
      <c r="F6" s="11" t="inlineStr">
        <is>
          <t>16/07/2026</t>
        </is>
      </c>
      <c r="G6" s="11" t="inlineStr">
        <is>
          <t>Bàn, tủ văn phòng</t>
        </is>
      </c>
      <c r="H6" s="14" t="inlineStr">
        <is>
          <t>Tủ tài liệu 0.8x0.35x1.2m</t>
        </is>
      </c>
      <c r="I6" s="11" t="inlineStr">
        <is>
          <t>cái</t>
        </is>
      </c>
      <c r="J6" s="15" t="n">
        <v>1</v>
      </c>
      <c r="K6" s="5" t="n">
        <v>2685185.185</v>
      </c>
      <c r="L6" s="5" t="n">
        <v>2685185.19</v>
      </c>
      <c r="M6" s="16" t="n">
        <v>0.08</v>
      </c>
      <c r="N6" s="5">
        <f>ROUND(L6*M6,0)</f>
        <v/>
      </c>
      <c r="O6" s="14" t="inlineStr"/>
    </row>
    <row r="7">
      <c r="A7" s="11" t="n">
        <v>9</v>
      </c>
      <c r="B7" s="11" t="inlineStr">
        <is>
          <t>AEON – Nhóm Thống (Taco + ICO)</t>
        </is>
      </c>
      <c r="C7" s="11" t="inlineStr">
        <is>
          <t>Cty TNHH XD &amp; DV TM Taco</t>
        </is>
      </c>
      <c r="D7" s="11" t="inlineStr">
        <is>
          <t>0402246437</t>
        </is>
      </c>
      <c r="E7" s="11" t="inlineStr">
        <is>
          <t>12</t>
        </is>
      </c>
      <c r="F7" s="11" t="inlineStr">
        <is>
          <t>14/09/2026</t>
        </is>
      </c>
      <c r="G7" s="11" t="inlineStr">
        <is>
          <t>Vách kính &amp; khung sắt</t>
        </is>
      </c>
      <c r="H7" s="14" t="inlineStr">
        <is>
          <t>Vách kính 1 – kính CL 10mm, nhôm SĐT</t>
        </is>
      </c>
      <c r="I7" s="11" t="inlineStr">
        <is>
          <t>cái</t>
        </is>
      </c>
      <c r="J7" s="15" t="n">
        <v>1</v>
      </c>
      <c r="K7" s="5" t="n">
        <v>7820400</v>
      </c>
      <c r="L7" s="5" t="n">
        <v>7820400</v>
      </c>
      <c r="M7" s="16" t="n">
        <v>0.08</v>
      </c>
      <c r="N7" s="5">
        <f>ROUND(L7*M7,0)</f>
        <v/>
      </c>
      <c r="O7" s="14" t="inlineStr">
        <is>
          <t>HĐKT Hưng Mộc–Taco</t>
        </is>
      </c>
    </row>
    <row r="8">
      <c r="A8" s="11" t="n">
        <v>9</v>
      </c>
      <c r="B8" s="11" t="inlineStr">
        <is>
          <t>AEON – Nhóm Thống (Taco + ICO)</t>
        </is>
      </c>
      <c r="C8" s="11" t="inlineStr">
        <is>
          <t>Cty TNHH XD &amp; DV TM Taco</t>
        </is>
      </c>
      <c r="D8" s="11" t="inlineStr">
        <is>
          <t>0402246437</t>
        </is>
      </c>
      <c r="E8" s="11" t="inlineStr">
        <is>
          <t>12</t>
        </is>
      </c>
      <c r="F8" s="11" t="inlineStr">
        <is>
          <t>14/09/2026</t>
        </is>
      </c>
      <c r="G8" s="11" t="inlineStr">
        <is>
          <t>Vách kính &amp; khung sắt</t>
        </is>
      </c>
      <c r="H8" s="14" t="inlineStr">
        <is>
          <t>Vách kính 2 – kính CL 10mm, nhôm SĐT</t>
        </is>
      </c>
      <c r="I8" s="11" t="inlineStr">
        <is>
          <t>cái</t>
        </is>
      </c>
      <c r="J8" s="15" t="n">
        <v>1</v>
      </c>
      <c r="K8" s="5" t="n">
        <v>9288000</v>
      </c>
      <c r="L8" s="5" t="n">
        <v>9288000</v>
      </c>
      <c r="M8" s="16" t="n">
        <v>0.08</v>
      </c>
      <c r="N8" s="5">
        <f>ROUND(L8*M8,0)</f>
        <v/>
      </c>
      <c r="O8" s="14" t="inlineStr"/>
    </row>
    <row r="9">
      <c r="A9" s="11" t="n">
        <v>9</v>
      </c>
      <c r="B9" s="11" t="inlineStr">
        <is>
          <t>AEON – Nhóm Thống (Taco + ICO)</t>
        </is>
      </c>
      <c r="C9" s="11" t="inlineStr">
        <is>
          <t>Cty TNHH XD &amp; DV TM Taco</t>
        </is>
      </c>
      <c r="D9" s="11" t="inlineStr">
        <is>
          <t>0402246437</t>
        </is>
      </c>
      <c r="E9" s="11" t="inlineStr">
        <is>
          <t>12</t>
        </is>
      </c>
      <c r="F9" s="11" t="inlineStr">
        <is>
          <t>14/09/2026</t>
        </is>
      </c>
      <c r="G9" s="11" t="inlineStr">
        <is>
          <t>Vách kính &amp; khung sắt</t>
        </is>
      </c>
      <c r="H9" s="14" t="inlineStr">
        <is>
          <t>Vách kính 3 – kính CL 10mm, nhôm SĐT</t>
        </is>
      </c>
      <c r="I9" s="11" t="inlineStr">
        <is>
          <t>cái</t>
        </is>
      </c>
      <c r="J9" s="15" t="n">
        <v>1</v>
      </c>
      <c r="K9" s="5" t="n">
        <v>3676500</v>
      </c>
      <c r="L9" s="5" t="n">
        <v>3676500</v>
      </c>
      <c r="M9" s="16" t="n">
        <v>0.08</v>
      </c>
      <c r="N9" s="5">
        <f>ROUND(L9*M9,0)</f>
        <v/>
      </c>
      <c r="O9" s="14" t="inlineStr"/>
    </row>
    <row r="10">
      <c r="A10" s="11" t="n">
        <v>9</v>
      </c>
      <c r="B10" s="11" t="inlineStr">
        <is>
          <t>AEON – Nhóm Thống (Taco + ICO)</t>
        </is>
      </c>
      <c r="C10" s="11" t="inlineStr">
        <is>
          <t>Cty TNHH XD &amp; DV TM Taco</t>
        </is>
      </c>
      <c r="D10" s="11" t="inlineStr">
        <is>
          <t>0402246437</t>
        </is>
      </c>
      <c r="E10" s="11" t="inlineStr">
        <is>
          <t>12</t>
        </is>
      </c>
      <c r="F10" s="11" t="inlineStr">
        <is>
          <t>14/09/2026</t>
        </is>
      </c>
      <c r="G10" s="11" t="inlineStr">
        <is>
          <t>Vách kính &amp; khung sắt</t>
        </is>
      </c>
      <c r="H10" s="14" t="inlineStr">
        <is>
          <t>Khung sắt hộp 1 – kính CL 10mm</t>
        </is>
      </c>
      <c r="I10" s="11" t="inlineStr">
        <is>
          <t>cái</t>
        </is>
      </c>
      <c r="J10" s="15" t="n">
        <v>1</v>
      </c>
      <c r="K10" s="5" t="n">
        <v>2500000</v>
      </c>
      <c r="L10" s="5" t="n">
        <v>2500000</v>
      </c>
      <c r="M10" s="16" t="n">
        <v>0.08</v>
      </c>
      <c r="N10" s="5">
        <f>ROUND(L10*M10,0)</f>
        <v/>
      </c>
      <c r="O10" s="14" t="inlineStr"/>
    </row>
    <row r="11">
      <c r="A11" s="11" t="n">
        <v>9</v>
      </c>
      <c r="B11" s="11" t="inlineStr">
        <is>
          <t>AEON – Nhóm Thống (Taco + ICO)</t>
        </is>
      </c>
      <c r="C11" s="11" t="inlineStr">
        <is>
          <t>Cty TNHH XD &amp; DV TM Taco</t>
        </is>
      </c>
      <c r="D11" s="11" t="inlineStr">
        <is>
          <t>0402246437</t>
        </is>
      </c>
      <c r="E11" s="11" t="inlineStr">
        <is>
          <t>12</t>
        </is>
      </c>
      <c r="F11" s="11" t="inlineStr">
        <is>
          <t>14/09/2026</t>
        </is>
      </c>
      <c r="G11" s="11" t="inlineStr">
        <is>
          <t>Vách kính &amp; khung sắt</t>
        </is>
      </c>
      <c r="H11" s="14" t="inlineStr">
        <is>
          <t>Khung sắt hộp 2 – kính CL 10mm</t>
        </is>
      </c>
      <c r="I11" s="11" t="inlineStr">
        <is>
          <t>cái</t>
        </is>
      </c>
      <c r="J11" s="15" t="n">
        <v>1</v>
      </c>
      <c r="K11" s="5" t="n">
        <v>3500000</v>
      </c>
      <c r="L11" s="5" t="n">
        <v>3500000</v>
      </c>
      <c r="M11" s="16" t="n">
        <v>0.08</v>
      </c>
      <c r="N11" s="5">
        <f>ROUND(L11*M11,0)</f>
        <v/>
      </c>
      <c r="O11" s="14" t="inlineStr"/>
    </row>
    <row r="12">
      <c r="A12" s="11" t="n">
        <v>9</v>
      </c>
      <c r="B12" s="11" t="inlineStr">
        <is>
          <t>AEON – Nhóm Thống (Taco + ICO)</t>
        </is>
      </c>
      <c r="C12" s="11" t="inlineStr">
        <is>
          <t>Cty TNHH XD &amp; TM ICO</t>
        </is>
      </c>
      <c r="D12" s="11" t="inlineStr">
        <is>
          <t>0401913430</t>
        </is>
      </c>
      <c r="E12" s="11" t="inlineStr">
        <is>
          <t>15</t>
        </is>
      </c>
      <c r="F12" s="11" t="inlineStr">
        <is>
          <t>16/09/2026</t>
        </is>
      </c>
      <c r="G12" s="11" t="inlineStr">
        <is>
          <t>Thép hộp mạ kẽm</t>
        </is>
      </c>
      <c r="H12" s="14" t="inlineStr">
        <is>
          <t>Thép hộp mạ kẽm VN</t>
        </is>
      </c>
      <c r="I12" s="11" t="inlineStr">
        <is>
          <t>kg</t>
        </is>
      </c>
      <c r="J12" s="15" t="n">
        <v>533.98888</v>
      </c>
      <c r="K12" s="5" t="n">
        <v>19600</v>
      </c>
      <c r="L12" s="5" t="n">
        <v>10466182</v>
      </c>
      <c r="M12" s="16" t="n">
        <v>0.1</v>
      </c>
      <c r="N12" s="5">
        <f>ROUND(L12*M12,0)</f>
        <v/>
      </c>
      <c r="O12" s="14" t="inlineStr">
        <is>
          <t>HĐ số 15 thay thế HĐ số 13 (sai tên hàng) – chỉ tính HĐ 15</t>
        </is>
      </c>
    </row>
    <row r="13">
      <c r="A13" s="11" t="n">
        <v>9</v>
      </c>
      <c r="B13" s="11" t="inlineStr">
        <is>
          <t>AEON – Golden Sea (GS)</t>
        </is>
      </c>
      <c r="C13" s="11" t="inlineStr">
        <is>
          <t>Cty TNHH ĐT TM DV Golden Sea</t>
        </is>
      </c>
      <c r="D13" s="11" t="inlineStr">
        <is>
          <t>0314291494</t>
        </is>
      </c>
      <c r="E13" s="11" t="inlineStr">
        <is>
          <t>14</t>
        </is>
      </c>
      <c r="F13" s="11" t="inlineStr">
        <is>
          <t>16/09/2026</t>
        </is>
      </c>
      <c r="G13" s="11" t="inlineStr">
        <is>
          <t>Thi công nội thất AEON (đợt 1)</t>
        </is>
      </c>
      <c r="H13" s="14" t="inlineStr">
        <is>
          <t>Giá trị đợt 1 cung cấp &amp; thi công nội thất theo HĐ 1707/2026/HDTC/GS-HM</t>
        </is>
      </c>
      <c r="I13" s="11" t="inlineStr">
        <is>
          <t>gói</t>
        </is>
      </c>
      <c r="J13" s="15" t="n">
        <v>1</v>
      </c>
      <c r="K13" s="5" t="n">
        <v>295887500</v>
      </c>
      <c r="L13" s="5" t="n">
        <v>295887500</v>
      </c>
      <c r="M13" s="16" t="n">
        <v>0.08</v>
      </c>
      <c r="N13" s="5">
        <f>ROUND(L13*M13,0)</f>
        <v/>
      </c>
      <c r="O13" s="14" t="inlineStr">
        <is>
          <t>Xem mục cần xác nhận: lệch 190.000 so với bảng quyết toán đợt 1</t>
        </is>
      </c>
    </row>
    <row r="14">
      <c r="A14" s="11" t="n">
        <v>9</v>
      </c>
      <c r="B14" s="11" t="inlineStr">
        <is>
          <t>Moly (Hua Long)</t>
        </is>
      </c>
      <c r="C14" s="11" t="inlineStr">
        <is>
          <t>Cty TNHH Hua Long Moly Việt Nam</t>
        </is>
      </c>
      <c r="D14" s="11" t="inlineStr">
        <is>
          <t>2803066650</t>
        </is>
      </c>
      <c r="E14" s="11" t="inlineStr">
        <is>
          <t>16</t>
        </is>
      </c>
      <c r="F14" s="11" t="inlineStr">
        <is>
          <t>17/09/2026</t>
        </is>
      </c>
      <c r="G14" s="11" t="inlineStr">
        <is>
          <t>Bán thiết bị</t>
        </is>
      </c>
      <c r="H14" s="14" t="inlineStr">
        <is>
          <t>Tủ mát Sanaky VH6009HP</t>
        </is>
      </c>
      <c r="I14" s="11" t="inlineStr">
        <is>
          <t>cái</t>
        </is>
      </c>
      <c r="J14" s="15" t="n">
        <v>1</v>
      </c>
      <c r="K14" s="5" t="n">
        <v>17731481.481</v>
      </c>
      <c r="L14" s="5" t="n">
        <v>17731481.48</v>
      </c>
      <c r="M14" s="16" t="n">
        <v>0.08</v>
      </c>
      <c r="N14" s="5">
        <f>ROUND(L14*M14,0)</f>
        <v/>
      </c>
      <c r="O14" s="14" t="inlineStr"/>
    </row>
    <row r="15">
      <c r="A15" s="12" t="n"/>
      <c r="B15" s="12" t="n"/>
      <c r="C15" s="12" t="n"/>
      <c r="D15" s="12" t="n"/>
      <c r="E15" s="12" t="n"/>
      <c r="F15" s="12" t="n"/>
      <c r="G15" s="12" t="n"/>
      <c r="H15" s="12" t="inlineStr">
        <is>
          <t>TỔNG CỘNG</t>
        </is>
      </c>
      <c r="I15" s="12" t="n"/>
      <c r="J15" s="12" t="n"/>
      <c r="K15" s="12" t="n"/>
      <c r="L15" s="7">
        <f>SUM(L5:L14)</f>
        <v/>
      </c>
      <c r="M15" s="12" t="n"/>
      <c r="N15" s="7">
        <f>SUM(N5:N14)</f>
        <v/>
      </c>
      <c r="O15" s="1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5"/>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30" customWidth="1" min="3" max="3"/>
    <col width="32" customWidth="1" min="4" max="4"/>
    <col width="13" customWidth="1" min="5" max="5"/>
    <col width="10" customWidth="1" min="6" max="6"/>
    <col width="12" customWidth="1" min="7" max="7"/>
    <col width="50" customWidth="1" min="8" max="8"/>
    <col width="7" customWidth="1" min="9" max="9"/>
    <col width="9" customWidth="1" min="10" max="10"/>
    <col width="15" customWidth="1" min="11" max="11"/>
    <col width="18" customWidth="1" min="12" max="12"/>
    <col width="9" customWidth="1" min="13" max="13"/>
    <col width="14" customWidth="1" min="14" max="14"/>
    <col width="28" customWidth="1" min="15" max="15"/>
    <col width="9" customWidth="1" min="16" max="16"/>
    <col width="55" customWidth="1" min="17" max="17"/>
  </cols>
  <sheetData>
    <row r="1">
      <c r="A1" s="13" t="inlineStr">
        <is>
          <t>CHI PHÍ QUÝ III/2026 – HÓA ĐƠN MUA VÀO, CHIA THEO ĐẦU MỤC</t>
        </is>
      </c>
    </row>
    <row r="2">
      <c r="A2" s="2" t="inlineStr">
        <is>
          <t>Đơn vị: VNĐ. Hóa đơn trùng lặp giữa các thư mục đã được gộp thành 1.</t>
        </is>
      </c>
    </row>
    <row r="4" ht="32" customHeight="1">
      <c r="A4" s="3" t="inlineStr">
        <is>
          <t>Tháng</t>
        </is>
      </c>
      <c r="B4" s="3" t="inlineStr">
        <is>
          <t>Nhóm công trình</t>
        </is>
      </c>
      <c r="C4" s="3" t="inlineStr">
        <is>
          <t>Thư mục gốc</t>
        </is>
      </c>
      <c r="D4" s="3" t="inlineStr">
        <is>
          <t>Nhà cung cấp</t>
        </is>
      </c>
      <c r="E4" s="3" t="inlineStr">
        <is>
          <t>MST NCC</t>
        </is>
      </c>
      <c r="F4" s="3" t="inlineStr">
        <is>
          <t>Số HĐ</t>
        </is>
      </c>
      <c r="G4" s="3" t="inlineStr">
        <is>
          <t>Ngày HĐ</t>
        </is>
      </c>
      <c r="H4" s="3" t="inlineStr">
        <is>
          <t>Tên hàng / dịch vụ</t>
        </is>
      </c>
      <c r="I4" s="3" t="inlineStr">
        <is>
          <t>ĐVT</t>
        </is>
      </c>
      <c r="J4" s="3" t="inlineStr">
        <is>
          <t>SL</t>
        </is>
      </c>
      <c r="K4" s="3" t="inlineStr">
        <is>
          <t>Đơn giá</t>
        </is>
      </c>
      <c r="L4" s="3" t="inlineStr">
        <is>
          <t>Thành tiền (trước thuế)</t>
        </is>
      </c>
      <c r="M4" s="3" t="inlineStr">
        <is>
          <t>Thuế suất</t>
        </is>
      </c>
      <c r="N4" s="3" t="inlineStr">
        <is>
          <t>Tiền thuế</t>
        </is>
      </c>
      <c r="O4" s="3" t="inlineStr">
        <is>
          <t>Đầu mục chi phí</t>
        </is>
      </c>
      <c r="P4" s="3" t="inlineStr">
        <is>
          <t>Tính CP?</t>
        </is>
      </c>
      <c r="Q4" s="3" t="inlineStr">
        <is>
          <t>Ghi chú</t>
        </is>
      </c>
    </row>
    <row r="5">
      <c r="A5" s="11" t="n">
        <v>7</v>
      </c>
      <c r="B5" s="11" t="inlineStr">
        <is>
          <t>AEON – Golden Sea (GS)</t>
        </is>
      </c>
      <c r="C5" s="11" t="inlineStr">
        <is>
          <t>Tháng 7/AEON MALL/DCA/VÀO</t>
        </is>
      </c>
      <c r="D5" s="11" t="inlineStr">
        <is>
          <t>Cty TNHH Vận tải SQS Thiên Ân</t>
        </is>
      </c>
      <c r="E5" s="11" t="inlineStr">
        <is>
          <t>0315394453</t>
        </is>
      </c>
      <c r="F5" s="11" t="inlineStr">
        <is>
          <t>1039</t>
        </is>
      </c>
      <c r="G5" s="11" t="inlineStr">
        <is>
          <t>24/07/2026</t>
        </is>
      </c>
      <c r="H5" s="14" t="inlineStr">
        <is>
          <t>Cước vận chuyển hàng TP.HCM đi Thanh Hóa</t>
        </is>
      </c>
      <c r="I5" s="11" t="inlineStr">
        <is>
          <t>chuyến</t>
        </is>
      </c>
      <c r="J5" s="15" t="n">
        <v>1</v>
      </c>
      <c r="K5" s="5" t="n">
        <v>2000000</v>
      </c>
      <c r="L5" s="5" t="n">
        <v>2000000</v>
      </c>
      <c r="M5" s="16" t="n">
        <v>0.08</v>
      </c>
      <c r="N5" s="5">
        <f>ROUND(L5*M5,0)</f>
        <v/>
      </c>
      <c r="O5" s="11" t="inlineStr">
        <is>
          <t>Vận chuyển</t>
        </is>
      </c>
      <c r="P5" s="11" t="inlineStr">
        <is>
          <t>Có</t>
        </is>
      </c>
      <c r="Q5" s="14" t="inlineStr"/>
    </row>
    <row r="6">
      <c r="A6" s="11" t="n">
        <v>7</v>
      </c>
      <c r="B6" s="11" t="inlineStr">
        <is>
          <t>AEON – Golden Sea (GS)</t>
        </is>
      </c>
      <c r="C6" s="11" t="inlineStr">
        <is>
          <t>Tháng 7/AEON MALL/DCA/VÀO</t>
        </is>
      </c>
      <c r="D6" s="11" t="inlineStr">
        <is>
          <t>CTCP Tập đoàn An Phú Cường</t>
        </is>
      </c>
      <c r="E6" s="11" t="inlineStr">
        <is>
          <t>2802583021</t>
        </is>
      </c>
      <c r="F6" s="11" t="inlineStr">
        <is>
          <t>00000958</t>
        </is>
      </c>
      <c r="G6" s="11" t="inlineStr">
        <is>
          <t>23/07/2026</t>
        </is>
      </c>
      <c r="H6" s="14" t="inlineStr">
        <is>
          <t>Chỉ PVC 455/LK4585 23x0.8mm</t>
        </is>
      </c>
      <c r="I6" s="11" t="inlineStr">
        <is>
          <t>m</t>
        </is>
      </c>
      <c r="J6" s="15" t="n">
        <v>300</v>
      </c>
      <c r="K6" s="5" t="n">
        <v>5600</v>
      </c>
      <c r="L6" s="5" t="n">
        <v>1680000</v>
      </c>
      <c r="M6" s="16" t="n">
        <v>0.08</v>
      </c>
      <c r="N6" s="5">
        <f>ROUND(L6*M6,0)</f>
        <v/>
      </c>
      <c r="O6" s="11" t="inlineStr">
        <is>
          <t>Chỉ/nẹp PVC</t>
        </is>
      </c>
      <c r="P6" s="11" t="inlineStr">
        <is>
          <t>Có</t>
        </is>
      </c>
      <c r="Q6" s="14" t="inlineStr">
        <is>
          <t>HĐ này nằm cả ở thư mục Tháng 7 và Tháng 8 – chỉ tính 1 lần</t>
        </is>
      </c>
    </row>
    <row r="7">
      <c r="A7" s="11" t="n">
        <v>7</v>
      </c>
      <c r="B7" s="11" t="inlineStr">
        <is>
          <t>AEON – Golden Sea (GS)</t>
        </is>
      </c>
      <c r="C7" s="11" t="inlineStr">
        <is>
          <t>Tháng 7/AEON MALL/DCA/VÀO</t>
        </is>
      </c>
      <c r="D7" s="11" t="inlineStr">
        <is>
          <t>CTCP Tập đoàn An Phú Cường</t>
        </is>
      </c>
      <c r="E7" s="11" t="inlineStr">
        <is>
          <t>2802583021</t>
        </is>
      </c>
      <c r="F7" s="11" t="inlineStr">
        <is>
          <t>00000958</t>
        </is>
      </c>
      <c r="G7" s="11" t="inlineStr">
        <is>
          <t>23/07/2026</t>
        </is>
      </c>
      <c r="H7" s="14" t="inlineStr">
        <is>
          <t>Ván MELMDF 455NWG 1220x2440x9mm</t>
        </is>
      </c>
      <c r="I7" s="11" t="inlineStr">
        <is>
          <t>tấm</t>
        </is>
      </c>
      <c r="J7" s="15" t="n">
        <v>36</v>
      </c>
      <c r="K7" s="5" t="n">
        <v>590000</v>
      </c>
      <c r="L7" s="5" t="n">
        <v>21240000</v>
      </c>
      <c r="M7" s="16" t="n">
        <v>0.08</v>
      </c>
      <c r="N7" s="5">
        <f>ROUND(L7*M7,0)</f>
        <v/>
      </c>
      <c r="O7" s="11" t="inlineStr">
        <is>
          <t>Ván MDF/Melamine &amp; tấm bề mặt</t>
        </is>
      </c>
      <c r="P7" s="11" t="inlineStr">
        <is>
          <t>Có</t>
        </is>
      </c>
      <c r="Q7" s="14" t="inlineStr"/>
    </row>
    <row r="8">
      <c r="A8" s="11" t="n">
        <v>8</v>
      </c>
      <c r="B8" s="11" t="inlineStr">
        <is>
          <t>AEON – Golden Sea (GS)</t>
        </is>
      </c>
      <c r="C8" s="11" t="inlineStr">
        <is>
          <t>Tháng 8/AEON MALL/DCA/VÀO</t>
        </is>
      </c>
      <c r="D8" s="11" t="inlineStr">
        <is>
          <t>CTCP Tập đoàn An Phú Cường</t>
        </is>
      </c>
      <c r="E8" s="11" t="inlineStr">
        <is>
          <t>2802583021</t>
        </is>
      </c>
      <c r="F8" s="11" t="inlineStr">
        <is>
          <t>00001026</t>
        </is>
      </c>
      <c r="G8" s="11" t="inlineStr">
        <is>
          <t>06/08/2026</t>
        </is>
      </c>
      <c r="H8" s="14" t="inlineStr">
        <is>
          <t>Chỉ PVC 455/LK4585 23x0.8mm</t>
        </is>
      </c>
      <c r="I8" s="11" t="inlineStr">
        <is>
          <t>m</t>
        </is>
      </c>
      <c r="J8" s="15" t="n">
        <v>400</v>
      </c>
      <c r="K8" s="5" t="n">
        <v>5600</v>
      </c>
      <c r="L8" s="5" t="n">
        <v>2240000</v>
      </c>
      <c r="M8" s="16" t="n">
        <v>0.08</v>
      </c>
      <c r="N8" s="5">
        <f>ROUND(L8*M8,0)</f>
        <v/>
      </c>
      <c r="O8" s="11" t="inlineStr">
        <is>
          <t>Chỉ/nẹp PVC</t>
        </is>
      </c>
      <c r="P8" s="11" t="inlineStr">
        <is>
          <t>Có</t>
        </is>
      </c>
      <c r="Q8" s="14" t="inlineStr"/>
    </row>
    <row r="9">
      <c r="A9" s="11" t="n">
        <v>8</v>
      </c>
      <c r="B9" s="11" t="inlineStr">
        <is>
          <t>AEON – Golden Sea (GS)</t>
        </is>
      </c>
      <c r="C9" s="11" t="inlineStr">
        <is>
          <t>Tháng 8/AEON MALL/DCA/VÀO</t>
        </is>
      </c>
      <c r="D9" s="11" t="inlineStr">
        <is>
          <t>CTCP Tập đoàn An Phú Cường</t>
        </is>
      </c>
      <c r="E9" s="11" t="inlineStr">
        <is>
          <t>2802583021</t>
        </is>
      </c>
      <c r="F9" s="11" t="inlineStr">
        <is>
          <t>00001026</t>
        </is>
      </c>
      <c r="G9" s="11" t="inlineStr">
        <is>
          <t>06/08/2026</t>
        </is>
      </c>
      <c r="H9" s="14" t="inlineStr">
        <is>
          <t>Ván MELMDF 455NWG 1220x2440x9mm</t>
        </is>
      </c>
      <c r="I9" s="11" t="inlineStr">
        <is>
          <t>tấm</t>
        </is>
      </c>
      <c r="J9" s="15" t="n">
        <v>11</v>
      </c>
      <c r="K9" s="5" t="n">
        <v>590000</v>
      </c>
      <c r="L9" s="5" t="n">
        <v>6490000</v>
      </c>
      <c r="M9" s="16" t="n">
        <v>0.08</v>
      </c>
      <c r="N9" s="5">
        <f>ROUND(L9*M9,0)</f>
        <v/>
      </c>
      <c r="O9" s="11" t="inlineStr">
        <is>
          <t>Ván MDF/Melamine &amp; tấm bề mặt</t>
        </is>
      </c>
      <c r="P9" s="11" t="inlineStr">
        <is>
          <t>Có</t>
        </is>
      </c>
      <c r="Q9" s="14" t="inlineStr"/>
    </row>
    <row r="10">
      <c r="A10" s="11" t="n">
        <v>8</v>
      </c>
      <c r="B10" s="11" t="inlineStr">
        <is>
          <t>AEON – Golden Sea (GS)</t>
        </is>
      </c>
      <c r="C10" s="11" t="inlineStr">
        <is>
          <t>Tháng 8/AEON MALL/DCA/VÀO</t>
        </is>
      </c>
      <c r="D10" s="11" t="inlineStr">
        <is>
          <t>CTCP Tập đoàn An Phú Cường</t>
        </is>
      </c>
      <c r="E10" s="11" t="inlineStr">
        <is>
          <t>2802583021</t>
        </is>
      </c>
      <c r="F10" s="11" t="inlineStr">
        <is>
          <t>00001030</t>
        </is>
      </c>
      <c r="G10" s="11" t="inlineStr">
        <is>
          <t>07/08/2026</t>
        </is>
      </c>
      <c r="H10" s="14" t="inlineStr">
        <is>
          <t>Chỉ PVC 455/LK4585 23x0.8mm</t>
        </is>
      </c>
      <c r="I10" s="11" t="inlineStr">
        <is>
          <t>m</t>
        </is>
      </c>
      <c r="J10" s="15" t="n">
        <v>50</v>
      </c>
      <c r="K10" s="5" t="n">
        <v>6400</v>
      </c>
      <c r="L10" s="5" t="n">
        <v>320000</v>
      </c>
      <c r="M10" s="16" t="n">
        <v>0.08</v>
      </c>
      <c r="N10" s="5">
        <f>ROUND(L10*M10,0)</f>
        <v/>
      </c>
      <c r="O10" s="11" t="inlineStr">
        <is>
          <t>Chỉ/nẹp PVC</t>
        </is>
      </c>
      <c r="P10" s="11" t="inlineStr">
        <is>
          <t>Có</t>
        </is>
      </c>
      <c r="Q10" s="14" t="inlineStr"/>
    </row>
    <row r="11">
      <c r="A11" s="11" t="n">
        <v>8</v>
      </c>
      <c r="B11" s="11" t="inlineStr">
        <is>
          <t>AEON – Golden Sea (GS)</t>
        </is>
      </c>
      <c r="C11" s="11" t="inlineStr">
        <is>
          <t>Tháng 8/AEON MALL/DCA/VÀO</t>
        </is>
      </c>
      <c r="D11" s="11" t="inlineStr">
        <is>
          <t>CTCP Tập đoàn An Phú Cường</t>
        </is>
      </c>
      <c r="E11" s="11" t="inlineStr">
        <is>
          <t>2802583021</t>
        </is>
      </c>
      <c r="F11" s="11" t="inlineStr">
        <is>
          <t>00001030</t>
        </is>
      </c>
      <c r="G11" s="11" t="inlineStr">
        <is>
          <t>07/08/2026</t>
        </is>
      </c>
      <c r="H11" s="14" t="inlineStr">
        <is>
          <t>Chỉ PVC 9223 21x0.8mm</t>
        </is>
      </c>
      <c r="I11" s="11" t="inlineStr">
        <is>
          <t>m</t>
        </is>
      </c>
      <c r="J11" s="15" t="n">
        <v>100</v>
      </c>
      <c r="K11" s="5" t="n">
        <v>3200</v>
      </c>
      <c r="L11" s="5" t="n">
        <v>320000</v>
      </c>
      <c r="M11" s="16" t="n">
        <v>0.08</v>
      </c>
      <c r="N11" s="5">
        <f>ROUND(L11*M11,0)</f>
        <v/>
      </c>
      <c r="O11" s="11" t="inlineStr">
        <is>
          <t>Chỉ/nẹp PVC</t>
        </is>
      </c>
      <c r="P11" s="11" t="inlineStr">
        <is>
          <t>Có</t>
        </is>
      </c>
      <c r="Q11" s="14" t="inlineStr"/>
    </row>
    <row r="12">
      <c r="A12" s="11" t="n">
        <v>8</v>
      </c>
      <c r="B12" s="11" t="inlineStr">
        <is>
          <t>AEON – Golden Sea (GS)</t>
        </is>
      </c>
      <c r="C12" s="11" t="inlineStr">
        <is>
          <t>Tháng 8/AEON MALL/DCA/VÀO</t>
        </is>
      </c>
      <c r="D12" s="11" t="inlineStr">
        <is>
          <t>CTCP Tập đoàn An Phú Cường</t>
        </is>
      </c>
      <c r="E12" s="11" t="inlineStr">
        <is>
          <t>2802583021</t>
        </is>
      </c>
      <c r="F12" s="11" t="inlineStr">
        <is>
          <t>00001030</t>
        </is>
      </c>
      <c r="G12" s="11" t="inlineStr">
        <is>
          <t>07/08/2026</t>
        </is>
      </c>
      <c r="H12" s="14" t="inlineStr">
        <is>
          <t>Chỉ PVC 9223 23x0.8mm</t>
        </is>
      </c>
      <c r="I12" s="11" t="inlineStr">
        <is>
          <t>m</t>
        </is>
      </c>
      <c r="J12" s="15" t="n">
        <v>100</v>
      </c>
      <c r="K12" s="5" t="n">
        <v>3700</v>
      </c>
      <c r="L12" s="5" t="n">
        <v>370000</v>
      </c>
      <c r="M12" s="16" t="n">
        <v>0.08</v>
      </c>
      <c r="N12" s="5">
        <f>ROUND(L12*M12,0)</f>
        <v/>
      </c>
      <c r="O12" s="11" t="inlineStr">
        <is>
          <t>Chỉ/nẹp PVC</t>
        </is>
      </c>
      <c r="P12" s="11" t="inlineStr">
        <is>
          <t>Có</t>
        </is>
      </c>
      <c r="Q12" s="14" t="inlineStr"/>
    </row>
    <row r="13">
      <c r="A13" s="11" t="n">
        <v>8</v>
      </c>
      <c r="B13" s="11" t="inlineStr">
        <is>
          <t>AEON – Golden Sea (GS)</t>
        </is>
      </c>
      <c r="C13" s="11" t="inlineStr">
        <is>
          <t>Tháng 8/AEON MALL/DCA/VÀO</t>
        </is>
      </c>
      <c r="D13" s="11" t="inlineStr">
        <is>
          <t>CTCP Tập đoàn An Phú Cường</t>
        </is>
      </c>
      <c r="E13" s="11" t="inlineStr">
        <is>
          <t>2802583021</t>
        </is>
      </c>
      <c r="F13" s="11" t="inlineStr">
        <is>
          <t>00001030</t>
        </is>
      </c>
      <c r="G13" s="11" t="inlineStr">
        <is>
          <t>07/08/2026</t>
        </is>
      </c>
      <c r="H13" s="14" t="inlineStr">
        <is>
          <t>Ván MELMDF 9223NV 1220x2440x17mm</t>
        </is>
      </c>
      <c r="I13" s="11" t="inlineStr">
        <is>
          <t>tấm</t>
        </is>
      </c>
      <c r="J13" s="15" t="n">
        <v>6</v>
      </c>
      <c r="K13" s="5" t="n">
        <v>810000</v>
      </c>
      <c r="L13" s="5" t="n">
        <v>4860000</v>
      </c>
      <c r="M13" s="16" t="n">
        <v>0.08</v>
      </c>
      <c r="N13" s="5">
        <f>ROUND(L13*M13,0)</f>
        <v/>
      </c>
      <c r="O13" s="11" t="inlineStr">
        <is>
          <t>Ván MDF/Melamine &amp; tấm bề mặt</t>
        </is>
      </c>
      <c r="P13" s="11" t="inlineStr">
        <is>
          <t>Có</t>
        </is>
      </c>
      <c r="Q13" s="14" t="inlineStr"/>
    </row>
    <row r="14">
      <c r="A14" s="11" t="n">
        <v>8</v>
      </c>
      <c r="B14" s="11" t="inlineStr">
        <is>
          <t>AEON – Golden Sea (GS)</t>
        </is>
      </c>
      <c r="C14" s="11" t="inlineStr">
        <is>
          <t>Tháng 8/AEON MALL/DCA/VÀO</t>
        </is>
      </c>
      <c r="D14" s="11" t="inlineStr">
        <is>
          <t>CTCP Tập đoàn An Phú Cường</t>
        </is>
      </c>
      <c r="E14" s="11" t="inlineStr">
        <is>
          <t>2802583021</t>
        </is>
      </c>
      <c r="F14" s="11" t="inlineStr">
        <is>
          <t>00001042</t>
        </is>
      </c>
      <c r="G14" s="11" t="inlineStr">
        <is>
          <t>10/08/2026</t>
        </is>
      </c>
      <c r="H14" s="14" t="inlineStr">
        <is>
          <t>Chỉ PVC 455/LK4585 23x0.8mm</t>
        </is>
      </c>
      <c r="I14" s="11" t="inlineStr">
        <is>
          <t>m</t>
        </is>
      </c>
      <c r="J14" s="15" t="n">
        <v>100</v>
      </c>
      <c r="K14" s="5" t="n">
        <v>5600</v>
      </c>
      <c r="L14" s="5" t="n">
        <v>560000</v>
      </c>
      <c r="M14" s="16" t="n">
        <v>0.08</v>
      </c>
      <c r="N14" s="5">
        <f>ROUND(L14*M14,0)</f>
        <v/>
      </c>
      <c r="O14" s="11" t="inlineStr">
        <is>
          <t>Chỉ/nẹp PVC</t>
        </is>
      </c>
      <c r="P14" s="11" t="inlineStr">
        <is>
          <t>Có</t>
        </is>
      </c>
      <c r="Q14" s="14" t="inlineStr"/>
    </row>
    <row r="15">
      <c r="A15" s="11" t="n">
        <v>8</v>
      </c>
      <c r="B15" s="11" t="inlineStr">
        <is>
          <t>AEON – Golden Sea (GS)</t>
        </is>
      </c>
      <c r="C15" s="11" t="inlineStr">
        <is>
          <t>Tháng 8/AEON MALL/DCA/VÀO</t>
        </is>
      </c>
      <c r="D15" s="11" t="inlineStr">
        <is>
          <t>CTCP Tập đoàn An Phú Cường</t>
        </is>
      </c>
      <c r="E15" s="11" t="inlineStr">
        <is>
          <t>2802583021</t>
        </is>
      </c>
      <c r="F15" s="11" t="inlineStr">
        <is>
          <t>00001046</t>
        </is>
      </c>
      <c r="G15" s="11" t="inlineStr">
        <is>
          <t>13/08/2026</t>
        </is>
      </c>
      <c r="H15" s="14" t="inlineStr">
        <is>
          <t>MELMDF 455NWG 1220x2440x17mm</t>
        </is>
      </c>
      <c r="I15" s="11" t="inlineStr">
        <is>
          <t>tấm</t>
        </is>
      </c>
      <c r="J15" s="15" t="n">
        <v>5</v>
      </c>
      <c r="K15" s="5" t="n">
        <v>815000</v>
      </c>
      <c r="L15" s="5" t="n">
        <v>4075000</v>
      </c>
      <c r="M15" s="16" t="n">
        <v>0.08</v>
      </c>
      <c r="N15" s="5">
        <f>ROUND(L15*M15,0)</f>
        <v/>
      </c>
      <c r="O15" s="11" t="inlineStr">
        <is>
          <t>Ván MDF/Melamine &amp; tấm bề mặt</t>
        </is>
      </c>
      <c r="P15" s="11" t="inlineStr">
        <is>
          <t>Có</t>
        </is>
      </c>
      <c r="Q15" s="14" t="inlineStr"/>
    </row>
    <row r="16">
      <c r="A16" s="11" t="n">
        <v>8</v>
      </c>
      <c r="B16" s="11" t="inlineStr">
        <is>
          <t>AEON – Golden Sea (GS)</t>
        </is>
      </c>
      <c r="C16" s="11" t="inlineStr">
        <is>
          <t>Tháng 8/AEON MALL/DCA/VÀO</t>
        </is>
      </c>
      <c r="D16" s="11" t="inlineStr">
        <is>
          <t>CTCP Tập đoàn An Phú Cường</t>
        </is>
      </c>
      <c r="E16" s="11" t="inlineStr">
        <is>
          <t>2802583021</t>
        </is>
      </c>
      <c r="F16" s="11" t="inlineStr">
        <is>
          <t>00001066</t>
        </is>
      </c>
      <c r="G16" s="11" t="inlineStr">
        <is>
          <t>19/08/2026</t>
        </is>
      </c>
      <c r="H16" s="14" t="inlineStr">
        <is>
          <t>Chỉ PVC 455/LK4585 23x0.8mm</t>
        </is>
      </c>
      <c r="I16" s="11" t="inlineStr">
        <is>
          <t>m</t>
        </is>
      </c>
      <c r="J16" s="15" t="n">
        <v>100</v>
      </c>
      <c r="K16" s="5" t="n">
        <v>5600</v>
      </c>
      <c r="L16" s="5" t="n">
        <v>560000</v>
      </c>
      <c r="M16" s="16" t="n">
        <v>0.08</v>
      </c>
      <c r="N16" s="5">
        <f>ROUND(L16*M16,0)</f>
        <v/>
      </c>
      <c r="O16" s="11" t="inlineStr">
        <is>
          <t>Chỉ/nẹp PVC</t>
        </is>
      </c>
      <c r="P16" s="11" t="inlineStr">
        <is>
          <t>Có</t>
        </is>
      </c>
      <c r="Q16" s="14" t="inlineStr"/>
    </row>
    <row r="17">
      <c r="A17" s="11" t="n">
        <v>8</v>
      </c>
      <c r="B17" s="11" t="inlineStr">
        <is>
          <t>AEON – Golden Sea (GS)</t>
        </is>
      </c>
      <c r="C17" s="11" t="inlineStr">
        <is>
          <t>Tháng 8/AEON MALL/DCA/VÀO</t>
        </is>
      </c>
      <c r="D17" s="11" t="inlineStr">
        <is>
          <t>CTCP Tập đoàn An Phú Cường</t>
        </is>
      </c>
      <c r="E17" s="11" t="inlineStr">
        <is>
          <t>2802583021</t>
        </is>
      </c>
      <c r="F17" s="11" t="inlineStr">
        <is>
          <t>00001098</t>
        </is>
      </c>
      <c r="G17" s="11" t="inlineStr">
        <is>
          <t>25/08/2026</t>
        </is>
      </c>
      <c r="H17" s="14" t="inlineStr">
        <is>
          <t>Tấm bề mặt LK 4450A WG 1220x2440mm</t>
        </is>
      </c>
      <c r="I17" s="11" t="inlineStr">
        <is>
          <t>tấm</t>
        </is>
      </c>
      <c r="J17" s="15" t="n">
        <v>2</v>
      </c>
      <c r="K17" s="5" t="n">
        <v>480000</v>
      </c>
      <c r="L17" s="5" t="n">
        <v>960000</v>
      </c>
      <c r="M17" s="16" t="n">
        <v>0.08</v>
      </c>
      <c r="N17" s="5">
        <f>ROUND(L17*M17,0)</f>
        <v/>
      </c>
      <c r="O17" s="11" t="inlineStr">
        <is>
          <t>Ván MDF/Melamine &amp; tấm bề mặt</t>
        </is>
      </c>
      <c r="P17" s="11" t="inlineStr">
        <is>
          <t>Có</t>
        </is>
      </c>
      <c r="Q17" s="14" t="inlineStr"/>
    </row>
    <row r="18">
      <c r="A18" s="11" t="n">
        <v>8</v>
      </c>
      <c r="B18" s="11" t="inlineStr">
        <is>
          <t>AEON – Golden Sea (GS)</t>
        </is>
      </c>
      <c r="C18" s="11" t="inlineStr">
        <is>
          <t>Tháng 8/AEON MALL/DCA/VÀO</t>
        </is>
      </c>
      <c r="D18" s="11" t="inlineStr">
        <is>
          <t>CTCP Tập đoàn An Phú Cường</t>
        </is>
      </c>
      <c r="E18" s="11" t="inlineStr">
        <is>
          <t>2802583021</t>
        </is>
      </c>
      <c r="F18" s="11" t="inlineStr">
        <is>
          <t>00001098</t>
        </is>
      </c>
      <c r="G18" s="11" t="inlineStr">
        <is>
          <t>25/08/2026</t>
        </is>
      </c>
      <c r="H18" s="14" t="inlineStr">
        <is>
          <t>Tấm bề mặt LK 5006A SO 1220x2440mm</t>
        </is>
      </c>
      <c r="I18" s="11" t="inlineStr">
        <is>
          <t>tấm</t>
        </is>
      </c>
      <c r="J18" s="15" t="n">
        <v>2</v>
      </c>
      <c r="K18" s="5" t="n">
        <v>480000</v>
      </c>
      <c r="L18" s="5" t="n">
        <v>960000</v>
      </c>
      <c r="M18" s="16" t="n">
        <v>0.08</v>
      </c>
      <c r="N18" s="5">
        <f>ROUND(L18*M18,0)</f>
        <v/>
      </c>
      <c r="O18" s="11" t="inlineStr">
        <is>
          <t>Ván MDF/Melamine &amp; tấm bề mặt</t>
        </is>
      </c>
      <c r="P18" s="11" t="inlineStr">
        <is>
          <t>Có</t>
        </is>
      </c>
      <c r="Q18" s="14" t="inlineStr"/>
    </row>
    <row r="19">
      <c r="A19" s="11" t="n">
        <v>8</v>
      </c>
      <c r="B19" s="11" t="inlineStr">
        <is>
          <t>AEON – Golden Sea (GS)</t>
        </is>
      </c>
      <c r="C19" s="11" t="inlineStr">
        <is>
          <t>Tháng 8/AEON MALL/DCA/VÀO</t>
        </is>
      </c>
      <c r="D19" s="11" t="inlineStr">
        <is>
          <t>CTCP Tập đoàn An Phú Cường</t>
        </is>
      </c>
      <c r="E19" s="11" t="inlineStr">
        <is>
          <t>2802583021</t>
        </is>
      </c>
      <c r="F19" s="11" t="inlineStr">
        <is>
          <t>00001098</t>
        </is>
      </c>
      <c r="G19" s="11" t="inlineStr">
        <is>
          <t>25/08/2026</t>
        </is>
      </c>
      <c r="H19" s="14" t="inlineStr">
        <is>
          <t>Tấm bề mặt LK 4458A WG 1220x2440mm</t>
        </is>
      </c>
      <c r="I19" s="11" t="inlineStr">
        <is>
          <t>tấm</t>
        </is>
      </c>
      <c r="J19" s="15" t="n">
        <v>2</v>
      </c>
      <c r="K19" s="5" t="n">
        <v>480000</v>
      </c>
      <c r="L19" s="5" t="n">
        <v>960000</v>
      </c>
      <c r="M19" s="16" t="n">
        <v>0.08</v>
      </c>
      <c r="N19" s="5">
        <f>ROUND(L19*M19,0)</f>
        <v/>
      </c>
      <c r="O19" s="11" t="inlineStr">
        <is>
          <t>Ván MDF/Melamine &amp; tấm bề mặt</t>
        </is>
      </c>
      <c r="P19" s="11" t="inlineStr">
        <is>
          <t>Có</t>
        </is>
      </c>
      <c r="Q19" s="14" t="inlineStr"/>
    </row>
    <row r="20">
      <c r="A20" s="11" t="n">
        <v>8</v>
      </c>
      <c r="B20" s="11" t="inlineStr">
        <is>
          <t>AEON – Golden Sea (GS)</t>
        </is>
      </c>
      <c r="C20" s="11" t="inlineStr">
        <is>
          <t>Tháng 8/AEON MALL/DCA/VÀO</t>
        </is>
      </c>
      <c r="D20" s="11" t="inlineStr">
        <is>
          <t>CTCP Tập đoàn An Phú Cường</t>
        </is>
      </c>
      <c r="E20" s="11" t="inlineStr">
        <is>
          <t>2802583021</t>
        </is>
      </c>
      <c r="F20" s="11" t="inlineStr">
        <is>
          <t>00001102</t>
        </is>
      </c>
      <c r="G20" s="11" t="inlineStr">
        <is>
          <t>26/08/2026</t>
        </is>
      </c>
      <c r="H20" s="14" t="inlineStr">
        <is>
          <t>Chỉ PVC 9223 23x0.8mm</t>
        </is>
      </c>
      <c r="I20" s="11" t="inlineStr">
        <is>
          <t>m</t>
        </is>
      </c>
      <c r="J20" s="15" t="n">
        <v>100</v>
      </c>
      <c r="K20" s="5" t="n">
        <v>3700</v>
      </c>
      <c r="L20" s="5" t="n">
        <v>370000</v>
      </c>
      <c r="M20" s="16" t="n">
        <v>0.08</v>
      </c>
      <c r="N20" s="5">
        <f>ROUND(L20*M20,0)</f>
        <v/>
      </c>
      <c r="O20" s="11" t="inlineStr">
        <is>
          <t>Chỉ/nẹp PVC</t>
        </is>
      </c>
      <c r="P20" s="11" t="inlineStr">
        <is>
          <t>Có</t>
        </is>
      </c>
      <c r="Q20" s="14" t="inlineStr"/>
    </row>
    <row r="21">
      <c r="A21" s="11" t="n">
        <v>8</v>
      </c>
      <c r="B21" s="11" t="inlineStr">
        <is>
          <t>AEON – Golden Sea (GS)</t>
        </is>
      </c>
      <c r="C21" s="11" t="inlineStr">
        <is>
          <t>Tháng 8/AEON MALL/DCA/VÀO</t>
        </is>
      </c>
      <c r="D21" s="11" t="inlineStr">
        <is>
          <t>Cty TNHH Thanh Thùy</t>
        </is>
      </c>
      <c r="E21" s="11" t="inlineStr">
        <is>
          <t>3700650344</t>
        </is>
      </c>
      <c r="F21" s="11" t="inlineStr">
        <is>
          <t>00010949</t>
        </is>
      </c>
      <c r="G21" s="11" t="inlineStr">
        <is>
          <t>31/08/2026</t>
        </is>
      </c>
      <c r="H21" s="14" t="inlineStr">
        <is>
          <t>Ván 9mm kháng ẩm LMR DW MEL 104T 2 mặt 1220x2440</t>
        </is>
      </c>
      <c r="I21" s="11" t="inlineStr">
        <is>
          <t>tấm</t>
        </is>
      </c>
      <c r="J21" s="15" t="n">
        <v>6</v>
      </c>
      <c r="K21" s="5" t="n">
        <v>392000</v>
      </c>
      <c r="L21" s="5" t="n">
        <v>2352000</v>
      </c>
      <c r="M21" s="16" t="n">
        <v>0.08</v>
      </c>
      <c r="N21" s="5">
        <f>ROUND(L21*M21,0)</f>
        <v/>
      </c>
      <c r="O21" s="11" t="inlineStr">
        <is>
          <t>Ván MDF/Melamine &amp; tấm bề mặt</t>
        </is>
      </c>
      <c r="P21" s="11" t="inlineStr">
        <is>
          <t>Có</t>
        </is>
      </c>
      <c r="Q21" s="14" t="inlineStr"/>
    </row>
    <row r="22">
      <c r="A22" s="11" t="n">
        <v>8</v>
      </c>
      <c r="B22" s="11" t="inlineStr">
        <is>
          <t>AEON – Golden Sea (GS)</t>
        </is>
      </c>
      <c r="C22" s="11" t="inlineStr">
        <is>
          <t>Tháng 8/AEON MALL/DCA/VÀO</t>
        </is>
      </c>
      <c r="D22" s="11" t="inlineStr">
        <is>
          <t>Cty TNHH Thanh Thùy</t>
        </is>
      </c>
      <c r="E22" s="11" t="inlineStr">
        <is>
          <t>3700650344</t>
        </is>
      </c>
      <c r="F22" s="11" t="inlineStr">
        <is>
          <t>00010949</t>
        </is>
      </c>
      <c r="G22" s="11" t="inlineStr">
        <is>
          <t>31/08/2026</t>
        </is>
      </c>
      <c r="H22" s="14" t="inlineStr">
        <is>
          <t>Chỉ nẹp 104T 21x0.8</t>
        </is>
      </c>
      <c r="I22" s="11" t="inlineStr">
        <is>
          <t>m</t>
        </is>
      </c>
      <c r="J22" s="15" t="n">
        <v>100</v>
      </c>
      <c r="K22" s="5" t="n">
        <v>1400</v>
      </c>
      <c r="L22" s="5" t="n">
        <v>140000</v>
      </c>
      <c r="M22" s="16" t="n">
        <v>0.08</v>
      </c>
      <c r="N22" s="5">
        <f>ROUND(L22*M22,0)</f>
        <v/>
      </c>
      <c r="O22" s="11" t="inlineStr">
        <is>
          <t>Chỉ/nẹp PVC</t>
        </is>
      </c>
      <c r="P22" s="11" t="inlineStr">
        <is>
          <t>Có</t>
        </is>
      </c>
      <c r="Q22" s="14" t="inlineStr"/>
    </row>
    <row r="23">
      <c r="A23" s="11" t="n">
        <v>8</v>
      </c>
      <c r="B23" s="11" t="inlineStr">
        <is>
          <t>AEON – Golden Sea (GS)</t>
        </is>
      </c>
      <c r="C23" s="11" t="inlineStr">
        <is>
          <t>Tháng 8/AEON MALL/DCA/VÀO</t>
        </is>
      </c>
      <c r="D23" s="11" t="inlineStr">
        <is>
          <t>Cty TNHH Thanh Thùy</t>
        </is>
      </c>
      <c r="E23" s="11" t="inlineStr">
        <is>
          <t>3700650344</t>
        </is>
      </c>
      <c r="F23" s="11" t="inlineStr">
        <is>
          <t>00010949</t>
        </is>
      </c>
      <c r="G23" s="11" t="inlineStr">
        <is>
          <t>31/08/2026</t>
        </is>
      </c>
      <c r="H23" s="14" t="inlineStr">
        <is>
          <t>Chỉ nhựa PVC 21x0.8mm</t>
        </is>
      </c>
      <c r="I23" s="11" t="inlineStr">
        <is>
          <t>m</t>
        </is>
      </c>
      <c r="J23" s="15" t="n">
        <v>400</v>
      </c>
      <c r="K23" s="5" t="n">
        <v>1150</v>
      </c>
      <c r="L23" s="5" t="n">
        <v>460000</v>
      </c>
      <c r="M23" s="16" t="n">
        <v>0.08</v>
      </c>
      <c r="N23" s="5">
        <f>ROUND(L23*M23,0)</f>
        <v/>
      </c>
      <c r="O23" s="11" t="inlineStr">
        <is>
          <t>Chỉ/nẹp PVC</t>
        </is>
      </c>
      <c r="P23" s="11" t="inlineStr">
        <is>
          <t>Có</t>
        </is>
      </c>
      <c r="Q23" s="14" t="inlineStr"/>
    </row>
    <row r="24">
      <c r="A24" s="11" t="n">
        <v>8</v>
      </c>
      <c r="B24" s="11" t="inlineStr">
        <is>
          <t>AEON – Golden Sea (GS)</t>
        </is>
      </c>
      <c r="C24" s="11" t="inlineStr">
        <is>
          <t>Tháng 8/AEON MALL/DCA/VÀO</t>
        </is>
      </c>
      <c r="D24" s="11" t="inlineStr">
        <is>
          <t>Cty TNHH VT TM DV Phượng Hoàng</t>
        </is>
      </c>
      <c r="E24" s="11" t="inlineStr">
        <is>
          <t>0305689070</t>
        </is>
      </c>
      <c r="F24" s="11" t="inlineStr">
        <is>
          <t>00004813</t>
        </is>
      </c>
      <c r="G24" s="11" t="inlineStr">
        <is>
          <t>28/08/2026</t>
        </is>
      </c>
      <c r="H24" s="14" t="inlineStr">
        <is>
          <t>Cước vận chuyển hàng TP.HCM đi Thanh Hóa (xe 89E-00535)</t>
        </is>
      </c>
      <c r="I24" s="11" t="inlineStr">
        <is>
          <t>chuyến</t>
        </is>
      </c>
      <c r="J24" s="15" t="n">
        <v>1</v>
      </c>
      <c r="K24" s="5" t="n">
        <v>791667</v>
      </c>
      <c r="L24" s="5" t="n">
        <v>791667</v>
      </c>
      <c r="M24" s="16" t="n">
        <v>0.08</v>
      </c>
      <c r="N24" s="5">
        <f>ROUND(L24*M24,0)</f>
        <v/>
      </c>
      <c r="O24" s="11" t="inlineStr">
        <is>
          <t>Vận chuyển</t>
        </is>
      </c>
      <c r="P24" s="11" t="inlineStr">
        <is>
          <t>Có</t>
        </is>
      </c>
      <c r="Q24" s="14" t="inlineStr">
        <is>
          <t>HĐ có 3 bản sao ở thư mục Tháng 8 (2 bản) và Tháng 9/GS (1 bản) – chỉ tính 1 lần</t>
        </is>
      </c>
    </row>
    <row r="25">
      <c r="A25" s="11" t="n">
        <v>9</v>
      </c>
      <c r="B25" s="11" t="inlineStr">
        <is>
          <t>AEON – Golden Sea (GS)</t>
        </is>
      </c>
      <c r="C25" s="11" t="inlineStr">
        <is>
          <t>Tháng 9/AEON/GS/VÀO</t>
        </is>
      </c>
      <c r="D25" s="11" t="inlineStr">
        <is>
          <t>Cty TNHH Vận tải TM DV Phượng Hoàng</t>
        </is>
      </c>
      <c r="E25" s="11" t="inlineStr">
        <is>
          <t>0305689070</t>
        </is>
      </c>
      <c r="F25" s="11" t="inlineStr">
        <is>
          <t>00005001</t>
        </is>
      </c>
      <c r="G25" s="11" t="inlineStr">
        <is>
          <t>05/09/2026</t>
        </is>
      </c>
      <c r="H25" s="14" t="inlineStr">
        <is>
          <t>Cước vận chuyển hàng TP.HCM đi Thanh Hóa (xe 89C-09217)</t>
        </is>
      </c>
      <c r="I25" s="11" t="inlineStr">
        <is>
          <t>chuyến</t>
        </is>
      </c>
      <c r="J25" s="15" t="n">
        <v>1</v>
      </c>
      <c r="K25" s="5" t="n">
        <v>625000</v>
      </c>
      <c r="L25" s="5" t="n">
        <v>625000</v>
      </c>
      <c r="M25" s="16" t="n">
        <v>0.08</v>
      </c>
      <c r="N25" s="5">
        <f>ROUND(L25*M25,0)</f>
        <v/>
      </c>
      <c r="O25" s="11" t="inlineStr">
        <is>
          <t>Vận chuyển</t>
        </is>
      </c>
      <c r="P25" s="11" t="inlineStr">
        <is>
          <t>Có</t>
        </is>
      </c>
      <c r="Q25" s="14" t="inlineStr"/>
    </row>
    <row r="26">
      <c r="A26" s="11" t="n">
        <v>9</v>
      </c>
      <c r="B26" s="11" t="inlineStr">
        <is>
          <t>AEON – Golden Sea (GS)</t>
        </is>
      </c>
      <c r="C26" s="11" t="inlineStr">
        <is>
          <t>Tháng 9/AEON/GS/VÀO</t>
        </is>
      </c>
      <c r="D26" s="11" t="inlineStr">
        <is>
          <t>Cty TNHH SX &amp; TM Kim Mộc</t>
        </is>
      </c>
      <c r="E26" s="11" t="inlineStr">
        <is>
          <t>2803198054</t>
        </is>
      </c>
      <c r="F26" s="11" t="inlineStr">
        <is>
          <t>210</t>
        </is>
      </c>
      <c r="G26" s="11" t="inlineStr">
        <is>
          <t>10/09/2026</t>
        </is>
      </c>
      <c r="H26" s="14" t="inlineStr">
        <is>
          <t>TPG MDF HMR SP Premium E1 17x1220x2440 216-MN</t>
        </is>
      </c>
      <c r="I26" s="11" t="inlineStr">
        <is>
          <t>tấm</t>
        </is>
      </c>
      <c r="J26" s="15" t="n">
        <v>37</v>
      </c>
      <c r="K26" s="5" t="n">
        <v>420395.81</v>
      </c>
      <c r="L26" s="5" t="n">
        <v>15554645</v>
      </c>
      <c r="M26" s="16" t="n">
        <v>0.08</v>
      </c>
      <c r="N26" s="5">
        <f>ROUND(L26*M26,0)</f>
        <v/>
      </c>
      <c r="O26" s="11" t="inlineStr">
        <is>
          <t>Ván MDF/Melamine &amp; tấm bề mặt</t>
        </is>
      </c>
      <c r="P26" s="11" t="inlineStr">
        <is>
          <t>Có</t>
        </is>
      </c>
      <c r="Q26" s="14" t="inlineStr"/>
    </row>
    <row r="27">
      <c r="A27" s="11" t="n">
        <v>9</v>
      </c>
      <c r="B27" s="11" t="inlineStr">
        <is>
          <t>AEON – Golden Sea (GS)</t>
        </is>
      </c>
      <c r="C27" s="11" t="inlineStr">
        <is>
          <t>Tháng 9/AEON/GS/VÀO</t>
        </is>
      </c>
      <c r="D27" s="11" t="inlineStr">
        <is>
          <t>Cty TNHH SX &amp; TM Kim Mộc</t>
        </is>
      </c>
      <c r="E27" s="11" t="inlineStr">
        <is>
          <t>2803198054</t>
        </is>
      </c>
      <c r="F27" s="11" t="inlineStr">
        <is>
          <t>210</t>
        </is>
      </c>
      <c r="G27" s="11" t="inlineStr">
        <is>
          <t>10/09/2026</t>
        </is>
      </c>
      <c r="H27" s="14" t="inlineStr">
        <is>
          <t>TPG Ván MDF chống ẩm E1 9mm 1138-MN</t>
        </is>
      </c>
      <c r="I27" s="11" t="inlineStr">
        <is>
          <t>tấm</t>
        </is>
      </c>
      <c r="J27" s="15" t="n">
        <v>28</v>
      </c>
      <c r="K27" s="5" t="n">
        <v>312618.76</v>
      </c>
      <c r="L27" s="5" t="n">
        <v>8753325</v>
      </c>
      <c r="M27" s="16" t="n">
        <v>0.08</v>
      </c>
      <c r="N27" s="5">
        <f>ROUND(L27*M27,0)</f>
        <v/>
      </c>
      <c r="O27" s="11" t="inlineStr">
        <is>
          <t>Ván MDF/Melamine &amp; tấm bề mặt</t>
        </is>
      </c>
      <c r="P27" s="11" t="inlineStr">
        <is>
          <t>Có</t>
        </is>
      </c>
      <c r="Q27" s="14" t="inlineStr"/>
    </row>
    <row r="28">
      <c r="A28" s="11" t="n">
        <v>9</v>
      </c>
      <c r="B28" s="11" t="inlineStr">
        <is>
          <t>AEON – Golden Sea (GS)</t>
        </is>
      </c>
      <c r="C28" s="11" t="inlineStr">
        <is>
          <t>Tháng 9/AEON/GS/VÀO</t>
        </is>
      </c>
      <c r="D28" s="11" t="inlineStr">
        <is>
          <t>Cty TNHH SX &amp; TM Kim Mộc</t>
        </is>
      </c>
      <c r="E28" s="11" t="inlineStr">
        <is>
          <t>2803198054</t>
        </is>
      </c>
      <c r="F28" s="11" t="inlineStr">
        <is>
          <t>210</t>
        </is>
      </c>
      <c r="G28" s="11" t="inlineStr">
        <is>
          <t>10/09/2026</t>
        </is>
      </c>
      <c r="H28" s="14" t="inlineStr">
        <is>
          <t>MDF HMR Premium E2 17x1220x2440</t>
        </is>
      </c>
      <c r="I28" s="11" t="inlineStr">
        <is>
          <t>tấm</t>
        </is>
      </c>
      <c r="J28" s="15" t="n">
        <v>30</v>
      </c>
      <c r="K28" s="5" t="n">
        <v>283264.42</v>
      </c>
      <c r="L28" s="5" t="n">
        <v>8497933</v>
      </c>
      <c r="M28" s="16" t="n">
        <v>0.08</v>
      </c>
      <c r="N28" s="5">
        <f>ROUND(L28*M28,0)</f>
        <v/>
      </c>
      <c r="O28" s="11" t="inlineStr">
        <is>
          <t>Ván MDF/Melamine &amp; tấm bề mặt</t>
        </is>
      </c>
      <c r="P28" s="11" t="inlineStr">
        <is>
          <t>Có</t>
        </is>
      </c>
      <c r="Q28" s="14" t="inlineStr"/>
    </row>
    <row r="29">
      <c r="A29" s="11" t="n">
        <v>9</v>
      </c>
      <c r="B29" s="11" t="inlineStr">
        <is>
          <t>AEON – Golden Sea (GS)</t>
        </is>
      </c>
      <c r="C29" s="11" t="inlineStr">
        <is>
          <t>Tháng 9/AEON/GS/VÀO</t>
        </is>
      </c>
      <c r="D29" s="11" t="inlineStr">
        <is>
          <t>Cty TNHH SX &amp; TM Kim Mộc</t>
        </is>
      </c>
      <c r="E29" s="11" t="inlineStr">
        <is>
          <t>2803198054</t>
        </is>
      </c>
      <c r="F29" s="11" t="inlineStr">
        <is>
          <t>210</t>
        </is>
      </c>
      <c r="G29" s="11" t="inlineStr">
        <is>
          <t>10/09/2026</t>
        </is>
      </c>
      <c r="H29" s="14" t="inlineStr">
        <is>
          <t>MDF HMR Premium E2 9x1220x2440</t>
        </is>
      </c>
      <c r="I29" s="11" t="inlineStr">
        <is>
          <t>tấm</t>
        </is>
      </c>
      <c r="J29" s="15" t="n">
        <v>40</v>
      </c>
      <c r="K29" s="5" t="n">
        <v>156441.91</v>
      </c>
      <c r="L29" s="5" t="n">
        <v>6257676</v>
      </c>
      <c r="M29" s="16" t="n">
        <v>0.08</v>
      </c>
      <c r="N29" s="5">
        <f>ROUND(L29*M29,0)</f>
        <v/>
      </c>
      <c r="O29" s="11" t="inlineStr">
        <is>
          <t>Ván MDF/Melamine &amp; tấm bề mặt</t>
        </is>
      </c>
      <c r="P29" s="11" t="inlineStr">
        <is>
          <t>Có</t>
        </is>
      </c>
      <c r="Q29" s="14" t="inlineStr"/>
    </row>
    <row r="30">
      <c r="A30" s="11" t="n">
        <v>9</v>
      </c>
      <c r="B30" s="11" t="inlineStr">
        <is>
          <t>AEON – Golden Sea (GS)</t>
        </is>
      </c>
      <c r="C30" s="11" t="inlineStr">
        <is>
          <t>Tháng 9/AEON/GS/VÀO</t>
        </is>
      </c>
      <c r="D30" s="11" t="inlineStr">
        <is>
          <t>Cty TNHH SX &amp; TM Kim Mộc</t>
        </is>
      </c>
      <c r="E30" s="11" t="inlineStr">
        <is>
          <t>2803198054</t>
        </is>
      </c>
      <c r="F30" s="11" t="inlineStr">
        <is>
          <t>210</t>
        </is>
      </c>
      <c r="G30" s="11" t="inlineStr">
        <is>
          <t>10/09/2026</t>
        </is>
      </c>
      <c r="H30" s="14" t="inlineStr">
        <is>
          <t>Nẹp PVC vân gỗ 1x21x90mm</t>
        </is>
      </c>
      <c r="I30" s="11" t="inlineStr">
        <is>
          <t>cuộn</t>
        </is>
      </c>
      <c r="J30" s="15" t="n">
        <v>21</v>
      </c>
      <c r="K30" s="5" t="n">
        <v>87652.64</v>
      </c>
      <c r="L30" s="5" t="n">
        <v>1840705</v>
      </c>
      <c r="M30" s="16" t="n">
        <v>0.08</v>
      </c>
      <c r="N30" s="5">
        <f>ROUND(L30*M30,0)</f>
        <v/>
      </c>
      <c r="O30" s="11" t="inlineStr">
        <is>
          <t>Chỉ/nẹp PVC</t>
        </is>
      </c>
      <c r="P30" s="11" t="inlineStr">
        <is>
          <t>Có</t>
        </is>
      </c>
      <c r="Q30" s="14" t="inlineStr"/>
    </row>
    <row r="31">
      <c r="A31" s="11" t="n">
        <v>9</v>
      </c>
      <c r="B31" s="11" t="inlineStr">
        <is>
          <t>AEON – Golden Sea (GS)</t>
        </is>
      </c>
      <c r="C31" s="11" t="inlineStr">
        <is>
          <t>Tháng 9/AEON/GS/VÀO</t>
        </is>
      </c>
      <c r="D31" s="11" t="inlineStr">
        <is>
          <t>Cty TNHH SX &amp; TM Kim Mộc</t>
        </is>
      </c>
      <c r="E31" s="11" t="inlineStr">
        <is>
          <t>2803198054</t>
        </is>
      </c>
      <c r="F31" s="11" t="inlineStr">
        <is>
          <t>210</t>
        </is>
      </c>
      <c r="G31" s="11" t="inlineStr">
        <is>
          <t>10/09/2026</t>
        </is>
      </c>
      <c r="H31" s="14" t="inlineStr">
        <is>
          <t>Nẹp PVC vân gỗ 1x44x90mm</t>
        </is>
      </c>
      <c r="I31" s="11" t="inlineStr">
        <is>
          <t>cuộn</t>
        </is>
      </c>
      <c r="J31" s="15" t="n">
        <v>10</v>
      </c>
      <c r="K31" s="5" t="n">
        <v>174293.79</v>
      </c>
      <c r="L31" s="5" t="n">
        <v>1742938</v>
      </c>
      <c r="M31" s="16" t="n">
        <v>0.08</v>
      </c>
      <c r="N31" s="5">
        <f>ROUND(L31*M31,0)</f>
        <v/>
      </c>
      <c r="O31" s="11" t="inlineStr">
        <is>
          <t>Chỉ/nẹp PVC</t>
        </is>
      </c>
      <c r="P31" s="11" t="inlineStr">
        <is>
          <t>Có</t>
        </is>
      </c>
      <c r="Q31" s="14" t="inlineStr"/>
    </row>
    <row r="32">
      <c r="A32" s="11" t="n">
        <v>9</v>
      </c>
      <c r="B32" s="11" t="inlineStr">
        <is>
          <t>AEON – Golden Sea (GS)</t>
        </is>
      </c>
      <c r="C32" s="11" t="inlineStr">
        <is>
          <t>Tháng 9/AEON/GS/VÀO</t>
        </is>
      </c>
      <c r="D32" s="11" t="inlineStr">
        <is>
          <t>Cty TNHH Hoàng Hưng Pro</t>
        </is>
      </c>
      <c r="E32" s="11" t="inlineStr">
        <is>
          <t>2802454435</t>
        </is>
      </c>
      <c r="F32" s="11" t="inlineStr">
        <is>
          <t>00004830</t>
        </is>
      </c>
      <c r="G32" s="11" t="inlineStr">
        <is>
          <t>08/09/2026</t>
        </is>
      </c>
      <c r="H32" s="14" t="inlineStr">
        <is>
          <t>Mica TQ 1220x2440x4.8mm</t>
        </is>
      </c>
      <c r="I32" s="11" t="inlineStr">
        <is>
          <t>tấm</t>
        </is>
      </c>
      <c r="J32" s="15" t="n">
        <v>1</v>
      </c>
      <c r="K32" s="5" t="n">
        <v>663889</v>
      </c>
      <c r="L32" s="5" t="n">
        <v>663889</v>
      </c>
      <c r="M32" s="16" t="n">
        <v>0.08</v>
      </c>
      <c r="N32" s="5">
        <f>ROUND(L32*M32,0)</f>
        <v/>
      </c>
      <c r="O32" s="11" t="inlineStr">
        <is>
          <t>Mica, nhựa, keo &amp; vật tư phụ</t>
        </is>
      </c>
      <c r="P32" s="11" t="inlineStr">
        <is>
          <t>Có</t>
        </is>
      </c>
      <c r="Q32" s="14" t="inlineStr"/>
    </row>
    <row r="33">
      <c r="A33" s="11" t="n">
        <v>9</v>
      </c>
      <c r="B33" s="11" t="inlineStr">
        <is>
          <t>AEON – Golden Sea (GS)</t>
        </is>
      </c>
      <c r="C33" s="11" t="inlineStr">
        <is>
          <t>Tháng 9/AEON/GS/VÀO</t>
        </is>
      </c>
      <c r="D33" s="11" t="inlineStr">
        <is>
          <t>Cty TNHH Hoàng Hưng Pro</t>
        </is>
      </c>
      <c r="E33" s="11" t="inlineStr">
        <is>
          <t>2802454435</t>
        </is>
      </c>
      <c r="F33" s="11" t="inlineStr">
        <is>
          <t>00004830</t>
        </is>
      </c>
      <c r="G33" s="11" t="inlineStr">
        <is>
          <t>08/09/2026</t>
        </is>
      </c>
      <c r="H33" s="14" t="inlineStr">
        <is>
          <t>Mica FS000 1220x2440x4.8mm</t>
        </is>
      </c>
      <c r="I33" s="11" t="inlineStr">
        <is>
          <t>tấm</t>
        </is>
      </c>
      <c r="J33" s="15" t="n">
        <v>1</v>
      </c>
      <c r="K33" s="5" t="n">
        <v>1467593</v>
      </c>
      <c r="L33" s="5" t="n">
        <v>1467593</v>
      </c>
      <c r="M33" s="16" t="n">
        <v>0.08</v>
      </c>
      <c r="N33" s="5">
        <f>ROUND(L33*M33,0)</f>
        <v/>
      </c>
      <c r="O33" s="11" t="inlineStr">
        <is>
          <t>Mica, nhựa, keo &amp; vật tư phụ</t>
        </is>
      </c>
      <c r="P33" s="11" t="inlineStr">
        <is>
          <t>Có</t>
        </is>
      </c>
      <c r="Q33" s="14" t="inlineStr"/>
    </row>
    <row r="34">
      <c r="A34" s="11" t="n">
        <v>9</v>
      </c>
      <c r="B34" s="11" t="inlineStr">
        <is>
          <t>AEON – Golden Sea (GS)</t>
        </is>
      </c>
      <c r="C34" s="11" t="inlineStr">
        <is>
          <t>Tháng 9/AEON/GS/VÀO</t>
        </is>
      </c>
      <c r="D34" s="11" t="inlineStr">
        <is>
          <t>Cty TNHH Hoàng Hưng Pro</t>
        </is>
      </c>
      <c r="E34" s="11" t="inlineStr">
        <is>
          <t>2802454435</t>
        </is>
      </c>
      <c r="F34" s="11" t="inlineStr">
        <is>
          <t>00004830</t>
        </is>
      </c>
      <c r="G34" s="11" t="inlineStr">
        <is>
          <t>08/09/2026</t>
        </is>
      </c>
      <c r="H34" s="14" t="inlineStr">
        <is>
          <t>Tấm PVC CNC 1220x2440x8mm</t>
        </is>
      </c>
      <c r="I34" s="11" t="inlineStr">
        <is>
          <t>tấm</t>
        </is>
      </c>
      <c r="J34" s="15" t="n">
        <v>2</v>
      </c>
      <c r="K34" s="5" t="n">
        <v>361111</v>
      </c>
      <c r="L34" s="5" t="n">
        <v>722222</v>
      </c>
      <c r="M34" s="16" t="n">
        <v>0.08</v>
      </c>
      <c r="N34" s="5">
        <f>ROUND(L34*M34,0)</f>
        <v/>
      </c>
      <c r="O34" s="11" t="inlineStr">
        <is>
          <t>Mica, nhựa, keo &amp; vật tư phụ</t>
        </is>
      </c>
      <c r="P34" s="11" t="inlineStr">
        <is>
          <t>Có</t>
        </is>
      </c>
      <c r="Q34" s="14" t="inlineStr"/>
    </row>
    <row r="35">
      <c r="A35" s="11" t="n">
        <v>9</v>
      </c>
      <c r="B35" s="11" t="inlineStr">
        <is>
          <t>AEON – Golden Sea (GS)</t>
        </is>
      </c>
      <c r="C35" s="11" t="inlineStr">
        <is>
          <t>Tháng 9/AEON/GS/VÀO</t>
        </is>
      </c>
      <c r="D35" s="11" t="inlineStr">
        <is>
          <t>Cty TNHH Hoàng Hưng Pro</t>
        </is>
      </c>
      <c r="E35" s="11" t="inlineStr">
        <is>
          <t>2802454435</t>
        </is>
      </c>
      <c r="F35" s="11" t="inlineStr">
        <is>
          <t>00004830</t>
        </is>
      </c>
      <c r="G35" s="11" t="inlineStr">
        <is>
          <t>08/09/2026</t>
        </is>
      </c>
      <c r="H35" s="14" t="inlineStr">
        <is>
          <t>Keo silicon Apollo Sealant A500</t>
        </is>
      </c>
      <c r="I35" s="11" t="inlineStr">
        <is>
          <t>chai</t>
        </is>
      </c>
      <c r="J35" s="15" t="n">
        <v>4</v>
      </c>
      <c r="K35" s="5" t="n">
        <v>46296.25</v>
      </c>
      <c r="L35" s="5" t="n">
        <v>185185</v>
      </c>
      <c r="M35" s="16" t="n">
        <v>0.08</v>
      </c>
      <c r="N35" s="5">
        <f>ROUND(L35*M35,0)</f>
        <v/>
      </c>
      <c r="O35" s="11" t="inlineStr">
        <is>
          <t>Mica, nhựa, keo &amp; vật tư phụ</t>
        </is>
      </c>
      <c r="P35" s="11" t="inlineStr">
        <is>
          <t>Có</t>
        </is>
      </c>
      <c r="Q35" s="14" t="inlineStr"/>
    </row>
    <row r="36">
      <c r="A36" s="11" t="n">
        <v>9</v>
      </c>
      <c r="B36" s="11" t="inlineStr">
        <is>
          <t>AEON – Golden Sea (GS)</t>
        </is>
      </c>
      <c r="C36" s="11" t="inlineStr">
        <is>
          <t>Tháng 9/AEON/GS/VÀO</t>
        </is>
      </c>
      <c r="D36" s="11" t="inlineStr">
        <is>
          <t>Cty TNHH Hoàng Hưng Pro</t>
        </is>
      </c>
      <c r="E36" s="11" t="inlineStr">
        <is>
          <t>2802454435</t>
        </is>
      </c>
      <c r="F36" s="11" t="inlineStr">
        <is>
          <t>00004871</t>
        </is>
      </c>
      <c r="G36" s="11" t="inlineStr">
        <is>
          <t>09/09/2026</t>
        </is>
      </c>
      <c r="H36" s="14" t="inlineStr">
        <is>
          <t>Mica TQ 1220x2440x4.8mm</t>
        </is>
      </c>
      <c r="I36" s="11" t="inlineStr">
        <is>
          <t>tấm</t>
        </is>
      </c>
      <c r="J36" s="15" t="n">
        <v>1</v>
      </c>
      <c r="K36" s="5" t="n">
        <v>663889</v>
      </c>
      <c r="L36" s="5" t="n">
        <v>663889</v>
      </c>
      <c r="M36" s="16" t="n">
        <v>0.08</v>
      </c>
      <c r="N36" s="5">
        <f>ROUND(L36*M36,0)</f>
        <v/>
      </c>
      <c r="O36" s="11" t="inlineStr">
        <is>
          <t>Mica, nhựa, keo &amp; vật tư phụ</t>
        </is>
      </c>
      <c r="P36" s="11" t="inlineStr">
        <is>
          <t>Có</t>
        </is>
      </c>
      <c r="Q36" s="14" t="inlineStr"/>
    </row>
    <row r="37">
      <c r="A37" s="11" t="n">
        <v>9</v>
      </c>
      <c r="B37" s="11" t="inlineStr">
        <is>
          <t>AEON – Golden Sea (GS)</t>
        </is>
      </c>
      <c r="C37" s="11" t="inlineStr">
        <is>
          <t>Tháng 9/AEON/GS/VÀO</t>
        </is>
      </c>
      <c r="D37" s="11" t="inlineStr">
        <is>
          <t>Cty TNHH Hoàng Hưng Pro</t>
        </is>
      </c>
      <c r="E37" s="11" t="inlineStr">
        <is>
          <t>2802454435</t>
        </is>
      </c>
      <c r="F37" s="11" t="inlineStr">
        <is>
          <t>00004920</t>
        </is>
      </c>
      <c r="G37" s="11" t="inlineStr">
        <is>
          <t>12/09/2026</t>
        </is>
      </c>
      <c r="H37" s="14" t="inlineStr">
        <is>
          <t>Tấm nhựa Polycarbonate đặc</t>
        </is>
      </c>
      <c r="I37" s="11" t="inlineStr">
        <is>
          <t>m2</t>
        </is>
      </c>
      <c r="J37" s="15" t="n">
        <v>2.62</v>
      </c>
      <c r="K37" s="5" t="n">
        <v>314532.06</v>
      </c>
      <c r="L37" s="5" t="n">
        <v>824074</v>
      </c>
      <c r="M37" s="16" t="n">
        <v>0.08</v>
      </c>
      <c r="N37" s="5">
        <f>ROUND(L37*M37,0)</f>
        <v/>
      </c>
      <c r="O37" s="11" t="inlineStr">
        <is>
          <t>Mica, nhựa, keo &amp; vật tư phụ</t>
        </is>
      </c>
      <c r="P37" s="11" t="inlineStr">
        <is>
          <t>Có</t>
        </is>
      </c>
      <c r="Q37" s="14" t="inlineStr"/>
    </row>
    <row r="38">
      <c r="A38" s="11" t="n">
        <v>8</v>
      </c>
      <c r="B38" s="11" t="inlineStr">
        <is>
          <t>AEON – Nhóm Thống (Taco + ICO)</t>
        </is>
      </c>
      <c r="C38" s="11" t="inlineStr">
        <is>
          <t>Tháng 8/AEON MALL/THỐNG</t>
        </is>
      </c>
      <c r="D38" s="11" t="inlineStr">
        <is>
          <t>Cty TNHH KD &amp; TM Huy Tiến</t>
        </is>
      </c>
      <c r="E38" s="11" t="inlineStr">
        <is>
          <t>2802839259</t>
        </is>
      </c>
      <c r="F38" s="11" t="inlineStr">
        <is>
          <t>00000368</t>
        </is>
      </c>
      <c r="G38" s="11" t="inlineStr">
        <is>
          <t>28/08/2026</t>
        </is>
      </c>
      <c r="H38" s="14" t="inlineStr">
        <is>
          <t>Nhôm thanh STĐ</t>
        </is>
      </c>
      <c r="I38" s="11" t="inlineStr">
        <is>
          <t>kg</t>
        </is>
      </c>
      <c r="J38" s="15" t="n">
        <v>116.38</v>
      </c>
      <c r="K38" s="5" t="n">
        <v>115999.31</v>
      </c>
      <c r="L38" s="5" t="n">
        <v>13500000</v>
      </c>
      <c r="M38" s="16" t="n">
        <v>0.1</v>
      </c>
      <c r="N38" s="5">
        <f>ROUND(L38*M38,0)</f>
        <v/>
      </c>
      <c r="O38" s="11" t="inlineStr">
        <is>
          <t>Nhôm – sắt</t>
        </is>
      </c>
      <c r="P38" s="11" t="inlineStr">
        <is>
          <t>Có</t>
        </is>
      </c>
      <c r="Q38" s="14" t="inlineStr"/>
    </row>
    <row r="39">
      <c r="A39" s="11" t="n">
        <v>8</v>
      </c>
      <c r="B39" s="11" t="inlineStr">
        <is>
          <t>AEON – Nhóm Thống (Taco + ICO)</t>
        </is>
      </c>
      <c r="C39" s="11" t="inlineStr">
        <is>
          <t>Tháng 8/AEON MALL/THỐNG</t>
        </is>
      </c>
      <c r="D39" s="11" t="inlineStr">
        <is>
          <t>Cty TNHH Cửa kính Thái Bình</t>
        </is>
      </c>
      <c r="E39" s="11" t="inlineStr">
        <is>
          <t>2803078776</t>
        </is>
      </c>
      <c r="F39" s="11" t="inlineStr">
        <is>
          <t>31</t>
        </is>
      </c>
      <c r="G39" s="11" t="inlineStr">
        <is>
          <t>26/08/2026</t>
        </is>
      </c>
      <c r="H39" s="14" t="inlineStr">
        <is>
          <t>Kính cường lực 10mm trà đỏ</t>
        </is>
      </c>
      <c r="I39" s="11" t="inlineStr">
        <is>
          <t>m2</t>
        </is>
      </c>
      <c r="J39" s="15" t="n">
        <v>6.03</v>
      </c>
      <c r="K39" s="5" t="n">
        <v>734400</v>
      </c>
      <c r="L39" s="5" t="n">
        <v>4428432</v>
      </c>
      <c r="M39" s="16" t="n">
        <v>0.08</v>
      </c>
      <c r="N39" s="5">
        <f>ROUND(L39*M39,0)</f>
        <v/>
      </c>
      <c r="O39" s="11" t="inlineStr">
        <is>
          <t>Kính cường lực</t>
        </is>
      </c>
      <c r="P39" s="11" t="inlineStr">
        <is>
          <t>Có</t>
        </is>
      </c>
      <c r="Q39" s="14" t="inlineStr"/>
    </row>
    <row r="40">
      <c r="A40" s="11" t="n">
        <v>8</v>
      </c>
      <c r="B40" s="11" t="inlineStr">
        <is>
          <t>AEON – Nhóm Thống (Taco + ICO)</t>
        </is>
      </c>
      <c r="C40" s="11" t="inlineStr">
        <is>
          <t>Tháng 8/AEON MALL/THỐNG</t>
        </is>
      </c>
      <c r="D40" s="11" t="inlineStr">
        <is>
          <t>Cty TNHH Cửa kính Thái Bình</t>
        </is>
      </c>
      <c r="E40" s="11" t="inlineStr">
        <is>
          <t>2803078776</t>
        </is>
      </c>
      <c r="F40" s="11" t="inlineStr">
        <is>
          <t>31</t>
        </is>
      </c>
      <c r="G40" s="11" t="inlineStr">
        <is>
          <t>26/08/2026</t>
        </is>
      </c>
      <c r="H40" s="14" t="inlineStr">
        <is>
          <t>Kính cường lực 10mm trắng</t>
        </is>
      </c>
      <c r="I40" s="11" t="inlineStr">
        <is>
          <t>m2</t>
        </is>
      </c>
      <c r="J40" s="15" t="n">
        <v>34.5</v>
      </c>
      <c r="K40" s="5" t="n">
        <v>318625.804</v>
      </c>
      <c r="L40" s="5" t="n">
        <v>10992590</v>
      </c>
      <c r="M40" s="16" t="n">
        <v>0.08</v>
      </c>
      <c r="N40" s="5">
        <f>ROUND(L40*M40,0)</f>
        <v/>
      </c>
      <c r="O40" s="11" t="inlineStr">
        <is>
          <t>Kính cường lực</t>
        </is>
      </c>
      <c r="P40" s="11" t="inlineStr">
        <is>
          <t>Có</t>
        </is>
      </c>
      <c r="Q40" s="14" t="inlineStr"/>
    </row>
    <row r="41">
      <c r="A41" s="11" t="n">
        <v>9</v>
      </c>
      <c r="B41" s="11" t="inlineStr">
        <is>
          <t>AEON – Nhóm Thống (Taco + ICO)</t>
        </is>
      </c>
      <c r="C41" s="11" t="inlineStr">
        <is>
          <t>Tháng 9/AEON/THỐNG/VÀO</t>
        </is>
      </c>
      <c r="D41" s="11" t="inlineStr">
        <is>
          <t>Cty TNHH Tú Tươi (CN Thanh Hóa)</t>
        </is>
      </c>
      <c r="E41" s="11" t="inlineStr">
        <is>
          <t>2803184132</t>
        </is>
      </c>
      <c r="F41" s="11" t="inlineStr">
        <is>
          <t>125</t>
        </is>
      </c>
      <c r="G41" s="11" t="inlineStr">
        <is>
          <t>04/09/2026</t>
        </is>
      </c>
      <c r="H41" s="14" t="inlineStr">
        <is>
          <t>Kính CL 10mm trắng</t>
        </is>
      </c>
      <c r="I41" s="11" t="inlineStr">
        <is>
          <t>m2</t>
        </is>
      </c>
      <c r="J41" s="15" t="n">
        <v>84.18000000000001</v>
      </c>
      <c r="K41" s="5" t="n">
        <v>220000</v>
      </c>
      <c r="L41" s="5" t="n">
        <v>18519600</v>
      </c>
      <c r="M41" s="16" t="n">
        <v>0.08</v>
      </c>
      <c r="N41" s="5">
        <f>ROUND(L41*M41,0)</f>
        <v/>
      </c>
      <c r="O41" s="11" t="inlineStr">
        <is>
          <t>Kính cường lực</t>
        </is>
      </c>
      <c r="P41" s="11" t="inlineStr">
        <is>
          <t>Có</t>
        </is>
      </c>
      <c r="Q41" s="14" t="inlineStr"/>
    </row>
    <row r="42">
      <c r="A42" s="11" t="n">
        <v>9</v>
      </c>
      <c r="B42" s="11" t="inlineStr">
        <is>
          <t>AEON – Nhóm Thống (Taco + ICO)</t>
        </is>
      </c>
      <c r="C42" s="11" t="inlineStr">
        <is>
          <t>Tháng 9/AEON/THỐNG/VÀO</t>
        </is>
      </c>
      <c r="D42" s="11" t="inlineStr">
        <is>
          <t>Cty TNHH TM &amp; SX Đức Thắng</t>
        </is>
      </c>
      <c r="E42" s="11" t="inlineStr">
        <is>
          <t>2801874821</t>
        </is>
      </c>
      <c r="F42" s="11" t="inlineStr">
        <is>
          <t>730</t>
        </is>
      </c>
      <c r="G42" s="11" t="inlineStr">
        <is>
          <t>15/09/2026</t>
        </is>
      </c>
      <c r="H42" s="14" t="inlineStr">
        <is>
          <t>Kính cường lực 10 ly</t>
        </is>
      </c>
      <c r="I42" s="11" t="inlineStr">
        <is>
          <t>m2</t>
        </is>
      </c>
      <c r="J42" s="15" t="n">
        <v>55.556</v>
      </c>
      <c r="K42" s="5" t="n">
        <v>250000</v>
      </c>
      <c r="L42" s="5" t="n">
        <v>13889000</v>
      </c>
      <c r="M42" s="16" t="n">
        <v>0.08</v>
      </c>
      <c r="N42" s="5">
        <f>ROUND(L42*M42,0)</f>
        <v/>
      </c>
      <c r="O42" s="11" t="inlineStr">
        <is>
          <t>Kính cường lực</t>
        </is>
      </c>
      <c r="P42" s="11" t="inlineStr">
        <is>
          <t>Có</t>
        </is>
      </c>
      <c r="Q42" s="14" t="inlineStr"/>
    </row>
    <row r="43">
      <c r="A43" s="11" t="n">
        <v>9</v>
      </c>
      <c r="B43" s="11" t="inlineStr">
        <is>
          <t>Moly (Hua Long)</t>
        </is>
      </c>
      <c r="C43" s="11" t="inlineStr">
        <is>
          <t>Tháng 9/MOLY/VÀO</t>
        </is>
      </c>
      <c r="D43" s="11" t="inlineStr">
        <is>
          <t>Cty TNHH SX – TM Đông Á</t>
        </is>
      </c>
      <c r="E43" s="11" t="inlineStr">
        <is>
          <t>2801613442</t>
        </is>
      </c>
      <c r="F43" s="11" t="inlineStr">
        <is>
          <t>00012909</t>
        </is>
      </c>
      <c r="G43" s="11" t="inlineStr">
        <is>
          <t>16/09/2026</t>
        </is>
      </c>
      <c r="H43" s="14" t="inlineStr">
        <is>
          <t>Tủ mát Sanaky VH6009HP</t>
        </is>
      </c>
      <c r="I43" s="11" t="inlineStr">
        <is>
          <t>cái</t>
        </is>
      </c>
      <c r="J43" s="15" t="n">
        <v>1</v>
      </c>
      <c r="K43" s="5" t="n">
        <v>15324074</v>
      </c>
      <c r="L43" s="5" t="n">
        <v>15324074</v>
      </c>
      <c r="M43" s="16" t="n">
        <v>0.08</v>
      </c>
      <c r="N43" s="5">
        <f>ROUND(L43*M43,0)</f>
        <v/>
      </c>
      <c r="O43" s="11" t="inlineStr">
        <is>
          <t>Hàng hóa mua bán (thiết bị)</t>
        </is>
      </c>
      <c r="P43" s="11" t="inlineStr">
        <is>
          <t>Có</t>
        </is>
      </c>
      <c r="Q43" s="14" t="inlineStr"/>
    </row>
    <row r="44">
      <c r="A44" s="12" t="n"/>
      <c r="B44" s="12" t="n"/>
      <c r="C44" s="12" t="n"/>
      <c r="D44" s="12" t="n"/>
      <c r="E44" s="12" t="n"/>
      <c r="F44" s="12" t="n"/>
      <c r="G44" s="12" t="n"/>
      <c r="H44" s="12" t="inlineStr">
        <is>
          <t>TỔNG CỘNG (tất cả dòng)</t>
        </is>
      </c>
      <c r="I44" s="12" t="n"/>
      <c r="J44" s="12" t="n"/>
      <c r="K44" s="12" t="n"/>
      <c r="L44" s="7">
        <f>SUM(L5:L43)</f>
        <v/>
      </c>
      <c r="M44" s="12" t="n"/>
      <c r="N44" s="7">
        <f>SUM(N5:N43)</f>
        <v/>
      </c>
      <c r="O44" s="12" t="n"/>
      <c r="P44" s="12" t="n"/>
      <c r="Q44" s="12" t="n"/>
    </row>
    <row r="45">
      <c r="A45" s="12" t="n"/>
      <c r="B45" s="12" t="n"/>
      <c r="C45" s="12" t="n"/>
      <c r="D45" s="12" t="n"/>
      <c r="E45" s="12" t="n"/>
      <c r="F45" s="12" t="n"/>
      <c r="G45" s="12" t="n"/>
      <c r="H45" s="12" t="inlineStr">
        <is>
          <t>Trong đó tính vào chi phí</t>
        </is>
      </c>
      <c r="I45" s="12" t="n"/>
      <c r="J45" s="12" t="n"/>
      <c r="K45" s="12" t="n"/>
      <c r="L45" s="7">
        <f>SUMIFS(L5:L43,P5:P43,"Có")</f>
        <v/>
      </c>
      <c r="M45" s="12" t="n"/>
      <c r="N45" s="7">
        <f>SUMIFS(N5:N43,P5:P43,"Có")</f>
        <v/>
      </c>
      <c r="O45" s="12" t="n"/>
      <c r="P45" s="12" t="n"/>
      <c r="Q45" s="12" t="n"/>
    </row>
  </sheetData>
  <autoFilter ref="A4:Q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36" customWidth="1" min="3" max="3"/>
    <col width="18" customWidth="1" min="4" max="4"/>
    <col width="16" customWidth="1" min="5" max="5"/>
    <col width="18" customWidth="1" min="6" max="6"/>
    <col width="18" customWidth="1" min="7" max="7"/>
    <col width="16" customWidth="1" min="8" max="8"/>
  </cols>
  <sheetData>
    <row r="1">
      <c r="A1" s="13" t="inlineStr">
        <is>
          <t>ĐỐI CHIẾU: tổng các dòng đã nhập với số liệu trên từng hóa đơn gốc</t>
        </is>
      </c>
    </row>
    <row r="3" ht="32" customHeight="1">
      <c r="A3" s="3" t="inlineStr">
        <is>
          <t>Loại</t>
        </is>
      </c>
      <c r="B3" s="3" t="inlineStr">
        <is>
          <t>Số HĐ</t>
        </is>
      </c>
      <c r="C3" s="3" t="inlineStr">
        <is>
          <t>Nhà cung cấp / Khách hàng</t>
        </is>
      </c>
      <c r="D3" s="3" t="inlineStr">
        <is>
          <t>Trước thuế (HĐ gốc)</t>
        </is>
      </c>
      <c r="E3" s="3" t="inlineStr">
        <is>
          <t>Tiền thuế (HĐ gốc)</t>
        </is>
      </c>
      <c r="F3" s="3" t="inlineStr">
        <is>
          <t>Tổng thanh toán (HĐ gốc)</t>
        </is>
      </c>
      <c r="G3" s="3" t="inlineStr">
        <is>
          <t>Trước thuế (tổng dòng)</t>
        </is>
      </c>
      <c r="H3" s="3" t="inlineStr">
        <is>
          <t>Chênh lệch trước thuế</t>
        </is>
      </c>
    </row>
    <row r="4">
      <c r="A4" s="11" t="inlineStr">
        <is>
          <t>Mua vào</t>
        </is>
      </c>
      <c r="B4" s="11" t="inlineStr">
        <is>
          <t>1039</t>
        </is>
      </c>
      <c r="C4" s="11" t="inlineStr">
        <is>
          <t>Cty TNHH Vận tải SQS Thiên Ân</t>
        </is>
      </c>
      <c r="D4" s="5" t="n">
        <v>2000000</v>
      </c>
      <c r="E4" s="5" t="n">
        <v>160000</v>
      </c>
      <c r="F4" s="5" t="n">
        <v>2160000</v>
      </c>
      <c r="G4" s="5">
        <f>SUMIFS('Chi phí'!$L$5:$L$43,'Chi phí'!$F$5:$F$43,B4)</f>
        <v/>
      </c>
      <c r="H4" s="5">
        <f>G4-D4</f>
        <v/>
      </c>
    </row>
    <row r="5">
      <c r="A5" s="11" t="inlineStr">
        <is>
          <t>Mua vào</t>
        </is>
      </c>
      <c r="B5" s="11" t="inlineStr">
        <is>
          <t>00000958</t>
        </is>
      </c>
      <c r="C5" s="11" t="inlineStr">
        <is>
          <t>CTCP Tập đoàn An Phú Cường</t>
        </is>
      </c>
      <c r="D5" s="5" t="n">
        <v>22920000</v>
      </c>
      <c r="E5" s="5" t="n">
        <v>1833600</v>
      </c>
      <c r="F5" s="5" t="n">
        <v>24753600</v>
      </c>
      <c r="G5" s="5">
        <f>SUMIFS('Chi phí'!$L$5:$L$43,'Chi phí'!$F$5:$F$43,B5)</f>
        <v/>
      </c>
      <c r="H5" s="5">
        <f>G5-D5</f>
        <v/>
      </c>
    </row>
    <row r="6">
      <c r="A6" s="11" t="inlineStr">
        <is>
          <t>Mua vào</t>
        </is>
      </c>
      <c r="B6" s="11" t="inlineStr">
        <is>
          <t>00001026</t>
        </is>
      </c>
      <c r="C6" s="11" t="inlineStr">
        <is>
          <t>CTCP Tập đoàn An Phú Cường</t>
        </is>
      </c>
      <c r="D6" s="5" t="n">
        <v>8730000</v>
      </c>
      <c r="E6" s="5" t="n">
        <v>698400</v>
      </c>
      <c r="F6" s="5" t="n">
        <v>9428400</v>
      </c>
      <c r="G6" s="5">
        <f>SUMIFS('Chi phí'!$L$5:$L$43,'Chi phí'!$F$5:$F$43,B6)</f>
        <v/>
      </c>
      <c r="H6" s="5">
        <f>G6-D6</f>
        <v/>
      </c>
    </row>
    <row r="7">
      <c r="A7" s="11" t="inlineStr">
        <is>
          <t>Mua vào</t>
        </is>
      </c>
      <c r="B7" s="11" t="inlineStr">
        <is>
          <t>00001030</t>
        </is>
      </c>
      <c r="C7" s="11" t="inlineStr">
        <is>
          <t>CTCP Tập đoàn An Phú Cường</t>
        </is>
      </c>
      <c r="D7" s="5" t="n">
        <v>5870000</v>
      </c>
      <c r="E7" s="5" t="n">
        <v>469600</v>
      </c>
      <c r="F7" s="5" t="n">
        <v>6339600</v>
      </c>
      <c r="G7" s="5">
        <f>SUMIFS('Chi phí'!$L$5:$L$43,'Chi phí'!$F$5:$F$43,B7)</f>
        <v/>
      </c>
      <c r="H7" s="5">
        <f>G7-D7</f>
        <v/>
      </c>
    </row>
    <row r="8">
      <c r="A8" s="11" t="inlineStr">
        <is>
          <t>Mua vào</t>
        </is>
      </c>
      <c r="B8" s="11" t="inlineStr">
        <is>
          <t>00001042</t>
        </is>
      </c>
      <c r="C8" s="11" t="inlineStr">
        <is>
          <t>CTCP Tập đoàn An Phú Cường</t>
        </is>
      </c>
      <c r="D8" s="5" t="n">
        <v>560000</v>
      </c>
      <c r="E8" s="5" t="n">
        <v>44800</v>
      </c>
      <c r="F8" s="5" t="n">
        <v>604800</v>
      </c>
      <c r="G8" s="5">
        <f>SUMIFS('Chi phí'!$L$5:$L$43,'Chi phí'!$F$5:$F$43,B8)</f>
        <v/>
      </c>
      <c r="H8" s="5">
        <f>G8-D8</f>
        <v/>
      </c>
    </row>
    <row r="9">
      <c r="A9" s="11" t="inlineStr">
        <is>
          <t>Mua vào</t>
        </is>
      </c>
      <c r="B9" s="11" t="inlineStr">
        <is>
          <t>00001046</t>
        </is>
      </c>
      <c r="C9" s="11" t="inlineStr">
        <is>
          <t>CTCP Tập đoàn An Phú Cường</t>
        </is>
      </c>
      <c r="D9" s="5" t="n">
        <v>4075000</v>
      </c>
      <c r="E9" s="5" t="n">
        <v>326000</v>
      </c>
      <c r="F9" s="5" t="n">
        <v>4401000</v>
      </c>
      <c r="G9" s="5">
        <f>SUMIFS('Chi phí'!$L$5:$L$43,'Chi phí'!$F$5:$F$43,B9)</f>
        <v/>
      </c>
      <c r="H9" s="5">
        <f>G9-D9</f>
        <v/>
      </c>
    </row>
    <row r="10">
      <c r="A10" s="11" t="inlineStr">
        <is>
          <t>Mua vào</t>
        </is>
      </c>
      <c r="B10" s="11" t="inlineStr">
        <is>
          <t>00001066</t>
        </is>
      </c>
      <c r="C10" s="11" t="inlineStr">
        <is>
          <t>CTCP Tập đoàn An Phú Cường</t>
        </is>
      </c>
      <c r="D10" s="5" t="n">
        <v>560000</v>
      </c>
      <c r="E10" s="5" t="n">
        <v>44800</v>
      </c>
      <c r="F10" s="5" t="n">
        <v>604800</v>
      </c>
      <c r="G10" s="5">
        <f>SUMIFS('Chi phí'!$L$5:$L$43,'Chi phí'!$F$5:$F$43,B10)</f>
        <v/>
      </c>
      <c r="H10" s="5">
        <f>G10-D10</f>
        <v/>
      </c>
    </row>
    <row r="11">
      <c r="A11" s="11" t="inlineStr">
        <is>
          <t>Mua vào</t>
        </is>
      </c>
      <c r="B11" s="11" t="inlineStr">
        <is>
          <t>00001098</t>
        </is>
      </c>
      <c r="C11" s="11" t="inlineStr">
        <is>
          <t>CTCP Tập đoàn An Phú Cường</t>
        </is>
      </c>
      <c r="D11" s="5" t="n">
        <v>2880000</v>
      </c>
      <c r="E11" s="5" t="n">
        <v>230400</v>
      </c>
      <c r="F11" s="5" t="n">
        <v>3110400</v>
      </c>
      <c r="G11" s="5">
        <f>SUMIFS('Chi phí'!$L$5:$L$43,'Chi phí'!$F$5:$F$43,B11)</f>
        <v/>
      </c>
      <c r="H11" s="5">
        <f>G11-D11</f>
        <v/>
      </c>
    </row>
    <row r="12">
      <c r="A12" s="11" t="inlineStr">
        <is>
          <t>Mua vào</t>
        </is>
      </c>
      <c r="B12" s="11" t="inlineStr">
        <is>
          <t>00001102</t>
        </is>
      </c>
      <c r="C12" s="11" t="inlineStr">
        <is>
          <t>CTCP Tập đoàn An Phú Cường</t>
        </is>
      </c>
      <c r="D12" s="5" t="n">
        <v>370000</v>
      </c>
      <c r="E12" s="5" t="n">
        <v>29600</v>
      </c>
      <c r="F12" s="5" t="n">
        <v>399600</v>
      </c>
      <c r="G12" s="5">
        <f>SUMIFS('Chi phí'!$L$5:$L$43,'Chi phí'!$F$5:$F$43,B12)</f>
        <v/>
      </c>
      <c r="H12" s="5">
        <f>G12-D12</f>
        <v/>
      </c>
    </row>
    <row r="13">
      <c r="A13" s="11" t="inlineStr">
        <is>
          <t>Mua vào</t>
        </is>
      </c>
      <c r="B13" s="11" t="inlineStr">
        <is>
          <t>00010949</t>
        </is>
      </c>
      <c r="C13" s="11" t="inlineStr">
        <is>
          <t>Cty TNHH Thanh Thùy</t>
        </is>
      </c>
      <c r="D13" s="5" t="n">
        <v>2952000</v>
      </c>
      <c r="E13" s="5" t="n">
        <v>236160</v>
      </c>
      <c r="F13" s="5" t="n">
        <v>3188160</v>
      </c>
      <c r="G13" s="5">
        <f>SUMIFS('Chi phí'!$L$5:$L$43,'Chi phí'!$F$5:$F$43,B13)</f>
        <v/>
      </c>
      <c r="H13" s="5">
        <f>G13-D13</f>
        <v/>
      </c>
    </row>
    <row r="14">
      <c r="A14" s="11" t="inlineStr">
        <is>
          <t>Mua vào</t>
        </is>
      </c>
      <c r="B14" s="11" t="inlineStr">
        <is>
          <t>00004813</t>
        </is>
      </c>
      <c r="C14" s="11" t="inlineStr">
        <is>
          <t>Cty TNHH VT TM DV Phượng Hoàng</t>
        </is>
      </c>
      <c r="D14" s="5" t="n">
        <v>791667</v>
      </c>
      <c r="E14" s="5" t="n">
        <v>63333</v>
      </c>
      <c r="F14" s="5" t="n">
        <v>855000</v>
      </c>
      <c r="G14" s="5">
        <f>SUMIFS('Chi phí'!$L$5:$L$43,'Chi phí'!$F$5:$F$43,B14)</f>
        <v/>
      </c>
      <c r="H14" s="5">
        <f>G14-D14</f>
        <v/>
      </c>
    </row>
    <row r="15">
      <c r="A15" s="11" t="inlineStr">
        <is>
          <t>Mua vào</t>
        </is>
      </c>
      <c r="B15" s="11" t="inlineStr">
        <is>
          <t>00005001</t>
        </is>
      </c>
      <c r="C15" s="11" t="inlineStr">
        <is>
          <t>Cty TNHH Vận tải TM DV Phượng Hoàng</t>
        </is>
      </c>
      <c r="D15" s="5" t="n">
        <v>625000</v>
      </c>
      <c r="E15" s="5" t="n">
        <v>50000</v>
      </c>
      <c r="F15" s="5" t="n">
        <v>675000</v>
      </c>
      <c r="G15" s="5">
        <f>SUMIFS('Chi phí'!$L$5:$L$43,'Chi phí'!$F$5:$F$43,B15)</f>
        <v/>
      </c>
      <c r="H15" s="5">
        <f>G15-D15</f>
        <v/>
      </c>
    </row>
    <row r="16">
      <c r="A16" s="11" t="inlineStr">
        <is>
          <t>Mua vào</t>
        </is>
      </c>
      <c r="B16" s="11" t="inlineStr">
        <is>
          <t>210</t>
        </is>
      </c>
      <c r="C16" s="11" t="inlineStr">
        <is>
          <t>Cty TNHH SX &amp; TM Kim Mộc</t>
        </is>
      </c>
      <c r="D16" s="5" t="n">
        <v>42647222</v>
      </c>
      <c r="E16" s="5" t="n">
        <v>3411778</v>
      </c>
      <c r="F16" s="5" t="n">
        <v>46059000</v>
      </c>
      <c r="G16" s="5">
        <f>SUMIFS('Chi phí'!$L$5:$L$43,'Chi phí'!$F$5:$F$43,B16)</f>
        <v/>
      </c>
      <c r="H16" s="5">
        <f>G16-D16</f>
        <v/>
      </c>
    </row>
    <row r="17">
      <c r="A17" s="11" t="inlineStr">
        <is>
          <t>Mua vào</t>
        </is>
      </c>
      <c r="B17" s="11" t="inlineStr">
        <is>
          <t>00004830</t>
        </is>
      </c>
      <c r="C17" s="11" t="inlineStr">
        <is>
          <t>Cty TNHH Hoàng Hưng Pro</t>
        </is>
      </c>
      <c r="D17" s="5" t="n">
        <v>3038889</v>
      </c>
      <c r="E17" s="5" t="n">
        <v>243111</v>
      </c>
      <c r="F17" s="5" t="n">
        <v>3282000</v>
      </c>
      <c r="G17" s="5">
        <f>SUMIFS('Chi phí'!$L$5:$L$43,'Chi phí'!$F$5:$F$43,B17)</f>
        <v/>
      </c>
      <c r="H17" s="5">
        <f>G17-D17</f>
        <v/>
      </c>
    </row>
    <row r="18">
      <c r="A18" s="11" t="inlineStr">
        <is>
          <t>Mua vào</t>
        </is>
      </c>
      <c r="B18" s="11" t="inlineStr">
        <is>
          <t>00004871</t>
        </is>
      </c>
      <c r="C18" s="11" t="inlineStr">
        <is>
          <t>Cty TNHH Hoàng Hưng Pro</t>
        </is>
      </c>
      <c r="D18" s="5" t="n">
        <v>663889</v>
      </c>
      <c r="E18" s="5" t="n">
        <v>53111</v>
      </c>
      <c r="F18" s="5" t="n">
        <v>717000</v>
      </c>
      <c r="G18" s="5">
        <f>SUMIFS('Chi phí'!$L$5:$L$43,'Chi phí'!$F$5:$F$43,B18)</f>
        <v/>
      </c>
      <c r="H18" s="5">
        <f>G18-D18</f>
        <v/>
      </c>
    </row>
    <row r="19">
      <c r="A19" s="11" t="inlineStr">
        <is>
          <t>Mua vào</t>
        </is>
      </c>
      <c r="B19" s="11" t="inlineStr">
        <is>
          <t>00004920</t>
        </is>
      </c>
      <c r="C19" s="11" t="inlineStr">
        <is>
          <t>Cty TNHH Hoàng Hưng Pro</t>
        </is>
      </c>
      <c r="D19" s="5" t="n">
        <v>824074</v>
      </c>
      <c r="E19" s="5" t="n">
        <v>65926</v>
      </c>
      <c r="F19" s="5" t="n">
        <v>890000</v>
      </c>
      <c r="G19" s="5">
        <f>SUMIFS('Chi phí'!$L$5:$L$43,'Chi phí'!$F$5:$F$43,B19)</f>
        <v/>
      </c>
      <c r="H19" s="5">
        <f>G19-D19</f>
        <v/>
      </c>
    </row>
    <row r="20">
      <c r="A20" s="11" t="inlineStr">
        <is>
          <t>Mua vào</t>
        </is>
      </c>
      <c r="B20" s="11" t="inlineStr">
        <is>
          <t>00000368</t>
        </is>
      </c>
      <c r="C20" s="11" t="inlineStr">
        <is>
          <t>Cty TNHH KD &amp; TM Huy Tiến</t>
        </is>
      </c>
      <c r="D20" s="5" t="n">
        <v>13500000</v>
      </c>
      <c r="E20" s="5" t="n">
        <v>1350000</v>
      </c>
      <c r="F20" s="5" t="n">
        <v>14850000</v>
      </c>
      <c r="G20" s="5">
        <f>SUMIFS('Chi phí'!$L$5:$L$43,'Chi phí'!$F$5:$F$43,B20)</f>
        <v/>
      </c>
      <c r="H20" s="5">
        <f>G20-D20</f>
        <v/>
      </c>
    </row>
    <row r="21">
      <c r="A21" s="11" t="inlineStr">
        <is>
          <t>Mua vào</t>
        </is>
      </c>
      <c r="B21" s="11" t="inlineStr">
        <is>
          <t>31</t>
        </is>
      </c>
      <c r="C21" s="11" t="inlineStr">
        <is>
          <t>Cty TNHH Cửa kính Thái Bình</t>
        </is>
      </c>
      <c r="D21" s="5" t="n">
        <v>15421022</v>
      </c>
      <c r="E21" s="5" t="n">
        <v>1233682</v>
      </c>
      <c r="F21" s="5" t="n">
        <v>16654704</v>
      </c>
      <c r="G21" s="5">
        <f>SUMIFS('Chi phí'!$L$5:$L$43,'Chi phí'!$F$5:$F$43,B21)</f>
        <v/>
      </c>
      <c r="H21" s="5">
        <f>G21-D21</f>
        <v/>
      </c>
    </row>
    <row r="22">
      <c r="A22" s="11" t="inlineStr">
        <is>
          <t>Mua vào</t>
        </is>
      </c>
      <c r="B22" s="11" t="inlineStr">
        <is>
          <t>125</t>
        </is>
      </c>
      <c r="C22" s="11" t="inlineStr">
        <is>
          <t>Cty TNHH Tú Tươi (CN Thanh Hóa)</t>
        </is>
      </c>
      <c r="D22" s="5" t="n">
        <v>18519600</v>
      </c>
      <c r="E22" s="5" t="n">
        <v>1481568</v>
      </c>
      <c r="F22" s="5" t="n">
        <v>20001168</v>
      </c>
      <c r="G22" s="5">
        <f>SUMIFS('Chi phí'!$L$5:$L$43,'Chi phí'!$F$5:$F$43,B22)</f>
        <v/>
      </c>
      <c r="H22" s="5">
        <f>G22-D22</f>
        <v/>
      </c>
    </row>
    <row r="23">
      <c r="A23" s="11" t="inlineStr">
        <is>
          <t>Mua vào</t>
        </is>
      </c>
      <c r="B23" s="11" t="inlineStr">
        <is>
          <t>730</t>
        </is>
      </c>
      <c r="C23" s="11" t="inlineStr">
        <is>
          <t>Cty TNHH TM &amp; SX Đức Thắng</t>
        </is>
      </c>
      <c r="D23" s="5" t="n">
        <v>13889000</v>
      </c>
      <c r="E23" s="5" t="n">
        <v>1111120</v>
      </c>
      <c r="F23" s="5" t="n">
        <v>15000120</v>
      </c>
      <c r="G23" s="5">
        <f>SUMIFS('Chi phí'!$L$5:$L$43,'Chi phí'!$F$5:$F$43,B23)</f>
        <v/>
      </c>
      <c r="H23" s="5">
        <f>G23-D23</f>
        <v/>
      </c>
    </row>
    <row r="24">
      <c r="A24" s="11" t="inlineStr">
        <is>
          <t>Mua vào</t>
        </is>
      </c>
      <c r="B24" s="11" t="inlineStr">
        <is>
          <t>00012909</t>
        </is>
      </c>
      <c r="C24" s="11" t="inlineStr">
        <is>
          <t>Cty TNHH SX – TM Đông Á</t>
        </is>
      </c>
      <c r="D24" s="5" t="n">
        <v>15324074</v>
      </c>
      <c r="E24" s="5" t="n">
        <v>1225926</v>
      </c>
      <c r="F24" s="5" t="n">
        <v>16550000</v>
      </c>
      <c r="G24" s="5">
        <f>SUMIFS('Chi phí'!$L$5:$L$43,'Chi phí'!$F$5:$F$43,B24)</f>
        <v/>
      </c>
      <c r="H24" s="5">
        <f>G24-D24</f>
        <v/>
      </c>
    </row>
    <row r="25">
      <c r="A25" s="11" t="inlineStr">
        <is>
          <t>Bán ra</t>
        </is>
      </c>
      <c r="B25" s="11" t="inlineStr">
        <is>
          <t>10</t>
        </is>
      </c>
      <c r="C25" s="11" t="inlineStr">
        <is>
          <t>CTCP Smart Shopping Thanh Hóa</t>
        </is>
      </c>
      <c r="D25" s="5" t="n">
        <v>6018519</v>
      </c>
      <c r="E25" s="5" t="n">
        <v>481481</v>
      </c>
      <c r="F25" s="5" t="n">
        <v>6500000</v>
      </c>
      <c r="G25" s="5">
        <f>SUMIFS('Doanh thu'!$L$5:$L$14,'Doanh thu'!$E$5:$E$14,B25)</f>
        <v/>
      </c>
      <c r="H25" s="5">
        <f>G25-D25</f>
        <v/>
      </c>
    </row>
    <row r="26">
      <c r="A26" s="11" t="inlineStr">
        <is>
          <t>Bán ra</t>
        </is>
      </c>
      <c r="B26" s="11" t="inlineStr">
        <is>
          <t>12</t>
        </is>
      </c>
      <c r="C26" s="11" t="inlineStr">
        <is>
          <t>Cty TNHH XD &amp; DV TM Taco</t>
        </is>
      </c>
      <c r="D26" s="5" t="n">
        <v>26784900</v>
      </c>
      <c r="E26" s="5" t="n">
        <v>2142792</v>
      </c>
      <c r="F26" s="5" t="n">
        <v>28927692</v>
      </c>
      <c r="G26" s="5">
        <f>SUMIFS('Doanh thu'!$L$5:$L$14,'Doanh thu'!$E$5:$E$14,B26)</f>
        <v/>
      </c>
      <c r="H26" s="5">
        <f>G26-D26</f>
        <v/>
      </c>
    </row>
    <row r="27">
      <c r="A27" s="11" t="inlineStr">
        <is>
          <t>Bán ra</t>
        </is>
      </c>
      <c r="B27" s="11" t="inlineStr">
        <is>
          <t>15</t>
        </is>
      </c>
      <c r="C27" s="11" t="inlineStr">
        <is>
          <t>Cty TNHH XD &amp; TM ICO</t>
        </is>
      </c>
      <c r="D27" s="5" t="n">
        <v>10466182</v>
      </c>
      <c r="E27" s="5" t="n">
        <v>1046618</v>
      </c>
      <c r="F27" s="5" t="n">
        <v>11512800</v>
      </c>
      <c r="G27" s="5">
        <f>SUMIFS('Doanh thu'!$L$5:$L$14,'Doanh thu'!$E$5:$E$14,B27)</f>
        <v/>
      </c>
      <c r="H27" s="5">
        <f>G27-D27</f>
        <v/>
      </c>
    </row>
    <row r="28">
      <c r="A28" s="11" t="inlineStr">
        <is>
          <t>Bán ra</t>
        </is>
      </c>
      <c r="B28" s="11" t="inlineStr">
        <is>
          <t>14</t>
        </is>
      </c>
      <c r="C28" s="11" t="inlineStr">
        <is>
          <t>Cty TNHH ĐT TM DV Golden Sea</t>
        </is>
      </c>
      <c r="D28" s="5" t="n">
        <v>295887500</v>
      </c>
      <c r="E28" s="5" t="n">
        <v>23671000</v>
      </c>
      <c r="F28" s="5" t="n">
        <v>319558500</v>
      </c>
      <c r="G28" s="5">
        <f>SUMIFS('Doanh thu'!$L$5:$L$14,'Doanh thu'!$E$5:$E$14,B28)</f>
        <v/>
      </c>
      <c r="H28" s="5">
        <f>G28-D28</f>
        <v/>
      </c>
    </row>
    <row r="29">
      <c r="A29" s="11" t="inlineStr">
        <is>
          <t>Bán ra</t>
        </is>
      </c>
      <c r="B29" s="11" t="inlineStr">
        <is>
          <t>16</t>
        </is>
      </c>
      <c r="C29" s="11" t="inlineStr">
        <is>
          <t>Cty TNHH Hua Long Moly Việt Nam</t>
        </is>
      </c>
      <c r="D29" s="5" t="n">
        <v>17731481</v>
      </c>
      <c r="E29" s="5" t="n">
        <v>1418519</v>
      </c>
      <c r="F29" s="5" t="n">
        <v>19150000</v>
      </c>
      <c r="G29" s="5">
        <f>SUMIFS('Doanh thu'!$L$5:$L$14,'Doanh thu'!$E$5:$E$14,B29)</f>
        <v/>
      </c>
      <c r="H29" s="5">
        <f>G29-D29</f>
        <v/>
      </c>
    </row>
    <row r="31">
      <c r="A31" s="2" t="inlineStr">
        <is>
          <t>Chênh lệch ≤ 2 đồng là do làm tròn trên hóa đơn gốc.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 customWidth="1" min="1" max="1"/>
    <col width="38" customWidth="1" min="2" max="2"/>
    <col width="80" customWidth="1" min="3" max="3"/>
    <col width="60" customWidth="1" min="4" max="4"/>
  </cols>
  <sheetData>
    <row r="1">
      <c r="A1" s="13" t="inlineStr">
        <is>
          <t>CÁC ĐIỂM CẦN CHỊ XÁC NHẬN</t>
        </is>
      </c>
    </row>
    <row r="3" ht="32" customHeight="1">
      <c r="A3" s="3" t="inlineStr">
        <is>
          <t>#</t>
        </is>
      </c>
      <c r="B3" s="3" t="inlineStr">
        <is>
          <t>Vấn đề</t>
        </is>
      </c>
      <c r="C3" s="3" t="inlineStr">
        <is>
          <t>Chi tiết</t>
        </is>
      </c>
      <c r="D3" s="3" t="inlineStr">
        <is>
          <t>Em đã xử lý thế nào</t>
        </is>
      </c>
    </row>
    <row r="4">
      <c r="A4" s="14" t="n">
        <v>1</v>
      </c>
      <c r="B4" s="17" t="inlineStr">
        <is>
          <t>Đã loại hóa đơn không phải của Hưng Mộc</t>
        </is>
      </c>
      <c r="C4" s="14" t="inlineStr">
        <is>
          <t>HĐ An Phú Cường số 00001099 (26/08/2026, 8.611.364 trước thuế) có người mua là Golden Sea (MST 0314291494), không phải Hưng Mộc. Đã kiểm tra 24 HĐ mua vào còn lại, tất cả đứng tên Hưng Mộc (MST 2803104433).</t>
        </is>
      </c>
      <c r="D4" s="14" t="inlineStr">
        <is>
          <t>Đã loại hẳn khỏi sheet Chi phí và Tổng hợp.</t>
        </is>
      </c>
    </row>
    <row r="5">
      <c r="A5" s="14" t="n">
        <v>2</v>
      </c>
      <c r="B5" s="17" t="inlineStr">
        <is>
          <t>Doanh thu GS lệch bảng quyết toán đợt 1</t>
        </is>
      </c>
      <c r="C5" s="14" t="inlineStr">
        <is>
          <t>HĐ số 14 xuất 295.887.500, còn bảng quyết toán đợt 1 (HĐ 1707) cộng được 295.697.500. Lệch 190.000.</t>
        </is>
      </c>
      <c r="D5" s="14" t="inlineStr">
        <is>
          <t>Em lấy theo hóa đơn đã xuất (295.887.500). Chị kiểm tra lại cho khớp bảng quyết toán.</t>
        </is>
      </c>
    </row>
    <row r="6">
      <c r="A6" s="14" t="n">
        <v>3</v>
      </c>
      <c r="B6" s="17" t="inlineStr">
        <is>
          <t>Chi phí của GS đang vượt xa doanh thu đã xuất</t>
        </is>
      </c>
      <c r="C6" s="14" t="inlineStr">
        <is>
          <t>Quý III mới xuất HĐ đợt 1 (70%) của HĐ nội thất 1707 (giá trị HĐ 422.425.000 trước thuế). Các hợp đồng còn lại với GS: Solid Surface 0708 (493.473.315 gồm VAT), khung sắt + Aeon Bike 2908 (85.968.000 gồm VAT), phát sinh vách (58.428.000 gồm VAT) chưa có HĐ bán ra trong hồ sơ, trong khi vật tư đã mua.</t>
        </is>
      </c>
      <c r="D6" s="14" t="inlineStr">
        <is>
          <t>Em chỉ ghi nhận doanh thu theo hóa đơn bán ra. Con số lãi gộp của GS vì vậy chưa phản ánh đúng lợi nhuận cả công trình.</t>
        </is>
      </c>
    </row>
    <row r="7">
      <c r="A7" s="14" t="n">
        <v>4</v>
      </c>
      <c r="B7" s="17" t="inlineStr">
        <is>
          <t>Chi phí nhóm Thống không có hóa đơn thép hộp</t>
        </is>
      </c>
      <c r="C7" s="14" t="inlineStr">
        <is>
          <t>HĐ bán cho ICO là thép hộp mạ kẽm (10.466.182) nhưng thư mục mua vào chỉ có kính và nhôm. Chi phí kính/nhôm (61.3 triệu) lớn hơn doanh thu Taco + ICO xuất trong quý (37.3 triệu); các HĐKT Taco–Tianlong (25.398.360), ICO–Udon (5.076.000), ICO–Semba giường (15.876.000) chưa thấy HĐ bán ra.</t>
        </is>
      </c>
      <c r="D7" s="14" t="inlineStr">
        <is>
          <t>Em gộp Taco + ICO thành một nhóm vì thư mục mua vào là chung (THỐNG), chưa tách được chi phí riêng cho từng khách. Chị cho em biết nếu cần tách.</t>
        </is>
      </c>
    </row>
    <row r="8">
      <c r="A8" s="14" t="n">
        <v>5</v>
      </c>
      <c r="B8" s="17" t="inlineStr">
        <is>
          <t>Thư mục 'DCA' tháng 7, 8</t>
        </is>
      </c>
      <c r="C8" s="14" t="inlineStr">
        <is>
          <t>Em hiểu đây là chi phí vật tư của công trình AEON làm cho Golden Sea (cùng loại ván melamine, chỉ PVC) và gộp với thư mục AEON/GS tháng 9.</t>
        </is>
      </c>
      <c r="D8" s="14" t="inlineStr">
        <is>
          <t>Gộp chung thành nhóm 'AEON – Golden Sea (GS)'. Cột 'Thư mục gốc' ở sheet Chi phí vẫn giữ nguyên để chị lọc lại.</t>
        </is>
      </c>
    </row>
    <row r="9">
      <c r="A9" s="14" t="n">
        <v>6</v>
      </c>
      <c r="B9" s="17" t="inlineStr">
        <is>
          <t>Hóa đơn trùng lặp giữa các thư mục</t>
        </is>
      </c>
      <c r="C9" s="14" t="inlineStr">
        <is>
          <t>HĐ An Phú Cường 00000958 có ở tháng 7 và tháng 8; HĐ Phượng Hoàng 00004813 có 3 bản (2 bản tháng 8, 1 bản tháng 9/GS).</t>
        </is>
      </c>
      <c r="D9" s="14" t="inlineStr">
        <is>
          <t>Chỉ tính 1 lần mỗi hóa đơn.</t>
        </is>
      </c>
    </row>
    <row r="10">
      <c r="A10" s="14" t="n">
        <v>7</v>
      </c>
      <c r="B10" s="17" t="inlineStr">
        <is>
          <t>SSTH (Smart Shopping) chưa có chi phí</t>
        </is>
      </c>
      <c r="C10" s="14" t="inlineStr">
        <is>
          <t>Chỉ có HĐ bán số 10 (6.018.519) và không có HĐ mua vào nào trong thư mục.</t>
        </is>
      </c>
      <c r="D10" s="14" t="inlineStr">
        <is>
          <t>Chi phí để trống, lãi gộp = doanh thu. Chị bổ sung hóa đơn nếu có.</t>
        </is>
      </c>
    </row>
    <row r="11">
      <c r="A11" s="14" t="n">
        <v>8</v>
      </c>
      <c r="B11" s="17" t="inlineStr">
        <is>
          <t>HĐ bán số 13 (ICO) đã thay thế</t>
        </is>
      </c>
      <c r="C11" s="14" t="inlineStr">
        <is>
          <t>Biên bản thay thế ghi HĐ số 13 (14/09) sai tên hàng, thay bằng HĐ số 15. Không có file HĐ 13.</t>
        </is>
      </c>
      <c r="D11" s="14" t="inlineStr">
        <is>
          <t>Chỉ tính HĐ số 15.</t>
        </is>
      </c>
    </row>
    <row r="12">
      <c r="A12" s="14" t="n">
        <v>9</v>
      </c>
      <c r="B12" s="17" t="inlineStr">
        <is>
          <t>Tên hàng trên HĐ vận chuyển/kính</t>
        </is>
      </c>
      <c r="C12" s="14" t="inlineStr">
        <is>
          <t>Các HĐ vận chuyển (SQS Thiên Ân, Phượng Hoàng) không ghi rõ công trình; em xếp theo thư mục chứa file.</t>
        </is>
      </c>
      <c r="D12" s="14" t="inlineStr">
        <is>
          <t>Chị kiểm tra lại nếu cùng chuyến xe chở hàng cho nhiều công trình.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2026-10-11T14:35:24Z</dcterms:created>
  <dcterms:modified xmlns:dcterms="http://purl.org/dc/terms/" xmlns:xsi="http://www.w3.org/2001/XMLSchema-instance" xsi:type="dcterms:W3CDTF">2026-10-11T14:35:24Z</dcterms:modified>
</cp:coreProperties>
</file>