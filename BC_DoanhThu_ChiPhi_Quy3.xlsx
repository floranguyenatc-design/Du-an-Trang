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ổng hợp" sheetId="1" state="visible" r:id="rId3"/>
    <sheet name="Doanh thu" sheetId="2" state="visible" r:id="rId4"/>
    <sheet name="Chi phí" sheetId="3" state="visible" r:id="rId5"/>
    <sheet name="Đối chiếu HĐ" sheetId="4" state="visible" r:id="rId6"/>
    <sheet name="Cần xác nhận" sheetId="5" state="visible" r:id="rId7"/>
  </sheets>
  <definedNames>
    <definedName function="false" hidden="true" localSheetId="2" name="_xlnm._FilterDatabase" vbProcedure="false">'Chi phí'!$A$4:$Q$43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<sst xmlns="http://schemas.openxmlformats.org/spreadsheetml/2006/main" count="700" uniqueCount="243">
  <si>
    <t xml:space="preserve">BÁO CÁO DOANH THU – CHI PHÍ THEO CÔNG TRÌNH, QUÝ III/2026</t>
  </si>
  <si>
    <t xml:space="preserve">Cty TNHH Thương mại Hưng Mộc (MST 2803104433) · Đơn vị: VNĐ · Số liệu trước thuế GTGT, theo ngày hóa đơn</t>
  </si>
  <si>
    <t xml:space="preserve">Nhóm công trình</t>
  </si>
  <si>
    <t xml:space="preserve">Doanh thu</t>
  </si>
  <si>
    <t xml:space="preserve">Ván MDF/Melamine &amp; tấm bề mặt</t>
  </si>
  <si>
    <t xml:space="preserve">Chỉ/nẹp PVC</t>
  </si>
  <si>
    <t xml:space="preserve">Kính cường lực</t>
  </si>
  <si>
    <t xml:space="preserve">Nhôm – sắt</t>
  </si>
  <si>
    <t xml:space="preserve">Mica, nhựa, keo &amp; vật tư phụ</t>
  </si>
  <si>
    <t xml:space="preserve">Vận chuyển</t>
  </si>
  <si>
    <t xml:space="preserve">Hàng hóa mua bán (thiết bị)</t>
  </si>
  <si>
    <t xml:space="preserve">Tổng chi phí</t>
  </si>
  <si>
    <t xml:space="preserve">Lãi gộp</t>
  </si>
  <si>
    <t xml:space="preserve">Chi phí / Doanh thu</t>
  </si>
  <si>
    <t xml:space="preserve">AEON – Golden Sea (GS)</t>
  </si>
  <si>
    <t xml:space="preserve">AEON – Nhóm Thống (Taco + ICO)</t>
  </si>
  <si>
    <t xml:space="preserve">Moly (Hua Long)</t>
  </si>
  <si>
    <t xml:space="preserve">SSTH (Smart Shopping)</t>
  </si>
  <si>
    <t xml:space="preserve">TỔNG CỘNG</t>
  </si>
  <si>
    <t xml:space="preserve">Tỷ trọng từng đầu mục chi phí trên doanh thu</t>
  </si>
  <si>
    <t xml:space="preserve">Doanh thu chi tiết theo hóa đơn bán ra</t>
  </si>
  <si>
    <t xml:space="preserve">Khách hàng</t>
  </si>
  <si>
    <t xml:space="preserve">Doanh thu (trước thuế)</t>
  </si>
  <si>
    <t xml:space="preserve">Số HĐ</t>
  </si>
  <si>
    <t xml:space="preserve">Ngày</t>
  </si>
  <si>
    <t xml:space="preserve">Cty TNHH ĐT TM DV Golden Sea</t>
  </si>
  <si>
    <t xml:space="preserve">14</t>
  </si>
  <si>
    <t xml:space="preserve">16/09/2026</t>
  </si>
  <si>
    <t xml:space="preserve">Cty TNHH XD &amp; DV TM Taco</t>
  </si>
  <si>
    <t xml:space="preserve">12</t>
  </si>
  <si>
    <t xml:space="preserve">14/09/2026</t>
  </si>
  <si>
    <t xml:space="preserve">Cty TNHH XD &amp; TM ICO</t>
  </si>
  <si>
    <t xml:space="preserve">15</t>
  </si>
  <si>
    <t xml:space="preserve">Cty TNHH Hua Long Moly Việt Nam</t>
  </si>
  <si>
    <t xml:space="preserve">16</t>
  </si>
  <si>
    <t xml:space="preserve">17/09/2026</t>
  </si>
  <si>
    <t xml:space="preserve">CTCP Smart Shopping Thanh Hóa</t>
  </si>
  <si>
    <t xml:space="preserve">10</t>
  </si>
  <si>
    <t xml:space="preserve">16/07/2026</t>
  </si>
  <si>
    <t xml:space="preserve">Doanh thu – chi phí theo tháng (ngày hóa đơn)</t>
  </si>
  <si>
    <t xml:space="preserve">Tháng</t>
  </si>
  <si>
    <t xml:space="preserve">Chi phí</t>
  </si>
  <si>
    <t xml:space="preserve">Chênh lệch</t>
  </si>
  <si>
    <t xml:space="preserve">Tổng quý</t>
  </si>
  <si>
    <t xml:space="preserve">DOANH THU QUÝ III/2026 – HÓA ĐƠN BÁN RA (Cty TNHH TM Hưng Mộc, MST 2803104433)</t>
  </si>
  <si>
    <t xml:space="preserve">Đơn vị: VNĐ. Thành tiền là giá trị trước thuế GTGT; Tiền thuế = Thành tiền × thuế suất.</t>
  </si>
  <si>
    <t xml:space="preserve">MST</t>
  </si>
  <si>
    <t xml:space="preserve">Ngày HĐ</t>
  </si>
  <si>
    <t xml:space="preserve">Đầu mục doanh thu</t>
  </si>
  <si>
    <t xml:space="preserve">Tên hàng / dịch vụ</t>
  </si>
  <si>
    <t xml:space="preserve">ĐVT</t>
  </si>
  <si>
    <t xml:space="preserve">SL</t>
  </si>
  <si>
    <t xml:space="preserve">Đơn giá</t>
  </si>
  <si>
    <t xml:space="preserve">Thành tiền (trước thuế)</t>
  </si>
  <si>
    <t xml:space="preserve">Thuế suất</t>
  </si>
  <si>
    <t xml:space="preserve">Tiền thuế</t>
  </si>
  <si>
    <t xml:space="preserve">Ghi chú</t>
  </si>
  <si>
    <t xml:space="preserve">2803235154</t>
  </si>
  <si>
    <t xml:space="preserve">Bàn, tủ văn phòng</t>
  </si>
  <si>
    <t xml:space="preserve">Bàn làm việc 1.2x0.6x0.75m</t>
  </si>
  <si>
    <t xml:space="preserve">cái</t>
  </si>
  <si>
    <t xml:space="preserve">Tủ tài liệu 0.8x0.35x1.2m</t>
  </si>
  <si>
    <t xml:space="preserve">0402246437</t>
  </si>
  <si>
    <t xml:space="preserve">Vách kính &amp; khung sắt</t>
  </si>
  <si>
    <t xml:space="preserve">Vách kính 1 – kính CL 10mm, nhôm SĐT</t>
  </si>
  <si>
    <t xml:space="preserve">HĐKT Hưng Mộc–Taco</t>
  </si>
  <si>
    <t xml:space="preserve">Vách kính 2 – kính CL 10mm, nhôm SĐT</t>
  </si>
  <si>
    <t xml:space="preserve">Vách kính 3 – kính CL 10mm, nhôm SĐT</t>
  </si>
  <si>
    <t xml:space="preserve">Khung sắt hộp 1 – kính CL 10mm</t>
  </si>
  <si>
    <t xml:space="preserve">Khung sắt hộp 2 – kính CL 10mm</t>
  </si>
  <si>
    <t xml:space="preserve">0401913430</t>
  </si>
  <si>
    <t xml:space="preserve">Thép hộp mạ kẽm</t>
  </si>
  <si>
    <t xml:space="preserve">Thép hộp mạ kẽm VN</t>
  </si>
  <si>
    <t xml:space="preserve">kg</t>
  </si>
  <si>
    <t xml:space="preserve">HĐ số 15 thay thế HĐ số 13 (sai tên hàng) – chỉ tính HĐ 15</t>
  </si>
  <si>
    <t xml:space="preserve">0314291494</t>
  </si>
  <si>
    <t xml:space="preserve">Thi công nội thất AEON (đợt 1)</t>
  </si>
  <si>
    <t xml:space="preserve">Giá trị đợt 1 cung cấp &amp; thi công nội thất theo HĐ 1707/2026/HDTC/GS-HM</t>
  </si>
  <si>
    <t xml:space="preserve">gói</t>
  </si>
  <si>
    <t xml:space="preserve">Xem mục cần xác nhận: lệch 190.000 so với bảng quyết toán đợt 1</t>
  </si>
  <si>
    <t xml:space="preserve">2803066650</t>
  </si>
  <si>
    <t xml:space="preserve">Bán thiết bị</t>
  </si>
  <si>
    <t xml:space="preserve">Tủ mát Sanaky VH6009HP</t>
  </si>
  <si>
    <t xml:space="preserve">CHI PHÍ QUÝ III/2026 – HÓA ĐƠN MUA VÀO, CHIA THEO ĐẦU MỤC</t>
  </si>
  <si>
    <t xml:space="preserve">Đơn vị: VNĐ. Hóa đơn trùng lặp giữa các thư mục đã được gộp thành 1.</t>
  </si>
  <si>
    <t xml:space="preserve">Thư mục gốc</t>
  </si>
  <si>
    <t xml:space="preserve">Nhà cung cấp</t>
  </si>
  <si>
    <t xml:space="preserve">MST NCC</t>
  </si>
  <si>
    <t xml:space="preserve">Đầu mục chi phí</t>
  </si>
  <si>
    <t xml:space="preserve">Tính CP?</t>
  </si>
  <si>
    <t xml:space="preserve">Tháng 7/AEON MALL/DCA/VÀO</t>
  </si>
  <si>
    <t xml:space="preserve">Cty TNHH Vận tải SQS Thiên Ân</t>
  </si>
  <si>
    <t xml:space="preserve">0315394453</t>
  </si>
  <si>
    <t xml:space="preserve">1039</t>
  </si>
  <si>
    <t xml:space="preserve">24/07/2026</t>
  </si>
  <si>
    <t xml:space="preserve">Cước vận chuyển hàng TP.HCM đi Thanh Hóa</t>
  </si>
  <si>
    <t xml:space="preserve">chuyến</t>
  </si>
  <si>
    <t xml:space="preserve">Có</t>
  </si>
  <si>
    <t xml:space="preserve">CTCP Tập đoàn An Phú Cường</t>
  </si>
  <si>
    <t xml:space="preserve">2802583021</t>
  </si>
  <si>
    <t xml:space="preserve">00000958</t>
  </si>
  <si>
    <t xml:space="preserve">23/07/2026</t>
  </si>
  <si>
    <t xml:space="preserve">Chỉ PVC 455/LK4585 23x0.8mm</t>
  </si>
  <si>
    <t xml:space="preserve">m</t>
  </si>
  <si>
    <t xml:space="preserve">HĐ này nằm cả ở thư mục Tháng 7 và Tháng 8 – chỉ tính 1 lần</t>
  </si>
  <si>
    <t xml:space="preserve">Ván MELMDF 455NWG 1220x2440x9mm</t>
  </si>
  <si>
    <t xml:space="preserve">tấm</t>
  </si>
  <si>
    <t xml:space="preserve">Tháng 8/AEON MALL/DCA/VÀO</t>
  </si>
  <si>
    <t xml:space="preserve">00001026</t>
  </si>
  <si>
    <t xml:space="preserve">06/08/2026</t>
  </si>
  <si>
    <t xml:space="preserve">00001030</t>
  </si>
  <si>
    <t xml:space="preserve">07/08/2026</t>
  </si>
  <si>
    <t xml:space="preserve">Chỉ PVC 9223 21x0.8mm</t>
  </si>
  <si>
    <t xml:space="preserve">Chỉ PVC 9223 23x0.8mm</t>
  </si>
  <si>
    <t xml:space="preserve">Ván MELMDF 9223NV 1220x2440x17mm</t>
  </si>
  <si>
    <t xml:space="preserve">00001042</t>
  </si>
  <si>
    <t xml:space="preserve">10/08/2026</t>
  </si>
  <si>
    <t xml:space="preserve">00001046</t>
  </si>
  <si>
    <t xml:space="preserve">13/08/2026</t>
  </si>
  <si>
    <t xml:space="preserve">MELMDF 455NWG 1220x2440x17mm</t>
  </si>
  <si>
    <t xml:space="preserve">00001066</t>
  </si>
  <si>
    <t xml:space="preserve">19/08/2026</t>
  </si>
  <si>
    <t xml:space="preserve">00001098</t>
  </si>
  <si>
    <t xml:space="preserve">25/08/2026</t>
  </si>
  <si>
    <t xml:space="preserve">Tấm bề mặt LK 4450A WG 1220x2440mm</t>
  </si>
  <si>
    <t xml:space="preserve">Tấm bề mặt LK 5006A SO 1220x2440mm</t>
  </si>
  <si>
    <t xml:space="preserve">Tấm bề mặt LK 4458A WG 1220x2440mm</t>
  </si>
  <si>
    <t xml:space="preserve">00001102</t>
  </si>
  <si>
    <t xml:space="preserve">26/08/2026</t>
  </si>
  <si>
    <t xml:space="preserve">Cty TNHH Thanh Thùy</t>
  </si>
  <si>
    <t xml:space="preserve">3700650344</t>
  </si>
  <si>
    <t xml:space="preserve">00010949</t>
  </si>
  <si>
    <t xml:space="preserve">31/08/2026</t>
  </si>
  <si>
    <t xml:space="preserve">Ván 9mm kháng ẩm LMR DW MEL 104T 2 mặt 1220x2440</t>
  </si>
  <si>
    <t xml:space="preserve">Chỉ nẹp 104T 21x0.8</t>
  </si>
  <si>
    <t xml:space="preserve">Chỉ nhựa PVC 21x0.8mm</t>
  </si>
  <si>
    <t xml:space="preserve">Cty TNHH VT TM DV Phượng Hoàng</t>
  </si>
  <si>
    <t xml:space="preserve">0305689070</t>
  </si>
  <si>
    <t xml:space="preserve">00004813</t>
  </si>
  <si>
    <t xml:space="preserve">28/08/2026</t>
  </si>
  <si>
    <t xml:space="preserve">Cước vận chuyển hàng TP.HCM đi Thanh Hóa (xe 89E-00535)</t>
  </si>
  <si>
    <t xml:space="preserve">HĐ có 3 bản sao ở thư mục Tháng 8 (2 bản) và Tháng 9/GS (1 bản) – chỉ tính 1 lần</t>
  </si>
  <si>
    <t xml:space="preserve">Tháng 9/AEON/GS/VÀO</t>
  </si>
  <si>
    <t xml:space="preserve">Cty TNHH Vận tải TM DV Phượng Hoàng</t>
  </si>
  <si>
    <t xml:space="preserve">00005001</t>
  </si>
  <si>
    <t xml:space="preserve">05/09/2026</t>
  </si>
  <si>
    <t xml:space="preserve">Cước vận chuyển hàng TP.HCM đi Thanh Hóa (xe 89C-09217)</t>
  </si>
  <si>
    <t xml:space="preserve">Cty TNHH SX &amp; TM Kim Mộc</t>
  </si>
  <si>
    <t xml:space="preserve">2803198054</t>
  </si>
  <si>
    <t xml:space="preserve">210</t>
  </si>
  <si>
    <t xml:space="preserve">10/09/2026</t>
  </si>
  <si>
    <t xml:space="preserve">TPG MDF HMR SP Premium E1 17x1220x2440 216-MN</t>
  </si>
  <si>
    <t xml:space="preserve">TPG Ván MDF chống ẩm E1 9mm 1138-MN</t>
  </si>
  <si>
    <t xml:space="preserve">MDF HMR Premium E2 17x1220x2440</t>
  </si>
  <si>
    <t xml:space="preserve">MDF HMR Premium E2 9x1220x2440</t>
  </si>
  <si>
    <t xml:space="preserve">Nẹp PVC vân gỗ 1x21x90mm</t>
  </si>
  <si>
    <t xml:space="preserve">cuộn</t>
  </si>
  <si>
    <t xml:space="preserve">Nẹp PVC vân gỗ 1x44x90mm</t>
  </si>
  <si>
    <t xml:space="preserve">Cty TNHH Hoàng Hưng Pro</t>
  </si>
  <si>
    <t xml:space="preserve">2802454435</t>
  </si>
  <si>
    <t xml:space="preserve">00004830</t>
  </si>
  <si>
    <t xml:space="preserve">08/09/2026</t>
  </si>
  <si>
    <t xml:space="preserve">Mica TQ 1220x2440x4.8mm</t>
  </si>
  <si>
    <t xml:space="preserve">Mica FS000 1220x2440x4.8mm</t>
  </si>
  <si>
    <t xml:space="preserve">Tấm PVC CNC 1220x2440x8mm</t>
  </si>
  <si>
    <t xml:space="preserve">Keo silicon Apollo Sealant A500</t>
  </si>
  <si>
    <t xml:space="preserve">chai</t>
  </si>
  <si>
    <t xml:space="preserve">00004871</t>
  </si>
  <si>
    <t xml:space="preserve">09/09/2026</t>
  </si>
  <si>
    <t xml:space="preserve">00004920</t>
  </si>
  <si>
    <t xml:space="preserve">12/09/2026</t>
  </si>
  <si>
    <t xml:space="preserve">Tấm nhựa Polycarbonate đặc</t>
  </si>
  <si>
    <t xml:space="preserve">m2</t>
  </si>
  <si>
    <t xml:space="preserve">Tháng 8/AEON MALL/THỐNG</t>
  </si>
  <si>
    <t xml:space="preserve">Cty TNHH KD &amp; TM Huy Tiến</t>
  </si>
  <si>
    <t xml:space="preserve">2802839259</t>
  </si>
  <si>
    <t xml:space="preserve">00000368</t>
  </si>
  <si>
    <t xml:space="preserve">Nhôm thanh STĐ</t>
  </si>
  <si>
    <t xml:space="preserve">Cty TNHH Cửa kính Thái Bình</t>
  </si>
  <si>
    <t xml:space="preserve">2803078776</t>
  </si>
  <si>
    <t xml:space="preserve">31</t>
  </si>
  <si>
    <t xml:space="preserve">Kính cường lực 10mm trà đỏ</t>
  </si>
  <si>
    <t xml:space="preserve">Kính cường lực 10mm trắng</t>
  </si>
  <si>
    <t xml:space="preserve">Tháng 9/AEON/THỐNG/VÀO</t>
  </si>
  <si>
    <t xml:space="preserve">Cty TNHH Tú Tươi (CN Thanh Hóa)</t>
  </si>
  <si>
    <t xml:space="preserve">2803184132</t>
  </si>
  <si>
    <t xml:space="preserve">125</t>
  </si>
  <si>
    <t xml:space="preserve">04/09/2026</t>
  </si>
  <si>
    <t xml:space="preserve">Kính CL 10mm trắng</t>
  </si>
  <si>
    <t xml:space="preserve">Cty TNHH TM &amp; SX Đức Thắng</t>
  </si>
  <si>
    <t xml:space="preserve">2801874821</t>
  </si>
  <si>
    <t xml:space="preserve">730</t>
  </si>
  <si>
    <t xml:space="preserve">15/09/2026</t>
  </si>
  <si>
    <t xml:space="preserve">Kính cường lực 10 ly</t>
  </si>
  <si>
    <t xml:space="preserve">Tháng 9/MOLY/VÀO</t>
  </si>
  <si>
    <t xml:space="preserve">Cty TNHH SX – TM Đông Á</t>
  </si>
  <si>
    <t xml:space="preserve">2801613442</t>
  </si>
  <si>
    <t xml:space="preserve">00012909</t>
  </si>
  <si>
    <t xml:space="preserve">TỔNG CỘNG (tất cả dòng)</t>
  </si>
  <si>
    <t xml:space="preserve">Trong đó tính vào chi phí</t>
  </si>
  <si>
    <t xml:space="preserve">ĐỐI CHIẾU: tổng các dòng đã nhập với số liệu trên từng hóa đơn gốc</t>
  </si>
  <si>
    <t xml:space="preserve">Loại</t>
  </si>
  <si>
    <t xml:space="preserve">Nhà cung cấp / Khách hàng</t>
  </si>
  <si>
    <t xml:space="preserve">Trước thuế (HĐ gốc)</t>
  </si>
  <si>
    <t xml:space="preserve">Tiền thuế (HĐ gốc)</t>
  </si>
  <si>
    <t xml:space="preserve">Tổng thanh toán (HĐ gốc)</t>
  </si>
  <si>
    <t xml:space="preserve">Trước thuế (tổng dòng)</t>
  </si>
  <si>
    <t xml:space="preserve">Chênh lệch trước thuế</t>
  </si>
  <si>
    <t xml:space="preserve">Mua vào</t>
  </si>
  <si>
    <t xml:space="preserve">Bán ra</t>
  </si>
  <si>
    <t xml:space="preserve">Chênh lệch ≤ 2 đồng là do làm tròn trên hóa đơn gốc.</t>
  </si>
  <si>
    <t xml:space="preserve">CÁC ĐIỂM CẦN CHỊ XÁC NHẬN</t>
  </si>
  <si>
    <t xml:space="preserve">#</t>
  </si>
  <si>
    <t xml:space="preserve">Vấn đề</t>
  </si>
  <si>
    <t xml:space="preserve">Chi tiết</t>
  </si>
  <si>
    <t xml:space="preserve">Em đã xử lý thế nào</t>
  </si>
  <si>
    <t xml:space="preserve">Đã loại hóa đơn không phải của Hưng Mộc</t>
  </si>
  <si>
    <t xml:space="preserve">HĐ An Phú Cường số 00001099 (26/08/2026, 8.611.364 trước thuế) có người mua là Golden Sea (MST 0314291494), không phải Hưng Mộc. Đã kiểm tra 24 HĐ mua vào còn lại, tất cả đứng tên Hưng Mộc (MST 2803104433).</t>
  </si>
  <si>
    <t xml:space="preserve">Đã loại hẳn khỏi sheet Chi phí và Tổng hợp.</t>
  </si>
  <si>
    <t xml:space="preserve">Doanh thu GS lệch bảng quyết toán đợt 1</t>
  </si>
  <si>
    <t xml:space="preserve">HĐ số 14 xuất 295.887.500, còn bảng quyết toán đợt 1 (HĐ 1707) cộng được 295.697.500. Lệch 190.000.</t>
  </si>
  <si>
    <t xml:space="preserve">Em lấy theo hóa đơn đã xuất (295.887.500). Chị kiểm tra lại cho khớp bảng quyết toán.</t>
  </si>
  <si>
    <t xml:space="preserve">Chi phí của GS đang vượt xa doanh thu đã xuất</t>
  </si>
  <si>
    <t xml:space="preserve">Quý III mới xuất HĐ đợt 1 (70%) của HĐ nội thất 1707 (giá trị HĐ 422.425.000 trước thuế). Các hợp đồng còn lại với GS: Solid Surface 0708 (493.473.315 gồm VAT), khung sắt + Aeon Bike 2908 (85.968.000 gồm VAT), phát sinh vách (58.428.000 gồm VAT) chưa có HĐ bán ra trong hồ sơ, trong khi vật tư đã mua.</t>
  </si>
  <si>
    <t xml:space="preserve">Em chỉ ghi nhận doanh thu theo hóa đơn bán ra. Con số lãi gộp của GS vì vậy chưa phản ánh đúng lợi nhuận cả công trình.</t>
  </si>
  <si>
    <t xml:space="preserve">Chi phí nhóm Thống không có hóa đơn thép hộp</t>
  </si>
  <si>
    <t xml:space="preserve">HĐ bán cho ICO là thép hộp mạ kẽm (10.466.182) nhưng thư mục mua vào chỉ có kính và nhôm. Chi phí kính/nhôm (61.3 triệu) lớn hơn doanh thu Taco + ICO xuất trong quý (37.3 triệu); các HĐKT Taco–Tianlong (25.398.360), ICO–Udon (5.076.000), ICO–Semba giường (15.876.000) chưa thấy HĐ bán ra.</t>
  </si>
  <si>
    <t xml:space="preserve">Em gộp Taco + ICO thành một nhóm vì thư mục mua vào là chung (THỐNG), chưa tách được chi phí riêng cho từng khách. Chị cho em biết nếu cần tách.</t>
  </si>
  <si>
    <t xml:space="preserve">Thư mục 'DCA' tháng 7, 8</t>
  </si>
  <si>
    <t xml:space="preserve">Em hiểu đây là chi phí vật tư của công trình AEON làm cho Golden Sea (cùng loại ván melamine, chỉ PVC) và gộp với thư mục AEON/GS tháng 9.</t>
  </si>
  <si>
    <t xml:space="preserve">Gộp chung thành nhóm 'AEON – Golden Sea (GS)'. Cột 'Thư mục gốc' ở sheet Chi phí vẫn giữ nguyên để chị lọc lại.</t>
  </si>
  <si>
    <t xml:space="preserve">Hóa đơn trùng lặp giữa các thư mục</t>
  </si>
  <si>
    <t xml:space="preserve">HĐ An Phú Cường 00000958 có ở tháng 7 và tháng 8; HĐ Phượng Hoàng 00004813 có 3 bản (2 bản tháng 8, 1 bản tháng 9/GS).</t>
  </si>
  <si>
    <t xml:space="preserve">Chỉ tính 1 lần mỗi hóa đơn.</t>
  </si>
  <si>
    <t xml:space="preserve">SSTH (Smart Shopping) chưa có chi phí</t>
  </si>
  <si>
    <t xml:space="preserve">Chỉ có HĐ bán số 10 (6.018.519) và không có HĐ mua vào nào trong thư mục.</t>
  </si>
  <si>
    <t xml:space="preserve">Chi phí để trống, lãi gộp = doanh thu. Chị bổ sung hóa đơn nếu có.</t>
  </si>
  <si>
    <t xml:space="preserve">HĐ bán số 13 (ICO) đã thay thế</t>
  </si>
  <si>
    <t xml:space="preserve">Biên bản thay thế ghi HĐ số 13 (14/09) sai tên hàng, thay bằng HĐ số 15. Không có file HĐ 13.</t>
  </si>
  <si>
    <t xml:space="preserve">Chỉ tính HĐ số 15.</t>
  </si>
  <si>
    <t xml:space="preserve">Tên hàng trên HĐ vận chuyển/kính</t>
  </si>
  <si>
    <t xml:space="preserve">Các HĐ vận chuyển (SQS Thiên Ân, Phượng Hoàng) không ghi rõ công trình; em xếp theo thư mục chứa file.</t>
  </si>
  <si>
    <t xml:space="preserve">Chị kiểm tra lại nếu cùng chuyến xe chở hàng cho nhiều công trình.</t>
  </si>
</sst>
</file>

<file path=xl/styles.xml><?xml version="1.0" encoding="utf-8"?>
<styleSheet xmlns="http://schemas.openxmlformats.org/spreadsheetml/2006/main">
  <numFmts count="5">
    <numFmt numFmtId="164" formatCode="General"/>
    <numFmt numFmtId="165" formatCode="#,##0;[RED]\(#,##0\);\-"/>
    <numFmt numFmtId="166" formatCode="0.0%;[RED]\-0.0%;\-"/>
    <numFmt numFmtId="167" formatCode="#,##0.###"/>
    <numFmt numFmtId="168" formatCode="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name val="Arial"/>
      <family val="0"/>
      <charset val="1"/>
    </font>
    <font>
      <b val="true"/>
      <sz val="10"/>
      <color rgb="FFFFFFFF"/>
      <name val="Arial"/>
      <family val="0"/>
      <charset val="1"/>
    </font>
    <font>
      <b val="true"/>
      <sz val="10"/>
      <name val="Arial"/>
      <family val="0"/>
      <charset val="1"/>
    </font>
    <font>
      <sz val="10"/>
      <name val="Arial"/>
      <family val="0"/>
      <charset val="1"/>
    </font>
    <font>
      <b val="true"/>
      <sz val="12"/>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7"/>
    <col collapsed="false" customWidth="true" hidden="false" outlineLevel="0" max="12" min="12"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15" hidden="false" customHeight="false" outlineLevel="0" collapsed="false">
      <c r="A5" s="4" t="s">
        <v>14</v>
      </c>
      <c r="B5" s="5" t="n">
        <f aca="false">SUMIFS('Doanh thu'!$L$5:$L$14,'Doanh thu'!$B$5:$B$14,$A5)</f>
        <v>295887500</v>
      </c>
      <c r="C5" s="5" t="n">
        <f aca="false">SUMIFS('Chi phí'!$L$5:$L$43,'Chi phí'!$B$5:$B$43,$A5,'Chi phí'!$O$5:$O$43,C$4,'Chi phí'!$P$5:$P$43,"Có")</f>
        <v>80960579</v>
      </c>
      <c r="D5" s="5" t="n">
        <f aca="false">SUMIFS('Chi phí'!$L$5:$L$43,'Chi phí'!$B$5:$B$43,$A5,'Chi phí'!$O$5:$O$43,D$4,'Chi phí'!$P$5:$P$43,"Có")</f>
        <v>10603643</v>
      </c>
      <c r="E5" s="5" t="n">
        <f aca="false">SUMIFS('Chi phí'!$L$5:$L$43,'Chi phí'!$B$5:$B$43,$A5,'Chi phí'!$O$5:$O$43,E$4,'Chi phí'!$P$5:$P$43,"Có")</f>
        <v>0</v>
      </c>
      <c r="F5" s="5" t="n">
        <f aca="false">SUMIFS('Chi phí'!$L$5:$L$43,'Chi phí'!$B$5:$B$43,$A5,'Chi phí'!$O$5:$O$43,F$4,'Chi phí'!$P$5:$P$43,"Có")</f>
        <v>0</v>
      </c>
      <c r="G5" s="5" t="n">
        <f aca="false">SUMIFS('Chi phí'!$L$5:$L$43,'Chi phí'!$B$5:$B$43,$A5,'Chi phí'!$O$5:$O$43,G$4,'Chi phí'!$P$5:$P$43,"Có")</f>
        <v>4526852</v>
      </c>
      <c r="H5" s="5" t="n">
        <f aca="false">SUMIFS('Chi phí'!$L$5:$L$43,'Chi phí'!$B$5:$B$43,$A5,'Chi phí'!$O$5:$O$43,H$4,'Chi phí'!$P$5:$P$43,"Có")</f>
        <v>3416667</v>
      </c>
      <c r="I5" s="5" t="n">
        <f aca="false">SUMIFS('Chi phí'!$L$5:$L$43,'Chi phí'!$B$5:$B$43,$A5,'Chi phí'!$O$5:$O$43,I$4,'Chi phí'!$P$5:$P$43,"Có")</f>
        <v>0</v>
      </c>
      <c r="J5" s="5" t="n">
        <f aca="false">SUM(C5:I5)</f>
        <v>99507741</v>
      </c>
      <c r="K5" s="5" t="n">
        <f aca="false">B5-J5</f>
        <v>196379759</v>
      </c>
      <c r="L5" s="6" t="n">
        <f aca="false">IF(B5=0,"",J5/B5)</f>
        <v>0.336302618393815</v>
      </c>
    </row>
    <row r="6" customFormat="false" ht="15" hidden="false" customHeight="false" outlineLevel="0" collapsed="false">
      <c r="A6" s="4" t="s">
        <v>15</v>
      </c>
      <c r="B6" s="5" t="n">
        <f aca="false">SUMIFS('Doanh thu'!$L$5:$L$14,'Doanh thu'!$B$5:$B$14,$A6)</f>
        <v>37251082</v>
      </c>
      <c r="C6" s="5" t="n">
        <f aca="false">SUMIFS('Chi phí'!$L$5:$L$43,'Chi phí'!$B$5:$B$43,$A6,'Chi phí'!$O$5:$O$43,C$4,'Chi phí'!$P$5:$P$43,"Có")</f>
        <v>0</v>
      </c>
      <c r="D6" s="5" t="n">
        <f aca="false">SUMIFS('Chi phí'!$L$5:$L$43,'Chi phí'!$B$5:$B$43,$A6,'Chi phí'!$O$5:$O$43,D$4,'Chi phí'!$P$5:$P$43,"Có")</f>
        <v>0</v>
      </c>
      <c r="E6" s="5" t="n">
        <f aca="false">SUMIFS('Chi phí'!$L$5:$L$43,'Chi phí'!$B$5:$B$43,$A6,'Chi phí'!$O$5:$O$43,E$4,'Chi phí'!$P$5:$P$43,"Có")</f>
        <v>47829622</v>
      </c>
      <c r="F6" s="5" t="n">
        <f aca="false">SUMIFS('Chi phí'!$L$5:$L$43,'Chi phí'!$B$5:$B$43,$A6,'Chi phí'!$O$5:$O$43,F$4,'Chi phí'!$P$5:$P$43,"Có")</f>
        <v>13500000</v>
      </c>
      <c r="G6" s="5" t="n">
        <f aca="false">SUMIFS('Chi phí'!$L$5:$L$43,'Chi phí'!$B$5:$B$43,$A6,'Chi phí'!$O$5:$O$43,G$4,'Chi phí'!$P$5:$P$43,"Có")</f>
        <v>0</v>
      </c>
      <c r="H6" s="5" t="n">
        <f aca="false">SUMIFS('Chi phí'!$L$5:$L$43,'Chi phí'!$B$5:$B$43,$A6,'Chi phí'!$O$5:$O$43,H$4,'Chi phí'!$P$5:$P$43,"Có")</f>
        <v>0</v>
      </c>
      <c r="I6" s="5" t="n">
        <f aca="false">SUMIFS('Chi phí'!$L$5:$L$43,'Chi phí'!$B$5:$B$43,$A6,'Chi phí'!$O$5:$O$43,I$4,'Chi phí'!$P$5:$P$43,"Có")</f>
        <v>0</v>
      </c>
      <c r="J6" s="5" t="n">
        <f aca="false">SUM(C6:I6)</f>
        <v>61329622</v>
      </c>
      <c r="K6" s="5" t="n">
        <f aca="false">B6-J6</f>
        <v>-24078540</v>
      </c>
      <c r="L6" s="6" t="n">
        <f aca="false">IF(B6=0,"",J6/B6)</f>
        <v>1.64638498285768</v>
      </c>
    </row>
    <row r="7" customFormat="false" ht="15" hidden="false" customHeight="false" outlineLevel="0" collapsed="false">
      <c r="A7" s="4" t="s">
        <v>16</v>
      </c>
      <c r="B7" s="5" t="n">
        <f aca="false">SUMIFS('Doanh thu'!$L$5:$L$14,'Doanh thu'!$B$5:$B$14,$A7)</f>
        <v>17731481.48</v>
      </c>
      <c r="C7" s="5" t="n">
        <f aca="false">SUMIFS('Chi phí'!$L$5:$L$43,'Chi phí'!$B$5:$B$43,$A7,'Chi phí'!$O$5:$O$43,C$4,'Chi phí'!$P$5:$P$43,"Có")</f>
        <v>0</v>
      </c>
      <c r="D7" s="5" t="n">
        <f aca="false">SUMIFS('Chi phí'!$L$5:$L$43,'Chi phí'!$B$5:$B$43,$A7,'Chi phí'!$O$5:$O$43,D$4,'Chi phí'!$P$5:$P$43,"Có")</f>
        <v>0</v>
      </c>
      <c r="E7" s="5" t="n">
        <f aca="false">SUMIFS('Chi phí'!$L$5:$L$43,'Chi phí'!$B$5:$B$43,$A7,'Chi phí'!$O$5:$O$43,E$4,'Chi phí'!$P$5:$P$43,"Có")</f>
        <v>0</v>
      </c>
      <c r="F7" s="5" t="n">
        <f aca="false">SUMIFS('Chi phí'!$L$5:$L$43,'Chi phí'!$B$5:$B$43,$A7,'Chi phí'!$O$5:$O$43,F$4,'Chi phí'!$P$5:$P$43,"Có")</f>
        <v>0</v>
      </c>
      <c r="G7" s="5" t="n">
        <f aca="false">SUMIFS('Chi phí'!$L$5:$L$43,'Chi phí'!$B$5:$B$43,$A7,'Chi phí'!$O$5:$O$43,G$4,'Chi phí'!$P$5:$P$43,"Có")</f>
        <v>0</v>
      </c>
      <c r="H7" s="5" t="n">
        <f aca="false">SUMIFS('Chi phí'!$L$5:$L$43,'Chi phí'!$B$5:$B$43,$A7,'Chi phí'!$O$5:$O$43,H$4,'Chi phí'!$P$5:$P$43,"Có")</f>
        <v>0</v>
      </c>
      <c r="I7" s="5" t="n">
        <f aca="false">SUMIFS('Chi phí'!$L$5:$L$43,'Chi phí'!$B$5:$B$43,$A7,'Chi phí'!$O$5:$O$43,I$4,'Chi phí'!$P$5:$P$43,"Có")</f>
        <v>15324074</v>
      </c>
      <c r="J7" s="5" t="n">
        <f aca="false">SUM(C7:I7)</f>
        <v>15324074</v>
      </c>
      <c r="K7" s="5" t="n">
        <f aca="false">B7-J7</f>
        <v>2407407.48</v>
      </c>
      <c r="L7" s="6" t="n">
        <f aca="false">IF(B7=0,"",J7/B7)</f>
        <v>0.864229760907716</v>
      </c>
    </row>
    <row r="8" customFormat="false" ht="15" hidden="false" customHeight="false" outlineLevel="0" collapsed="false">
      <c r="A8" s="4" t="s">
        <v>17</v>
      </c>
      <c r="B8" s="5" t="n">
        <f aca="false">SUMIFS('Doanh thu'!$L$5:$L$14,'Doanh thu'!$B$5:$B$14,$A8)</f>
        <v>6018518.52</v>
      </c>
      <c r="C8" s="5" t="n">
        <f aca="false">SUMIFS('Chi phí'!$L$5:$L$43,'Chi phí'!$B$5:$B$43,$A8,'Chi phí'!$O$5:$O$43,C$4,'Chi phí'!$P$5:$P$43,"Có")</f>
        <v>0</v>
      </c>
      <c r="D8" s="5" t="n">
        <f aca="false">SUMIFS('Chi phí'!$L$5:$L$43,'Chi phí'!$B$5:$B$43,$A8,'Chi phí'!$O$5:$O$43,D$4,'Chi phí'!$P$5:$P$43,"Có")</f>
        <v>0</v>
      </c>
      <c r="E8" s="5" t="n">
        <f aca="false">SUMIFS('Chi phí'!$L$5:$L$43,'Chi phí'!$B$5:$B$43,$A8,'Chi phí'!$O$5:$O$43,E$4,'Chi phí'!$P$5:$P$43,"Có")</f>
        <v>0</v>
      </c>
      <c r="F8" s="5" t="n">
        <f aca="false">SUMIFS('Chi phí'!$L$5:$L$43,'Chi phí'!$B$5:$B$43,$A8,'Chi phí'!$O$5:$O$43,F$4,'Chi phí'!$P$5:$P$43,"Có")</f>
        <v>0</v>
      </c>
      <c r="G8" s="5" t="n">
        <f aca="false">SUMIFS('Chi phí'!$L$5:$L$43,'Chi phí'!$B$5:$B$43,$A8,'Chi phí'!$O$5:$O$43,G$4,'Chi phí'!$P$5:$P$43,"Có")</f>
        <v>0</v>
      </c>
      <c r="H8" s="5" t="n">
        <f aca="false">SUMIFS('Chi phí'!$L$5:$L$43,'Chi phí'!$B$5:$B$43,$A8,'Chi phí'!$O$5:$O$43,H$4,'Chi phí'!$P$5:$P$43,"Có")</f>
        <v>0</v>
      </c>
      <c r="I8" s="5" t="n">
        <f aca="false">SUMIFS('Chi phí'!$L$5:$L$43,'Chi phí'!$B$5:$B$43,$A8,'Chi phí'!$O$5:$O$43,I$4,'Chi phí'!$P$5:$P$43,"Có")</f>
        <v>0</v>
      </c>
      <c r="J8" s="5" t="n">
        <f aca="false">SUM(C8:I8)</f>
        <v>0</v>
      </c>
      <c r="K8" s="5" t="n">
        <f aca="false">B8-J8</f>
        <v>6018518.52</v>
      </c>
      <c r="L8" s="6" t="n">
        <f aca="false">IF(B8=0,"",J8/B8)</f>
        <v>0</v>
      </c>
    </row>
    <row r="9" customFormat="false" ht="15" hidden="false" customHeight="false" outlineLevel="0" collapsed="false">
      <c r="A9" s="7" t="s">
        <v>18</v>
      </c>
      <c r="B9" s="7" t="n">
        <f aca="false">SUM(B5:B8)</f>
        <v>356888582</v>
      </c>
      <c r="C9" s="7" t="n">
        <f aca="false">SUM(C5:C8)</f>
        <v>80960579</v>
      </c>
      <c r="D9" s="7" t="n">
        <f aca="false">SUM(D5:D8)</f>
        <v>10603643</v>
      </c>
      <c r="E9" s="7" t="n">
        <f aca="false">SUM(E5:E8)</f>
        <v>47829622</v>
      </c>
      <c r="F9" s="7" t="n">
        <f aca="false">SUM(F5:F8)</f>
        <v>13500000</v>
      </c>
      <c r="G9" s="7" t="n">
        <f aca="false">SUM(G5:G8)</f>
        <v>4526852</v>
      </c>
      <c r="H9" s="7" t="n">
        <f aca="false">SUM(H5:H8)</f>
        <v>3416667</v>
      </c>
      <c r="I9" s="7" t="n">
        <f aca="false">SUM(I5:I8)</f>
        <v>15324074</v>
      </c>
      <c r="J9" s="7" t="n">
        <f aca="false">SUM(J5:J8)</f>
        <v>176161437</v>
      </c>
      <c r="K9" s="7" t="n">
        <f aca="false">SUM(K5:K8)</f>
        <v>180727145</v>
      </c>
      <c r="L9" s="8" t="n">
        <f aca="false">IF(B9=0,"",J9/B9)</f>
        <v>0.493603454649048</v>
      </c>
    </row>
    <row r="11" customFormat="false" ht="15" hidden="false" customHeight="false" outlineLevel="0" collapsed="false">
      <c r="A11" s="9" t="s">
        <v>19</v>
      </c>
    </row>
    <row r="12" customFormat="false" ht="31.5" hidden="false" customHeight="true" outlineLevel="0" collapsed="false">
      <c r="A12" s="3" t="s">
        <v>2</v>
      </c>
      <c r="B12" s="3"/>
      <c r="C12" s="3" t="s">
        <v>4</v>
      </c>
      <c r="D12" s="3" t="s">
        <v>5</v>
      </c>
      <c r="E12" s="3" t="s">
        <v>6</v>
      </c>
      <c r="F12" s="3" t="s">
        <v>7</v>
      </c>
      <c r="G12" s="3" t="s">
        <v>8</v>
      </c>
      <c r="H12" s="3" t="s">
        <v>9</v>
      </c>
      <c r="I12" s="3" t="s">
        <v>10</v>
      </c>
      <c r="J12" s="3" t="s">
        <v>11</v>
      </c>
      <c r="K12" s="3"/>
      <c r="L12" s="3"/>
    </row>
    <row r="13" customFormat="false" ht="15" hidden="false" customHeight="false" outlineLevel="0" collapsed="false">
      <c r="A13" s="10" t="s">
        <v>14</v>
      </c>
      <c r="B13" s="11"/>
      <c r="C13" s="6" t="n">
        <f aca="false">IF($B5=0,"",C5/$B5)</f>
        <v>0.273619463478518</v>
      </c>
      <c r="D13" s="6" t="n">
        <f aca="false">IF($B5=0,"",D5/$B5)</f>
        <v>0.0358367386253221</v>
      </c>
      <c r="E13" s="6" t="n">
        <f aca="false">IF($B5=0,"",E5/$B5)</f>
        <v>0</v>
      </c>
      <c r="F13" s="6" t="n">
        <f aca="false">IF($B5=0,"",F5/$B5)</f>
        <v>0</v>
      </c>
      <c r="G13" s="6" t="n">
        <f aca="false">IF($B5=0,"",G5/$B5)</f>
        <v>0.0152992336614423</v>
      </c>
      <c r="H13" s="6" t="n">
        <f aca="false">IF($B5=0,"",H5/$B5)</f>
        <v>0.0115471826285328</v>
      </c>
      <c r="I13" s="6" t="n">
        <f aca="false">IF($B5=0,"",I5/$B5)</f>
        <v>0</v>
      </c>
      <c r="J13" s="6" t="n">
        <f aca="false">IF($B5=0,"",J5/$B5)</f>
        <v>0.336302618393815</v>
      </c>
    </row>
    <row r="14" customFormat="false" ht="15" hidden="false" customHeight="false" outlineLevel="0" collapsed="false">
      <c r="A14" s="10" t="s">
        <v>15</v>
      </c>
      <c r="B14" s="11"/>
      <c r="C14" s="6" t="n">
        <f aca="false">IF($B6=0,"",C6/$B6)</f>
        <v>0</v>
      </c>
      <c r="D14" s="6" t="n">
        <f aca="false">IF($B6=0,"",D6/$B6)</f>
        <v>0</v>
      </c>
      <c r="E14" s="6" t="n">
        <f aca="false">IF($B6=0,"",E6/$B6)</f>
        <v>1.28397940226273</v>
      </c>
      <c r="F14" s="6" t="n">
        <f aca="false">IF($B6=0,"",F6/$B6)</f>
        <v>0.362405580594948</v>
      </c>
      <c r="G14" s="6" t="n">
        <f aca="false">IF($B6=0,"",G6/$B6)</f>
        <v>0</v>
      </c>
      <c r="H14" s="6" t="n">
        <f aca="false">IF($B6=0,"",H6/$B6)</f>
        <v>0</v>
      </c>
      <c r="I14" s="6" t="n">
        <f aca="false">IF($B6=0,"",I6/$B6)</f>
        <v>0</v>
      </c>
      <c r="J14" s="6" t="n">
        <f aca="false">IF($B6=0,"",J6/$B6)</f>
        <v>1.64638498285768</v>
      </c>
    </row>
    <row r="15" customFormat="false" ht="15" hidden="false" customHeight="false" outlineLevel="0" collapsed="false">
      <c r="A15" s="10" t="s">
        <v>16</v>
      </c>
      <c r="B15" s="11"/>
      <c r="C15" s="6" t="n">
        <f aca="false">IF($B7=0,"",C7/$B7)</f>
        <v>0</v>
      </c>
      <c r="D15" s="6" t="n">
        <f aca="false">IF($B7=0,"",D7/$B7)</f>
        <v>0</v>
      </c>
      <c r="E15" s="6" t="n">
        <f aca="false">IF($B7=0,"",E7/$B7)</f>
        <v>0</v>
      </c>
      <c r="F15" s="6" t="n">
        <f aca="false">IF($B7=0,"",F7/$B7)</f>
        <v>0</v>
      </c>
      <c r="G15" s="6" t="n">
        <f aca="false">IF($B7=0,"",G7/$B7)</f>
        <v>0</v>
      </c>
      <c r="H15" s="6" t="n">
        <f aca="false">IF($B7=0,"",H7/$B7)</f>
        <v>0</v>
      </c>
      <c r="I15" s="6" t="n">
        <f aca="false">IF($B7=0,"",I7/$B7)</f>
        <v>0.864229760907716</v>
      </c>
      <c r="J15" s="6" t="n">
        <f aca="false">IF($B7=0,"",J7/$B7)</f>
        <v>0.864229760907716</v>
      </c>
    </row>
    <row r="16" customFormat="false" ht="15" hidden="false" customHeight="false" outlineLevel="0" collapsed="false">
      <c r="A16" s="10" t="s">
        <v>17</v>
      </c>
      <c r="B16" s="11"/>
      <c r="C16" s="6" t="n">
        <f aca="false">IF($B8=0,"",C8/$B8)</f>
        <v>0</v>
      </c>
      <c r="D16" s="6" t="n">
        <f aca="false">IF($B8=0,"",D8/$B8)</f>
        <v>0</v>
      </c>
      <c r="E16" s="6" t="n">
        <f aca="false">IF($B8=0,"",E8/$B8)</f>
        <v>0</v>
      </c>
      <c r="F16" s="6" t="n">
        <f aca="false">IF($B8=0,"",F8/$B8)</f>
        <v>0</v>
      </c>
      <c r="G16" s="6" t="n">
        <f aca="false">IF($B8=0,"",G8/$B8)</f>
        <v>0</v>
      </c>
      <c r="H16" s="6" t="n">
        <f aca="false">IF($B8=0,"",H8/$B8)</f>
        <v>0</v>
      </c>
      <c r="I16" s="6" t="n">
        <f aca="false">IF($B8=0,"",I8/$B8)</f>
        <v>0</v>
      </c>
      <c r="J16" s="6" t="n">
        <f aca="false">IF($B8=0,"",J8/$B8)</f>
        <v>0</v>
      </c>
    </row>
    <row r="17" customFormat="false" ht="15" hidden="false" customHeight="false" outlineLevel="0" collapsed="false">
      <c r="A17" s="12" t="s">
        <v>18</v>
      </c>
      <c r="B17" s="12"/>
      <c r="C17" s="8" t="n">
        <f aca="false">IF($B9=0,"",C9/$B9)</f>
        <v>0.22685113249154</v>
      </c>
      <c r="D17" s="8" t="n">
        <f aca="false">IF($B9=0,"",D9/$B9)</f>
        <v>0.0297113540045952</v>
      </c>
      <c r="E17" s="8" t="n">
        <f aca="false">IF($B9=0,"",E9/$B9)</f>
        <v>0.134018358704454</v>
      </c>
      <c r="F17" s="8" t="n">
        <f aca="false">IF($B9=0,"",F9/$B9)</f>
        <v>0.0378269316556617</v>
      </c>
      <c r="G17" s="8" t="n">
        <f aca="false">IF($B9=0,"",G9/$B9)</f>
        <v>0.0126842163866145</v>
      </c>
      <c r="H17" s="8" t="n">
        <f aca="false">IF($B9=0,"",H9/$B9)</f>
        <v>0.00957348363697441</v>
      </c>
      <c r="I17" s="8" t="n">
        <f aca="false">IF($B9=0,"",I9/$B9)</f>
        <v>0.0429379777692075</v>
      </c>
      <c r="J17" s="8" t="n">
        <f aca="false">IF($B9=0,"",J9/$B9)</f>
        <v>0.493603454649048</v>
      </c>
    </row>
    <row r="20" customFormat="false" ht="15" hidden="false" customHeight="false" outlineLevel="0" collapsed="false">
      <c r="A20" s="9" t="s">
        <v>20</v>
      </c>
    </row>
    <row r="21" customFormat="false" ht="31.5" hidden="false" customHeight="true" outlineLevel="0" collapsed="false">
      <c r="A21" s="3" t="s">
        <v>21</v>
      </c>
      <c r="B21" s="3" t="s">
        <v>22</v>
      </c>
      <c r="C21" s="3" t="s">
        <v>23</v>
      </c>
      <c r="D21" s="3" t="s">
        <v>24</v>
      </c>
      <c r="E21" s="3" t="s">
        <v>2</v>
      </c>
    </row>
    <row r="22" customFormat="false" ht="15" hidden="false" customHeight="false" outlineLevel="0" collapsed="false">
      <c r="A22" s="11" t="s">
        <v>25</v>
      </c>
      <c r="B22" s="5" t="n">
        <f aca="false">SUMIFS('Doanh thu'!$L$5:$L$14,'Doanh thu'!$C$5:$C$14,A22)</f>
        <v>295887500</v>
      </c>
      <c r="C22" s="11" t="s">
        <v>26</v>
      </c>
      <c r="D22" s="11" t="s">
        <v>27</v>
      </c>
      <c r="E22" s="11" t="s">
        <v>14</v>
      </c>
    </row>
    <row r="23" customFormat="false" ht="15" hidden="false" customHeight="false" outlineLevel="0" collapsed="false">
      <c r="A23" s="11" t="s">
        <v>28</v>
      </c>
      <c r="B23" s="5" t="n">
        <f aca="false">SUMIFS('Doanh thu'!$L$5:$L$14,'Doanh thu'!$C$5:$C$14,A23)</f>
        <v>26784900</v>
      </c>
      <c r="C23" s="11" t="s">
        <v>29</v>
      </c>
      <c r="D23" s="11" t="s">
        <v>30</v>
      </c>
      <c r="E23" s="11" t="s">
        <v>15</v>
      </c>
    </row>
    <row r="24" customFormat="false" ht="15" hidden="false" customHeight="false" outlineLevel="0" collapsed="false">
      <c r="A24" s="11" t="s">
        <v>31</v>
      </c>
      <c r="B24" s="5" t="n">
        <f aca="false">SUMIFS('Doanh thu'!$L$5:$L$14,'Doanh thu'!$C$5:$C$14,A24)</f>
        <v>10466182</v>
      </c>
      <c r="C24" s="11" t="s">
        <v>32</v>
      </c>
      <c r="D24" s="11" t="s">
        <v>27</v>
      </c>
      <c r="E24" s="11" t="s">
        <v>15</v>
      </c>
    </row>
    <row r="25" customFormat="false" ht="15" hidden="false" customHeight="false" outlineLevel="0" collapsed="false">
      <c r="A25" s="11" t="s">
        <v>33</v>
      </c>
      <c r="B25" s="5" t="n">
        <f aca="false">SUMIFS('Doanh thu'!$L$5:$L$14,'Doanh thu'!$C$5:$C$14,A25)</f>
        <v>17731481.48</v>
      </c>
      <c r="C25" s="11" t="s">
        <v>34</v>
      </c>
      <c r="D25" s="11" t="s">
        <v>35</v>
      </c>
      <c r="E25" s="11" t="s">
        <v>16</v>
      </c>
    </row>
    <row r="26" customFormat="false" ht="15" hidden="false" customHeight="false" outlineLevel="0" collapsed="false">
      <c r="A26" s="11" t="s">
        <v>36</v>
      </c>
      <c r="B26" s="5" t="n">
        <f aca="false">SUMIFS('Doanh thu'!$L$5:$L$14,'Doanh thu'!$C$5:$C$14,A26)</f>
        <v>6018518.52</v>
      </c>
      <c r="C26" s="11" t="s">
        <v>37</v>
      </c>
      <c r="D26" s="11" t="s">
        <v>38</v>
      </c>
      <c r="E26" s="11" t="s">
        <v>17</v>
      </c>
    </row>
    <row r="29" customFormat="false" ht="15" hidden="false" customHeight="false" outlineLevel="0" collapsed="false">
      <c r="A29" s="9" t="s">
        <v>39</v>
      </c>
    </row>
    <row r="30" customFormat="false" ht="31.5" hidden="false" customHeight="true" outlineLevel="0" collapsed="false">
      <c r="A30" s="3" t="s">
        <v>40</v>
      </c>
      <c r="B30" s="3" t="s">
        <v>3</v>
      </c>
      <c r="C30" s="3" t="s">
        <v>41</v>
      </c>
      <c r="D30" s="3" t="s">
        <v>42</v>
      </c>
    </row>
    <row r="31" customFormat="false" ht="15" hidden="false" customHeight="false" outlineLevel="0" collapsed="false">
      <c r="A31" s="11" t="n">
        <v>7</v>
      </c>
      <c r="B31" s="5" t="n">
        <f aca="false">SUMIFS('Doanh thu'!$L$5:$L$14,'Doanh thu'!$A$5:$A$14,A31)</f>
        <v>6018518.52</v>
      </c>
      <c r="C31" s="5" t="n">
        <f aca="false">SUMIFS('Chi phí'!$L$5:$L$43,'Chi phí'!$A$5:$A$43,A31,'Chi phí'!$P$5:$P$43,"Có")</f>
        <v>24920000</v>
      </c>
      <c r="D31" s="5" t="n">
        <f aca="false">B31-C31</f>
        <v>-18901481.48</v>
      </c>
    </row>
    <row r="32" customFormat="false" ht="15" hidden="false" customHeight="false" outlineLevel="0" collapsed="false">
      <c r="A32" s="11" t="n">
        <v>8</v>
      </c>
      <c r="B32" s="5" t="n">
        <f aca="false">SUMIFS('Doanh thu'!$L$5:$L$14,'Doanh thu'!$A$5:$A$14,A32)</f>
        <v>0</v>
      </c>
      <c r="C32" s="5" t="n">
        <f aca="false">SUMIFS('Chi phí'!$L$5:$L$43,'Chi phí'!$A$5:$A$43,A32,'Chi phí'!$P$5:$P$43,"Có")</f>
        <v>55709689</v>
      </c>
      <c r="D32" s="5" t="n">
        <f aca="false">B32-C32</f>
        <v>-55709689</v>
      </c>
    </row>
    <row r="33" customFormat="false" ht="15" hidden="false" customHeight="false" outlineLevel="0" collapsed="false">
      <c r="A33" s="11" t="n">
        <v>9</v>
      </c>
      <c r="B33" s="5" t="n">
        <f aca="false">SUMIFS('Doanh thu'!$L$5:$L$14,'Doanh thu'!$A$5:$A$14,A33)</f>
        <v>350870063.48</v>
      </c>
      <c r="C33" s="5" t="n">
        <f aca="false">SUMIFS('Chi phí'!$L$5:$L$43,'Chi phí'!$A$5:$A$43,A33,'Chi phí'!$P$5:$P$43,"Có")</f>
        <v>95531748</v>
      </c>
      <c r="D33" s="5" t="n">
        <f aca="false">B33-C33</f>
        <v>255338315.48</v>
      </c>
    </row>
    <row r="34" customFormat="false" ht="15" hidden="false" customHeight="false" outlineLevel="0" collapsed="false">
      <c r="A34" s="12" t="s">
        <v>43</v>
      </c>
      <c r="B34" s="7" t="n">
        <f aca="false">SUM(B31:B33)</f>
        <v>356888582</v>
      </c>
      <c r="C34" s="7" t="n">
        <f aca="false">SUM(C31:C33)</f>
        <v>176161437</v>
      </c>
      <c r="D34" s="7" t="n">
        <f aca="false">SUM(D31:D33)</f>
        <v>180727145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32"/>
    <col collapsed="false" customWidth="true" hidden="false" outlineLevel="0" max="4" min="4" style="0" width="13"/>
    <col collapsed="false" customWidth="true" hidden="false" outlineLevel="0" max="5" min="5" style="0" width="8"/>
    <col collapsed="false" customWidth="true" hidden="false" outlineLevel="0" max="6" min="6" style="0" width="12"/>
    <col collapsed="false" customWidth="true" hidden="false" outlineLevel="0" max="7" min="7" style="0" width="26"/>
    <col collapsed="false" customWidth="true" hidden="false" outlineLevel="0" max="8" min="8" style="0" width="52"/>
    <col collapsed="false" customWidth="true" hidden="false" outlineLevel="0" max="9" min="9" style="0" width="7"/>
    <col collapsed="false" customWidth="true" hidden="false" outlineLevel="0" max="10" min="10" style="0" width="10"/>
    <col collapsed="false" customWidth="true" hidden="false" outlineLevel="0" max="11" min="11" style="0" width="15"/>
    <col collapsed="false" customWidth="true" hidden="false" outlineLevel="0" max="12" min="12" style="0" width="18"/>
    <col collapsed="false" customWidth="true" hidden="false" outlineLevel="0" max="13" min="13" style="0" width="9"/>
    <col collapsed="false" customWidth="true" hidden="false" outlineLevel="0" max="14" min="14" style="0" width="14"/>
    <col collapsed="false" customWidth="true" hidden="false" outlineLevel="0" max="15" min="15" style="0" width="50"/>
  </cols>
  <sheetData>
    <row r="1" customFormat="false" ht="15" hidden="false" customHeight="false" outlineLevel="0" collapsed="false">
      <c r="A1" s="13" t="s">
        <v>44</v>
      </c>
    </row>
    <row r="2" customFormat="false" ht="15" hidden="false" customHeight="false" outlineLevel="0" collapsed="false">
      <c r="A2" s="2" t="s">
        <v>45</v>
      </c>
    </row>
    <row r="4" customFormat="false" ht="31.5" hidden="false" customHeight="true" outlineLevel="0" collapsed="false">
      <c r="A4" s="3" t="s">
        <v>40</v>
      </c>
      <c r="B4" s="3" t="s">
        <v>2</v>
      </c>
      <c r="C4" s="3" t="s">
        <v>21</v>
      </c>
      <c r="D4" s="3" t="s">
        <v>46</v>
      </c>
      <c r="E4" s="3" t="s">
        <v>23</v>
      </c>
      <c r="F4" s="3" t="s">
        <v>47</v>
      </c>
      <c r="G4" s="3" t="s">
        <v>48</v>
      </c>
      <c r="H4" s="3" t="s">
        <v>49</v>
      </c>
      <c r="I4" s="3" t="s">
        <v>50</v>
      </c>
      <c r="J4" s="3" t="s">
        <v>51</v>
      </c>
      <c r="K4" s="3" t="s">
        <v>52</v>
      </c>
      <c r="L4" s="3" t="s">
        <v>53</v>
      </c>
      <c r="M4" s="3" t="s">
        <v>54</v>
      </c>
      <c r="N4" s="3" t="s">
        <v>55</v>
      </c>
      <c r="O4" s="3" t="s">
        <v>56</v>
      </c>
    </row>
    <row r="5" customFormat="false" ht="15" hidden="false" customHeight="false" outlineLevel="0" collapsed="false">
      <c r="A5" s="11" t="n">
        <v>7</v>
      </c>
      <c r="B5" s="11" t="s">
        <v>17</v>
      </c>
      <c r="C5" s="11" t="s">
        <v>36</v>
      </c>
      <c r="D5" s="11" t="s">
        <v>57</v>
      </c>
      <c r="E5" s="11" t="s">
        <v>37</v>
      </c>
      <c r="F5" s="11" t="s">
        <v>38</v>
      </c>
      <c r="G5" s="11" t="s">
        <v>58</v>
      </c>
      <c r="H5" s="14" t="s">
        <v>59</v>
      </c>
      <c r="I5" s="11" t="s">
        <v>60</v>
      </c>
      <c r="J5" s="15" t="n">
        <v>2</v>
      </c>
      <c r="K5" s="5" t="n">
        <v>1666666.667</v>
      </c>
      <c r="L5" s="5" t="n">
        <v>3333333.33</v>
      </c>
      <c r="M5" s="16" t="n">
        <v>0.08</v>
      </c>
      <c r="N5" s="5" t="n">
        <f aca="false">ROUND(L5*M5,0)</f>
        <v>266667</v>
      </c>
      <c r="O5" s="14"/>
    </row>
    <row r="6" customFormat="false" ht="15" hidden="false" customHeight="false" outlineLevel="0" collapsed="false">
      <c r="A6" s="11" t="n">
        <v>7</v>
      </c>
      <c r="B6" s="11" t="s">
        <v>17</v>
      </c>
      <c r="C6" s="11" t="s">
        <v>36</v>
      </c>
      <c r="D6" s="11" t="s">
        <v>57</v>
      </c>
      <c r="E6" s="11" t="s">
        <v>37</v>
      </c>
      <c r="F6" s="11" t="s">
        <v>38</v>
      </c>
      <c r="G6" s="11" t="s">
        <v>58</v>
      </c>
      <c r="H6" s="14" t="s">
        <v>61</v>
      </c>
      <c r="I6" s="11" t="s">
        <v>60</v>
      </c>
      <c r="J6" s="15" t="n">
        <v>1</v>
      </c>
      <c r="K6" s="5" t="n">
        <v>2685185.185</v>
      </c>
      <c r="L6" s="5" t="n">
        <v>2685185.19</v>
      </c>
      <c r="M6" s="16" t="n">
        <v>0.08</v>
      </c>
      <c r="N6" s="5" t="n">
        <f aca="false">ROUND(L6*M6,0)</f>
        <v>214815</v>
      </c>
      <c r="O6" s="14"/>
    </row>
    <row r="7" customFormat="false" ht="15" hidden="false" customHeight="false" outlineLevel="0" collapsed="false">
      <c r="A7" s="11" t="n">
        <v>9</v>
      </c>
      <c r="B7" s="11" t="s">
        <v>15</v>
      </c>
      <c r="C7" s="11" t="s">
        <v>28</v>
      </c>
      <c r="D7" s="11" t="s">
        <v>62</v>
      </c>
      <c r="E7" s="11" t="s">
        <v>29</v>
      </c>
      <c r="F7" s="11" t="s">
        <v>30</v>
      </c>
      <c r="G7" s="11" t="s">
        <v>63</v>
      </c>
      <c r="H7" s="14" t="s">
        <v>64</v>
      </c>
      <c r="I7" s="11" t="s">
        <v>60</v>
      </c>
      <c r="J7" s="15" t="n">
        <v>1</v>
      </c>
      <c r="K7" s="5" t="n">
        <v>7820400</v>
      </c>
      <c r="L7" s="5" t="n">
        <v>7820400</v>
      </c>
      <c r="M7" s="16" t="n">
        <v>0.08</v>
      </c>
      <c r="N7" s="5" t="n">
        <f aca="false">ROUND(L7*M7,0)</f>
        <v>625632</v>
      </c>
      <c r="O7" s="14" t="s">
        <v>65</v>
      </c>
    </row>
    <row r="8" customFormat="false" ht="15" hidden="false" customHeight="false" outlineLevel="0" collapsed="false">
      <c r="A8" s="11" t="n">
        <v>9</v>
      </c>
      <c r="B8" s="11" t="s">
        <v>15</v>
      </c>
      <c r="C8" s="11" t="s">
        <v>28</v>
      </c>
      <c r="D8" s="11" t="s">
        <v>62</v>
      </c>
      <c r="E8" s="11" t="s">
        <v>29</v>
      </c>
      <c r="F8" s="11" t="s">
        <v>30</v>
      </c>
      <c r="G8" s="11" t="s">
        <v>63</v>
      </c>
      <c r="H8" s="14" t="s">
        <v>66</v>
      </c>
      <c r="I8" s="11" t="s">
        <v>60</v>
      </c>
      <c r="J8" s="15" t="n">
        <v>1</v>
      </c>
      <c r="K8" s="5" t="n">
        <v>9288000</v>
      </c>
      <c r="L8" s="5" t="n">
        <v>9288000</v>
      </c>
      <c r="M8" s="16" t="n">
        <v>0.08</v>
      </c>
      <c r="N8" s="5" t="n">
        <f aca="false">ROUND(L8*M8,0)</f>
        <v>743040</v>
      </c>
      <c r="O8" s="14"/>
    </row>
    <row r="9" customFormat="false" ht="15" hidden="false" customHeight="false" outlineLevel="0" collapsed="false">
      <c r="A9" s="11" t="n">
        <v>9</v>
      </c>
      <c r="B9" s="11" t="s">
        <v>15</v>
      </c>
      <c r="C9" s="11" t="s">
        <v>28</v>
      </c>
      <c r="D9" s="11" t="s">
        <v>62</v>
      </c>
      <c r="E9" s="11" t="s">
        <v>29</v>
      </c>
      <c r="F9" s="11" t="s">
        <v>30</v>
      </c>
      <c r="G9" s="11" t="s">
        <v>63</v>
      </c>
      <c r="H9" s="14" t="s">
        <v>67</v>
      </c>
      <c r="I9" s="11" t="s">
        <v>60</v>
      </c>
      <c r="J9" s="15" t="n">
        <v>1</v>
      </c>
      <c r="K9" s="5" t="n">
        <v>3676500</v>
      </c>
      <c r="L9" s="5" t="n">
        <v>3676500</v>
      </c>
      <c r="M9" s="16" t="n">
        <v>0.08</v>
      </c>
      <c r="N9" s="5" t="n">
        <f aca="false">ROUND(L9*M9,0)</f>
        <v>294120</v>
      </c>
      <c r="O9" s="14"/>
    </row>
    <row r="10" customFormat="false" ht="15" hidden="false" customHeight="false" outlineLevel="0" collapsed="false">
      <c r="A10" s="11" t="n">
        <v>9</v>
      </c>
      <c r="B10" s="11" t="s">
        <v>15</v>
      </c>
      <c r="C10" s="11" t="s">
        <v>28</v>
      </c>
      <c r="D10" s="11" t="s">
        <v>62</v>
      </c>
      <c r="E10" s="11" t="s">
        <v>29</v>
      </c>
      <c r="F10" s="11" t="s">
        <v>30</v>
      </c>
      <c r="G10" s="11" t="s">
        <v>63</v>
      </c>
      <c r="H10" s="14" t="s">
        <v>68</v>
      </c>
      <c r="I10" s="11" t="s">
        <v>60</v>
      </c>
      <c r="J10" s="15" t="n">
        <v>1</v>
      </c>
      <c r="K10" s="5" t="n">
        <v>2500000</v>
      </c>
      <c r="L10" s="5" t="n">
        <v>2500000</v>
      </c>
      <c r="M10" s="16" t="n">
        <v>0.08</v>
      </c>
      <c r="N10" s="5" t="n">
        <f aca="false">ROUND(L10*M10,0)</f>
        <v>200000</v>
      </c>
      <c r="O10" s="14"/>
    </row>
    <row r="11" customFormat="false" ht="15" hidden="false" customHeight="false" outlineLevel="0" collapsed="false">
      <c r="A11" s="11" t="n">
        <v>9</v>
      </c>
      <c r="B11" s="11" t="s">
        <v>15</v>
      </c>
      <c r="C11" s="11" t="s">
        <v>28</v>
      </c>
      <c r="D11" s="11" t="s">
        <v>62</v>
      </c>
      <c r="E11" s="11" t="s">
        <v>29</v>
      </c>
      <c r="F11" s="11" t="s">
        <v>30</v>
      </c>
      <c r="G11" s="11" t="s">
        <v>63</v>
      </c>
      <c r="H11" s="14" t="s">
        <v>69</v>
      </c>
      <c r="I11" s="11" t="s">
        <v>60</v>
      </c>
      <c r="J11" s="15" t="n">
        <v>1</v>
      </c>
      <c r="K11" s="5" t="n">
        <v>3500000</v>
      </c>
      <c r="L11" s="5" t="n">
        <v>3500000</v>
      </c>
      <c r="M11" s="16" t="n">
        <v>0.08</v>
      </c>
      <c r="N11" s="5" t="n">
        <f aca="false">ROUND(L11*M11,0)</f>
        <v>280000</v>
      </c>
      <c r="O11" s="14"/>
    </row>
    <row r="12" customFormat="false" ht="15" hidden="false" customHeight="false" outlineLevel="0" collapsed="false">
      <c r="A12" s="11" t="n">
        <v>9</v>
      </c>
      <c r="B12" s="11" t="s">
        <v>15</v>
      </c>
      <c r="C12" s="11" t="s">
        <v>31</v>
      </c>
      <c r="D12" s="11" t="s">
        <v>70</v>
      </c>
      <c r="E12" s="11" t="s">
        <v>32</v>
      </c>
      <c r="F12" s="11" t="s">
        <v>27</v>
      </c>
      <c r="G12" s="11" t="s">
        <v>71</v>
      </c>
      <c r="H12" s="14" t="s">
        <v>72</v>
      </c>
      <c r="I12" s="11" t="s">
        <v>73</v>
      </c>
      <c r="J12" s="15" t="n">
        <v>533.98888</v>
      </c>
      <c r="K12" s="5" t="n">
        <v>19600</v>
      </c>
      <c r="L12" s="5" t="n">
        <v>10466182</v>
      </c>
      <c r="M12" s="16" t="n">
        <v>0.1</v>
      </c>
      <c r="N12" s="5" t="n">
        <f aca="false">ROUND(L12*M12,0)</f>
        <v>1046618</v>
      </c>
      <c r="O12" s="14" t="s">
        <v>74</v>
      </c>
    </row>
    <row r="13" customFormat="false" ht="23.85" hidden="false" customHeight="false" outlineLevel="0" collapsed="false">
      <c r="A13" s="11" t="n">
        <v>9</v>
      </c>
      <c r="B13" s="11" t="s">
        <v>14</v>
      </c>
      <c r="C13" s="11" t="s">
        <v>25</v>
      </c>
      <c r="D13" s="11" t="s">
        <v>75</v>
      </c>
      <c r="E13" s="11" t="s">
        <v>26</v>
      </c>
      <c r="F13" s="11" t="s">
        <v>27</v>
      </c>
      <c r="G13" s="11" t="s">
        <v>76</v>
      </c>
      <c r="H13" s="14" t="s">
        <v>77</v>
      </c>
      <c r="I13" s="11" t="s">
        <v>78</v>
      </c>
      <c r="J13" s="15" t="n">
        <v>1</v>
      </c>
      <c r="K13" s="5" t="n">
        <v>295887500</v>
      </c>
      <c r="L13" s="5" t="n">
        <v>295887500</v>
      </c>
      <c r="M13" s="16" t="n">
        <v>0.08</v>
      </c>
      <c r="N13" s="5" t="n">
        <f aca="false">ROUND(L13*M13,0)</f>
        <v>23671000</v>
      </c>
      <c r="O13" s="14" t="s">
        <v>79</v>
      </c>
    </row>
    <row r="14" customFormat="false" ht="15" hidden="false" customHeight="false" outlineLevel="0" collapsed="false">
      <c r="A14" s="11" t="n">
        <v>9</v>
      </c>
      <c r="B14" s="11" t="s">
        <v>16</v>
      </c>
      <c r="C14" s="11" t="s">
        <v>33</v>
      </c>
      <c r="D14" s="11" t="s">
        <v>80</v>
      </c>
      <c r="E14" s="11" t="s">
        <v>34</v>
      </c>
      <c r="F14" s="11" t="s">
        <v>35</v>
      </c>
      <c r="G14" s="11" t="s">
        <v>81</v>
      </c>
      <c r="H14" s="14" t="s">
        <v>82</v>
      </c>
      <c r="I14" s="11" t="s">
        <v>60</v>
      </c>
      <c r="J14" s="15" t="n">
        <v>1</v>
      </c>
      <c r="K14" s="5" t="n">
        <v>17731481.481</v>
      </c>
      <c r="L14" s="5" t="n">
        <v>17731481.48</v>
      </c>
      <c r="M14" s="16" t="n">
        <v>0.08</v>
      </c>
      <c r="N14" s="5" t="n">
        <f aca="false">ROUND(L14*M14,0)</f>
        <v>1418519</v>
      </c>
      <c r="O14" s="14"/>
    </row>
    <row r="15" customFormat="false" ht="15" hidden="false" customHeight="false" outlineLevel="0" collapsed="false">
      <c r="A15" s="12"/>
      <c r="B15" s="12"/>
      <c r="C15" s="12"/>
      <c r="D15" s="12"/>
      <c r="E15" s="12"/>
      <c r="F15" s="12"/>
      <c r="G15" s="12"/>
      <c r="H15" s="12" t="s">
        <v>18</v>
      </c>
      <c r="I15" s="12"/>
      <c r="J15" s="12"/>
      <c r="K15" s="12"/>
      <c r="L15" s="7" t="n">
        <f aca="false">SUM(L5:L14)</f>
        <v>356888582</v>
      </c>
      <c r="M15" s="12"/>
      <c r="N15" s="7" t="n">
        <f aca="false">SUM(N5:N14)</f>
        <v>28760411</v>
      </c>
      <c r="O1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32"/>
    <col collapsed="false" customWidth="true" hidden="false" outlineLevel="0" max="5" min="5" style="0" width="13"/>
    <col collapsed="false" customWidth="true" hidden="false" outlineLevel="0" max="6" min="6" style="0" width="10"/>
    <col collapsed="false" customWidth="true" hidden="false" outlineLevel="0" max="7" min="7" style="0" width="12"/>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5"/>
    <col collapsed="false" customWidth="true" hidden="false" outlineLevel="0" max="12" min="12" style="0" width="18"/>
    <col collapsed="false" customWidth="true" hidden="false" outlineLevel="0" max="13" min="13" style="0" width="9"/>
    <col collapsed="false" customWidth="true" hidden="false" outlineLevel="0" max="14" min="14" style="0" width="14"/>
    <col collapsed="false" customWidth="true" hidden="false" outlineLevel="0" max="15" min="15" style="0" width="28"/>
    <col collapsed="false" customWidth="true" hidden="false" outlineLevel="0" max="16" min="16" style="0" width="9"/>
    <col collapsed="false" customWidth="true" hidden="false" outlineLevel="0" max="17" min="17" style="0" width="55"/>
  </cols>
  <sheetData>
    <row r="1" customFormat="false" ht="15" hidden="false" customHeight="false" outlineLevel="0" collapsed="false">
      <c r="A1" s="13" t="s">
        <v>83</v>
      </c>
    </row>
    <row r="2" customFormat="false" ht="15" hidden="false" customHeight="false" outlineLevel="0" collapsed="false">
      <c r="A2" s="2" t="s">
        <v>84</v>
      </c>
    </row>
    <row r="4" customFormat="false" ht="31.5" hidden="false" customHeight="true" outlineLevel="0" collapsed="false">
      <c r="A4" s="3" t="s">
        <v>40</v>
      </c>
      <c r="B4" s="3" t="s">
        <v>2</v>
      </c>
      <c r="C4" s="3" t="s">
        <v>85</v>
      </c>
      <c r="D4" s="3" t="s">
        <v>86</v>
      </c>
      <c r="E4" s="3" t="s">
        <v>87</v>
      </c>
      <c r="F4" s="3" t="s">
        <v>23</v>
      </c>
      <c r="G4" s="3" t="s">
        <v>47</v>
      </c>
      <c r="H4" s="3" t="s">
        <v>49</v>
      </c>
      <c r="I4" s="3" t="s">
        <v>50</v>
      </c>
      <c r="J4" s="3" t="s">
        <v>51</v>
      </c>
      <c r="K4" s="3" t="s">
        <v>52</v>
      </c>
      <c r="L4" s="3" t="s">
        <v>53</v>
      </c>
      <c r="M4" s="3" t="s">
        <v>54</v>
      </c>
      <c r="N4" s="3" t="s">
        <v>55</v>
      </c>
      <c r="O4" s="3" t="s">
        <v>88</v>
      </c>
      <c r="P4" s="3" t="s">
        <v>89</v>
      </c>
      <c r="Q4" s="3" t="s">
        <v>56</v>
      </c>
    </row>
    <row r="5" customFormat="false" ht="15" hidden="false" customHeight="false" outlineLevel="0" collapsed="false">
      <c r="A5" s="11" t="n">
        <v>7</v>
      </c>
      <c r="B5" s="11" t="s">
        <v>14</v>
      </c>
      <c r="C5" s="11" t="s">
        <v>90</v>
      </c>
      <c r="D5" s="11" t="s">
        <v>91</v>
      </c>
      <c r="E5" s="11" t="s">
        <v>92</v>
      </c>
      <c r="F5" s="11" t="s">
        <v>93</v>
      </c>
      <c r="G5" s="11" t="s">
        <v>94</v>
      </c>
      <c r="H5" s="14" t="s">
        <v>95</v>
      </c>
      <c r="I5" s="11" t="s">
        <v>96</v>
      </c>
      <c r="J5" s="15" t="n">
        <v>1</v>
      </c>
      <c r="K5" s="5" t="n">
        <v>2000000</v>
      </c>
      <c r="L5" s="5" t="n">
        <v>2000000</v>
      </c>
      <c r="M5" s="16" t="n">
        <v>0.08</v>
      </c>
      <c r="N5" s="5" t="n">
        <f aca="false">ROUND(L5*M5,0)</f>
        <v>160000</v>
      </c>
      <c r="O5" s="11" t="s">
        <v>9</v>
      </c>
      <c r="P5" s="11" t="s">
        <v>97</v>
      </c>
      <c r="Q5" s="14"/>
    </row>
    <row r="6" customFormat="false" ht="15" hidden="false" customHeight="false" outlineLevel="0" collapsed="false">
      <c r="A6" s="11" t="n">
        <v>7</v>
      </c>
      <c r="B6" s="11" t="s">
        <v>14</v>
      </c>
      <c r="C6" s="11" t="s">
        <v>90</v>
      </c>
      <c r="D6" s="11" t="s">
        <v>98</v>
      </c>
      <c r="E6" s="11" t="s">
        <v>99</v>
      </c>
      <c r="F6" s="11" t="s">
        <v>100</v>
      </c>
      <c r="G6" s="11" t="s">
        <v>101</v>
      </c>
      <c r="H6" s="14" t="s">
        <v>102</v>
      </c>
      <c r="I6" s="11" t="s">
        <v>103</v>
      </c>
      <c r="J6" s="15" t="n">
        <v>300</v>
      </c>
      <c r="K6" s="5" t="n">
        <v>5600</v>
      </c>
      <c r="L6" s="5" t="n">
        <v>1680000</v>
      </c>
      <c r="M6" s="16" t="n">
        <v>0.08</v>
      </c>
      <c r="N6" s="5" t="n">
        <f aca="false">ROUND(L6*M6,0)</f>
        <v>134400</v>
      </c>
      <c r="O6" s="11" t="s">
        <v>5</v>
      </c>
      <c r="P6" s="11" t="s">
        <v>97</v>
      </c>
      <c r="Q6" s="14" t="s">
        <v>104</v>
      </c>
    </row>
    <row r="7" customFormat="false" ht="15" hidden="false" customHeight="false" outlineLevel="0" collapsed="false">
      <c r="A7" s="11" t="n">
        <v>7</v>
      </c>
      <c r="B7" s="11" t="s">
        <v>14</v>
      </c>
      <c r="C7" s="11" t="s">
        <v>90</v>
      </c>
      <c r="D7" s="11" t="s">
        <v>98</v>
      </c>
      <c r="E7" s="11" t="s">
        <v>99</v>
      </c>
      <c r="F7" s="11" t="s">
        <v>100</v>
      </c>
      <c r="G7" s="11" t="s">
        <v>101</v>
      </c>
      <c r="H7" s="14" t="s">
        <v>105</v>
      </c>
      <c r="I7" s="11" t="s">
        <v>106</v>
      </c>
      <c r="J7" s="15" t="n">
        <v>36</v>
      </c>
      <c r="K7" s="5" t="n">
        <v>590000</v>
      </c>
      <c r="L7" s="5" t="n">
        <v>21240000</v>
      </c>
      <c r="M7" s="16" t="n">
        <v>0.08</v>
      </c>
      <c r="N7" s="5" t="n">
        <f aca="false">ROUND(L7*M7,0)</f>
        <v>1699200</v>
      </c>
      <c r="O7" s="11" t="s">
        <v>4</v>
      </c>
      <c r="P7" s="11" t="s">
        <v>97</v>
      </c>
      <c r="Q7" s="14"/>
    </row>
    <row r="8" customFormat="false" ht="15" hidden="false" customHeight="false" outlineLevel="0" collapsed="false">
      <c r="A8" s="11" t="n">
        <v>8</v>
      </c>
      <c r="B8" s="11" t="s">
        <v>14</v>
      </c>
      <c r="C8" s="11" t="s">
        <v>107</v>
      </c>
      <c r="D8" s="11" t="s">
        <v>98</v>
      </c>
      <c r="E8" s="11" t="s">
        <v>99</v>
      </c>
      <c r="F8" s="11" t="s">
        <v>108</v>
      </c>
      <c r="G8" s="11" t="s">
        <v>109</v>
      </c>
      <c r="H8" s="14" t="s">
        <v>102</v>
      </c>
      <c r="I8" s="11" t="s">
        <v>103</v>
      </c>
      <c r="J8" s="15" t="n">
        <v>400</v>
      </c>
      <c r="K8" s="5" t="n">
        <v>5600</v>
      </c>
      <c r="L8" s="5" t="n">
        <v>2240000</v>
      </c>
      <c r="M8" s="16" t="n">
        <v>0.08</v>
      </c>
      <c r="N8" s="5" t="n">
        <f aca="false">ROUND(L8*M8,0)</f>
        <v>179200</v>
      </c>
      <c r="O8" s="11" t="s">
        <v>5</v>
      </c>
      <c r="P8" s="11" t="s">
        <v>97</v>
      </c>
      <c r="Q8" s="14"/>
    </row>
    <row r="9" customFormat="false" ht="15" hidden="false" customHeight="false" outlineLevel="0" collapsed="false">
      <c r="A9" s="11" t="n">
        <v>8</v>
      </c>
      <c r="B9" s="11" t="s">
        <v>14</v>
      </c>
      <c r="C9" s="11" t="s">
        <v>107</v>
      </c>
      <c r="D9" s="11" t="s">
        <v>98</v>
      </c>
      <c r="E9" s="11" t="s">
        <v>99</v>
      </c>
      <c r="F9" s="11" t="s">
        <v>108</v>
      </c>
      <c r="G9" s="11" t="s">
        <v>109</v>
      </c>
      <c r="H9" s="14" t="s">
        <v>105</v>
      </c>
      <c r="I9" s="11" t="s">
        <v>106</v>
      </c>
      <c r="J9" s="15" t="n">
        <v>11</v>
      </c>
      <c r="K9" s="5" t="n">
        <v>590000</v>
      </c>
      <c r="L9" s="5" t="n">
        <v>6490000</v>
      </c>
      <c r="M9" s="16" t="n">
        <v>0.08</v>
      </c>
      <c r="N9" s="5" t="n">
        <f aca="false">ROUND(L9*M9,0)</f>
        <v>519200</v>
      </c>
      <c r="O9" s="11" t="s">
        <v>4</v>
      </c>
      <c r="P9" s="11" t="s">
        <v>97</v>
      </c>
      <c r="Q9" s="14"/>
    </row>
    <row r="10" customFormat="false" ht="15" hidden="false" customHeight="false" outlineLevel="0" collapsed="false">
      <c r="A10" s="11" t="n">
        <v>8</v>
      </c>
      <c r="B10" s="11" t="s">
        <v>14</v>
      </c>
      <c r="C10" s="11" t="s">
        <v>107</v>
      </c>
      <c r="D10" s="11" t="s">
        <v>98</v>
      </c>
      <c r="E10" s="11" t="s">
        <v>99</v>
      </c>
      <c r="F10" s="11" t="s">
        <v>110</v>
      </c>
      <c r="G10" s="11" t="s">
        <v>111</v>
      </c>
      <c r="H10" s="14" t="s">
        <v>102</v>
      </c>
      <c r="I10" s="11" t="s">
        <v>103</v>
      </c>
      <c r="J10" s="15" t="n">
        <v>50</v>
      </c>
      <c r="K10" s="5" t="n">
        <v>6400</v>
      </c>
      <c r="L10" s="5" t="n">
        <v>320000</v>
      </c>
      <c r="M10" s="16" t="n">
        <v>0.08</v>
      </c>
      <c r="N10" s="5" t="n">
        <f aca="false">ROUND(L10*M10,0)</f>
        <v>25600</v>
      </c>
      <c r="O10" s="11" t="s">
        <v>5</v>
      </c>
      <c r="P10" s="11" t="s">
        <v>97</v>
      </c>
      <c r="Q10" s="14"/>
    </row>
    <row r="11" customFormat="false" ht="15" hidden="false" customHeight="false" outlineLevel="0" collapsed="false">
      <c r="A11" s="11" t="n">
        <v>8</v>
      </c>
      <c r="B11" s="11" t="s">
        <v>14</v>
      </c>
      <c r="C11" s="11" t="s">
        <v>107</v>
      </c>
      <c r="D11" s="11" t="s">
        <v>98</v>
      </c>
      <c r="E11" s="11" t="s">
        <v>99</v>
      </c>
      <c r="F11" s="11" t="s">
        <v>110</v>
      </c>
      <c r="G11" s="11" t="s">
        <v>111</v>
      </c>
      <c r="H11" s="14" t="s">
        <v>112</v>
      </c>
      <c r="I11" s="11" t="s">
        <v>103</v>
      </c>
      <c r="J11" s="15" t="n">
        <v>100</v>
      </c>
      <c r="K11" s="5" t="n">
        <v>3200</v>
      </c>
      <c r="L11" s="5" t="n">
        <v>320000</v>
      </c>
      <c r="M11" s="16" t="n">
        <v>0.08</v>
      </c>
      <c r="N11" s="5" t="n">
        <f aca="false">ROUND(L11*M11,0)</f>
        <v>25600</v>
      </c>
      <c r="O11" s="11" t="s">
        <v>5</v>
      </c>
      <c r="P11" s="11" t="s">
        <v>97</v>
      </c>
      <c r="Q11" s="14"/>
    </row>
    <row r="12" customFormat="false" ht="15" hidden="false" customHeight="false" outlineLevel="0" collapsed="false">
      <c r="A12" s="11" t="n">
        <v>8</v>
      </c>
      <c r="B12" s="11" t="s">
        <v>14</v>
      </c>
      <c r="C12" s="11" t="s">
        <v>107</v>
      </c>
      <c r="D12" s="11" t="s">
        <v>98</v>
      </c>
      <c r="E12" s="11" t="s">
        <v>99</v>
      </c>
      <c r="F12" s="11" t="s">
        <v>110</v>
      </c>
      <c r="G12" s="11" t="s">
        <v>111</v>
      </c>
      <c r="H12" s="14" t="s">
        <v>113</v>
      </c>
      <c r="I12" s="11" t="s">
        <v>103</v>
      </c>
      <c r="J12" s="15" t="n">
        <v>100</v>
      </c>
      <c r="K12" s="5" t="n">
        <v>3700</v>
      </c>
      <c r="L12" s="5" t="n">
        <v>370000</v>
      </c>
      <c r="M12" s="16" t="n">
        <v>0.08</v>
      </c>
      <c r="N12" s="5" t="n">
        <f aca="false">ROUND(L12*M12,0)</f>
        <v>29600</v>
      </c>
      <c r="O12" s="11" t="s">
        <v>5</v>
      </c>
      <c r="P12" s="11" t="s">
        <v>97</v>
      </c>
      <c r="Q12" s="14"/>
    </row>
    <row r="13" customFormat="false" ht="15" hidden="false" customHeight="false" outlineLevel="0" collapsed="false">
      <c r="A13" s="11" t="n">
        <v>8</v>
      </c>
      <c r="B13" s="11" t="s">
        <v>14</v>
      </c>
      <c r="C13" s="11" t="s">
        <v>107</v>
      </c>
      <c r="D13" s="11" t="s">
        <v>98</v>
      </c>
      <c r="E13" s="11" t="s">
        <v>99</v>
      </c>
      <c r="F13" s="11" t="s">
        <v>110</v>
      </c>
      <c r="G13" s="11" t="s">
        <v>111</v>
      </c>
      <c r="H13" s="14" t="s">
        <v>114</v>
      </c>
      <c r="I13" s="11" t="s">
        <v>106</v>
      </c>
      <c r="J13" s="15" t="n">
        <v>6</v>
      </c>
      <c r="K13" s="5" t="n">
        <v>810000</v>
      </c>
      <c r="L13" s="5" t="n">
        <v>4860000</v>
      </c>
      <c r="M13" s="16" t="n">
        <v>0.08</v>
      </c>
      <c r="N13" s="5" t="n">
        <f aca="false">ROUND(L13*M13,0)</f>
        <v>388800</v>
      </c>
      <c r="O13" s="11" t="s">
        <v>4</v>
      </c>
      <c r="P13" s="11" t="s">
        <v>97</v>
      </c>
      <c r="Q13" s="14"/>
    </row>
    <row r="14" customFormat="false" ht="15" hidden="false" customHeight="false" outlineLevel="0" collapsed="false">
      <c r="A14" s="11" t="n">
        <v>8</v>
      </c>
      <c r="B14" s="11" t="s">
        <v>14</v>
      </c>
      <c r="C14" s="11" t="s">
        <v>107</v>
      </c>
      <c r="D14" s="11" t="s">
        <v>98</v>
      </c>
      <c r="E14" s="11" t="s">
        <v>99</v>
      </c>
      <c r="F14" s="11" t="s">
        <v>115</v>
      </c>
      <c r="G14" s="11" t="s">
        <v>116</v>
      </c>
      <c r="H14" s="14" t="s">
        <v>102</v>
      </c>
      <c r="I14" s="11" t="s">
        <v>103</v>
      </c>
      <c r="J14" s="15" t="n">
        <v>100</v>
      </c>
      <c r="K14" s="5" t="n">
        <v>5600</v>
      </c>
      <c r="L14" s="5" t="n">
        <v>560000</v>
      </c>
      <c r="M14" s="16" t="n">
        <v>0.08</v>
      </c>
      <c r="N14" s="5" t="n">
        <f aca="false">ROUND(L14*M14,0)</f>
        <v>44800</v>
      </c>
      <c r="O14" s="11" t="s">
        <v>5</v>
      </c>
      <c r="P14" s="11" t="s">
        <v>97</v>
      </c>
      <c r="Q14" s="14"/>
    </row>
    <row r="15" customFormat="false" ht="15" hidden="false" customHeight="false" outlineLevel="0" collapsed="false">
      <c r="A15" s="11" t="n">
        <v>8</v>
      </c>
      <c r="B15" s="11" t="s">
        <v>14</v>
      </c>
      <c r="C15" s="11" t="s">
        <v>107</v>
      </c>
      <c r="D15" s="11" t="s">
        <v>98</v>
      </c>
      <c r="E15" s="11" t="s">
        <v>99</v>
      </c>
      <c r="F15" s="11" t="s">
        <v>117</v>
      </c>
      <c r="G15" s="11" t="s">
        <v>118</v>
      </c>
      <c r="H15" s="14" t="s">
        <v>119</v>
      </c>
      <c r="I15" s="11" t="s">
        <v>106</v>
      </c>
      <c r="J15" s="15" t="n">
        <v>5</v>
      </c>
      <c r="K15" s="5" t="n">
        <v>815000</v>
      </c>
      <c r="L15" s="5" t="n">
        <v>4075000</v>
      </c>
      <c r="M15" s="16" t="n">
        <v>0.08</v>
      </c>
      <c r="N15" s="5" t="n">
        <f aca="false">ROUND(L15*M15,0)</f>
        <v>326000</v>
      </c>
      <c r="O15" s="11" t="s">
        <v>4</v>
      </c>
      <c r="P15" s="11" t="s">
        <v>97</v>
      </c>
      <c r="Q15" s="14"/>
    </row>
    <row r="16" customFormat="false" ht="15" hidden="false" customHeight="false" outlineLevel="0" collapsed="false">
      <c r="A16" s="11" t="n">
        <v>8</v>
      </c>
      <c r="B16" s="11" t="s">
        <v>14</v>
      </c>
      <c r="C16" s="11" t="s">
        <v>107</v>
      </c>
      <c r="D16" s="11" t="s">
        <v>98</v>
      </c>
      <c r="E16" s="11" t="s">
        <v>99</v>
      </c>
      <c r="F16" s="11" t="s">
        <v>120</v>
      </c>
      <c r="G16" s="11" t="s">
        <v>121</v>
      </c>
      <c r="H16" s="14" t="s">
        <v>102</v>
      </c>
      <c r="I16" s="11" t="s">
        <v>103</v>
      </c>
      <c r="J16" s="15" t="n">
        <v>100</v>
      </c>
      <c r="K16" s="5" t="n">
        <v>5600</v>
      </c>
      <c r="L16" s="5" t="n">
        <v>560000</v>
      </c>
      <c r="M16" s="16" t="n">
        <v>0.08</v>
      </c>
      <c r="N16" s="5" t="n">
        <f aca="false">ROUND(L16*M16,0)</f>
        <v>44800</v>
      </c>
      <c r="O16" s="11" t="s">
        <v>5</v>
      </c>
      <c r="P16" s="11" t="s">
        <v>97</v>
      </c>
      <c r="Q16" s="14"/>
    </row>
    <row r="17" customFormat="false" ht="15" hidden="false" customHeight="false" outlineLevel="0" collapsed="false">
      <c r="A17" s="11" t="n">
        <v>8</v>
      </c>
      <c r="B17" s="11" t="s">
        <v>14</v>
      </c>
      <c r="C17" s="11" t="s">
        <v>107</v>
      </c>
      <c r="D17" s="11" t="s">
        <v>98</v>
      </c>
      <c r="E17" s="11" t="s">
        <v>99</v>
      </c>
      <c r="F17" s="11" t="s">
        <v>122</v>
      </c>
      <c r="G17" s="11" t="s">
        <v>123</v>
      </c>
      <c r="H17" s="14" t="s">
        <v>124</v>
      </c>
      <c r="I17" s="11" t="s">
        <v>106</v>
      </c>
      <c r="J17" s="15" t="n">
        <v>2</v>
      </c>
      <c r="K17" s="5" t="n">
        <v>480000</v>
      </c>
      <c r="L17" s="5" t="n">
        <v>960000</v>
      </c>
      <c r="M17" s="16" t="n">
        <v>0.08</v>
      </c>
      <c r="N17" s="5" t="n">
        <f aca="false">ROUND(L17*M17,0)</f>
        <v>76800</v>
      </c>
      <c r="O17" s="11" t="s">
        <v>4</v>
      </c>
      <c r="P17" s="11" t="s">
        <v>97</v>
      </c>
      <c r="Q17" s="14"/>
    </row>
    <row r="18" customFormat="false" ht="15" hidden="false" customHeight="false" outlineLevel="0" collapsed="false">
      <c r="A18" s="11" t="n">
        <v>8</v>
      </c>
      <c r="B18" s="11" t="s">
        <v>14</v>
      </c>
      <c r="C18" s="11" t="s">
        <v>107</v>
      </c>
      <c r="D18" s="11" t="s">
        <v>98</v>
      </c>
      <c r="E18" s="11" t="s">
        <v>99</v>
      </c>
      <c r="F18" s="11" t="s">
        <v>122</v>
      </c>
      <c r="G18" s="11" t="s">
        <v>123</v>
      </c>
      <c r="H18" s="14" t="s">
        <v>125</v>
      </c>
      <c r="I18" s="11" t="s">
        <v>106</v>
      </c>
      <c r="J18" s="15" t="n">
        <v>2</v>
      </c>
      <c r="K18" s="5" t="n">
        <v>480000</v>
      </c>
      <c r="L18" s="5" t="n">
        <v>960000</v>
      </c>
      <c r="M18" s="16" t="n">
        <v>0.08</v>
      </c>
      <c r="N18" s="5" t="n">
        <f aca="false">ROUND(L18*M18,0)</f>
        <v>76800</v>
      </c>
      <c r="O18" s="11" t="s">
        <v>4</v>
      </c>
      <c r="P18" s="11" t="s">
        <v>97</v>
      </c>
      <c r="Q18" s="14"/>
    </row>
    <row r="19" customFormat="false" ht="15" hidden="false" customHeight="false" outlineLevel="0" collapsed="false">
      <c r="A19" s="11" t="n">
        <v>8</v>
      </c>
      <c r="B19" s="11" t="s">
        <v>14</v>
      </c>
      <c r="C19" s="11" t="s">
        <v>107</v>
      </c>
      <c r="D19" s="11" t="s">
        <v>98</v>
      </c>
      <c r="E19" s="11" t="s">
        <v>99</v>
      </c>
      <c r="F19" s="11" t="s">
        <v>122</v>
      </c>
      <c r="G19" s="11" t="s">
        <v>123</v>
      </c>
      <c r="H19" s="14" t="s">
        <v>126</v>
      </c>
      <c r="I19" s="11" t="s">
        <v>106</v>
      </c>
      <c r="J19" s="15" t="n">
        <v>2</v>
      </c>
      <c r="K19" s="5" t="n">
        <v>480000</v>
      </c>
      <c r="L19" s="5" t="n">
        <v>960000</v>
      </c>
      <c r="M19" s="16" t="n">
        <v>0.08</v>
      </c>
      <c r="N19" s="5" t="n">
        <f aca="false">ROUND(L19*M19,0)</f>
        <v>76800</v>
      </c>
      <c r="O19" s="11" t="s">
        <v>4</v>
      </c>
      <c r="P19" s="11" t="s">
        <v>97</v>
      </c>
      <c r="Q19" s="14"/>
    </row>
    <row r="20" customFormat="false" ht="15" hidden="false" customHeight="false" outlineLevel="0" collapsed="false">
      <c r="A20" s="11" t="n">
        <v>8</v>
      </c>
      <c r="B20" s="11" t="s">
        <v>14</v>
      </c>
      <c r="C20" s="11" t="s">
        <v>107</v>
      </c>
      <c r="D20" s="11" t="s">
        <v>98</v>
      </c>
      <c r="E20" s="11" t="s">
        <v>99</v>
      </c>
      <c r="F20" s="11" t="s">
        <v>127</v>
      </c>
      <c r="G20" s="11" t="s">
        <v>128</v>
      </c>
      <c r="H20" s="14" t="s">
        <v>113</v>
      </c>
      <c r="I20" s="11" t="s">
        <v>103</v>
      </c>
      <c r="J20" s="15" t="n">
        <v>100</v>
      </c>
      <c r="K20" s="5" t="n">
        <v>3700</v>
      </c>
      <c r="L20" s="5" t="n">
        <v>370000</v>
      </c>
      <c r="M20" s="16" t="n">
        <v>0.08</v>
      </c>
      <c r="N20" s="5" t="n">
        <f aca="false">ROUND(L20*M20,0)</f>
        <v>29600</v>
      </c>
      <c r="O20" s="11" t="s">
        <v>5</v>
      </c>
      <c r="P20" s="11" t="s">
        <v>97</v>
      </c>
      <c r="Q20" s="14"/>
    </row>
    <row r="21" customFormat="false" ht="15" hidden="false" customHeight="false" outlineLevel="0" collapsed="false">
      <c r="A21" s="11" t="n">
        <v>8</v>
      </c>
      <c r="B21" s="11" t="s">
        <v>14</v>
      </c>
      <c r="C21" s="11" t="s">
        <v>107</v>
      </c>
      <c r="D21" s="11" t="s">
        <v>129</v>
      </c>
      <c r="E21" s="11" t="s">
        <v>130</v>
      </c>
      <c r="F21" s="11" t="s">
        <v>131</v>
      </c>
      <c r="G21" s="11" t="s">
        <v>132</v>
      </c>
      <c r="H21" s="14" t="s">
        <v>133</v>
      </c>
      <c r="I21" s="11" t="s">
        <v>106</v>
      </c>
      <c r="J21" s="15" t="n">
        <v>6</v>
      </c>
      <c r="K21" s="5" t="n">
        <v>392000</v>
      </c>
      <c r="L21" s="5" t="n">
        <v>2352000</v>
      </c>
      <c r="M21" s="16" t="n">
        <v>0.08</v>
      </c>
      <c r="N21" s="5" t="n">
        <f aca="false">ROUND(L21*M21,0)</f>
        <v>188160</v>
      </c>
      <c r="O21" s="11" t="s">
        <v>4</v>
      </c>
      <c r="P21" s="11" t="s">
        <v>97</v>
      </c>
      <c r="Q21" s="14"/>
    </row>
    <row r="22" customFormat="false" ht="15" hidden="false" customHeight="false" outlineLevel="0" collapsed="false">
      <c r="A22" s="11" t="n">
        <v>8</v>
      </c>
      <c r="B22" s="11" t="s">
        <v>14</v>
      </c>
      <c r="C22" s="11" t="s">
        <v>107</v>
      </c>
      <c r="D22" s="11" t="s">
        <v>129</v>
      </c>
      <c r="E22" s="11" t="s">
        <v>130</v>
      </c>
      <c r="F22" s="11" t="s">
        <v>131</v>
      </c>
      <c r="G22" s="11" t="s">
        <v>132</v>
      </c>
      <c r="H22" s="14" t="s">
        <v>134</v>
      </c>
      <c r="I22" s="11" t="s">
        <v>103</v>
      </c>
      <c r="J22" s="15" t="n">
        <v>100</v>
      </c>
      <c r="K22" s="5" t="n">
        <v>1400</v>
      </c>
      <c r="L22" s="5" t="n">
        <v>140000</v>
      </c>
      <c r="M22" s="16" t="n">
        <v>0.08</v>
      </c>
      <c r="N22" s="5" t="n">
        <f aca="false">ROUND(L22*M22,0)</f>
        <v>11200</v>
      </c>
      <c r="O22" s="11" t="s">
        <v>5</v>
      </c>
      <c r="P22" s="11" t="s">
        <v>97</v>
      </c>
      <c r="Q22" s="14"/>
    </row>
    <row r="23" customFormat="false" ht="15" hidden="false" customHeight="false" outlineLevel="0" collapsed="false">
      <c r="A23" s="11" t="n">
        <v>8</v>
      </c>
      <c r="B23" s="11" t="s">
        <v>14</v>
      </c>
      <c r="C23" s="11" t="s">
        <v>107</v>
      </c>
      <c r="D23" s="11" t="s">
        <v>129</v>
      </c>
      <c r="E23" s="11" t="s">
        <v>130</v>
      </c>
      <c r="F23" s="11" t="s">
        <v>131</v>
      </c>
      <c r="G23" s="11" t="s">
        <v>132</v>
      </c>
      <c r="H23" s="14" t="s">
        <v>135</v>
      </c>
      <c r="I23" s="11" t="s">
        <v>103</v>
      </c>
      <c r="J23" s="15" t="n">
        <v>400</v>
      </c>
      <c r="K23" s="5" t="n">
        <v>1150</v>
      </c>
      <c r="L23" s="5" t="n">
        <v>460000</v>
      </c>
      <c r="M23" s="16" t="n">
        <v>0.08</v>
      </c>
      <c r="N23" s="5" t="n">
        <f aca="false">ROUND(L23*M23,0)</f>
        <v>36800</v>
      </c>
      <c r="O23" s="11" t="s">
        <v>5</v>
      </c>
      <c r="P23" s="11" t="s">
        <v>97</v>
      </c>
      <c r="Q23" s="14"/>
    </row>
    <row r="24" customFormat="false" ht="23.85" hidden="false" customHeight="false" outlineLevel="0" collapsed="false">
      <c r="A24" s="11" t="n">
        <v>8</v>
      </c>
      <c r="B24" s="11" t="s">
        <v>14</v>
      </c>
      <c r="C24" s="11" t="s">
        <v>107</v>
      </c>
      <c r="D24" s="11" t="s">
        <v>136</v>
      </c>
      <c r="E24" s="11" t="s">
        <v>137</v>
      </c>
      <c r="F24" s="11" t="s">
        <v>138</v>
      </c>
      <c r="G24" s="11" t="s">
        <v>139</v>
      </c>
      <c r="H24" s="14" t="s">
        <v>140</v>
      </c>
      <c r="I24" s="11" t="s">
        <v>96</v>
      </c>
      <c r="J24" s="15" t="n">
        <v>1</v>
      </c>
      <c r="K24" s="5" t="n">
        <v>791667</v>
      </c>
      <c r="L24" s="5" t="n">
        <v>791667</v>
      </c>
      <c r="M24" s="16" t="n">
        <v>0.08</v>
      </c>
      <c r="N24" s="5" t="n">
        <f aca="false">ROUND(L24*M24,0)</f>
        <v>63333</v>
      </c>
      <c r="O24" s="11" t="s">
        <v>9</v>
      </c>
      <c r="P24" s="11" t="s">
        <v>97</v>
      </c>
      <c r="Q24" s="14" t="s">
        <v>141</v>
      </c>
    </row>
    <row r="25" customFormat="false" ht="23.85" hidden="false" customHeight="false" outlineLevel="0" collapsed="false">
      <c r="A25" s="11" t="n">
        <v>9</v>
      </c>
      <c r="B25" s="11" t="s">
        <v>14</v>
      </c>
      <c r="C25" s="11" t="s">
        <v>142</v>
      </c>
      <c r="D25" s="11" t="s">
        <v>143</v>
      </c>
      <c r="E25" s="11" t="s">
        <v>137</v>
      </c>
      <c r="F25" s="11" t="s">
        <v>144</v>
      </c>
      <c r="G25" s="11" t="s">
        <v>145</v>
      </c>
      <c r="H25" s="14" t="s">
        <v>146</v>
      </c>
      <c r="I25" s="11" t="s">
        <v>96</v>
      </c>
      <c r="J25" s="15" t="n">
        <v>1</v>
      </c>
      <c r="K25" s="5" t="n">
        <v>625000</v>
      </c>
      <c r="L25" s="5" t="n">
        <v>625000</v>
      </c>
      <c r="M25" s="16" t="n">
        <v>0.08</v>
      </c>
      <c r="N25" s="5" t="n">
        <f aca="false">ROUND(L25*M25,0)</f>
        <v>50000</v>
      </c>
      <c r="O25" s="11" t="s">
        <v>9</v>
      </c>
      <c r="P25" s="11" t="s">
        <v>97</v>
      </c>
      <c r="Q25" s="14"/>
    </row>
    <row r="26" customFormat="false" ht="15" hidden="false" customHeight="false" outlineLevel="0" collapsed="false">
      <c r="A26" s="11" t="n">
        <v>9</v>
      </c>
      <c r="B26" s="11" t="s">
        <v>14</v>
      </c>
      <c r="C26" s="11" t="s">
        <v>142</v>
      </c>
      <c r="D26" s="11" t="s">
        <v>147</v>
      </c>
      <c r="E26" s="11" t="s">
        <v>148</v>
      </c>
      <c r="F26" s="11" t="s">
        <v>149</v>
      </c>
      <c r="G26" s="11" t="s">
        <v>150</v>
      </c>
      <c r="H26" s="14" t="s">
        <v>151</v>
      </c>
      <c r="I26" s="11" t="s">
        <v>106</v>
      </c>
      <c r="J26" s="15" t="n">
        <v>37</v>
      </c>
      <c r="K26" s="5" t="n">
        <v>420395.81</v>
      </c>
      <c r="L26" s="5" t="n">
        <v>15554645</v>
      </c>
      <c r="M26" s="16" t="n">
        <v>0.08</v>
      </c>
      <c r="N26" s="5" t="n">
        <f aca="false">ROUND(L26*M26,0)</f>
        <v>1244372</v>
      </c>
      <c r="O26" s="11" t="s">
        <v>4</v>
      </c>
      <c r="P26" s="11" t="s">
        <v>97</v>
      </c>
      <c r="Q26" s="14"/>
    </row>
    <row r="27" customFormat="false" ht="15" hidden="false" customHeight="false" outlineLevel="0" collapsed="false">
      <c r="A27" s="11" t="n">
        <v>9</v>
      </c>
      <c r="B27" s="11" t="s">
        <v>14</v>
      </c>
      <c r="C27" s="11" t="s">
        <v>142</v>
      </c>
      <c r="D27" s="11" t="s">
        <v>147</v>
      </c>
      <c r="E27" s="11" t="s">
        <v>148</v>
      </c>
      <c r="F27" s="11" t="s">
        <v>149</v>
      </c>
      <c r="G27" s="11" t="s">
        <v>150</v>
      </c>
      <c r="H27" s="14" t="s">
        <v>152</v>
      </c>
      <c r="I27" s="11" t="s">
        <v>106</v>
      </c>
      <c r="J27" s="15" t="n">
        <v>28</v>
      </c>
      <c r="K27" s="5" t="n">
        <v>312618.76</v>
      </c>
      <c r="L27" s="5" t="n">
        <v>8753325</v>
      </c>
      <c r="M27" s="16" t="n">
        <v>0.08</v>
      </c>
      <c r="N27" s="5" t="n">
        <f aca="false">ROUND(L27*M27,0)</f>
        <v>700266</v>
      </c>
      <c r="O27" s="11" t="s">
        <v>4</v>
      </c>
      <c r="P27" s="11" t="s">
        <v>97</v>
      </c>
      <c r="Q27" s="14"/>
    </row>
    <row r="28" customFormat="false" ht="15" hidden="false" customHeight="false" outlineLevel="0" collapsed="false">
      <c r="A28" s="11" t="n">
        <v>9</v>
      </c>
      <c r="B28" s="11" t="s">
        <v>14</v>
      </c>
      <c r="C28" s="11" t="s">
        <v>142</v>
      </c>
      <c r="D28" s="11" t="s">
        <v>147</v>
      </c>
      <c r="E28" s="11" t="s">
        <v>148</v>
      </c>
      <c r="F28" s="11" t="s">
        <v>149</v>
      </c>
      <c r="G28" s="11" t="s">
        <v>150</v>
      </c>
      <c r="H28" s="14" t="s">
        <v>153</v>
      </c>
      <c r="I28" s="11" t="s">
        <v>106</v>
      </c>
      <c r="J28" s="15" t="n">
        <v>30</v>
      </c>
      <c r="K28" s="5" t="n">
        <v>283264.42</v>
      </c>
      <c r="L28" s="5" t="n">
        <v>8497933</v>
      </c>
      <c r="M28" s="16" t="n">
        <v>0.08</v>
      </c>
      <c r="N28" s="5" t="n">
        <f aca="false">ROUND(L28*M28,0)</f>
        <v>679835</v>
      </c>
      <c r="O28" s="11" t="s">
        <v>4</v>
      </c>
      <c r="P28" s="11" t="s">
        <v>97</v>
      </c>
      <c r="Q28" s="14"/>
    </row>
    <row r="29" customFormat="false" ht="15" hidden="false" customHeight="false" outlineLevel="0" collapsed="false">
      <c r="A29" s="11" t="n">
        <v>9</v>
      </c>
      <c r="B29" s="11" t="s">
        <v>14</v>
      </c>
      <c r="C29" s="11" t="s">
        <v>142</v>
      </c>
      <c r="D29" s="11" t="s">
        <v>147</v>
      </c>
      <c r="E29" s="11" t="s">
        <v>148</v>
      </c>
      <c r="F29" s="11" t="s">
        <v>149</v>
      </c>
      <c r="G29" s="11" t="s">
        <v>150</v>
      </c>
      <c r="H29" s="14" t="s">
        <v>154</v>
      </c>
      <c r="I29" s="11" t="s">
        <v>106</v>
      </c>
      <c r="J29" s="15" t="n">
        <v>40</v>
      </c>
      <c r="K29" s="5" t="n">
        <v>156441.91</v>
      </c>
      <c r="L29" s="5" t="n">
        <v>6257676</v>
      </c>
      <c r="M29" s="16" t="n">
        <v>0.08</v>
      </c>
      <c r="N29" s="5" t="n">
        <f aca="false">ROUND(L29*M29,0)</f>
        <v>500614</v>
      </c>
      <c r="O29" s="11" t="s">
        <v>4</v>
      </c>
      <c r="P29" s="11" t="s">
        <v>97</v>
      </c>
      <c r="Q29" s="14"/>
    </row>
    <row r="30" customFormat="false" ht="15" hidden="false" customHeight="false" outlineLevel="0" collapsed="false">
      <c r="A30" s="11" t="n">
        <v>9</v>
      </c>
      <c r="B30" s="11" t="s">
        <v>14</v>
      </c>
      <c r="C30" s="11" t="s">
        <v>142</v>
      </c>
      <c r="D30" s="11" t="s">
        <v>147</v>
      </c>
      <c r="E30" s="11" t="s">
        <v>148</v>
      </c>
      <c r="F30" s="11" t="s">
        <v>149</v>
      </c>
      <c r="G30" s="11" t="s">
        <v>150</v>
      </c>
      <c r="H30" s="14" t="s">
        <v>155</v>
      </c>
      <c r="I30" s="11" t="s">
        <v>156</v>
      </c>
      <c r="J30" s="15" t="n">
        <v>21</v>
      </c>
      <c r="K30" s="5" t="n">
        <v>87652.64</v>
      </c>
      <c r="L30" s="5" t="n">
        <v>1840705</v>
      </c>
      <c r="M30" s="16" t="n">
        <v>0.08</v>
      </c>
      <c r="N30" s="5" t="n">
        <f aca="false">ROUND(L30*M30,0)</f>
        <v>147256</v>
      </c>
      <c r="O30" s="11" t="s">
        <v>5</v>
      </c>
      <c r="P30" s="11" t="s">
        <v>97</v>
      </c>
      <c r="Q30" s="14"/>
    </row>
    <row r="31" customFormat="false" ht="15" hidden="false" customHeight="false" outlineLevel="0" collapsed="false">
      <c r="A31" s="11" t="n">
        <v>9</v>
      </c>
      <c r="B31" s="11" t="s">
        <v>14</v>
      </c>
      <c r="C31" s="11" t="s">
        <v>142</v>
      </c>
      <c r="D31" s="11" t="s">
        <v>147</v>
      </c>
      <c r="E31" s="11" t="s">
        <v>148</v>
      </c>
      <c r="F31" s="11" t="s">
        <v>149</v>
      </c>
      <c r="G31" s="11" t="s">
        <v>150</v>
      </c>
      <c r="H31" s="14" t="s">
        <v>157</v>
      </c>
      <c r="I31" s="11" t="s">
        <v>156</v>
      </c>
      <c r="J31" s="15" t="n">
        <v>10</v>
      </c>
      <c r="K31" s="5" t="n">
        <v>174293.79</v>
      </c>
      <c r="L31" s="5" t="n">
        <v>1742938</v>
      </c>
      <c r="M31" s="16" t="n">
        <v>0.08</v>
      </c>
      <c r="N31" s="5" t="n">
        <f aca="false">ROUND(L31*M31,0)</f>
        <v>139435</v>
      </c>
      <c r="O31" s="11" t="s">
        <v>5</v>
      </c>
      <c r="P31" s="11" t="s">
        <v>97</v>
      </c>
      <c r="Q31" s="14"/>
    </row>
    <row r="32" customFormat="false" ht="15" hidden="false" customHeight="false" outlineLevel="0" collapsed="false">
      <c r="A32" s="11" t="n">
        <v>9</v>
      </c>
      <c r="B32" s="11" t="s">
        <v>14</v>
      </c>
      <c r="C32" s="11" t="s">
        <v>142</v>
      </c>
      <c r="D32" s="11" t="s">
        <v>158</v>
      </c>
      <c r="E32" s="11" t="s">
        <v>159</v>
      </c>
      <c r="F32" s="11" t="s">
        <v>160</v>
      </c>
      <c r="G32" s="11" t="s">
        <v>161</v>
      </c>
      <c r="H32" s="14" t="s">
        <v>162</v>
      </c>
      <c r="I32" s="11" t="s">
        <v>106</v>
      </c>
      <c r="J32" s="15" t="n">
        <v>1</v>
      </c>
      <c r="K32" s="5" t="n">
        <v>663889</v>
      </c>
      <c r="L32" s="5" t="n">
        <v>663889</v>
      </c>
      <c r="M32" s="16" t="n">
        <v>0.08</v>
      </c>
      <c r="N32" s="5" t="n">
        <f aca="false">ROUND(L32*M32,0)</f>
        <v>53111</v>
      </c>
      <c r="O32" s="11" t="s">
        <v>8</v>
      </c>
      <c r="P32" s="11" t="s">
        <v>97</v>
      </c>
      <c r="Q32" s="14"/>
    </row>
    <row r="33" customFormat="false" ht="15" hidden="false" customHeight="false" outlineLevel="0" collapsed="false">
      <c r="A33" s="11" t="n">
        <v>9</v>
      </c>
      <c r="B33" s="11" t="s">
        <v>14</v>
      </c>
      <c r="C33" s="11" t="s">
        <v>142</v>
      </c>
      <c r="D33" s="11" t="s">
        <v>158</v>
      </c>
      <c r="E33" s="11" t="s">
        <v>159</v>
      </c>
      <c r="F33" s="11" t="s">
        <v>160</v>
      </c>
      <c r="G33" s="11" t="s">
        <v>161</v>
      </c>
      <c r="H33" s="14" t="s">
        <v>163</v>
      </c>
      <c r="I33" s="11" t="s">
        <v>106</v>
      </c>
      <c r="J33" s="15" t="n">
        <v>1</v>
      </c>
      <c r="K33" s="5" t="n">
        <v>1467593</v>
      </c>
      <c r="L33" s="5" t="n">
        <v>1467593</v>
      </c>
      <c r="M33" s="16" t="n">
        <v>0.08</v>
      </c>
      <c r="N33" s="5" t="n">
        <f aca="false">ROUND(L33*M33,0)</f>
        <v>117407</v>
      </c>
      <c r="O33" s="11" t="s">
        <v>8</v>
      </c>
      <c r="P33" s="11" t="s">
        <v>97</v>
      </c>
      <c r="Q33" s="14"/>
    </row>
    <row r="34" customFormat="false" ht="15" hidden="false" customHeight="false" outlineLevel="0" collapsed="false">
      <c r="A34" s="11" t="n">
        <v>9</v>
      </c>
      <c r="B34" s="11" t="s">
        <v>14</v>
      </c>
      <c r="C34" s="11" t="s">
        <v>142</v>
      </c>
      <c r="D34" s="11" t="s">
        <v>158</v>
      </c>
      <c r="E34" s="11" t="s">
        <v>159</v>
      </c>
      <c r="F34" s="11" t="s">
        <v>160</v>
      </c>
      <c r="G34" s="11" t="s">
        <v>161</v>
      </c>
      <c r="H34" s="14" t="s">
        <v>164</v>
      </c>
      <c r="I34" s="11" t="s">
        <v>106</v>
      </c>
      <c r="J34" s="15" t="n">
        <v>2</v>
      </c>
      <c r="K34" s="5" t="n">
        <v>361111</v>
      </c>
      <c r="L34" s="5" t="n">
        <v>722222</v>
      </c>
      <c r="M34" s="16" t="n">
        <v>0.08</v>
      </c>
      <c r="N34" s="5" t="n">
        <f aca="false">ROUND(L34*M34,0)</f>
        <v>57778</v>
      </c>
      <c r="O34" s="11" t="s">
        <v>8</v>
      </c>
      <c r="P34" s="11" t="s">
        <v>97</v>
      </c>
      <c r="Q34" s="14"/>
    </row>
    <row r="35" customFormat="false" ht="15" hidden="false" customHeight="false" outlineLevel="0" collapsed="false">
      <c r="A35" s="11" t="n">
        <v>9</v>
      </c>
      <c r="B35" s="11" t="s">
        <v>14</v>
      </c>
      <c r="C35" s="11" t="s">
        <v>142</v>
      </c>
      <c r="D35" s="11" t="s">
        <v>158</v>
      </c>
      <c r="E35" s="11" t="s">
        <v>159</v>
      </c>
      <c r="F35" s="11" t="s">
        <v>160</v>
      </c>
      <c r="G35" s="11" t="s">
        <v>161</v>
      </c>
      <c r="H35" s="14" t="s">
        <v>165</v>
      </c>
      <c r="I35" s="11" t="s">
        <v>166</v>
      </c>
      <c r="J35" s="15" t="n">
        <v>4</v>
      </c>
      <c r="K35" s="5" t="n">
        <v>46296.25</v>
      </c>
      <c r="L35" s="5" t="n">
        <v>185185</v>
      </c>
      <c r="M35" s="16" t="n">
        <v>0.08</v>
      </c>
      <c r="N35" s="5" t="n">
        <f aca="false">ROUND(L35*M35,0)</f>
        <v>14815</v>
      </c>
      <c r="O35" s="11" t="s">
        <v>8</v>
      </c>
      <c r="P35" s="11" t="s">
        <v>97</v>
      </c>
      <c r="Q35" s="14"/>
    </row>
    <row r="36" customFormat="false" ht="15" hidden="false" customHeight="false" outlineLevel="0" collapsed="false">
      <c r="A36" s="11" t="n">
        <v>9</v>
      </c>
      <c r="B36" s="11" t="s">
        <v>14</v>
      </c>
      <c r="C36" s="11" t="s">
        <v>142</v>
      </c>
      <c r="D36" s="11" t="s">
        <v>158</v>
      </c>
      <c r="E36" s="11" t="s">
        <v>159</v>
      </c>
      <c r="F36" s="11" t="s">
        <v>167</v>
      </c>
      <c r="G36" s="11" t="s">
        <v>168</v>
      </c>
      <c r="H36" s="14" t="s">
        <v>162</v>
      </c>
      <c r="I36" s="11" t="s">
        <v>106</v>
      </c>
      <c r="J36" s="15" t="n">
        <v>1</v>
      </c>
      <c r="K36" s="5" t="n">
        <v>663889</v>
      </c>
      <c r="L36" s="5" t="n">
        <v>663889</v>
      </c>
      <c r="M36" s="16" t="n">
        <v>0.08</v>
      </c>
      <c r="N36" s="5" t="n">
        <f aca="false">ROUND(L36*M36,0)</f>
        <v>53111</v>
      </c>
      <c r="O36" s="11" t="s">
        <v>8</v>
      </c>
      <c r="P36" s="11" t="s">
        <v>97</v>
      </c>
      <c r="Q36" s="14"/>
    </row>
    <row r="37" customFormat="false" ht="15" hidden="false" customHeight="false" outlineLevel="0" collapsed="false">
      <c r="A37" s="11" t="n">
        <v>9</v>
      </c>
      <c r="B37" s="11" t="s">
        <v>14</v>
      </c>
      <c r="C37" s="11" t="s">
        <v>142</v>
      </c>
      <c r="D37" s="11" t="s">
        <v>158</v>
      </c>
      <c r="E37" s="11" t="s">
        <v>159</v>
      </c>
      <c r="F37" s="11" t="s">
        <v>169</v>
      </c>
      <c r="G37" s="11" t="s">
        <v>170</v>
      </c>
      <c r="H37" s="14" t="s">
        <v>171</v>
      </c>
      <c r="I37" s="11" t="s">
        <v>172</v>
      </c>
      <c r="J37" s="15" t="n">
        <v>2.62</v>
      </c>
      <c r="K37" s="5" t="n">
        <v>314532.06</v>
      </c>
      <c r="L37" s="5" t="n">
        <v>824074</v>
      </c>
      <c r="M37" s="16" t="n">
        <v>0.08</v>
      </c>
      <c r="N37" s="5" t="n">
        <f aca="false">ROUND(L37*M37,0)</f>
        <v>65926</v>
      </c>
      <c r="O37" s="11" t="s">
        <v>8</v>
      </c>
      <c r="P37" s="11" t="s">
        <v>97</v>
      </c>
      <c r="Q37" s="14"/>
    </row>
    <row r="38" customFormat="false" ht="15" hidden="false" customHeight="false" outlineLevel="0" collapsed="false">
      <c r="A38" s="11" t="n">
        <v>8</v>
      </c>
      <c r="B38" s="11" t="s">
        <v>15</v>
      </c>
      <c r="C38" s="11" t="s">
        <v>173</v>
      </c>
      <c r="D38" s="11" t="s">
        <v>174</v>
      </c>
      <c r="E38" s="11" t="s">
        <v>175</v>
      </c>
      <c r="F38" s="11" t="s">
        <v>176</v>
      </c>
      <c r="G38" s="11" t="s">
        <v>139</v>
      </c>
      <c r="H38" s="14" t="s">
        <v>177</v>
      </c>
      <c r="I38" s="11" t="s">
        <v>73</v>
      </c>
      <c r="J38" s="15" t="n">
        <v>116.38</v>
      </c>
      <c r="K38" s="5" t="n">
        <v>115999.31</v>
      </c>
      <c r="L38" s="5" t="n">
        <v>13500000</v>
      </c>
      <c r="M38" s="16" t="n">
        <v>0.1</v>
      </c>
      <c r="N38" s="5" t="n">
        <f aca="false">ROUND(L38*M38,0)</f>
        <v>1350000</v>
      </c>
      <c r="O38" s="11" t="s">
        <v>7</v>
      </c>
      <c r="P38" s="11" t="s">
        <v>97</v>
      </c>
      <c r="Q38" s="14"/>
    </row>
    <row r="39" customFormat="false" ht="15" hidden="false" customHeight="false" outlineLevel="0" collapsed="false">
      <c r="A39" s="11" t="n">
        <v>8</v>
      </c>
      <c r="B39" s="11" t="s">
        <v>15</v>
      </c>
      <c r="C39" s="11" t="s">
        <v>173</v>
      </c>
      <c r="D39" s="11" t="s">
        <v>178</v>
      </c>
      <c r="E39" s="11" t="s">
        <v>179</v>
      </c>
      <c r="F39" s="11" t="s">
        <v>180</v>
      </c>
      <c r="G39" s="11" t="s">
        <v>128</v>
      </c>
      <c r="H39" s="14" t="s">
        <v>181</v>
      </c>
      <c r="I39" s="11" t="s">
        <v>172</v>
      </c>
      <c r="J39" s="15" t="n">
        <v>6.03</v>
      </c>
      <c r="K39" s="5" t="n">
        <v>734400</v>
      </c>
      <c r="L39" s="5" t="n">
        <v>4428432</v>
      </c>
      <c r="M39" s="16" t="n">
        <v>0.08</v>
      </c>
      <c r="N39" s="5" t="n">
        <f aca="false">ROUND(L39*M39,0)</f>
        <v>354275</v>
      </c>
      <c r="O39" s="11" t="s">
        <v>6</v>
      </c>
      <c r="P39" s="11" t="s">
        <v>97</v>
      </c>
      <c r="Q39" s="14"/>
    </row>
    <row r="40" customFormat="false" ht="15" hidden="false" customHeight="false" outlineLevel="0" collapsed="false">
      <c r="A40" s="11" t="n">
        <v>8</v>
      </c>
      <c r="B40" s="11" t="s">
        <v>15</v>
      </c>
      <c r="C40" s="11" t="s">
        <v>173</v>
      </c>
      <c r="D40" s="11" t="s">
        <v>178</v>
      </c>
      <c r="E40" s="11" t="s">
        <v>179</v>
      </c>
      <c r="F40" s="11" t="s">
        <v>180</v>
      </c>
      <c r="G40" s="11" t="s">
        <v>128</v>
      </c>
      <c r="H40" s="14" t="s">
        <v>182</v>
      </c>
      <c r="I40" s="11" t="s">
        <v>172</v>
      </c>
      <c r="J40" s="15" t="n">
        <v>34.5</v>
      </c>
      <c r="K40" s="5" t="n">
        <v>318625.804</v>
      </c>
      <c r="L40" s="5" t="n">
        <v>10992590</v>
      </c>
      <c r="M40" s="16" t="n">
        <v>0.08</v>
      </c>
      <c r="N40" s="5" t="n">
        <f aca="false">ROUND(L40*M40,0)</f>
        <v>879407</v>
      </c>
      <c r="O40" s="11" t="s">
        <v>6</v>
      </c>
      <c r="P40" s="11" t="s">
        <v>97</v>
      </c>
      <c r="Q40" s="14"/>
    </row>
    <row r="41" customFormat="false" ht="15" hidden="false" customHeight="false" outlineLevel="0" collapsed="false">
      <c r="A41" s="11" t="n">
        <v>9</v>
      </c>
      <c r="B41" s="11" t="s">
        <v>15</v>
      </c>
      <c r="C41" s="11" t="s">
        <v>183</v>
      </c>
      <c r="D41" s="11" t="s">
        <v>184</v>
      </c>
      <c r="E41" s="11" t="s">
        <v>185</v>
      </c>
      <c r="F41" s="11" t="s">
        <v>186</v>
      </c>
      <c r="G41" s="11" t="s">
        <v>187</v>
      </c>
      <c r="H41" s="14" t="s">
        <v>188</v>
      </c>
      <c r="I41" s="11" t="s">
        <v>172</v>
      </c>
      <c r="J41" s="15" t="n">
        <v>84.18</v>
      </c>
      <c r="K41" s="5" t="n">
        <v>220000</v>
      </c>
      <c r="L41" s="5" t="n">
        <v>18519600</v>
      </c>
      <c r="M41" s="16" t="n">
        <v>0.08</v>
      </c>
      <c r="N41" s="5" t="n">
        <f aca="false">ROUND(L41*M41,0)</f>
        <v>1481568</v>
      </c>
      <c r="O41" s="11" t="s">
        <v>6</v>
      </c>
      <c r="P41" s="11" t="s">
        <v>97</v>
      </c>
      <c r="Q41" s="14"/>
    </row>
    <row r="42" customFormat="false" ht="15" hidden="false" customHeight="false" outlineLevel="0" collapsed="false">
      <c r="A42" s="11" t="n">
        <v>9</v>
      </c>
      <c r="B42" s="11" t="s">
        <v>15</v>
      </c>
      <c r="C42" s="11" t="s">
        <v>183</v>
      </c>
      <c r="D42" s="11" t="s">
        <v>189</v>
      </c>
      <c r="E42" s="11" t="s">
        <v>190</v>
      </c>
      <c r="F42" s="11" t="s">
        <v>191</v>
      </c>
      <c r="G42" s="11" t="s">
        <v>192</v>
      </c>
      <c r="H42" s="14" t="s">
        <v>193</v>
      </c>
      <c r="I42" s="11" t="s">
        <v>172</v>
      </c>
      <c r="J42" s="15" t="n">
        <v>55.556</v>
      </c>
      <c r="K42" s="5" t="n">
        <v>250000</v>
      </c>
      <c r="L42" s="5" t="n">
        <v>13889000</v>
      </c>
      <c r="M42" s="16" t="n">
        <v>0.08</v>
      </c>
      <c r="N42" s="5" t="n">
        <f aca="false">ROUND(L42*M42,0)</f>
        <v>1111120</v>
      </c>
      <c r="O42" s="11" t="s">
        <v>6</v>
      </c>
      <c r="P42" s="11" t="s">
        <v>97</v>
      </c>
      <c r="Q42" s="14"/>
    </row>
    <row r="43" customFormat="false" ht="15" hidden="false" customHeight="false" outlineLevel="0" collapsed="false">
      <c r="A43" s="11" t="n">
        <v>9</v>
      </c>
      <c r="B43" s="11" t="s">
        <v>16</v>
      </c>
      <c r="C43" s="11" t="s">
        <v>194</v>
      </c>
      <c r="D43" s="11" t="s">
        <v>195</v>
      </c>
      <c r="E43" s="11" t="s">
        <v>196</v>
      </c>
      <c r="F43" s="11" t="s">
        <v>197</v>
      </c>
      <c r="G43" s="11" t="s">
        <v>27</v>
      </c>
      <c r="H43" s="14" t="s">
        <v>82</v>
      </c>
      <c r="I43" s="11" t="s">
        <v>60</v>
      </c>
      <c r="J43" s="15" t="n">
        <v>1</v>
      </c>
      <c r="K43" s="5" t="n">
        <v>15324074</v>
      </c>
      <c r="L43" s="5" t="n">
        <v>15324074</v>
      </c>
      <c r="M43" s="16" t="n">
        <v>0.08</v>
      </c>
      <c r="N43" s="5" t="n">
        <f aca="false">ROUND(L43*M43,0)</f>
        <v>1225926</v>
      </c>
      <c r="O43" s="11" t="s">
        <v>10</v>
      </c>
      <c r="P43" s="11" t="s">
        <v>97</v>
      </c>
      <c r="Q43" s="14"/>
    </row>
    <row r="44" customFormat="false" ht="15" hidden="false" customHeight="false" outlineLevel="0" collapsed="false">
      <c r="A44" s="12"/>
      <c r="B44" s="12"/>
      <c r="C44" s="12"/>
      <c r="D44" s="12"/>
      <c r="E44" s="12"/>
      <c r="F44" s="12"/>
      <c r="G44" s="12"/>
      <c r="H44" s="12" t="s">
        <v>198</v>
      </c>
      <c r="I44" s="12"/>
      <c r="J44" s="12"/>
      <c r="K44" s="12"/>
      <c r="L44" s="7" t="n">
        <f aca="false">SUM(L5:L43)</f>
        <v>176161437</v>
      </c>
      <c r="M44" s="12"/>
      <c r="N44" s="7" t="n">
        <f aca="false">SUM(N5:N43)</f>
        <v>14362915</v>
      </c>
      <c r="O44" s="12"/>
      <c r="P44" s="12"/>
      <c r="Q44" s="12"/>
    </row>
    <row r="45" customFormat="false" ht="15" hidden="false" customHeight="false" outlineLevel="0" collapsed="false">
      <c r="A45" s="12"/>
      <c r="B45" s="12"/>
      <c r="C45" s="12"/>
      <c r="D45" s="12"/>
      <c r="E45" s="12"/>
      <c r="F45" s="12"/>
      <c r="G45" s="12"/>
      <c r="H45" s="12" t="s">
        <v>199</v>
      </c>
      <c r="I45" s="12"/>
      <c r="J45" s="12"/>
      <c r="K45" s="12"/>
      <c r="L45" s="7" t="n">
        <f aca="false">SUMIFS(L5:L43,P5:P43,"Có")</f>
        <v>176161437</v>
      </c>
      <c r="M45" s="12"/>
      <c r="N45" s="7" t="n">
        <f aca="false">SUMIFS(N5:N43,P5:P43,"Có")</f>
        <v>14362915</v>
      </c>
      <c r="O45" s="12"/>
      <c r="P45" s="12"/>
      <c r="Q45" s="12"/>
    </row>
  </sheetData>
  <autoFilter ref="A4:Q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36"/>
    <col collapsed="false" customWidth="true" hidden="false" outlineLevel="0" max="4" min="4" style="0" width="18"/>
    <col collapsed="false" customWidth="true" hidden="false" outlineLevel="0" max="5" min="5" style="0" width="16"/>
    <col collapsed="false" customWidth="true" hidden="false" outlineLevel="0" max="7" min="6" style="0" width="18"/>
    <col collapsed="false" customWidth="true" hidden="false" outlineLevel="0" max="8" min="8" style="0" width="16"/>
  </cols>
  <sheetData>
    <row r="1" customFormat="false" ht="15" hidden="false" customHeight="false" outlineLevel="0" collapsed="false">
      <c r="A1" s="13" t="s">
        <v>200</v>
      </c>
    </row>
    <row r="3" customFormat="false" ht="31.5" hidden="false" customHeight="true" outlineLevel="0" collapsed="false">
      <c r="A3" s="3" t="s">
        <v>201</v>
      </c>
      <c r="B3" s="3" t="s">
        <v>23</v>
      </c>
      <c r="C3" s="3" t="s">
        <v>202</v>
      </c>
      <c r="D3" s="3" t="s">
        <v>203</v>
      </c>
      <c r="E3" s="3" t="s">
        <v>204</v>
      </c>
      <c r="F3" s="3" t="s">
        <v>205</v>
      </c>
      <c r="G3" s="3" t="s">
        <v>206</v>
      </c>
      <c r="H3" s="3" t="s">
        <v>207</v>
      </c>
    </row>
    <row r="4" customFormat="false" ht="15" hidden="false" customHeight="false" outlineLevel="0" collapsed="false">
      <c r="A4" s="11" t="s">
        <v>208</v>
      </c>
      <c r="B4" s="11" t="s">
        <v>93</v>
      </c>
      <c r="C4" s="11" t="s">
        <v>91</v>
      </c>
      <c r="D4" s="5" t="n">
        <v>2000000</v>
      </c>
      <c r="E4" s="5" t="n">
        <v>160000</v>
      </c>
      <c r="F4" s="5" t="n">
        <v>2160000</v>
      </c>
      <c r="G4" s="5" t="n">
        <f aca="false">SUMIFS('Chi phí'!$L$5:$L$43,'Chi phí'!$F$5:$F$43,B4)</f>
        <v>2000000</v>
      </c>
      <c r="H4" s="5" t="n">
        <f aca="false">G4-D4</f>
        <v>0</v>
      </c>
    </row>
    <row r="5" customFormat="false" ht="15" hidden="false" customHeight="false" outlineLevel="0" collapsed="false">
      <c r="A5" s="11" t="s">
        <v>208</v>
      </c>
      <c r="B5" s="11" t="s">
        <v>100</v>
      </c>
      <c r="C5" s="11" t="s">
        <v>98</v>
      </c>
      <c r="D5" s="5" t="n">
        <v>22920000</v>
      </c>
      <c r="E5" s="5" t="n">
        <v>1833600</v>
      </c>
      <c r="F5" s="5" t="n">
        <v>24753600</v>
      </c>
      <c r="G5" s="5" t="n">
        <f aca="false">SUMIFS('Chi phí'!$L$5:$L$43,'Chi phí'!$F$5:$F$43,B5)</f>
        <v>22920000</v>
      </c>
      <c r="H5" s="5" t="n">
        <f aca="false">G5-D5</f>
        <v>0</v>
      </c>
    </row>
    <row r="6" customFormat="false" ht="15" hidden="false" customHeight="false" outlineLevel="0" collapsed="false">
      <c r="A6" s="11" t="s">
        <v>208</v>
      </c>
      <c r="B6" s="11" t="s">
        <v>108</v>
      </c>
      <c r="C6" s="11" t="s">
        <v>98</v>
      </c>
      <c r="D6" s="5" t="n">
        <v>8730000</v>
      </c>
      <c r="E6" s="5" t="n">
        <v>698400</v>
      </c>
      <c r="F6" s="5" t="n">
        <v>9428400</v>
      </c>
      <c r="G6" s="5" t="n">
        <f aca="false">SUMIFS('Chi phí'!$L$5:$L$43,'Chi phí'!$F$5:$F$43,B6)</f>
        <v>8730000</v>
      </c>
      <c r="H6" s="5" t="n">
        <f aca="false">G6-D6</f>
        <v>0</v>
      </c>
    </row>
    <row r="7" customFormat="false" ht="15" hidden="false" customHeight="false" outlineLevel="0" collapsed="false">
      <c r="A7" s="11" t="s">
        <v>208</v>
      </c>
      <c r="B7" s="11" t="s">
        <v>110</v>
      </c>
      <c r="C7" s="11" t="s">
        <v>98</v>
      </c>
      <c r="D7" s="5" t="n">
        <v>5870000</v>
      </c>
      <c r="E7" s="5" t="n">
        <v>469600</v>
      </c>
      <c r="F7" s="5" t="n">
        <v>6339600</v>
      </c>
      <c r="G7" s="5" t="n">
        <f aca="false">SUMIFS('Chi phí'!$L$5:$L$43,'Chi phí'!$F$5:$F$43,B7)</f>
        <v>5870000</v>
      </c>
      <c r="H7" s="5" t="n">
        <f aca="false">G7-D7</f>
        <v>0</v>
      </c>
    </row>
    <row r="8" customFormat="false" ht="15" hidden="false" customHeight="false" outlineLevel="0" collapsed="false">
      <c r="A8" s="11" t="s">
        <v>208</v>
      </c>
      <c r="B8" s="11" t="s">
        <v>115</v>
      </c>
      <c r="C8" s="11" t="s">
        <v>98</v>
      </c>
      <c r="D8" s="5" t="n">
        <v>560000</v>
      </c>
      <c r="E8" s="5" t="n">
        <v>44800</v>
      </c>
      <c r="F8" s="5" t="n">
        <v>604800</v>
      </c>
      <c r="G8" s="5" t="n">
        <f aca="false">SUMIFS('Chi phí'!$L$5:$L$43,'Chi phí'!$F$5:$F$43,B8)</f>
        <v>560000</v>
      </c>
      <c r="H8" s="5" t="n">
        <f aca="false">G8-D8</f>
        <v>0</v>
      </c>
    </row>
    <row r="9" customFormat="false" ht="15" hidden="false" customHeight="false" outlineLevel="0" collapsed="false">
      <c r="A9" s="11" t="s">
        <v>208</v>
      </c>
      <c r="B9" s="11" t="s">
        <v>117</v>
      </c>
      <c r="C9" s="11" t="s">
        <v>98</v>
      </c>
      <c r="D9" s="5" t="n">
        <v>4075000</v>
      </c>
      <c r="E9" s="5" t="n">
        <v>326000</v>
      </c>
      <c r="F9" s="5" t="n">
        <v>4401000</v>
      </c>
      <c r="G9" s="5" t="n">
        <f aca="false">SUMIFS('Chi phí'!$L$5:$L$43,'Chi phí'!$F$5:$F$43,B9)</f>
        <v>4075000</v>
      </c>
      <c r="H9" s="5" t="n">
        <f aca="false">G9-D9</f>
        <v>0</v>
      </c>
    </row>
    <row r="10" customFormat="false" ht="15" hidden="false" customHeight="false" outlineLevel="0" collapsed="false">
      <c r="A10" s="11" t="s">
        <v>208</v>
      </c>
      <c r="B10" s="11" t="s">
        <v>120</v>
      </c>
      <c r="C10" s="11" t="s">
        <v>98</v>
      </c>
      <c r="D10" s="5" t="n">
        <v>560000</v>
      </c>
      <c r="E10" s="5" t="n">
        <v>44800</v>
      </c>
      <c r="F10" s="5" t="n">
        <v>604800</v>
      </c>
      <c r="G10" s="5" t="n">
        <f aca="false">SUMIFS('Chi phí'!$L$5:$L$43,'Chi phí'!$F$5:$F$43,B10)</f>
        <v>560000</v>
      </c>
      <c r="H10" s="5" t="n">
        <f aca="false">G10-D10</f>
        <v>0</v>
      </c>
    </row>
    <row r="11" customFormat="false" ht="15" hidden="false" customHeight="false" outlineLevel="0" collapsed="false">
      <c r="A11" s="11" t="s">
        <v>208</v>
      </c>
      <c r="B11" s="11" t="s">
        <v>122</v>
      </c>
      <c r="C11" s="11" t="s">
        <v>98</v>
      </c>
      <c r="D11" s="5" t="n">
        <v>2880000</v>
      </c>
      <c r="E11" s="5" t="n">
        <v>230400</v>
      </c>
      <c r="F11" s="5" t="n">
        <v>3110400</v>
      </c>
      <c r="G11" s="5" t="n">
        <f aca="false">SUMIFS('Chi phí'!$L$5:$L$43,'Chi phí'!$F$5:$F$43,B11)</f>
        <v>2880000</v>
      </c>
      <c r="H11" s="5" t="n">
        <f aca="false">G11-D11</f>
        <v>0</v>
      </c>
    </row>
    <row r="12" customFormat="false" ht="15" hidden="false" customHeight="false" outlineLevel="0" collapsed="false">
      <c r="A12" s="11" t="s">
        <v>208</v>
      </c>
      <c r="B12" s="11" t="s">
        <v>127</v>
      </c>
      <c r="C12" s="11" t="s">
        <v>98</v>
      </c>
      <c r="D12" s="5" t="n">
        <v>370000</v>
      </c>
      <c r="E12" s="5" t="n">
        <v>29600</v>
      </c>
      <c r="F12" s="5" t="n">
        <v>399600</v>
      </c>
      <c r="G12" s="5" t="n">
        <f aca="false">SUMIFS('Chi phí'!$L$5:$L$43,'Chi phí'!$F$5:$F$43,B12)</f>
        <v>370000</v>
      </c>
      <c r="H12" s="5" t="n">
        <f aca="false">G12-D12</f>
        <v>0</v>
      </c>
    </row>
    <row r="13" customFormat="false" ht="15" hidden="false" customHeight="false" outlineLevel="0" collapsed="false">
      <c r="A13" s="11" t="s">
        <v>208</v>
      </c>
      <c r="B13" s="11" t="s">
        <v>131</v>
      </c>
      <c r="C13" s="11" t="s">
        <v>129</v>
      </c>
      <c r="D13" s="5" t="n">
        <v>2952000</v>
      </c>
      <c r="E13" s="5" t="n">
        <v>236160</v>
      </c>
      <c r="F13" s="5" t="n">
        <v>3188160</v>
      </c>
      <c r="G13" s="5" t="n">
        <f aca="false">SUMIFS('Chi phí'!$L$5:$L$43,'Chi phí'!$F$5:$F$43,B13)</f>
        <v>2952000</v>
      </c>
      <c r="H13" s="5" t="n">
        <f aca="false">G13-D13</f>
        <v>0</v>
      </c>
    </row>
    <row r="14" customFormat="false" ht="15" hidden="false" customHeight="false" outlineLevel="0" collapsed="false">
      <c r="A14" s="11" t="s">
        <v>208</v>
      </c>
      <c r="B14" s="11" t="s">
        <v>138</v>
      </c>
      <c r="C14" s="11" t="s">
        <v>136</v>
      </c>
      <c r="D14" s="5" t="n">
        <v>791667</v>
      </c>
      <c r="E14" s="5" t="n">
        <v>63333</v>
      </c>
      <c r="F14" s="5" t="n">
        <v>855000</v>
      </c>
      <c r="G14" s="5" t="n">
        <f aca="false">SUMIFS('Chi phí'!$L$5:$L$43,'Chi phí'!$F$5:$F$43,B14)</f>
        <v>791667</v>
      </c>
      <c r="H14" s="5" t="n">
        <f aca="false">G14-D14</f>
        <v>0</v>
      </c>
    </row>
    <row r="15" customFormat="false" ht="15" hidden="false" customHeight="false" outlineLevel="0" collapsed="false">
      <c r="A15" s="11" t="s">
        <v>208</v>
      </c>
      <c r="B15" s="11" t="s">
        <v>144</v>
      </c>
      <c r="C15" s="11" t="s">
        <v>143</v>
      </c>
      <c r="D15" s="5" t="n">
        <v>625000</v>
      </c>
      <c r="E15" s="5" t="n">
        <v>50000</v>
      </c>
      <c r="F15" s="5" t="n">
        <v>675000</v>
      </c>
      <c r="G15" s="5" t="n">
        <f aca="false">SUMIFS('Chi phí'!$L$5:$L$43,'Chi phí'!$F$5:$F$43,B15)</f>
        <v>625000</v>
      </c>
      <c r="H15" s="5" t="n">
        <f aca="false">G15-D15</f>
        <v>0</v>
      </c>
    </row>
    <row r="16" customFormat="false" ht="15" hidden="false" customHeight="false" outlineLevel="0" collapsed="false">
      <c r="A16" s="11" t="s">
        <v>208</v>
      </c>
      <c r="B16" s="11" t="s">
        <v>149</v>
      </c>
      <c r="C16" s="11" t="s">
        <v>147</v>
      </c>
      <c r="D16" s="5" t="n">
        <v>42647222</v>
      </c>
      <c r="E16" s="5" t="n">
        <v>3411778</v>
      </c>
      <c r="F16" s="5" t="n">
        <v>46059000</v>
      </c>
      <c r="G16" s="5" t="n">
        <f aca="false">SUMIFS('Chi phí'!$L$5:$L$43,'Chi phí'!$F$5:$F$43,B16)</f>
        <v>42647222</v>
      </c>
      <c r="H16" s="5" t="n">
        <f aca="false">G16-D16</f>
        <v>0</v>
      </c>
    </row>
    <row r="17" customFormat="false" ht="15" hidden="false" customHeight="false" outlineLevel="0" collapsed="false">
      <c r="A17" s="11" t="s">
        <v>208</v>
      </c>
      <c r="B17" s="11" t="s">
        <v>160</v>
      </c>
      <c r="C17" s="11" t="s">
        <v>158</v>
      </c>
      <c r="D17" s="5" t="n">
        <v>3038889</v>
      </c>
      <c r="E17" s="5" t="n">
        <v>243111</v>
      </c>
      <c r="F17" s="5" t="n">
        <v>3282000</v>
      </c>
      <c r="G17" s="5" t="n">
        <f aca="false">SUMIFS('Chi phí'!$L$5:$L$43,'Chi phí'!$F$5:$F$43,B17)</f>
        <v>3038889</v>
      </c>
      <c r="H17" s="5" t="n">
        <f aca="false">G17-D17</f>
        <v>0</v>
      </c>
    </row>
    <row r="18" customFormat="false" ht="15" hidden="false" customHeight="false" outlineLevel="0" collapsed="false">
      <c r="A18" s="11" t="s">
        <v>208</v>
      </c>
      <c r="B18" s="11" t="s">
        <v>167</v>
      </c>
      <c r="C18" s="11" t="s">
        <v>158</v>
      </c>
      <c r="D18" s="5" t="n">
        <v>663889</v>
      </c>
      <c r="E18" s="5" t="n">
        <v>53111</v>
      </c>
      <c r="F18" s="5" t="n">
        <v>717000</v>
      </c>
      <c r="G18" s="5" t="n">
        <f aca="false">SUMIFS('Chi phí'!$L$5:$L$43,'Chi phí'!$F$5:$F$43,B18)</f>
        <v>663889</v>
      </c>
      <c r="H18" s="5" t="n">
        <f aca="false">G18-D18</f>
        <v>0</v>
      </c>
    </row>
    <row r="19" customFormat="false" ht="15" hidden="false" customHeight="false" outlineLevel="0" collapsed="false">
      <c r="A19" s="11" t="s">
        <v>208</v>
      </c>
      <c r="B19" s="11" t="s">
        <v>169</v>
      </c>
      <c r="C19" s="11" t="s">
        <v>158</v>
      </c>
      <c r="D19" s="5" t="n">
        <v>824074</v>
      </c>
      <c r="E19" s="5" t="n">
        <v>65926</v>
      </c>
      <c r="F19" s="5" t="n">
        <v>890000</v>
      </c>
      <c r="G19" s="5" t="n">
        <f aca="false">SUMIFS('Chi phí'!$L$5:$L$43,'Chi phí'!$F$5:$F$43,B19)</f>
        <v>824074</v>
      </c>
      <c r="H19" s="5" t="n">
        <f aca="false">G19-D19</f>
        <v>0</v>
      </c>
    </row>
    <row r="20" customFormat="false" ht="15" hidden="false" customHeight="false" outlineLevel="0" collapsed="false">
      <c r="A20" s="11" t="s">
        <v>208</v>
      </c>
      <c r="B20" s="11" t="s">
        <v>176</v>
      </c>
      <c r="C20" s="11" t="s">
        <v>174</v>
      </c>
      <c r="D20" s="5" t="n">
        <v>13500000</v>
      </c>
      <c r="E20" s="5" t="n">
        <v>1350000</v>
      </c>
      <c r="F20" s="5" t="n">
        <v>14850000</v>
      </c>
      <c r="G20" s="5" t="n">
        <f aca="false">SUMIFS('Chi phí'!$L$5:$L$43,'Chi phí'!$F$5:$F$43,B20)</f>
        <v>13500000</v>
      </c>
      <c r="H20" s="5" t="n">
        <f aca="false">G20-D20</f>
        <v>0</v>
      </c>
    </row>
    <row r="21" customFormat="false" ht="15" hidden="false" customHeight="false" outlineLevel="0" collapsed="false">
      <c r="A21" s="11" t="s">
        <v>208</v>
      </c>
      <c r="B21" s="11" t="s">
        <v>180</v>
      </c>
      <c r="C21" s="11" t="s">
        <v>178</v>
      </c>
      <c r="D21" s="5" t="n">
        <v>15421022</v>
      </c>
      <c r="E21" s="5" t="n">
        <v>1233682</v>
      </c>
      <c r="F21" s="5" t="n">
        <v>16654704</v>
      </c>
      <c r="G21" s="5" t="n">
        <f aca="false">SUMIFS('Chi phí'!$L$5:$L$43,'Chi phí'!$F$5:$F$43,B21)</f>
        <v>15421022</v>
      </c>
      <c r="H21" s="5" t="n">
        <f aca="false">G21-D21</f>
        <v>0</v>
      </c>
    </row>
    <row r="22" customFormat="false" ht="15" hidden="false" customHeight="false" outlineLevel="0" collapsed="false">
      <c r="A22" s="11" t="s">
        <v>208</v>
      </c>
      <c r="B22" s="11" t="s">
        <v>186</v>
      </c>
      <c r="C22" s="11" t="s">
        <v>184</v>
      </c>
      <c r="D22" s="5" t="n">
        <v>18519600</v>
      </c>
      <c r="E22" s="5" t="n">
        <v>1481568</v>
      </c>
      <c r="F22" s="5" t="n">
        <v>20001168</v>
      </c>
      <c r="G22" s="5" t="n">
        <f aca="false">SUMIFS('Chi phí'!$L$5:$L$43,'Chi phí'!$F$5:$F$43,B22)</f>
        <v>18519600</v>
      </c>
      <c r="H22" s="5" t="n">
        <f aca="false">G22-D22</f>
        <v>0</v>
      </c>
    </row>
    <row r="23" customFormat="false" ht="15" hidden="false" customHeight="false" outlineLevel="0" collapsed="false">
      <c r="A23" s="11" t="s">
        <v>208</v>
      </c>
      <c r="B23" s="11" t="s">
        <v>191</v>
      </c>
      <c r="C23" s="11" t="s">
        <v>189</v>
      </c>
      <c r="D23" s="5" t="n">
        <v>13889000</v>
      </c>
      <c r="E23" s="5" t="n">
        <v>1111120</v>
      </c>
      <c r="F23" s="5" t="n">
        <v>15000120</v>
      </c>
      <c r="G23" s="5" t="n">
        <f aca="false">SUMIFS('Chi phí'!$L$5:$L$43,'Chi phí'!$F$5:$F$43,B23)</f>
        <v>13889000</v>
      </c>
      <c r="H23" s="5" t="n">
        <f aca="false">G23-D23</f>
        <v>0</v>
      </c>
    </row>
    <row r="24" customFormat="false" ht="15" hidden="false" customHeight="false" outlineLevel="0" collapsed="false">
      <c r="A24" s="11" t="s">
        <v>208</v>
      </c>
      <c r="B24" s="11" t="s">
        <v>197</v>
      </c>
      <c r="C24" s="11" t="s">
        <v>195</v>
      </c>
      <c r="D24" s="5" t="n">
        <v>15324074</v>
      </c>
      <c r="E24" s="5" t="n">
        <v>1225926</v>
      </c>
      <c r="F24" s="5" t="n">
        <v>16550000</v>
      </c>
      <c r="G24" s="5" t="n">
        <f aca="false">SUMIFS('Chi phí'!$L$5:$L$43,'Chi phí'!$F$5:$F$43,B24)</f>
        <v>15324074</v>
      </c>
      <c r="H24" s="5" t="n">
        <f aca="false">G24-D24</f>
        <v>0</v>
      </c>
    </row>
    <row r="25" customFormat="false" ht="15" hidden="false" customHeight="false" outlineLevel="0" collapsed="false">
      <c r="A25" s="11" t="s">
        <v>209</v>
      </c>
      <c r="B25" s="11" t="s">
        <v>37</v>
      </c>
      <c r="C25" s="11" t="s">
        <v>36</v>
      </c>
      <c r="D25" s="5" t="n">
        <v>6018519</v>
      </c>
      <c r="E25" s="5" t="n">
        <v>481481</v>
      </c>
      <c r="F25" s="5" t="n">
        <v>6500000</v>
      </c>
      <c r="G25" s="5" t="n">
        <f aca="false">SUMIFS('Doanh thu'!$L$5:$L$14,'Doanh thu'!$E$5:$E$14,B25)</f>
        <v>6018518.52</v>
      </c>
      <c r="H25" s="5" t="n">
        <f aca="false">G25-D25</f>
        <v>-0.480000000447035</v>
      </c>
    </row>
    <row r="26" customFormat="false" ht="15" hidden="false" customHeight="false" outlineLevel="0" collapsed="false">
      <c r="A26" s="11" t="s">
        <v>209</v>
      </c>
      <c r="B26" s="11" t="s">
        <v>29</v>
      </c>
      <c r="C26" s="11" t="s">
        <v>28</v>
      </c>
      <c r="D26" s="5" t="n">
        <v>26784900</v>
      </c>
      <c r="E26" s="5" t="n">
        <v>2142792</v>
      </c>
      <c r="F26" s="5" t="n">
        <v>28927692</v>
      </c>
      <c r="G26" s="5" t="n">
        <f aca="false">SUMIFS('Doanh thu'!$L$5:$L$14,'Doanh thu'!$E$5:$E$14,B26)</f>
        <v>26784900</v>
      </c>
      <c r="H26" s="5" t="n">
        <f aca="false">G26-D26</f>
        <v>0</v>
      </c>
    </row>
    <row r="27" customFormat="false" ht="15" hidden="false" customHeight="false" outlineLevel="0" collapsed="false">
      <c r="A27" s="11" t="s">
        <v>209</v>
      </c>
      <c r="B27" s="11" t="s">
        <v>32</v>
      </c>
      <c r="C27" s="11" t="s">
        <v>31</v>
      </c>
      <c r="D27" s="5" t="n">
        <v>10466182</v>
      </c>
      <c r="E27" s="5" t="n">
        <v>1046618</v>
      </c>
      <c r="F27" s="5" t="n">
        <v>11512800</v>
      </c>
      <c r="G27" s="5" t="n">
        <f aca="false">SUMIFS('Doanh thu'!$L$5:$L$14,'Doanh thu'!$E$5:$E$14,B27)</f>
        <v>10466182</v>
      </c>
      <c r="H27" s="5" t="n">
        <f aca="false">G27-D27</f>
        <v>0</v>
      </c>
    </row>
    <row r="28" customFormat="false" ht="15" hidden="false" customHeight="false" outlineLevel="0" collapsed="false">
      <c r="A28" s="11" t="s">
        <v>209</v>
      </c>
      <c r="B28" s="11" t="s">
        <v>26</v>
      </c>
      <c r="C28" s="11" t="s">
        <v>25</v>
      </c>
      <c r="D28" s="5" t="n">
        <v>295887500</v>
      </c>
      <c r="E28" s="5" t="n">
        <v>23671000</v>
      </c>
      <c r="F28" s="5" t="n">
        <v>319558500</v>
      </c>
      <c r="G28" s="5" t="n">
        <f aca="false">SUMIFS('Doanh thu'!$L$5:$L$14,'Doanh thu'!$E$5:$E$14,B28)</f>
        <v>295887500</v>
      </c>
      <c r="H28" s="5" t="n">
        <f aca="false">G28-D28</f>
        <v>0</v>
      </c>
    </row>
    <row r="29" customFormat="false" ht="15" hidden="false" customHeight="false" outlineLevel="0" collapsed="false">
      <c r="A29" s="11" t="s">
        <v>209</v>
      </c>
      <c r="B29" s="11" t="s">
        <v>34</v>
      </c>
      <c r="C29" s="11" t="s">
        <v>33</v>
      </c>
      <c r="D29" s="5" t="n">
        <v>17731481</v>
      </c>
      <c r="E29" s="5" t="n">
        <v>1418519</v>
      </c>
      <c r="F29" s="5" t="n">
        <v>19150000</v>
      </c>
      <c r="G29" s="5" t="n">
        <f aca="false">SUMIFS('Doanh thu'!$L$5:$L$14,'Doanh thu'!$E$5:$E$14,B29)</f>
        <v>17731481.48</v>
      </c>
      <c r="H29" s="5" t="n">
        <f aca="false">G29-D29</f>
        <v>0.480000000447035</v>
      </c>
    </row>
    <row r="31" customFormat="false" ht="15" hidden="false" customHeight="false" outlineLevel="0" collapsed="false">
      <c r="A31" s="2" t="s">
        <v>210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80"/>
    <col collapsed="false" customWidth="true" hidden="false" outlineLevel="0" max="4" min="4" style="0" width="60"/>
  </cols>
  <sheetData>
    <row r="1" customFormat="false" ht="15" hidden="false" customHeight="false" outlineLevel="0" collapsed="false">
      <c r="A1" s="13" t="s">
        <v>211</v>
      </c>
    </row>
    <row r="3" customFormat="false" ht="31.5" hidden="false" customHeight="true" outlineLevel="0" collapsed="false">
      <c r="A3" s="3" t="s">
        <v>212</v>
      </c>
      <c r="B3" s="3" t="s">
        <v>213</v>
      </c>
      <c r="C3" s="3" t="s">
        <v>214</v>
      </c>
      <c r="D3" s="3" t="s">
        <v>215</v>
      </c>
    </row>
    <row r="4" customFormat="false" ht="35.05" hidden="false" customHeight="false" outlineLevel="0" collapsed="false">
      <c r="A4" s="14" t="n">
        <v>1</v>
      </c>
      <c r="B4" s="17" t="s">
        <v>216</v>
      </c>
      <c r="C4" s="14" t="s">
        <v>217</v>
      </c>
      <c r="D4" s="14" t="s">
        <v>218</v>
      </c>
    </row>
    <row r="5" customFormat="false" ht="23.85" hidden="false" customHeight="false" outlineLevel="0" collapsed="false">
      <c r="A5" s="14" t="n">
        <v>2</v>
      </c>
      <c r="B5" s="17" t="s">
        <v>219</v>
      </c>
      <c r="C5" s="14" t="s">
        <v>220</v>
      </c>
      <c r="D5" s="14" t="s">
        <v>221</v>
      </c>
    </row>
    <row r="6" customFormat="false" ht="46.25" hidden="false" customHeight="false" outlineLevel="0" collapsed="false">
      <c r="A6" s="14" t="n">
        <v>3</v>
      </c>
      <c r="B6" s="17" t="s">
        <v>222</v>
      </c>
      <c r="C6" s="14" t="s">
        <v>223</v>
      </c>
      <c r="D6" s="14" t="s">
        <v>224</v>
      </c>
    </row>
    <row r="7" customFormat="false" ht="46.25" hidden="false" customHeight="false" outlineLevel="0" collapsed="false">
      <c r="A7" s="14" t="n">
        <v>4</v>
      </c>
      <c r="B7" s="17" t="s">
        <v>225</v>
      </c>
      <c r="C7" s="14" t="s">
        <v>226</v>
      </c>
      <c r="D7" s="14" t="s">
        <v>227</v>
      </c>
    </row>
    <row r="8" customFormat="false" ht="23.85" hidden="false" customHeight="false" outlineLevel="0" collapsed="false">
      <c r="A8" s="14" t="n">
        <v>5</v>
      </c>
      <c r="B8" s="17" t="s">
        <v>228</v>
      </c>
      <c r="C8" s="14" t="s">
        <v>229</v>
      </c>
      <c r="D8" s="14" t="s">
        <v>230</v>
      </c>
    </row>
    <row r="9" customFormat="false" ht="23.85" hidden="false" customHeight="false" outlineLevel="0" collapsed="false">
      <c r="A9" s="14" t="n">
        <v>6</v>
      </c>
      <c r="B9" s="17" t="s">
        <v>231</v>
      </c>
      <c r="C9" s="14" t="s">
        <v>232</v>
      </c>
      <c r="D9" s="14" t="s">
        <v>233</v>
      </c>
    </row>
    <row r="10" customFormat="false" ht="15" hidden="false" customHeight="false" outlineLevel="0" collapsed="false">
      <c r="A10" s="14" t="n">
        <v>7</v>
      </c>
      <c r="B10" s="17" t="s">
        <v>234</v>
      </c>
      <c r="C10" s="14" t="s">
        <v>235</v>
      </c>
      <c r="D10" s="14" t="s">
        <v>236</v>
      </c>
    </row>
    <row r="11" customFormat="false" ht="15" hidden="false" customHeight="false" outlineLevel="0" collapsed="false">
      <c r="A11" s="14" t="n">
        <v>8</v>
      </c>
      <c r="B11" s="17" t="s">
        <v>237</v>
      </c>
      <c r="C11" s="14" t="s">
        <v>238</v>
      </c>
      <c r="D11" s="14" t="s">
        <v>239</v>
      </c>
    </row>
    <row r="12" customFormat="false" ht="23.85" hidden="false" customHeight="false" outlineLevel="0" collapsed="false">
      <c r="A12" s="14" t="n">
        <v>9</v>
      </c>
      <c r="B12" s="17" t="s">
        <v>240</v>
      </c>
      <c r="C12" s="14" t="s">
        <v>241</v>
      </c>
      <c r="D12" s="14" t="s">
        <v>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2026-10-11T14:35:24Z</dcterms:created>
  <dc:creator>openpyxl</dc:creator>
  <dc:description/>
  <dc:language>en-US</dc:language>
  <cp:lastModifiedBy/>
  <dcterms:modified xsi:type="dcterms:W3CDTF">2026-10-11T14:35:24Z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