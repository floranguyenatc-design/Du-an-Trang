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HỢP" sheetId="1" state="visible" r:id="rId3"/>
    <sheet name="SỔ CÔNG NỢ" sheetId="2" state="visible" r:id="rId4"/>
    <sheet name="CHI TIẾT HÀNG" sheetId="3" state="visible" r:id="rId5"/>
    <sheet name="THANH TOÁN" sheetId="4" state="visible" r:id="rId6"/>
    <sheet name="KIỂM TRA" sheetId="5" state="visible" r:id="rId7"/>
    <sheet name="HƯỚNG DẪN" sheetId="6" state="visible" r:id="rId8"/>
  </sheets>
  <definedNames>
    <definedName function="false" hidden="true" localSheetId="2" name="_xlnm._FilterDatabase" vbProcedure="false">'CHI TIẾT HÀNG'!$A$4:$M$1004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<sst xmlns="http://schemas.openxmlformats.org/spreadsheetml/2006/main" count="463" uniqueCount="168">
  <si>
    <t xml:space="preserve">TỔNG HỢP CÔNG NỢ KHÁCH HÀNG</t>
  </si>
  <si>
    <t xml:space="preserve">Số dương = khách còn nợ công ty; số âm (đỏ) = công ty đang nợ lại khách (khách trả dư). Tất cả số liệu tự tính từ CHI TIẾT HÀNG, THANH TOÁN và SỔ CÔNG NỢ.</t>
  </si>
  <si>
    <t xml:space="preserve">KHÁCH CÒN NỢ CÔNG TY</t>
  </si>
  <si>
    <t xml:space="preserve">CÔNG TY NỢ LẠI KHÁCH</t>
  </si>
  <si>
    <t xml:space="preserve">SỐ KHÁCH ĐANG NỢ</t>
  </si>
  <si>
    <t xml:space="preserve">PHÁT SINH SAU CK (TẤT CẢ KỲ)</t>
  </si>
  <si>
    <t xml:space="preserve">▶ CÔNG NỢ TỪNG KHÁCH</t>
  </si>
  <si>
    <t xml:space="preserve">STT</t>
  </si>
  <si>
    <t xml:space="preserve">Khách hàng</t>
  </si>
  <si>
    <t xml:space="preserve">Biên bản
gần nhất</t>
  </si>
  <si>
    <t xml:space="preserve">Nợ đầu kỳ
(kỳ đầu tiên)</t>
  </si>
  <si>
    <t xml:space="preserve">Phát sinh
(giá gốc)</t>
  </si>
  <si>
    <t xml:space="preserve">Tiền chiết khấu</t>
  </si>
  <si>
    <t xml:space="preserve">Phát sinh
sau CK</t>
  </si>
  <si>
    <t xml:space="preserve">Hàng trả lại
sau CK</t>
  </si>
  <si>
    <t xml:space="preserve">Đã thanh toán</t>
  </si>
  <si>
    <t xml:space="preserve">NỢ HIỆN TẠI</t>
  </si>
  <si>
    <t xml:space="preserve">Tình trạng</t>
  </si>
  <si>
    <t xml:space="preserve">Lưu ý</t>
  </si>
  <si>
    <t xml:space="preserve">Hiền Xuân</t>
  </si>
  <si>
    <t xml:space="preserve">Hòa Hiệp</t>
  </si>
  <si>
    <t xml:space="preserve">Hà Liên</t>
  </si>
  <si>
    <t xml:space="preserve">TỔNG</t>
  </si>
  <si>
    <t xml:space="preserve">Tháng bắt đầu của các bảng bên dưới:</t>
  </si>
  <si>
    <t xml:space="preserve">▶ NỢ CUỐI KỲ THEO THÁNG (số âm = công ty nợ khách)</t>
  </si>
  <si>
    <t xml:space="preserve">▶ PHÁT SINH SAU CHIẾT KHẤU THEO THÁNG</t>
  </si>
  <si>
    <t xml:space="preserve">▶ KHÁCH ĐÃ THANH TOÁN THEO THÁNG</t>
  </si>
  <si>
    <t xml:space="preserve">SỔ CÔNG NỢ THEO KHÁCH – THEO THÁNG</t>
  </si>
  <si>
    <t xml:space="preserve">Số dương = khách còn nợ công ty. Số âm (đỏ) = khách trả dư, công ty đang nợ lại khách. Chị chỉ nhập: tên khách, tháng, % chiết khấu (và nợ đầu kỳ của tháng đầu tiên).</t>
  </si>
  <si>
    <t xml:space="preserve">Tháng</t>
  </si>
  <si>
    <t xml:space="preserve">Nợ đầu kỳ</t>
  </si>
  <si>
    <t xml:space="preserve">% chiết khấu</t>
  </si>
  <si>
    <t xml:space="preserve">Phát sinh
sau chiết khấu</t>
  </si>
  <si>
    <t xml:space="preserve">Hàng trả lại
(giá gốc)</t>
  </si>
  <si>
    <t xml:space="preserve">Hàng trả lại
sau chiết khấu</t>
  </si>
  <si>
    <t xml:space="preserve">TỔNG NỢ
PHẢI THANH TOÁN</t>
  </si>
  <si>
    <t xml:space="preserve">Khách đã
thanh toán</t>
  </si>
  <si>
    <t xml:space="preserve">NỢ CUỐI KỲ</t>
  </si>
  <si>
    <t xml:space="preserve">Theo biên bản
(đối chiếu)</t>
  </si>
  <si>
    <t xml:space="preserve">Chênh lệch
(phải = 0)</t>
  </si>
  <si>
    <t xml:space="preserve">Ghi chú</t>
  </si>
  <si>
    <t xml:space="preserve">Có 1 thùng ISG06 khách trả lại 30/07</t>
  </si>
  <si>
    <t xml:space="preserve">Khách thanh toán dư 112.500 đ (đã trả 1.500.000 so với 1.387.500 phải trả)</t>
  </si>
  <si>
    <t xml:space="preserve">Khách thanh toán 33.240.000 &gt; nợ 26.144.590 → công ty nợ lại 7.095.410</t>
  </si>
  <si>
    <t xml:space="preserve">Biên bản ghi nhầm tiêu đề "Tháng 8"; chưa ghi khoản thanh toán nào; đầu kỳ −7.095.410 do kỳ trước khách trả dư</t>
  </si>
  <si>
    <t xml:space="preserve">Cột "Theo biên bản" là số cuối kỳ ghi trên biên bản đối chiếu gửi khách (chỉ để so sánh). Tháng mới: gõ tên khách + tháng + % chiết khấu, bỏ trống cột này.</t>
  </si>
  <si>
    <t xml:space="preserve">CHI TIẾT HÀNG BÁN / TRẢ LẠI THEO KHÁCH</t>
  </si>
  <si>
    <t xml:space="preserve">Mỗi dòng = 1 mặt hàng trên biên bản đối chiếu. Hàng khách trả lại ghi Loại = "Trả lại". Cột xám tự tính.</t>
  </si>
  <si>
    <t xml:space="preserve">Ngày</t>
  </si>
  <si>
    <t xml:space="preserve">Kỳ (tháng)</t>
  </si>
  <si>
    <t xml:space="preserve">Loại</t>
  </si>
  <si>
    <t xml:space="preserve">Mã SP</t>
  </si>
  <si>
    <t xml:space="preserve">Dung tích</t>
  </si>
  <si>
    <t xml:space="preserve">Tên hàng hoá</t>
  </si>
  <si>
    <t xml:space="preserve">Mã màu / ghi chú</t>
  </si>
  <si>
    <t xml:space="preserve">Số lượng</t>
  </si>
  <si>
    <t xml:space="preserve">Đơn giá (VNĐ)</t>
  </si>
  <si>
    <t xml:space="preserve">Hệ số
(màu */**)</t>
  </si>
  <si>
    <t xml:space="preserve">Thành tiền (VNĐ)</t>
  </si>
  <si>
    <t xml:space="preserve">Kiểm tra / lưu ý</t>
  </si>
  <si>
    <t xml:space="preserve">Bán</t>
  </si>
  <si>
    <t xml:space="preserve">IL5</t>
  </si>
  <si>
    <t xml:space="preserve">18L</t>
  </si>
  <si>
    <t xml:space="preserve">SƠN LÓT NỘI THẤT KHÁNG KIỀM  SILVER</t>
  </si>
  <si>
    <t xml:space="preserve">Lót Trong</t>
  </si>
  <si>
    <t xml:space="preserve">EL5</t>
  </si>
  <si>
    <t xml:space="preserve">SƠN LÓT NGOẠI THẤT KHÁNG KIỀM  SILVER</t>
  </si>
  <si>
    <t xml:space="preserve">Lót Ngoái </t>
  </si>
  <si>
    <t xml:space="preserve">ESG10</t>
  </si>
  <si>
    <t xml:space="preserve">SƠN NGOẠI THẤTCAO CẤP BÓNG MỜ IMPERIA</t>
  </si>
  <si>
    <t xml:space="preserve">Màu Ngoài </t>
  </si>
  <si>
    <t xml:space="preserve">ISG06</t>
  </si>
  <si>
    <t xml:space="preserve">SƠN NỘI THẤTCAO CẤP BÓNG MỜ IMPERIA</t>
  </si>
  <si>
    <t xml:space="preserve">Màu Trong </t>
  </si>
  <si>
    <t xml:space="preserve">CT12</t>
  </si>
  <si>
    <t xml:space="preserve">SƠN CHỐNG THẤM ĐA NĂNG  IMPERIA</t>
  </si>
  <si>
    <t xml:space="preserve">Chống Thấm </t>
  </si>
  <si>
    <t xml:space="preserve">LÓT NGOÀI </t>
  </si>
  <si>
    <t xml:space="preserve">310-B3 </t>
  </si>
  <si>
    <t xml:space="preserve">Đơn giá 409,000 là giá 1L, nhưng dung tích ghi 18L (giá 18L = 5,331,000) – nghi bán thiếu tiền</t>
  </si>
  <si>
    <t xml:space="preserve">333</t>
  </si>
  <si>
    <t xml:space="preserve">Trả lại</t>
  </si>
  <si>
    <t xml:space="preserve">IG05</t>
  </si>
  <si>
    <t xml:space="preserve">5L</t>
  </si>
  <si>
    <t xml:space="preserve">SƠN NỘI THẤT SIÊU BÓNG CAO CẤP  IMPERIA</t>
  </si>
  <si>
    <t xml:space="preserve">PI04</t>
  </si>
  <si>
    <t xml:space="preserve">SƠN LÓT NỘI THẤT KHÁNG KIỀM  CAO CẤP  IMPERIA</t>
  </si>
  <si>
    <t xml:space="preserve">ETM</t>
  </si>
  <si>
    <t xml:space="preserve">SƠN CHỐNG THẤM MÀU</t>
  </si>
  <si>
    <t xml:space="preserve">309</t>
  </si>
  <si>
    <t xml:space="preserve">357</t>
  </si>
  <si>
    <t xml:space="preserve">b1</t>
  </si>
  <si>
    <t xml:space="preserve">343</t>
  </si>
  <si>
    <t xml:space="preserve">IEW</t>
  </si>
  <si>
    <t xml:space="preserve">SƠN NỘI THẤT SIÊU TRẮNG IMPERIA</t>
  </si>
  <si>
    <t xml:space="preserve">Đơn giá cao hơn bảng giá T4/2026 (2,465,000) 10%</t>
  </si>
  <si>
    <t xml:space="preserve">346-B1</t>
  </si>
  <si>
    <t xml:space="preserve">181</t>
  </si>
  <si>
    <t xml:space="preserve">ESI</t>
  </si>
  <si>
    <t xml:space="preserve">SƠN NGOẠI THẤT BỀN MÀU SILVER</t>
  </si>
  <si>
    <t xml:space="preserve">CTS</t>
  </si>
  <si>
    <t xml:space="preserve">SƠN CHỐNG THẤM SIÊU CO GIÃN</t>
  </si>
  <si>
    <t xml:space="preserve">PE02</t>
  </si>
  <si>
    <t xml:space="preserve">SƠN LÓT NGỌAI THẤT KHÁNG KIỀM  CAO CẤP  IMPERIA</t>
  </si>
  <si>
    <t xml:space="preserve">BA</t>
  </si>
  <si>
    <t xml:space="preserve">Bao</t>
  </si>
  <si>
    <t xml:space="preserve">Bột bả nội + ngoại</t>
  </si>
  <si>
    <t xml:space="preserve">Trắng sứ</t>
  </si>
  <si>
    <t xml:space="preserve">359-b3</t>
  </si>
  <si>
    <t xml:space="preserve">1L</t>
  </si>
  <si>
    <t xml:space="preserve">333-B1</t>
  </si>
  <si>
    <t xml:space="preserve">339-B1</t>
  </si>
  <si>
    <t xml:space="preserve">Không có đơn giá (khuyến mại): Khuyến mại</t>
  </si>
  <si>
    <t xml:space="preserve">360</t>
  </si>
  <si>
    <t xml:space="preserve">ISI</t>
  </si>
  <si>
    <t xml:space="preserve">SƠN NỘI THẤT BỀN MÀU SILVER</t>
  </si>
  <si>
    <t xml:space="preserve">B1</t>
  </si>
  <si>
    <t xml:space="preserve">071-b1</t>
  </si>
  <si>
    <t xml:space="preserve">NHẬT KÝ KHÁCH THANH TOÁN</t>
  </si>
  <si>
    <t xml:space="preserve">Mỗi lần khách trả tiền ghi 1 dòng. Số tiền tự cộng vào sổ công nợ của đúng khách, đúng tháng.</t>
  </si>
  <si>
    <t xml:space="preserve">Ngày thanh toán</t>
  </si>
  <si>
    <t xml:space="preserve">Số tiền (VNĐ)</t>
  </si>
  <si>
    <t xml:space="preserve">Nguồn</t>
  </si>
  <si>
    <t xml:space="preserve">Ngày 30 tháng 07 CH Thanh toán</t>
  </si>
  <si>
    <t xml:space="preserve">Biên bản đối chiếu tháng 7</t>
  </si>
  <si>
    <t xml:space="preserve">CH đã tt ngày 14/06</t>
  </si>
  <si>
    <t xml:space="preserve">Biên bản đối chiếu tháng 6</t>
  </si>
  <si>
    <t xml:space="preserve">CH đã tt ngày 21/6</t>
  </si>
  <si>
    <t xml:space="preserve">Ngày 08 tháng 07 CH Thanh toán</t>
  </si>
  <si>
    <t xml:space="preserve">Ngày 26 tháng 08 CH Thanh toán</t>
  </si>
  <si>
    <t xml:space="preserve">Biên bản đối chiếu tháng 8</t>
  </si>
  <si>
    <t xml:space="preserve">ĐỐI CHIẾU VÀ CÁC ĐIỂM CẦN CHỊ XÁC NHẬN</t>
  </si>
  <si>
    <t xml:space="preserve">Em đã dựng lại toàn bộ công nợ từ chi tiết hàng + thanh toán, rồi so với số cuối kỳ ghi trên từng biên bản.</t>
  </si>
  <si>
    <t xml:space="preserve">#</t>
  </si>
  <si>
    <t xml:space="preserve">Nội dung</t>
  </si>
  <si>
    <t xml:space="preserve">Chi tiết</t>
  </si>
  <si>
    <t xml:space="preserve">Mức độ</t>
  </si>
  <si>
    <t xml:space="preserve">Đối chiếu 6 biên bản</t>
  </si>
  <si>
    <t xml:space="preserve">Cả 6 kỳ (Hiền Xuân T7, Hòa Hiệp T6, Hà Liên T6–T9) tính lại khớp 100% số phát sinh, chiết khấu, thanh toán và nợ cuối kỳ trên biên bản. Cột "Chênh lệch" ở SỔ CÔNG NỢ đều bằng 0.</t>
  </si>
  <si>
    <t xml:space="preserve">OK</t>
  </si>
  <si>
    <t xml:space="preserve">Hiền Xuân T7 – dòng ESG10 màu 310-B3 (23/07)</t>
  </si>
  <si>
    <t xml:space="preserve">Dung tích ghi 18L nhưng đơn giá 409.000 là giá lon 1L (giá 18L = 5.331.000, ×1,15 màu = 6.130.650). Thành tiền hiện 470.350. Nếu thực tế là 18L thì biên bản thiếu khoảng 5,66 triệu (gốc), tương đương khoảng 2,15 triệu sau chiết khấu 62%. Dòng này cũng có trong XUẤT KHO T7.</t>
  </si>
  <si>
    <t xml:space="preserve">Cần xác nhận</t>
  </si>
  <si>
    <t xml:space="preserve">Hà Liên T9 – chưa ghi thanh toán</t>
  </si>
  <si>
    <t xml:space="preserve">Biên bản tháng 9 chưa có khoản thanh toán nào, nợ 33.078.350 là số khách còn nợ tính đến 30/09 (đã trừ 7.095.410 khách trả dư từ tháng 8).</t>
  </si>
  <si>
    <t xml:space="preserve">Hà Liên T9 – ghi nhầm tiêu đề</t>
  </si>
  <si>
    <t xml:space="preserve">Tiêu đề biên bản tháng 9 ghi "Tháng 8 - 2026". Nội dung (ngày 03/09–25/09) đúng là tháng 9.</t>
  </si>
  <si>
    <t xml:space="preserve">Sửa biên bản</t>
  </si>
  <si>
    <t xml:space="preserve">Hòa Hiệp – chỉ có tháng 6</t>
  </si>
  <si>
    <t xml:space="preserve">Thiếu biên bản tháng 7, 8, 9. Số dư −112.500 (khách trả dư) là tính đến 30/06. Hiền Xuân cũng chỉ có tháng 7 (nợ đầu kỳ 63.600 là số cũ chuyển sang).</t>
  </si>
  <si>
    <t xml:space="preserve">Cần bổ sung</t>
  </si>
  <si>
    <t xml:space="preserve">Chiết khấu mỗi khách khác nhau</t>
  </si>
  <si>
    <t xml:space="preserve">Hiền Xuân 62%, Hòa Hiệp 63%, Hà Liên 60%. Hàng trả lại tính cùng % chiết khấu của tháng đó.</t>
  </si>
  <si>
    <t xml:space="preserve">Đơn giá IEW 18L = 2.712.000</t>
  </si>
  <si>
    <t xml:space="preserve">Cao hơn bảng giá T4/2026 (2.465.000) đúng 10%; ở Hà Liên T7 và T9. Có vẻ là giá đã điều chỉnh, chị kiểm lại bảng giá.</t>
  </si>
  <si>
    <t xml:space="preserve">Dòng khuyến mại</t>
  </si>
  <si>
    <t xml:space="preserve">Hà Liên T9 có 1 thùng PI04 18L ghi "Khuyến mại", không tính tiền (thành tiền 0).</t>
  </si>
  <si>
    <t xml:space="preserve">Hòa Hiệp T6 – thanh toán dư</t>
  </si>
  <si>
    <t xml:space="preserve">Khách trả 2 lần 750.000 = 1.500.000, trong khi phải trả 1.387.500 → dư 112.500.</t>
  </si>
  <si>
    <t xml:space="preserve">Tổng chênh lệch so với biên bản (phải = 0):</t>
  </si>
  <si>
    <t xml:space="preserve">HƯỚNG DẪN SỬ DỤNG</t>
  </si>
  <si>
    <t xml:space="preserve">Mỗi tháng chị làm 3 việc, còn lại số liệu tự nhảy ra ở TỔNG HỢP.</t>
  </si>
  <si>
    <t xml:space="preserve">1. CHI TIẾT HÀNG: ghi từng mặt hàng đã giao cho khách (Khách, Ngày, Mã SP, Dung tích, Số lượng, Đơn giá, Hệ số màu). Hàng khách trả lại thì chọn Loại = "Trả lại". Kỳ (tháng) và thành tiền tự tính theo ngày.</t>
  </si>
  <si>
    <t xml:space="preserve">2. THANH TOÁN: mỗi lần khách trả tiền ghi 1 dòng (Khách, Ngày, Số tiền).</t>
  </si>
  <si>
    <t xml:space="preserve">3. SỔ CÔNG NỢ: sang tháng mới, gõ vào dòng vàng trống đầu tiên: Khách hàng + Tháng (ngày mùng 1, ví dụ 01/10/2026) + % chiết khấu. Nợ đầu kỳ tự lấy từ cuối kỳ tháng trước; phát sinh, chiết khấu, thanh toán, nợ cuối kỳ tự tính.</t>
  </si>
  <si>
    <t xml:space="preserve">4. TỔNG HỢP: xem nợ hiện tại của từng khách, tổng khách còn nợ, công ty nợ lại khách, và 3 bảng theo tháng (nợ cuối kỳ, phát sinh sau chiết khấu, đã thanh toán).</t>
  </si>
  <si>
    <t xml:space="preserve">Khách mới: gõ tên vào ô vàng trống ở bảng TỔNG HỢP (cột Khách hàng). Rồi ở SỔ CÔNG NỢ, dòng tháng đầu tiên của khách đó gõ tay Nợ đầu kỳ (nếu có) – ô cột Nợ đầu kỳ chỉ cần ghi đè công thức.</t>
  </si>
  <si>
    <t xml:space="preserve">Chữ XANH / ô vàng = chị nhập. Chữ đen / ô xám = công thức, đừng xóa. Cột "Theo biên bản" chỉ để đối chiếu với số ghi trên biên bản gửi khách, có thể để trống.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</si>
</sst>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&quot; đ&quot;"/>
    <numFmt numFmtId="166" formatCode="0"/>
    <numFmt numFmtId="167" formatCode="General"/>
    <numFmt numFmtId="168" formatCode="mm/yyyy"/>
    <numFmt numFmtId="169" formatCode="#,##0;[RED]\-#,##0;\-"/>
    <numFmt numFmtId="170" formatCode="\Tm/yyyy"/>
    <numFmt numFmtId="171" formatCode="#,##0,,&quot;tr&quot;"/>
    <numFmt numFmtId="172" formatCode="0%"/>
    <numFmt numFmtId="173" formatCode="dd/mm/yyyy"/>
    <numFmt numFmtId="174" formatCode="#,##0"/>
    <numFmt numFmtId="175" formatCode="#,##0;\-#,##0;\-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C00000"/>
      <name val="Arial"/>
      <family val="0"/>
      <charset val="1"/>
    </font>
    <font>
      <b val="true"/>
      <sz val="16"/>
      <color rgb="FF7030A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C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C00000"/>
        <bgColor rgb="FF9C0006"/>
      </patternFill>
    </fill>
    <fill>
      <patternFill patternType="solid">
        <fgColor rgb="FF7030A0"/>
        <bgColor rgb="FF993366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9F9F9"/>
      </patternFill>
    </fill>
    <fill>
      <patternFill patternType="solid">
        <fgColor rgb="FFFFF2CC"/>
        <bgColor rgb="FFFDE9D9"/>
      </patternFill>
    </fill>
    <fill>
      <patternFill patternType="solid">
        <fgColor rgb="FFD9E1F2"/>
        <bgColor rgb="FFE4DFEC"/>
      </patternFill>
    </fill>
    <fill>
      <patternFill patternType="solid">
        <fgColor rgb="FFDDEBF7"/>
        <bgColor rgb="FFD9E1F2"/>
      </patternFill>
    </fill>
    <fill>
      <patternFill patternType="solid">
        <fgColor rgb="FFC6EFCE"/>
        <bgColor rgb="FFDDEBF7"/>
      </patternFill>
    </fill>
    <fill>
      <patternFill patternType="solid">
        <fgColor rgb="FFFFC7CE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7030A0"/>
      </font>
      <fill>
        <patternFill>
          <bgColor rgb="FFE4DFEC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C00000"/>
      </font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>
          <bgColor rgb="FFFDE9D9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BFBFBF"/>
      <rgbColor rgb="FF7F7F7F"/>
      <rgbColor rgb="FF9999FF"/>
      <rgbColor rgb="FF7030A0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DE9D9"/>
      <rgbColor rgb="FFD9E1F2"/>
      <rgbColor rgb="FFF9F9F9"/>
      <rgbColor rgb="FFE4DFEC"/>
      <rgbColor rgb="FFFFC7CE"/>
      <rgbColor rgb="FF4F81BD"/>
      <rgbColor rgb="FF33CCCC"/>
      <rgbColor rgb="FF99CC00"/>
      <rgbColor rgb="FFFFCC00"/>
      <rgbColor rgb="FFFF9900"/>
      <rgbColor rgb="FFC55A11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Nợ hiện tại theo khách (VNĐ)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'TỔNG HỢP'!$B$9:$B$14</c:f>
              <c:strCache>
                <c:ptCount val="6"/>
                <c:pt idx="0">
                  <c:v>Hiền Xuân</c:v>
                </c:pt>
                <c:pt idx="1">
                  <c:v>Hòa Hiệp</c:v>
                </c:pt>
                <c:pt idx="2">
                  <c:v>Hà Liên</c:v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</c:strCache>
            </c:strRef>
          </c:cat>
          <c:val>
            <c:numRef>
              <c:f>'TỔNG HỢP'!$J$9:$J$14</c:f>
              <c:numCache>
                <c:formatCode>#,##0;[RED]\-#,##0;\-</c:formatCode>
                <c:ptCount val="6"/>
                <c:pt idx="0">
                  <c:v>120633</c:v>
                </c:pt>
                <c:pt idx="1">
                  <c:v>-112500</c:v>
                </c:pt>
                <c:pt idx="2">
                  <c:v>33078350</c:v>
                </c:pt>
              </c:numCache>
            </c:numRef>
          </c:val>
        </c:ser>
        <c:gapWidth val="150"/>
        <c:overlap val="0"/>
        <c:axId val="71205396"/>
        <c:axId val="71691086"/>
      </c:barChart>
      <c:catAx>
        <c:axId val="712053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691086"/>
        <c:crosses val="autoZero"/>
        <c:auto val="1"/>
        <c:lblAlgn val="ctr"/>
        <c:lblOffset val="100"/>
        <c:noMultiLvlLbl val="0"/>
      </c:catAx>
      <c:valAx>
        <c:axId val="716910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,,&quot;tr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2053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2</xdr:row>
      <xdr:rowOff>131040</xdr:rowOff>
    </xdr:from>
    <xdr:to>
      <xdr:col>21</xdr:col>
      <xdr:colOff>187560</xdr:colOff>
      <xdr:row>12</xdr:row>
      <xdr:rowOff>31320</xdr:rowOff>
    </xdr:to>
    <xdr:graphicFrame>
      <xdr:nvGraphicFramePr>
        <xdr:cNvPr id="0" name="Chart 1"/>
        <xdr:cNvGraphicFramePr/>
      </xdr:nvGraphicFramePr>
      <xdr:xfrm>
        <a:off x="15577200" y="57168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L7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9" min="5" style="0" width="15"/>
    <col collapsed="false" customWidth="true" hidden="false" outlineLevel="0" max="10" min="10" style="0" width="16"/>
    <col collapsed="false" customWidth="true" hidden="false" outlineLevel="0" max="11" min="11" style="0" width="19"/>
    <col collapsed="false" customWidth="true" hidden="false" outlineLevel="0" max="12" min="12" style="0" width="60"/>
    <col collapsed="false" customWidth="true" hidden="false" outlineLevel="0" max="14" min="13" style="0" width="3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5.5" hidden="false" customHeight="true" outlineLevel="0" collapsed="false">
      <c r="A4" s="3" t="s">
        <v>2</v>
      </c>
      <c r="B4" s="3"/>
      <c r="D4" s="4" t="s">
        <v>3</v>
      </c>
      <c r="E4" s="4"/>
      <c r="G4" s="5" t="s">
        <v>4</v>
      </c>
      <c r="H4" s="5"/>
      <c r="J4" s="5" t="s">
        <v>5</v>
      </c>
      <c r="K4" s="5"/>
    </row>
    <row r="5" customFormat="false" ht="33.75" hidden="false" customHeight="true" outlineLevel="0" collapsed="false">
      <c r="A5" s="6" t="n">
        <f aca="false">SUMIF(J9:J20,"&gt;0")</f>
        <v>33198983</v>
      </c>
      <c r="B5" s="6"/>
      <c r="D5" s="7" t="n">
        <f aca="false">-SUMIF(J9:J20,"&lt;0")</f>
        <v>112500</v>
      </c>
      <c r="E5" s="7"/>
      <c r="G5" s="8" t="n">
        <f aca="false">COUNTIF(J9:J20,"&gt;0")</f>
        <v>2</v>
      </c>
      <c r="H5" s="8"/>
      <c r="J5" s="9" t="n">
        <f aca="false">SUM(G9:G20)</f>
        <v>113969593</v>
      </c>
      <c r="K5" s="9"/>
    </row>
    <row r="7" customFormat="false" ht="15" hidden="false" customHeight="false" outlineLevel="0" collapsed="false">
      <c r="A7" s="10" t="s">
        <v>6</v>
      </c>
    </row>
    <row r="8" customFormat="false" ht="42" hidden="false" customHeight="true" outlineLevel="0" collapsed="false">
      <c r="A8" s="11" t="s">
        <v>7</v>
      </c>
      <c r="B8" s="11" t="s">
        <v>8</v>
      </c>
      <c r="C8" s="11" t="s">
        <v>9</v>
      </c>
      <c r="D8" s="11" t="s">
        <v>10</v>
      </c>
      <c r="E8" s="11" t="s">
        <v>11</v>
      </c>
      <c r="F8" s="11" t="s">
        <v>12</v>
      </c>
      <c r="G8" s="11" t="s">
        <v>13</v>
      </c>
      <c r="H8" s="11" t="s">
        <v>14</v>
      </c>
      <c r="I8" s="11" t="s">
        <v>15</v>
      </c>
      <c r="J8" s="11" t="s">
        <v>16</v>
      </c>
      <c r="K8" s="11" t="s">
        <v>17</v>
      </c>
      <c r="L8" s="11" t="s">
        <v>18</v>
      </c>
    </row>
    <row r="9" customFormat="false" ht="15" hidden="false" customHeight="false" outlineLevel="0" collapsed="false">
      <c r="A9" s="12" t="n">
        <f aca="false">IF($B9="","",ROW()-8)</f>
        <v>1</v>
      </c>
      <c r="B9" s="13" t="s">
        <v>19</v>
      </c>
      <c r="C9" s="14" t="n">
        <f aca="false">IF($B9="","",_xlfn.MAXIFS('SỔ CÔNG NỢ'!$B$5:$B$51,'SỔ CÔNG NỢ'!$A$5:$A$51,$B9))</f>
        <v>46204</v>
      </c>
      <c r="D9" s="15" t="n">
        <f aca="false">IF($B9="","",SUMIFS('SỔ CÔNG NỢ'!$C$5:$C$51,'SỔ CÔNG NỢ'!$A$5:$A$51,$B9,'SỔ CÔNG NỢ'!$B$5:$B$51,_xlfn.MINIFS('SỔ CÔNG NỢ'!$B$5:$B$51,'SỔ CÔNG NỢ'!$A$5:$A$51,$B9)))</f>
        <v>63600</v>
      </c>
      <c r="E9" s="15" t="n">
        <f aca="false">IF($B9="","",SUMIFS('SỔ CÔNG NỢ'!$D$5:$D$51,'SỔ CÔNG NỢ'!$A$5:$A$51,$B9))</f>
        <v>83852350</v>
      </c>
      <c r="F9" s="15" t="n">
        <f aca="false">IF($B9="","",SUMIFS('SỔ CÔNG NỢ'!$F$5:$F$51,'SỔ CÔNG NỢ'!$A$5:$A$51,$B9))</f>
        <v>51988457</v>
      </c>
      <c r="G9" s="15" t="n">
        <f aca="false">IF($B9="","",SUMIFS('SỔ CÔNG NỢ'!$G$5:$G$51,'SỔ CÔNG NỢ'!$A$5:$A$51,$B9))</f>
        <v>31863893</v>
      </c>
      <c r="H9" s="15" t="n">
        <f aca="false">IF($B9="","",SUMIFS('SỔ CÔNG NỢ'!$I$5:$I$51,'SỔ CÔNG NỢ'!$A$5:$A$51,$B9))</f>
        <v>1746860</v>
      </c>
      <c r="I9" s="15" t="n">
        <f aca="false">IF($B9="","",SUMIFS('SỔ CÔNG NỢ'!$K$5:$K$51,'SỔ CÔNG NỢ'!$A$5:$A$51,$B9))</f>
        <v>30060000</v>
      </c>
      <c r="J9" s="16" t="n">
        <f aca="false">IF($B9="","",SUMIFS('SỔ CÔNG NỢ'!$L$5:$L$51,'SỔ CÔNG NỢ'!$A$5:$A$51,$B9,'SỔ CÔNG NỢ'!$B$5:$B$51,C9))</f>
        <v>120633</v>
      </c>
      <c r="K9" s="17" t="str">
        <f aca="false">IF($B9="","",IF(J9&gt;0,"Khách còn nợ",IF(J9&lt;0,"Công ty nợ khách","Hết nợ")))</f>
        <v>Khách còn nợ</v>
      </c>
      <c r="L9" s="18" t="str">
        <f aca="false">IF($B9="","",IF(C9&lt;MAX('SỔ CÔNG NỢ'!$B$5:$B$51),"⚠ Chưa có biên bản sau tháng "&amp;TEXT(C9,"mm/yyyy")&amp;" (sổ có đến "&amp;TEXT(MAX('SỔ CÔNG NỢ'!$B$5:$B$51),"mm/yyyy")&amp;")",""))</f>
        <v>⚠ Chưa có biên bản sau tháng 07/2026 (sổ có đến 09/2026)</v>
      </c>
    </row>
    <row r="10" customFormat="false" ht="15" hidden="false" customHeight="false" outlineLevel="0" collapsed="false">
      <c r="A10" s="12" t="n">
        <f aca="false">IF($B10="","",ROW()-8)</f>
        <v>2</v>
      </c>
      <c r="B10" s="13" t="s">
        <v>20</v>
      </c>
      <c r="C10" s="14" t="n">
        <f aca="false">IF($B10="","",_xlfn.MAXIFS('SỔ CÔNG NỢ'!$B$5:$B$51,'SỔ CÔNG NỢ'!$A$5:$A$51,$B10))</f>
        <v>46174</v>
      </c>
      <c r="D10" s="15" t="n">
        <f aca="false">IF($B10="","",SUMIFS('SỔ CÔNG NỢ'!$C$5:$C$51,'SỔ CÔNG NỢ'!$A$5:$A$51,$B10,'SỔ CÔNG NỢ'!$B$5:$B$51,_xlfn.MINIFS('SỔ CÔNG NỢ'!$B$5:$B$51,'SỔ CÔNG NỢ'!$A$5:$A$51,$B10)))</f>
        <v>0</v>
      </c>
      <c r="E10" s="15" t="n">
        <f aca="false">IF($B10="","",SUMIFS('SỔ CÔNG NỢ'!$D$5:$D$51,'SỔ CÔNG NỢ'!$A$5:$A$51,$B10))</f>
        <v>3750000</v>
      </c>
      <c r="F10" s="15" t="n">
        <f aca="false">IF($B10="","",SUMIFS('SỔ CÔNG NỢ'!$F$5:$F$51,'SỔ CÔNG NỢ'!$A$5:$A$51,$B10))</f>
        <v>2362500</v>
      </c>
      <c r="G10" s="15" t="n">
        <f aca="false">IF($B10="","",SUMIFS('SỔ CÔNG NỢ'!$G$5:$G$51,'SỔ CÔNG NỢ'!$A$5:$A$51,$B10))</f>
        <v>1387500</v>
      </c>
      <c r="H10" s="15" t="n">
        <f aca="false">IF($B10="","",SUMIFS('SỔ CÔNG NỢ'!$I$5:$I$51,'SỔ CÔNG NỢ'!$A$5:$A$51,$B10))</f>
        <v>0</v>
      </c>
      <c r="I10" s="15" t="n">
        <f aca="false">IF($B10="","",SUMIFS('SỔ CÔNG NỢ'!$K$5:$K$51,'SỔ CÔNG NỢ'!$A$5:$A$51,$B10))</f>
        <v>1500000</v>
      </c>
      <c r="J10" s="16" t="n">
        <f aca="false">IF($B10="","",SUMIFS('SỔ CÔNG NỢ'!$L$5:$L$51,'SỔ CÔNG NỢ'!$A$5:$A$51,$B10,'SỔ CÔNG NỢ'!$B$5:$B$51,C10))</f>
        <v>-112500</v>
      </c>
      <c r="K10" s="17" t="str">
        <f aca="false">IF($B10="","",IF(J10&gt;0,"Khách còn nợ",IF(J10&lt;0,"Công ty nợ khách","Hết nợ")))</f>
        <v>Công ty nợ khách</v>
      </c>
      <c r="L10" s="18" t="str">
        <f aca="false">IF($B10="","",IF(C10&lt;MAX('SỔ CÔNG NỢ'!$B$5:$B$51),"⚠ Chưa có biên bản sau tháng "&amp;TEXT(C10,"mm/yyyy")&amp;" (sổ có đến "&amp;TEXT(MAX('SỔ CÔNG NỢ'!$B$5:$B$51),"mm/yyyy")&amp;")",""))</f>
        <v>⚠ Chưa có biên bản sau tháng 06/2026 (sổ có đến 09/2026)</v>
      </c>
    </row>
    <row r="11" customFormat="false" ht="15" hidden="false" customHeight="false" outlineLevel="0" collapsed="false">
      <c r="A11" s="12" t="n">
        <f aca="false">IF($B11="","",ROW()-8)</f>
        <v>3</v>
      </c>
      <c r="B11" s="13" t="s">
        <v>21</v>
      </c>
      <c r="C11" s="14" t="n">
        <f aca="false">IF($B11="","",_xlfn.MAXIFS('SỔ CÔNG NỢ'!$B$5:$B$51,'SỔ CÔNG NỢ'!$A$5:$A$51,$B11))</f>
        <v>46266</v>
      </c>
      <c r="D11" s="15" t="n">
        <f aca="false">IF($B11="","",SUMIFS('SỔ CÔNG NỢ'!$C$5:$C$51,'SỔ CÔNG NỢ'!$A$5:$A$51,$B11,'SỔ CÔNG NỢ'!$B$5:$B$51,_xlfn.MINIFS('SỔ CÔNG NỢ'!$B$5:$B$51,'SỔ CÔNG NỢ'!$A$5:$A$51,$B11)))</f>
        <v>890150</v>
      </c>
      <c r="E11" s="15" t="n">
        <f aca="false">IF($B11="","",SUMIFS('SỔ CÔNG NỢ'!$D$5:$D$51,'SỔ CÔNG NỢ'!$A$5:$A$51,$B11))</f>
        <v>201795500</v>
      </c>
      <c r="F11" s="15" t="n">
        <f aca="false">IF($B11="","",SUMIFS('SỔ CÔNG NỢ'!$F$5:$F$51,'SỔ CÔNG NỢ'!$A$5:$A$51,$B11))</f>
        <v>121077300</v>
      </c>
      <c r="G11" s="15" t="n">
        <f aca="false">IF($B11="","",SUMIFS('SỔ CÔNG NỢ'!$G$5:$G$51,'SỔ CÔNG NỢ'!$A$5:$A$51,$B11))</f>
        <v>80718200</v>
      </c>
      <c r="H11" s="15" t="n">
        <f aca="false">IF($B11="","",SUMIFS('SỔ CÔNG NỢ'!$I$5:$I$51,'SỔ CÔNG NỢ'!$A$5:$A$51,$B11))</f>
        <v>0</v>
      </c>
      <c r="I11" s="15" t="n">
        <f aca="false">IF($B11="","",SUMIFS('SỔ CÔNG NỢ'!$K$5:$K$51,'SỔ CÔNG NỢ'!$A$5:$A$51,$B11))</f>
        <v>48530000</v>
      </c>
      <c r="J11" s="16" t="n">
        <f aca="false">IF($B11="","",SUMIFS('SỔ CÔNG NỢ'!$L$5:$L$51,'SỔ CÔNG NỢ'!$A$5:$A$51,$B11,'SỔ CÔNG NỢ'!$B$5:$B$51,C11))</f>
        <v>33078350</v>
      </c>
      <c r="K11" s="17" t="str">
        <f aca="false">IF($B11="","",IF(J11&gt;0,"Khách còn nợ",IF(J11&lt;0,"Công ty nợ khách","Hết nợ")))</f>
        <v>Khách còn nợ</v>
      </c>
      <c r="L11" s="18" t="str">
        <f aca="false">IF($B11="","",IF(C11&lt;MAX('SỔ CÔNG NỢ'!$B$5:$B$51),"⚠ Chưa có biên bản sau tháng "&amp;TEXT(C11,"mm/yyyy")&amp;" (sổ có đến "&amp;TEXT(MAX('SỔ CÔNG NỢ'!$B$5:$B$51),"mm/yyyy")&amp;")",""))</f>
        <v/>
      </c>
    </row>
    <row r="12" customFormat="false" ht="15" hidden="false" customHeight="false" outlineLevel="0" collapsed="false">
      <c r="A12" s="12" t="str">
        <f aca="false">IF($B12="","",ROW()-8)</f>
        <v/>
      </c>
      <c r="B12" s="19"/>
      <c r="C12" s="14" t="str">
        <f aca="false">IF($B12="","",_xlfn.MAXIFS('SỔ CÔNG NỢ'!$B$5:$B$51,'SỔ CÔNG NỢ'!$A$5:$A$51,$B12))</f>
        <v/>
      </c>
      <c r="D12" s="15" t="str">
        <f aca="false">IF($B12="","",SUMIFS('SỔ CÔNG NỢ'!$C$5:$C$51,'SỔ CÔNG NỢ'!$A$5:$A$51,$B12,'SỔ CÔNG NỢ'!$B$5:$B$51,_xlfn.MINIFS('SỔ CÔNG NỢ'!$B$5:$B$51,'SỔ CÔNG NỢ'!$A$5:$A$51,$B12)))</f>
        <v/>
      </c>
      <c r="E12" s="15" t="str">
        <f aca="false">IF($B12="","",SUMIFS('SỔ CÔNG NỢ'!$D$5:$D$51,'SỔ CÔNG NỢ'!$A$5:$A$51,$B12))</f>
        <v/>
      </c>
      <c r="F12" s="15" t="str">
        <f aca="false">IF($B12="","",SUMIFS('SỔ CÔNG NỢ'!$F$5:$F$51,'SỔ CÔNG NỢ'!$A$5:$A$51,$B12))</f>
        <v/>
      </c>
      <c r="G12" s="15" t="str">
        <f aca="false">IF($B12="","",SUMIFS('SỔ CÔNG NỢ'!$G$5:$G$51,'SỔ CÔNG NỢ'!$A$5:$A$51,$B12))</f>
        <v/>
      </c>
      <c r="H12" s="15" t="str">
        <f aca="false">IF($B12="","",SUMIFS('SỔ CÔNG NỢ'!$I$5:$I$51,'SỔ CÔNG NỢ'!$A$5:$A$51,$B12))</f>
        <v/>
      </c>
      <c r="I12" s="15" t="str">
        <f aca="false">IF($B12="","",SUMIFS('SỔ CÔNG NỢ'!$K$5:$K$51,'SỔ CÔNG NỢ'!$A$5:$A$51,$B12))</f>
        <v/>
      </c>
      <c r="J12" s="16" t="str">
        <f aca="false">IF($B12="","",SUMIFS('SỔ CÔNG NỢ'!$L$5:$L$51,'SỔ CÔNG NỢ'!$A$5:$A$51,$B12,'SỔ CÔNG NỢ'!$B$5:$B$51,C12))</f>
        <v/>
      </c>
      <c r="K12" s="17" t="str">
        <f aca="false">IF($B12="","",IF(J12&gt;0,"Khách còn nợ",IF(J12&lt;0,"Công ty nợ khách","Hết nợ")))</f>
        <v/>
      </c>
      <c r="L12" s="18" t="str">
        <f aca="false">IF($B12="","",IF(C12&lt;MAX('SỔ CÔNG NỢ'!$B$5:$B$51),"⚠ Chưa có biên bản sau tháng "&amp;TEXT(C12,"mm/yyyy")&amp;" (sổ có đến "&amp;TEXT(MAX('SỔ CÔNG NỢ'!$B$5:$B$51),"mm/yyyy")&amp;")",""))</f>
        <v/>
      </c>
    </row>
    <row r="13" customFormat="false" ht="15" hidden="false" customHeight="false" outlineLevel="0" collapsed="false">
      <c r="A13" s="12" t="str">
        <f aca="false">IF($B13="","",ROW()-8)</f>
        <v/>
      </c>
      <c r="B13" s="19"/>
      <c r="C13" s="14" t="str">
        <f aca="false">IF($B13="","",_xlfn.MAXIFS('SỔ CÔNG NỢ'!$B$5:$B$51,'SỔ CÔNG NỢ'!$A$5:$A$51,$B13))</f>
        <v/>
      </c>
      <c r="D13" s="15" t="str">
        <f aca="false">IF($B13="","",SUMIFS('SỔ CÔNG NỢ'!$C$5:$C$51,'SỔ CÔNG NỢ'!$A$5:$A$51,$B13,'SỔ CÔNG NỢ'!$B$5:$B$51,_xlfn.MINIFS('SỔ CÔNG NỢ'!$B$5:$B$51,'SỔ CÔNG NỢ'!$A$5:$A$51,$B13)))</f>
        <v/>
      </c>
      <c r="E13" s="15" t="str">
        <f aca="false">IF($B13="","",SUMIFS('SỔ CÔNG NỢ'!$D$5:$D$51,'SỔ CÔNG NỢ'!$A$5:$A$51,$B13))</f>
        <v/>
      </c>
      <c r="F13" s="15" t="str">
        <f aca="false">IF($B13="","",SUMIFS('SỔ CÔNG NỢ'!$F$5:$F$51,'SỔ CÔNG NỢ'!$A$5:$A$51,$B13))</f>
        <v/>
      </c>
      <c r="G13" s="15" t="str">
        <f aca="false">IF($B13="","",SUMIFS('SỔ CÔNG NỢ'!$G$5:$G$51,'SỔ CÔNG NỢ'!$A$5:$A$51,$B13))</f>
        <v/>
      </c>
      <c r="H13" s="15" t="str">
        <f aca="false">IF($B13="","",SUMIFS('SỔ CÔNG NỢ'!$I$5:$I$51,'SỔ CÔNG NỢ'!$A$5:$A$51,$B13))</f>
        <v/>
      </c>
      <c r="I13" s="15" t="str">
        <f aca="false">IF($B13="","",SUMIFS('SỔ CÔNG NỢ'!$K$5:$K$51,'SỔ CÔNG NỢ'!$A$5:$A$51,$B13))</f>
        <v/>
      </c>
      <c r="J13" s="16" t="str">
        <f aca="false">IF($B13="","",SUMIFS('SỔ CÔNG NỢ'!$L$5:$L$51,'SỔ CÔNG NỢ'!$A$5:$A$51,$B13,'SỔ CÔNG NỢ'!$B$5:$B$51,C13))</f>
        <v/>
      </c>
      <c r="K13" s="17" t="str">
        <f aca="false">IF($B13="","",IF(J13&gt;0,"Khách còn nợ",IF(J13&lt;0,"Công ty nợ khách","Hết nợ")))</f>
        <v/>
      </c>
      <c r="L13" s="18" t="str">
        <f aca="false">IF($B13="","",IF(C13&lt;MAX('SỔ CÔNG NỢ'!$B$5:$B$51),"⚠ Chưa có biên bản sau tháng "&amp;TEXT(C13,"mm/yyyy")&amp;" (sổ có đến "&amp;TEXT(MAX('SỔ CÔNG NỢ'!$B$5:$B$51),"mm/yyyy")&amp;")",""))</f>
        <v/>
      </c>
    </row>
    <row r="14" customFormat="false" ht="15" hidden="false" customHeight="false" outlineLevel="0" collapsed="false">
      <c r="A14" s="12" t="str">
        <f aca="false">IF($B14="","",ROW()-8)</f>
        <v/>
      </c>
      <c r="B14" s="19"/>
      <c r="C14" s="14" t="str">
        <f aca="false">IF($B14="","",_xlfn.MAXIFS('SỔ CÔNG NỢ'!$B$5:$B$51,'SỔ CÔNG NỢ'!$A$5:$A$51,$B14))</f>
        <v/>
      </c>
      <c r="D14" s="15" t="str">
        <f aca="false">IF($B14="","",SUMIFS('SỔ CÔNG NỢ'!$C$5:$C$51,'SỔ CÔNG NỢ'!$A$5:$A$51,$B14,'SỔ CÔNG NỢ'!$B$5:$B$51,_xlfn.MINIFS('SỔ CÔNG NỢ'!$B$5:$B$51,'SỔ CÔNG NỢ'!$A$5:$A$51,$B14)))</f>
        <v/>
      </c>
      <c r="E14" s="15" t="str">
        <f aca="false">IF($B14="","",SUMIFS('SỔ CÔNG NỢ'!$D$5:$D$51,'SỔ CÔNG NỢ'!$A$5:$A$51,$B14))</f>
        <v/>
      </c>
      <c r="F14" s="15" t="str">
        <f aca="false">IF($B14="","",SUMIFS('SỔ CÔNG NỢ'!$F$5:$F$51,'SỔ CÔNG NỢ'!$A$5:$A$51,$B14))</f>
        <v/>
      </c>
      <c r="G14" s="15" t="str">
        <f aca="false">IF($B14="","",SUMIFS('SỔ CÔNG NỢ'!$G$5:$G$51,'SỔ CÔNG NỢ'!$A$5:$A$51,$B14))</f>
        <v/>
      </c>
      <c r="H14" s="15" t="str">
        <f aca="false">IF($B14="","",SUMIFS('SỔ CÔNG NỢ'!$I$5:$I$51,'SỔ CÔNG NỢ'!$A$5:$A$51,$B14))</f>
        <v/>
      </c>
      <c r="I14" s="15" t="str">
        <f aca="false">IF($B14="","",SUMIFS('SỔ CÔNG NỢ'!$K$5:$K$51,'SỔ CÔNG NỢ'!$A$5:$A$51,$B14))</f>
        <v/>
      </c>
      <c r="J14" s="16" t="str">
        <f aca="false">IF($B14="","",SUMIFS('SỔ CÔNG NỢ'!$L$5:$L$51,'SỔ CÔNG NỢ'!$A$5:$A$51,$B14,'SỔ CÔNG NỢ'!$B$5:$B$51,C14))</f>
        <v/>
      </c>
      <c r="K14" s="17" t="str">
        <f aca="false">IF($B14="","",IF(J14&gt;0,"Khách còn nợ",IF(J14&lt;0,"Công ty nợ khách","Hết nợ")))</f>
        <v/>
      </c>
      <c r="L14" s="18" t="str">
        <f aca="false">IF($B14="","",IF(C14&lt;MAX('SỔ CÔNG NỢ'!$B$5:$B$51),"⚠ Chưa có biên bản sau tháng "&amp;TEXT(C14,"mm/yyyy")&amp;" (sổ có đến "&amp;TEXT(MAX('SỔ CÔNG NỢ'!$B$5:$B$51),"mm/yyyy")&amp;")",""))</f>
        <v/>
      </c>
    </row>
    <row r="15" customFormat="false" ht="15" hidden="false" customHeight="false" outlineLevel="0" collapsed="false">
      <c r="A15" s="12" t="str">
        <f aca="false">IF($B15="","",ROW()-8)</f>
        <v/>
      </c>
      <c r="B15" s="19"/>
      <c r="C15" s="14" t="str">
        <f aca="false">IF($B15="","",_xlfn.MAXIFS('SỔ CÔNG NỢ'!$B$5:$B$51,'SỔ CÔNG NỢ'!$A$5:$A$51,$B15))</f>
        <v/>
      </c>
      <c r="D15" s="15" t="str">
        <f aca="false">IF($B15="","",SUMIFS('SỔ CÔNG NỢ'!$C$5:$C$51,'SỔ CÔNG NỢ'!$A$5:$A$51,$B15,'SỔ CÔNG NỢ'!$B$5:$B$51,_xlfn.MINIFS('SỔ CÔNG NỢ'!$B$5:$B$51,'SỔ CÔNG NỢ'!$A$5:$A$51,$B15)))</f>
        <v/>
      </c>
      <c r="E15" s="15" t="str">
        <f aca="false">IF($B15="","",SUMIFS('SỔ CÔNG NỢ'!$D$5:$D$51,'SỔ CÔNG NỢ'!$A$5:$A$51,$B15))</f>
        <v/>
      </c>
      <c r="F15" s="15" t="str">
        <f aca="false">IF($B15="","",SUMIFS('SỔ CÔNG NỢ'!$F$5:$F$51,'SỔ CÔNG NỢ'!$A$5:$A$51,$B15))</f>
        <v/>
      </c>
      <c r="G15" s="15" t="str">
        <f aca="false">IF($B15="","",SUMIFS('SỔ CÔNG NỢ'!$G$5:$G$51,'SỔ CÔNG NỢ'!$A$5:$A$51,$B15))</f>
        <v/>
      </c>
      <c r="H15" s="15" t="str">
        <f aca="false">IF($B15="","",SUMIFS('SỔ CÔNG NỢ'!$I$5:$I$51,'SỔ CÔNG NỢ'!$A$5:$A$51,$B15))</f>
        <v/>
      </c>
      <c r="I15" s="15" t="str">
        <f aca="false">IF($B15="","",SUMIFS('SỔ CÔNG NỢ'!$K$5:$K$51,'SỔ CÔNG NỢ'!$A$5:$A$51,$B15))</f>
        <v/>
      </c>
      <c r="J15" s="16" t="str">
        <f aca="false">IF($B15="","",SUMIFS('SỔ CÔNG NỢ'!$L$5:$L$51,'SỔ CÔNG NỢ'!$A$5:$A$51,$B15,'SỔ CÔNG NỢ'!$B$5:$B$51,C15))</f>
        <v/>
      </c>
      <c r="K15" s="17" t="str">
        <f aca="false">IF($B15="","",IF(J15&gt;0,"Khách còn nợ",IF(J15&lt;0,"Công ty nợ khách","Hết nợ")))</f>
        <v/>
      </c>
      <c r="L15" s="18" t="str">
        <f aca="false">IF($B15="","",IF(C15&lt;MAX('SỔ CÔNG NỢ'!$B$5:$B$51),"⚠ Chưa có biên bản sau tháng "&amp;TEXT(C15,"mm/yyyy")&amp;" (sổ có đến "&amp;TEXT(MAX('SỔ CÔNG NỢ'!$B$5:$B$51),"mm/yyyy")&amp;")",""))</f>
        <v/>
      </c>
    </row>
    <row r="16" customFormat="false" ht="15" hidden="false" customHeight="false" outlineLevel="0" collapsed="false">
      <c r="A16" s="12" t="str">
        <f aca="false">IF($B16="","",ROW()-8)</f>
        <v/>
      </c>
      <c r="B16" s="19"/>
      <c r="C16" s="14" t="str">
        <f aca="false">IF($B16="","",_xlfn.MAXIFS('SỔ CÔNG NỢ'!$B$5:$B$51,'SỔ CÔNG NỢ'!$A$5:$A$51,$B16))</f>
        <v/>
      </c>
      <c r="D16" s="15" t="str">
        <f aca="false">IF($B16="","",SUMIFS('SỔ CÔNG NỢ'!$C$5:$C$51,'SỔ CÔNG NỢ'!$A$5:$A$51,$B16,'SỔ CÔNG NỢ'!$B$5:$B$51,_xlfn.MINIFS('SỔ CÔNG NỢ'!$B$5:$B$51,'SỔ CÔNG NỢ'!$A$5:$A$51,$B16)))</f>
        <v/>
      </c>
      <c r="E16" s="15" t="str">
        <f aca="false">IF($B16="","",SUMIFS('SỔ CÔNG NỢ'!$D$5:$D$51,'SỔ CÔNG NỢ'!$A$5:$A$51,$B16))</f>
        <v/>
      </c>
      <c r="F16" s="15" t="str">
        <f aca="false">IF($B16="","",SUMIFS('SỔ CÔNG NỢ'!$F$5:$F$51,'SỔ CÔNG NỢ'!$A$5:$A$51,$B16))</f>
        <v/>
      </c>
      <c r="G16" s="15" t="str">
        <f aca="false">IF($B16="","",SUMIFS('SỔ CÔNG NỢ'!$G$5:$G$51,'SỔ CÔNG NỢ'!$A$5:$A$51,$B16))</f>
        <v/>
      </c>
      <c r="H16" s="15" t="str">
        <f aca="false">IF($B16="","",SUMIFS('SỔ CÔNG NỢ'!$I$5:$I$51,'SỔ CÔNG NỢ'!$A$5:$A$51,$B16))</f>
        <v/>
      </c>
      <c r="I16" s="15" t="str">
        <f aca="false">IF($B16="","",SUMIFS('SỔ CÔNG NỢ'!$K$5:$K$51,'SỔ CÔNG NỢ'!$A$5:$A$51,$B16))</f>
        <v/>
      </c>
      <c r="J16" s="16" t="str">
        <f aca="false">IF($B16="","",SUMIFS('SỔ CÔNG NỢ'!$L$5:$L$51,'SỔ CÔNG NỢ'!$A$5:$A$51,$B16,'SỔ CÔNG NỢ'!$B$5:$B$51,C16))</f>
        <v/>
      </c>
      <c r="K16" s="17" t="str">
        <f aca="false">IF($B16="","",IF(J16&gt;0,"Khách còn nợ",IF(J16&lt;0,"Công ty nợ khách","Hết nợ")))</f>
        <v/>
      </c>
      <c r="L16" s="18" t="str">
        <f aca="false">IF($B16="","",IF(C16&lt;MAX('SỔ CÔNG NỢ'!$B$5:$B$51),"⚠ Chưa có biên bản sau tháng "&amp;TEXT(C16,"mm/yyyy")&amp;" (sổ có đến "&amp;TEXT(MAX('SỔ CÔNG NỢ'!$B$5:$B$51),"mm/yyyy")&amp;")",""))</f>
        <v/>
      </c>
    </row>
    <row r="17" customFormat="false" ht="15" hidden="false" customHeight="false" outlineLevel="0" collapsed="false">
      <c r="A17" s="12" t="str">
        <f aca="false">IF($B17="","",ROW()-8)</f>
        <v/>
      </c>
      <c r="B17" s="19"/>
      <c r="C17" s="14" t="str">
        <f aca="false">IF($B17="","",_xlfn.MAXIFS('SỔ CÔNG NỢ'!$B$5:$B$51,'SỔ CÔNG NỢ'!$A$5:$A$51,$B17))</f>
        <v/>
      </c>
      <c r="D17" s="15" t="str">
        <f aca="false">IF($B17="","",SUMIFS('SỔ CÔNG NỢ'!$C$5:$C$51,'SỔ CÔNG NỢ'!$A$5:$A$51,$B17,'SỔ CÔNG NỢ'!$B$5:$B$51,_xlfn.MINIFS('SỔ CÔNG NỢ'!$B$5:$B$51,'SỔ CÔNG NỢ'!$A$5:$A$51,$B17)))</f>
        <v/>
      </c>
      <c r="E17" s="15" t="str">
        <f aca="false">IF($B17="","",SUMIFS('SỔ CÔNG NỢ'!$D$5:$D$51,'SỔ CÔNG NỢ'!$A$5:$A$51,$B17))</f>
        <v/>
      </c>
      <c r="F17" s="15" t="str">
        <f aca="false">IF($B17="","",SUMIFS('SỔ CÔNG NỢ'!$F$5:$F$51,'SỔ CÔNG NỢ'!$A$5:$A$51,$B17))</f>
        <v/>
      </c>
      <c r="G17" s="15" t="str">
        <f aca="false">IF($B17="","",SUMIFS('SỔ CÔNG NỢ'!$G$5:$G$51,'SỔ CÔNG NỢ'!$A$5:$A$51,$B17))</f>
        <v/>
      </c>
      <c r="H17" s="15" t="str">
        <f aca="false">IF($B17="","",SUMIFS('SỔ CÔNG NỢ'!$I$5:$I$51,'SỔ CÔNG NỢ'!$A$5:$A$51,$B17))</f>
        <v/>
      </c>
      <c r="I17" s="15" t="str">
        <f aca="false">IF($B17="","",SUMIFS('SỔ CÔNG NỢ'!$K$5:$K$51,'SỔ CÔNG NỢ'!$A$5:$A$51,$B17))</f>
        <v/>
      </c>
      <c r="J17" s="16" t="str">
        <f aca="false">IF($B17="","",SUMIFS('SỔ CÔNG NỢ'!$L$5:$L$51,'SỔ CÔNG NỢ'!$A$5:$A$51,$B17,'SỔ CÔNG NỢ'!$B$5:$B$51,C17))</f>
        <v/>
      </c>
      <c r="K17" s="17" t="str">
        <f aca="false">IF($B17="","",IF(J17&gt;0,"Khách còn nợ",IF(J17&lt;0,"Công ty nợ khách","Hết nợ")))</f>
        <v/>
      </c>
      <c r="L17" s="18" t="str">
        <f aca="false">IF($B17="","",IF(C17&lt;MAX('SỔ CÔNG NỢ'!$B$5:$B$51),"⚠ Chưa có biên bản sau tháng "&amp;TEXT(C17,"mm/yyyy")&amp;" (sổ có đến "&amp;TEXT(MAX('SỔ CÔNG NỢ'!$B$5:$B$51),"mm/yyyy")&amp;")",""))</f>
        <v/>
      </c>
    </row>
    <row r="18" customFormat="false" ht="15" hidden="false" customHeight="false" outlineLevel="0" collapsed="false">
      <c r="A18" s="12" t="str">
        <f aca="false">IF($B18="","",ROW()-8)</f>
        <v/>
      </c>
      <c r="B18" s="19"/>
      <c r="C18" s="14" t="str">
        <f aca="false">IF($B18="","",_xlfn.MAXIFS('SỔ CÔNG NỢ'!$B$5:$B$51,'SỔ CÔNG NỢ'!$A$5:$A$51,$B18))</f>
        <v/>
      </c>
      <c r="D18" s="15" t="str">
        <f aca="false">IF($B18="","",SUMIFS('SỔ CÔNG NỢ'!$C$5:$C$51,'SỔ CÔNG NỢ'!$A$5:$A$51,$B18,'SỔ CÔNG NỢ'!$B$5:$B$51,_xlfn.MINIFS('SỔ CÔNG NỢ'!$B$5:$B$51,'SỔ CÔNG NỢ'!$A$5:$A$51,$B18)))</f>
        <v/>
      </c>
      <c r="E18" s="15" t="str">
        <f aca="false">IF($B18="","",SUMIFS('SỔ CÔNG NỢ'!$D$5:$D$51,'SỔ CÔNG NỢ'!$A$5:$A$51,$B18))</f>
        <v/>
      </c>
      <c r="F18" s="15" t="str">
        <f aca="false">IF($B18="","",SUMIFS('SỔ CÔNG NỢ'!$F$5:$F$51,'SỔ CÔNG NỢ'!$A$5:$A$51,$B18))</f>
        <v/>
      </c>
      <c r="G18" s="15" t="str">
        <f aca="false">IF($B18="","",SUMIFS('SỔ CÔNG NỢ'!$G$5:$G$51,'SỔ CÔNG NỢ'!$A$5:$A$51,$B18))</f>
        <v/>
      </c>
      <c r="H18" s="15" t="str">
        <f aca="false">IF($B18="","",SUMIFS('SỔ CÔNG NỢ'!$I$5:$I$51,'SỔ CÔNG NỢ'!$A$5:$A$51,$B18))</f>
        <v/>
      </c>
      <c r="I18" s="15" t="str">
        <f aca="false">IF($B18="","",SUMIFS('SỔ CÔNG NỢ'!$K$5:$K$51,'SỔ CÔNG NỢ'!$A$5:$A$51,$B18))</f>
        <v/>
      </c>
      <c r="J18" s="16" t="str">
        <f aca="false">IF($B18="","",SUMIFS('SỔ CÔNG NỢ'!$L$5:$L$51,'SỔ CÔNG NỢ'!$A$5:$A$51,$B18,'SỔ CÔNG NỢ'!$B$5:$B$51,C18))</f>
        <v/>
      </c>
      <c r="K18" s="17" t="str">
        <f aca="false">IF($B18="","",IF(J18&gt;0,"Khách còn nợ",IF(J18&lt;0,"Công ty nợ khách","Hết nợ")))</f>
        <v/>
      </c>
      <c r="L18" s="18" t="str">
        <f aca="false">IF($B18="","",IF(C18&lt;MAX('SỔ CÔNG NỢ'!$B$5:$B$51),"⚠ Chưa có biên bản sau tháng "&amp;TEXT(C18,"mm/yyyy")&amp;" (sổ có đến "&amp;TEXT(MAX('SỔ CÔNG NỢ'!$B$5:$B$51),"mm/yyyy")&amp;")",""))</f>
        <v/>
      </c>
    </row>
    <row r="19" customFormat="false" ht="15" hidden="false" customHeight="false" outlineLevel="0" collapsed="false">
      <c r="A19" s="12" t="str">
        <f aca="false">IF($B19="","",ROW()-8)</f>
        <v/>
      </c>
      <c r="B19" s="19"/>
      <c r="C19" s="14" t="str">
        <f aca="false">IF($B19="","",_xlfn.MAXIFS('SỔ CÔNG NỢ'!$B$5:$B$51,'SỔ CÔNG NỢ'!$A$5:$A$51,$B19))</f>
        <v/>
      </c>
      <c r="D19" s="15" t="str">
        <f aca="false">IF($B19="","",SUMIFS('SỔ CÔNG NỢ'!$C$5:$C$51,'SỔ CÔNG NỢ'!$A$5:$A$51,$B19,'SỔ CÔNG NỢ'!$B$5:$B$51,_xlfn.MINIFS('SỔ CÔNG NỢ'!$B$5:$B$51,'SỔ CÔNG NỢ'!$A$5:$A$51,$B19)))</f>
        <v/>
      </c>
      <c r="E19" s="15" t="str">
        <f aca="false">IF($B19="","",SUMIFS('SỔ CÔNG NỢ'!$D$5:$D$51,'SỔ CÔNG NỢ'!$A$5:$A$51,$B19))</f>
        <v/>
      </c>
      <c r="F19" s="15" t="str">
        <f aca="false">IF($B19="","",SUMIFS('SỔ CÔNG NỢ'!$F$5:$F$51,'SỔ CÔNG NỢ'!$A$5:$A$51,$B19))</f>
        <v/>
      </c>
      <c r="G19" s="15" t="str">
        <f aca="false">IF($B19="","",SUMIFS('SỔ CÔNG NỢ'!$G$5:$G$51,'SỔ CÔNG NỢ'!$A$5:$A$51,$B19))</f>
        <v/>
      </c>
      <c r="H19" s="15" t="str">
        <f aca="false">IF($B19="","",SUMIFS('SỔ CÔNG NỢ'!$I$5:$I$51,'SỔ CÔNG NỢ'!$A$5:$A$51,$B19))</f>
        <v/>
      </c>
      <c r="I19" s="15" t="str">
        <f aca="false">IF($B19="","",SUMIFS('SỔ CÔNG NỢ'!$K$5:$K$51,'SỔ CÔNG NỢ'!$A$5:$A$51,$B19))</f>
        <v/>
      </c>
      <c r="J19" s="16" t="str">
        <f aca="false">IF($B19="","",SUMIFS('SỔ CÔNG NỢ'!$L$5:$L$51,'SỔ CÔNG NỢ'!$A$5:$A$51,$B19,'SỔ CÔNG NỢ'!$B$5:$B$51,C19))</f>
        <v/>
      </c>
      <c r="K19" s="17" t="str">
        <f aca="false">IF($B19="","",IF(J19&gt;0,"Khách còn nợ",IF(J19&lt;0,"Công ty nợ khách","Hết nợ")))</f>
        <v/>
      </c>
      <c r="L19" s="18" t="str">
        <f aca="false">IF($B19="","",IF(C19&lt;MAX('SỔ CÔNG NỢ'!$B$5:$B$51),"⚠ Chưa có biên bản sau tháng "&amp;TEXT(C19,"mm/yyyy")&amp;" (sổ có đến "&amp;TEXT(MAX('SỔ CÔNG NỢ'!$B$5:$B$51),"mm/yyyy")&amp;")",""))</f>
        <v/>
      </c>
    </row>
    <row r="20" customFormat="false" ht="15" hidden="false" customHeight="false" outlineLevel="0" collapsed="false">
      <c r="A20" s="12" t="str">
        <f aca="false">IF($B20="","",ROW()-8)</f>
        <v/>
      </c>
      <c r="B20" s="19"/>
      <c r="C20" s="14" t="str">
        <f aca="false">IF($B20="","",_xlfn.MAXIFS('SỔ CÔNG NỢ'!$B$5:$B$51,'SỔ CÔNG NỢ'!$A$5:$A$51,$B20))</f>
        <v/>
      </c>
      <c r="D20" s="15" t="str">
        <f aca="false">IF($B20="","",SUMIFS('SỔ CÔNG NỢ'!$C$5:$C$51,'SỔ CÔNG NỢ'!$A$5:$A$51,$B20,'SỔ CÔNG NỢ'!$B$5:$B$51,_xlfn.MINIFS('SỔ CÔNG NỢ'!$B$5:$B$51,'SỔ CÔNG NỢ'!$A$5:$A$51,$B20)))</f>
        <v/>
      </c>
      <c r="E20" s="15" t="str">
        <f aca="false">IF($B20="","",SUMIFS('SỔ CÔNG NỢ'!$D$5:$D$51,'SỔ CÔNG NỢ'!$A$5:$A$51,$B20))</f>
        <v/>
      </c>
      <c r="F20" s="15" t="str">
        <f aca="false">IF($B20="","",SUMIFS('SỔ CÔNG NỢ'!$F$5:$F$51,'SỔ CÔNG NỢ'!$A$5:$A$51,$B20))</f>
        <v/>
      </c>
      <c r="G20" s="15" t="str">
        <f aca="false">IF($B20="","",SUMIFS('SỔ CÔNG NỢ'!$G$5:$G$51,'SỔ CÔNG NỢ'!$A$5:$A$51,$B20))</f>
        <v/>
      </c>
      <c r="H20" s="15" t="str">
        <f aca="false">IF($B20="","",SUMIFS('SỔ CÔNG NỢ'!$I$5:$I$51,'SỔ CÔNG NỢ'!$A$5:$A$51,$B20))</f>
        <v/>
      </c>
      <c r="I20" s="15" t="str">
        <f aca="false">IF($B20="","",SUMIFS('SỔ CÔNG NỢ'!$K$5:$K$51,'SỔ CÔNG NỢ'!$A$5:$A$51,$B20))</f>
        <v/>
      </c>
      <c r="J20" s="16" t="str">
        <f aca="false">IF($B20="","",SUMIFS('SỔ CÔNG NỢ'!$L$5:$L$51,'SỔ CÔNG NỢ'!$A$5:$A$51,$B20,'SỔ CÔNG NỢ'!$B$5:$B$51,C20))</f>
        <v/>
      </c>
      <c r="K20" s="17" t="str">
        <f aca="false">IF($B20="","",IF(J20&gt;0,"Khách còn nợ",IF(J20&lt;0,"Công ty nợ khách","Hết nợ")))</f>
        <v/>
      </c>
      <c r="L20" s="18" t="str">
        <f aca="false">IF($B20="","",IF(C20&lt;MAX('SỔ CÔNG NỢ'!$B$5:$B$51),"⚠ Chưa có biên bản sau tháng "&amp;TEXT(C20,"mm/yyyy")&amp;" (sổ có đến "&amp;TEXT(MAX('SỔ CÔNG NỢ'!$B$5:$B$51),"mm/yyyy")&amp;")",""))</f>
        <v/>
      </c>
    </row>
    <row r="21" customFormat="false" ht="15" hidden="false" customHeight="false" outlineLevel="0" collapsed="false">
      <c r="A21" s="20"/>
      <c r="B21" s="20" t="s">
        <v>22</v>
      </c>
      <c r="C21" s="20"/>
      <c r="D21" s="21" t="n">
        <f aca="false">SUM(D9:D20)</f>
        <v>953750</v>
      </c>
      <c r="E21" s="21" t="n">
        <f aca="false">SUM(E9:E20)</f>
        <v>289397850</v>
      </c>
      <c r="F21" s="21" t="n">
        <f aca="false">SUM(F9:F20)</f>
        <v>175428257</v>
      </c>
      <c r="G21" s="21" t="n">
        <f aca="false">SUM(G9:G20)</f>
        <v>113969593</v>
      </c>
      <c r="H21" s="21" t="n">
        <f aca="false">SUM(H9:H20)</f>
        <v>1746860</v>
      </c>
      <c r="I21" s="21" t="n">
        <f aca="false">SUM(I9:I20)</f>
        <v>80090000</v>
      </c>
      <c r="J21" s="21" t="n">
        <f aca="false">SUM(J9:J20)</f>
        <v>33086483</v>
      </c>
      <c r="K21" s="20"/>
      <c r="L21" s="20"/>
    </row>
    <row r="24" customFormat="false" ht="15" hidden="false" customHeight="false" outlineLevel="0" collapsed="false">
      <c r="A24" s="22" t="s">
        <v>23</v>
      </c>
    </row>
    <row r="25" customFormat="false" ht="15" hidden="false" customHeight="false" outlineLevel="0" collapsed="false">
      <c r="C25" s="23" t="n">
        <v>46174</v>
      </c>
    </row>
    <row r="27" customFormat="false" ht="15" hidden="false" customHeight="false" outlineLevel="0" collapsed="false">
      <c r="A27" s="10" t="s">
        <v>24</v>
      </c>
    </row>
    <row r="28" customFormat="false" ht="27.75" hidden="false" customHeight="true" outlineLevel="0" collapsed="false">
      <c r="A28" s="11"/>
      <c r="B28" s="11" t="s">
        <v>8</v>
      </c>
      <c r="C28" s="24" t="n">
        <f aca="false">$C$25</f>
        <v>46174</v>
      </c>
      <c r="D28" s="24" t="n">
        <f aca="false">EDATE(C28,1)</f>
        <v>46204</v>
      </c>
      <c r="E28" s="24" t="n">
        <f aca="false">EDATE(D28,1)</f>
        <v>46235</v>
      </c>
      <c r="F28" s="24" t="n">
        <f aca="false">EDATE(E28,1)</f>
        <v>46266</v>
      </c>
      <c r="G28" s="24" t="n">
        <f aca="false">EDATE(F28,1)</f>
        <v>46296</v>
      </c>
      <c r="H28" s="24" t="n">
        <f aca="false">EDATE(G28,1)</f>
        <v>46327</v>
      </c>
      <c r="I28" s="24" t="n">
        <f aca="false">EDATE(H28,1)</f>
        <v>46357</v>
      </c>
    </row>
    <row r="29" customFormat="false" ht="15" hidden="false" customHeight="false" outlineLevel="0" collapsed="false">
      <c r="A29" s="25"/>
      <c r="B29" s="25" t="str">
        <f aca="false">IF($B9="","",$B9)</f>
        <v>Hiền Xuân</v>
      </c>
      <c r="C29" s="26" t="str">
        <f aca="false">IF($B29="","",IF(COUNTIFS('SỔ CÔNG NỢ'!$A$5:$A$51,$B29,'SỔ CÔNG NỢ'!$B$5:$B$51,C$28)=0,"",SUMIFS('SỔ CÔNG NỢ'!$L$5:$L$51,'SỔ CÔNG NỢ'!$A$5:$A$51,$B29,'SỔ CÔNG NỢ'!$B$5:$B$51,C$28)))</f>
        <v/>
      </c>
      <c r="D29" s="26" t="n">
        <f aca="false">IF($B29="","",IF(COUNTIFS('SỔ CÔNG NỢ'!$A$5:$A$51,$B29,'SỔ CÔNG NỢ'!$B$5:$B$51,D$28)=0,"",SUMIFS('SỔ CÔNG NỢ'!$L$5:$L$51,'SỔ CÔNG NỢ'!$A$5:$A$51,$B29,'SỔ CÔNG NỢ'!$B$5:$B$51,D$28)))</f>
        <v>120633</v>
      </c>
      <c r="E29" s="26" t="str">
        <f aca="false">IF($B29="","",IF(COUNTIFS('SỔ CÔNG NỢ'!$A$5:$A$51,$B29,'SỔ CÔNG NỢ'!$B$5:$B$51,E$28)=0,"",SUMIFS('SỔ CÔNG NỢ'!$L$5:$L$51,'SỔ CÔNG NỢ'!$A$5:$A$51,$B29,'SỔ CÔNG NỢ'!$B$5:$B$51,E$28)))</f>
        <v/>
      </c>
      <c r="F29" s="26" t="str">
        <f aca="false">IF($B29="","",IF(COUNTIFS('SỔ CÔNG NỢ'!$A$5:$A$51,$B29,'SỔ CÔNG NỢ'!$B$5:$B$51,F$28)=0,"",SUMIFS('SỔ CÔNG NỢ'!$L$5:$L$51,'SỔ CÔNG NỢ'!$A$5:$A$51,$B29,'SỔ CÔNG NỢ'!$B$5:$B$51,F$28)))</f>
        <v/>
      </c>
      <c r="G29" s="26" t="str">
        <f aca="false">IF($B29="","",IF(COUNTIFS('SỔ CÔNG NỢ'!$A$5:$A$51,$B29,'SỔ CÔNG NỢ'!$B$5:$B$51,G$28)=0,"",SUMIFS('SỔ CÔNG NỢ'!$L$5:$L$51,'SỔ CÔNG NỢ'!$A$5:$A$51,$B29,'SỔ CÔNG NỢ'!$B$5:$B$51,G$28)))</f>
        <v/>
      </c>
      <c r="H29" s="26" t="str">
        <f aca="false">IF($B29="","",IF(COUNTIFS('SỔ CÔNG NỢ'!$A$5:$A$51,$B29,'SỔ CÔNG NỢ'!$B$5:$B$51,H$28)=0,"",SUMIFS('SỔ CÔNG NỢ'!$L$5:$L$51,'SỔ CÔNG NỢ'!$A$5:$A$51,$B29,'SỔ CÔNG NỢ'!$B$5:$B$51,H$28)))</f>
        <v/>
      </c>
      <c r="I29" s="26" t="str">
        <f aca="false">IF($B29="","",IF(COUNTIFS('SỔ CÔNG NỢ'!$A$5:$A$51,$B29,'SỔ CÔNG NỢ'!$B$5:$B$51,I$28)=0,"",SUMIFS('SỔ CÔNG NỢ'!$L$5:$L$51,'SỔ CÔNG NỢ'!$A$5:$A$51,$B29,'SỔ CÔNG NỢ'!$B$5:$B$51,I$28)))</f>
        <v/>
      </c>
    </row>
    <row r="30" customFormat="false" ht="15" hidden="false" customHeight="false" outlineLevel="0" collapsed="false">
      <c r="A30" s="25"/>
      <c r="B30" s="25" t="str">
        <f aca="false">IF($B10="","",$B10)</f>
        <v>Hòa Hiệp</v>
      </c>
      <c r="C30" s="26" t="n">
        <f aca="false">IF($B30="","",IF(COUNTIFS('SỔ CÔNG NỢ'!$A$5:$A$51,$B30,'SỔ CÔNG NỢ'!$B$5:$B$51,C$28)=0,"",SUMIFS('SỔ CÔNG NỢ'!$L$5:$L$51,'SỔ CÔNG NỢ'!$A$5:$A$51,$B30,'SỔ CÔNG NỢ'!$B$5:$B$51,C$28)))</f>
        <v>-112500</v>
      </c>
      <c r="D30" s="26" t="str">
        <f aca="false">IF($B30="","",IF(COUNTIFS('SỔ CÔNG NỢ'!$A$5:$A$51,$B30,'SỔ CÔNG NỢ'!$B$5:$B$51,D$28)=0,"",SUMIFS('SỔ CÔNG NỢ'!$L$5:$L$51,'SỔ CÔNG NỢ'!$A$5:$A$51,$B30,'SỔ CÔNG NỢ'!$B$5:$B$51,D$28)))</f>
        <v/>
      </c>
      <c r="E30" s="26" t="str">
        <f aca="false">IF($B30="","",IF(COUNTIFS('SỔ CÔNG NỢ'!$A$5:$A$51,$B30,'SỔ CÔNG NỢ'!$B$5:$B$51,E$28)=0,"",SUMIFS('SỔ CÔNG NỢ'!$L$5:$L$51,'SỔ CÔNG NỢ'!$A$5:$A$51,$B30,'SỔ CÔNG NỢ'!$B$5:$B$51,E$28)))</f>
        <v/>
      </c>
      <c r="F30" s="26" t="str">
        <f aca="false">IF($B30="","",IF(COUNTIFS('SỔ CÔNG NỢ'!$A$5:$A$51,$B30,'SỔ CÔNG NỢ'!$B$5:$B$51,F$28)=0,"",SUMIFS('SỔ CÔNG NỢ'!$L$5:$L$51,'SỔ CÔNG NỢ'!$A$5:$A$51,$B30,'SỔ CÔNG NỢ'!$B$5:$B$51,F$28)))</f>
        <v/>
      </c>
      <c r="G30" s="26" t="str">
        <f aca="false">IF($B30="","",IF(COUNTIFS('SỔ CÔNG NỢ'!$A$5:$A$51,$B30,'SỔ CÔNG NỢ'!$B$5:$B$51,G$28)=0,"",SUMIFS('SỔ CÔNG NỢ'!$L$5:$L$51,'SỔ CÔNG NỢ'!$A$5:$A$51,$B30,'SỔ CÔNG NỢ'!$B$5:$B$51,G$28)))</f>
        <v/>
      </c>
      <c r="H30" s="26" t="str">
        <f aca="false">IF($B30="","",IF(COUNTIFS('SỔ CÔNG NỢ'!$A$5:$A$51,$B30,'SỔ CÔNG NỢ'!$B$5:$B$51,H$28)=0,"",SUMIFS('SỔ CÔNG NỢ'!$L$5:$L$51,'SỔ CÔNG NỢ'!$A$5:$A$51,$B30,'SỔ CÔNG NỢ'!$B$5:$B$51,H$28)))</f>
        <v/>
      </c>
      <c r="I30" s="26" t="str">
        <f aca="false">IF($B30="","",IF(COUNTIFS('SỔ CÔNG NỢ'!$A$5:$A$51,$B30,'SỔ CÔNG NỢ'!$B$5:$B$51,I$28)=0,"",SUMIFS('SỔ CÔNG NỢ'!$L$5:$L$51,'SỔ CÔNG NỢ'!$A$5:$A$51,$B30,'SỔ CÔNG NỢ'!$B$5:$B$51,I$28)))</f>
        <v/>
      </c>
    </row>
    <row r="31" customFormat="false" ht="15" hidden="false" customHeight="false" outlineLevel="0" collapsed="false">
      <c r="A31" s="25"/>
      <c r="B31" s="25" t="str">
        <f aca="false">IF($B11="","",$B11)</f>
        <v>Hà Liên</v>
      </c>
      <c r="C31" s="26" t="n">
        <f aca="false">IF($B31="","",IF(COUNTIFS('SỔ CÔNG NỢ'!$A$5:$A$51,$B31,'SỔ CÔNG NỢ'!$B$5:$B$51,C$28)=0,"",SUMIFS('SỔ CÔNG NỢ'!$L$5:$L$51,'SỔ CÔNG NỢ'!$A$5:$A$51,$B31,'SỔ CÔNG NỢ'!$B$5:$B$51,C$28)))</f>
        <v>10078550</v>
      </c>
      <c r="D31" s="26" t="n">
        <f aca="false">IF($B31="","",IF(COUNTIFS('SỔ CÔNG NỢ'!$A$5:$A$51,$B31,'SỔ CÔNG NỢ'!$B$5:$B$51,D$28)=0,"",SUMIFS('SỔ CÔNG NỢ'!$L$5:$L$51,'SỔ CÔNG NỢ'!$A$5:$A$51,$B31,'SỔ CÔNG NỢ'!$B$5:$B$51,D$28)))</f>
        <v>10478590</v>
      </c>
      <c r="E31" s="26" t="n">
        <f aca="false">IF($B31="","",IF(COUNTIFS('SỔ CÔNG NỢ'!$A$5:$A$51,$B31,'SỔ CÔNG NỢ'!$B$5:$B$51,E$28)=0,"",SUMIFS('SỔ CÔNG NỢ'!$L$5:$L$51,'SỔ CÔNG NỢ'!$A$5:$A$51,$B31,'SỔ CÔNG NỢ'!$B$5:$B$51,E$28)))</f>
        <v>-7095410</v>
      </c>
      <c r="F31" s="26" t="n">
        <f aca="false">IF($B31="","",IF(COUNTIFS('SỔ CÔNG NỢ'!$A$5:$A$51,$B31,'SỔ CÔNG NỢ'!$B$5:$B$51,F$28)=0,"",SUMIFS('SỔ CÔNG NỢ'!$L$5:$L$51,'SỔ CÔNG NỢ'!$A$5:$A$51,$B31,'SỔ CÔNG NỢ'!$B$5:$B$51,F$28)))</f>
        <v>33078350</v>
      </c>
      <c r="G31" s="26" t="str">
        <f aca="false">IF($B31="","",IF(COUNTIFS('SỔ CÔNG NỢ'!$A$5:$A$51,$B31,'SỔ CÔNG NỢ'!$B$5:$B$51,G$28)=0,"",SUMIFS('SỔ CÔNG NỢ'!$L$5:$L$51,'SỔ CÔNG NỢ'!$A$5:$A$51,$B31,'SỔ CÔNG NỢ'!$B$5:$B$51,G$28)))</f>
        <v/>
      </c>
      <c r="H31" s="26" t="str">
        <f aca="false">IF($B31="","",IF(COUNTIFS('SỔ CÔNG NỢ'!$A$5:$A$51,$B31,'SỔ CÔNG NỢ'!$B$5:$B$51,H$28)=0,"",SUMIFS('SỔ CÔNG NỢ'!$L$5:$L$51,'SỔ CÔNG NỢ'!$A$5:$A$51,$B31,'SỔ CÔNG NỢ'!$B$5:$B$51,H$28)))</f>
        <v/>
      </c>
      <c r="I31" s="26" t="str">
        <f aca="false">IF($B31="","",IF(COUNTIFS('SỔ CÔNG NỢ'!$A$5:$A$51,$B31,'SỔ CÔNG NỢ'!$B$5:$B$51,I$28)=0,"",SUMIFS('SỔ CÔNG NỢ'!$L$5:$L$51,'SỔ CÔNG NỢ'!$A$5:$A$51,$B31,'SỔ CÔNG NỢ'!$B$5:$B$51,I$28)))</f>
        <v/>
      </c>
    </row>
    <row r="32" customFormat="false" ht="15" hidden="false" customHeight="false" outlineLevel="0" collapsed="false">
      <c r="A32" s="25"/>
      <c r="B32" s="25" t="str">
        <f aca="false">IF($B12="","",$B12)</f>
        <v/>
      </c>
      <c r="C32" s="26" t="str">
        <f aca="false">IF($B32="","",IF(COUNTIFS('SỔ CÔNG NỢ'!$A$5:$A$51,$B32,'SỔ CÔNG NỢ'!$B$5:$B$51,C$28)=0,"",SUMIFS('SỔ CÔNG NỢ'!$L$5:$L$51,'SỔ CÔNG NỢ'!$A$5:$A$51,$B32,'SỔ CÔNG NỢ'!$B$5:$B$51,C$28)))</f>
        <v/>
      </c>
      <c r="D32" s="26" t="str">
        <f aca="false">IF($B32="","",IF(COUNTIFS('SỔ CÔNG NỢ'!$A$5:$A$51,$B32,'SỔ CÔNG NỢ'!$B$5:$B$51,D$28)=0,"",SUMIFS('SỔ CÔNG NỢ'!$L$5:$L$51,'SỔ CÔNG NỢ'!$A$5:$A$51,$B32,'SỔ CÔNG NỢ'!$B$5:$B$51,D$28)))</f>
        <v/>
      </c>
      <c r="E32" s="26" t="str">
        <f aca="false">IF($B32="","",IF(COUNTIFS('SỔ CÔNG NỢ'!$A$5:$A$51,$B32,'SỔ CÔNG NỢ'!$B$5:$B$51,E$28)=0,"",SUMIFS('SỔ CÔNG NỢ'!$L$5:$L$51,'SỔ CÔNG NỢ'!$A$5:$A$51,$B32,'SỔ CÔNG NỢ'!$B$5:$B$51,E$28)))</f>
        <v/>
      </c>
      <c r="F32" s="26" t="str">
        <f aca="false">IF($B32="","",IF(COUNTIFS('SỔ CÔNG NỢ'!$A$5:$A$51,$B32,'SỔ CÔNG NỢ'!$B$5:$B$51,F$28)=0,"",SUMIFS('SỔ CÔNG NỢ'!$L$5:$L$51,'SỔ CÔNG NỢ'!$A$5:$A$51,$B32,'SỔ CÔNG NỢ'!$B$5:$B$51,F$28)))</f>
        <v/>
      </c>
      <c r="G32" s="26" t="str">
        <f aca="false">IF($B32="","",IF(COUNTIFS('SỔ CÔNG NỢ'!$A$5:$A$51,$B32,'SỔ CÔNG NỢ'!$B$5:$B$51,G$28)=0,"",SUMIFS('SỔ CÔNG NỢ'!$L$5:$L$51,'SỔ CÔNG NỢ'!$A$5:$A$51,$B32,'SỔ CÔNG NỢ'!$B$5:$B$51,G$28)))</f>
        <v/>
      </c>
      <c r="H32" s="26" t="str">
        <f aca="false">IF($B32="","",IF(COUNTIFS('SỔ CÔNG NỢ'!$A$5:$A$51,$B32,'SỔ CÔNG NỢ'!$B$5:$B$51,H$28)=0,"",SUMIFS('SỔ CÔNG NỢ'!$L$5:$L$51,'SỔ CÔNG NỢ'!$A$5:$A$51,$B32,'SỔ CÔNG NỢ'!$B$5:$B$51,H$28)))</f>
        <v/>
      </c>
      <c r="I32" s="26" t="str">
        <f aca="false">IF($B32="","",IF(COUNTIFS('SỔ CÔNG NỢ'!$A$5:$A$51,$B32,'SỔ CÔNG NỢ'!$B$5:$B$51,I$28)=0,"",SUMIFS('SỔ CÔNG NỢ'!$L$5:$L$51,'SỔ CÔNG NỢ'!$A$5:$A$51,$B32,'SỔ CÔNG NỢ'!$B$5:$B$51,I$28)))</f>
        <v/>
      </c>
    </row>
    <row r="33" customFormat="false" ht="15" hidden="false" customHeight="false" outlineLevel="0" collapsed="false">
      <c r="A33" s="25"/>
      <c r="B33" s="25" t="str">
        <f aca="false">IF($B13="","",$B13)</f>
        <v/>
      </c>
      <c r="C33" s="26" t="str">
        <f aca="false">IF($B33="","",IF(COUNTIFS('SỔ CÔNG NỢ'!$A$5:$A$51,$B33,'SỔ CÔNG NỢ'!$B$5:$B$51,C$28)=0,"",SUMIFS('SỔ CÔNG NỢ'!$L$5:$L$51,'SỔ CÔNG NỢ'!$A$5:$A$51,$B33,'SỔ CÔNG NỢ'!$B$5:$B$51,C$28)))</f>
        <v/>
      </c>
      <c r="D33" s="26" t="str">
        <f aca="false">IF($B33="","",IF(COUNTIFS('SỔ CÔNG NỢ'!$A$5:$A$51,$B33,'SỔ CÔNG NỢ'!$B$5:$B$51,D$28)=0,"",SUMIFS('SỔ CÔNG NỢ'!$L$5:$L$51,'SỔ CÔNG NỢ'!$A$5:$A$51,$B33,'SỔ CÔNG NỢ'!$B$5:$B$51,D$28)))</f>
        <v/>
      </c>
      <c r="E33" s="26" t="str">
        <f aca="false">IF($B33="","",IF(COUNTIFS('SỔ CÔNG NỢ'!$A$5:$A$51,$B33,'SỔ CÔNG NỢ'!$B$5:$B$51,E$28)=0,"",SUMIFS('SỔ CÔNG NỢ'!$L$5:$L$51,'SỔ CÔNG NỢ'!$A$5:$A$51,$B33,'SỔ CÔNG NỢ'!$B$5:$B$51,E$28)))</f>
        <v/>
      </c>
      <c r="F33" s="26" t="str">
        <f aca="false">IF($B33="","",IF(COUNTIFS('SỔ CÔNG NỢ'!$A$5:$A$51,$B33,'SỔ CÔNG NỢ'!$B$5:$B$51,F$28)=0,"",SUMIFS('SỔ CÔNG NỢ'!$L$5:$L$51,'SỔ CÔNG NỢ'!$A$5:$A$51,$B33,'SỔ CÔNG NỢ'!$B$5:$B$51,F$28)))</f>
        <v/>
      </c>
      <c r="G33" s="26" t="str">
        <f aca="false">IF($B33="","",IF(COUNTIFS('SỔ CÔNG NỢ'!$A$5:$A$51,$B33,'SỔ CÔNG NỢ'!$B$5:$B$51,G$28)=0,"",SUMIFS('SỔ CÔNG NỢ'!$L$5:$L$51,'SỔ CÔNG NỢ'!$A$5:$A$51,$B33,'SỔ CÔNG NỢ'!$B$5:$B$51,G$28)))</f>
        <v/>
      </c>
      <c r="H33" s="26" t="str">
        <f aca="false">IF($B33="","",IF(COUNTIFS('SỔ CÔNG NỢ'!$A$5:$A$51,$B33,'SỔ CÔNG NỢ'!$B$5:$B$51,H$28)=0,"",SUMIFS('SỔ CÔNG NỢ'!$L$5:$L$51,'SỔ CÔNG NỢ'!$A$5:$A$51,$B33,'SỔ CÔNG NỢ'!$B$5:$B$51,H$28)))</f>
        <v/>
      </c>
      <c r="I33" s="26" t="str">
        <f aca="false">IF($B33="","",IF(COUNTIFS('SỔ CÔNG NỢ'!$A$5:$A$51,$B33,'SỔ CÔNG NỢ'!$B$5:$B$51,I$28)=0,"",SUMIFS('SỔ CÔNG NỢ'!$L$5:$L$51,'SỔ CÔNG NỢ'!$A$5:$A$51,$B33,'SỔ CÔNG NỢ'!$B$5:$B$51,I$28)))</f>
        <v/>
      </c>
    </row>
    <row r="34" customFormat="false" ht="15" hidden="false" customHeight="false" outlineLevel="0" collapsed="false">
      <c r="A34" s="25"/>
      <c r="B34" s="25" t="str">
        <f aca="false">IF($B14="","",$B14)</f>
        <v/>
      </c>
      <c r="C34" s="26" t="str">
        <f aca="false">IF($B34="","",IF(COUNTIFS('SỔ CÔNG NỢ'!$A$5:$A$51,$B34,'SỔ CÔNG NỢ'!$B$5:$B$51,C$28)=0,"",SUMIFS('SỔ CÔNG NỢ'!$L$5:$L$51,'SỔ CÔNG NỢ'!$A$5:$A$51,$B34,'SỔ CÔNG NỢ'!$B$5:$B$51,C$28)))</f>
        <v/>
      </c>
      <c r="D34" s="26" t="str">
        <f aca="false">IF($B34="","",IF(COUNTIFS('SỔ CÔNG NỢ'!$A$5:$A$51,$B34,'SỔ CÔNG NỢ'!$B$5:$B$51,D$28)=0,"",SUMIFS('SỔ CÔNG NỢ'!$L$5:$L$51,'SỔ CÔNG NỢ'!$A$5:$A$51,$B34,'SỔ CÔNG NỢ'!$B$5:$B$51,D$28)))</f>
        <v/>
      </c>
      <c r="E34" s="26" t="str">
        <f aca="false">IF($B34="","",IF(COUNTIFS('SỔ CÔNG NỢ'!$A$5:$A$51,$B34,'SỔ CÔNG NỢ'!$B$5:$B$51,E$28)=0,"",SUMIFS('SỔ CÔNG NỢ'!$L$5:$L$51,'SỔ CÔNG NỢ'!$A$5:$A$51,$B34,'SỔ CÔNG NỢ'!$B$5:$B$51,E$28)))</f>
        <v/>
      </c>
      <c r="F34" s="26" t="str">
        <f aca="false">IF($B34="","",IF(COUNTIFS('SỔ CÔNG NỢ'!$A$5:$A$51,$B34,'SỔ CÔNG NỢ'!$B$5:$B$51,F$28)=0,"",SUMIFS('SỔ CÔNG NỢ'!$L$5:$L$51,'SỔ CÔNG NỢ'!$A$5:$A$51,$B34,'SỔ CÔNG NỢ'!$B$5:$B$51,F$28)))</f>
        <v/>
      </c>
      <c r="G34" s="26" t="str">
        <f aca="false">IF($B34="","",IF(COUNTIFS('SỔ CÔNG NỢ'!$A$5:$A$51,$B34,'SỔ CÔNG NỢ'!$B$5:$B$51,G$28)=0,"",SUMIFS('SỔ CÔNG NỢ'!$L$5:$L$51,'SỔ CÔNG NỢ'!$A$5:$A$51,$B34,'SỔ CÔNG NỢ'!$B$5:$B$51,G$28)))</f>
        <v/>
      </c>
      <c r="H34" s="26" t="str">
        <f aca="false">IF($B34="","",IF(COUNTIFS('SỔ CÔNG NỢ'!$A$5:$A$51,$B34,'SỔ CÔNG NỢ'!$B$5:$B$51,H$28)=0,"",SUMIFS('SỔ CÔNG NỢ'!$L$5:$L$51,'SỔ CÔNG NỢ'!$A$5:$A$51,$B34,'SỔ CÔNG NỢ'!$B$5:$B$51,H$28)))</f>
        <v/>
      </c>
      <c r="I34" s="26" t="str">
        <f aca="false">IF($B34="","",IF(COUNTIFS('SỔ CÔNG NỢ'!$A$5:$A$51,$B34,'SỔ CÔNG NỢ'!$B$5:$B$51,I$28)=0,"",SUMIFS('SỔ CÔNG NỢ'!$L$5:$L$51,'SỔ CÔNG NỢ'!$A$5:$A$51,$B34,'SỔ CÔNG NỢ'!$B$5:$B$51,I$28)))</f>
        <v/>
      </c>
    </row>
    <row r="35" customFormat="false" ht="15" hidden="false" customHeight="false" outlineLevel="0" collapsed="false">
      <c r="A35" s="25"/>
      <c r="B35" s="25" t="str">
        <f aca="false">IF($B15="","",$B15)</f>
        <v/>
      </c>
      <c r="C35" s="26" t="str">
        <f aca="false">IF($B35="","",IF(COUNTIFS('SỔ CÔNG NỢ'!$A$5:$A$51,$B35,'SỔ CÔNG NỢ'!$B$5:$B$51,C$28)=0,"",SUMIFS('SỔ CÔNG NỢ'!$L$5:$L$51,'SỔ CÔNG NỢ'!$A$5:$A$51,$B35,'SỔ CÔNG NỢ'!$B$5:$B$51,C$28)))</f>
        <v/>
      </c>
      <c r="D35" s="26" t="str">
        <f aca="false">IF($B35="","",IF(COUNTIFS('SỔ CÔNG NỢ'!$A$5:$A$51,$B35,'SỔ CÔNG NỢ'!$B$5:$B$51,D$28)=0,"",SUMIFS('SỔ CÔNG NỢ'!$L$5:$L$51,'SỔ CÔNG NỢ'!$A$5:$A$51,$B35,'SỔ CÔNG NỢ'!$B$5:$B$51,D$28)))</f>
        <v/>
      </c>
      <c r="E35" s="26" t="str">
        <f aca="false">IF($B35="","",IF(COUNTIFS('SỔ CÔNG NỢ'!$A$5:$A$51,$B35,'SỔ CÔNG NỢ'!$B$5:$B$51,E$28)=0,"",SUMIFS('SỔ CÔNG NỢ'!$L$5:$L$51,'SỔ CÔNG NỢ'!$A$5:$A$51,$B35,'SỔ CÔNG NỢ'!$B$5:$B$51,E$28)))</f>
        <v/>
      </c>
      <c r="F35" s="26" t="str">
        <f aca="false">IF($B35="","",IF(COUNTIFS('SỔ CÔNG NỢ'!$A$5:$A$51,$B35,'SỔ CÔNG NỢ'!$B$5:$B$51,F$28)=0,"",SUMIFS('SỔ CÔNG NỢ'!$L$5:$L$51,'SỔ CÔNG NỢ'!$A$5:$A$51,$B35,'SỔ CÔNG NỢ'!$B$5:$B$51,F$28)))</f>
        <v/>
      </c>
      <c r="G35" s="26" t="str">
        <f aca="false">IF($B35="","",IF(COUNTIFS('SỔ CÔNG NỢ'!$A$5:$A$51,$B35,'SỔ CÔNG NỢ'!$B$5:$B$51,G$28)=0,"",SUMIFS('SỔ CÔNG NỢ'!$L$5:$L$51,'SỔ CÔNG NỢ'!$A$5:$A$51,$B35,'SỔ CÔNG NỢ'!$B$5:$B$51,G$28)))</f>
        <v/>
      </c>
      <c r="H35" s="26" t="str">
        <f aca="false">IF($B35="","",IF(COUNTIFS('SỔ CÔNG NỢ'!$A$5:$A$51,$B35,'SỔ CÔNG NỢ'!$B$5:$B$51,H$28)=0,"",SUMIFS('SỔ CÔNG NỢ'!$L$5:$L$51,'SỔ CÔNG NỢ'!$A$5:$A$51,$B35,'SỔ CÔNG NỢ'!$B$5:$B$51,H$28)))</f>
        <v/>
      </c>
      <c r="I35" s="26" t="str">
        <f aca="false">IF($B35="","",IF(COUNTIFS('SỔ CÔNG NỢ'!$A$5:$A$51,$B35,'SỔ CÔNG NỢ'!$B$5:$B$51,I$28)=0,"",SUMIFS('SỔ CÔNG NỢ'!$L$5:$L$51,'SỔ CÔNG NỢ'!$A$5:$A$51,$B35,'SỔ CÔNG NỢ'!$B$5:$B$51,I$28)))</f>
        <v/>
      </c>
    </row>
    <row r="36" customFormat="false" ht="15" hidden="false" customHeight="false" outlineLevel="0" collapsed="false">
      <c r="A36" s="25"/>
      <c r="B36" s="25" t="str">
        <f aca="false">IF($B16="","",$B16)</f>
        <v/>
      </c>
      <c r="C36" s="26" t="str">
        <f aca="false">IF($B36="","",IF(COUNTIFS('SỔ CÔNG NỢ'!$A$5:$A$51,$B36,'SỔ CÔNG NỢ'!$B$5:$B$51,C$28)=0,"",SUMIFS('SỔ CÔNG NỢ'!$L$5:$L$51,'SỔ CÔNG NỢ'!$A$5:$A$51,$B36,'SỔ CÔNG NỢ'!$B$5:$B$51,C$28)))</f>
        <v/>
      </c>
      <c r="D36" s="26" t="str">
        <f aca="false">IF($B36="","",IF(COUNTIFS('SỔ CÔNG NỢ'!$A$5:$A$51,$B36,'SỔ CÔNG NỢ'!$B$5:$B$51,D$28)=0,"",SUMIFS('SỔ CÔNG NỢ'!$L$5:$L$51,'SỔ CÔNG NỢ'!$A$5:$A$51,$B36,'SỔ CÔNG NỢ'!$B$5:$B$51,D$28)))</f>
        <v/>
      </c>
      <c r="E36" s="26" t="str">
        <f aca="false">IF($B36="","",IF(COUNTIFS('SỔ CÔNG NỢ'!$A$5:$A$51,$B36,'SỔ CÔNG NỢ'!$B$5:$B$51,E$28)=0,"",SUMIFS('SỔ CÔNG NỢ'!$L$5:$L$51,'SỔ CÔNG NỢ'!$A$5:$A$51,$B36,'SỔ CÔNG NỢ'!$B$5:$B$51,E$28)))</f>
        <v/>
      </c>
      <c r="F36" s="26" t="str">
        <f aca="false">IF($B36="","",IF(COUNTIFS('SỔ CÔNG NỢ'!$A$5:$A$51,$B36,'SỔ CÔNG NỢ'!$B$5:$B$51,F$28)=0,"",SUMIFS('SỔ CÔNG NỢ'!$L$5:$L$51,'SỔ CÔNG NỢ'!$A$5:$A$51,$B36,'SỔ CÔNG NỢ'!$B$5:$B$51,F$28)))</f>
        <v/>
      </c>
      <c r="G36" s="26" t="str">
        <f aca="false">IF($B36="","",IF(COUNTIFS('SỔ CÔNG NỢ'!$A$5:$A$51,$B36,'SỔ CÔNG NỢ'!$B$5:$B$51,G$28)=0,"",SUMIFS('SỔ CÔNG NỢ'!$L$5:$L$51,'SỔ CÔNG NỢ'!$A$5:$A$51,$B36,'SỔ CÔNG NỢ'!$B$5:$B$51,G$28)))</f>
        <v/>
      </c>
      <c r="H36" s="26" t="str">
        <f aca="false">IF($B36="","",IF(COUNTIFS('SỔ CÔNG NỢ'!$A$5:$A$51,$B36,'SỔ CÔNG NỢ'!$B$5:$B$51,H$28)=0,"",SUMIFS('SỔ CÔNG NỢ'!$L$5:$L$51,'SỔ CÔNG NỢ'!$A$5:$A$51,$B36,'SỔ CÔNG NỢ'!$B$5:$B$51,H$28)))</f>
        <v/>
      </c>
      <c r="I36" s="26" t="str">
        <f aca="false">IF($B36="","",IF(COUNTIFS('SỔ CÔNG NỢ'!$A$5:$A$51,$B36,'SỔ CÔNG NỢ'!$B$5:$B$51,I$28)=0,"",SUMIFS('SỔ CÔNG NỢ'!$L$5:$L$51,'SỔ CÔNG NỢ'!$A$5:$A$51,$B36,'SỔ CÔNG NỢ'!$B$5:$B$51,I$28)))</f>
        <v/>
      </c>
    </row>
    <row r="37" customFormat="false" ht="15" hidden="false" customHeight="false" outlineLevel="0" collapsed="false">
      <c r="A37" s="25"/>
      <c r="B37" s="25" t="str">
        <f aca="false">IF($B17="","",$B17)</f>
        <v/>
      </c>
      <c r="C37" s="26" t="str">
        <f aca="false">IF($B37="","",IF(COUNTIFS('SỔ CÔNG NỢ'!$A$5:$A$51,$B37,'SỔ CÔNG NỢ'!$B$5:$B$51,C$28)=0,"",SUMIFS('SỔ CÔNG NỢ'!$L$5:$L$51,'SỔ CÔNG NỢ'!$A$5:$A$51,$B37,'SỔ CÔNG NỢ'!$B$5:$B$51,C$28)))</f>
        <v/>
      </c>
      <c r="D37" s="26" t="str">
        <f aca="false">IF($B37="","",IF(COUNTIFS('SỔ CÔNG NỢ'!$A$5:$A$51,$B37,'SỔ CÔNG NỢ'!$B$5:$B$51,D$28)=0,"",SUMIFS('SỔ CÔNG NỢ'!$L$5:$L$51,'SỔ CÔNG NỢ'!$A$5:$A$51,$B37,'SỔ CÔNG NỢ'!$B$5:$B$51,D$28)))</f>
        <v/>
      </c>
      <c r="E37" s="26" t="str">
        <f aca="false">IF($B37="","",IF(COUNTIFS('SỔ CÔNG NỢ'!$A$5:$A$51,$B37,'SỔ CÔNG NỢ'!$B$5:$B$51,E$28)=0,"",SUMIFS('SỔ CÔNG NỢ'!$L$5:$L$51,'SỔ CÔNG NỢ'!$A$5:$A$51,$B37,'SỔ CÔNG NỢ'!$B$5:$B$51,E$28)))</f>
        <v/>
      </c>
      <c r="F37" s="26" t="str">
        <f aca="false">IF($B37="","",IF(COUNTIFS('SỔ CÔNG NỢ'!$A$5:$A$51,$B37,'SỔ CÔNG NỢ'!$B$5:$B$51,F$28)=0,"",SUMIFS('SỔ CÔNG NỢ'!$L$5:$L$51,'SỔ CÔNG NỢ'!$A$5:$A$51,$B37,'SỔ CÔNG NỢ'!$B$5:$B$51,F$28)))</f>
        <v/>
      </c>
      <c r="G37" s="26" t="str">
        <f aca="false">IF($B37="","",IF(COUNTIFS('SỔ CÔNG NỢ'!$A$5:$A$51,$B37,'SỔ CÔNG NỢ'!$B$5:$B$51,G$28)=0,"",SUMIFS('SỔ CÔNG NỢ'!$L$5:$L$51,'SỔ CÔNG NỢ'!$A$5:$A$51,$B37,'SỔ CÔNG NỢ'!$B$5:$B$51,G$28)))</f>
        <v/>
      </c>
      <c r="H37" s="26" t="str">
        <f aca="false">IF($B37="","",IF(COUNTIFS('SỔ CÔNG NỢ'!$A$5:$A$51,$B37,'SỔ CÔNG NỢ'!$B$5:$B$51,H$28)=0,"",SUMIFS('SỔ CÔNG NỢ'!$L$5:$L$51,'SỔ CÔNG NỢ'!$A$5:$A$51,$B37,'SỔ CÔNG NỢ'!$B$5:$B$51,H$28)))</f>
        <v/>
      </c>
      <c r="I37" s="26" t="str">
        <f aca="false">IF($B37="","",IF(COUNTIFS('SỔ CÔNG NỢ'!$A$5:$A$51,$B37,'SỔ CÔNG NỢ'!$B$5:$B$51,I$28)=0,"",SUMIFS('SỔ CÔNG NỢ'!$L$5:$L$51,'SỔ CÔNG NỢ'!$A$5:$A$51,$B37,'SỔ CÔNG NỢ'!$B$5:$B$51,I$28)))</f>
        <v/>
      </c>
    </row>
    <row r="38" customFormat="false" ht="15" hidden="false" customHeight="false" outlineLevel="0" collapsed="false">
      <c r="A38" s="25"/>
      <c r="B38" s="25" t="str">
        <f aca="false">IF($B18="","",$B18)</f>
        <v/>
      </c>
      <c r="C38" s="26" t="str">
        <f aca="false">IF($B38="","",IF(COUNTIFS('SỔ CÔNG NỢ'!$A$5:$A$51,$B38,'SỔ CÔNG NỢ'!$B$5:$B$51,C$28)=0,"",SUMIFS('SỔ CÔNG NỢ'!$L$5:$L$51,'SỔ CÔNG NỢ'!$A$5:$A$51,$B38,'SỔ CÔNG NỢ'!$B$5:$B$51,C$28)))</f>
        <v/>
      </c>
      <c r="D38" s="26" t="str">
        <f aca="false">IF($B38="","",IF(COUNTIFS('SỔ CÔNG NỢ'!$A$5:$A$51,$B38,'SỔ CÔNG NỢ'!$B$5:$B$51,D$28)=0,"",SUMIFS('SỔ CÔNG NỢ'!$L$5:$L$51,'SỔ CÔNG NỢ'!$A$5:$A$51,$B38,'SỔ CÔNG NỢ'!$B$5:$B$51,D$28)))</f>
        <v/>
      </c>
      <c r="E38" s="26" t="str">
        <f aca="false">IF($B38="","",IF(COUNTIFS('SỔ CÔNG NỢ'!$A$5:$A$51,$B38,'SỔ CÔNG NỢ'!$B$5:$B$51,E$28)=0,"",SUMIFS('SỔ CÔNG NỢ'!$L$5:$L$51,'SỔ CÔNG NỢ'!$A$5:$A$51,$B38,'SỔ CÔNG NỢ'!$B$5:$B$51,E$28)))</f>
        <v/>
      </c>
      <c r="F38" s="26" t="str">
        <f aca="false">IF($B38="","",IF(COUNTIFS('SỔ CÔNG NỢ'!$A$5:$A$51,$B38,'SỔ CÔNG NỢ'!$B$5:$B$51,F$28)=0,"",SUMIFS('SỔ CÔNG NỢ'!$L$5:$L$51,'SỔ CÔNG NỢ'!$A$5:$A$51,$B38,'SỔ CÔNG NỢ'!$B$5:$B$51,F$28)))</f>
        <v/>
      </c>
      <c r="G38" s="26" t="str">
        <f aca="false">IF($B38="","",IF(COUNTIFS('SỔ CÔNG NỢ'!$A$5:$A$51,$B38,'SỔ CÔNG NỢ'!$B$5:$B$51,G$28)=0,"",SUMIFS('SỔ CÔNG NỢ'!$L$5:$L$51,'SỔ CÔNG NỢ'!$A$5:$A$51,$B38,'SỔ CÔNG NỢ'!$B$5:$B$51,G$28)))</f>
        <v/>
      </c>
      <c r="H38" s="26" t="str">
        <f aca="false">IF($B38="","",IF(COUNTIFS('SỔ CÔNG NỢ'!$A$5:$A$51,$B38,'SỔ CÔNG NỢ'!$B$5:$B$51,H$28)=0,"",SUMIFS('SỔ CÔNG NỢ'!$L$5:$L$51,'SỔ CÔNG NỢ'!$A$5:$A$51,$B38,'SỔ CÔNG NỢ'!$B$5:$B$51,H$28)))</f>
        <v/>
      </c>
      <c r="I38" s="26" t="str">
        <f aca="false">IF($B38="","",IF(COUNTIFS('SỔ CÔNG NỢ'!$A$5:$A$51,$B38,'SỔ CÔNG NỢ'!$B$5:$B$51,I$28)=0,"",SUMIFS('SỔ CÔNG NỢ'!$L$5:$L$51,'SỔ CÔNG NỢ'!$A$5:$A$51,$B38,'SỔ CÔNG NỢ'!$B$5:$B$51,I$28)))</f>
        <v/>
      </c>
    </row>
    <row r="39" customFormat="false" ht="15" hidden="false" customHeight="false" outlineLevel="0" collapsed="false">
      <c r="A39" s="25"/>
      <c r="B39" s="25" t="str">
        <f aca="false">IF($B19="","",$B19)</f>
        <v/>
      </c>
      <c r="C39" s="26" t="str">
        <f aca="false">IF($B39="","",IF(COUNTIFS('SỔ CÔNG NỢ'!$A$5:$A$51,$B39,'SỔ CÔNG NỢ'!$B$5:$B$51,C$28)=0,"",SUMIFS('SỔ CÔNG NỢ'!$L$5:$L$51,'SỔ CÔNG NỢ'!$A$5:$A$51,$B39,'SỔ CÔNG NỢ'!$B$5:$B$51,C$28)))</f>
        <v/>
      </c>
      <c r="D39" s="26" t="str">
        <f aca="false">IF($B39="","",IF(COUNTIFS('SỔ CÔNG NỢ'!$A$5:$A$51,$B39,'SỔ CÔNG NỢ'!$B$5:$B$51,D$28)=0,"",SUMIFS('SỔ CÔNG NỢ'!$L$5:$L$51,'SỔ CÔNG NỢ'!$A$5:$A$51,$B39,'SỔ CÔNG NỢ'!$B$5:$B$51,D$28)))</f>
        <v/>
      </c>
      <c r="E39" s="26" t="str">
        <f aca="false">IF($B39="","",IF(COUNTIFS('SỔ CÔNG NỢ'!$A$5:$A$51,$B39,'SỔ CÔNG NỢ'!$B$5:$B$51,E$28)=0,"",SUMIFS('SỔ CÔNG NỢ'!$L$5:$L$51,'SỔ CÔNG NỢ'!$A$5:$A$51,$B39,'SỔ CÔNG NỢ'!$B$5:$B$51,E$28)))</f>
        <v/>
      </c>
      <c r="F39" s="26" t="str">
        <f aca="false">IF($B39="","",IF(COUNTIFS('SỔ CÔNG NỢ'!$A$5:$A$51,$B39,'SỔ CÔNG NỢ'!$B$5:$B$51,F$28)=0,"",SUMIFS('SỔ CÔNG NỢ'!$L$5:$L$51,'SỔ CÔNG NỢ'!$A$5:$A$51,$B39,'SỔ CÔNG NỢ'!$B$5:$B$51,F$28)))</f>
        <v/>
      </c>
      <c r="G39" s="26" t="str">
        <f aca="false">IF($B39="","",IF(COUNTIFS('SỔ CÔNG NỢ'!$A$5:$A$51,$B39,'SỔ CÔNG NỢ'!$B$5:$B$51,G$28)=0,"",SUMIFS('SỔ CÔNG NỢ'!$L$5:$L$51,'SỔ CÔNG NỢ'!$A$5:$A$51,$B39,'SỔ CÔNG NỢ'!$B$5:$B$51,G$28)))</f>
        <v/>
      </c>
      <c r="H39" s="26" t="str">
        <f aca="false">IF($B39="","",IF(COUNTIFS('SỔ CÔNG NỢ'!$A$5:$A$51,$B39,'SỔ CÔNG NỢ'!$B$5:$B$51,H$28)=0,"",SUMIFS('SỔ CÔNG NỢ'!$L$5:$L$51,'SỔ CÔNG NỢ'!$A$5:$A$51,$B39,'SỔ CÔNG NỢ'!$B$5:$B$51,H$28)))</f>
        <v/>
      </c>
      <c r="I39" s="26" t="str">
        <f aca="false">IF($B39="","",IF(COUNTIFS('SỔ CÔNG NỢ'!$A$5:$A$51,$B39,'SỔ CÔNG NỢ'!$B$5:$B$51,I$28)=0,"",SUMIFS('SỔ CÔNG NỢ'!$L$5:$L$51,'SỔ CÔNG NỢ'!$A$5:$A$51,$B39,'SỔ CÔNG NỢ'!$B$5:$B$51,I$28)))</f>
        <v/>
      </c>
    </row>
    <row r="40" customFormat="false" ht="15" hidden="false" customHeight="false" outlineLevel="0" collapsed="false">
      <c r="A40" s="25"/>
      <c r="B40" s="25" t="str">
        <f aca="false">IF($B20="","",$B20)</f>
        <v/>
      </c>
      <c r="C40" s="26" t="str">
        <f aca="false">IF($B40="","",IF(COUNTIFS('SỔ CÔNG NỢ'!$A$5:$A$51,$B40,'SỔ CÔNG NỢ'!$B$5:$B$51,C$28)=0,"",SUMIFS('SỔ CÔNG NỢ'!$L$5:$L$51,'SỔ CÔNG NỢ'!$A$5:$A$51,$B40,'SỔ CÔNG NỢ'!$B$5:$B$51,C$28)))</f>
        <v/>
      </c>
      <c r="D40" s="26" t="str">
        <f aca="false">IF($B40="","",IF(COUNTIFS('SỔ CÔNG NỢ'!$A$5:$A$51,$B40,'SỔ CÔNG NỢ'!$B$5:$B$51,D$28)=0,"",SUMIFS('SỔ CÔNG NỢ'!$L$5:$L$51,'SỔ CÔNG NỢ'!$A$5:$A$51,$B40,'SỔ CÔNG NỢ'!$B$5:$B$51,D$28)))</f>
        <v/>
      </c>
      <c r="E40" s="26" t="str">
        <f aca="false">IF($B40="","",IF(COUNTIFS('SỔ CÔNG NỢ'!$A$5:$A$51,$B40,'SỔ CÔNG NỢ'!$B$5:$B$51,E$28)=0,"",SUMIFS('SỔ CÔNG NỢ'!$L$5:$L$51,'SỔ CÔNG NỢ'!$A$5:$A$51,$B40,'SỔ CÔNG NỢ'!$B$5:$B$51,E$28)))</f>
        <v/>
      </c>
      <c r="F40" s="26" t="str">
        <f aca="false">IF($B40="","",IF(COUNTIFS('SỔ CÔNG NỢ'!$A$5:$A$51,$B40,'SỔ CÔNG NỢ'!$B$5:$B$51,F$28)=0,"",SUMIFS('SỔ CÔNG NỢ'!$L$5:$L$51,'SỔ CÔNG NỢ'!$A$5:$A$51,$B40,'SỔ CÔNG NỢ'!$B$5:$B$51,F$28)))</f>
        <v/>
      </c>
      <c r="G40" s="26" t="str">
        <f aca="false">IF($B40="","",IF(COUNTIFS('SỔ CÔNG NỢ'!$A$5:$A$51,$B40,'SỔ CÔNG NỢ'!$B$5:$B$51,G$28)=0,"",SUMIFS('SỔ CÔNG NỢ'!$L$5:$L$51,'SỔ CÔNG NỢ'!$A$5:$A$51,$B40,'SỔ CÔNG NỢ'!$B$5:$B$51,G$28)))</f>
        <v/>
      </c>
      <c r="H40" s="26" t="str">
        <f aca="false">IF($B40="","",IF(COUNTIFS('SỔ CÔNG NỢ'!$A$5:$A$51,$B40,'SỔ CÔNG NỢ'!$B$5:$B$51,H$28)=0,"",SUMIFS('SỔ CÔNG NỢ'!$L$5:$L$51,'SỔ CÔNG NỢ'!$A$5:$A$51,$B40,'SỔ CÔNG NỢ'!$B$5:$B$51,H$28)))</f>
        <v/>
      </c>
      <c r="I40" s="26" t="str">
        <f aca="false">IF($B40="","",IF(COUNTIFS('SỔ CÔNG NỢ'!$A$5:$A$51,$B40,'SỔ CÔNG NỢ'!$B$5:$B$51,I$28)=0,"",SUMIFS('SỔ CÔNG NỢ'!$L$5:$L$51,'SỔ CÔNG NỢ'!$A$5:$A$51,$B40,'SỔ CÔNG NỢ'!$B$5:$B$51,I$28)))</f>
        <v/>
      </c>
    </row>
    <row r="41" customFormat="false" ht="15" hidden="false" customHeight="false" outlineLevel="0" collapsed="false">
      <c r="A41" s="27"/>
      <c r="B41" s="27" t="s">
        <v>22</v>
      </c>
      <c r="C41" s="28" t="n">
        <f aca="false">SUM(C29:C40)</f>
        <v>9966050</v>
      </c>
      <c r="D41" s="28" t="n">
        <f aca="false">SUM(D29:D40)</f>
        <v>10599223</v>
      </c>
      <c r="E41" s="28" t="n">
        <f aca="false">SUM(E29:E40)</f>
        <v>-7095410</v>
      </c>
      <c r="F41" s="28" t="n">
        <f aca="false">SUM(F29:F40)</f>
        <v>33078350</v>
      </c>
      <c r="G41" s="28" t="n">
        <f aca="false">SUM(G29:G40)</f>
        <v>0</v>
      </c>
      <c r="H41" s="28" t="n">
        <f aca="false">SUM(H29:H40)</f>
        <v>0</v>
      </c>
      <c r="I41" s="28" t="n">
        <f aca="false">SUM(I29:I40)</f>
        <v>0</v>
      </c>
    </row>
    <row r="44" customFormat="false" ht="15" hidden="false" customHeight="false" outlineLevel="0" collapsed="false">
      <c r="A44" s="10" t="s">
        <v>25</v>
      </c>
    </row>
    <row r="45" customFormat="false" ht="27.75" hidden="false" customHeight="true" outlineLevel="0" collapsed="false">
      <c r="A45" s="11"/>
      <c r="B45" s="11" t="s">
        <v>8</v>
      </c>
      <c r="C45" s="24" t="n">
        <f aca="false">$C$25</f>
        <v>46174</v>
      </c>
      <c r="D45" s="24" t="n">
        <f aca="false">EDATE(C45,1)</f>
        <v>46204</v>
      </c>
      <c r="E45" s="24" t="n">
        <f aca="false">EDATE(D45,1)</f>
        <v>46235</v>
      </c>
      <c r="F45" s="24" t="n">
        <f aca="false">EDATE(E45,1)</f>
        <v>46266</v>
      </c>
      <c r="G45" s="24" t="n">
        <f aca="false">EDATE(F45,1)</f>
        <v>46296</v>
      </c>
      <c r="H45" s="24" t="n">
        <f aca="false">EDATE(G45,1)</f>
        <v>46327</v>
      </c>
      <c r="I45" s="24" t="n">
        <f aca="false">EDATE(H45,1)</f>
        <v>46357</v>
      </c>
    </row>
    <row r="46" customFormat="false" ht="15" hidden="false" customHeight="false" outlineLevel="0" collapsed="false">
      <c r="A46" s="25"/>
      <c r="B46" s="25" t="str">
        <f aca="false">IF($B9="","",$B9)</f>
        <v>Hiền Xuân</v>
      </c>
      <c r="C46" s="26" t="str">
        <f aca="false">IF($B46="","",IF(COUNTIFS('SỔ CÔNG NỢ'!$A$5:$A$51,$B46,'SỔ CÔNG NỢ'!$B$5:$B$51,C$45)=0,"",SUMIFS('SỔ CÔNG NỢ'!$G$5:$G$51,'SỔ CÔNG NỢ'!$A$5:$A$51,$B46,'SỔ CÔNG NỢ'!$B$5:$B$51,C$45)))</f>
        <v/>
      </c>
      <c r="D46" s="26" t="n">
        <f aca="false">IF($B46="","",IF(COUNTIFS('SỔ CÔNG NỢ'!$A$5:$A$51,$B46,'SỔ CÔNG NỢ'!$B$5:$B$51,D$45)=0,"",SUMIFS('SỔ CÔNG NỢ'!$G$5:$G$51,'SỔ CÔNG NỢ'!$A$5:$A$51,$B46,'SỔ CÔNG NỢ'!$B$5:$B$51,D$45)))</f>
        <v>31863893</v>
      </c>
      <c r="E46" s="26" t="str">
        <f aca="false">IF($B46="","",IF(COUNTIFS('SỔ CÔNG NỢ'!$A$5:$A$51,$B46,'SỔ CÔNG NỢ'!$B$5:$B$51,E$45)=0,"",SUMIFS('SỔ CÔNG NỢ'!$G$5:$G$51,'SỔ CÔNG NỢ'!$A$5:$A$51,$B46,'SỔ CÔNG NỢ'!$B$5:$B$51,E$45)))</f>
        <v/>
      </c>
      <c r="F46" s="26" t="str">
        <f aca="false">IF($B46="","",IF(COUNTIFS('SỔ CÔNG NỢ'!$A$5:$A$51,$B46,'SỔ CÔNG NỢ'!$B$5:$B$51,F$45)=0,"",SUMIFS('SỔ CÔNG NỢ'!$G$5:$G$51,'SỔ CÔNG NỢ'!$A$5:$A$51,$B46,'SỔ CÔNG NỢ'!$B$5:$B$51,F$45)))</f>
        <v/>
      </c>
      <c r="G46" s="26" t="str">
        <f aca="false">IF($B46="","",IF(COUNTIFS('SỔ CÔNG NỢ'!$A$5:$A$51,$B46,'SỔ CÔNG NỢ'!$B$5:$B$51,G$45)=0,"",SUMIFS('SỔ CÔNG NỢ'!$G$5:$G$51,'SỔ CÔNG NỢ'!$A$5:$A$51,$B46,'SỔ CÔNG NỢ'!$B$5:$B$51,G$45)))</f>
        <v/>
      </c>
      <c r="H46" s="26" t="str">
        <f aca="false">IF($B46="","",IF(COUNTIFS('SỔ CÔNG NỢ'!$A$5:$A$51,$B46,'SỔ CÔNG NỢ'!$B$5:$B$51,H$45)=0,"",SUMIFS('SỔ CÔNG NỢ'!$G$5:$G$51,'SỔ CÔNG NỢ'!$A$5:$A$51,$B46,'SỔ CÔNG NỢ'!$B$5:$B$51,H$45)))</f>
        <v/>
      </c>
      <c r="I46" s="26" t="str">
        <f aca="false">IF($B46="","",IF(COUNTIFS('SỔ CÔNG NỢ'!$A$5:$A$51,$B46,'SỔ CÔNG NỢ'!$B$5:$B$51,I$45)=0,"",SUMIFS('SỔ CÔNG NỢ'!$G$5:$G$51,'SỔ CÔNG NỢ'!$A$5:$A$51,$B46,'SỔ CÔNG NỢ'!$B$5:$B$51,I$45)))</f>
        <v/>
      </c>
    </row>
    <row r="47" customFormat="false" ht="15" hidden="false" customHeight="false" outlineLevel="0" collapsed="false">
      <c r="A47" s="25"/>
      <c r="B47" s="25" t="str">
        <f aca="false">IF($B10="","",$B10)</f>
        <v>Hòa Hiệp</v>
      </c>
      <c r="C47" s="26" t="n">
        <f aca="false">IF($B47="","",IF(COUNTIFS('SỔ CÔNG NỢ'!$A$5:$A$51,$B47,'SỔ CÔNG NỢ'!$B$5:$B$51,C$45)=0,"",SUMIFS('SỔ CÔNG NỢ'!$G$5:$G$51,'SỔ CÔNG NỢ'!$A$5:$A$51,$B47,'SỔ CÔNG NỢ'!$B$5:$B$51,C$45)))</f>
        <v>1387500</v>
      </c>
      <c r="D47" s="26" t="str">
        <f aca="false">IF($B47="","",IF(COUNTIFS('SỔ CÔNG NỢ'!$A$5:$A$51,$B47,'SỔ CÔNG NỢ'!$B$5:$B$51,D$45)=0,"",SUMIFS('SỔ CÔNG NỢ'!$G$5:$G$51,'SỔ CÔNG NỢ'!$A$5:$A$51,$B47,'SỔ CÔNG NỢ'!$B$5:$B$51,D$45)))</f>
        <v/>
      </c>
      <c r="E47" s="26" t="str">
        <f aca="false">IF($B47="","",IF(COUNTIFS('SỔ CÔNG NỢ'!$A$5:$A$51,$B47,'SỔ CÔNG NỢ'!$B$5:$B$51,E$45)=0,"",SUMIFS('SỔ CÔNG NỢ'!$G$5:$G$51,'SỔ CÔNG NỢ'!$A$5:$A$51,$B47,'SỔ CÔNG NỢ'!$B$5:$B$51,E$45)))</f>
        <v/>
      </c>
      <c r="F47" s="26" t="str">
        <f aca="false">IF($B47="","",IF(COUNTIFS('SỔ CÔNG NỢ'!$A$5:$A$51,$B47,'SỔ CÔNG NỢ'!$B$5:$B$51,F$45)=0,"",SUMIFS('SỔ CÔNG NỢ'!$G$5:$G$51,'SỔ CÔNG NỢ'!$A$5:$A$51,$B47,'SỔ CÔNG NỢ'!$B$5:$B$51,F$45)))</f>
        <v/>
      </c>
      <c r="G47" s="26" t="str">
        <f aca="false">IF($B47="","",IF(COUNTIFS('SỔ CÔNG NỢ'!$A$5:$A$51,$B47,'SỔ CÔNG NỢ'!$B$5:$B$51,G$45)=0,"",SUMIFS('SỔ CÔNG NỢ'!$G$5:$G$51,'SỔ CÔNG NỢ'!$A$5:$A$51,$B47,'SỔ CÔNG NỢ'!$B$5:$B$51,G$45)))</f>
        <v/>
      </c>
      <c r="H47" s="26" t="str">
        <f aca="false">IF($B47="","",IF(COUNTIFS('SỔ CÔNG NỢ'!$A$5:$A$51,$B47,'SỔ CÔNG NỢ'!$B$5:$B$51,H$45)=0,"",SUMIFS('SỔ CÔNG NỢ'!$G$5:$G$51,'SỔ CÔNG NỢ'!$A$5:$A$51,$B47,'SỔ CÔNG NỢ'!$B$5:$B$51,H$45)))</f>
        <v/>
      </c>
      <c r="I47" s="26" t="str">
        <f aca="false">IF($B47="","",IF(COUNTIFS('SỔ CÔNG NỢ'!$A$5:$A$51,$B47,'SỔ CÔNG NỢ'!$B$5:$B$51,I$45)=0,"",SUMIFS('SỔ CÔNG NỢ'!$G$5:$G$51,'SỔ CÔNG NỢ'!$A$5:$A$51,$B47,'SỔ CÔNG NỢ'!$B$5:$B$51,I$45)))</f>
        <v/>
      </c>
    </row>
    <row r="48" customFormat="false" ht="15" hidden="false" customHeight="false" outlineLevel="0" collapsed="false">
      <c r="A48" s="25"/>
      <c r="B48" s="25" t="str">
        <f aca="false">IF($B11="","",$B11)</f>
        <v>Hà Liên</v>
      </c>
      <c r="C48" s="26" t="n">
        <f aca="false">IF($B48="","",IF(COUNTIFS('SỔ CÔNG NỢ'!$A$5:$A$51,$B48,'SỔ CÔNG NỢ'!$B$5:$B$51,C$45)=0,"",SUMIFS('SỔ CÔNG NỢ'!$G$5:$G$51,'SỔ CÔNG NỢ'!$A$5:$A$51,$B48,'SỔ CÔNG NỢ'!$B$5:$B$51,C$45)))</f>
        <v>9188400</v>
      </c>
      <c r="D48" s="26" t="n">
        <f aca="false">IF($B48="","",IF(COUNTIFS('SỔ CÔNG NỢ'!$A$5:$A$51,$B48,'SỔ CÔNG NỢ'!$B$5:$B$51,D$45)=0,"",SUMIFS('SỔ CÔNG NỢ'!$G$5:$G$51,'SỔ CÔNG NỢ'!$A$5:$A$51,$B48,'SỔ CÔNG NỢ'!$B$5:$B$51,D$45)))</f>
        <v>15690040</v>
      </c>
      <c r="E48" s="26" t="n">
        <f aca="false">IF($B48="","",IF(COUNTIFS('SỔ CÔNG NỢ'!$A$5:$A$51,$B48,'SỔ CÔNG NỢ'!$B$5:$B$51,E$45)=0,"",SUMIFS('SỔ CÔNG NỢ'!$G$5:$G$51,'SỔ CÔNG NỢ'!$A$5:$A$51,$B48,'SỔ CÔNG NỢ'!$B$5:$B$51,E$45)))</f>
        <v>15666000</v>
      </c>
      <c r="F48" s="26" t="n">
        <f aca="false">IF($B48="","",IF(COUNTIFS('SỔ CÔNG NỢ'!$A$5:$A$51,$B48,'SỔ CÔNG NỢ'!$B$5:$B$51,F$45)=0,"",SUMIFS('SỔ CÔNG NỢ'!$G$5:$G$51,'SỔ CÔNG NỢ'!$A$5:$A$51,$B48,'SỔ CÔNG NỢ'!$B$5:$B$51,F$45)))</f>
        <v>40173760</v>
      </c>
      <c r="G48" s="26" t="str">
        <f aca="false">IF($B48="","",IF(COUNTIFS('SỔ CÔNG NỢ'!$A$5:$A$51,$B48,'SỔ CÔNG NỢ'!$B$5:$B$51,G$45)=0,"",SUMIFS('SỔ CÔNG NỢ'!$G$5:$G$51,'SỔ CÔNG NỢ'!$A$5:$A$51,$B48,'SỔ CÔNG NỢ'!$B$5:$B$51,G$45)))</f>
        <v/>
      </c>
      <c r="H48" s="26" t="str">
        <f aca="false">IF($B48="","",IF(COUNTIFS('SỔ CÔNG NỢ'!$A$5:$A$51,$B48,'SỔ CÔNG NỢ'!$B$5:$B$51,H$45)=0,"",SUMIFS('SỔ CÔNG NỢ'!$G$5:$G$51,'SỔ CÔNG NỢ'!$A$5:$A$51,$B48,'SỔ CÔNG NỢ'!$B$5:$B$51,H$45)))</f>
        <v/>
      </c>
      <c r="I48" s="26" t="str">
        <f aca="false">IF($B48="","",IF(COUNTIFS('SỔ CÔNG NỢ'!$A$5:$A$51,$B48,'SỔ CÔNG NỢ'!$B$5:$B$51,I$45)=0,"",SUMIFS('SỔ CÔNG NỢ'!$G$5:$G$51,'SỔ CÔNG NỢ'!$A$5:$A$51,$B48,'SỔ CÔNG NỢ'!$B$5:$B$51,I$45)))</f>
        <v/>
      </c>
    </row>
    <row r="49" customFormat="false" ht="15" hidden="false" customHeight="false" outlineLevel="0" collapsed="false">
      <c r="A49" s="25"/>
      <c r="B49" s="25" t="str">
        <f aca="false">IF($B12="","",$B12)</f>
        <v/>
      </c>
      <c r="C49" s="26" t="str">
        <f aca="false">IF($B49="","",IF(COUNTIFS('SỔ CÔNG NỢ'!$A$5:$A$51,$B49,'SỔ CÔNG NỢ'!$B$5:$B$51,C$45)=0,"",SUMIFS('SỔ CÔNG NỢ'!$G$5:$G$51,'SỔ CÔNG NỢ'!$A$5:$A$51,$B49,'SỔ CÔNG NỢ'!$B$5:$B$51,C$45)))</f>
        <v/>
      </c>
      <c r="D49" s="26" t="str">
        <f aca="false">IF($B49="","",IF(COUNTIFS('SỔ CÔNG NỢ'!$A$5:$A$51,$B49,'SỔ CÔNG NỢ'!$B$5:$B$51,D$45)=0,"",SUMIFS('SỔ CÔNG NỢ'!$G$5:$G$51,'SỔ CÔNG NỢ'!$A$5:$A$51,$B49,'SỔ CÔNG NỢ'!$B$5:$B$51,D$45)))</f>
        <v/>
      </c>
      <c r="E49" s="26" t="str">
        <f aca="false">IF($B49="","",IF(COUNTIFS('SỔ CÔNG NỢ'!$A$5:$A$51,$B49,'SỔ CÔNG NỢ'!$B$5:$B$51,E$45)=0,"",SUMIFS('SỔ CÔNG NỢ'!$G$5:$G$51,'SỔ CÔNG NỢ'!$A$5:$A$51,$B49,'SỔ CÔNG NỢ'!$B$5:$B$51,E$45)))</f>
        <v/>
      </c>
      <c r="F49" s="26" t="str">
        <f aca="false">IF($B49="","",IF(COUNTIFS('SỔ CÔNG NỢ'!$A$5:$A$51,$B49,'SỔ CÔNG NỢ'!$B$5:$B$51,F$45)=0,"",SUMIFS('SỔ CÔNG NỢ'!$G$5:$G$51,'SỔ CÔNG NỢ'!$A$5:$A$51,$B49,'SỔ CÔNG NỢ'!$B$5:$B$51,F$45)))</f>
        <v/>
      </c>
      <c r="G49" s="26" t="str">
        <f aca="false">IF($B49="","",IF(COUNTIFS('SỔ CÔNG NỢ'!$A$5:$A$51,$B49,'SỔ CÔNG NỢ'!$B$5:$B$51,G$45)=0,"",SUMIFS('SỔ CÔNG NỢ'!$G$5:$G$51,'SỔ CÔNG NỢ'!$A$5:$A$51,$B49,'SỔ CÔNG NỢ'!$B$5:$B$51,G$45)))</f>
        <v/>
      </c>
      <c r="H49" s="26" t="str">
        <f aca="false">IF($B49="","",IF(COUNTIFS('SỔ CÔNG NỢ'!$A$5:$A$51,$B49,'SỔ CÔNG NỢ'!$B$5:$B$51,H$45)=0,"",SUMIFS('SỔ CÔNG NỢ'!$G$5:$G$51,'SỔ CÔNG NỢ'!$A$5:$A$51,$B49,'SỔ CÔNG NỢ'!$B$5:$B$51,H$45)))</f>
        <v/>
      </c>
      <c r="I49" s="26" t="str">
        <f aca="false">IF($B49="","",IF(COUNTIFS('SỔ CÔNG NỢ'!$A$5:$A$51,$B49,'SỔ CÔNG NỢ'!$B$5:$B$51,I$45)=0,"",SUMIFS('SỔ CÔNG NỢ'!$G$5:$G$51,'SỔ CÔNG NỢ'!$A$5:$A$51,$B49,'SỔ CÔNG NỢ'!$B$5:$B$51,I$45)))</f>
        <v/>
      </c>
    </row>
    <row r="50" customFormat="false" ht="15" hidden="false" customHeight="false" outlineLevel="0" collapsed="false">
      <c r="A50" s="25"/>
      <c r="B50" s="25" t="str">
        <f aca="false">IF($B13="","",$B13)</f>
        <v/>
      </c>
      <c r="C50" s="26" t="str">
        <f aca="false">IF($B50="","",IF(COUNTIFS('SỔ CÔNG NỢ'!$A$5:$A$51,$B50,'SỔ CÔNG NỢ'!$B$5:$B$51,C$45)=0,"",SUMIFS('SỔ CÔNG NỢ'!$G$5:$G$51,'SỔ CÔNG NỢ'!$A$5:$A$51,$B50,'SỔ CÔNG NỢ'!$B$5:$B$51,C$45)))</f>
        <v/>
      </c>
      <c r="D50" s="26" t="str">
        <f aca="false">IF($B50="","",IF(COUNTIFS('SỔ CÔNG NỢ'!$A$5:$A$51,$B50,'SỔ CÔNG NỢ'!$B$5:$B$51,D$45)=0,"",SUMIFS('SỔ CÔNG NỢ'!$G$5:$G$51,'SỔ CÔNG NỢ'!$A$5:$A$51,$B50,'SỔ CÔNG NỢ'!$B$5:$B$51,D$45)))</f>
        <v/>
      </c>
      <c r="E50" s="26" t="str">
        <f aca="false">IF($B50="","",IF(COUNTIFS('SỔ CÔNG NỢ'!$A$5:$A$51,$B50,'SỔ CÔNG NỢ'!$B$5:$B$51,E$45)=0,"",SUMIFS('SỔ CÔNG NỢ'!$G$5:$G$51,'SỔ CÔNG NỢ'!$A$5:$A$51,$B50,'SỔ CÔNG NỢ'!$B$5:$B$51,E$45)))</f>
        <v/>
      </c>
      <c r="F50" s="26" t="str">
        <f aca="false">IF($B50="","",IF(COUNTIFS('SỔ CÔNG NỢ'!$A$5:$A$51,$B50,'SỔ CÔNG NỢ'!$B$5:$B$51,F$45)=0,"",SUMIFS('SỔ CÔNG NỢ'!$G$5:$G$51,'SỔ CÔNG NỢ'!$A$5:$A$51,$B50,'SỔ CÔNG NỢ'!$B$5:$B$51,F$45)))</f>
        <v/>
      </c>
      <c r="G50" s="26" t="str">
        <f aca="false">IF($B50="","",IF(COUNTIFS('SỔ CÔNG NỢ'!$A$5:$A$51,$B50,'SỔ CÔNG NỢ'!$B$5:$B$51,G$45)=0,"",SUMIFS('SỔ CÔNG NỢ'!$G$5:$G$51,'SỔ CÔNG NỢ'!$A$5:$A$51,$B50,'SỔ CÔNG NỢ'!$B$5:$B$51,G$45)))</f>
        <v/>
      </c>
      <c r="H50" s="26" t="str">
        <f aca="false">IF($B50="","",IF(COUNTIFS('SỔ CÔNG NỢ'!$A$5:$A$51,$B50,'SỔ CÔNG NỢ'!$B$5:$B$51,H$45)=0,"",SUMIFS('SỔ CÔNG NỢ'!$G$5:$G$51,'SỔ CÔNG NỢ'!$A$5:$A$51,$B50,'SỔ CÔNG NỢ'!$B$5:$B$51,H$45)))</f>
        <v/>
      </c>
      <c r="I50" s="26" t="str">
        <f aca="false">IF($B50="","",IF(COUNTIFS('SỔ CÔNG NỢ'!$A$5:$A$51,$B50,'SỔ CÔNG NỢ'!$B$5:$B$51,I$45)=0,"",SUMIFS('SỔ CÔNG NỢ'!$G$5:$G$51,'SỔ CÔNG NỢ'!$A$5:$A$51,$B50,'SỔ CÔNG NỢ'!$B$5:$B$51,I$45)))</f>
        <v/>
      </c>
    </row>
    <row r="51" customFormat="false" ht="15" hidden="false" customHeight="false" outlineLevel="0" collapsed="false">
      <c r="A51" s="25"/>
      <c r="B51" s="25" t="str">
        <f aca="false">IF($B14="","",$B14)</f>
        <v/>
      </c>
      <c r="C51" s="26" t="str">
        <f aca="false">IF($B51="","",IF(COUNTIFS('SỔ CÔNG NỢ'!$A$5:$A$51,$B51,'SỔ CÔNG NỢ'!$B$5:$B$51,C$45)=0,"",SUMIFS('SỔ CÔNG NỢ'!$G$5:$G$51,'SỔ CÔNG NỢ'!$A$5:$A$51,$B51,'SỔ CÔNG NỢ'!$B$5:$B$51,C$45)))</f>
        <v/>
      </c>
      <c r="D51" s="26" t="str">
        <f aca="false">IF($B51="","",IF(COUNTIFS('SỔ CÔNG NỢ'!$A$5:$A$51,$B51,'SỔ CÔNG NỢ'!$B$5:$B$51,D$45)=0,"",SUMIFS('SỔ CÔNG NỢ'!$G$5:$G$51,'SỔ CÔNG NỢ'!$A$5:$A$51,$B51,'SỔ CÔNG NỢ'!$B$5:$B$51,D$45)))</f>
        <v/>
      </c>
      <c r="E51" s="26" t="str">
        <f aca="false">IF($B51="","",IF(COUNTIFS('SỔ CÔNG NỢ'!$A$5:$A$51,$B51,'SỔ CÔNG NỢ'!$B$5:$B$51,E$45)=0,"",SUMIFS('SỔ CÔNG NỢ'!$G$5:$G$51,'SỔ CÔNG NỢ'!$A$5:$A$51,$B51,'SỔ CÔNG NỢ'!$B$5:$B$51,E$45)))</f>
        <v/>
      </c>
      <c r="F51" s="26" t="str">
        <f aca="false">IF($B51="","",IF(COUNTIFS('SỔ CÔNG NỢ'!$A$5:$A$51,$B51,'SỔ CÔNG NỢ'!$B$5:$B$51,F$45)=0,"",SUMIFS('SỔ CÔNG NỢ'!$G$5:$G$51,'SỔ CÔNG NỢ'!$A$5:$A$51,$B51,'SỔ CÔNG NỢ'!$B$5:$B$51,F$45)))</f>
        <v/>
      </c>
      <c r="G51" s="26" t="str">
        <f aca="false">IF($B51="","",IF(COUNTIFS('SỔ CÔNG NỢ'!$A$5:$A$51,$B51,'SỔ CÔNG NỢ'!$B$5:$B$51,G$45)=0,"",SUMIFS('SỔ CÔNG NỢ'!$G$5:$G$51,'SỔ CÔNG NỢ'!$A$5:$A$51,$B51,'SỔ CÔNG NỢ'!$B$5:$B$51,G$45)))</f>
        <v/>
      </c>
      <c r="H51" s="26" t="str">
        <f aca="false">IF($B51="","",IF(COUNTIFS('SỔ CÔNG NỢ'!$A$5:$A$51,$B51,'SỔ CÔNG NỢ'!$B$5:$B$51,H$45)=0,"",SUMIFS('SỔ CÔNG NỢ'!$G$5:$G$51,'SỔ CÔNG NỢ'!$A$5:$A$51,$B51,'SỔ CÔNG NỢ'!$B$5:$B$51,H$45)))</f>
        <v/>
      </c>
      <c r="I51" s="26" t="str">
        <f aca="false">IF($B51="","",IF(COUNTIFS('SỔ CÔNG NỢ'!$A$5:$A$51,$B51,'SỔ CÔNG NỢ'!$B$5:$B$51,I$45)=0,"",SUMIFS('SỔ CÔNG NỢ'!$G$5:$G$51,'SỔ CÔNG NỢ'!$A$5:$A$51,$B51,'SỔ CÔNG NỢ'!$B$5:$B$51,I$45)))</f>
        <v/>
      </c>
    </row>
    <row r="52" customFormat="false" ht="15" hidden="false" customHeight="false" outlineLevel="0" collapsed="false">
      <c r="A52" s="25"/>
      <c r="B52" s="25" t="str">
        <f aca="false">IF($B15="","",$B15)</f>
        <v/>
      </c>
      <c r="C52" s="26" t="str">
        <f aca="false">IF($B52="","",IF(COUNTIFS('SỔ CÔNG NỢ'!$A$5:$A$51,$B52,'SỔ CÔNG NỢ'!$B$5:$B$51,C$45)=0,"",SUMIFS('SỔ CÔNG NỢ'!$G$5:$G$51,'SỔ CÔNG NỢ'!$A$5:$A$51,$B52,'SỔ CÔNG NỢ'!$B$5:$B$51,C$45)))</f>
        <v/>
      </c>
      <c r="D52" s="26" t="str">
        <f aca="false">IF($B52="","",IF(COUNTIFS('SỔ CÔNG NỢ'!$A$5:$A$51,$B52,'SỔ CÔNG NỢ'!$B$5:$B$51,D$45)=0,"",SUMIFS('SỔ CÔNG NỢ'!$G$5:$G$51,'SỔ CÔNG NỢ'!$A$5:$A$51,$B52,'SỔ CÔNG NỢ'!$B$5:$B$51,D$45)))</f>
        <v/>
      </c>
      <c r="E52" s="26" t="str">
        <f aca="false">IF($B52="","",IF(COUNTIFS('SỔ CÔNG NỢ'!$A$5:$A$51,$B52,'SỔ CÔNG NỢ'!$B$5:$B$51,E$45)=0,"",SUMIFS('SỔ CÔNG NỢ'!$G$5:$G$51,'SỔ CÔNG NỢ'!$A$5:$A$51,$B52,'SỔ CÔNG NỢ'!$B$5:$B$51,E$45)))</f>
        <v/>
      </c>
      <c r="F52" s="26" t="str">
        <f aca="false">IF($B52="","",IF(COUNTIFS('SỔ CÔNG NỢ'!$A$5:$A$51,$B52,'SỔ CÔNG NỢ'!$B$5:$B$51,F$45)=0,"",SUMIFS('SỔ CÔNG NỢ'!$G$5:$G$51,'SỔ CÔNG NỢ'!$A$5:$A$51,$B52,'SỔ CÔNG NỢ'!$B$5:$B$51,F$45)))</f>
        <v/>
      </c>
      <c r="G52" s="26" t="str">
        <f aca="false">IF($B52="","",IF(COUNTIFS('SỔ CÔNG NỢ'!$A$5:$A$51,$B52,'SỔ CÔNG NỢ'!$B$5:$B$51,G$45)=0,"",SUMIFS('SỔ CÔNG NỢ'!$G$5:$G$51,'SỔ CÔNG NỢ'!$A$5:$A$51,$B52,'SỔ CÔNG NỢ'!$B$5:$B$51,G$45)))</f>
        <v/>
      </c>
      <c r="H52" s="26" t="str">
        <f aca="false">IF($B52="","",IF(COUNTIFS('SỔ CÔNG NỢ'!$A$5:$A$51,$B52,'SỔ CÔNG NỢ'!$B$5:$B$51,H$45)=0,"",SUMIFS('SỔ CÔNG NỢ'!$G$5:$G$51,'SỔ CÔNG NỢ'!$A$5:$A$51,$B52,'SỔ CÔNG NỢ'!$B$5:$B$51,H$45)))</f>
        <v/>
      </c>
      <c r="I52" s="26" t="str">
        <f aca="false">IF($B52="","",IF(COUNTIFS('SỔ CÔNG NỢ'!$A$5:$A$51,$B52,'SỔ CÔNG NỢ'!$B$5:$B$51,I$45)=0,"",SUMIFS('SỔ CÔNG NỢ'!$G$5:$G$51,'SỔ CÔNG NỢ'!$A$5:$A$51,$B52,'SỔ CÔNG NỢ'!$B$5:$B$51,I$45)))</f>
        <v/>
      </c>
    </row>
    <row r="53" customFormat="false" ht="15" hidden="false" customHeight="false" outlineLevel="0" collapsed="false">
      <c r="A53" s="25"/>
      <c r="B53" s="25" t="str">
        <f aca="false">IF($B16="","",$B16)</f>
        <v/>
      </c>
      <c r="C53" s="26" t="str">
        <f aca="false">IF($B53="","",IF(COUNTIFS('SỔ CÔNG NỢ'!$A$5:$A$51,$B53,'SỔ CÔNG NỢ'!$B$5:$B$51,C$45)=0,"",SUMIFS('SỔ CÔNG NỢ'!$G$5:$G$51,'SỔ CÔNG NỢ'!$A$5:$A$51,$B53,'SỔ CÔNG NỢ'!$B$5:$B$51,C$45)))</f>
        <v/>
      </c>
      <c r="D53" s="26" t="str">
        <f aca="false">IF($B53="","",IF(COUNTIFS('SỔ CÔNG NỢ'!$A$5:$A$51,$B53,'SỔ CÔNG NỢ'!$B$5:$B$51,D$45)=0,"",SUMIFS('SỔ CÔNG NỢ'!$G$5:$G$51,'SỔ CÔNG NỢ'!$A$5:$A$51,$B53,'SỔ CÔNG NỢ'!$B$5:$B$51,D$45)))</f>
        <v/>
      </c>
      <c r="E53" s="26" t="str">
        <f aca="false">IF($B53="","",IF(COUNTIFS('SỔ CÔNG NỢ'!$A$5:$A$51,$B53,'SỔ CÔNG NỢ'!$B$5:$B$51,E$45)=0,"",SUMIFS('SỔ CÔNG NỢ'!$G$5:$G$51,'SỔ CÔNG NỢ'!$A$5:$A$51,$B53,'SỔ CÔNG NỢ'!$B$5:$B$51,E$45)))</f>
        <v/>
      </c>
      <c r="F53" s="26" t="str">
        <f aca="false">IF($B53="","",IF(COUNTIFS('SỔ CÔNG NỢ'!$A$5:$A$51,$B53,'SỔ CÔNG NỢ'!$B$5:$B$51,F$45)=0,"",SUMIFS('SỔ CÔNG NỢ'!$G$5:$G$51,'SỔ CÔNG NỢ'!$A$5:$A$51,$B53,'SỔ CÔNG NỢ'!$B$5:$B$51,F$45)))</f>
        <v/>
      </c>
      <c r="G53" s="26" t="str">
        <f aca="false">IF($B53="","",IF(COUNTIFS('SỔ CÔNG NỢ'!$A$5:$A$51,$B53,'SỔ CÔNG NỢ'!$B$5:$B$51,G$45)=0,"",SUMIFS('SỔ CÔNG NỢ'!$G$5:$G$51,'SỔ CÔNG NỢ'!$A$5:$A$51,$B53,'SỔ CÔNG NỢ'!$B$5:$B$51,G$45)))</f>
        <v/>
      </c>
      <c r="H53" s="26" t="str">
        <f aca="false">IF($B53="","",IF(COUNTIFS('SỔ CÔNG NỢ'!$A$5:$A$51,$B53,'SỔ CÔNG NỢ'!$B$5:$B$51,H$45)=0,"",SUMIFS('SỔ CÔNG NỢ'!$G$5:$G$51,'SỔ CÔNG NỢ'!$A$5:$A$51,$B53,'SỔ CÔNG NỢ'!$B$5:$B$51,H$45)))</f>
        <v/>
      </c>
      <c r="I53" s="26" t="str">
        <f aca="false">IF($B53="","",IF(COUNTIFS('SỔ CÔNG NỢ'!$A$5:$A$51,$B53,'SỔ CÔNG NỢ'!$B$5:$B$51,I$45)=0,"",SUMIFS('SỔ CÔNG NỢ'!$G$5:$G$51,'SỔ CÔNG NỢ'!$A$5:$A$51,$B53,'SỔ CÔNG NỢ'!$B$5:$B$51,I$45)))</f>
        <v/>
      </c>
    </row>
    <row r="54" customFormat="false" ht="15" hidden="false" customHeight="false" outlineLevel="0" collapsed="false">
      <c r="A54" s="25"/>
      <c r="B54" s="25" t="str">
        <f aca="false">IF($B17="","",$B17)</f>
        <v/>
      </c>
      <c r="C54" s="26" t="str">
        <f aca="false">IF($B54="","",IF(COUNTIFS('SỔ CÔNG NỢ'!$A$5:$A$51,$B54,'SỔ CÔNG NỢ'!$B$5:$B$51,C$45)=0,"",SUMIFS('SỔ CÔNG NỢ'!$G$5:$G$51,'SỔ CÔNG NỢ'!$A$5:$A$51,$B54,'SỔ CÔNG NỢ'!$B$5:$B$51,C$45)))</f>
        <v/>
      </c>
      <c r="D54" s="26" t="str">
        <f aca="false">IF($B54="","",IF(COUNTIFS('SỔ CÔNG NỢ'!$A$5:$A$51,$B54,'SỔ CÔNG NỢ'!$B$5:$B$51,D$45)=0,"",SUMIFS('SỔ CÔNG NỢ'!$G$5:$G$51,'SỔ CÔNG NỢ'!$A$5:$A$51,$B54,'SỔ CÔNG NỢ'!$B$5:$B$51,D$45)))</f>
        <v/>
      </c>
      <c r="E54" s="26" t="str">
        <f aca="false">IF($B54="","",IF(COUNTIFS('SỔ CÔNG NỢ'!$A$5:$A$51,$B54,'SỔ CÔNG NỢ'!$B$5:$B$51,E$45)=0,"",SUMIFS('SỔ CÔNG NỢ'!$G$5:$G$51,'SỔ CÔNG NỢ'!$A$5:$A$51,$B54,'SỔ CÔNG NỢ'!$B$5:$B$51,E$45)))</f>
        <v/>
      </c>
      <c r="F54" s="26" t="str">
        <f aca="false">IF($B54="","",IF(COUNTIFS('SỔ CÔNG NỢ'!$A$5:$A$51,$B54,'SỔ CÔNG NỢ'!$B$5:$B$51,F$45)=0,"",SUMIFS('SỔ CÔNG NỢ'!$G$5:$G$51,'SỔ CÔNG NỢ'!$A$5:$A$51,$B54,'SỔ CÔNG NỢ'!$B$5:$B$51,F$45)))</f>
        <v/>
      </c>
      <c r="G54" s="26" t="str">
        <f aca="false">IF($B54="","",IF(COUNTIFS('SỔ CÔNG NỢ'!$A$5:$A$51,$B54,'SỔ CÔNG NỢ'!$B$5:$B$51,G$45)=0,"",SUMIFS('SỔ CÔNG NỢ'!$G$5:$G$51,'SỔ CÔNG NỢ'!$A$5:$A$51,$B54,'SỔ CÔNG NỢ'!$B$5:$B$51,G$45)))</f>
        <v/>
      </c>
      <c r="H54" s="26" t="str">
        <f aca="false">IF($B54="","",IF(COUNTIFS('SỔ CÔNG NỢ'!$A$5:$A$51,$B54,'SỔ CÔNG NỢ'!$B$5:$B$51,H$45)=0,"",SUMIFS('SỔ CÔNG NỢ'!$G$5:$G$51,'SỔ CÔNG NỢ'!$A$5:$A$51,$B54,'SỔ CÔNG NỢ'!$B$5:$B$51,H$45)))</f>
        <v/>
      </c>
      <c r="I54" s="26" t="str">
        <f aca="false">IF($B54="","",IF(COUNTIFS('SỔ CÔNG NỢ'!$A$5:$A$51,$B54,'SỔ CÔNG NỢ'!$B$5:$B$51,I$45)=0,"",SUMIFS('SỔ CÔNG NỢ'!$G$5:$G$51,'SỔ CÔNG NỢ'!$A$5:$A$51,$B54,'SỔ CÔNG NỢ'!$B$5:$B$51,I$45)))</f>
        <v/>
      </c>
    </row>
    <row r="55" customFormat="false" ht="15" hidden="false" customHeight="false" outlineLevel="0" collapsed="false">
      <c r="A55" s="25"/>
      <c r="B55" s="25" t="str">
        <f aca="false">IF($B18="","",$B18)</f>
        <v/>
      </c>
      <c r="C55" s="26" t="str">
        <f aca="false">IF($B55="","",IF(COUNTIFS('SỔ CÔNG NỢ'!$A$5:$A$51,$B55,'SỔ CÔNG NỢ'!$B$5:$B$51,C$45)=0,"",SUMIFS('SỔ CÔNG NỢ'!$G$5:$G$51,'SỔ CÔNG NỢ'!$A$5:$A$51,$B55,'SỔ CÔNG NỢ'!$B$5:$B$51,C$45)))</f>
        <v/>
      </c>
      <c r="D55" s="26" t="str">
        <f aca="false">IF($B55="","",IF(COUNTIFS('SỔ CÔNG NỢ'!$A$5:$A$51,$B55,'SỔ CÔNG NỢ'!$B$5:$B$51,D$45)=0,"",SUMIFS('SỔ CÔNG NỢ'!$G$5:$G$51,'SỔ CÔNG NỢ'!$A$5:$A$51,$B55,'SỔ CÔNG NỢ'!$B$5:$B$51,D$45)))</f>
        <v/>
      </c>
      <c r="E55" s="26" t="str">
        <f aca="false">IF($B55="","",IF(COUNTIFS('SỔ CÔNG NỢ'!$A$5:$A$51,$B55,'SỔ CÔNG NỢ'!$B$5:$B$51,E$45)=0,"",SUMIFS('SỔ CÔNG NỢ'!$G$5:$G$51,'SỔ CÔNG NỢ'!$A$5:$A$51,$B55,'SỔ CÔNG NỢ'!$B$5:$B$51,E$45)))</f>
        <v/>
      </c>
      <c r="F55" s="26" t="str">
        <f aca="false">IF($B55="","",IF(COUNTIFS('SỔ CÔNG NỢ'!$A$5:$A$51,$B55,'SỔ CÔNG NỢ'!$B$5:$B$51,F$45)=0,"",SUMIFS('SỔ CÔNG NỢ'!$G$5:$G$51,'SỔ CÔNG NỢ'!$A$5:$A$51,$B55,'SỔ CÔNG NỢ'!$B$5:$B$51,F$45)))</f>
        <v/>
      </c>
      <c r="G55" s="26" t="str">
        <f aca="false">IF($B55="","",IF(COUNTIFS('SỔ CÔNG NỢ'!$A$5:$A$51,$B55,'SỔ CÔNG NỢ'!$B$5:$B$51,G$45)=0,"",SUMIFS('SỔ CÔNG NỢ'!$G$5:$G$51,'SỔ CÔNG NỢ'!$A$5:$A$51,$B55,'SỔ CÔNG NỢ'!$B$5:$B$51,G$45)))</f>
        <v/>
      </c>
      <c r="H55" s="26" t="str">
        <f aca="false">IF($B55="","",IF(COUNTIFS('SỔ CÔNG NỢ'!$A$5:$A$51,$B55,'SỔ CÔNG NỢ'!$B$5:$B$51,H$45)=0,"",SUMIFS('SỔ CÔNG NỢ'!$G$5:$G$51,'SỔ CÔNG NỢ'!$A$5:$A$51,$B55,'SỔ CÔNG NỢ'!$B$5:$B$51,H$45)))</f>
        <v/>
      </c>
      <c r="I55" s="26" t="str">
        <f aca="false">IF($B55="","",IF(COUNTIFS('SỔ CÔNG NỢ'!$A$5:$A$51,$B55,'SỔ CÔNG NỢ'!$B$5:$B$51,I$45)=0,"",SUMIFS('SỔ CÔNG NỢ'!$G$5:$G$51,'SỔ CÔNG NỢ'!$A$5:$A$51,$B55,'SỔ CÔNG NỢ'!$B$5:$B$51,I$45)))</f>
        <v/>
      </c>
    </row>
    <row r="56" customFormat="false" ht="15" hidden="false" customHeight="false" outlineLevel="0" collapsed="false">
      <c r="A56" s="25"/>
      <c r="B56" s="25" t="str">
        <f aca="false">IF($B19="","",$B19)</f>
        <v/>
      </c>
      <c r="C56" s="26" t="str">
        <f aca="false">IF($B56="","",IF(COUNTIFS('SỔ CÔNG NỢ'!$A$5:$A$51,$B56,'SỔ CÔNG NỢ'!$B$5:$B$51,C$45)=0,"",SUMIFS('SỔ CÔNG NỢ'!$G$5:$G$51,'SỔ CÔNG NỢ'!$A$5:$A$51,$B56,'SỔ CÔNG NỢ'!$B$5:$B$51,C$45)))</f>
        <v/>
      </c>
      <c r="D56" s="26" t="str">
        <f aca="false">IF($B56="","",IF(COUNTIFS('SỔ CÔNG NỢ'!$A$5:$A$51,$B56,'SỔ CÔNG NỢ'!$B$5:$B$51,D$45)=0,"",SUMIFS('SỔ CÔNG NỢ'!$G$5:$G$51,'SỔ CÔNG NỢ'!$A$5:$A$51,$B56,'SỔ CÔNG NỢ'!$B$5:$B$51,D$45)))</f>
        <v/>
      </c>
      <c r="E56" s="26" t="str">
        <f aca="false">IF($B56="","",IF(COUNTIFS('SỔ CÔNG NỢ'!$A$5:$A$51,$B56,'SỔ CÔNG NỢ'!$B$5:$B$51,E$45)=0,"",SUMIFS('SỔ CÔNG NỢ'!$G$5:$G$51,'SỔ CÔNG NỢ'!$A$5:$A$51,$B56,'SỔ CÔNG NỢ'!$B$5:$B$51,E$45)))</f>
        <v/>
      </c>
      <c r="F56" s="26" t="str">
        <f aca="false">IF($B56="","",IF(COUNTIFS('SỔ CÔNG NỢ'!$A$5:$A$51,$B56,'SỔ CÔNG NỢ'!$B$5:$B$51,F$45)=0,"",SUMIFS('SỔ CÔNG NỢ'!$G$5:$G$51,'SỔ CÔNG NỢ'!$A$5:$A$51,$B56,'SỔ CÔNG NỢ'!$B$5:$B$51,F$45)))</f>
        <v/>
      </c>
      <c r="G56" s="26" t="str">
        <f aca="false">IF($B56="","",IF(COUNTIFS('SỔ CÔNG NỢ'!$A$5:$A$51,$B56,'SỔ CÔNG NỢ'!$B$5:$B$51,G$45)=0,"",SUMIFS('SỔ CÔNG NỢ'!$G$5:$G$51,'SỔ CÔNG NỢ'!$A$5:$A$51,$B56,'SỔ CÔNG NỢ'!$B$5:$B$51,G$45)))</f>
        <v/>
      </c>
      <c r="H56" s="26" t="str">
        <f aca="false">IF($B56="","",IF(COUNTIFS('SỔ CÔNG NỢ'!$A$5:$A$51,$B56,'SỔ CÔNG NỢ'!$B$5:$B$51,H$45)=0,"",SUMIFS('SỔ CÔNG NỢ'!$G$5:$G$51,'SỔ CÔNG NỢ'!$A$5:$A$51,$B56,'SỔ CÔNG NỢ'!$B$5:$B$51,H$45)))</f>
        <v/>
      </c>
      <c r="I56" s="26" t="str">
        <f aca="false">IF($B56="","",IF(COUNTIFS('SỔ CÔNG NỢ'!$A$5:$A$51,$B56,'SỔ CÔNG NỢ'!$B$5:$B$51,I$45)=0,"",SUMIFS('SỔ CÔNG NỢ'!$G$5:$G$51,'SỔ CÔNG NỢ'!$A$5:$A$51,$B56,'SỔ CÔNG NỢ'!$B$5:$B$51,I$45)))</f>
        <v/>
      </c>
    </row>
    <row r="57" customFormat="false" ht="15" hidden="false" customHeight="false" outlineLevel="0" collapsed="false">
      <c r="A57" s="25"/>
      <c r="B57" s="25" t="str">
        <f aca="false">IF($B20="","",$B20)</f>
        <v/>
      </c>
      <c r="C57" s="26" t="str">
        <f aca="false">IF($B57="","",IF(COUNTIFS('SỔ CÔNG NỢ'!$A$5:$A$51,$B57,'SỔ CÔNG NỢ'!$B$5:$B$51,C$45)=0,"",SUMIFS('SỔ CÔNG NỢ'!$G$5:$G$51,'SỔ CÔNG NỢ'!$A$5:$A$51,$B57,'SỔ CÔNG NỢ'!$B$5:$B$51,C$45)))</f>
        <v/>
      </c>
      <c r="D57" s="26" t="str">
        <f aca="false">IF($B57="","",IF(COUNTIFS('SỔ CÔNG NỢ'!$A$5:$A$51,$B57,'SỔ CÔNG NỢ'!$B$5:$B$51,D$45)=0,"",SUMIFS('SỔ CÔNG NỢ'!$G$5:$G$51,'SỔ CÔNG NỢ'!$A$5:$A$51,$B57,'SỔ CÔNG NỢ'!$B$5:$B$51,D$45)))</f>
        <v/>
      </c>
      <c r="E57" s="26" t="str">
        <f aca="false">IF($B57="","",IF(COUNTIFS('SỔ CÔNG NỢ'!$A$5:$A$51,$B57,'SỔ CÔNG NỢ'!$B$5:$B$51,E$45)=0,"",SUMIFS('SỔ CÔNG NỢ'!$G$5:$G$51,'SỔ CÔNG NỢ'!$A$5:$A$51,$B57,'SỔ CÔNG NỢ'!$B$5:$B$51,E$45)))</f>
        <v/>
      </c>
      <c r="F57" s="26" t="str">
        <f aca="false">IF($B57="","",IF(COUNTIFS('SỔ CÔNG NỢ'!$A$5:$A$51,$B57,'SỔ CÔNG NỢ'!$B$5:$B$51,F$45)=0,"",SUMIFS('SỔ CÔNG NỢ'!$G$5:$G$51,'SỔ CÔNG NỢ'!$A$5:$A$51,$B57,'SỔ CÔNG NỢ'!$B$5:$B$51,F$45)))</f>
        <v/>
      </c>
      <c r="G57" s="26" t="str">
        <f aca="false">IF($B57="","",IF(COUNTIFS('SỔ CÔNG NỢ'!$A$5:$A$51,$B57,'SỔ CÔNG NỢ'!$B$5:$B$51,G$45)=0,"",SUMIFS('SỔ CÔNG NỢ'!$G$5:$G$51,'SỔ CÔNG NỢ'!$A$5:$A$51,$B57,'SỔ CÔNG NỢ'!$B$5:$B$51,G$45)))</f>
        <v/>
      </c>
      <c r="H57" s="26" t="str">
        <f aca="false">IF($B57="","",IF(COUNTIFS('SỔ CÔNG NỢ'!$A$5:$A$51,$B57,'SỔ CÔNG NỢ'!$B$5:$B$51,H$45)=0,"",SUMIFS('SỔ CÔNG NỢ'!$G$5:$G$51,'SỔ CÔNG NỢ'!$A$5:$A$51,$B57,'SỔ CÔNG NỢ'!$B$5:$B$51,H$45)))</f>
        <v/>
      </c>
      <c r="I57" s="26" t="str">
        <f aca="false">IF($B57="","",IF(COUNTIFS('SỔ CÔNG NỢ'!$A$5:$A$51,$B57,'SỔ CÔNG NỢ'!$B$5:$B$51,I$45)=0,"",SUMIFS('SỔ CÔNG NỢ'!$G$5:$G$51,'SỔ CÔNG NỢ'!$A$5:$A$51,$B57,'SỔ CÔNG NỢ'!$B$5:$B$51,I$45)))</f>
        <v/>
      </c>
    </row>
    <row r="58" customFormat="false" ht="15" hidden="false" customHeight="false" outlineLevel="0" collapsed="false">
      <c r="A58" s="27"/>
      <c r="B58" s="27" t="s">
        <v>22</v>
      </c>
      <c r="C58" s="28" t="n">
        <f aca="false">SUM(C46:C57)</f>
        <v>10575900</v>
      </c>
      <c r="D58" s="28" t="n">
        <f aca="false">SUM(D46:D57)</f>
        <v>47553933</v>
      </c>
      <c r="E58" s="28" t="n">
        <f aca="false">SUM(E46:E57)</f>
        <v>15666000</v>
      </c>
      <c r="F58" s="28" t="n">
        <f aca="false">SUM(F46:F57)</f>
        <v>40173760</v>
      </c>
      <c r="G58" s="28" t="n">
        <f aca="false">SUM(G46:G57)</f>
        <v>0</v>
      </c>
      <c r="H58" s="28" t="n">
        <f aca="false">SUM(H46:H57)</f>
        <v>0</v>
      </c>
      <c r="I58" s="28" t="n">
        <f aca="false">SUM(I46:I57)</f>
        <v>0</v>
      </c>
    </row>
    <row r="61" customFormat="false" ht="15" hidden="false" customHeight="false" outlineLevel="0" collapsed="false">
      <c r="A61" s="10" t="s">
        <v>26</v>
      </c>
    </row>
    <row r="62" customFormat="false" ht="27.75" hidden="false" customHeight="true" outlineLevel="0" collapsed="false">
      <c r="A62" s="11"/>
      <c r="B62" s="11" t="s">
        <v>8</v>
      </c>
      <c r="C62" s="24" t="n">
        <f aca="false">$C$25</f>
        <v>46174</v>
      </c>
      <c r="D62" s="24" t="n">
        <f aca="false">EDATE(C62,1)</f>
        <v>46204</v>
      </c>
      <c r="E62" s="24" t="n">
        <f aca="false">EDATE(D62,1)</f>
        <v>46235</v>
      </c>
      <c r="F62" s="24" t="n">
        <f aca="false">EDATE(E62,1)</f>
        <v>46266</v>
      </c>
      <c r="G62" s="24" t="n">
        <f aca="false">EDATE(F62,1)</f>
        <v>46296</v>
      </c>
      <c r="H62" s="24" t="n">
        <f aca="false">EDATE(G62,1)</f>
        <v>46327</v>
      </c>
      <c r="I62" s="24" t="n">
        <f aca="false">EDATE(H62,1)</f>
        <v>46357</v>
      </c>
    </row>
    <row r="63" customFormat="false" ht="15" hidden="false" customHeight="false" outlineLevel="0" collapsed="false">
      <c r="A63" s="25"/>
      <c r="B63" s="25" t="str">
        <f aca="false">IF($B9="","",$B9)</f>
        <v>Hiền Xuân</v>
      </c>
      <c r="C63" s="26" t="str">
        <f aca="false">IF($B63="","",IF(COUNTIFS('SỔ CÔNG NỢ'!$A$5:$A$51,$B63,'SỔ CÔNG NỢ'!$B$5:$B$51,C$62)=0,"",SUMIFS('SỔ CÔNG NỢ'!$K$5:$K$51,'SỔ CÔNG NỢ'!$A$5:$A$51,$B63,'SỔ CÔNG NỢ'!$B$5:$B$51,C$62)))</f>
        <v/>
      </c>
      <c r="D63" s="26" t="n">
        <f aca="false">IF($B63="","",IF(COUNTIFS('SỔ CÔNG NỢ'!$A$5:$A$51,$B63,'SỔ CÔNG NỢ'!$B$5:$B$51,D$62)=0,"",SUMIFS('SỔ CÔNG NỢ'!$K$5:$K$51,'SỔ CÔNG NỢ'!$A$5:$A$51,$B63,'SỔ CÔNG NỢ'!$B$5:$B$51,D$62)))</f>
        <v>30060000</v>
      </c>
      <c r="E63" s="26" t="str">
        <f aca="false">IF($B63="","",IF(COUNTIFS('SỔ CÔNG NỢ'!$A$5:$A$51,$B63,'SỔ CÔNG NỢ'!$B$5:$B$51,E$62)=0,"",SUMIFS('SỔ CÔNG NỢ'!$K$5:$K$51,'SỔ CÔNG NỢ'!$A$5:$A$51,$B63,'SỔ CÔNG NỢ'!$B$5:$B$51,E$62)))</f>
        <v/>
      </c>
      <c r="F63" s="26" t="str">
        <f aca="false">IF($B63="","",IF(COUNTIFS('SỔ CÔNG NỢ'!$A$5:$A$51,$B63,'SỔ CÔNG NỢ'!$B$5:$B$51,F$62)=0,"",SUMIFS('SỔ CÔNG NỢ'!$K$5:$K$51,'SỔ CÔNG NỢ'!$A$5:$A$51,$B63,'SỔ CÔNG NỢ'!$B$5:$B$51,F$62)))</f>
        <v/>
      </c>
      <c r="G63" s="26" t="str">
        <f aca="false">IF($B63="","",IF(COUNTIFS('SỔ CÔNG NỢ'!$A$5:$A$51,$B63,'SỔ CÔNG NỢ'!$B$5:$B$51,G$62)=0,"",SUMIFS('SỔ CÔNG NỢ'!$K$5:$K$51,'SỔ CÔNG NỢ'!$A$5:$A$51,$B63,'SỔ CÔNG NỢ'!$B$5:$B$51,G$62)))</f>
        <v/>
      </c>
      <c r="H63" s="26" t="str">
        <f aca="false">IF($B63="","",IF(COUNTIFS('SỔ CÔNG NỢ'!$A$5:$A$51,$B63,'SỔ CÔNG NỢ'!$B$5:$B$51,H$62)=0,"",SUMIFS('SỔ CÔNG NỢ'!$K$5:$K$51,'SỔ CÔNG NỢ'!$A$5:$A$51,$B63,'SỔ CÔNG NỢ'!$B$5:$B$51,H$62)))</f>
        <v/>
      </c>
      <c r="I63" s="26" t="str">
        <f aca="false">IF($B63="","",IF(COUNTIFS('SỔ CÔNG NỢ'!$A$5:$A$51,$B63,'SỔ CÔNG NỢ'!$B$5:$B$51,I$62)=0,"",SUMIFS('SỔ CÔNG NỢ'!$K$5:$K$51,'SỔ CÔNG NỢ'!$A$5:$A$51,$B63,'SỔ CÔNG NỢ'!$B$5:$B$51,I$62)))</f>
        <v/>
      </c>
    </row>
    <row r="64" customFormat="false" ht="15" hidden="false" customHeight="false" outlineLevel="0" collapsed="false">
      <c r="A64" s="25"/>
      <c r="B64" s="25" t="str">
        <f aca="false">IF($B10="","",$B10)</f>
        <v>Hòa Hiệp</v>
      </c>
      <c r="C64" s="26" t="n">
        <f aca="false">IF($B64="","",IF(COUNTIFS('SỔ CÔNG NỢ'!$A$5:$A$51,$B64,'SỔ CÔNG NỢ'!$B$5:$B$51,C$62)=0,"",SUMIFS('SỔ CÔNG NỢ'!$K$5:$K$51,'SỔ CÔNG NỢ'!$A$5:$A$51,$B64,'SỔ CÔNG NỢ'!$B$5:$B$51,C$62)))</f>
        <v>1500000</v>
      </c>
      <c r="D64" s="26" t="str">
        <f aca="false">IF($B64="","",IF(COUNTIFS('SỔ CÔNG NỢ'!$A$5:$A$51,$B64,'SỔ CÔNG NỢ'!$B$5:$B$51,D$62)=0,"",SUMIFS('SỔ CÔNG NỢ'!$K$5:$K$51,'SỔ CÔNG NỢ'!$A$5:$A$51,$B64,'SỔ CÔNG NỢ'!$B$5:$B$51,D$62)))</f>
        <v/>
      </c>
      <c r="E64" s="26" t="str">
        <f aca="false">IF($B64="","",IF(COUNTIFS('SỔ CÔNG NỢ'!$A$5:$A$51,$B64,'SỔ CÔNG NỢ'!$B$5:$B$51,E$62)=0,"",SUMIFS('SỔ CÔNG NỢ'!$K$5:$K$51,'SỔ CÔNG NỢ'!$A$5:$A$51,$B64,'SỔ CÔNG NỢ'!$B$5:$B$51,E$62)))</f>
        <v/>
      </c>
      <c r="F64" s="26" t="str">
        <f aca="false">IF($B64="","",IF(COUNTIFS('SỔ CÔNG NỢ'!$A$5:$A$51,$B64,'SỔ CÔNG NỢ'!$B$5:$B$51,F$62)=0,"",SUMIFS('SỔ CÔNG NỢ'!$K$5:$K$51,'SỔ CÔNG NỢ'!$A$5:$A$51,$B64,'SỔ CÔNG NỢ'!$B$5:$B$51,F$62)))</f>
        <v/>
      </c>
      <c r="G64" s="26" t="str">
        <f aca="false">IF($B64="","",IF(COUNTIFS('SỔ CÔNG NỢ'!$A$5:$A$51,$B64,'SỔ CÔNG NỢ'!$B$5:$B$51,G$62)=0,"",SUMIFS('SỔ CÔNG NỢ'!$K$5:$K$51,'SỔ CÔNG NỢ'!$A$5:$A$51,$B64,'SỔ CÔNG NỢ'!$B$5:$B$51,G$62)))</f>
        <v/>
      </c>
      <c r="H64" s="26" t="str">
        <f aca="false">IF($B64="","",IF(COUNTIFS('SỔ CÔNG NỢ'!$A$5:$A$51,$B64,'SỔ CÔNG NỢ'!$B$5:$B$51,H$62)=0,"",SUMIFS('SỔ CÔNG NỢ'!$K$5:$K$51,'SỔ CÔNG NỢ'!$A$5:$A$51,$B64,'SỔ CÔNG NỢ'!$B$5:$B$51,H$62)))</f>
        <v/>
      </c>
      <c r="I64" s="26" t="str">
        <f aca="false">IF($B64="","",IF(COUNTIFS('SỔ CÔNG NỢ'!$A$5:$A$51,$B64,'SỔ CÔNG NỢ'!$B$5:$B$51,I$62)=0,"",SUMIFS('SỔ CÔNG NỢ'!$K$5:$K$51,'SỔ CÔNG NỢ'!$A$5:$A$51,$B64,'SỔ CÔNG NỢ'!$B$5:$B$51,I$62)))</f>
        <v/>
      </c>
    </row>
    <row r="65" customFormat="false" ht="15" hidden="false" customHeight="false" outlineLevel="0" collapsed="false">
      <c r="A65" s="25"/>
      <c r="B65" s="25" t="str">
        <f aca="false">IF($B11="","",$B11)</f>
        <v>Hà Liên</v>
      </c>
      <c r="C65" s="26" t="n">
        <f aca="false">IF($B65="","",IF(COUNTIFS('SỔ CÔNG NỢ'!$A$5:$A$51,$B65,'SỔ CÔNG NỢ'!$B$5:$B$51,C$62)=0,"",SUMIFS('SỔ CÔNG NỢ'!$K$5:$K$51,'SỔ CÔNG NỢ'!$A$5:$A$51,$B65,'SỔ CÔNG NỢ'!$B$5:$B$51,C$62)))</f>
        <v>0</v>
      </c>
      <c r="D65" s="26" t="n">
        <f aca="false">IF($B65="","",IF(COUNTIFS('SỔ CÔNG NỢ'!$A$5:$A$51,$B65,'SỔ CÔNG NỢ'!$B$5:$B$51,D$62)=0,"",SUMIFS('SỔ CÔNG NỢ'!$K$5:$K$51,'SỔ CÔNG NỢ'!$A$5:$A$51,$B65,'SỔ CÔNG NỢ'!$B$5:$B$51,D$62)))</f>
        <v>15290000</v>
      </c>
      <c r="E65" s="26" t="n">
        <f aca="false">IF($B65="","",IF(COUNTIFS('SỔ CÔNG NỢ'!$A$5:$A$51,$B65,'SỔ CÔNG NỢ'!$B$5:$B$51,E$62)=0,"",SUMIFS('SỔ CÔNG NỢ'!$K$5:$K$51,'SỔ CÔNG NỢ'!$A$5:$A$51,$B65,'SỔ CÔNG NỢ'!$B$5:$B$51,E$62)))</f>
        <v>33240000</v>
      </c>
      <c r="F65" s="26" t="n">
        <f aca="false">IF($B65="","",IF(COUNTIFS('SỔ CÔNG NỢ'!$A$5:$A$51,$B65,'SỔ CÔNG NỢ'!$B$5:$B$51,F$62)=0,"",SUMIFS('SỔ CÔNG NỢ'!$K$5:$K$51,'SỔ CÔNG NỢ'!$A$5:$A$51,$B65,'SỔ CÔNG NỢ'!$B$5:$B$51,F$62)))</f>
        <v>0</v>
      </c>
      <c r="G65" s="26" t="str">
        <f aca="false">IF($B65="","",IF(COUNTIFS('SỔ CÔNG NỢ'!$A$5:$A$51,$B65,'SỔ CÔNG NỢ'!$B$5:$B$51,G$62)=0,"",SUMIFS('SỔ CÔNG NỢ'!$K$5:$K$51,'SỔ CÔNG NỢ'!$A$5:$A$51,$B65,'SỔ CÔNG NỢ'!$B$5:$B$51,G$62)))</f>
        <v/>
      </c>
      <c r="H65" s="26" t="str">
        <f aca="false">IF($B65="","",IF(COUNTIFS('SỔ CÔNG NỢ'!$A$5:$A$51,$B65,'SỔ CÔNG NỢ'!$B$5:$B$51,H$62)=0,"",SUMIFS('SỔ CÔNG NỢ'!$K$5:$K$51,'SỔ CÔNG NỢ'!$A$5:$A$51,$B65,'SỔ CÔNG NỢ'!$B$5:$B$51,H$62)))</f>
        <v/>
      </c>
      <c r="I65" s="26" t="str">
        <f aca="false">IF($B65="","",IF(COUNTIFS('SỔ CÔNG NỢ'!$A$5:$A$51,$B65,'SỔ CÔNG NỢ'!$B$5:$B$51,I$62)=0,"",SUMIFS('SỔ CÔNG NỢ'!$K$5:$K$51,'SỔ CÔNG NỢ'!$A$5:$A$51,$B65,'SỔ CÔNG NỢ'!$B$5:$B$51,I$62)))</f>
        <v/>
      </c>
    </row>
    <row r="66" customFormat="false" ht="15" hidden="false" customHeight="false" outlineLevel="0" collapsed="false">
      <c r="A66" s="25"/>
      <c r="B66" s="25" t="str">
        <f aca="false">IF($B12="","",$B12)</f>
        <v/>
      </c>
      <c r="C66" s="26" t="str">
        <f aca="false">IF($B66="","",IF(COUNTIFS('SỔ CÔNG NỢ'!$A$5:$A$51,$B66,'SỔ CÔNG NỢ'!$B$5:$B$51,C$62)=0,"",SUMIFS('SỔ CÔNG NỢ'!$K$5:$K$51,'SỔ CÔNG NỢ'!$A$5:$A$51,$B66,'SỔ CÔNG NỢ'!$B$5:$B$51,C$62)))</f>
        <v/>
      </c>
      <c r="D66" s="26" t="str">
        <f aca="false">IF($B66="","",IF(COUNTIFS('SỔ CÔNG NỢ'!$A$5:$A$51,$B66,'SỔ CÔNG NỢ'!$B$5:$B$51,D$62)=0,"",SUMIFS('SỔ CÔNG NỢ'!$K$5:$K$51,'SỔ CÔNG NỢ'!$A$5:$A$51,$B66,'SỔ CÔNG NỢ'!$B$5:$B$51,D$62)))</f>
        <v/>
      </c>
      <c r="E66" s="26" t="str">
        <f aca="false">IF($B66="","",IF(COUNTIFS('SỔ CÔNG NỢ'!$A$5:$A$51,$B66,'SỔ CÔNG NỢ'!$B$5:$B$51,E$62)=0,"",SUMIFS('SỔ CÔNG NỢ'!$K$5:$K$51,'SỔ CÔNG NỢ'!$A$5:$A$51,$B66,'SỔ CÔNG NỢ'!$B$5:$B$51,E$62)))</f>
        <v/>
      </c>
      <c r="F66" s="26" t="str">
        <f aca="false">IF($B66="","",IF(COUNTIFS('SỔ CÔNG NỢ'!$A$5:$A$51,$B66,'SỔ CÔNG NỢ'!$B$5:$B$51,F$62)=0,"",SUMIFS('SỔ CÔNG NỢ'!$K$5:$K$51,'SỔ CÔNG NỢ'!$A$5:$A$51,$B66,'SỔ CÔNG NỢ'!$B$5:$B$51,F$62)))</f>
        <v/>
      </c>
      <c r="G66" s="26" t="str">
        <f aca="false">IF($B66="","",IF(COUNTIFS('SỔ CÔNG NỢ'!$A$5:$A$51,$B66,'SỔ CÔNG NỢ'!$B$5:$B$51,G$62)=0,"",SUMIFS('SỔ CÔNG NỢ'!$K$5:$K$51,'SỔ CÔNG NỢ'!$A$5:$A$51,$B66,'SỔ CÔNG NỢ'!$B$5:$B$51,G$62)))</f>
        <v/>
      </c>
      <c r="H66" s="26" t="str">
        <f aca="false">IF($B66="","",IF(COUNTIFS('SỔ CÔNG NỢ'!$A$5:$A$51,$B66,'SỔ CÔNG NỢ'!$B$5:$B$51,H$62)=0,"",SUMIFS('SỔ CÔNG NỢ'!$K$5:$K$51,'SỔ CÔNG NỢ'!$A$5:$A$51,$B66,'SỔ CÔNG NỢ'!$B$5:$B$51,H$62)))</f>
        <v/>
      </c>
      <c r="I66" s="26" t="str">
        <f aca="false">IF($B66="","",IF(COUNTIFS('SỔ CÔNG NỢ'!$A$5:$A$51,$B66,'SỔ CÔNG NỢ'!$B$5:$B$51,I$62)=0,"",SUMIFS('SỔ CÔNG NỢ'!$K$5:$K$51,'SỔ CÔNG NỢ'!$A$5:$A$51,$B66,'SỔ CÔNG NỢ'!$B$5:$B$51,I$62)))</f>
        <v/>
      </c>
    </row>
    <row r="67" customFormat="false" ht="15" hidden="false" customHeight="false" outlineLevel="0" collapsed="false">
      <c r="A67" s="25"/>
      <c r="B67" s="25" t="str">
        <f aca="false">IF($B13="","",$B13)</f>
        <v/>
      </c>
      <c r="C67" s="26" t="str">
        <f aca="false">IF($B67="","",IF(COUNTIFS('SỔ CÔNG NỢ'!$A$5:$A$51,$B67,'SỔ CÔNG NỢ'!$B$5:$B$51,C$62)=0,"",SUMIFS('SỔ CÔNG NỢ'!$K$5:$K$51,'SỔ CÔNG NỢ'!$A$5:$A$51,$B67,'SỔ CÔNG NỢ'!$B$5:$B$51,C$62)))</f>
        <v/>
      </c>
      <c r="D67" s="26" t="str">
        <f aca="false">IF($B67="","",IF(COUNTIFS('SỔ CÔNG NỢ'!$A$5:$A$51,$B67,'SỔ CÔNG NỢ'!$B$5:$B$51,D$62)=0,"",SUMIFS('SỔ CÔNG NỢ'!$K$5:$K$51,'SỔ CÔNG NỢ'!$A$5:$A$51,$B67,'SỔ CÔNG NỢ'!$B$5:$B$51,D$62)))</f>
        <v/>
      </c>
      <c r="E67" s="26" t="str">
        <f aca="false">IF($B67="","",IF(COUNTIFS('SỔ CÔNG NỢ'!$A$5:$A$51,$B67,'SỔ CÔNG NỢ'!$B$5:$B$51,E$62)=0,"",SUMIFS('SỔ CÔNG NỢ'!$K$5:$K$51,'SỔ CÔNG NỢ'!$A$5:$A$51,$B67,'SỔ CÔNG NỢ'!$B$5:$B$51,E$62)))</f>
        <v/>
      </c>
      <c r="F67" s="26" t="str">
        <f aca="false">IF($B67="","",IF(COUNTIFS('SỔ CÔNG NỢ'!$A$5:$A$51,$B67,'SỔ CÔNG NỢ'!$B$5:$B$51,F$62)=0,"",SUMIFS('SỔ CÔNG NỢ'!$K$5:$K$51,'SỔ CÔNG NỢ'!$A$5:$A$51,$B67,'SỔ CÔNG NỢ'!$B$5:$B$51,F$62)))</f>
        <v/>
      </c>
      <c r="G67" s="26" t="str">
        <f aca="false">IF($B67="","",IF(COUNTIFS('SỔ CÔNG NỢ'!$A$5:$A$51,$B67,'SỔ CÔNG NỢ'!$B$5:$B$51,G$62)=0,"",SUMIFS('SỔ CÔNG NỢ'!$K$5:$K$51,'SỔ CÔNG NỢ'!$A$5:$A$51,$B67,'SỔ CÔNG NỢ'!$B$5:$B$51,G$62)))</f>
        <v/>
      </c>
      <c r="H67" s="26" t="str">
        <f aca="false">IF($B67="","",IF(COUNTIFS('SỔ CÔNG NỢ'!$A$5:$A$51,$B67,'SỔ CÔNG NỢ'!$B$5:$B$51,H$62)=0,"",SUMIFS('SỔ CÔNG NỢ'!$K$5:$K$51,'SỔ CÔNG NỢ'!$A$5:$A$51,$B67,'SỔ CÔNG NỢ'!$B$5:$B$51,H$62)))</f>
        <v/>
      </c>
      <c r="I67" s="26" t="str">
        <f aca="false">IF($B67="","",IF(COUNTIFS('SỔ CÔNG NỢ'!$A$5:$A$51,$B67,'SỔ CÔNG NỢ'!$B$5:$B$51,I$62)=0,"",SUMIFS('SỔ CÔNG NỢ'!$K$5:$K$51,'SỔ CÔNG NỢ'!$A$5:$A$51,$B67,'SỔ CÔNG NỢ'!$B$5:$B$51,I$62)))</f>
        <v/>
      </c>
    </row>
    <row r="68" customFormat="false" ht="15" hidden="false" customHeight="false" outlineLevel="0" collapsed="false">
      <c r="A68" s="25"/>
      <c r="B68" s="25" t="str">
        <f aca="false">IF($B14="","",$B14)</f>
        <v/>
      </c>
      <c r="C68" s="26" t="str">
        <f aca="false">IF($B68="","",IF(COUNTIFS('SỔ CÔNG NỢ'!$A$5:$A$51,$B68,'SỔ CÔNG NỢ'!$B$5:$B$51,C$62)=0,"",SUMIFS('SỔ CÔNG NỢ'!$K$5:$K$51,'SỔ CÔNG NỢ'!$A$5:$A$51,$B68,'SỔ CÔNG NỢ'!$B$5:$B$51,C$62)))</f>
        <v/>
      </c>
      <c r="D68" s="26" t="str">
        <f aca="false">IF($B68="","",IF(COUNTIFS('SỔ CÔNG NỢ'!$A$5:$A$51,$B68,'SỔ CÔNG NỢ'!$B$5:$B$51,D$62)=0,"",SUMIFS('SỔ CÔNG NỢ'!$K$5:$K$51,'SỔ CÔNG NỢ'!$A$5:$A$51,$B68,'SỔ CÔNG NỢ'!$B$5:$B$51,D$62)))</f>
        <v/>
      </c>
      <c r="E68" s="26" t="str">
        <f aca="false">IF($B68="","",IF(COUNTIFS('SỔ CÔNG NỢ'!$A$5:$A$51,$B68,'SỔ CÔNG NỢ'!$B$5:$B$51,E$62)=0,"",SUMIFS('SỔ CÔNG NỢ'!$K$5:$K$51,'SỔ CÔNG NỢ'!$A$5:$A$51,$B68,'SỔ CÔNG NỢ'!$B$5:$B$51,E$62)))</f>
        <v/>
      </c>
      <c r="F68" s="26" t="str">
        <f aca="false">IF($B68="","",IF(COUNTIFS('SỔ CÔNG NỢ'!$A$5:$A$51,$B68,'SỔ CÔNG NỢ'!$B$5:$B$51,F$62)=0,"",SUMIFS('SỔ CÔNG NỢ'!$K$5:$K$51,'SỔ CÔNG NỢ'!$A$5:$A$51,$B68,'SỔ CÔNG NỢ'!$B$5:$B$51,F$62)))</f>
        <v/>
      </c>
      <c r="G68" s="26" t="str">
        <f aca="false">IF($B68="","",IF(COUNTIFS('SỔ CÔNG NỢ'!$A$5:$A$51,$B68,'SỔ CÔNG NỢ'!$B$5:$B$51,G$62)=0,"",SUMIFS('SỔ CÔNG NỢ'!$K$5:$K$51,'SỔ CÔNG NỢ'!$A$5:$A$51,$B68,'SỔ CÔNG NỢ'!$B$5:$B$51,G$62)))</f>
        <v/>
      </c>
      <c r="H68" s="26" t="str">
        <f aca="false">IF($B68="","",IF(COUNTIFS('SỔ CÔNG NỢ'!$A$5:$A$51,$B68,'SỔ CÔNG NỢ'!$B$5:$B$51,H$62)=0,"",SUMIFS('SỔ CÔNG NỢ'!$K$5:$K$51,'SỔ CÔNG NỢ'!$A$5:$A$51,$B68,'SỔ CÔNG NỢ'!$B$5:$B$51,H$62)))</f>
        <v/>
      </c>
      <c r="I68" s="26" t="str">
        <f aca="false">IF($B68="","",IF(COUNTIFS('SỔ CÔNG NỢ'!$A$5:$A$51,$B68,'SỔ CÔNG NỢ'!$B$5:$B$51,I$62)=0,"",SUMIFS('SỔ CÔNG NỢ'!$K$5:$K$51,'SỔ CÔNG NỢ'!$A$5:$A$51,$B68,'SỔ CÔNG NỢ'!$B$5:$B$51,I$62)))</f>
        <v/>
      </c>
    </row>
    <row r="69" customFormat="false" ht="15" hidden="false" customHeight="false" outlineLevel="0" collapsed="false">
      <c r="A69" s="25"/>
      <c r="B69" s="25" t="str">
        <f aca="false">IF($B15="","",$B15)</f>
        <v/>
      </c>
      <c r="C69" s="26" t="str">
        <f aca="false">IF($B69="","",IF(COUNTIFS('SỔ CÔNG NỢ'!$A$5:$A$51,$B69,'SỔ CÔNG NỢ'!$B$5:$B$51,C$62)=0,"",SUMIFS('SỔ CÔNG NỢ'!$K$5:$K$51,'SỔ CÔNG NỢ'!$A$5:$A$51,$B69,'SỔ CÔNG NỢ'!$B$5:$B$51,C$62)))</f>
        <v/>
      </c>
      <c r="D69" s="26" t="str">
        <f aca="false">IF($B69="","",IF(COUNTIFS('SỔ CÔNG NỢ'!$A$5:$A$51,$B69,'SỔ CÔNG NỢ'!$B$5:$B$51,D$62)=0,"",SUMIFS('SỔ CÔNG NỢ'!$K$5:$K$51,'SỔ CÔNG NỢ'!$A$5:$A$51,$B69,'SỔ CÔNG NỢ'!$B$5:$B$51,D$62)))</f>
        <v/>
      </c>
      <c r="E69" s="26" t="str">
        <f aca="false">IF($B69="","",IF(COUNTIFS('SỔ CÔNG NỢ'!$A$5:$A$51,$B69,'SỔ CÔNG NỢ'!$B$5:$B$51,E$62)=0,"",SUMIFS('SỔ CÔNG NỢ'!$K$5:$K$51,'SỔ CÔNG NỢ'!$A$5:$A$51,$B69,'SỔ CÔNG NỢ'!$B$5:$B$51,E$62)))</f>
        <v/>
      </c>
      <c r="F69" s="26" t="str">
        <f aca="false">IF($B69="","",IF(COUNTIFS('SỔ CÔNG NỢ'!$A$5:$A$51,$B69,'SỔ CÔNG NỢ'!$B$5:$B$51,F$62)=0,"",SUMIFS('SỔ CÔNG NỢ'!$K$5:$K$51,'SỔ CÔNG NỢ'!$A$5:$A$51,$B69,'SỔ CÔNG NỢ'!$B$5:$B$51,F$62)))</f>
        <v/>
      </c>
      <c r="G69" s="26" t="str">
        <f aca="false">IF($B69="","",IF(COUNTIFS('SỔ CÔNG NỢ'!$A$5:$A$51,$B69,'SỔ CÔNG NỢ'!$B$5:$B$51,G$62)=0,"",SUMIFS('SỔ CÔNG NỢ'!$K$5:$K$51,'SỔ CÔNG NỢ'!$A$5:$A$51,$B69,'SỔ CÔNG NỢ'!$B$5:$B$51,G$62)))</f>
        <v/>
      </c>
      <c r="H69" s="26" t="str">
        <f aca="false">IF($B69="","",IF(COUNTIFS('SỔ CÔNG NỢ'!$A$5:$A$51,$B69,'SỔ CÔNG NỢ'!$B$5:$B$51,H$62)=0,"",SUMIFS('SỔ CÔNG NỢ'!$K$5:$K$51,'SỔ CÔNG NỢ'!$A$5:$A$51,$B69,'SỔ CÔNG NỢ'!$B$5:$B$51,H$62)))</f>
        <v/>
      </c>
      <c r="I69" s="26" t="str">
        <f aca="false">IF($B69="","",IF(COUNTIFS('SỔ CÔNG NỢ'!$A$5:$A$51,$B69,'SỔ CÔNG NỢ'!$B$5:$B$51,I$62)=0,"",SUMIFS('SỔ CÔNG NỢ'!$K$5:$K$51,'SỔ CÔNG NỢ'!$A$5:$A$51,$B69,'SỔ CÔNG NỢ'!$B$5:$B$51,I$62)))</f>
        <v/>
      </c>
    </row>
    <row r="70" customFormat="false" ht="15" hidden="false" customHeight="false" outlineLevel="0" collapsed="false">
      <c r="A70" s="25"/>
      <c r="B70" s="25" t="str">
        <f aca="false">IF($B16="","",$B16)</f>
        <v/>
      </c>
      <c r="C70" s="26" t="str">
        <f aca="false">IF($B70="","",IF(COUNTIFS('SỔ CÔNG NỢ'!$A$5:$A$51,$B70,'SỔ CÔNG NỢ'!$B$5:$B$51,C$62)=0,"",SUMIFS('SỔ CÔNG NỢ'!$K$5:$K$51,'SỔ CÔNG NỢ'!$A$5:$A$51,$B70,'SỔ CÔNG NỢ'!$B$5:$B$51,C$62)))</f>
        <v/>
      </c>
      <c r="D70" s="26" t="str">
        <f aca="false">IF($B70="","",IF(COUNTIFS('SỔ CÔNG NỢ'!$A$5:$A$51,$B70,'SỔ CÔNG NỢ'!$B$5:$B$51,D$62)=0,"",SUMIFS('SỔ CÔNG NỢ'!$K$5:$K$51,'SỔ CÔNG NỢ'!$A$5:$A$51,$B70,'SỔ CÔNG NỢ'!$B$5:$B$51,D$62)))</f>
        <v/>
      </c>
      <c r="E70" s="26" t="str">
        <f aca="false">IF($B70="","",IF(COUNTIFS('SỔ CÔNG NỢ'!$A$5:$A$51,$B70,'SỔ CÔNG NỢ'!$B$5:$B$51,E$62)=0,"",SUMIFS('SỔ CÔNG NỢ'!$K$5:$K$51,'SỔ CÔNG NỢ'!$A$5:$A$51,$B70,'SỔ CÔNG NỢ'!$B$5:$B$51,E$62)))</f>
        <v/>
      </c>
      <c r="F70" s="26" t="str">
        <f aca="false">IF($B70="","",IF(COUNTIFS('SỔ CÔNG NỢ'!$A$5:$A$51,$B70,'SỔ CÔNG NỢ'!$B$5:$B$51,F$62)=0,"",SUMIFS('SỔ CÔNG NỢ'!$K$5:$K$51,'SỔ CÔNG NỢ'!$A$5:$A$51,$B70,'SỔ CÔNG NỢ'!$B$5:$B$51,F$62)))</f>
        <v/>
      </c>
      <c r="G70" s="26" t="str">
        <f aca="false">IF($B70="","",IF(COUNTIFS('SỔ CÔNG NỢ'!$A$5:$A$51,$B70,'SỔ CÔNG NỢ'!$B$5:$B$51,G$62)=0,"",SUMIFS('SỔ CÔNG NỢ'!$K$5:$K$51,'SỔ CÔNG NỢ'!$A$5:$A$51,$B70,'SỔ CÔNG NỢ'!$B$5:$B$51,G$62)))</f>
        <v/>
      </c>
      <c r="H70" s="26" t="str">
        <f aca="false">IF($B70="","",IF(COUNTIFS('SỔ CÔNG NỢ'!$A$5:$A$51,$B70,'SỔ CÔNG NỢ'!$B$5:$B$51,H$62)=0,"",SUMIFS('SỔ CÔNG NỢ'!$K$5:$K$51,'SỔ CÔNG NỢ'!$A$5:$A$51,$B70,'SỔ CÔNG NỢ'!$B$5:$B$51,H$62)))</f>
        <v/>
      </c>
      <c r="I70" s="26" t="str">
        <f aca="false">IF($B70="","",IF(COUNTIFS('SỔ CÔNG NỢ'!$A$5:$A$51,$B70,'SỔ CÔNG NỢ'!$B$5:$B$51,I$62)=0,"",SUMIFS('SỔ CÔNG NỢ'!$K$5:$K$51,'SỔ CÔNG NỢ'!$A$5:$A$51,$B70,'SỔ CÔNG NỢ'!$B$5:$B$51,I$62)))</f>
        <v/>
      </c>
    </row>
    <row r="71" customFormat="false" ht="15" hidden="false" customHeight="false" outlineLevel="0" collapsed="false">
      <c r="A71" s="25"/>
      <c r="B71" s="25" t="str">
        <f aca="false">IF($B17="","",$B17)</f>
        <v/>
      </c>
      <c r="C71" s="26" t="str">
        <f aca="false">IF($B71="","",IF(COUNTIFS('SỔ CÔNG NỢ'!$A$5:$A$51,$B71,'SỔ CÔNG NỢ'!$B$5:$B$51,C$62)=0,"",SUMIFS('SỔ CÔNG NỢ'!$K$5:$K$51,'SỔ CÔNG NỢ'!$A$5:$A$51,$B71,'SỔ CÔNG NỢ'!$B$5:$B$51,C$62)))</f>
        <v/>
      </c>
      <c r="D71" s="26" t="str">
        <f aca="false">IF($B71="","",IF(COUNTIFS('SỔ CÔNG NỢ'!$A$5:$A$51,$B71,'SỔ CÔNG NỢ'!$B$5:$B$51,D$62)=0,"",SUMIFS('SỔ CÔNG NỢ'!$K$5:$K$51,'SỔ CÔNG NỢ'!$A$5:$A$51,$B71,'SỔ CÔNG NỢ'!$B$5:$B$51,D$62)))</f>
        <v/>
      </c>
      <c r="E71" s="26" t="str">
        <f aca="false">IF($B71="","",IF(COUNTIFS('SỔ CÔNG NỢ'!$A$5:$A$51,$B71,'SỔ CÔNG NỢ'!$B$5:$B$51,E$62)=0,"",SUMIFS('SỔ CÔNG NỢ'!$K$5:$K$51,'SỔ CÔNG NỢ'!$A$5:$A$51,$B71,'SỔ CÔNG NỢ'!$B$5:$B$51,E$62)))</f>
        <v/>
      </c>
      <c r="F71" s="26" t="str">
        <f aca="false">IF($B71="","",IF(COUNTIFS('SỔ CÔNG NỢ'!$A$5:$A$51,$B71,'SỔ CÔNG NỢ'!$B$5:$B$51,F$62)=0,"",SUMIFS('SỔ CÔNG NỢ'!$K$5:$K$51,'SỔ CÔNG NỢ'!$A$5:$A$51,$B71,'SỔ CÔNG NỢ'!$B$5:$B$51,F$62)))</f>
        <v/>
      </c>
      <c r="G71" s="26" t="str">
        <f aca="false">IF($B71="","",IF(COUNTIFS('SỔ CÔNG NỢ'!$A$5:$A$51,$B71,'SỔ CÔNG NỢ'!$B$5:$B$51,G$62)=0,"",SUMIFS('SỔ CÔNG NỢ'!$K$5:$K$51,'SỔ CÔNG NỢ'!$A$5:$A$51,$B71,'SỔ CÔNG NỢ'!$B$5:$B$51,G$62)))</f>
        <v/>
      </c>
      <c r="H71" s="26" t="str">
        <f aca="false">IF($B71="","",IF(COUNTIFS('SỔ CÔNG NỢ'!$A$5:$A$51,$B71,'SỔ CÔNG NỢ'!$B$5:$B$51,H$62)=0,"",SUMIFS('SỔ CÔNG NỢ'!$K$5:$K$51,'SỔ CÔNG NỢ'!$A$5:$A$51,$B71,'SỔ CÔNG NỢ'!$B$5:$B$51,H$62)))</f>
        <v/>
      </c>
      <c r="I71" s="26" t="str">
        <f aca="false">IF($B71="","",IF(COUNTIFS('SỔ CÔNG NỢ'!$A$5:$A$51,$B71,'SỔ CÔNG NỢ'!$B$5:$B$51,I$62)=0,"",SUMIFS('SỔ CÔNG NỢ'!$K$5:$K$51,'SỔ CÔNG NỢ'!$A$5:$A$51,$B71,'SỔ CÔNG NỢ'!$B$5:$B$51,I$62)))</f>
        <v/>
      </c>
    </row>
    <row r="72" customFormat="false" ht="15" hidden="false" customHeight="false" outlineLevel="0" collapsed="false">
      <c r="A72" s="25"/>
      <c r="B72" s="25" t="str">
        <f aca="false">IF($B18="","",$B18)</f>
        <v/>
      </c>
      <c r="C72" s="26" t="str">
        <f aca="false">IF($B72="","",IF(COUNTIFS('SỔ CÔNG NỢ'!$A$5:$A$51,$B72,'SỔ CÔNG NỢ'!$B$5:$B$51,C$62)=0,"",SUMIFS('SỔ CÔNG NỢ'!$K$5:$K$51,'SỔ CÔNG NỢ'!$A$5:$A$51,$B72,'SỔ CÔNG NỢ'!$B$5:$B$51,C$62)))</f>
        <v/>
      </c>
      <c r="D72" s="26" t="str">
        <f aca="false">IF($B72="","",IF(COUNTIFS('SỔ CÔNG NỢ'!$A$5:$A$51,$B72,'SỔ CÔNG NỢ'!$B$5:$B$51,D$62)=0,"",SUMIFS('SỔ CÔNG NỢ'!$K$5:$K$51,'SỔ CÔNG NỢ'!$A$5:$A$51,$B72,'SỔ CÔNG NỢ'!$B$5:$B$51,D$62)))</f>
        <v/>
      </c>
      <c r="E72" s="26" t="str">
        <f aca="false">IF($B72="","",IF(COUNTIFS('SỔ CÔNG NỢ'!$A$5:$A$51,$B72,'SỔ CÔNG NỢ'!$B$5:$B$51,E$62)=0,"",SUMIFS('SỔ CÔNG NỢ'!$K$5:$K$51,'SỔ CÔNG NỢ'!$A$5:$A$51,$B72,'SỔ CÔNG NỢ'!$B$5:$B$51,E$62)))</f>
        <v/>
      </c>
      <c r="F72" s="26" t="str">
        <f aca="false">IF($B72="","",IF(COUNTIFS('SỔ CÔNG NỢ'!$A$5:$A$51,$B72,'SỔ CÔNG NỢ'!$B$5:$B$51,F$62)=0,"",SUMIFS('SỔ CÔNG NỢ'!$K$5:$K$51,'SỔ CÔNG NỢ'!$A$5:$A$51,$B72,'SỔ CÔNG NỢ'!$B$5:$B$51,F$62)))</f>
        <v/>
      </c>
      <c r="G72" s="26" t="str">
        <f aca="false">IF($B72="","",IF(COUNTIFS('SỔ CÔNG NỢ'!$A$5:$A$51,$B72,'SỔ CÔNG NỢ'!$B$5:$B$51,G$62)=0,"",SUMIFS('SỔ CÔNG NỢ'!$K$5:$K$51,'SỔ CÔNG NỢ'!$A$5:$A$51,$B72,'SỔ CÔNG NỢ'!$B$5:$B$51,G$62)))</f>
        <v/>
      </c>
      <c r="H72" s="26" t="str">
        <f aca="false">IF($B72="","",IF(COUNTIFS('SỔ CÔNG NỢ'!$A$5:$A$51,$B72,'SỔ CÔNG NỢ'!$B$5:$B$51,H$62)=0,"",SUMIFS('SỔ CÔNG NỢ'!$K$5:$K$51,'SỔ CÔNG NỢ'!$A$5:$A$51,$B72,'SỔ CÔNG NỢ'!$B$5:$B$51,H$62)))</f>
        <v/>
      </c>
      <c r="I72" s="26" t="str">
        <f aca="false">IF($B72="","",IF(COUNTIFS('SỔ CÔNG NỢ'!$A$5:$A$51,$B72,'SỔ CÔNG NỢ'!$B$5:$B$51,I$62)=0,"",SUMIFS('SỔ CÔNG NỢ'!$K$5:$K$51,'SỔ CÔNG NỢ'!$A$5:$A$51,$B72,'SỔ CÔNG NỢ'!$B$5:$B$51,I$62)))</f>
        <v/>
      </c>
    </row>
    <row r="73" customFormat="false" ht="15" hidden="false" customHeight="false" outlineLevel="0" collapsed="false">
      <c r="A73" s="25"/>
      <c r="B73" s="25" t="str">
        <f aca="false">IF($B19="","",$B19)</f>
        <v/>
      </c>
      <c r="C73" s="26" t="str">
        <f aca="false">IF($B73="","",IF(COUNTIFS('SỔ CÔNG NỢ'!$A$5:$A$51,$B73,'SỔ CÔNG NỢ'!$B$5:$B$51,C$62)=0,"",SUMIFS('SỔ CÔNG NỢ'!$K$5:$K$51,'SỔ CÔNG NỢ'!$A$5:$A$51,$B73,'SỔ CÔNG NỢ'!$B$5:$B$51,C$62)))</f>
        <v/>
      </c>
      <c r="D73" s="26" t="str">
        <f aca="false">IF($B73="","",IF(COUNTIFS('SỔ CÔNG NỢ'!$A$5:$A$51,$B73,'SỔ CÔNG NỢ'!$B$5:$B$51,D$62)=0,"",SUMIFS('SỔ CÔNG NỢ'!$K$5:$K$51,'SỔ CÔNG NỢ'!$A$5:$A$51,$B73,'SỔ CÔNG NỢ'!$B$5:$B$51,D$62)))</f>
        <v/>
      </c>
      <c r="E73" s="26" t="str">
        <f aca="false">IF($B73="","",IF(COUNTIFS('SỔ CÔNG NỢ'!$A$5:$A$51,$B73,'SỔ CÔNG NỢ'!$B$5:$B$51,E$62)=0,"",SUMIFS('SỔ CÔNG NỢ'!$K$5:$K$51,'SỔ CÔNG NỢ'!$A$5:$A$51,$B73,'SỔ CÔNG NỢ'!$B$5:$B$51,E$62)))</f>
        <v/>
      </c>
      <c r="F73" s="26" t="str">
        <f aca="false">IF($B73="","",IF(COUNTIFS('SỔ CÔNG NỢ'!$A$5:$A$51,$B73,'SỔ CÔNG NỢ'!$B$5:$B$51,F$62)=0,"",SUMIFS('SỔ CÔNG NỢ'!$K$5:$K$51,'SỔ CÔNG NỢ'!$A$5:$A$51,$B73,'SỔ CÔNG NỢ'!$B$5:$B$51,F$62)))</f>
        <v/>
      </c>
      <c r="G73" s="26" t="str">
        <f aca="false">IF($B73="","",IF(COUNTIFS('SỔ CÔNG NỢ'!$A$5:$A$51,$B73,'SỔ CÔNG NỢ'!$B$5:$B$51,G$62)=0,"",SUMIFS('SỔ CÔNG NỢ'!$K$5:$K$51,'SỔ CÔNG NỢ'!$A$5:$A$51,$B73,'SỔ CÔNG NỢ'!$B$5:$B$51,G$62)))</f>
        <v/>
      </c>
      <c r="H73" s="26" t="str">
        <f aca="false">IF($B73="","",IF(COUNTIFS('SỔ CÔNG NỢ'!$A$5:$A$51,$B73,'SỔ CÔNG NỢ'!$B$5:$B$51,H$62)=0,"",SUMIFS('SỔ CÔNG NỢ'!$K$5:$K$51,'SỔ CÔNG NỢ'!$A$5:$A$51,$B73,'SỔ CÔNG NỢ'!$B$5:$B$51,H$62)))</f>
        <v/>
      </c>
      <c r="I73" s="26" t="str">
        <f aca="false">IF($B73="","",IF(COUNTIFS('SỔ CÔNG NỢ'!$A$5:$A$51,$B73,'SỔ CÔNG NỢ'!$B$5:$B$51,I$62)=0,"",SUMIFS('SỔ CÔNG NỢ'!$K$5:$K$51,'SỔ CÔNG NỢ'!$A$5:$A$51,$B73,'SỔ CÔNG NỢ'!$B$5:$B$51,I$62)))</f>
        <v/>
      </c>
    </row>
    <row r="74" customFormat="false" ht="15" hidden="false" customHeight="false" outlineLevel="0" collapsed="false">
      <c r="A74" s="25"/>
      <c r="B74" s="25" t="str">
        <f aca="false">IF($B20="","",$B20)</f>
        <v/>
      </c>
      <c r="C74" s="26" t="str">
        <f aca="false">IF($B74="","",IF(COUNTIFS('SỔ CÔNG NỢ'!$A$5:$A$51,$B74,'SỔ CÔNG NỢ'!$B$5:$B$51,C$62)=0,"",SUMIFS('SỔ CÔNG NỢ'!$K$5:$K$51,'SỔ CÔNG NỢ'!$A$5:$A$51,$B74,'SỔ CÔNG NỢ'!$B$5:$B$51,C$62)))</f>
        <v/>
      </c>
      <c r="D74" s="26" t="str">
        <f aca="false">IF($B74="","",IF(COUNTIFS('SỔ CÔNG NỢ'!$A$5:$A$51,$B74,'SỔ CÔNG NỢ'!$B$5:$B$51,D$62)=0,"",SUMIFS('SỔ CÔNG NỢ'!$K$5:$K$51,'SỔ CÔNG NỢ'!$A$5:$A$51,$B74,'SỔ CÔNG NỢ'!$B$5:$B$51,D$62)))</f>
        <v/>
      </c>
      <c r="E74" s="26" t="str">
        <f aca="false">IF($B74="","",IF(COUNTIFS('SỔ CÔNG NỢ'!$A$5:$A$51,$B74,'SỔ CÔNG NỢ'!$B$5:$B$51,E$62)=0,"",SUMIFS('SỔ CÔNG NỢ'!$K$5:$K$51,'SỔ CÔNG NỢ'!$A$5:$A$51,$B74,'SỔ CÔNG NỢ'!$B$5:$B$51,E$62)))</f>
        <v/>
      </c>
      <c r="F74" s="26" t="str">
        <f aca="false">IF($B74="","",IF(COUNTIFS('SỔ CÔNG NỢ'!$A$5:$A$51,$B74,'SỔ CÔNG NỢ'!$B$5:$B$51,F$62)=0,"",SUMIFS('SỔ CÔNG NỢ'!$K$5:$K$51,'SỔ CÔNG NỢ'!$A$5:$A$51,$B74,'SỔ CÔNG NỢ'!$B$5:$B$51,F$62)))</f>
        <v/>
      </c>
      <c r="G74" s="26" t="str">
        <f aca="false">IF($B74="","",IF(COUNTIFS('SỔ CÔNG NỢ'!$A$5:$A$51,$B74,'SỔ CÔNG NỢ'!$B$5:$B$51,G$62)=0,"",SUMIFS('SỔ CÔNG NỢ'!$K$5:$K$51,'SỔ CÔNG NỢ'!$A$5:$A$51,$B74,'SỔ CÔNG NỢ'!$B$5:$B$51,G$62)))</f>
        <v/>
      </c>
      <c r="H74" s="26" t="str">
        <f aca="false">IF($B74="","",IF(COUNTIFS('SỔ CÔNG NỢ'!$A$5:$A$51,$B74,'SỔ CÔNG NỢ'!$B$5:$B$51,H$62)=0,"",SUMIFS('SỔ CÔNG NỢ'!$K$5:$K$51,'SỔ CÔNG NỢ'!$A$5:$A$51,$B74,'SỔ CÔNG NỢ'!$B$5:$B$51,H$62)))</f>
        <v/>
      </c>
      <c r="I74" s="26" t="str">
        <f aca="false">IF($B74="","",IF(COUNTIFS('SỔ CÔNG NỢ'!$A$5:$A$51,$B74,'SỔ CÔNG NỢ'!$B$5:$B$51,I$62)=0,"",SUMIFS('SỔ CÔNG NỢ'!$K$5:$K$51,'SỔ CÔNG NỢ'!$A$5:$A$51,$B74,'SỔ CÔNG NỢ'!$B$5:$B$51,I$62)))</f>
        <v/>
      </c>
    </row>
    <row r="75" customFormat="false" ht="15" hidden="false" customHeight="false" outlineLevel="0" collapsed="false">
      <c r="A75" s="27"/>
      <c r="B75" s="27" t="s">
        <v>22</v>
      </c>
      <c r="C75" s="28" t="n">
        <f aca="false">SUM(C63:C74)</f>
        <v>1500000</v>
      </c>
      <c r="D75" s="28" t="n">
        <f aca="false">SUM(D63:D74)</f>
        <v>45350000</v>
      </c>
      <c r="E75" s="28" t="n">
        <f aca="false">SUM(E63:E74)</f>
        <v>33240000</v>
      </c>
      <c r="F75" s="28" t="n">
        <f aca="false">SUM(F63:F74)</f>
        <v>0</v>
      </c>
      <c r="G75" s="28" t="n">
        <f aca="false">SUM(G63:G74)</f>
        <v>0</v>
      </c>
      <c r="H75" s="28" t="n">
        <f aca="false">SUM(H63:H74)</f>
        <v>0</v>
      </c>
      <c r="I75" s="28" t="n">
        <f aca="false">SUM(I63:I74)</f>
        <v>0</v>
      </c>
    </row>
  </sheetData>
  <mergeCells count="8">
    <mergeCell ref="A4:B4"/>
    <mergeCell ref="D4:E4"/>
    <mergeCell ref="G4:H4"/>
    <mergeCell ref="J4:K4"/>
    <mergeCell ref="A5:B5"/>
    <mergeCell ref="D5:E5"/>
    <mergeCell ref="G5:H5"/>
    <mergeCell ref="J5:K5"/>
  </mergeCells>
  <conditionalFormatting sqref="K9:K20">
    <cfRule type="expression" priority="2" aboveAverage="0" equalAverage="0" bottom="0" percent="0" rank="0" text="" dxfId="0">
      <formula>K9="Khách còn nợ"</formula>
    </cfRule>
    <cfRule type="expression" priority="3" aboveAverage="0" equalAverage="0" bottom="0" percent="0" rank="0" text="" dxfId="1">
      <formula>K9="Công ty nợ khách"</formula>
    </cfRule>
    <cfRule type="expression" priority="4" aboveAverage="0" equalAverage="0" bottom="0" percent="0" rank="0" text="" dxfId="2">
      <formula>K9="Hết nợ"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O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3" min="12" style="0" width="15"/>
    <col collapsed="false" customWidth="true" hidden="false" outlineLevel="0" max="14" min="14" style="0" width="13"/>
    <col collapsed="false" customWidth="true" hidden="false" outlineLevel="0" max="15" min="15" style="0" width="60"/>
  </cols>
  <sheetData>
    <row r="1" customFormat="false" ht="19.7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28</v>
      </c>
    </row>
    <row r="4" customFormat="false" ht="45.75" hidden="false" customHeight="true" outlineLevel="0" collapsed="false">
      <c r="A4" s="11" t="s">
        <v>8</v>
      </c>
      <c r="B4" s="11" t="s">
        <v>29</v>
      </c>
      <c r="C4" s="11" t="s">
        <v>30</v>
      </c>
      <c r="D4" s="11" t="s">
        <v>11</v>
      </c>
      <c r="E4" s="11" t="s">
        <v>31</v>
      </c>
      <c r="F4" s="11" t="s">
        <v>12</v>
      </c>
      <c r="G4" s="11" t="s">
        <v>32</v>
      </c>
      <c r="H4" s="11" t="s">
        <v>33</v>
      </c>
      <c r="I4" s="11" t="s">
        <v>34</v>
      </c>
      <c r="J4" s="11" t="s">
        <v>35</v>
      </c>
      <c r="K4" s="11" t="s">
        <v>36</v>
      </c>
      <c r="L4" s="11" t="s">
        <v>37</v>
      </c>
      <c r="M4" s="11" t="s">
        <v>38</v>
      </c>
      <c r="N4" s="11" t="s">
        <v>39</v>
      </c>
      <c r="O4" s="11" t="s">
        <v>40</v>
      </c>
    </row>
    <row r="5" customFormat="false" ht="15" hidden="false" customHeight="false" outlineLevel="0" collapsed="false">
      <c r="A5" s="19" t="s">
        <v>19</v>
      </c>
      <c r="B5" s="29" t="n">
        <v>46204</v>
      </c>
      <c r="C5" s="30" t="n">
        <v>63600</v>
      </c>
      <c r="D5" s="15" t="n">
        <f aca="false">IF(OR($A5="",$B5=""),"",SUMIFS('CHI TIẾT HÀNG'!$L$5:$L$1004,'CHI TIẾT HÀNG'!$A$5:$A$1004,$A5,'CHI TIẾT HÀNG'!$C$5:$C$1004,$B5,'CHI TIẾT HÀNG'!$D$5:$D$1004,"Bán"))</f>
        <v>83852350</v>
      </c>
      <c r="E5" s="31" t="n">
        <v>0.62</v>
      </c>
      <c r="F5" s="15" t="n">
        <f aca="false">IF(OR($A5="",$B5=""),"",ROUND(D5*E5,0))</f>
        <v>51988457</v>
      </c>
      <c r="G5" s="15" t="n">
        <f aca="false">IF(OR($A5="",$B5=""),"",D5-F5)</f>
        <v>31863893</v>
      </c>
      <c r="H5" s="15" t="n">
        <f aca="false">IF(OR($A5="",$B5=""),"",SUMIFS('CHI TIẾT HÀNG'!$L$5:$L$1004,'CHI TIẾT HÀNG'!$A$5:$A$1004,$A5,'CHI TIẾT HÀNG'!$C$5:$C$1004,$B5,'CHI TIẾT HÀNG'!$D$5:$D$1004,"Trả lại"))</f>
        <v>4597000</v>
      </c>
      <c r="I5" s="15" t="n">
        <f aca="false">IF(OR($A5="",$B5=""),"",H5-ROUND(H5*E5,0))</f>
        <v>1746860</v>
      </c>
      <c r="J5" s="16" t="n">
        <f aca="false">IF(OR($A5="",$B5=""),"",C5+G5-I5)</f>
        <v>30180633</v>
      </c>
      <c r="K5" s="15" t="n">
        <f aca="false">IF(OR($A5="",$B5=""),"",SUMIFS('THANH TOÁN'!$D$5:$D$404,'THANH TOÁN'!$A$5:$A$404,$A5,'THANH TOÁN'!$C$5:$C$404,$B5))</f>
        <v>30060000</v>
      </c>
      <c r="L5" s="32" t="n">
        <f aca="false">IF(OR($A5="",$B5=""),"",J5-K5)</f>
        <v>120633</v>
      </c>
      <c r="M5" s="30" t="n">
        <v>120633</v>
      </c>
      <c r="N5" s="15" t="n">
        <f aca="false">IF(OR($A5="",M5=""),"",L5-M5)</f>
        <v>0</v>
      </c>
      <c r="O5" s="33" t="s">
        <v>41</v>
      </c>
    </row>
    <row r="6" customFormat="false" ht="15" hidden="false" customHeight="false" outlineLevel="0" collapsed="false">
      <c r="A6" s="19" t="s">
        <v>20</v>
      </c>
      <c r="B6" s="29" t="n">
        <v>46174</v>
      </c>
      <c r="C6" s="30" t="n">
        <v>0</v>
      </c>
      <c r="D6" s="15" t="n">
        <f aca="false">IF(OR($A6="",$B6=""),"",SUMIFS('CHI TIẾT HÀNG'!$L$5:$L$1004,'CHI TIẾT HÀNG'!$A$5:$A$1004,$A6,'CHI TIẾT HÀNG'!$C$5:$C$1004,$B6,'CHI TIẾT HÀNG'!$D$5:$D$1004,"Bán"))</f>
        <v>3750000</v>
      </c>
      <c r="E6" s="31" t="n">
        <v>0.63</v>
      </c>
      <c r="F6" s="15" t="n">
        <f aca="false">IF(OR($A6="",$B6=""),"",ROUND(D6*E6,0))</f>
        <v>2362500</v>
      </c>
      <c r="G6" s="15" t="n">
        <f aca="false">IF(OR($A6="",$B6=""),"",D6-F6)</f>
        <v>1387500</v>
      </c>
      <c r="H6" s="15" t="n">
        <f aca="false">IF(OR($A6="",$B6=""),"",SUMIFS('CHI TIẾT HÀNG'!$L$5:$L$1004,'CHI TIẾT HÀNG'!$A$5:$A$1004,$A6,'CHI TIẾT HÀNG'!$C$5:$C$1004,$B6,'CHI TIẾT HÀNG'!$D$5:$D$1004,"Trả lại"))</f>
        <v>0</v>
      </c>
      <c r="I6" s="15" t="n">
        <f aca="false">IF(OR($A6="",$B6=""),"",H6-ROUND(H6*E6,0))</f>
        <v>0</v>
      </c>
      <c r="J6" s="16" t="n">
        <f aca="false">IF(OR($A6="",$B6=""),"",C6+G6-I6)</f>
        <v>1387500</v>
      </c>
      <c r="K6" s="15" t="n">
        <f aca="false">IF(OR($A6="",$B6=""),"",SUMIFS('THANH TOÁN'!$D$5:$D$404,'THANH TOÁN'!$A$5:$A$404,$A6,'THANH TOÁN'!$C$5:$C$404,$B6))</f>
        <v>1500000</v>
      </c>
      <c r="L6" s="32" t="n">
        <f aca="false">IF(OR($A6="",$B6=""),"",J6-K6)</f>
        <v>-112500</v>
      </c>
      <c r="M6" s="30" t="n">
        <v>-112500</v>
      </c>
      <c r="N6" s="15" t="n">
        <f aca="false">IF(OR($A6="",M6=""),"",L6-M6)</f>
        <v>0</v>
      </c>
      <c r="O6" s="33" t="s">
        <v>42</v>
      </c>
    </row>
    <row r="7" customFormat="false" ht="15" hidden="false" customHeight="false" outlineLevel="0" collapsed="false">
      <c r="A7" s="19" t="s">
        <v>21</v>
      </c>
      <c r="B7" s="29" t="n">
        <v>46174</v>
      </c>
      <c r="C7" s="30" t="n">
        <v>890150</v>
      </c>
      <c r="D7" s="15" t="n">
        <f aca="false">IF(OR($A7="",$B7=""),"",SUMIFS('CHI TIẾT HÀNG'!$L$5:$L$1004,'CHI TIẾT HÀNG'!$A$5:$A$1004,$A7,'CHI TIẾT HÀNG'!$C$5:$C$1004,$B7,'CHI TIẾT HÀNG'!$D$5:$D$1004,"Bán"))</f>
        <v>22971000</v>
      </c>
      <c r="E7" s="31" t="n">
        <v>0.6</v>
      </c>
      <c r="F7" s="15" t="n">
        <f aca="false">IF(OR($A7="",$B7=""),"",ROUND(D7*E7,0))</f>
        <v>13782600</v>
      </c>
      <c r="G7" s="15" t="n">
        <f aca="false">IF(OR($A7="",$B7=""),"",D7-F7)</f>
        <v>9188400</v>
      </c>
      <c r="H7" s="15" t="n">
        <f aca="false">IF(OR($A7="",$B7=""),"",SUMIFS('CHI TIẾT HÀNG'!$L$5:$L$1004,'CHI TIẾT HÀNG'!$A$5:$A$1004,$A7,'CHI TIẾT HÀNG'!$C$5:$C$1004,$B7,'CHI TIẾT HÀNG'!$D$5:$D$1004,"Trả lại"))</f>
        <v>0</v>
      </c>
      <c r="I7" s="15" t="n">
        <f aca="false">IF(OR($A7="",$B7=""),"",H7-ROUND(H7*E7,0))</f>
        <v>0</v>
      </c>
      <c r="J7" s="16" t="n">
        <f aca="false">IF(OR($A7="",$B7=""),"",C7+G7-I7)</f>
        <v>10078550</v>
      </c>
      <c r="K7" s="15" t="n">
        <f aca="false">IF(OR($A7="",$B7=""),"",SUMIFS('THANH TOÁN'!$D$5:$D$404,'THANH TOÁN'!$A$5:$A$404,$A7,'THANH TOÁN'!$C$5:$C$404,$B7))</f>
        <v>0</v>
      </c>
      <c r="L7" s="32" t="n">
        <f aca="false">IF(OR($A7="",$B7=""),"",J7-K7)</f>
        <v>10078550</v>
      </c>
      <c r="M7" s="30" t="n">
        <v>10078550</v>
      </c>
      <c r="N7" s="15" t="n">
        <f aca="false">IF(OR($A7="",M7=""),"",L7-M7)</f>
        <v>0</v>
      </c>
      <c r="O7" s="33"/>
    </row>
    <row r="8" customFormat="false" ht="15" hidden="false" customHeight="false" outlineLevel="0" collapsed="false">
      <c r="A8" s="19" t="s">
        <v>21</v>
      </c>
      <c r="B8" s="29" t="n">
        <v>46204</v>
      </c>
      <c r="C8" s="15" t="n">
        <f aca="false">IF(OR($A8="",$B8=""),"",SUMIFS('SỔ CÔNG NỢ'!$L$5:$L$51,'SỔ CÔNG NỢ'!$A$5:$A$51,$A8,'SỔ CÔNG NỢ'!$B$5:$B$51,EDATE($B8,-1)))</f>
        <v>10078550</v>
      </c>
      <c r="D8" s="15" t="n">
        <f aca="false">IF(OR($A8="",$B8=""),"",SUMIFS('CHI TIẾT HÀNG'!$L$5:$L$1004,'CHI TIẾT HÀNG'!$A$5:$A$1004,$A8,'CHI TIẾT HÀNG'!$C$5:$C$1004,$B8,'CHI TIẾT HÀNG'!$D$5:$D$1004,"Bán"))</f>
        <v>39225100</v>
      </c>
      <c r="E8" s="31" t="n">
        <v>0.6</v>
      </c>
      <c r="F8" s="15" t="n">
        <f aca="false">IF(OR($A8="",$B8=""),"",ROUND(D8*E8,0))</f>
        <v>23535060</v>
      </c>
      <c r="G8" s="15" t="n">
        <f aca="false">IF(OR($A8="",$B8=""),"",D8-F8)</f>
        <v>15690040</v>
      </c>
      <c r="H8" s="15" t="n">
        <f aca="false">IF(OR($A8="",$B8=""),"",SUMIFS('CHI TIẾT HÀNG'!$L$5:$L$1004,'CHI TIẾT HÀNG'!$A$5:$A$1004,$A8,'CHI TIẾT HÀNG'!$C$5:$C$1004,$B8,'CHI TIẾT HÀNG'!$D$5:$D$1004,"Trả lại"))</f>
        <v>0</v>
      </c>
      <c r="I8" s="15" t="n">
        <f aca="false">IF(OR($A8="",$B8=""),"",H8-ROUND(H8*E8,0))</f>
        <v>0</v>
      </c>
      <c r="J8" s="16" t="n">
        <f aca="false">IF(OR($A8="",$B8=""),"",C8+G8-I8)</f>
        <v>25768590</v>
      </c>
      <c r="K8" s="15" t="n">
        <f aca="false">IF(OR($A8="",$B8=""),"",SUMIFS('THANH TOÁN'!$D$5:$D$404,'THANH TOÁN'!$A$5:$A$404,$A8,'THANH TOÁN'!$C$5:$C$404,$B8))</f>
        <v>15290000</v>
      </c>
      <c r="L8" s="32" t="n">
        <f aca="false">IF(OR($A8="",$B8=""),"",J8-K8)</f>
        <v>10478590</v>
      </c>
      <c r="M8" s="30" t="n">
        <v>10478590</v>
      </c>
      <c r="N8" s="15" t="n">
        <f aca="false">IF(OR($A8="",M8=""),"",L8-M8)</f>
        <v>0</v>
      </c>
      <c r="O8" s="33"/>
    </row>
    <row r="9" customFormat="false" ht="15" hidden="false" customHeight="false" outlineLevel="0" collapsed="false">
      <c r="A9" s="19" t="s">
        <v>21</v>
      </c>
      <c r="B9" s="29" t="n">
        <v>46235</v>
      </c>
      <c r="C9" s="15" t="n">
        <f aca="false">IF(OR($A9="",$B9=""),"",SUMIFS('SỔ CÔNG NỢ'!$L$5:$L$51,'SỔ CÔNG NỢ'!$A$5:$A$51,$A9,'SỔ CÔNG NỢ'!$B$5:$B$51,EDATE($B9,-1)))</f>
        <v>10478590</v>
      </c>
      <c r="D9" s="15" t="n">
        <f aca="false">IF(OR($A9="",$B9=""),"",SUMIFS('CHI TIẾT HÀNG'!$L$5:$L$1004,'CHI TIẾT HÀNG'!$A$5:$A$1004,$A9,'CHI TIẾT HÀNG'!$C$5:$C$1004,$B9,'CHI TIẾT HÀNG'!$D$5:$D$1004,"Bán"))</f>
        <v>39165000</v>
      </c>
      <c r="E9" s="31" t="n">
        <v>0.6</v>
      </c>
      <c r="F9" s="15" t="n">
        <f aca="false">IF(OR($A9="",$B9=""),"",ROUND(D9*E9,0))</f>
        <v>23499000</v>
      </c>
      <c r="G9" s="15" t="n">
        <f aca="false">IF(OR($A9="",$B9=""),"",D9-F9)</f>
        <v>15666000</v>
      </c>
      <c r="H9" s="15" t="n">
        <f aca="false">IF(OR($A9="",$B9=""),"",SUMIFS('CHI TIẾT HÀNG'!$L$5:$L$1004,'CHI TIẾT HÀNG'!$A$5:$A$1004,$A9,'CHI TIẾT HÀNG'!$C$5:$C$1004,$B9,'CHI TIẾT HÀNG'!$D$5:$D$1004,"Trả lại"))</f>
        <v>0</v>
      </c>
      <c r="I9" s="15" t="n">
        <f aca="false">IF(OR($A9="",$B9=""),"",H9-ROUND(H9*E9,0))</f>
        <v>0</v>
      </c>
      <c r="J9" s="16" t="n">
        <f aca="false">IF(OR($A9="",$B9=""),"",C9+G9-I9)</f>
        <v>26144590</v>
      </c>
      <c r="K9" s="15" t="n">
        <f aca="false">IF(OR($A9="",$B9=""),"",SUMIFS('THANH TOÁN'!$D$5:$D$404,'THANH TOÁN'!$A$5:$A$404,$A9,'THANH TOÁN'!$C$5:$C$404,$B9))</f>
        <v>33240000</v>
      </c>
      <c r="L9" s="32" t="n">
        <f aca="false">IF(OR($A9="",$B9=""),"",J9-K9)</f>
        <v>-7095410</v>
      </c>
      <c r="M9" s="30" t="n">
        <v>-7095410</v>
      </c>
      <c r="N9" s="15" t="n">
        <f aca="false">IF(OR($A9="",M9=""),"",L9-M9)</f>
        <v>0</v>
      </c>
      <c r="O9" s="33" t="s">
        <v>43</v>
      </c>
    </row>
    <row r="10" customFormat="false" ht="15" hidden="false" customHeight="false" outlineLevel="0" collapsed="false">
      <c r="A10" s="19" t="s">
        <v>21</v>
      </c>
      <c r="B10" s="29" t="n">
        <v>46266</v>
      </c>
      <c r="C10" s="15" t="n">
        <f aca="false">IF(OR($A10="",$B10=""),"",SUMIFS('SỔ CÔNG NỢ'!$L$5:$L$51,'SỔ CÔNG NỢ'!$A$5:$A$51,$A10,'SỔ CÔNG NỢ'!$B$5:$B$51,EDATE($B10,-1)))</f>
        <v>-7095410</v>
      </c>
      <c r="D10" s="15" t="n">
        <f aca="false">IF(OR($A10="",$B10=""),"",SUMIFS('CHI TIẾT HÀNG'!$L$5:$L$1004,'CHI TIẾT HÀNG'!$A$5:$A$1004,$A10,'CHI TIẾT HÀNG'!$C$5:$C$1004,$B10,'CHI TIẾT HÀNG'!$D$5:$D$1004,"Bán"))</f>
        <v>100434400</v>
      </c>
      <c r="E10" s="31" t="n">
        <v>0.6</v>
      </c>
      <c r="F10" s="15" t="n">
        <f aca="false">IF(OR($A10="",$B10=""),"",ROUND(D10*E10,0))</f>
        <v>60260640</v>
      </c>
      <c r="G10" s="15" t="n">
        <f aca="false">IF(OR($A10="",$B10=""),"",D10-F10)</f>
        <v>40173760</v>
      </c>
      <c r="H10" s="15" t="n">
        <f aca="false">IF(OR($A10="",$B10=""),"",SUMIFS('CHI TIẾT HÀNG'!$L$5:$L$1004,'CHI TIẾT HÀNG'!$A$5:$A$1004,$A10,'CHI TIẾT HÀNG'!$C$5:$C$1004,$B10,'CHI TIẾT HÀNG'!$D$5:$D$1004,"Trả lại"))</f>
        <v>0</v>
      </c>
      <c r="I10" s="15" t="n">
        <f aca="false">IF(OR($A10="",$B10=""),"",H10-ROUND(H10*E10,0))</f>
        <v>0</v>
      </c>
      <c r="J10" s="16" t="n">
        <f aca="false">IF(OR($A10="",$B10=""),"",C10+G10-I10)</f>
        <v>33078350</v>
      </c>
      <c r="K10" s="15" t="n">
        <f aca="false">IF(OR($A10="",$B10=""),"",SUMIFS('THANH TOÁN'!$D$5:$D$404,'THANH TOÁN'!$A$5:$A$404,$A10,'THANH TOÁN'!$C$5:$C$404,$B10))</f>
        <v>0</v>
      </c>
      <c r="L10" s="32" t="n">
        <f aca="false">IF(OR($A10="",$B10=""),"",J10-K10)</f>
        <v>33078350</v>
      </c>
      <c r="M10" s="30" t="n">
        <v>33078350</v>
      </c>
      <c r="N10" s="15" t="n">
        <f aca="false">IF(OR($A10="",M10=""),"",L10-M10)</f>
        <v>0</v>
      </c>
      <c r="O10" s="33" t="s">
        <v>44</v>
      </c>
    </row>
    <row r="11" customFormat="false" ht="15" hidden="false" customHeight="false" outlineLevel="0" collapsed="false">
      <c r="A11" s="19"/>
      <c r="B11" s="29"/>
      <c r="C11" s="15" t="str">
        <f aca="false">IF(OR($A11="",$B11=""),"",SUMIFS('SỔ CÔNG NỢ'!$L$5:$L$51,'SỔ CÔNG NỢ'!$A$5:$A$51,$A11,'SỔ CÔNG NỢ'!$B$5:$B$51,EDATE($B11,-1)))</f>
        <v/>
      </c>
      <c r="D11" s="15" t="str">
        <f aca="false">IF(OR($A11="",$B11=""),"",SUMIFS('CHI TIẾT HÀNG'!$L$5:$L$1004,'CHI TIẾT HÀNG'!$A$5:$A$1004,$A11,'CHI TIẾT HÀNG'!$C$5:$C$1004,$B11,'CHI TIẾT HÀNG'!$D$5:$D$1004,"Bán"))</f>
        <v/>
      </c>
      <c r="E11" s="31"/>
      <c r="F11" s="15" t="str">
        <f aca="false">IF(OR($A11="",$B11=""),"",ROUND(D11*E11,0))</f>
        <v/>
      </c>
      <c r="G11" s="15" t="str">
        <f aca="false">IF(OR($A11="",$B11=""),"",D11-F11)</f>
        <v/>
      </c>
      <c r="H11" s="15" t="str">
        <f aca="false">IF(OR($A11="",$B11=""),"",SUMIFS('CHI TIẾT HÀNG'!$L$5:$L$1004,'CHI TIẾT HÀNG'!$A$5:$A$1004,$A11,'CHI TIẾT HÀNG'!$C$5:$C$1004,$B11,'CHI TIẾT HÀNG'!$D$5:$D$1004,"Trả lại"))</f>
        <v/>
      </c>
      <c r="I11" s="15" t="str">
        <f aca="false">IF(OR($A11="",$B11=""),"",H11-ROUND(H11*E11,0))</f>
        <v/>
      </c>
      <c r="J11" s="16" t="str">
        <f aca="false">IF(OR($A11="",$B11=""),"",C11+G11-I11)</f>
        <v/>
      </c>
      <c r="K11" s="15" t="str">
        <f aca="false">IF(OR($A11="",$B11=""),"",SUMIFS('THANH TOÁN'!$D$5:$D$404,'THANH TOÁN'!$A$5:$A$404,$A11,'THANH TOÁN'!$C$5:$C$404,$B11))</f>
        <v/>
      </c>
      <c r="L11" s="32" t="str">
        <f aca="false">IF(OR($A11="",$B11=""),"",J11-K11)</f>
        <v/>
      </c>
      <c r="M11" s="30"/>
      <c r="N11" s="15" t="str">
        <f aca="false">IF(OR($A11="",M11=""),"",L11-M11)</f>
        <v/>
      </c>
      <c r="O11" s="33"/>
    </row>
    <row r="12" customFormat="false" ht="15" hidden="false" customHeight="false" outlineLevel="0" collapsed="false">
      <c r="A12" s="19"/>
      <c r="B12" s="29"/>
      <c r="C12" s="15" t="str">
        <f aca="false">IF(OR($A12="",$B12=""),"",SUMIFS('SỔ CÔNG NỢ'!$L$5:$L$51,'SỔ CÔNG NỢ'!$A$5:$A$51,$A12,'SỔ CÔNG NỢ'!$B$5:$B$51,EDATE($B12,-1)))</f>
        <v/>
      </c>
      <c r="D12" s="15" t="str">
        <f aca="false">IF(OR($A12="",$B12=""),"",SUMIFS('CHI TIẾT HÀNG'!$L$5:$L$1004,'CHI TIẾT HÀNG'!$A$5:$A$1004,$A12,'CHI TIẾT HÀNG'!$C$5:$C$1004,$B12,'CHI TIẾT HÀNG'!$D$5:$D$1004,"Bán"))</f>
        <v/>
      </c>
      <c r="E12" s="31"/>
      <c r="F12" s="15" t="str">
        <f aca="false">IF(OR($A12="",$B12=""),"",ROUND(D12*E12,0))</f>
        <v/>
      </c>
      <c r="G12" s="15" t="str">
        <f aca="false">IF(OR($A12="",$B12=""),"",D12-F12)</f>
        <v/>
      </c>
      <c r="H12" s="15" t="str">
        <f aca="false">IF(OR($A12="",$B12=""),"",SUMIFS('CHI TIẾT HÀNG'!$L$5:$L$1004,'CHI TIẾT HÀNG'!$A$5:$A$1004,$A12,'CHI TIẾT HÀNG'!$C$5:$C$1004,$B12,'CHI TIẾT HÀNG'!$D$5:$D$1004,"Trả lại"))</f>
        <v/>
      </c>
      <c r="I12" s="15" t="str">
        <f aca="false">IF(OR($A12="",$B12=""),"",H12-ROUND(H12*E12,0))</f>
        <v/>
      </c>
      <c r="J12" s="16" t="str">
        <f aca="false">IF(OR($A12="",$B12=""),"",C12+G12-I12)</f>
        <v/>
      </c>
      <c r="K12" s="15" t="str">
        <f aca="false">IF(OR($A12="",$B12=""),"",SUMIFS('THANH TOÁN'!$D$5:$D$404,'THANH TOÁN'!$A$5:$A$404,$A12,'THANH TOÁN'!$C$5:$C$404,$B12))</f>
        <v/>
      </c>
      <c r="L12" s="32" t="str">
        <f aca="false">IF(OR($A12="",$B12=""),"",J12-K12)</f>
        <v/>
      </c>
      <c r="M12" s="30"/>
      <c r="N12" s="15" t="str">
        <f aca="false">IF(OR($A12="",M12=""),"",L12-M12)</f>
        <v/>
      </c>
      <c r="O12" s="33"/>
    </row>
    <row r="13" customFormat="false" ht="15" hidden="false" customHeight="false" outlineLevel="0" collapsed="false">
      <c r="A13" s="19"/>
      <c r="B13" s="29"/>
      <c r="C13" s="15" t="str">
        <f aca="false">IF(OR($A13="",$B13=""),"",SUMIFS('SỔ CÔNG NỢ'!$L$5:$L$51,'SỔ CÔNG NỢ'!$A$5:$A$51,$A13,'SỔ CÔNG NỢ'!$B$5:$B$51,EDATE($B13,-1)))</f>
        <v/>
      </c>
      <c r="D13" s="15" t="str">
        <f aca="false">IF(OR($A13="",$B13=""),"",SUMIFS('CHI TIẾT HÀNG'!$L$5:$L$1004,'CHI TIẾT HÀNG'!$A$5:$A$1004,$A13,'CHI TIẾT HÀNG'!$C$5:$C$1004,$B13,'CHI TIẾT HÀNG'!$D$5:$D$1004,"Bán"))</f>
        <v/>
      </c>
      <c r="E13" s="31"/>
      <c r="F13" s="15" t="str">
        <f aca="false">IF(OR($A13="",$B13=""),"",ROUND(D13*E13,0))</f>
        <v/>
      </c>
      <c r="G13" s="15" t="str">
        <f aca="false">IF(OR($A13="",$B13=""),"",D13-F13)</f>
        <v/>
      </c>
      <c r="H13" s="15" t="str">
        <f aca="false">IF(OR($A13="",$B13=""),"",SUMIFS('CHI TIẾT HÀNG'!$L$5:$L$1004,'CHI TIẾT HÀNG'!$A$5:$A$1004,$A13,'CHI TIẾT HÀNG'!$C$5:$C$1004,$B13,'CHI TIẾT HÀNG'!$D$5:$D$1004,"Trả lại"))</f>
        <v/>
      </c>
      <c r="I13" s="15" t="str">
        <f aca="false">IF(OR($A13="",$B13=""),"",H13-ROUND(H13*E13,0))</f>
        <v/>
      </c>
      <c r="J13" s="16" t="str">
        <f aca="false">IF(OR($A13="",$B13=""),"",C13+G13-I13)</f>
        <v/>
      </c>
      <c r="K13" s="15" t="str">
        <f aca="false">IF(OR($A13="",$B13=""),"",SUMIFS('THANH TOÁN'!$D$5:$D$404,'THANH TOÁN'!$A$5:$A$404,$A13,'THANH TOÁN'!$C$5:$C$404,$B13))</f>
        <v/>
      </c>
      <c r="L13" s="32" t="str">
        <f aca="false">IF(OR($A13="",$B13=""),"",J13-K13)</f>
        <v/>
      </c>
      <c r="M13" s="30"/>
      <c r="N13" s="15" t="str">
        <f aca="false">IF(OR($A13="",M13=""),"",L13-M13)</f>
        <v/>
      </c>
      <c r="O13" s="33"/>
    </row>
    <row r="14" customFormat="false" ht="15" hidden="false" customHeight="false" outlineLevel="0" collapsed="false">
      <c r="A14" s="19"/>
      <c r="B14" s="29"/>
      <c r="C14" s="15" t="str">
        <f aca="false">IF(OR($A14="",$B14=""),"",SUMIFS('SỔ CÔNG NỢ'!$L$5:$L$51,'SỔ CÔNG NỢ'!$A$5:$A$51,$A14,'SỔ CÔNG NỢ'!$B$5:$B$51,EDATE($B14,-1)))</f>
        <v/>
      </c>
      <c r="D14" s="15" t="str">
        <f aca="false">IF(OR($A14="",$B14=""),"",SUMIFS('CHI TIẾT HÀNG'!$L$5:$L$1004,'CHI TIẾT HÀNG'!$A$5:$A$1004,$A14,'CHI TIẾT HÀNG'!$C$5:$C$1004,$B14,'CHI TIẾT HÀNG'!$D$5:$D$1004,"Bán"))</f>
        <v/>
      </c>
      <c r="E14" s="31"/>
      <c r="F14" s="15" t="str">
        <f aca="false">IF(OR($A14="",$B14=""),"",ROUND(D14*E14,0))</f>
        <v/>
      </c>
      <c r="G14" s="15" t="str">
        <f aca="false">IF(OR($A14="",$B14=""),"",D14-F14)</f>
        <v/>
      </c>
      <c r="H14" s="15" t="str">
        <f aca="false">IF(OR($A14="",$B14=""),"",SUMIFS('CHI TIẾT HÀNG'!$L$5:$L$1004,'CHI TIẾT HÀNG'!$A$5:$A$1004,$A14,'CHI TIẾT HÀNG'!$C$5:$C$1004,$B14,'CHI TIẾT HÀNG'!$D$5:$D$1004,"Trả lại"))</f>
        <v/>
      </c>
      <c r="I14" s="15" t="str">
        <f aca="false">IF(OR($A14="",$B14=""),"",H14-ROUND(H14*E14,0))</f>
        <v/>
      </c>
      <c r="J14" s="16" t="str">
        <f aca="false">IF(OR($A14="",$B14=""),"",C14+G14-I14)</f>
        <v/>
      </c>
      <c r="K14" s="15" t="str">
        <f aca="false">IF(OR($A14="",$B14=""),"",SUMIFS('THANH TOÁN'!$D$5:$D$404,'THANH TOÁN'!$A$5:$A$404,$A14,'THANH TOÁN'!$C$5:$C$404,$B14))</f>
        <v/>
      </c>
      <c r="L14" s="32" t="str">
        <f aca="false">IF(OR($A14="",$B14=""),"",J14-K14)</f>
        <v/>
      </c>
      <c r="M14" s="30"/>
      <c r="N14" s="15" t="str">
        <f aca="false">IF(OR($A14="",M14=""),"",L14-M14)</f>
        <v/>
      </c>
      <c r="O14" s="33"/>
    </row>
    <row r="15" customFormat="false" ht="15" hidden="false" customHeight="false" outlineLevel="0" collapsed="false">
      <c r="A15" s="19"/>
      <c r="B15" s="29"/>
      <c r="C15" s="15" t="str">
        <f aca="false">IF(OR($A15="",$B15=""),"",SUMIFS('SỔ CÔNG NỢ'!$L$5:$L$51,'SỔ CÔNG NỢ'!$A$5:$A$51,$A15,'SỔ CÔNG NỢ'!$B$5:$B$51,EDATE($B15,-1)))</f>
        <v/>
      </c>
      <c r="D15" s="15" t="str">
        <f aca="false">IF(OR($A15="",$B15=""),"",SUMIFS('CHI TIẾT HÀNG'!$L$5:$L$1004,'CHI TIẾT HÀNG'!$A$5:$A$1004,$A15,'CHI TIẾT HÀNG'!$C$5:$C$1004,$B15,'CHI TIẾT HÀNG'!$D$5:$D$1004,"Bán"))</f>
        <v/>
      </c>
      <c r="E15" s="31"/>
      <c r="F15" s="15" t="str">
        <f aca="false">IF(OR($A15="",$B15=""),"",ROUND(D15*E15,0))</f>
        <v/>
      </c>
      <c r="G15" s="15" t="str">
        <f aca="false">IF(OR($A15="",$B15=""),"",D15-F15)</f>
        <v/>
      </c>
      <c r="H15" s="15" t="str">
        <f aca="false">IF(OR($A15="",$B15=""),"",SUMIFS('CHI TIẾT HÀNG'!$L$5:$L$1004,'CHI TIẾT HÀNG'!$A$5:$A$1004,$A15,'CHI TIẾT HÀNG'!$C$5:$C$1004,$B15,'CHI TIẾT HÀNG'!$D$5:$D$1004,"Trả lại"))</f>
        <v/>
      </c>
      <c r="I15" s="15" t="str">
        <f aca="false">IF(OR($A15="",$B15=""),"",H15-ROUND(H15*E15,0))</f>
        <v/>
      </c>
      <c r="J15" s="16" t="str">
        <f aca="false">IF(OR($A15="",$B15=""),"",C15+G15-I15)</f>
        <v/>
      </c>
      <c r="K15" s="15" t="str">
        <f aca="false">IF(OR($A15="",$B15=""),"",SUMIFS('THANH TOÁN'!$D$5:$D$404,'THANH TOÁN'!$A$5:$A$404,$A15,'THANH TOÁN'!$C$5:$C$404,$B15))</f>
        <v/>
      </c>
      <c r="L15" s="32" t="str">
        <f aca="false">IF(OR($A15="",$B15=""),"",J15-K15)</f>
        <v/>
      </c>
      <c r="M15" s="30"/>
      <c r="N15" s="15" t="str">
        <f aca="false">IF(OR($A15="",M15=""),"",L15-M15)</f>
        <v/>
      </c>
      <c r="O15" s="33"/>
    </row>
    <row r="16" customFormat="false" ht="15" hidden="false" customHeight="false" outlineLevel="0" collapsed="false">
      <c r="A16" s="19"/>
      <c r="B16" s="29"/>
      <c r="C16" s="15" t="str">
        <f aca="false">IF(OR($A16="",$B16=""),"",SUMIFS('SỔ CÔNG NỢ'!$L$5:$L$51,'SỔ CÔNG NỢ'!$A$5:$A$51,$A16,'SỔ CÔNG NỢ'!$B$5:$B$51,EDATE($B16,-1)))</f>
        <v/>
      </c>
      <c r="D16" s="15" t="str">
        <f aca="false">IF(OR($A16="",$B16=""),"",SUMIFS('CHI TIẾT HÀNG'!$L$5:$L$1004,'CHI TIẾT HÀNG'!$A$5:$A$1004,$A16,'CHI TIẾT HÀNG'!$C$5:$C$1004,$B16,'CHI TIẾT HÀNG'!$D$5:$D$1004,"Bán"))</f>
        <v/>
      </c>
      <c r="E16" s="31"/>
      <c r="F16" s="15" t="str">
        <f aca="false">IF(OR($A16="",$B16=""),"",ROUND(D16*E16,0))</f>
        <v/>
      </c>
      <c r="G16" s="15" t="str">
        <f aca="false">IF(OR($A16="",$B16=""),"",D16-F16)</f>
        <v/>
      </c>
      <c r="H16" s="15" t="str">
        <f aca="false">IF(OR($A16="",$B16=""),"",SUMIFS('CHI TIẾT HÀNG'!$L$5:$L$1004,'CHI TIẾT HÀNG'!$A$5:$A$1004,$A16,'CHI TIẾT HÀNG'!$C$5:$C$1004,$B16,'CHI TIẾT HÀNG'!$D$5:$D$1004,"Trả lại"))</f>
        <v/>
      </c>
      <c r="I16" s="15" t="str">
        <f aca="false">IF(OR($A16="",$B16=""),"",H16-ROUND(H16*E16,0))</f>
        <v/>
      </c>
      <c r="J16" s="16" t="str">
        <f aca="false">IF(OR($A16="",$B16=""),"",C16+G16-I16)</f>
        <v/>
      </c>
      <c r="K16" s="15" t="str">
        <f aca="false">IF(OR($A16="",$B16=""),"",SUMIFS('THANH TOÁN'!$D$5:$D$404,'THANH TOÁN'!$A$5:$A$404,$A16,'THANH TOÁN'!$C$5:$C$404,$B16))</f>
        <v/>
      </c>
      <c r="L16" s="32" t="str">
        <f aca="false">IF(OR($A16="",$B16=""),"",J16-K16)</f>
        <v/>
      </c>
      <c r="M16" s="30"/>
      <c r="N16" s="15" t="str">
        <f aca="false">IF(OR($A16="",M16=""),"",L16-M16)</f>
        <v/>
      </c>
      <c r="O16" s="33"/>
    </row>
    <row r="17" customFormat="false" ht="15" hidden="false" customHeight="false" outlineLevel="0" collapsed="false">
      <c r="A17" s="19"/>
      <c r="B17" s="29"/>
      <c r="C17" s="15" t="str">
        <f aca="false">IF(OR($A17="",$B17=""),"",SUMIFS('SỔ CÔNG NỢ'!$L$5:$L$51,'SỔ CÔNG NỢ'!$A$5:$A$51,$A17,'SỔ CÔNG NỢ'!$B$5:$B$51,EDATE($B17,-1)))</f>
        <v/>
      </c>
      <c r="D17" s="15" t="str">
        <f aca="false">IF(OR($A17="",$B17=""),"",SUMIFS('CHI TIẾT HÀNG'!$L$5:$L$1004,'CHI TIẾT HÀNG'!$A$5:$A$1004,$A17,'CHI TIẾT HÀNG'!$C$5:$C$1004,$B17,'CHI TIẾT HÀNG'!$D$5:$D$1004,"Bán"))</f>
        <v/>
      </c>
      <c r="E17" s="31"/>
      <c r="F17" s="15" t="str">
        <f aca="false">IF(OR($A17="",$B17=""),"",ROUND(D17*E17,0))</f>
        <v/>
      </c>
      <c r="G17" s="15" t="str">
        <f aca="false">IF(OR($A17="",$B17=""),"",D17-F17)</f>
        <v/>
      </c>
      <c r="H17" s="15" t="str">
        <f aca="false">IF(OR($A17="",$B17=""),"",SUMIFS('CHI TIẾT HÀNG'!$L$5:$L$1004,'CHI TIẾT HÀNG'!$A$5:$A$1004,$A17,'CHI TIẾT HÀNG'!$C$5:$C$1004,$B17,'CHI TIẾT HÀNG'!$D$5:$D$1004,"Trả lại"))</f>
        <v/>
      </c>
      <c r="I17" s="15" t="str">
        <f aca="false">IF(OR($A17="",$B17=""),"",H17-ROUND(H17*E17,0))</f>
        <v/>
      </c>
      <c r="J17" s="16" t="str">
        <f aca="false">IF(OR($A17="",$B17=""),"",C17+G17-I17)</f>
        <v/>
      </c>
      <c r="K17" s="15" t="str">
        <f aca="false">IF(OR($A17="",$B17=""),"",SUMIFS('THANH TOÁN'!$D$5:$D$404,'THANH TOÁN'!$A$5:$A$404,$A17,'THANH TOÁN'!$C$5:$C$404,$B17))</f>
        <v/>
      </c>
      <c r="L17" s="32" t="str">
        <f aca="false">IF(OR($A17="",$B17=""),"",J17-K17)</f>
        <v/>
      </c>
      <c r="M17" s="30"/>
      <c r="N17" s="15" t="str">
        <f aca="false">IF(OR($A17="",M17=""),"",L17-M17)</f>
        <v/>
      </c>
      <c r="O17" s="33"/>
    </row>
    <row r="18" customFormat="false" ht="15" hidden="false" customHeight="false" outlineLevel="0" collapsed="false">
      <c r="A18" s="19"/>
      <c r="B18" s="29"/>
      <c r="C18" s="15" t="str">
        <f aca="false">IF(OR($A18="",$B18=""),"",SUMIFS('SỔ CÔNG NỢ'!$L$5:$L$51,'SỔ CÔNG NỢ'!$A$5:$A$51,$A18,'SỔ CÔNG NỢ'!$B$5:$B$51,EDATE($B18,-1)))</f>
        <v/>
      </c>
      <c r="D18" s="15" t="str">
        <f aca="false">IF(OR($A18="",$B18=""),"",SUMIFS('CHI TIẾT HÀNG'!$L$5:$L$1004,'CHI TIẾT HÀNG'!$A$5:$A$1004,$A18,'CHI TIẾT HÀNG'!$C$5:$C$1004,$B18,'CHI TIẾT HÀNG'!$D$5:$D$1004,"Bán"))</f>
        <v/>
      </c>
      <c r="E18" s="31"/>
      <c r="F18" s="15" t="str">
        <f aca="false">IF(OR($A18="",$B18=""),"",ROUND(D18*E18,0))</f>
        <v/>
      </c>
      <c r="G18" s="15" t="str">
        <f aca="false">IF(OR($A18="",$B18=""),"",D18-F18)</f>
        <v/>
      </c>
      <c r="H18" s="15" t="str">
        <f aca="false">IF(OR($A18="",$B18=""),"",SUMIFS('CHI TIẾT HÀNG'!$L$5:$L$1004,'CHI TIẾT HÀNG'!$A$5:$A$1004,$A18,'CHI TIẾT HÀNG'!$C$5:$C$1004,$B18,'CHI TIẾT HÀNG'!$D$5:$D$1004,"Trả lại"))</f>
        <v/>
      </c>
      <c r="I18" s="15" t="str">
        <f aca="false">IF(OR($A18="",$B18=""),"",H18-ROUND(H18*E18,0))</f>
        <v/>
      </c>
      <c r="J18" s="16" t="str">
        <f aca="false">IF(OR($A18="",$B18=""),"",C18+G18-I18)</f>
        <v/>
      </c>
      <c r="K18" s="15" t="str">
        <f aca="false">IF(OR($A18="",$B18=""),"",SUMIFS('THANH TOÁN'!$D$5:$D$404,'THANH TOÁN'!$A$5:$A$404,$A18,'THANH TOÁN'!$C$5:$C$404,$B18))</f>
        <v/>
      </c>
      <c r="L18" s="32" t="str">
        <f aca="false">IF(OR($A18="",$B18=""),"",J18-K18)</f>
        <v/>
      </c>
      <c r="M18" s="30"/>
      <c r="N18" s="15" t="str">
        <f aca="false">IF(OR($A18="",M18=""),"",L18-M18)</f>
        <v/>
      </c>
      <c r="O18" s="33"/>
    </row>
    <row r="19" customFormat="false" ht="15" hidden="false" customHeight="false" outlineLevel="0" collapsed="false">
      <c r="A19" s="19"/>
      <c r="B19" s="29"/>
      <c r="C19" s="15" t="str">
        <f aca="false">IF(OR($A19="",$B19=""),"",SUMIFS('SỔ CÔNG NỢ'!$L$5:$L$51,'SỔ CÔNG NỢ'!$A$5:$A$51,$A19,'SỔ CÔNG NỢ'!$B$5:$B$51,EDATE($B19,-1)))</f>
        <v/>
      </c>
      <c r="D19" s="15" t="str">
        <f aca="false">IF(OR($A19="",$B19=""),"",SUMIFS('CHI TIẾT HÀNG'!$L$5:$L$1004,'CHI TIẾT HÀNG'!$A$5:$A$1004,$A19,'CHI TIẾT HÀNG'!$C$5:$C$1004,$B19,'CHI TIẾT HÀNG'!$D$5:$D$1004,"Bán"))</f>
        <v/>
      </c>
      <c r="E19" s="31"/>
      <c r="F19" s="15" t="str">
        <f aca="false">IF(OR($A19="",$B19=""),"",ROUND(D19*E19,0))</f>
        <v/>
      </c>
      <c r="G19" s="15" t="str">
        <f aca="false">IF(OR($A19="",$B19=""),"",D19-F19)</f>
        <v/>
      </c>
      <c r="H19" s="15" t="str">
        <f aca="false">IF(OR($A19="",$B19=""),"",SUMIFS('CHI TIẾT HÀNG'!$L$5:$L$1004,'CHI TIẾT HÀNG'!$A$5:$A$1004,$A19,'CHI TIẾT HÀNG'!$C$5:$C$1004,$B19,'CHI TIẾT HÀNG'!$D$5:$D$1004,"Trả lại"))</f>
        <v/>
      </c>
      <c r="I19" s="15" t="str">
        <f aca="false">IF(OR($A19="",$B19=""),"",H19-ROUND(H19*E19,0))</f>
        <v/>
      </c>
      <c r="J19" s="16" t="str">
        <f aca="false">IF(OR($A19="",$B19=""),"",C19+G19-I19)</f>
        <v/>
      </c>
      <c r="K19" s="15" t="str">
        <f aca="false">IF(OR($A19="",$B19=""),"",SUMIFS('THANH TOÁN'!$D$5:$D$404,'THANH TOÁN'!$A$5:$A$404,$A19,'THANH TOÁN'!$C$5:$C$404,$B19))</f>
        <v/>
      </c>
      <c r="L19" s="32" t="str">
        <f aca="false">IF(OR($A19="",$B19=""),"",J19-K19)</f>
        <v/>
      </c>
      <c r="M19" s="30"/>
      <c r="N19" s="15" t="str">
        <f aca="false">IF(OR($A19="",M19=""),"",L19-M19)</f>
        <v/>
      </c>
      <c r="O19" s="33"/>
    </row>
    <row r="20" customFormat="false" ht="15" hidden="false" customHeight="false" outlineLevel="0" collapsed="false">
      <c r="A20" s="19"/>
      <c r="B20" s="29"/>
      <c r="C20" s="15" t="str">
        <f aca="false">IF(OR($A20="",$B20=""),"",SUMIFS('SỔ CÔNG NỢ'!$L$5:$L$51,'SỔ CÔNG NỢ'!$A$5:$A$51,$A20,'SỔ CÔNG NỢ'!$B$5:$B$51,EDATE($B20,-1)))</f>
        <v/>
      </c>
      <c r="D20" s="15" t="str">
        <f aca="false">IF(OR($A20="",$B20=""),"",SUMIFS('CHI TIẾT HÀNG'!$L$5:$L$1004,'CHI TIẾT HÀNG'!$A$5:$A$1004,$A20,'CHI TIẾT HÀNG'!$C$5:$C$1004,$B20,'CHI TIẾT HÀNG'!$D$5:$D$1004,"Bán"))</f>
        <v/>
      </c>
      <c r="E20" s="31"/>
      <c r="F20" s="15" t="str">
        <f aca="false">IF(OR($A20="",$B20=""),"",ROUND(D20*E20,0))</f>
        <v/>
      </c>
      <c r="G20" s="15" t="str">
        <f aca="false">IF(OR($A20="",$B20=""),"",D20-F20)</f>
        <v/>
      </c>
      <c r="H20" s="15" t="str">
        <f aca="false">IF(OR($A20="",$B20=""),"",SUMIFS('CHI TIẾT HÀNG'!$L$5:$L$1004,'CHI TIẾT HÀNG'!$A$5:$A$1004,$A20,'CHI TIẾT HÀNG'!$C$5:$C$1004,$B20,'CHI TIẾT HÀNG'!$D$5:$D$1004,"Trả lại"))</f>
        <v/>
      </c>
      <c r="I20" s="15" t="str">
        <f aca="false">IF(OR($A20="",$B20=""),"",H20-ROUND(H20*E20,0))</f>
        <v/>
      </c>
      <c r="J20" s="16" t="str">
        <f aca="false">IF(OR($A20="",$B20=""),"",C20+G20-I20)</f>
        <v/>
      </c>
      <c r="K20" s="15" t="str">
        <f aca="false">IF(OR($A20="",$B20=""),"",SUMIFS('THANH TOÁN'!$D$5:$D$404,'THANH TOÁN'!$A$5:$A$404,$A20,'THANH TOÁN'!$C$5:$C$404,$B20))</f>
        <v/>
      </c>
      <c r="L20" s="32" t="str">
        <f aca="false">IF(OR($A20="",$B20=""),"",J20-K20)</f>
        <v/>
      </c>
      <c r="M20" s="30"/>
      <c r="N20" s="15" t="str">
        <f aca="false">IF(OR($A20="",M20=""),"",L20-M20)</f>
        <v/>
      </c>
      <c r="O20" s="33"/>
    </row>
    <row r="21" customFormat="false" ht="15" hidden="false" customHeight="false" outlineLevel="0" collapsed="false">
      <c r="A21" s="19"/>
      <c r="B21" s="29"/>
      <c r="C21" s="15" t="str">
        <f aca="false">IF(OR($A21="",$B21=""),"",SUMIFS('SỔ CÔNG NỢ'!$L$5:$L$51,'SỔ CÔNG NỢ'!$A$5:$A$51,$A21,'SỔ CÔNG NỢ'!$B$5:$B$51,EDATE($B21,-1)))</f>
        <v/>
      </c>
      <c r="D21" s="15" t="str">
        <f aca="false">IF(OR($A21="",$B21=""),"",SUMIFS('CHI TIẾT HÀNG'!$L$5:$L$1004,'CHI TIẾT HÀNG'!$A$5:$A$1004,$A21,'CHI TIẾT HÀNG'!$C$5:$C$1004,$B21,'CHI TIẾT HÀNG'!$D$5:$D$1004,"Bán"))</f>
        <v/>
      </c>
      <c r="E21" s="31"/>
      <c r="F21" s="15" t="str">
        <f aca="false">IF(OR($A21="",$B21=""),"",ROUND(D21*E21,0))</f>
        <v/>
      </c>
      <c r="G21" s="15" t="str">
        <f aca="false">IF(OR($A21="",$B21=""),"",D21-F21)</f>
        <v/>
      </c>
      <c r="H21" s="15" t="str">
        <f aca="false">IF(OR($A21="",$B21=""),"",SUMIFS('CHI TIẾT HÀNG'!$L$5:$L$1004,'CHI TIẾT HÀNG'!$A$5:$A$1004,$A21,'CHI TIẾT HÀNG'!$C$5:$C$1004,$B21,'CHI TIẾT HÀNG'!$D$5:$D$1004,"Trả lại"))</f>
        <v/>
      </c>
      <c r="I21" s="15" t="str">
        <f aca="false">IF(OR($A21="",$B21=""),"",H21-ROUND(H21*E21,0))</f>
        <v/>
      </c>
      <c r="J21" s="16" t="str">
        <f aca="false">IF(OR($A21="",$B21=""),"",C21+G21-I21)</f>
        <v/>
      </c>
      <c r="K21" s="15" t="str">
        <f aca="false">IF(OR($A21="",$B21=""),"",SUMIFS('THANH TOÁN'!$D$5:$D$404,'THANH TOÁN'!$A$5:$A$404,$A21,'THANH TOÁN'!$C$5:$C$404,$B21))</f>
        <v/>
      </c>
      <c r="L21" s="32" t="str">
        <f aca="false">IF(OR($A21="",$B21=""),"",J21-K21)</f>
        <v/>
      </c>
      <c r="M21" s="30"/>
      <c r="N21" s="15" t="str">
        <f aca="false">IF(OR($A21="",M21=""),"",L21-M21)</f>
        <v/>
      </c>
      <c r="O21" s="33"/>
    </row>
    <row r="22" customFormat="false" ht="15" hidden="false" customHeight="false" outlineLevel="0" collapsed="false">
      <c r="A22" s="19"/>
      <c r="B22" s="29"/>
      <c r="C22" s="15" t="str">
        <f aca="false">IF(OR($A22="",$B22=""),"",SUMIFS('SỔ CÔNG NỢ'!$L$5:$L$51,'SỔ CÔNG NỢ'!$A$5:$A$51,$A22,'SỔ CÔNG NỢ'!$B$5:$B$51,EDATE($B22,-1)))</f>
        <v/>
      </c>
      <c r="D22" s="15" t="str">
        <f aca="false">IF(OR($A22="",$B22=""),"",SUMIFS('CHI TIẾT HÀNG'!$L$5:$L$1004,'CHI TIẾT HÀNG'!$A$5:$A$1004,$A22,'CHI TIẾT HÀNG'!$C$5:$C$1004,$B22,'CHI TIẾT HÀNG'!$D$5:$D$1004,"Bán"))</f>
        <v/>
      </c>
      <c r="E22" s="31"/>
      <c r="F22" s="15" t="str">
        <f aca="false">IF(OR($A22="",$B22=""),"",ROUND(D22*E22,0))</f>
        <v/>
      </c>
      <c r="G22" s="15" t="str">
        <f aca="false">IF(OR($A22="",$B22=""),"",D22-F22)</f>
        <v/>
      </c>
      <c r="H22" s="15" t="str">
        <f aca="false">IF(OR($A22="",$B22=""),"",SUMIFS('CHI TIẾT HÀNG'!$L$5:$L$1004,'CHI TIẾT HÀNG'!$A$5:$A$1004,$A22,'CHI TIẾT HÀNG'!$C$5:$C$1004,$B22,'CHI TIẾT HÀNG'!$D$5:$D$1004,"Trả lại"))</f>
        <v/>
      </c>
      <c r="I22" s="15" t="str">
        <f aca="false">IF(OR($A22="",$B22=""),"",H22-ROUND(H22*E22,0))</f>
        <v/>
      </c>
      <c r="J22" s="16" t="str">
        <f aca="false">IF(OR($A22="",$B22=""),"",C22+G22-I22)</f>
        <v/>
      </c>
      <c r="K22" s="15" t="str">
        <f aca="false">IF(OR($A22="",$B22=""),"",SUMIFS('THANH TOÁN'!$D$5:$D$404,'THANH TOÁN'!$A$5:$A$404,$A22,'THANH TOÁN'!$C$5:$C$404,$B22))</f>
        <v/>
      </c>
      <c r="L22" s="32" t="str">
        <f aca="false">IF(OR($A22="",$B22=""),"",J22-K22)</f>
        <v/>
      </c>
      <c r="M22" s="30"/>
      <c r="N22" s="15" t="str">
        <f aca="false">IF(OR($A22="",M22=""),"",L22-M22)</f>
        <v/>
      </c>
      <c r="O22" s="33"/>
    </row>
    <row r="23" customFormat="false" ht="15" hidden="false" customHeight="false" outlineLevel="0" collapsed="false">
      <c r="A23" s="19"/>
      <c r="B23" s="29"/>
      <c r="C23" s="15" t="str">
        <f aca="false">IF(OR($A23="",$B23=""),"",SUMIFS('SỔ CÔNG NỢ'!$L$5:$L$51,'SỔ CÔNG NỢ'!$A$5:$A$51,$A23,'SỔ CÔNG NỢ'!$B$5:$B$51,EDATE($B23,-1)))</f>
        <v/>
      </c>
      <c r="D23" s="15" t="str">
        <f aca="false">IF(OR($A23="",$B23=""),"",SUMIFS('CHI TIẾT HÀNG'!$L$5:$L$1004,'CHI TIẾT HÀNG'!$A$5:$A$1004,$A23,'CHI TIẾT HÀNG'!$C$5:$C$1004,$B23,'CHI TIẾT HÀNG'!$D$5:$D$1004,"Bán"))</f>
        <v/>
      </c>
      <c r="E23" s="31"/>
      <c r="F23" s="15" t="str">
        <f aca="false">IF(OR($A23="",$B23=""),"",ROUND(D23*E23,0))</f>
        <v/>
      </c>
      <c r="G23" s="15" t="str">
        <f aca="false">IF(OR($A23="",$B23=""),"",D23-F23)</f>
        <v/>
      </c>
      <c r="H23" s="15" t="str">
        <f aca="false">IF(OR($A23="",$B23=""),"",SUMIFS('CHI TIẾT HÀNG'!$L$5:$L$1004,'CHI TIẾT HÀNG'!$A$5:$A$1004,$A23,'CHI TIẾT HÀNG'!$C$5:$C$1004,$B23,'CHI TIẾT HÀNG'!$D$5:$D$1004,"Trả lại"))</f>
        <v/>
      </c>
      <c r="I23" s="15" t="str">
        <f aca="false">IF(OR($A23="",$B23=""),"",H23-ROUND(H23*E23,0))</f>
        <v/>
      </c>
      <c r="J23" s="16" t="str">
        <f aca="false">IF(OR($A23="",$B23=""),"",C23+G23-I23)</f>
        <v/>
      </c>
      <c r="K23" s="15" t="str">
        <f aca="false">IF(OR($A23="",$B23=""),"",SUMIFS('THANH TOÁN'!$D$5:$D$404,'THANH TOÁN'!$A$5:$A$404,$A23,'THANH TOÁN'!$C$5:$C$404,$B23))</f>
        <v/>
      </c>
      <c r="L23" s="32" t="str">
        <f aca="false">IF(OR($A23="",$B23=""),"",J23-K23)</f>
        <v/>
      </c>
      <c r="M23" s="30"/>
      <c r="N23" s="15" t="str">
        <f aca="false">IF(OR($A23="",M23=""),"",L23-M23)</f>
        <v/>
      </c>
      <c r="O23" s="33"/>
    </row>
    <row r="24" customFormat="false" ht="15" hidden="false" customHeight="false" outlineLevel="0" collapsed="false">
      <c r="A24" s="19"/>
      <c r="B24" s="29"/>
      <c r="C24" s="15" t="str">
        <f aca="false">IF(OR($A24="",$B24=""),"",SUMIFS('SỔ CÔNG NỢ'!$L$5:$L$51,'SỔ CÔNG NỢ'!$A$5:$A$51,$A24,'SỔ CÔNG NỢ'!$B$5:$B$51,EDATE($B24,-1)))</f>
        <v/>
      </c>
      <c r="D24" s="15" t="str">
        <f aca="false">IF(OR($A24="",$B24=""),"",SUMIFS('CHI TIẾT HÀNG'!$L$5:$L$1004,'CHI TIẾT HÀNG'!$A$5:$A$1004,$A24,'CHI TIẾT HÀNG'!$C$5:$C$1004,$B24,'CHI TIẾT HÀNG'!$D$5:$D$1004,"Bán"))</f>
        <v/>
      </c>
      <c r="E24" s="31"/>
      <c r="F24" s="15" t="str">
        <f aca="false">IF(OR($A24="",$B24=""),"",ROUND(D24*E24,0))</f>
        <v/>
      </c>
      <c r="G24" s="15" t="str">
        <f aca="false">IF(OR($A24="",$B24=""),"",D24-F24)</f>
        <v/>
      </c>
      <c r="H24" s="15" t="str">
        <f aca="false">IF(OR($A24="",$B24=""),"",SUMIFS('CHI TIẾT HÀNG'!$L$5:$L$1004,'CHI TIẾT HÀNG'!$A$5:$A$1004,$A24,'CHI TIẾT HÀNG'!$C$5:$C$1004,$B24,'CHI TIẾT HÀNG'!$D$5:$D$1004,"Trả lại"))</f>
        <v/>
      </c>
      <c r="I24" s="15" t="str">
        <f aca="false">IF(OR($A24="",$B24=""),"",H24-ROUND(H24*E24,0))</f>
        <v/>
      </c>
      <c r="J24" s="16" t="str">
        <f aca="false">IF(OR($A24="",$B24=""),"",C24+G24-I24)</f>
        <v/>
      </c>
      <c r="K24" s="15" t="str">
        <f aca="false">IF(OR($A24="",$B24=""),"",SUMIFS('THANH TOÁN'!$D$5:$D$404,'THANH TOÁN'!$A$5:$A$404,$A24,'THANH TOÁN'!$C$5:$C$404,$B24))</f>
        <v/>
      </c>
      <c r="L24" s="32" t="str">
        <f aca="false">IF(OR($A24="",$B24=""),"",J24-K24)</f>
        <v/>
      </c>
      <c r="M24" s="30"/>
      <c r="N24" s="15" t="str">
        <f aca="false">IF(OR($A24="",M24=""),"",L24-M24)</f>
        <v/>
      </c>
      <c r="O24" s="33"/>
    </row>
    <row r="25" customFormat="false" ht="15" hidden="false" customHeight="false" outlineLevel="0" collapsed="false">
      <c r="A25" s="19"/>
      <c r="B25" s="29"/>
      <c r="C25" s="15" t="str">
        <f aca="false">IF(OR($A25="",$B25=""),"",SUMIFS('SỔ CÔNG NỢ'!$L$5:$L$51,'SỔ CÔNG NỢ'!$A$5:$A$51,$A25,'SỔ CÔNG NỢ'!$B$5:$B$51,EDATE($B25,-1)))</f>
        <v/>
      </c>
      <c r="D25" s="15" t="str">
        <f aca="false">IF(OR($A25="",$B25=""),"",SUMIFS('CHI TIẾT HÀNG'!$L$5:$L$1004,'CHI TIẾT HÀNG'!$A$5:$A$1004,$A25,'CHI TIẾT HÀNG'!$C$5:$C$1004,$B25,'CHI TIẾT HÀNG'!$D$5:$D$1004,"Bán"))</f>
        <v/>
      </c>
      <c r="E25" s="31"/>
      <c r="F25" s="15" t="str">
        <f aca="false">IF(OR($A25="",$B25=""),"",ROUND(D25*E25,0))</f>
        <v/>
      </c>
      <c r="G25" s="15" t="str">
        <f aca="false">IF(OR($A25="",$B25=""),"",D25-F25)</f>
        <v/>
      </c>
      <c r="H25" s="15" t="str">
        <f aca="false">IF(OR($A25="",$B25=""),"",SUMIFS('CHI TIẾT HÀNG'!$L$5:$L$1004,'CHI TIẾT HÀNG'!$A$5:$A$1004,$A25,'CHI TIẾT HÀNG'!$C$5:$C$1004,$B25,'CHI TIẾT HÀNG'!$D$5:$D$1004,"Trả lại"))</f>
        <v/>
      </c>
      <c r="I25" s="15" t="str">
        <f aca="false">IF(OR($A25="",$B25=""),"",H25-ROUND(H25*E25,0))</f>
        <v/>
      </c>
      <c r="J25" s="16" t="str">
        <f aca="false">IF(OR($A25="",$B25=""),"",C25+G25-I25)</f>
        <v/>
      </c>
      <c r="K25" s="15" t="str">
        <f aca="false">IF(OR($A25="",$B25=""),"",SUMIFS('THANH TOÁN'!$D$5:$D$404,'THANH TOÁN'!$A$5:$A$404,$A25,'THANH TOÁN'!$C$5:$C$404,$B25))</f>
        <v/>
      </c>
      <c r="L25" s="32" t="str">
        <f aca="false">IF(OR($A25="",$B25=""),"",J25-K25)</f>
        <v/>
      </c>
      <c r="M25" s="30"/>
      <c r="N25" s="15" t="str">
        <f aca="false">IF(OR($A25="",M25=""),"",L25-M25)</f>
        <v/>
      </c>
      <c r="O25" s="33"/>
    </row>
    <row r="26" customFormat="false" ht="15" hidden="false" customHeight="false" outlineLevel="0" collapsed="false">
      <c r="A26" s="19"/>
      <c r="B26" s="29"/>
      <c r="C26" s="15" t="str">
        <f aca="false">IF(OR($A26="",$B26=""),"",SUMIFS('SỔ CÔNG NỢ'!$L$5:$L$51,'SỔ CÔNG NỢ'!$A$5:$A$51,$A26,'SỔ CÔNG NỢ'!$B$5:$B$51,EDATE($B26,-1)))</f>
        <v/>
      </c>
      <c r="D26" s="15" t="str">
        <f aca="false">IF(OR($A26="",$B26=""),"",SUMIFS('CHI TIẾT HÀNG'!$L$5:$L$1004,'CHI TIẾT HÀNG'!$A$5:$A$1004,$A26,'CHI TIẾT HÀNG'!$C$5:$C$1004,$B26,'CHI TIẾT HÀNG'!$D$5:$D$1004,"Bán"))</f>
        <v/>
      </c>
      <c r="E26" s="31"/>
      <c r="F26" s="15" t="str">
        <f aca="false">IF(OR($A26="",$B26=""),"",ROUND(D26*E26,0))</f>
        <v/>
      </c>
      <c r="G26" s="15" t="str">
        <f aca="false">IF(OR($A26="",$B26=""),"",D26-F26)</f>
        <v/>
      </c>
      <c r="H26" s="15" t="str">
        <f aca="false">IF(OR($A26="",$B26=""),"",SUMIFS('CHI TIẾT HÀNG'!$L$5:$L$1004,'CHI TIẾT HÀNG'!$A$5:$A$1004,$A26,'CHI TIẾT HÀNG'!$C$5:$C$1004,$B26,'CHI TIẾT HÀNG'!$D$5:$D$1004,"Trả lại"))</f>
        <v/>
      </c>
      <c r="I26" s="15" t="str">
        <f aca="false">IF(OR($A26="",$B26=""),"",H26-ROUND(H26*E26,0))</f>
        <v/>
      </c>
      <c r="J26" s="16" t="str">
        <f aca="false">IF(OR($A26="",$B26=""),"",C26+G26-I26)</f>
        <v/>
      </c>
      <c r="K26" s="15" t="str">
        <f aca="false">IF(OR($A26="",$B26=""),"",SUMIFS('THANH TOÁN'!$D$5:$D$404,'THANH TOÁN'!$A$5:$A$404,$A26,'THANH TOÁN'!$C$5:$C$404,$B26))</f>
        <v/>
      </c>
      <c r="L26" s="32" t="str">
        <f aca="false">IF(OR($A26="",$B26=""),"",J26-K26)</f>
        <v/>
      </c>
      <c r="M26" s="30"/>
      <c r="N26" s="15" t="str">
        <f aca="false">IF(OR($A26="",M26=""),"",L26-M26)</f>
        <v/>
      </c>
      <c r="O26" s="33"/>
    </row>
    <row r="27" customFormat="false" ht="15" hidden="false" customHeight="false" outlineLevel="0" collapsed="false">
      <c r="A27" s="19"/>
      <c r="B27" s="29"/>
      <c r="C27" s="15" t="str">
        <f aca="false">IF(OR($A27="",$B27=""),"",SUMIFS('SỔ CÔNG NỢ'!$L$5:$L$51,'SỔ CÔNG NỢ'!$A$5:$A$51,$A27,'SỔ CÔNG NỢ'!$B$5:$B$51,EDATE($B27,-1)))</f>
        <v/>
      </c>
      <c r="D27" s="15" t="str">
        <f aca="false">IF(OR($A27="",$B27=""),"",SUMIFS('CHI TIẾT HÀNG'!$L$5:$L$1004,'CHI TIẾT HÀNG'!$A$5:$A$1004,$A27,'CHI TIẾT HÀNG'!$C$5:$C$1004,$B27,'CHI TIẾT HÀNG'!$D$5:$D$1004,"Bán"))</f>
        <v/>
      </c>
      <c r="E27" s="31"/>
      <c r="F27" s="15" t="str">
        <f aca="false">IF(OR($A27="",$B27=""),"",ROUND(D27*E27,0))</f>
        <v/>
      </c>
      <c r="G27" s="15" t="str">
        <f aca="false">IF(OR($A27="",$B27=""),"",D27-F27)</f>
        <v/>
      </c>
      <c r="H27" s="15" t="str">
        <f aca="false">IF(OR($A27="",$B27=""),"",SUMIFS('CHI TIẾT HÀNG'!$L$5:$L$1004,'CHI TIẾT HÀNG'!$A$5:$A$1004,$A27,'CHI TIẾT HÀNG'!$C$5:$C$1004,$B27,'CHI TIẾT HÀNG'!$D$5:$D$1004,"Trả lại"))</f>
        <v/>
      </c>
      <c r="I27" s="15" t="str">
        <f aca="false">IF(OR($A27="",$B27=""),"",H27-ROUND(H27*E27,0))</f>
        <v/>
      </c>
      <c r="J27" s="16" t="str">
        <f aca="false">IF(OR($A27="",$B27=""),"",C27+G27-I27)</f>
        <v/>
      </c>
      <c r="K27" s="15" t="str">
        <f aca="false">IF(OR($A27="",$B27=""),"",SUMIFS('THANH TOÁN'!$D$5:$D$404,'THANH TOÁN'!$A$5:$A$404,$A27,'THANH TOÁN'!$C$5:$C$404,$B27))</f>
        <v/>
      </c>
      <c r="L27" s="32" t="str">
        <f aca="false">IF(OR($A27="",$B27=""),"",J27-K27)</f>
        <v/>
      </c>
      <c r="M27" s="30"/>
      <c r="N27" s="15" t="str">
        <f aca="false">IF(OR($A27="",M27=""),"",L27-M27)</f>
        <v/>
      </c>
      <c r="O27" s="33"/>
    </row>
    <row r="28" customFormat="false" ht="15" hidden="false" customHeight="false" outlineLevel="0" collapsed="false">
      <c r="A28" s="19"/>
      <c r="B28" s="29"/>
      <c r="C28" s="15" t="str">
        <f aca="false">IF(OR($A28="",$B28=""),"",SUMIFS('SỔ CÔNG NỢ'!$L$5:$L$51,'SỔ CÔNG NỢ'!$A$5:$A$51,$A28,'SỔ CÔNG NỢ'!$B$5:$B$51,EDATE($B28,-1)))</f>
        <v/>
      </c>
      <c r="D28" s="15" t="str">
        <f aca="false">IF(OR($A28="",$B28=""),"",SUMIFS('CHI TIẾT HÀNG'!$L$5:$L$1004,'CHI TIẾT HÀNG'!$A$5:$A$1004,$A28,'CHI TIẾT HÀNG'!$C$5:$C$1004,$B28,'CHI TIẾT HÀNG'!$D$5:$D$1004,"Bán"))</f>
        <v/>
      </c>
      <c r="E28" s="31"/>
      <c r="F28" s="15" t="str">
        <f aca="false">IF(OR($A28="",$B28=""),"",ROUND(D28*E28,0))</f>
        <v/>
      </c>
      <c r="G28" s="15" t="str">
        <f aca="false">IF(OR($A28="",$B28=""),"",D28-F28)</f>
        <v/>
      </c>
      <c r="H28" s="15" t="str">
        <f aca="false">IF(OR($A28="",$B28=""),"",SUMIFS('CHI TIẾT HÀNG'!$L$5:$L$1004,'CHI TIẾT HÀNG'!$A$5:$A$1004,$A28,'CHI TIẾT HÀNG'!$C$5:$C$1004,$B28,'CHI TIẾT HÀNG'!$D$5:$D$1004,"Trả lại"))</f>
        <v/>
      </c>
      <c r="I28" s="15" t="str">
        <f aca="false">IF(OR($A28="",$B28=""),"",H28-ROUND(H28*E28,0))</f>
        <v/>
      </c>
      <c r="J28" s="16" t="str">
        <f aca="false">IF(OR($A28="",$B28=""),"",C28+G28-I28)</f>
        <v/>
      </c>
      <c r="K28" s="15" t="str">
        <f aca="false">IF(OR($A28="",$B28=""),"",SUMIFS('THANH TOÁN'!$D$5:$D$404,'THANH TOÁN'!$A$5:$A$404,$A28,'THANH TOÁN'!$C$5:$C$404,$B28))</f>
        <v/>
      </c>
      <c r="L28" s="32" t="str">
        <f aca="false">IF(OR($A28="",$B28=""),"",J28-K28)</f>
        <v/>
      </c>
      <c r="M28" s="30"/>
      <c r="N28" s="15" t="str">
        <f aca="false">IF(OR($A28="",M28=""),"",L28-M28)</f>
        <v/>
      </c>
      <c r="O28" s="33"/>
    </row>
    <row r="29" customFormat="false" ht="15" hidden="false" customHeight="false" outlineLevel="0" collapsed="false">
      <c r="A29" s="19"/>
      <c r="B29" s="29"/>
      <c r="C29" s="15" t="str">
        <f aca="false">IF(OR($A29="",$B29=""),"",SUMIFS('SỔ CÔNG NỢ'!$L$5:$L$51,'SỔ CÔNG NỢ'!$A$5:$A$51,$A29,'SỔ CÔNG NỢ'!$B$5:$B$51,EDATE($B29,-1)))</f>
        <v/>
      </c>
      <c r="D29" s="15" t="str">
        <f aca="false">IF(OR($A29="",$B29=""),"",SUMIFS('CHI TIẾT HÀNG'!$L$5:$L$1004,'CHI TIẾT HÀNG'!$A$5:$A$1004,$A29,'CHI TIẾT HÀNG'!$C$5:$C$1004,$B29,'CHI TIẾT HÀNG'!$D$5:$D$1004,"Bán"))</f>
        <v/>
      </c>
      <c r="E29" s="31"/>
      <c r="F29" s="15" t="str">
        <f aca="false">IF(OR($A29="",$B29=""),"",ROUND(D29*E29,0))</f>
        <v/>
      </c>
      <c r="G29" s="15" t="str">
        <f aca="false">IF(OR($A29="",$B29=""),"",D29-F29)</f>
        <v/>
      </c>
      <c r="H29" s="15" t="str">
        <f aca="false">IF(OR($A29="",$B29=""),"",SUMIFS('CHI TIẾT HÀNG'!$L$5:$L$1004,'CHI TIẾT HÀNG'!$A$5:$A$1004,$A29,'CHI TIẾT HÀNG'!$C$5:$C$1004,$B29,'CHI TIẾT HÀNG'!$D$5:$D$1004,"Trả lại"))</f>
        <v/>
      </c>
      <c r="I29" s="15" t="str">
        <f aca="false">IF(OR($A29="",$B29=""),"",H29-ROUND(H29*E29,0))</f>
        <v/>
      </c>
      <c r="J29" s="16" t="str">
        <f aca="false">IF(OR($A29="",$B29=""),"",C29+G29-I29)</f>
        <v/>
      </c>
      <c r="K29" s="15" t="str">
        <f aca="false">IF(OR($A29="",$B29=""),"",SUMIFS('THANH TOÁN'!$D$5:$D$404,'THANH TOÁN'!$A$5:$A$404,$A29,'THANH TOÁN'!$C$5:$C$404,$B29))</f>
        <v/>
      </c>
      <c r="L29" s="32" t="str">
        <f aca="false">IF(OR($A29="",$B29=""),"",J29-K29)</f>
        <v/>
      </c>
      <c r="M29" s="30"/>
      <c r="N29" s="15" t="str">
        <f aca="false">IF(OR($A29="",M29=""),"",L29-M29)</f>
        <v/>
      </c>
      <c r="O29" s="33"/>
    </row>
    <row r="30" customFormat="false" ht="15" hidden="false" customHeight="false" outlineLevel="0" collapsed="false">
      <c r="A30" s="19"/>
      <c r="B30" s="29"/>
      <c r="C30" s="15" t="str">
        <f aca="false">IF(OR($A30="",$B30=""),"",SUMIFS('SỔ CÔNG NỢ'!$L$5:$L$51,'SỔ CÔNG NỢ'!$A$5:$A$51,$A30,'SỔ CÔNG NỢ'!$B$5:$B$51,EDATE($B30,-1)))</f>
        <v/>
      </c>
      <c r="D30" s="15" t="str">
        <f aca="false">IF(OR($A30="",$B30=""),"",SUMIFS('CHI TIẾT HÀNG'!$L$5:$L$1004,'CHI TIẾT HÀNG'!$A$5:$A$1004,$A30,'CHI TIẾT HÀNG'!$C$5:$C$1004,$B30,'CHI TIẾT HÀNG'!$D$5:$D$1004,"Bán"))</f>
        <v/>
      </c>
      <c r="E30" s="31"/>
      <c r="F30" s="15" t="str">
        <f aca="false">IF(OR($A30="",$B30=""),"",ROUND(D30*E30,0))</f>
        <v/>
      </c>
      <c r="G30" s="15" t="str">
        <f aca="false">IF(OR($A30="",$B30=""),"",D30-F30)</f>
        <v/>
      </c>
      <c r="H30" s="15" t="str">
        <f aca="false">IF(OR($A30="",$B30=""),"",SUMIFS('CHI TIẾT HÀNG'!$L$5:$L$1004,'CHI TIẾT HÀNG'!$A$5:$A$1004,$A30,'CHI TIẾT HÀNG'!$C$5:$C$1004,$B30,'CHI TIẾT HÀNG'!$D$5:$D$1004,"Trả lại"))</f>
        <v/>
      </c>
      <c r="I30" s="15" t="str">
        <f aca="false">IF(OR($A30="",$B30=""),"",H30-ROUND(H30*E30,0))</f>
        <v/>
      </c>
      <c r="J30" s="16" t="str">
        <f aca="false">IF(OR($A30="",$B30=""),"",C30+G30-I30)</f>
        <v/>
      </c>
      <c r="K30" s="15" t="str">
        <f aca="false">IF(OR($A30="",$B30=""),"",SUMIFS('THANH TOÁN'!$D$5:$D$404,'THANH TOÁN'!$A$5:$A$404,$A30,'THANH TOÁN'!$C$5:$C$404,$B30))</f>
        <v/>
      </c>
      <c r="L30" s="32" t="str">
        <f aca="false">IF(OR($A30="",$B30=""),"",J30-K30)</f>
        <v/>
      </c>
      <c r="M30" s="30"/>
      <c r="N30" s="15" t="str">
        <f aca="false">IF(OR($A30="",M30=""),"",L30-M30)</f>
        <v/>
      </c>
      <c r="O30" s="33"/>
    </row>
    <row r="31" customFormat="false" ht="15" hidden="false" customHeight="false" outlineLevel="0" collapsed="false">
      <c r="A31" s="19"/>
      <c r="B31" s="29"/>
      <c r="C31" s="15" t="str">
        <f aca="false">IF(OR($A31="",$B31=""),"",SUMIFS('SỔ CÔNG NỢ'!$L$5:$L$51,'SỔ CÔNG NỢ'!$A$5:$A$51,$A31,'SỔ CÔNG NỢ'!$B$5:$B$51,EDATE($B31,-1)))</f>
        <v/>
      </c>
      <c r="D31" s="15" t="str">
        <f aca="false">IF(OR($A31="",$B31=""),"",SUMIFS('CHI TIẾT HÀNG'!$L$5:$L$1004,'CHI TIẾT HÀNG'!$A$5:$A$1004,$A31,'CHI TIẾT HÀNG'!$C$5:$C$1004,$B31,'CHI TIẾT HÀNG'!$D$5:$D$1004,"Bán"))</f>
        <v/>
      </c>
      <c r="E31" s="31"/>
      <c r="F31" s="15" t="str">
        <f aca="false">IF(OR($A31="",$B31=""),"",ROUND(D31*E31,0))</f>
        <v/>
      </c>
      <c r="G31" s="15" t="str">
        <f aca="false">IF(OR($A31="",$B31=""),"",D31-F31)</f>
        <v/>
      </c>
      <c r="H31" s="15" t="str">
        <f aca="false">IF(OR($A31="",$B31=""),"",SUMIFS('CHI TIẾT HÀNG'!$L$5:$L$1004,'CHI TIẾT HÀNG'!$A$5:$A$1004,$A31,'CHI TIẾT HÀNG'!$C$5:$C$1004,$B31,'CHI TIẾT HÀNG'!$D$5:$D$1004,"Trả lại"))</f>
        <v/>
      </c>
      <c r="I31" s="15" t="str">
        <f aca="false">IF(OR($A31="",$B31=""),"",H31-ROUND(H31*E31,0))</f>
        <v/>
      </c>
      <c r="J31" s="16" t="str">
        <f aca="false">IF(OR($A31="",$B31=""),"",C31+G31-I31)</f>
        <v/>
      </c>
      <c r="K31" s="15" t="str">
        <f aca="false">IF(OR($A31="",$B31=""),"",SUMIFS('THANH TOÁN'!$D$5:$D$404,'THANH TOÁN'!$A$5:$A$404,$A31,'THANH TOÁN'!$C$5:$C$404,$B31))</f>
        <v/>
      </c>
      <c r="L31" s="32" t="str">
        <f aca="false">IF(OR($A31="",$B31=""),"",J31-K31)</f>
        <v/>
      </c>
      <c r="M31" s="30"/>
      <c r="N31" s="15" t="str">
        <f aca="false">IF(OR($A31="",M31=""),"",L31-M31)</f>
        <v/>
      </c>
      <c r="O31" s="33"/>
    </row>
    <row r="32" customFormat="false" ht="15" hidden="false" customHeight="false" outlineLevel="0" collapsed="false">
      <c r="A32" s="19"/>
      <c r="B32" s="29"/>
      <c r="C32" s="15" t="str">
        <f aca="false">IF(OR($A32="",$B32=""),"",SUMIFS('SỔ CÔNG NỢ'!$L$5:$L$51,'SỔ CÔNG NỢ'!$A$5:$A$51,$A32,'SỔ CÔNG NỢ'!$B$5:$B$51,EDATE($B32,-1)))</f>
        <v/>
      </c>
      <c r="D32" s="15" t="str">
        <f aca="false">IF(OR($A32="",$B32=""),"",SUMIFS('CHI TIẾT HÀNG'!$L$5:$L$1004,'CHI TIẾT HÀNG'!$A$5:$A$1004,$A32,'CHI TIẾT HÀNG'!$C$5:$C$1004,$B32,'CHI TIẾT HÀNG'!$D$5:$D$1004,"Bán"))</f>
        <v/>
      </c>
      <c r="E32" s="31"/>
      <c r="F32" s="15" t="str">
        <f aca="false">IF(OR($A32="",$B32=""),"",ROUND(D32*E32,0))</f>
        <v/>
      </c>
      <c r="G32" s="15" t="str">
        <f aca="false">IF(OR($A32="",$B32=""),"",D32-F32)</f>
        <v/>
      </c>
      <c r="H32" s="15" t="str">
        <f aca="false">IF(OR($A32="",$B32=""),"",SUMIFS('CHI TIẾT HÀNG'!$L$5:$L$1004,'CHI TIẾT HÀNG'!$A$5:$A$1004,$A32,'CHI TIẾT HÀNG'!$C$5:$C$1004,$B32,'CHI TIẾT HÀNG'!$D$5:$D$1004,"Trả lại"))</f>
        <v/>
      </c>
      <c r="I32" s="15" t="str">
        <f aca="false">IF(OR($A32="",$B32=""),"",H32-ROUND(H32*E32,0))</f>
        <v/>
      </c>
      <c r="J32" s="16" t="str">
        <f aca="false">IF(OR($A32="",$B32=""),"",C32+G32-I32)</f>
        <v/>
      </c>
      <c r="K32" s="15" t="str">
        <f aca="false">IF(OR($A32="",$B32=""),"",SUMIFS('THANH TOÁN'!$D$5:$D$404,'THANH TOÁN'!$A$5:$A$404,$A32,'THANH TOÁN'!$C$5:$C$404,$B32))</f>
        <v/>
      </c>
      <c r="L32" s="32" t="str">
        <f aca="false">IF(OR($A32="",$B32=""),"",J32-K32)</f>
        <v/>
      </c>
      <c r="M32" s="30"/>
      <c r="N32" s="15" t="str">
        <f aca="false">IF(OR($A32="",M32=""),"",L32-M32)</f>
        <v/>
      </c>
      <c r="O32" s="33"/>
    </row>
    <row r="33" customFormat="false" ht="15" hidden="false" customHeight="false" outlineLevel="0" collapsed="false">
      <c r="A33" s="19"/>
      <c r="B33" s="29"/>
      <c r="C33" s="15" t="str">
        <f aca="false">IF(OR($A33="",$B33=""),"",SUMIFS('SỔ CÔNG NỢ'!$L$5:$L$51,'SỔ CÔNG NỢ'!$A$5:$A$51,$A33,'SỔ CÔNG NỢ'!$B$5:$B$51,EDATE($B33,-1)))</f>
        <v/>
      </c>
      <c r="D33" s="15" t="str">
        <f aca="false">IF(OR($A33="",$B33=""),"",SUMIFS('CHI TIẾT HÀNG'!$L$5:$L$1004,'CHI TIẾT HÀNG'!$A$5:$A$1004,$A33,'CHI TIẾT HÀNG'!$C$5:$C$1004,$B33,'CHI TIẾT HÀNG'!$D$5:$D$1004,"Bán"))</f>
        <v/>
      </c>
      <c r="E33" s="31"/>
      <c r="F33" s="15" t="str">
        <f aca="false">IF(OR($A33="",$B33=""),"",ROUND(D33*E33,0))</f>
        <v/>
      </c>
      <c r="G33" s="15" t="str">
        <f aca="false">IF(OR($A33="",$B33=""),"",D33-F33)</f>
        <v/>
      </c>
      <c r="H33" s="15" t="str">
        <f aca="false">IF(OR($A33="",$B33=""),"",SUMIFS('CHI TIẾT HÀNG'!$L$5:$L$1004,'CHI TIẾT HÀNG'!$A$5:$A$1004,$A33,'CHI TIẾT HÀNG'!$C$5:$C$1004,$B33,'CHI TIẾT HÀNG'!$D$5:$D$1004,"Trả lại"))</f>
        <v/>
      </c>
      <c r="I33" s="15" t="str">
        <f aca="false">IF(OR($A33="",$B33=""),"",H33-ROUND(H33*E33,0))</f>
        <v/>
      </c>
      <c r="J33" s="16" t="str">
        <f aca="false">IF(OR($A33="",$B33=""),"",C33+G33-I33)</f>
        <v/>
      </c>
      <c r="K33" s="15" t="str">
        <f aca="false">IF(OR($A33="",$B33=""),"",SUMIFS('THANH TOÁN'!$D$5:$D$404,'THANH TOÁN'!$A$5:$A$404,$A33,'THANH TOÁN'!$C$5:$C$404,$B33))</f>
        <v/>
      </c>
      <c r="L33" s="32" t="str">
        <f aca="false">IF(OR($A33="",$B33=""),"",J33-K33)</f>
        <v/>
      </c>
      <c r="M33" s="30"/>
      <c r="N33" s="15" t="str">
        <f aca="false">IF(OR($A33="",M33=""),"",L33-M33)</f>
        <v/>
      </c>
      <c r="O33" s="33"/>
    </row>
    <row r="34" customFormat="false" ht="15" hidden="false" customHeight="false" outlineLevel="0" collapsed="false">
      <c r="A34" s="19"/>
      <c r="B34" s="29"/>
      <c r="C34" s="15" t="str">
        <f aca="false">IF(OR($A34="",$B34=""),"",SUMIFS('SỔ CÔNG NỢ'!$L$5:$L$51,'SỔ CÔNG NỢ'!$A$5:$A$51,$A34,'SỔ CÔNG NỢ'!$B$5:$B$51,EDATE($B34,-1)))</f>
        <v/>
      </c>
      <c r="D34" s="15" t="str">
        <f aca="false">IF(OR($A34="",$B34=""),"",SUMIFS('CHI TIẾT HÀNG'!$L$5:$L$1004,'CHI TIẾT HÀNG'!$A$5:$A$1004,$A34,'CHI TIẾT HÀNG'!$C$5:$C$1004,$B34,'CHI TIẾT HÀNG'!$D$5:$D$1004,"Bán"))</f>
        <v/>
      </c>
      <c r="E34" s="31"/>
      <c r="F34" s="15" t="str">
        <f aca="false">IF(OR($A34="",$B34=""),"",ROUND(D34*E34,0))</f>
        <v/>
      </c>
      <c r="G34" s="15" t="str">
        <f aca="false">IF(OR($A34="",$B34=""),"",D34-F34)</f>
        <v/>
      </c>
      <c r="H34" s="15" t="str">
        <f aca="false">IF(OR($A34="",$B34=""),"",SUMIFS('CHI TIẾT HÀNG'!$L$5:$L$1004,'CHI TIẾT HÀNG'!$A$5:$A$1004,$A34,'CHI TIẾT HÀNG'!$C$5:$C$1004,$B34,'CHI TIẾT HÀNG'!$D$5:$D$1004,"Trả lại"))</f>
        <v/>
      </c>
      <c r="I34" s="15" t="str">
        <f aca="false">IF(OR($A34="",$B34=""),"",H34-ROUND(H34*E34,0))</f>
        <v/>
      </c>
      <c r="J34" s="16" t="str">
        <f aca="false">IF(OR($A34="",$B34=""),"",C34+G34-I34)</f>
        <v/>
      </c>
      <c r="K34" s="15" t="str">
        <f aca="false">IF(OR($A34="",$B34=""),"",SUMIFS('THANH TOÁN'!$D$5:$D$404,'THANH TOÁN'!$A$5:$A$404,$A34,'THANH TOÁN'!$C$5:$C$404,$B34))</f>
        <v/>
      </c>
      <c r="L34" s="32" t="str">
        <f aca="false">IF(OR($A34="",$B34=""),"",J34-K34)</f>
        <v/>
      </c>
      <c r="M34" s="30"/>
      <c r="N34" s="15" t="str">
        <f aca="false">IF(OR($A34="",M34=""),"",L34-M34)</f>
        <v/>
      </c>
      <c r="O34" s="33"/>
    </row>
    <row r="35" customFormat="false" ht="15" hidden="false" customHeight="false" outlineLevel="0" collapsed="false">
      <c r="A35" s="19"/>
      <c r="B35" s="29"/>
      <c r="C35" s="15" t="str">
        <f aca="false">IF(OR($A35="",$B35=""),"",SUMIFS('SỔ CÔNG NỢ'!$L$5:$L$51,'SỔ CÔNG NỢ'!$A$5:$A$51,$A35,'SỔ CÔNG NỢ'!$B$5:$B$51,EDATE($B35,-1)))</f>
        <v/>
      </c>
      <c r="D35" s="15" t="str">
        <f aca="false">IF(OR($A35="",$B35=""),"",SUMIFS('CHI TIẾT HÀNG'!$L$5:$L$1004,'CHI TIẾT HÀNG'!$A$5:$A$1004,$A35,'CHI TIẾT HÀNG'!$C$5:$C$1004,$B35,'CHI TIẾT HÀNG'!$D$5:$D$1004,"Bán"))</f>
        <v/>
      </c>
      <c r="E35" s="31"/>
      <c r="F35" s="15" t="str">
        <f aca="false">IF(OR($A35="",$B35=""),"",ROUND(D35*E35,0))</f>
        <v/>
      </c>
      <c r="G35" s="15" t="str">
        <f aca="false">IF(OR($A35="",$B35=""),"",D35-F35)</f>
        <v/>
      </c>
      <c r="H35" s="15" t="str">
        <f aca="false">IF(OR($A35="",$B35=""),"",SUMIFS('CHI TIẾT HÀNG'!$L$5:$L$1004,'CHI TIẾT HÀNG'!$A$5:$A$1004,$A35,'CHI TIẾT HÀNG'!$C$5:$C$1004,$B35,'CHI TIẾT HÀNG'!$D$5:$D$1004,"Trả lại"))</f>
        <v/>
      </c>
      <c r="I35" s="15" t="str">
        <f aca="false">IF(OR($A35="",$B35=""),"",H35-ROUND(H35*E35,0))</f>
        <v/>
      </c>
      <c r="J35" s="16" t="str">
        <f aca="false">IF(OR($A35="",$B35=""),"",C35+G35-I35)</f>
        <v/>
      </c>
      <c r="K35" s="15" t="str">
        <f aca="false">IF(OR($A35="",$B35=""),"",SUMIFS('THANH TOÁN'!$D$5:$D$404,'THANH TOÁN'!$A$5:$A$404,$A35,'THANH TOÁN'!$C$5:$C$404,$B35))</f>
        <v/>
      </c>
      <c r="L35" s="32" t="str">
        <f aca="false">IF(OR($A35="",$B35=""),"",J35-K35)</f>
        <v/>
      </c>
      <c r="M35" s="30"/>
      <c r="N35" s="15" t="str">
        <f aca="false">IF(OR($A35="",M35=""),"",L35-M35)</f>
        <v/>
      </c>
      <c r="O35" s="33"/>
    </row>
    <row r="36" customFormat="false" ht="15" hidden="false" customHeight="false" outlineLevel="0" collapsed="false">
      <c r="A36" s="19"/>
      <c r="B36" s="29"/>
      <c r="C36" s="15" t="str">
        <f aca="false">IF(OR($A36="",$B36=""),"",SUMIFS('SỔ CÔNG NỢ'!$L$5:$L$51,'SỔ CÔNG NỢ'!$A$5:$A$51,$A36,'SỔ CÔNG NỢ'!$B$5:$B$51,EDATE($B36,-1)))</f>
        <v/>
      </c>
      <c r="D36" s="15" t="str">
        <f aca="false">IF(OR($A36="",$B36=""),"",SUMIFS('CHI TIẾT HÀNG'!$L$5:$L$1004,'CHI TIẾT HÀNG'!$A$5:$A$1004,$A36,'CHI TIẾT HÀNG'!$C$5:$C$1004,$B36,'CHI TIẾT HÀNG'!$D$5:$D$1004,"Bán"))</f>
        <v/>
      </c>
      <c r="E36" s="31"/>
      <c r="F36" s="15" t="str">
        <f aca="false">IF(OR($A36="",$B36=""),"",ROUND(D36*E36,0))</f>
        <v/>
      </c>
      <c r="G36" s="15" t="str">
        <f aca="false">IF(OR($A36="",$B36=""),"",D36-F36)</f>
        <v/>
      </c>
      <c r="H36" s="15" t="str">
        <f aca="false">IF(OR($A36="",$B36=""),"",SUMIFS('CHI TIẾT HÀNG'!$L$5:$L$1004,'CHI TIẾT HÀNG'!$A$5:$A$1004,$A36,'CHI TIẾT HÀNG'!$C$5:$C$1004,$B36,'CHI TIẾT HÀNG'!$D$5:$D$1004,"Trả lại"))</f>
        <v/>
      </c>
      <c r="I36" s="15" t="str">
        <f aca="false">IF(OR($A36="",$B36=""),"",H36-ROUND(H36*E36,0))</f>
        <v/>
      </c>
      <c r="J36" s="16" t="str">
        <f aca="false">IF(OR($A36="",$B36=""),"",C36+G36-I36)</f>
        <v/>
      </c>
      <c r="K36" s="15" t="str">
        <f aca="false">IF(OR($A36="",$B36=""),"",SUMIFS('THANH TOÁN'!$D$5:$D$404,'THANH TOÁN'!$A$5:$A$404,$A36,'THANH TOÁN'!$C$5:$C$404,$B36))</f>
        <v/>
      </c>
      <c r="L36" s="32" t="str">
        <f aca="false">IF(OR($A36="",$B36=""),"",J36-K36)</f>
        <v/>
      </c>
      <c r="M36" s="30"/>
      <c r="N36" s="15" t="str">
        <f aca="false">IF(OR($A36="",M36=""),"",L36-M36)</f>
        <v/>
      </c>
      <c r="O36" s="33"/>
    </row>
    <row r="37" customFormat="false" ht="15" hidden="false" customHeight="false" outlineLevel="0" collapsed="false">
      <c r="A37" s="19"/>
      <c r="B37" s="29"/>
      <c r="C37" s="15" t="str">
        <f aca="false">IF(OR($A37="",$B37=""),"",SUMIFS('SỔ CÔNG NỢ'!$L$5:$L$51,'SỔ CÔNG NỢ'!$A$5:$A$51,$A37,'SỔ CÔNG NỢ'!$B$5:$B$51,EDATE($B37,-1)))</f>
        <v/>
      </c>
      <c r="D37" s="15" t="str">
        <f aca="false">IF(OR($A37="",$B37=""),"",SUMIFS('CHI TIẾT HÀNG'!$L$5:$L$1004,'CHI TIẾT HÀNG'!$A$5:$A$1004,$A37,'CHI TIẾT HÀNG'!$C$5:$C$1004,$B37,'CHI TIẾT HÀNG'!$D$5:$D$1004,"Bán"))</f>
        <v/>
      </c>
      <c r="E37" s="31"/>
      <c r="F37" s="15" t="str">
        <f aca="false">IF(OR($A37="",$B37=""),"",ROUND(D37*E37,0))</f>
        <v/>
      </c>
      <c r="G37" s="15" t="str">
        <f aca="false">IF(OR($A37="",$B37=""),"",D37-F37)</f>
        <v/>
      </c>
      <c r="H37" s="15" t="str">
        <f aca="false">IF(OR($A37="",$B37=""),"",SUMIFS('CHI TIẾT HÀNG'!$L$5:$L$1004,'CHI TIẾT HÀNG'!$A$5:$A$1004,$A37,'CHI TIẾT HÀNG'!$C$5:$C$1004,$B37,'CHI TIẾT HÀNG'!$D$5:$D$1004,"Trả lại"))</f>
        <v/>
      </c>
      <c r="I37" s="15" t="str">
        <f aca="false">IF(OR($A37="",$B37=""),"",H37-ROUND(H37*E37,0))</f>
        <v/>
      </c>
      <c r="J37" s="16" t="str">
        <f aca="false">IF(OR($A37="",$B37=""),"",C37+G37-I37)</f>
        <v/>
      </c>
      <c r="K37" s="15" t="str">
        <f aca="false">IF(OR($A37="",$B37=""),"",SUMIFS('THANH TOÁN'!$D$5:$D$404,'THANH TOÁN'!$A$5:$A$404,$A37,'THANH TOÁN'!$C$5:$C$404,$B37))</f>
        <v/>
      </c>
      <c r="L37" s="32" t="str">
        <f aca="false">IF(OR($A37="",$B37=""),"",J37-K37)</f>
        <v/>
      </c>
      <c r="M37" s="30"/>
      <c r="N37" s="15" t="str">
        <f aca="false">IF(OR($A37="",M37=""),"",L37-M37)</f>
        <v/>
      </c>
      <c r="O37" s="33"/>
    </row>
    <row r="38" customFormat="false" ht="15" hidden="false" customHeight="false" outlineLevel="0" collapsed="false">
      <c r="A38" s="19"/>
      <c r="B38" s="29"/>
      <c r="C38" s="15" t="str">
        <f aca="false">IF(OR($A38="",$B38=""),"",SUMIFS('SỔ CÔNG NỢ'!$L$5:$L$51,'SỔ CÔNG NỢ'!$A$5:$A$51,$A38,'SỔ CÔNG NỢ'!$B$5:$B$51,EDATE($B38,-1)))</f>
        <v/>
      </c>
      <c r="D38" s="15" t="str">
        <f aca="false">IF(OR($A38="",$B38=""),"",SUMIFS('CHI TIẾT HÀNG'!$L$5:$L$1004,'CHI TIẾT HÀNG'!$A$5:$A$1004,$A38,'CHI TIẾT HÀNG'!$C$5:$C$1004,$B38,'CHI TIẾT HÀNG'!$D$5:$D$1004,"Bán"))</f>
        <v/>
      </c>
      <c r="E38" s="31"/>
      <c r="F38" s="15" t="str">
        <f aca="false">IF(OR($A38="",$B38=""),"",ROUND(D38*E38,0))</f>
        <v/>
      </c>
      <c r="G38" s="15" t="str">
        <f aca="false">IF(OR($A38="",$B38=""),"",D38-F38)</f>
        <v/>
      </c>
      <c r="H38" s="15" t="str">
        <f aca="false">IF(OR($A38="",$B38=""),"",SUMIFS('CHI TIẾT HÀNG'!$L$5:$L$1004,'CHI TIẾT HÀNG'!$A$5:$A$1004,$A38,'CHI TIẾT HÀNG'!$C$5:$C$1004,$B38,'CHI TIẾT HÀNG'!$D$5:$D$1004,"Trả lại"))</f>
        <v/>
      </c>
      <c r="I38" s="15" t="str">
        <f aca="false">IF(OR($A38="",$B38=""),"",H38-ROUND(H38*E38,0))</f>
        <v/>
      </c>
      <c r="J38" s="16" t="str">
        <f aca="false">IF(OR($A38="",$B38=""),"",C38+G38-I38)</f>
        <v/>
      </c>
      <c r="K38" s="15" t="str">
        <f aca="false">IF(OR($A38="",$B38=""),"",SUMIFS('THANH TOÁN'!$D$5:$D$404,'THANH TOÁN'!$A$5:$A$404,$A38,'THANH TOÁN'!$C$5:$C$404,$B38))</f>
        <v/>
      </c>
      <c r="L38" s="32" t="str">
        <f aca="false">IF(OR($A38="",$B38=""),"",J38-K38)</f>
        <v/>
      </c>
      <c r="M38" s="30"/>
      <c r="N38" s="15" t="str">
        <f aca="false">IF(OR($A38="",M38=""),"",L38-M38)</f>
        <v/>
      </c>
      <c r="O38" s="33"/>
    </row>
    <row r="39" customFormat="false" ht="15" hidden="false" customHeight="false" outlineLevel="0" collapsed="false">
      <c r="A39" s="19"/>
      <c r="B39" s="29"/>
      <c r="C39" s="15" t="str">
        <f aca="false">IF(OR($A39="",$B39=""),"",SUMIFS('SỔ CÔNG NỢ'!$L$5:$L$51,'SỔ CÔNG NỢ'!$A$5:$A$51,$A39,'SỔ CÔNG NỢ'!$B$5:$B$51,EDATE($B39,-1)))</f>
        <v/>
      </c>
      <c r="D39" s="15" t="str">
        <f aca="false">IF(OR($A39="",$B39=""),"",SUMIFS('CHI TIẾT HÀNG'!$L$5:$L$1004,'CHI TIẾT HÀNG'!$A$5:$A$1004,$A39,'CHI TIẾT HÀNG'!$C$5:$C$1004,$B39,'CHI TIẾT HÀNG'!$D$5:$D$1004,"Bán"))</f>
        <v/>
      </c>
      <c r="E39" s="31"/>
      <c r="F39" s="15" t="str">
        <f aca="false">IF(OR($A39="",$B39=""),"",ROUND(D39*E39,0))</f>
        <v/>
      </c>
      <c r="G39" s="15" t="str">
        <f aca="false">IF(OR($A39="",$B39=""),"",D39-F39)</f>
        <v/>
      </c>
      <c r="H39" s="15" t="str">
        <f aca="false">IF(OR($A39="",$B39=""),"",SUMIFS('CHI TIẾT HÀNG'!$L$5:$L$1004,'CHI TIẾT HÀNG'!$A$5:$A$1004,$A39,'CHI TIẾT HÀNG'!$C$5:$C$1004,$B39,'CHI TIẾT HÀNG'!$D$5:$D$1004,"Trả lại"))</f>
        <v/>
      </c>
      <c r="I39" s="15" t="str">
        <f aca="false">IF(OR($A39="",$B39=""),"",H39-ROUND(H39*E39,0))</f>
        <v/>
      </c>
      <c r="J39" s="16" t="str">
        <f aca="false">IF(OR($A39="",$B39=""),"",C39+G39-I39)</f>
        <v/>
      </c>
      <c r="K39" s="15" t="str">
        <f aca="false">IF(OR($A39="",$B39=""),"",SUMIFS('THANH TOÁN'!$D$5:$D$404,'THANH TOÁN'!$A$5:$A$404,$A39,'THANH TOÁN'!$C$5:$C$404,$B39))</f>
        <v/>
      </c>
      <c r="L39" s="32" t="str">
        <f aca="false">IF(OR($A39="",$B39=""),"",J39-K39)</f>
        <v/>
      </c>
      <c r="M39" s="30"/>
      <c r="N39" s="15" t="str">
        <f aca="false">IF(OR($A39="",M39=""),"",L39-M39)</f>
        <v/>
      </c>
      <c r="O39" s="33"/>
    </row>
    <row r="40" customFormat="false" ht="15" hidden="false" customHeight="false" outlineLevel="0" collapsed="false">
      <c r="A40" s="19"/>
      <c r="B40" s="29"/>
      <c r="C40" s="15" t="str">
        <f aca="false">IF(OR($A40="",$B40=""),"",SUMIFS('SỔ CÔNG NỢ'!$L$5:$L$51,'SỔ CÔNG NỢ'!$A$5:$A$51,$A40,'SỔ CÔNG NỢ'!$B$5:$B$51,EDATE($B40,-1)))</f>
        <v/>
      </c>
      <c r="D40" s="15" t="str">
        <f aca="false">IF(OR($A40="",$B40=""),"",SUMIFS('CHI TIẾT HÀNG'!$L$5:$L$1004,'CHI TIẾT HÀNG'!$A$5:$A$1004,$A40,'CHI TIẾT HÀNG'!$C$5:$C$1004,$B40,'CHI TIẾT HÀNG'!$D$5:$D$1004,"Bán"))</f>
        <v/>
      </c>
      <c r="E40" s="31"/>
      <c r="F40" s="15" t="str">
        <f aca="false">IF(OR($A40="",$B40=""),"",ROUND(D40*E40,0))</f>
        <v/>
      </c>
      <c r="G40" s="15" t="str">
        <f aca="false">IF(OR($A40="",$B40=""),"",D40-F40)</f>
        <v/>
      </c>
      <c r="H40" s="15" t="str">
        <f aca="false">IF(OR($A40="",$B40=""),"",SUMIFS('CHI TIẾT HÀNG'!$L$5:$L$1004,'CHI TIẾT HÀNG'!$A$5:$A$1004,$A40,'CHI TIẾT HÀNG'!$C$5:$C$1004,$B40,'CHI TIẾT HÀNG'!$D$5:$D$1004,"Trả lại"))</f>
        <v/>
      </c>
      <c r="I40" s="15" t="str">
        <f aca="false">IF(OR($A40="",$B40=""),"",H40-ROUND(H40*E40,0))</f>
        <v/>
      </c>
      <c r="J40" s="16" t="str">
        <f aca="false">IF(OR($A40="",$B40=""),"",C40+G40-I40)</f>
        <v/>
      </c>
      <c r="K40" s="15" t="str">
        <f aca="false">IF(OR($A40="",$B40=""),"",SUMIFS('THANH TOÁN'!$D$5:$D$404,'THANH TOÁN'!$A$5:$A$404,$A40,'THANH TOÁN'!$C$5:$C$404,$B40))</f>
        <v/>
      </c>
      <c r="L40" s="32" t="str">
        <f aca="false">IF(OR($A40="",$B40=""),"",J40-K40)</f>
        <v/>
      </c>
      <c r="M40" s="30"/>
      <c r="N40" s="15" t="str">
        <f aca="false">IF(OR($A40="",M40=""),"",L40-M40)</f>
        <v/>
      </c>
      <c r="O40" s="33"/>
    </row>
    <row r="41" customFormat="false" ht="15" hidden="false" customHeight="false" outlineLevel="0" collapsed="false">
      <c r="A41" s="19"/>
      <c r="B41" s="29"/>
      <c r="C41" s="15" t="str">
        <f aca="false">IF(OR($A41="",$B41=""),"",SUMIFS('SỔ CÔNG NỢ'!$L$5:$L$51,'SỔ CÔNG NỢ'!$A$5:$A$51,$A41,'SỔ CÔNG NỢ'!$B$5:$B$51,EDATE($B41,-1)))</f>
        <v/>
      </c>
      <c r="D41" s="15" t="str">
        <f aca="false">IF(OR($A41="",$B41=""),"",SUMIFS('CHI TIẾT HÀNG'!$L$5:$L$1004,'CHI TIẾT HÀNG'!$A$5:$A$1004,$A41,'CHI TIẾT HÀNG'!$C$5:$C$1004,$B41,'CHI TIẾT HÀNG'!$D$5:$D$1004,"Bán"))</f>
        <v/>
      </c>
      <c r="E41" s="31"/>
      <c r="F41" s="15" t="str">
        <f aca="false">IF(OR($A41="",$B41=""),"",ROUND(D41*E41,0))</f>
        <v/>
      </c>
      <c r="G41" s="15" t="str">
        <f aca="false">IF(OR($A41="",$B41=""),"",D41-F41)</f>
        <v/>
      </c>
      <c r="H41" s="15" t="str">
        <f aca="false">IF(OR($A41="",$B41=""),"",SUMIFS('CHI TIẾT HÀNG'!$L$5:$L$1004,'CHI TIẾT HÀNG'!$A$5:$A$1004,$A41,'CHI TIẾT HÀNG'!$C$5:$C$1004,$B41,'CHI TIẾT HÀNG'!$D$5:$D$1004,"Trả lại"))</f>
        <v/>
      </c>
      <c r="I41" s="15" t="str">
        <f aca="false">IF(OR($A41="",$B41=""),"",H41-ROUND(H41*E41,0))</f>
        <v/>
      </c>
      <c r="J41" s="16" t="str">
        <f aca="false">IF(OR($A41="",$B41=""),"",C41+G41-I41)</f>
        <v/>
      </c>
      <c r="K41" s="15" t="str">
        <f aca="false">IF(OR($A41="",$B41=""),"",SUMIFS('THANH TOÁN'!$D$5:$D$404,'THANH TOÁN'!$A$5:$A$404,$A41,'THANH TOÁN'!$C$5:$C$404,$B41))</f>
        <v/>
      </c>
      <c r="L41" s="32" t="str">
        <f aca="false">IF(OR($A41="",$B41=""),"",J41-K41)</f>
        <v/>
      </c>
      <c r="M41" s="30"/>
      <c r="N41" s="15" t="str">
        <f aca="false">IF(OR($A41="",M41=""),"",L41-M41)</f>
        <v/>
      </c>
      <c r="O41" s="33"/>
    </row>
    <row r="42" customFormat="false" ht="15" hidden="false" customHeight="false" outlineLevel="0" collapsed="false">
      <c r="A42" s="19"/>
      <c r="B42" s="29"/>
      <c r="C42" s="15" t="str">
        <f aca="false">IF(OR($A42="",$B42=""),"",SUMIFS('SỔ CÔNG NỢ'!$L$5:$L$51,'SỔ CÔNG NỢ'!$A$5:$A$51,$A42,'SỔ CÔNG NỢ'!$B$5:$B$51,EDATE($B42,-1)))</f>
        <v/>
      </c>
      <c r="D42" s="15" t="str">
        <f aca="false">IF(OR($A42="",$B42=""),"",SUMIFS('CHI TIẾT HÀNG'!$L$5:$L$1004,'CHI TIẾT HÀNG'!$A$5:$A$1004,$A42,'CHI TIẾT HÀNG'!$C$5:$C$1004,$B42,'CHI TIẾT HÀNG'!$D$5:$D$1004,"Bán"))</f>
        <v/>
      </c>
      <c r="E42" s="31"/>
      <c r="F42" s="15" t="str">
        <f aca="false">IF(OR($A42="",$B42=""),"",ROUND(D42*E42,0))</f>
        <v/>
      </c>
      <c r="G42" s="15" t="str">
        <f aca="false">IF(OR($A42="",$B42=""),"",D42-F42)</f>
        <v/>
      </c>
      <c r="H42" s="15" t="str">
        <f aca="false">IF(OR($A42="",$B42=""),"",SUMIFS('CHI TIẾT HÀNG'!$L$5:$L$1004,'CHI TIẾT HÀNG'!$A$5:$A$1004,$A42,'CHI TIẾT HÀNG'!$C$5:$C$1004,$B42,'CHI TIẾT HÀNG'!$D$5:$D$1004,"Trả lại"))</f>
        <v/>
      </c>
      <c r="I42" s="15" t="str">
        <f aca="false">IF(OR($A42="",$B42=""),"",H42-ROUND(H42*E42,0))</f>
        <v/>
      </c>
      <c r="J42" s="16" t="str">
        <f aca="false">IF(OR($A42="",$B42=""),"",C42+G42-I42)</f>
        <v/>
      </c>
      <c r="K42" s="15" t="str">
        <f aca="false">IF(OR($A42="",$B42=""),"",SUMIFS('THANH TOÁN'!$D$5:$D$404,'THANH TOÁN'!$A$5:$A$404,$A42,'THANH TOÁN'!$C$5:$C$404,$B42))</f>
        <v/>
      </c>
      <c r="L42" s="32" t="str">
        <f aca="false">IF(OR($A42="",$B42=""),"",J42-K42)</f>
        <v/>
      </c>
      <c r="M42" s="30"/>
      <c r="N42" s="15" t="str">
        <f aca="false">IF(OR($A42="",M42=""),"",L42-M42)</f>
        <v/>
      </c>
      <c r="O42" s="33"/>
    </row>
    <row r="43" customFormat="false" ht="15" hidden="false" customHeight="false" outlineLevel="0" collapsed="false">
      <c r="A43" s="19"/>
      <c r="B43" s="29"/>
      <c r="C43" s="15" t="str">
        <f aca="false">IF(OR($A43="",$B43=""),"",SUMIFS('SỔ CÔNG NỢ'!$L$5:$L$51,'SỔ CÔNG NỢ'!$A$5:$A$51,$A43,'SỔ CÔNG NỢ'!$B$5:$B$51,EDATE($B43,-1)))</f>
        <v/>
      </c>
      <c r="D43" s="15" t="str">
        <f aca="false">IF(OR($A43="",$B43=""),"",SUMIFS('CHI TIẾT HÀNG'!$L$5:$L$1004,'CHI TIẾT HÀNG'!$A$5:$A$1004,$A43,'CHI TIẾT HÀNG'!$C$5:$C$1004,$B43,'CHI TIẾT HÀNG'!$D$5:$D$1004,"Bán"))</f>
        <v/>
      </c>
      <c r="E43" s="31"/>
      <c r="F43" s="15" t="str">
        <f aca="false">IF(OR($A43="",$B43=""),"",ROUND(D43*E43,0))</f>
        <v/>
      </c>
      <c r="G43" s="15" t="str">
        <f aca="false">IF(OR($A43="",$B43=""),"",D43-F43)</f>
        <v/>
      </c>
      <c r="H43" s="15" t="str">
        <f aca="false">IF(OR($A43="",$B43=""),"",SUMIFS('CHI TIẾT HÀNG'!$L$5:$L$1004,'CHI TIẾT HÀNG'!$A$5:$A$1004,$A43,'CHI TIẾT HÀNG'!$C$5:$C$1004,$B43,'CHI TIẾT HÀNG'!$D$5:$D$1004,"Trả lại"))</f>
        <v/>
      </c>
      <c r="I43" s="15" t="str">
        <f aca="false">IF(OR($A43="",$B43=""),"",H43-ROUND(H43*E43,0))</f>
        <v/>
      </c>
      <c r="J43" s="16" t="str">
        <f aca="false">IF(OR($A43="",$B43=""),"",C43+G43-I43)</f>
        <v/>
      </c>
      <c r="K43" s="15" t="str">
        <f aca="false">IF(OR($A43="",$B43=""),"",SUMIFS('THANH TOÁN'!$D$5:$D$404,'THANH TOÁN'!$A$5:$A$404,$A43,'THANH TOÁN'!$C$5:$C$404,$B43))</f>
        <v/>
      </c>
      <c r="L43" s="32" t="str">
        <f aca="false">IF(OR($A43="",$B43=""),"",J43-K43)</f>
        <v/>
      </c>
      <c r="M43" s="30"/>
      <c r="N43" s="15" t="str">
        <f aca="false">IF(OR($A43="",M43=""),"",L43-M43)</f>
        <v/>
      </c>
      <c r="O43" s="33"/>
    </row>
    <row r="44" customFormat="false" ht="15" hidden="false" customHeight="false" outlineLevel="0" collapsed="false">
      <c r="A44" s="19"/>
      <c r="B44" s="29"/>
      <c r="C44" s="15" t="str">
        <f aca="false">IF(OR($A44="",$B44=""),"",SUMIFS('SỔ CÔNG NỢ'!$L$5:$L$51,'SỔ CÔNG NỢ'!$A$5:$A$51,$A44,'SỔ CÔNG NỢ'!$B$5:$B$51,EDATE($B44,-1)))</f>
        <v/>
      </c>
      <c r="D44" s="15" t="str">
        <f aca="false">IF(OR($A44="",$B44=""),"",SUMIFS('CHI TIẾT HÀNG'!$L$5:$L$1004,'CHI TIẾT HÀNG'!$A$5:$A$1004,$A44,'CHI TIẾT HÀNG'!$C$5:$C$1004,$B44,'CHI TIẾT HÀNG'!$D$5:$D$1004,"Bán"))</f>
        <v/>
      </c>
      <c r="E44" s="31"/>
      <c r="F44" s="15" t="str">
        <f aca="false">IF(OR($A44="",$B44=""),"",ROUND(D44*E44,0))</f>
        <v/>
      </c>
      <c r="G44" s="15" t="str">
        <f aca="false">IF(OR($A44="",$B44=""),"",D44-F44)</f>
        <v/>
      </c>
      <c r="H44" s="15" t="str">
        <f aca="false">IF(OR($A44="",$B44=""),"",SUMIFS('CHI TIẾT HÀNG'!$L$5:$L$1004,'CHI TIẾT HÀNG'!$A$5:$A$1004,$A44,'CHI TIẾT HÀNG'!$C$5:$C$1004,$B44,'CHI TIẾT HÀNG'!$D$5:$D$1004,"Trả lại"))</f>
        <v/>
      </c>
      <c r="I44" s="15" t="str">
        <f aca="false">IF(OR($A44="",$B44=""),"",H44-ROUND(H44*E44,0))</f>
        <v/>
      </c>
      <c r="J44" s="16" t="str">
        <f aca="false">IF(OR($A44="",$B44=""),"",C44+G44-I44)</f>
        <v/>
      </c>
      <c r="K44" s="15" t="str">
        <f aca="false">IF(OR($A44="",$B44=""),"",SUMIFS('THANH TOÁN'!$D$5:$D$404,'THANH TOÁN'!$A$5:$A$404,$A44,'THANH TOÁN'!$C$5:$C$404,$B44))</f>
        <v/>
      </c>
      <c r="L44" s="32" t="str">
        <f aca="false">IF(OR($A44="",$B44=""),"",J44-K44)</f>
        <v/>
      </c>
      <c r="M44" s="30"/>
      <c r="N44" s="15" t="str">
        <f aca="false">IF(OR($A44="",M44=""),"",L44-M44)</f>
        <v/>
      </c>
      <c r="O44" s="33"/>
    </row>
    <row r="45" customFormat="false" ht="15" hidden="false" customHeight="false" outlineLevel="0" collapsed="false">
      <c r="A45" s="19"/>
      <c r="B45" s="29"/>
      <c r="C45" s="15" t="str">
        <f aca="false">IF(OR($A45="",$B45=""),"",SUMIFS('SỔ CÔNG NỢ'!$L$5:$L$51,'SỔ CÔNG NỢ'!$A$5:$A$51,$A45,'SỔ CÔNG NỢ'!$B$5:$B$51,EDATE($B45,-1)))</f>
        <v/>
      </c>
      <c r="D45" s="15" t="str">
        <f aca="false">IF(OR($A45="",$B45=""),"",SUMIFS('CHI TIẾT HÀNG'!$L$5:$L$1004,'CHI TIẾT HÀNG'!$A$5:$A$1004,$A45,'CHI TIẾT HÀNG'!$C$5:$C$1004,$B45,'CHI TIẾT HÀNG'!$D$5:$D$1004,"Bán"))</f>
        <v/>
      </c>
      <c r="E45" s="31"/>
      <c r="F45" s="15" t="str">
        <f aca="false">IF(OR($A45="",$B45=""),"",ROUND(D45*E45,0))</f>
        <v/>
      </c>
      <c r="G45" s="15" t="str">
        <f aca="false">IF(OR($A45="",$B45=""),"",D45-F45)</f>
        <v/>
      </c>
      <c r="H45" s="15" t="str">
        <f aca="false">IF(OR($A45="",$B45=""),"",SUMIFS('CHI TIẾT HÀNG'!$L$5:$L$1004,'CHI TIẾT HÀNG'!$A$5:$A$1004,$A45,'CHI TIẾT HÀNG'!$C$5:$C$1004,$B45,'CHI TIẾT HÀNG'!$D$5:$D$1004,"Trả lại"))</f>
        <v/>
      </c>
      <c r="I45" s="15" t="str">
        <f aca="false">IF(OR($A45="",$B45=""),"",H45-ROUND(H45*E45,0))</f>
        <v/>
      </c>
      <c r="J45" s="16" t="str">
        <f aca="false">IF(OR($A45="",$B45=""),"",C45+G45-I45)</f>
        <v/>
      </c>
      <c r="K45" s="15" t="str">
        <f aca="false">IF(OR($A45="",$B45=""),"",SUMIFS('THANH TOÁN'!$D$5:$D$404,'THANH TOÁN'!$A$5:$A$404,$A45,'THANH TOÁN'!$C$5:$C$404,$B45))</f>
        <v/>
      </c>
      <c r="L45" s="32" t="str">
        <f aca="false">IF(OR($A45="",$B45=""),"",J45-K45)</f>
        <v/>
      </c>
      <c r="M45" s="30"/>
      <c r="N45" s="15" t="str">
        <f aca="false">IF(OR($A45="",M45=""),"",L45-M45)</f>
        <v/>
      </c>
      <c r="O45" s="33"/>
    </row>
    <row r="46" customFormat="false" ht="15" hidden="false" customHeight="false" outlineLevel="0" collapsed="false">
      <c r="A46" s="19"/>
      <c r="B46" s="29"/>
      <c r="C46" s="15" t="str">
        <f aca="false">IF(OR($A46="",$B46=""),"",SUMIFS('SỔ CÔNG NỢ'!$L$5:$L$51,'SỔ CÔNG NỢ'!$A$5:$A$51,$A46,'SỔ CÔNG NỢ'!$B$5:$B$51,EDATE($B46,-1)))</f>
        <v/>
      </c>
      <c r="D46" s="15" t="str">
        <f aca="false">IF(OR($A46="",$B46=""),"",SUMIFS('CHI TIẾT HÀNG'!$L$5:$L$1004,'CHI TIẾT HÀNG'!$A$5:$A$1004,$A46,'CHI TIẾT HÀNG'!$C$5:$C$1004,$B46,'CHI TIẾT HÀNG'!$D$5:$D$1004,"Bán"))</f>
        <v/>
      </c>
      <c r="E46" s="31"/>
      <c r="F46" s="15" t="str">
        <f aca="false">IF(OR($A46="",$B46=""),"",ROUND(D46*E46,0))</f>
        <v/>
      </c>
      <c r="G46" s="15" t="str">
        <f aca="false">IF(OR($A46="",$B46=""),"",D46-F46)</f>
        <v/>
      </c>
      <c r="H46" s="15" t="str">
        <f aca="false">IF(OR($A46="",$B46=""),"",SUMIFS('CHI TIẾT HÀNG'!$L$5:$L$1004,'CHI TIẾT HÀNG'!$A$5:$A$1004,$A46,'CHI TIẾT HÀNG'!$C$5:$C$1004,$B46,'CHI TIẾT HÀNG'!$D$5:$D$1004,"Trả lại"))</f>
        <v/>
      </c>
      <c r="I46" s="15" t="str">
        <f aca="false">IF(OR($A46="",$B46=""),"",H46-ROUND(H46*E46,0))</f>
        <v/>
      </c>
      <c r="J46" s="16" t="str">
        <f aca="false">IF(OR($A46="",$B46=""),"",C46+G46-I46)</f>
        <v/>
      </c>
      <c r="K46" s="15" t="str">
        <f aca="false">IF(OR($A46="",$B46=""),"",SUMIFS('THANH TOÁN'!$D$5:$D$404,'THANH TOÁN'!$A$5:$A$404,$A46,'THANH TOÁN'!$C$5:$C$404,$B46))</f>
        <v/>
      </c>
      <c r="L46" s="32" t="str">
        <f aca="false">IF(OR($A46="",$B46=""),"",J46-K46)</f>
        <v/>
      </c>
      <c r="M46" s="30"/>
      <c r="N46" s="15" t="str">
        <f aca="false">IF(OR($A46="",M46=""),"",L46-M46)</f>
        <v/>
      </c>
      <c r="O46" s="33"/>
    </row>
    <row r="47" customFormat="false" ht="15" hidden="false" customHeight="false" outlineLevel="0" collapsed="false">
      <c r="A47" s="19"/>
      <c r="B47" s="29"/>
      <c r="C47" s="15" t="str">
        <f aca="false">IF(OR($A47="",$B47=""),"",SUMIFS('SỔ CÔNG NỢ'!$L$5:$L$51,'SỔ CÔNG NỢ'!$A$5:$A$51,$A47,'SỔ CÔNG NỢ'!$B$5:$B$51,EDATE($B47,-1)))</f>
        <v/>
      </c>
      <c r="D47" s="15" t="str">
        <f aca="false">IF(OR($A47="",$B47=""),"",SUMIFS('CHI TIẾT HÀNG'!$L$5:$L$1004,'CHI TIẾT HÀNG'!$A$5:$A$1004,$A47,'CHI TIẾT HÀNG'!$C$5:$C$1004,$B47,'CHI TIẾT HÀNG'!$D$5:$D$1004,"Bán"))</f>
        <v/>
      </c>
      <c r="E47" s="31"/>
      <c r="F47" s="15" t="str">
        <f aca="false">IF(OR($A47="",$B47=""),"",ROUND(D47*E47,0))</f>
        <v/>
      </c>
      <c r="G47" s="15" t="str">
        <f aca="false">IF(OR($A47="",$B47=""),"",D47-F47)</f>
        <v/>
      </c>
      <c r="H47" s="15" t="str">
        <f aca="false">IF(OR($A47="",$B47=""),"",SUMIFS('CHI TIẾT HÀNG'!$L$5:$L$1004,'CHI TIẾT HÀNG'!$A$5:$A$1004,$A47,'CHI TIẾT HÀNG'!$C$5:$C$1004,$B47,'CHI TIẾT HÀNG'!$D$5:$D$1004,"Trả lại"))</f>
        <v/>
      </c>
      <c r="I47" s="15" t="str">
        <f aca="false">IF(OR($A47="",$B47=""),"",H47-ROUND(H47*E47,0))</f>
        <v/>
      </c>
      <c r="J47" s="16" t="str">
        <f aca="false">IF(OR($A47="",$B47=""),"",C47+G47-I47)</f>
        <v/>
      </c>
      <c r="K47" s="15" t="str">
        <f aca="false">IF(OR($A47="",$B47=""),"",SUMIFS('THANH TOÁN'!$D$5:$D$404,'THANH TOÁN'!$A$5:$A$404,$A47,'THANH TOÁN'!$C$5:$C$404,$B47))</f>
        <v/>
      </c>
      <c r="L47" s="32" t="str">
        <f aca="false">IF(OR($A47="",$B47=""),"",J47-K47)</f>
        <v/>
      </c>
      <c r="M47" s="30"/>
      <c r="N47" s="15" t="str">
        <f aca="false">IF(OR($A47="",M47=""),"",L47-M47)</f>
        <v/>
      </c>
      <c r="O47" s="33"/>
    </row>
    <row r="48" customFormat="false" ht="15" hidden="false" customHeight="false" outlineLevel="0" collapsed="false">
      <c r="A48" s="19"/>
      <c r="B48" s="29"/>
      <c r="C48" s="15" t="str">
        <f aca="false">IF(OR($A48="",$B48=""),"",SUMIFS('SỔ CÔNG NỢ'!$L$5:$L$51,'SỔ CÔNG NỢ'!$A$5:$A$51,$A48,'SỔ CÔNG NỢ'!$B$5:$B$51,EDATE($B48,-1)))</f>
        <v/>
      </c>
      <c r="D48" s="15" t="str">
        <f aca="false">IF(OR($A48="",$B48=""),"",SUMIFS('CHI TIẾT HÀNG'!$L$5:$L$1004,'CHI TIẾT HÀNG'!$A$5:$A$1004,$A48,'CHI TIẾT HÀNG'!$C$5:$C$1004,$B48,'CHI TIẾT HÀNG'!$D$5:$D$1004,"Bán"))</f>
        <v/>
      </c>
      <c r="E48" s="31"/>
      <c r="F48" s="15" t="str">
        <f aca="false">IF(OR($A48="",$B48=""),"",ROUND(D48*E48,0))</f>
        <v/>
      </c>
      <c r="G48" s="15" t="str">
        <f aca="false">IF(OR($A48="",$B48=""),"",D48-F48)</f>
        <v/>
      </c>
      <c r="H48" s="15" t="str">
        <f aca="false">IF(OR($A48="",$B48=""),"",SUMIFS('CHI TIẾT HÀNG'!$L$5:$L$1004,'CHI TIẾT HÀNG'!$A$5:$A$1004,$A48,'CHI TIẾT HÀNG'!$C$5:$C$1004,$B48,'CHI TIẾT HÀNG'!$D$5:$D$1004,"Trả lại"))</f>
        <v/>
      </c>
      <c r="I48" s="15" t="str">
        <f aca="false">IF(OR($A48="",$B48=""),"",H48-ROUND(H48*E48,0))</f>
        <v/>
      </c>
      <c r="J48" s="16" t="str">
        <f aca="false">IF(OR($A48="",$B48=""),"",C48+G48-I48)</f>
        <v/>
      </c>
      <c r="K48" s="15" t="str">
        <f aca="false">IF(OR($A48="",$B48=""),"",SUMIFS('THANH TOÁN'!$D$5:$D$404,'THANH TOÁN'!$A$5:$A$404,$A48,'THANH TOÁN'!$C$5:$C$404,$B48))</f>
        <v/>
      </c>
      <c r="L48" s="32" t="str">
        <f aca="false">IF(OR($A48="",$B48=""),"",J48-K48)</f>
        <v/>
      </c>
      <c r="M48" s="30"/>
      <c r="N48" s="15" t="str">
        <f aca="false">IF(OR($A48="",M48=""),"",L48-M48)</f>
        <v/>
      </c>
      <c r="O48" s="33"/>
    </row>
    <row r="49" customFormat="false" ht="15" hidden="false" customHeight="false" outlineLevel="0" collapsed="false">
      <c r="A49" s="19"/>
      <c r="B49" s="29"/>
      <c r="C49" s="15" t="str">
        <f aca="false">IF(OR($A49="",$B49=""),"",SUMIFS('SỔ CÔNG NỢ'!$L$5:$L$51,'SỔ CÔNG NỢ'!$A$5:$A$51,$A49,'SỔ CÔNG NỢ'!$B$5:$B$51,EDATE($B49,-1)))</f>
        <v/>
      </c>
      <c r="D49" s="15" t="str">
        <f aca="false">IF(OR($A49="",$B49=""),"",SUMIFS('CHI TIẾT HÀNG'!$L$5:$L$1004,'CHI TIẾT HÀNG'!$A$5:$A$1004,$A49,'CHI TIẾT HÀNG'!$C$5:$C$1004,$B49,'CHI TIẾT HÀNG'!$D$5:$D$1004,"Bán"))</f>
        <v/>
      </c>
      <c r="E49" s="31"/>
      <c r="F49" s="15" t="str">
        <f aca="false">IF(OR($A49="",$B49=""),"",ROUND(D49*E49,0))</f>
        <v/>
      </c>
      <c r="G49" s="15" t="str">
        <f aca="false">IF(OR($A49="",$B49=""),"",D49-F49)</f>
        <v/>
      </c>
      <c r="H49" s="15" t="str">
        <f aca="false">IF(OR($A49="",$B49=""),"",SUMIFS('CHI TIẾT HÀNG'!$L$5:$L$1004,'CHI TIẾT HÀNG'!$A$5:$A$1004,$A49,'CHI TIẾT HÀNG'!$C$5:$C$1004,$B49,'CHI TIẾT HÀNG'!$D$5:$D$1004,"Trả lại"))</f>
        <v/>
      </c>
      <c r="I49" s="15" t="str">
        <f aca="false">IF(OR($A49="",$B49=""),"",H49-ROUND(H49*E49,0))</f>
        <v/>
      </c>
      <c r="J49" s="16" t="str">
        <f aca="false">IF(OR($A49="",$B49=""),"",C49+G49-I49)</f>
        <v/>
      </c>
      <c r="K49" s="15" t="str">
        <f aca="false">IF(OR($A49="",$B49=""),"",SUMIFS('THANH TOÁN'!$D$5:$D$404,'THANH TOÁN'!$A$5:$A$404,$A49,'THANH TOÁN'!$C$5:$C$404,$B49))</f>
        <v/>
      </c>
      <c r="L49" s="32" t="str">
        <f aca="false">IF(OR($A49="",$B49=""),"",J49-K49)</f>
        <v/>
      </c>
      <c r="M49" s="30"/>
      <c r="N49" s="15" t="str">
        <f aca="false">IF(OR($A49="",M49=""),"",L49-M49)</f>
        <v/>
      </c>
      <c r="O49" s="33"/>
    </row>
    <row r="50" customFormat="false" ht="15" hidden="false" customHeight="false" outlineLevel="0" collapsed="false">
      <c r="A50" s="19"/>
      <c r="B50" s="29"/>
      <c r="C50" s="15" t="str">
        <f aca="false">IF(OR($A50="",$B50=""),"",SUMIFS('SỔ CÔNG NỢ'!$L$5:$L$51,'SỔ CÔNG NỢ'!$A$5:$A$51,$A50,'SỔ CÔNG NỢ'!$B$5:$B$51,EDATE($B50,-1)))</f>
        <v/>
      </c>
      <c r="D50" s="15" t="str">
        <f aca="false">IF(OR($A50="",$B50=""),"",SUMIFS('CHI TIẾT HÀNG'!$L$5:$L$1004,'CHI TIẾT HÀNG'!$A$5:$A$1004,$A50,'CHI TIẾT HÀNG'!$C$5:$C$1004,$B50,'CHI TIẾT HÀNG'!$D$5:$D$1004,"Bán"))</f>
        <v/>
      </c>
      <c r="E50" s="31"/>
      <c r="F50" s="15" t="str">
        <f aca="false">IF(OR($A50="",$B50=""),"",ROUND(D50*E50,0))</f>
        <v/>
      </c>
      <c r="G50" s="15" t="str">
        <f aca="false">IF(OR($A50="",$B50=""),"",D50-F50)</f>
        <v/>
      </c>
      <c r="H50" s="15" t="str">
        <f aca="false">IF(OR($A50="",$B50=""),"",SUMIFS('CHI TIẾT HÀNG'!$L$5:$L$1004,'CHI TIẾT HÀNG'!$A$5:$A$1004,$A50,'CHI TIẾT HÀNG'!$C$5:$C$1004,$B50,'CHI TIẾT HÀNG'!$D$5:$D$1004,"Trả lại"))</f>
        <v/>
      </c>
      <c r="I50" s="15" t="str">
        <f aca="false">IF(OR($A50="",$B50=""),"",H50-ROUND(H50*E50,0))</f>
        <v/>
      </c>
      <c r="J50" s="16" t="str">
        <f aca="false">IF(OR($A50="",$B50=""),"",C50+G50-I50)</f>
        <v/>
      </c>
      <c r="K50" s="15" t="str">
        <f aca="false">IF(OR($A50="",$B50=""),"",SUMIFS('THANH TOÁN'!$D$5:$D$404,'THANH TOÁN'!$A$5:$A$404,$A50,'THANH TOÁN'!$C$5:$C$404,$B50))</f>
        <v/>
      </c>
      <c r="L50" s="32" t="str">
        <f aca="false">IF(OR($A50="",$B50=""),"",J50-K50)</f>
        <v/>
      </c>
      <c r="M50" s="30"/>
      <c r="N50" s="15" t="str">
        <f aca="false">IF(OR($A50="",M50=""),"",L50-M50)</f>
        <v/>
      </c>
      <c r="O50" s="33"/>
    </row>
    <row r="51" customFormat="false" ht="15" hidden="false" customHeight="false" outlineLevel="0" collapsed="false">
      <c r="A51" s="19"/>
      <c r="B51" s="29"/>
      <c r="C51" s="15" t="str">
        <f aca="false">IF(OR($A51="",$B51=""),"",SUMIFS('SỔ CÔNG NỢ'!$L$5:$L$51,'SỔ CÔNG NỢ'!$A$5:$A$51,$A51,'SỔ CÔNG NỢ'!$B$5:$B$51,EDATE($B51,-1)))</f>
        <v/>
      </c>
      <c r="D51" s="15" t="str">
        <f aca="false">IF(OR($A51="",$B51=""),"",SUMIFS('CHI TIẾT HÀNG'!$L$5:$L$1004,'CHI TIẾT HÀNG'!$A$5:$A$1004,$A51,'CHI TIẾT HÀNG'!$C$5:$C$1004,$B51,'CHI TIẾT HÀNG'!$D$5:$D$1004,"Bán"))</f>
        <v/>
      </c>
      <c r="E51" s="31"/>
      <c r="F51" s="15" t="str">
        <f aca="false">IF(OR($A51="",$B51=""),"",ROUND(D51*E51,0))</f>
        <v/>
      </c>
      <c r="G51" s="15" t="str">
        <f aca="false">IF(OR($A51="",$B51=""),"",D51-F51)</f>
        <v/>
      </c>
      <c r="H51" s="15" t="str">
        <f aca="false">IF(OR($A51="",$B51=""),"",SUMIFS('CHI TIẾT HÀNG'!$L$5:$L$1004,'CHI TIẾT HÀNG'!$A$5:$A$1004,$A51,'CHI TIẾT HÀNG'!$C$5:$C$1004,$B51,'CHI TIẾT HÀNG'!$D$5:$D$1004,"Trả lại"))</f>
        <v/>
      </c>
      <c r="I51" s="15" t="str">
        <f aca="false">IF(OR($A51="",$B51=""),"",H51-ROUND(H51*E51,0))</f>
        <v/>
      </c>
      <c r="J51" s="16" t="str">
        <f aca="false">IF(OR($A51="",$B51=""),"",C51+G51-I51)</f>
        <v/>
      </c>
      <c r="K51" s="15" t="str">
        <f aca="false">IF(OR($A51="",$B51=""),"",SUMIFS('THANH TOÁN'!$D$5:$D$404,'THANH TOÁN'!$A$5:$A$404,$A51,'THANH TOÁN'!$C$5:$C$404,$B51))</f>
        <v/>
      </c>
      <c r="L51" s="32" t="str">
        <f aca="false">IF(OR($A51="",$B51=""),"",J51-K51)</f>
        <v/>
      </c>
      <c r="M51" s="30"/>
      <c r="N51" s="15" t="str">
        <f aca="false">IF(OR($A51="",M51=""),"",L51-M51)</f>
        <v/>
      </c>
      <c r="O51" s="33"/>
    </row>
    <row r="53" customFormat="false" ht="15" hidden="false" customHeight="false" outlineLevel="0" collapsed="false">
      <c r="A53" s="2" t="s">
        <v>45</v>
      </c>
    </row>
  </sheetData>
  <conditionalFormatting sqref="N5:N51">
    <cfRule type="expression" priority="2" aboveAverage="0" equalAverage="0" bottom="0" percent="0" rank="0" text="" dxfId="0">
      <formula>AND(ISNUMBER(N5),ABS(N5)&gt;1)</formula>
    </cfRule>
  </conditionalFormatting>
  <conditionalFormatting sqref="L5:L51">
    <cfRule type="expression" priority="3" aboveAverage="0" equalAverage="0" bottom="0" percent="0" rank="0" text="" dxfId="3">
      <formula>AND(ISNUMBER(L5),L5&lt;0)</formula>
    </cfRule>
  </conditionalFormatting>
  <dataValidations count="1">
    <dataValidation allowBlank="true" errorStyle="stop" operator="between" showDropDown="false" showErrorMessage="false" showInputMessage="false" sqref="A5:A51" type="list">
      <formula1>'TỔNG HỢP'!$B$9:$B$20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M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6" min="4" style="0" width="9"/>
    <col collapsed="false" customWidth="true" hidden="false" outlineLevel="0" max="7" min="7" style="0" width="46"/>
    <col collapsed="false" customWidth="true" hidden="false" outlineLevel="0" max="8" min="8" style="0" width="16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1" min="11" style="0" width="9"/>
    <col collapsed="false" customWidth="true" hidden="false" outlineLevel="0" max="12" min="12" style="0" width="16"/>
    <col collapsed="false" customWidth="true" hidden="false" outlineLevel="0" max="13" min="13" style="0" width="60"/>
  </cols>
  <sheetData>
    <row r="1" customFormat="false" ht="19.7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33.75" hidden="false" customHeight="true" outlineLevel="0" collapsed="false">
      <c r="A4" s="11" t="s">
        <v>8</v>
      </c>
      <c r="B4" s="11" t="s">
        <v>48</v>
      </c>
      <c r="C4" s="11" t="s">
        <v>49</v>
      </c>
      <c r="D4" s="11" t="s">
        <v>50</v>
      </c>
      <c r="E4" s="11" t="s">
        <v>51</v>
      </c>
      <c r="F4" s="11" t="s">
        <v>52</v>
      </c>
      <c r="G4" s="11" t="s">
        <v>53</v>
      </c>
      <c r="H4" s="11" t="s">
        <v>54</v>
      </c>
      <c r="I4" s="11" t="s">
        <v>55</v>
      </c>
      <c r="J4" s="11" t="s">
        <v>56</v>
      </c>
      <c r="K4" s="11" t="s">
        <v>57</v>
      </c>
      <c r="L4" s="11" t="s">
        <v>58</v>
      </c>
      <c r="M4" s="11" t="s">
        <v>59</v>
      </c>
    </row>
    <row r="5" customFormat="false" ht="15" hidden="false" customHeight="false" outlineLevel="0" collapsed="false">
      <c r="A5" s="34" t="s">
        <v>19</v>
      </c>
      <c r="B5" s="35" t="n">
        <v>46214</v>
      </c>
      <c r="C5" s="36" t="n">
        <f aca="false">IF(B5="","",DATE(YEAR(B5),MONTH(B5),1))</f>
        <v>46204</v>
      </c>
      <c r="D5" s="34" t="s">
        <v>60</v>
      </c>
      <c r="E5" s="34" t="s">
        <v>61</v>
      </c>
      <c r="F5" s="34" t="s">
        <v>62</v>
      </c>
      <c r="G5" s="34" t="s">
        <v>63</v>
      </c>
      <c r="H5" s="34" t="s">
        <v>64</v>
      </c>
      <c r="I5" s="34" t="n">
        <v>6</v>
      </c>
      <c r="J5" s="37" t="n">
        <v>2185000</v>
      </c>
      <c r="K5" s="34" t="n">
        <v>1</v>
      </c>
      <c r="L5" s="38" t="n">
        <f aca="false">IF(I5="","",I5*N(J5)*IF(K5="",1,K5))</f>
        <v>13110000</v>
      </c>
      <c r="M5" s="34"/>
    </row>
    <row r="6" customFormat="false" ht="15" hidden="false" customHeight="false" outlineLevel="0" collapsed="false">
      <c r="A6" s="34" t="s">
        <v>19</v>
      </c>
      <c r="B6" s="35" t="n">
        <v>46214</v>
      </c>
      <c r="C6" s="36" t="n">
        <f aca="false">IF(B6="","",DATE(YEAR(B6),MONTH(B6),1))</f>
        <v>46204</v>
      </c>
      <c r="D6" s="34" t="s">
        <v>60</v>
      </c>
      <c r="E6" s="34" t="s">
        <v>65</v>
      </c>
      <c r="F6" s="34" t="s">
        <v>62</v>
      </c>
      <c r="G6" s="34" t="s">
        <v>66</v>
      </c>
      <c r="H6" s="34" t="s">
        <v>67</v>
      </c>
      <c r="I6" s="34" t="n">
        <v>1</v>
      </c>
      <c r="J6" s="37" t="n">
        <v>3097000</v>
      </c>
      <c r="K6" s="34" t="n">
        <v>1</v>
      </c>
      <c r="L6" s="38" t="n">
        <f aca="false">IF(I6="","",I6*N(J6)*IF(K6="",1,K6))</f>
        <v>3097000</v>
      </c>
      <c r="M6" s="34"/>
    </row>
    <row r="7" customFormat="false" ht="15" hidden="false" customHeight="false" outlineLevel="0" collapsed="false">
      <c r="A7" s="34" t="s">
        <v>19</v>
      </c>
      <c r="B7" s="35" t="n">
        <v>46214</v>
      </c>
      <c r="C7" s="36" t="n">
        <f aca="false">IF(B7="","",DATE(YEAR(B7),MONTH(B7),1))</f>
        <v>46204</v>
      </c>
      <c r="D7" s="34" t="s">
        <v>60</v>
      </c>
      <c r="E7" s="34" t="s">
        <v>68</v>
      </c>
      <c r="F7" s="34" t="s">
        <v>62</v>
      </c>
      <c r="G7" s="34" t="s">
        <v>69</v>
      </c>
      <c r="H7" s="34" t="s">
        <v>70</v>
      </c>
      <c r="I7" s="34" t="n">
        <v>2</v>
      </c>
      <c r="J7" s="37" t="n">
        <v>5331000</v>
      </c>
      <c r="K7" s="34" t="n">
        <v>1</v>
      </c>
      <c r="L7" s="38" t="n">
        <f aca="false">IF(I7="","",I7*N(J7)*IF(K7="",1,K7))</f>
        <v>10662000</v>
      </c>
      <c r="M7" s="34"/>
    </row>
    <row r="8" customFormat="false" ht="15" hidden="false" customHeight="false" outlineLevel="0" collapsed="false">
      <c r="A8" s="34" t="s">
        <v>19</v>
      </c>
      <c r="B8" s="35" t="n">
        <v>46214</v>
      </c>
      <c r="C8" s="36" t="n">
        <f aca="false">IF(B8="","",DATE(YEAR(B8),MONTH(B8),1))</f>
        <v>46204</v>
      </c>
      <c r="D8" s="34" t="s">
        <v>60</v>
      </c>
      <c r="E8" s="34" t="s">
        <v>71</v>
      </c>
      <c r="F8" s="34" t="s">
        <v>62</v>
      </c>
      <c r="G8" s="34" t="s">
        <v>72</v>
      </c>
      <c r="H8" s="34" t="s">
        <v>73</v>
      </c>
      <c r="I8" s="34" t="n">
        <v>7</v>
      </c>
      <c r="J8" s="37" t="n">
        <v>4597000</v>
      </c>
      <c r="K8" s="34" t="n">
        <v>1</v>
      </c>
      <c r="L8" s="38" t="n">
        <f aca="false">IF(I8="","",I8*N(J8)*IF(K8="",1,K8))</f>
        <v>32179000</v>
      </c>
      <c r="M8" s="34"/>
    </row>
    <row r="9" customFormat="false" ht="15" hidden="false" customHeight="false" outlineLevel="0" collapsed="false">
      <c r="A9" s="34" t="s">
        <v>19</v>
      </c>
      <c r="B9" s="35" t="n">
        <v>46214</v>
      </c>
      <c r="C9" s="36" t="n">
        <f aca="false">IF(B9="","",DATE(YEAR(B9),MONTH(B9),1))</f>
        <v>46204</v>
      </c>
      <c r="D9" s="34" t="s">
        <v>60</v>
      </c>
      <c r="E9" s="34" t="s">
        <v>74</v>
      </c>
      <c r="F9" s="34" t="s">
        <v>62</v>
      </c>
      <c r="G9" s="34" t="s">
        <v>75</v>
      </c>
      <c r="H9" s="34" t="s">
        <v>76</v>
      </c>
      <c r="I9" s="34" t="n">
        <v>1</v>
      </c>
      <c r="J9" s="37" t="n">
        <v>4106000</v>
      </c>
      <c r="K9" s="34" t="n">
        <v>1</v>
      </c>
      <c r="L9" s="38" t="n">
        <f aca="false">IF(I9="","",I9*N(J9)*IF(K9="",1,K9))</f>
        <v>4106000</v>
      </c>
      <c r="M9" s="34"/>
    </row>
    <row r="10" customFormat="false" ht="15" hidden="false" customHeight="false" outlineLevel="0" collapsed="false">
      <c r="A10" s="34" t="s">
        <v>19</v>
      </c>
      <c r="B10" s="35" t="n">
        <v>46226</v>
      </c>
      <c r="C10" s="36" t="n">
        <f aca="false">IF(B10="","",DATE(YEAR(B10),MONTH(B10),1))</f>
        <v>46204</v>
      </c>
      <c r="D10" s="34" t="s">
        <v>60</v>
      </c>
      <c r="E10" s="34" t="s">
        <v>71</v>
      </c>
      <c r="F10" s="34" t="s">
        <v>62</v>
      </c>
      <c r="G10" s="34" t="s">
        <v>72</v>
      </c>
      <c r="H10" s="34"/>
      <c r="I10" s="34" t="n">
        <v>1</v>
      </c>
      <c r="J10" s="37" t="n">
        <v>4597000</v>
      </c>
      <c r="K10" s="34" t="n">
        <v>1</v>
      </c>
      <c r="L10" s="38" t="n">
        <f aca="false">IF(I10="","",I10*N(J10)*IF(K10="",1,K10))</f>
        <v>4597000</v>
      </c>
      <c r="M10" s="34"/>
    </row>
    <row r="11" customFormat="false" ht="15" hidden="false" customHeight="false" outlineLevel="0" collapsed="false">
      <c r="A11" s="34" t="s">
        <v>19</v>
      </c>
      <c r="B11" s="35" t="n">
        <v>46226</v>
      </c>
      <c r="C11" s="36" t="n">
        <f aca="false">IF(B11="","",DATE(YEAR(B11),MONTH(B11),1))</f>
        <v>46204</v>
      </c>
      <c r="D11" s="34" t="s">
        <v>60</v>
      </c>
      <c r="E11" s="34" t="s">
        <v>65</v>
      </c>
      <c r="F11" s="34" t="s">
        <v>62</v>
      </c>
      <c r="G11" s="34" t="s">
        <v>66</v>
      </c>
      <c r="H11" s="34" t="s">
        <v>77</v>
      </c>
      <c r="I11" s="34" t="n">
        <v>2</v>
      </c>
      <c r="J11" s="37" t="n">
        <v>3097000</v>
      </c>
      <c r="K11" s="34" t="n">
        <v>1</v>
      </c>
      <c r="L11" s="38" t="n">
        <f aca="false">IF(I11="","",I11*N(J11)*IF(K11="",1,K11))</f>
        <v>6194000</v>
      </c>
      <c r="M11" s="34"/>
    </row>
    <row r="12" customFormat="false" ht="15" hidden="false" customHeight="false" outlineLevel="0" collapsed="false">
      <c r="A12" s="34" t="s">
        <v>19</v>
      </c>
      <c r="B12" s="35" t="n">
        <v>46226</v>
      </c>
      <c r="C12" s="36" t="n">
        <f aca="false">IF(B12="","",DATE(YEAR(B12),MONTH(B12),1))</f>
        <v>46204</v>
      </c>
      <c r="D12" s="34" t="s">
        <v>60</v>
      </c>
      <c r="E12" s="34" t="s">
        <v>68</v>
      </c>
      <c r="F12" s="34" t="s">
        <v>62</v>
      </c>
      <c r="G12" s="34" t="s">
        <v>69</v>
      </c>
      <c r="H12" s="34" t="s">
        <v>78</v>
      </c>
      <c r="I12" s="34" t="n">
        <v>1</v>
      </c>
      <c r="J12" s="37" t="n">
        <v>409000</v>
      </c>
      <c r="K12" s="34" t="n">
        <v>1.15</v>
      </c>
      <c r="L12" s="38" t="n">
        <f aca="false">IF(I12="","",I12*N(J12)*IF(K12="",1,K12))</f>
        <v>470350</v>
      </c>
      <c r="M12" s="39" t="s">
        <v>79</v>
      </c>
    </row>
    <row r="13" customFormat="false" ht="15" hidden="false" customHeight="false" outlineLevel="0" collapsed="false">
      <c r="A13" s="34" t="s">
        <v>19</v>
      </c>
      <c r="B13" s="35" t="n">
        <v>46227</v>
      </c>
      <c r="C13" s="36" t="n">
        <f aca="false">IF(B13="","",DATE(YEAR(B13),MONTH(B13),1))</f>
        <v>46204</v>
      </c>
      <c r="D13" s="34" t="s">
        <v>60</v>
      </c>
      <c r="E13" s="34" t="s">
        <v>74</v>
      </c>
      <c r="F13" s="34" t="s">
        <v>62</v>
      </c>
      <c r="G13" s="34" t="s">
        <v>75</v>
      </c>
      <c r="H13" s="34" t="s">
        <v>76</v>
      </c>
      <c r="I13" s="34" t="n">
        <v>1</v>
      </c>
      <c r="J13" s="37" t="n">
        <v>4106000</v>
      </c>
      <c r="K13" s="34" t="n">
        <v>1</v>
      </c>
      <c r="L13" s="38" t="n">
        <f aca="false">IF(I13="","",I13*N(J13)*IF(K13="",1,K13))</f>
        <v>4106000</v>
      </c>
      <c r="M13" s="34"/>
    </row>
    <row r="14" customFormat="false" ht="15" hidden="false" customHeight="false" outlineLevel="0" collapsed="false">
      <c r="A14" s="34" t="s">
        <v>19</v>
      </c>
      <c r="B14" s="35" t="n">
        <v>46227</v>
      </c>
      <c r="C14" s="36" t="n">
        <f aca="false">IF(B14="","",DATE(YEAR(B14),MONTH(B14),1))</f>
        <v>46204</v>
      </c>
      <c r="D14" s="34" t="s">
        <v>60</v>
      </c>
      <c r="E14" s="34" t="s">
        <v>68</v>
      </c>
      <c r="F14" s="34" t="s">
        <v>62</v>
      </c>
      <c r="G14" s="34" t="s">
        <v>69</v>
      </c>
      <c r="H14" s="34" t="s">
        <v>80</v>
      </c>
      <c r="I14" s="34" t="n">
        <v>1</v>
      </c>
      <c r="J14" s="37" t="n">
        <v>5331000</v>
      </c>
      <c r="K14" s="34" t="n">
        <v>1</v>
      </c>
      <c r="L14" s="38" t="n">
        <f aca="false">IF(I14="","",I14*N(J14)*IF(K14="",1,K14))</f>
        <v>5331000</v>
      </c>
      <c r="M14" s="34"/>
    </row>
    <row r="15" customFormat="false" ht="15" hidden="false" customHeight="false" outlineLevel="0" collapsed="false">
      <c r="A15" s="34" t="s">
        <v>19</v>
      </c>
      <c r="B15" s="35" t="n">
        <v>46233</v>
      </c>
      <c r="C15" s="36" t="n">
        <f aca="false">IF(B15="","",DATE(YEAR(B15),MONTH(B15),1))</f>
        <v>46204</v>
      </c>
      <c r="D15" s="34" t="s">
        <v>81</v>
      </c>
      <c r="E15" s="34" t="s">
        <v>71</v>
      </c>
      <c r="F15" s="34" t="s">
        <v>62</v>
      </c>
      <c r="G15" s="34" t="s">
        <v>72</v>
      </c>
      <c r="H15" s="34" t="s">
        <v>80</v>
      </c>
      <c r="I15" s="34" t="n">
        <v>1</v>
      </c>
      <c r="J15" s="37" t="n">
        <v>4597000</v>
      </c>
      <c r="K15" s="34" t="n">
        <v>1</v>
      </c>
      <c r="L15" s="38" t="n">
        <f aca="false">IF(I15="","",I15*N(J15)*IF(K15="",1,K15))</f>
        <v>4597000</v>
      </c>
      <c r="M15" s="34"/>
    </row>
    <row r="16" customFormat="false" ht="15" hidden="false" customHeight="false" outlineLevel="0" collapsed="false">
      <c r="A16" s="34" t="s">
        <v>20</v>
      </c>
      <c r="B16" s="35" t="n">
        <v>46187</v>
      </c>
      <c r="C16" s="36" t="n">
        <f aca="false">IF(B16="","",DATE(YEAR(B16),MONTH(B16),1))</f>
        <v>46174</v>
      </c>
      <c r="D16" s="34" t="s">
        <v>60</v>
      </c>
      <c r="E16" s="34" t="s">
        <v>82</v>
      </c>
      <c r="F16" s="34" t="s">
        <v>83</v>
      </c>
      <c r="G16" s="34" t="s">
        <v>84</v>
      </c>
      <c r="H16" s="34"/>
      <c r="I16" s="34" t="n">
        <v>1</v>
      </c>
      <c r="J16" s="37" t="n">
        <v>1875000</v>
      </c>
      <c r="K16" s="34" t="n">
        <v>1</v>
      </c>
      <c r="L16" s="38" t="n">
        <f aca="false">IF(I16="","",I16*N(J16)*IF(K16="",1,K16))</f>
        <v>1875000</v>
      </c>
      <c r="M16" s="34"/>
    </row>
    <row r="17" customFormat="false" ht="15" hidden="false" customHeight="false" outlineLevel="0" collapsed="false">
      <c r="A17" s="34" t="s">
        <v>20</v>
      </c>
      <c r="B17" s="35" t="n">
        <v>46194</v>
      </c>
      <c r="C17" s="36" t="n">
        <f aca="false">IF(B17="","",DATE(YEAR(B17),MONTH(B17),1))</f>
        <v>46174</v>
      </c>
      <c r="D17" s="34" t="s">
        <v>60</v>
      </c>
      <c r="E17" s="34" t="s">
        <v>82</v>
      </c>
      <c r="F17" s="34" t="s">
        <v>83</v>
      </c>
      <c r="G17" s="34" t="s">
        <v>84</v>
      </c>
      <c r="H17" s="34"/>
      <c r="I17" s="34" t="n">
        <v>1</v>
      </c>
      <c r="J17" s="37" t="n">
        <v>1875000</v>
      </c>
      <c r="K17" s="34" t="n">
        <v>1</v>
      </c>
      <c r="L17" s="38" t="n">
        <f aca="false">IF(I17="","",I17*N(J17)*IF(K17="",1,K17))</f>
        <v>1875000</v>
      </c>
      <c r="M17" s="34"/>
    </row>
    <row r="18" customFormat="false" ht="15" hidden="false" customHeight="false" outlineLevel="0" collapsed="false">
      <c r="A18" s="34" t="s">
        <v>21</v>
      </c>
      <c r="B18" s="35" t="n">
        <v>46188</v>
      </c>
      <c r="C18" s="36" t="n">
        <f aca="false">IF(B18="","",DATE(YEAR(B18),MONTH(B18),1))</f>
        <v>46174</v>
      </c>
      <c r="D18" s="34" t="s">
        <v>60</v>
      </c>
      <c r="E18" s="34" t="s">
        <v>85</v>
      </c>
      <c r="F18" s="34" t="s">
        <v>62</v>
      </c>
      <c r="G18" s="34" t="s">
        <v>86</v>
      </c>
      <c r="H18" s="34"/>
      <c r="I18" s="34" t="n">
        <v>2</v>
      </c>
      <c r="J18" s="37" t="n">
        <v>3012000</v>
      </c>
      <c r="K18" s="34" t="n">
        <v>1</v>
      </c>
      <c r="L18" s="38" t="n">
        <f aca="false">IF(I18="","",I18*N(J18)*IF(K18="",1,K18))</f>
        <v>6024000</v>
      </c>
      <c r="M18" s="34"/>
    </row>
    <row r="19" customFormat="false" ht="15" hidden="false" customHeight="false" outlineLevel="0" collapsed="false">
      <c r="A19" s="34" t="s">
        <v>21</v>
      </c>
      <c r="B19" s="35" t="n">
        <v>46188</v>
      </c>
      <c r="C19" s="36" t="n">
        <f aca="false">IF(B19="","",DATE(YEAR(B19),MONTH(B19),1))</f>
        <v>46174</v>
      </c>
      <c r="D19" s="34" t="s">
        <v>60</v>
      </c>
      <c r="E19" s="34" t="s">
        <v>87</v>
      </c>
      <c r="F19" s="34" t="s">
        <v>62</v>
      </c>
      <c r="G19" s="34" t="s">
        <v>88</v>
      </c>
      <c r="H19" s="34" t="s">
        <v>89</v>
      </c>
      <c r="I19" s="34" t="n">
        <v>1</v>
      </c>
      <c r="J19" s="37" t="n">
        <v>4821000</v>
      </c>
      <c r="K19" s="34" t="n">
        <v>1</v>
      </c>
      <c r="L19" s="38" t="n">
        <f aca="false">IF(I19="","",I19*N(J19)*IF(K19="",1,K19))</f>
        <v>4821000</v>
      </c>
      <c r="M19" s="34"/>
    </row>
    <row r="20" customFormat="false" ht="15" hidden="false" customHeight="false" outlineLevel="0" collapsed="false">
      <c r="A20" s="34" t="s">
        <v>21</v>
      </c>
      <c r="B20" s="35" t="n">
        <v>46188</v>
      </c>
      <c r="C20" s="36" t="n">
        <f aca="false">IF(B20="","",DATE(YEAR(B20),MONTH(B20),1))</f>
        <v>46174</v>
      </c>
      <c r="D20" s="34" t="s">
        <v>60</v>
      </c>
      <c r="E20" s="34" t="s">
        <v>71</v>
      </c>
      <c r="F20" s="34" t="s">
        <v>83</v>
      </c>
      <c r="G20" s="34" t="s">
        <v>72</v>
      </c>
      <c r="H20" s="34" t="s">
        <v>90</v>
      </c>
      <c r="I20" s="34" t="n">
        <v>2</v>
      </c>
      <c r="J20" s="37" t="n">
        <v>1302000</v>
      </c>
      <c r="K20" s="34" t="n">
        <v>1</v>
      </c>
      <c r="L20" s="38" t="n">
        <f aca="false">IF(I20="","",I20*N(J20)*IF(K20="",1,K20))</f>
        <v>2604000</v>
      </c>
      <c r="M20" s="34"/>
    </row>
    <row r="21" customFormat="false" ht="15" hidden="false" customHeight="false" outlineLevel="0" collapsed="false">
      <c r="A21" s="34" t="s">
        <v>21</v>
      </c>
      <c r="B21" s="35" t="n">
        <v>46188</v>
      </c>
      <c r="C21" s="36" t="n">
        <f aca="false">IF(B21="","",DATE(YEAR(B21),MONTH(B21),1))</f>
        <v>46174</v>
      </c>
      <c r="D21" s="34" t="s">
        <v>60</v>
      </c>
      <c r="E21" s="34" t="s">
        <v>71</v>
      </c>
      <c r="F21" s="34" t="s">
        <v>83</v>
      </c>
      <c r="G21" s="34" t="s">
        <v>72</v>
      </c>
      <c r="H21" s="34" t="s">
        <v>91</v>
      </c>
      <c r="I21" s="34" t="n">
        <v>1</v>
      </c>
      <c r="J21" s="37" t="n">
        <v>1302000</v>
      </c>
      <c r="K21" s="34" t="n">
        <v>1</v>
      </c>
      <c r="L21" s="38" t="n">
        <f aca="false">IF(I21="","",I21*N(J21)*IF(K21="",1,K21))</f>
        <v>1302000</v>
      </c>
      <c r="M21" s="34"/>
    </row>
    <row r="22" customFormat="false" ht="15" hidden="false" customHeight="false" outlineLevel="0" collapsed="false">
      <c r="A22" s="34" t="s">
        <v>21</v>
      </c>
      <c r="B22" s="35" t="n">
        <v>46189</v>
      </c>
      <c r="C22" s="36" t="n">
        <f aca="false">IF(B22="","",DATE(YEAR(B22),MONTH(B22),1))</f>
        <v>46174</v>
      </c>
      <c r="D22" s="34" t="s">
        <v>60</v>
      </c>
      <c r="E22" s="34" t="s">
        <v>85</v>
      </c>
      <c r="F22" s="34" t="s">
        <v>62</v>
      </c>
      <c r="G22" s="34" t="s">
        <v>86</v>
      </c>
      <c r="H22" s="34"/>
      <c r="I22" s="34" t="n">
        <v>1</v>
      </c>
      <c r="J22" s="37" t="n">
        <v>3012000</v>
      </c>
      <c r="K22" s="34" t="n">
        <v>1</v>
      </c>
      <c r="L22" s="38" t="n">
        <f aca="false">IF(I22="","",I22*N(J22)*IF(K22="",1,K22))</f>
        <v>3012000</v>
      </c>
      <c r="M22" s="34"/>
    </row>
    <row r="23" customFormat="false" ht="15" hidden="false" customHeight="false" outlineLevel="0" collapsed="false">
      <c r="A23" s="34" t="s">
        <v>21</v>
      </c>
      <c r="B23" s="35" t="n">
        <v>46189</v>
      </c>
      <c r="C23" s="36" t="n">
        <f aca="false">IF(B23="","",DATE(YEAR(B23),MONTH(B23),1))</f>
        <v>46174</v>
      </c>
      <c r="D23" s="34" t="s">
        <v>60</v>
      </c>
      <c r="E23" s="34" t="s">
        <v>71</v>
      </c>
      <c r="F23" s="34" t="s">
        <v>83</v>
      </c>
      <c r="G23" s="34" t="s">
        <v>72</v>
      </c>
      <c r="H23" s="34" t="s">
        <v>90</v>
      </c>
      <c r="I23" s="34" t="n">
        <v>2</v>
      </c>
      <c r="J23" s="37" t="n">
        <v>1302000</v>
      </c>
      <c r="K23" s="34" t="n">
        <v>1</v>
      </c>
      <c r="L23" s="38" t="n">
        <f aca="false">IF(I23="","",I23*N(J23)*IF(K23="",1,K23))</f>
        <v>2604000</v>
      </c>
      <c r="M23" s="34"/>
    </row>
    <row r="24" customFormat="false" ht="15" hidden="false" customHeight="false" outlineLevel="0" collapsed="false">
      <c r="A24" s="34" t="s">
        <v>21</v>
      </c>
      <c r="B24" s="35" t="n">
        <v>46189</v>
      </c>
      <c r="C24" s="36" t="n">
        <f aca="false">IF(B24="","",DATE(YEAR(B24),MONTH(B24),1))</f>
        <v>46174</v>
      </c>
      <c r="D24" s="34" t="s">
        <v>60</v>
      </c>
      <c r="E24" s="34" t="s">
        <v>71</v>
      </c>
      <c r="F24" s="34" t="s">
        <v>83</v>
      </c>
      <c r="G24" s="34" t="s">
        <v>72</v>
      </c>
      <c r="H24" s="34" t="s">
        <v>91</v>
      </c>
      <c r="I24" s="34" t="n">
        <v>2</v>
      </c>
      <c r="J24" s="37" t="n">
        <v>1302000</v>
      </c>
      <c r="K24" s="34" t="n">
        <v>1</v>
      </c>
      <c r="L24" s="38" t="n">
        <f aca="false">IF(I24="","",I24*N(J24)*IF(K24="",1,K24))</f>
        <v>2604000</v>
      </c>
      <c r="M24" s="34"/>
    </row>
    <row r="25" customFormat="false" ht="15" hidden="false" customHeight="false" outlineLevel="0" collapsed="false">
      <c r="A25" s="34" t="s">
        <v>21</v>
      </c>
      <c r="B25" s="35" t="n">
        <v>46220</v>
      </c>
      <c r="C25" s="36" t="n">
        <f aca="false">IF(B25="","",DATE(YEAR(B25),MONTH(B25),1))</f>
        <v>46204</v>
      </c>
      <c r="D25" s="34" t="s">
        <v>60</v>
      </c>
      <c r="E25" s="34" t="s">
        <v>68</v>
      </c>
      <c r="F25" s="34" t="s">
        <v>62</v>
      </c>
      <c r="G25" s="34" t="s">
        <v>69</v>
      </c>
      <c r="H25" s="34" t="s">
        <v>90</v>
      </c>
      <c r="I25" s="34" t="n">
        <v>1</v>
      </c>
      <c r="J25" s="37" t="n">
        <v>5331000</v>
      </c>
      <c r="K25" s="34" t="n">
        <v>1.1</v>
      </c>
      <c r="L25" s="38" t="n">
        <f aca="false">IF(I25="","",I25*N(J25)*IF(K25="",1,K25))</f>
        <v>5864100</v>
      </c>
      <c r="M25" s="34"/>
    </row>
    <row r="26" customFormat="false" ht="15" hidden="false" customHeight="false" outlineLevel="0" collapsed="false">
      <c r="A26" s="34" t="s">
        <v>21</v>
      </c>
      <c r="B26" s="35" t="n">
        <v>46220</v>
      </c>
      <c r="C26" s="36" t="n">
        <f aca="false">IF(B26="","",DATE(YEAR(B26),MONTH(B26),1))</f>
        <v>46204</v>
      </c>
      <c r="D26" s="34" t="s">
        <v>60</v>
      </c>
      <c r="E26" s="34" t="s">
        <v>71</v>
      </c>
      <c r="F26" s="34" t="s">
        <v>62</v>
      </c>
      <c r="G26" s="34" t="s">
        <v>72</v>
      </c>
      <c r="H26" s="34" t="s">
        <v>92</v>
      </c>
      <c r="I26" s="34" t="n">
        <v>1</v>
      </c>
      <c r="J26" s="37" t="n">
        <v>4597000</v>
      </c>
      <c r="K26" s="34" t="n">
        <v>1</v>
      </c>
      <c r="L26" s="38" t="n">
        <f aca="false">IF(I26="","",I26*N(J26)*IF(K26="",1,K26))</f>
        <v>4597000</v>
      </c>
      <c r="M26" s="34"/>
    </row>
    <row r="27" customFormat="false" ht="15" hidden="false" customHeight="false" outlineLevel="0" collapsed="false">
      <c r="A27" s="34" t="s">
        <v>21</v>
      </c>
      <c r="B27" s="35" t="n">
        <v>46220</v>
      </c>
      <c r="C27" s="36" t="n">
        <f aca="false">IF(B27="","",DATE(YEAR(B27),MONTH(B27),1))</f>
        <v>46204</v>
      </c>
      <c r="D27" s="34" t="s">
        <v>60</v>
      </c>
      <c r="E27" s="34" t="s">
        <v>87</v>
      </c>
      <c r="F27" s="34" t="s">
        <v>62</v>
      </c>
      <c r="G27" s="34" t="s">
        <v>88</v>
      </c>
      <c r="H27" s="34"/>
      <c r="I27" s="34" t="n">
        <v>1</v>
      </c>
      <c r="J27" s="37" t="n">
        <v>4821000</v>
      </c>
      <c r="K27" s="34" t="n">
        <v>1</v>
      </c>
      <c r="L27" s="38" t="n">
        <f aca="false">IF(I27="","",I27*N(J27)*IF(K27="",1,K27))</f>
        <v>4821000</v>
      </c>
      <c r="M27" s="34"/>
    </row>
    <row r="28" customFormat="false" ht="15" hidden="false" customHeight="false" outlineLevel="0" collapsed="false">
      <c r="A28" s="34" t="s">
        <v>21</v>
      </c>
      <c r="B28" s="35" t="n">
        <v>46220</v>
      </c>
      <c r="C28" s="36" t="n">
        <f aca="false">IF(B28="","",DATE(YEAR(B28),MONTH(B28),1))</f>
        <v>46204</v>
      </c>
      <c r="D28" s="34" t="s">
        <v>60</v>
      </c>
      <c r="E28" s="34" t="s">
        <v>93</v>
      </c>
      <c r="F28" s="34" t="s">
        <v>62</v>
      </c>
      <c r="G28" s="34" t="s">
        <v>94</v>
      </c>
      <c r="H28" s="34"/>
      <c r="I28" s="34" t="n">
        <v>1</v>
      </c>
      <c r="J28" s="37" t="n">
        <v>2712000</v>
      </c>
      <c r="K28" s="34" t="n">
        <v>1</v>
      </c>
      <c r="L28" s="38" t="n">
        <f aca="false">IF(I28="","",I28*N(J28)*IF(K28="",1,K28))</f>
        <v>2712000</v>
      </c>
      <c r="M28" s="39" t="s">
        <v>95</v>
      </c>
    </row>
    <row r="29" customFormat="false" ht="15" hidden="false" customHeight="false" outlineLevel="0" collapsed="false">
      <c r="A29" s="34" t="s">
        <v>21</v>
      </c>
      <c r="B29" s="35" t="n">
        <v>46220</v>
      </c>
      <c r="C29" s="36" t="n">
        <f aca="false">IF(B29="","",DATE(YEAR(B29),MONTH(B29),1))</f>
        <v>46204</v>
      </c>
      <c r="D29" s="34" t="s">
        <v>60</v>
      </c>
      <c r="E29" s="34" t="s">
        <v>71</v>
      </c>
      <c r="F29" s="34" t="s">
        <v>83</v>
      </c>
      <c r="G29" s="34" t="s">
        <v>72</v>
      </c>
      <c r="H29" s="34" t="s">
        <v>90</v>
      </c>
      <c r="I29" s="34" t="n">
        <v>2</v>
      </c>
      <c r="J29" s="37" t="n">
        <v>1302000</v>
      </c>
      <c r="K29" s="34" t="n">
        <v>1</v>
      </c>
      <c r="L29" s="38" t="n">
        <f aca="false">IF(I29="","",I29*N(J29)*IF(K29="",1,K29))</f>
        <v>2604000</v>
      </c>
      <c r="M29" s="34"/>
    </row>
    <row r="30" customFormat="false" ht="15" hidden="false" customHeight="false" outlineLevel="0" collapsed="false">
      <c r="A30" s="34" t="s">
        <v>21</v>
      </c>
      <c r="B30" s="35" t="n">
        <v>46220</v>
      </c>
      <c r="C30" s="36" t="n">
        <f aca="false">IF(B30="","",DATE(YEAR(B30),MONTH(B30),1))</f>
        <v>46204</v>
      </c>
      <c r="D30" s="34" t="s">
        <v>60</v>
      </c>
      <c r="E30" s="34" t="s">
        <v>71</v>
      </c>
      <c r="F30" s="34" t="s">
        <v>83</v>
      </c>
      <c r="G30" s="34" t="s">
        <v>72</v>
      </c>
      <c r="H30" s="34"/>
      <c r="I30" s="34" t="n">
        <v>2</v>
      </c>
      <c r="J30" s="37" t="n">
        <v>1302000</v>
      </c>
      <c r="K30" s="34" t="n">
        <v>1</v>
      </c>
      <c r="L30" s="38" t="n">
        <f aca="false">IF(I30="","",I30*N(J30)*IF(K30="",1,K30))</f>
        <v>2604000</v>
      </c>
      <c r="M30" s="34"/>
    </row>
    <row r="31" customFormat="false" ht="15" hidden="false" customHeight="false" outlineLevel="0" collapsed="false">
      <c r="A31" s="34" t="s">
        <v>21</v>
      </c>
      <c r="B31" s="35" t="n">
        <v>46220</v>
      </c>
      <c r="C31" s="36" t="n">
        <f aca="false">IF(B31="","",DATE(YEAR(B31),MONTH(B31),1))</f>
        <v>46204</v>
      </c>
      <c r="D31" s="34" t="s">
        <v>60</v>
      </c>
      <c r="E31" s="34" t="s">
        <v>68</v>
      </c>
      <c r="F31" s="34" t="s">
        <v>83</v>
      </c>
      <c r="G31" s="34" t="s">
        <v>69</v>
      </c>
      <c r="H31" s="34" t="s">
        <v>96</v>
      </c>
      <c r="I31" s="34" t="n">
        <v>1</v>
      </c>
      <c r="J31" s="37" t="n">
        <v>1536000</v>
      </c>
      <c r="K31" s="34" t="n">
        <v>1</v>
      </c>
      <c r="L31" s="38" t="n">
        <f aca="false">IF(I31="","",I31*N(J31)*IF(K31="",1,K31))</f>
        <v>1536000</v>
      </c>
      <c r="M31" s="34"/>
    </row>
    <row r="32" customFormat="false" ht="15" hidden="false" customHeight="false" outlineLevel="0" collapsed="false">
      <c r="A32" s="34" t="s">
        <v>21</v>
      </c>
      <c r="B32" s="35" t="n">
        <v>46220</v>
      </c>
      <c r="C32" s="36" t="n">
        <f aca="false">IF(B32="","",DATE(YEAR(B32),MONTH(B32),1))</f>
        <v>46204</v>
      </c>
      <c r="D32" s="34" t="s">
        <v>60</v>
      </c>
      <c r="E32" s="34" t="s">
        <v>87</v>
      </c>
      <c r="F32" s="34" t="s">
        <v>83</v>
      </c>
      <c r="G32" s="34" t="s">
        <v>88</v>
      </c>
      <c r="H32" s="34" t="s">
        <v>89</v>
      </c>
      <c r="I32" s="34" t="n">
        <v>2</v>
      </c>
      <c r="J32" s="37" t="n">
        <v>1447000</v>
      </c>
      <c r="K32" s="34" t="n">
        <v>1</v>
      </c>
      <c r="L32" s="38" t="n">
        <f aca="false">IF(I32="","",I32*N(J32)*IF(K32="",1,K32))</f>
        <v>2894000</v>
      </c>
      <c r="M32" s="34"/>
    </row>
    <row r="33" customFormat="false" ht="15" hidden="false" customHeight="false" outlineLevel="0" collapsed="false">
      <c r="A33" s="34" t="s">
        <v>21</v>
      </c>
      <c r="B33" s="35" t="n">
        <v>46220</v>
      </c>
      <c r="C33" s="36" t="n">
        <f aca="false">IF(B33="","",DATE(YEAR(B33),MONTH(B33),1))</f>
        <v>46204</v>
      </c>
      <c r="D33" s="34" t="s">
        <v>60</v>
      </c>
      <c r="E33" s="34" t="s">
        <v>68</v>
      </c>
      <c r="F33" s="34" t="s">
        <v>62</v>
      </c>
      <c r="G33" s="34" t="s">
        <v>69</v>
      </c>
      <c r="H33" s="34" t="s">
        <v>97</v>
      </c>
      <c r="I33" s="34" t="n">
        <v>1</v>
      </c>
      <c r="J33" s="37" t="n">
        <v>5331000</v>
      </c>
      <c r="K33" s="34" t="n">
        <v>1</v>
      </c>
      <c r="L33" s="38" t="n">
        <f aca="false">IF(I33="","",I33*N(J33)*IF(K33="",1,K33))</f>
        <v>5331000</v>
      </c>
      <c r="M33" s="34"/>
    </row>
    <row r="34" customFormat="false" ht="15" hidden="false" customHeight="false" outlineLevel="0" collapsed="false">
      <c r="A34" s="34" t="s">
        <v>21</v>
      </c>
      <c r="B34" s="35" t="n">
        <v>46220</v>
      </c>
      <c r="C34" s="36" t="n">
        <f aca="false">IF(B34="","",DATE(YEAR(B34),MONTH(B34),1))</f>
        <v>46204</v>
      </c>
      <c r="D34" s="34" t="s">
        <v>60</v>
      </c>
      <c r="E34" s="34" t="s">
        <v>98</v>
      </c>
      <c r="F34" s="34" t="s">
        <v>62</v>
      </c>
      <c r="G34" s="34" t="s">
        <v>99</v>
      </c>
      <c r="H34" s="34" t="s">
        <v>97</v>
      </c>
      <c r="I34" s="34" t="n">
        <v>2</v>
      </c>
      <c r="J34" s="37" t="n">
        <v>3131000</v>
      </c>
      <c r="K34" s="34" t="n">
        <v>1</v>
      </c>
      <c r="L34" s="38" t="n">
        <f aca="false">IF(I34="","",I34*N(J34)*IF(K34="",1,K34))</f>
        <v>6262000</v>
      </c>
      <c r="M34" s="34"/>
    </row>
    <row r="35" customFormat="false" ht="15" hidden="false" customHeight="false" outlineLevel="0" collapsed="false">
      <c r="A35" s="34" t="s">
        <v>21</v>
      </c>
      <c r="B35" s="35" t="n">
        <v>46247</v>
      </c>
      <c r="C35" s="36" t="n">
        <f aca="false">IF(B35="","",DATE(YEAR(B35),MONTH(B35),1))</f>
        <v>46235</v>
      </c>
      <c r="D35" s="34" t="s">
        <v>60</v>
      </c>
      <c r="E35" s="34" t="s">
        <v>87</v>
      </c>
      <c r="F35" s="34" t="s">
        <v>62</v>
      </c>
      <c r="G35" s="34" t="s">
        <v>88</v>
      </c>
      <c r="H35" s="34"/>
      <c r="I35" s="34" t="n">
        <v>5</v>
      </c>
      <c r="J35" s="37" t="n">
        <v>4821000</v>
      </c>
      <c r="K35" s="34" t="n">
        <v>1</v>
      </c>
      <c r="L35" s="38" t="n">
        <f aca="false">IF(I35="","",I35*N(J35)*IF(K35="",1,K35))</f>
        <v>24105000</v>
      </c>
      <c r="M35" s="34"/>
    </row>
    <row r="36" customFormat="false" ht="15" hidden="false" customHeight="false" outlineLevel="0" collapsed="false">
      <c r="A36" s="34" t="s">
        <v>21</v>
      </c>
      <c r="B36" s="35" t="n">
        <v>46247</v>
      </c>
      <c r="C36" s="36" t="n">
        <f aca="false">IF(B36="","",DATE(YEAR(B36),MONTH(B36),1))</f>
        <v>46235</v>
      </c>
      <c r="D36" s="34" t="s">
        <v>60</v>
      </c>
      <c r="E36" s="34" t="s">
        <v>85</v>
      </c>
      <c r="F36" s="34" t="s">
        <v>62</v>
      </c>
      <c r="G36" s="34" t="s">
        <v>86</v>
      </c>
      <c r="H36" s="34"/>
      <c r="I36" s="34" t="n">
        <v>5</v>
      </c>
      <c r="J36" s="37" t="n">
        <v>3012000</v>
      </c>
      <c r="K36" s="34" t="n">
        <v>1</v>
      </c>
      <c r="L36" s="38" t="n">
        <f aca="false">IF(I36="","",I36*N(J36)*IF(K36="",1,K36))</f>
        <v>15060000</v>
      </c>
      <c r="M36" s="34"/>
    </row>
    <row r="37" customFormat="false" ht="15" hidden="false" customHeight="false" outlineLevel="0" collapsed="false">
      <c r="A37" s="34" t="s">
        <v>21</v>
      </c>
      <c r="B37" s="35" t="n">
        <v>46268</v>
      </c>
      <c r="C37" s="36" t="n">
        <f aca="false">IF(B37="","",DATE(YEAR(B37),MONTH(B37),1))</f>
        <v>46266</v>
      </c>
      <c r="D37" s="34" t="s">
        <v>60</v>
      </c>
      <c r="E37" s="34" t="s">
        <v>100</v>
      </c>
      <c r="F37" s="34" t="s">
        <v>62</v>
      </c>
      <c r="G37" s="34" t="s">
        <v>101</v>
      </c>
      <c r="H37" s="34"/>
      <c r="I37" s="34" t="n">
        <v>2</v>
      </c>
      <c r="J37" s="37" t="n">
        <v>5025000</v>
      </c>
      <c r="K37" s="34" t="n">
        <v>1</v>
      </c>
      <c r="L37" s="38" t="n">
        <f aca="false">IF(I37="","",I37*N(J37)*IF(K37="",1,K37))</f>
        <v>10050000</v>
      </c>
      <c r="M37" s="34"/>
    </row>
    <row r="38" customFormat="false" ht="15" hidden="false" customHeight="false" outlineLevel="0" collapsed="false">
      <c r="A38" s="34" t="s">
        <v>21</v>
      </c>
      <c r="B38" s="35" t="n">
        <v>46269</v>
      </c>
      <c r="C38" s="36" t="n">
        <f aca="false">IF(B38="","",DATE(YEAR(B38),MONTH(B38),1))</f>
        <v>46266</v>
      </c>
      <c r="D38" s="34" t="s">
        <v>60</v>
      </c>
      <c r="E38" s="34" t="s">
        <v>93</v>
      </c>
      <c r="F38" s="34" t="s">
        <v>62</v>
      </c>
      <c r="G38" s="34" t="s">
        <v>94</v>
      </c>
      <c r="H38" s="34"/>
      <c r="I38" s="34" t="n">
        <v>3</v>
      </c>
      <c r="J38" s="37" t="n">
        <v>2712000</v>
      </c>
      <c r="K38" s="34" t="n">
        <v>1</v>
      </c>
      <c r="L38" s="38" t="n">
        <f aca="false">IF(I38="","",I38*N(J38)*IF(K38="",1,K38))</f>
        <v>8136000</v>
      </c>
      <c r="M38" s="39" t="s">
        <v>95</v>
      </c>
    </row>
    <row r="39" customFormat="false" ht="15" hidden="false" customHeight="false" outlineLevel="0" collapsed="false">
      <c r="A39" s="34" t="s">
        <v>21</v>
      </c>
      <c r="B39" s="35" t="n">
        <v>46269</v>
      </c>
      <c r="C39" s="36" t="n">
        <f aca="false">IF(B39="","",DATE(YEAR(B39),MONTH(B39),1))</f>
        <v>46266</v>
      </c>
      <c r="D39" s="34" t="s">
        <v>60</v>
      </c>
      <c r="E39" s="34" t="s">
        <v>102</v>
      </c>
      <c r="F39" s="34" t="s">
        <v>62</v>
      </c>
      <c r="G39" s="34" t="s">
        <v>103</v>
      </c>
      <c r="H39" s="34"/>
      <c r="I39" s="34" t="n">
        <v>2</v>
      </c>
      <c r="J39" s="37" t="n">
        <v>4106000</v>
      </c>
      <c r="K39" s="34" t="n">
        <v>1</v>
      </c>
      <c r="L39" s="38" t="n">
        <f aca="false">IF(I39="","",I39*N(J39)*IF(K39="",1,K39))</f>
        <v>8212000</v>
      </c>
      <c r="M39" s="34"/>
    </row>
    <row r="40" customFormat="false" ht="15" hidden="false" customHeight="false" outlineLevel="0" collapsed="false">
      <c r="A40" s="34" t="s">
        <v>21</v>
      </c>
      <c r="B40" s="35" t="n">
        <v>46269</v>
      </c>
      <c r="C40" s="36" t="n">
        <f aca="false">IF(B40="","",DATE(YEAR(B40),MONTH(B40),1))</f>
        <v>46266</v>
      </c>
      <c r="D40" s="34" t="s">
        <v>60</v>
      </c>
      <c r="E40" s="34" t="s">
        <v>85</v>
      </c>
      <c r="F40" s="34" t="s">
        <v>62</v>
      </c>
      <c r="G40" s="34" t="s">
        <v>86</v>
      </c>
      <c r="H40" s="34"/>
      <c r="I40" s="34" t="n">
        <v>2</v>
      </c>
      <c r="J40" s="37" t="n">
        <v>3012000</v>
      </c>
      <c r="K40" s="34" t="n">
        <v>1</v>
      </c>
      <c r="L40" s="38" t="n">
        <f aca="false">IF(I40="","",I40*N(J40)*IF(K40="",1,K40))</f>
        <v>6024000</v>
      </c>
      <c r="M40" s="34"/>
    </row>
    <row r="41" customFormat="false" ht="15" hidden="false" customHeight="false" outlineLevel="0" collapsed="false">
      <c r="A41" s="34" t="s">
        <v>21</v>
      </c>
      <c r="B41" s="35" t="n">
        <v>46269</v>
      </c>
      <c r="C41" s="36" t="n">
        <f aca="false">IF(B41="","",DATE(YEAR(B41),MONTH(B41),1))</f>
        <v>46266</v>
      </c>
      <c r="D41" s="34" t="s">
        <v>60</v>
      </c>
      <c r="E41" s="34" t="s">
        <v>87</v>
      </c>
      <c r="F41" s="34" t="s">
        <v>62</v>
      </c>
      <c r="G41" s="34" t="s">
        <v>88</v>
      </c>
      <c r="H41" s="34"/>
      <c r="I41" s="34" t="n">
        <v>1</v>
      </c>
      <c r="J41" s="37" t="n">
        <v>4821000</v>
      </c>
      <c r="K41" s="34" t="n">
        <v>1</v>
      </c>
      <c r="L41" s="38" t="n">
        <f aca="false">IF(I41="","",I41*N(J41)*IF(K41="",1,K41))</f>
        <v>4821000</v>
      </c>
      <c r="M41" s="34"/>
    </row>
    <row r="42" customFormat="false" ht="15" hidden="false" customHeight="false" outlineLevel="0" collapsed="false">
      <c r="A42" s="34" t="s">
        <v>21</v>
      </c>
      <c r="B42" s="35" t="n">
        <v>46269</v>
      </c>
      <c r="C42" s="36" t="n">
        <f aca="false">IF(B42="","",DATE(YEAR(B42),MONTH(B42),1))</f>
        <v>46266</v>
      </c>
      <c r="D42" s="34" t="s">
        <v>60</v>
      </c>
      <c r="E42" s="34" t="s">
        <v>104</v>
      </c>
      <c r="F42" s="34" t="s">
        <v>105</v>
      </c>
      <c r="G42" s="34" t="s">
        <v>106</v>
      </c>
      <c r="H42" s="34"/>
      <c r="I42" s="34" t="n">
        <v>3</v>
      </c>
      <c r="J42" s="37" t="n">
        <v>481000</v>
      </c>
      <c r="K42" s="34" t="n">
        <v>1</v>
      </c>
      <c r="L42" s="38" t="n">
        <f aca="false">IF(I42="","",I42*N(J42)*IF(K42="",1,K42))</f>
        <v>1443000</v>
      </c>
      <c r="M42" s="34"/>
    </row>
    <row r="43" customFormat="false" ht="15" hidden="false" customHeight="false" outlineLevel="0" collapsed="false">
      <c r="A43" s="34" t="s">
        <v>21</v>
      </c>
      <c r="B43" s="35" t="n">
        <v>46271</v>
      </c>
      <c r="C43" s="36" t="n">
        <f aca="false">IF(B43="","",DATE(YEAR(B43),MONTH(B43),1))</f>
        <v>46266</v>
      </c>
      <c r="D43" s="34" t="s">
        <v>60</v>
      </c>
      <c r="E43" s="34" t="s">
        <v>68</v>
      </c>
      <c r="F43" s="34" t="s">
        <v>62</v>
      </c>
      <c r="G43" s="34" t="s">
        <v>69</v>
      </c>
      <c r="H43" s="34" t="s">
        <v>107</v>
      </c>
      <c r="I43" s="34" t="n">
        <v>1</v>
      </c>
      <c r="J43" s="37" t="n">
        <v>5331000</v>
      </c>
      <c r="K43" s="34" t="n">
        <v>1</v>
      </c>
      <c r="L43" s="38" t="n">
        <f aca="false">IF(I43="","",I43*N(J43)*IF(K43="",1,K43))</f>
        <v>5331000</v>
      </c>
      <c r="M43" s="34"/>
    </row>
    <row r="44" customFormat="false" ht="15" hidden="false" customHeight="false" outlineLevel="0" collapsed="false">
      <c r="A44" s="34" t="s">
        <v>21</v>
      </c>
      <c r="B44" s="35" t="n">
        <v>46271</v>
      </c>
      <c r="C44" s="36" t="n">
        <f aca="false">IF(B44="","",DATE(YEAR(B44),MONTH(B44),1))</f>
        <v>46266</v>
      </c>
      <c r="D44" s="34" t="s">
        <v>60</v>
      </c>
      <c r="E44" s="34" t="s">
        <v>68</v>
      </c>
      <c r="F44" s="34" t="s">
        <v>83</v>
      </c>
      <c r="G44" s="34" t="s">
        <v>69</v>
      </c>
      <c r="H44" s="34" t="s">
        <v>108</v>
      </c>
      <c r="I44" s="34" t="n">
        <v>1</v>
      </c>
      <c r="J44" s="37" t="n">
        <v>1536000</v>
      </c>
      <c r="K44" s="34" t="n">
        <v>1.15</v>
      </c>
      <c r="L44" s="38" t="n">
        <f aca="false">IF(I44="","",I44*N(J44)*IF(K44="",1,K44))</f>
        <v>1766400</v>
      </c>
      <c r="M44" s="34"/>
    </row>
    <row r="45" customFormat="false" ht="15" hidden="false" customHeight="false" outlineLevel="0" collapsed="false">
      <c r="A45" s="34" t="s">
        <v>21</v>
      </c>
      <c r="B45" s="35" t="n">
        <v>46271</v>
      </c>
      <c r="C45" s="36" t="n">
        <f aca="false">IF(B45="","",DATE(YEAR(B45),MONTH(B45),1))</f>
        <v>46266</v>
      </c>
      <c r="D45" s="34" t="s">
        <v>60</v>
      </c>
      <c r="E45" s="34" t="s">
        <v>68</v>
      </c>
      <c r="F45" s="34" t="s">
        <v>109</v>
      </c>
      <c r="G45" s="34" t="s">
        <v>69</v>
      </c>
      <c r="H45" s="34" t="s">
        <v>110</v>
      </c>
      <c r="I45" s="34" t="n">
        <v>1</v>
      </c>
      <c r="J45" s="37" t="n">
        <v>409000</v>
      </c>
      <c r="K45" s="34" t="n">
        <v>1</v>
      </c>
      <c r="L45" s="38" t="n">
        <f aca="false">IF(I45="","",I45*N(J45)*IF(K45="",1,K45))</f>
        <v>409000</v>
      </c>
      <c r="M45" s="34"/>
    </row>
    <row r="46" customFormat="false" ht="15" hidden="false" customHeight="false" outlineLevel="0" collapsed="false">
      <c r="A46" s="34" t="s">
        <v>21</v>
      </c>
      <c r="B46" s="35" t="n">
        <v>46271</v>
      </c>
      <c r="C46" s="36" t="n">
        <f aca="false">IF(B46="","",DATE(YEAR(B46),MONTH(B46),1))</f>
        <v>46266</v>
      </c>
      <c r="D46" s="34" t="s">
        <v>60</v>
      </c>
      <c r="E46" s="34" t="s">
        <v>68</v>
      </c>
      <c r="F46" s="34" t="s">
        <v>109</v>
      </c>
      <c r="G46" s="34" t="s">
        <v>69</v>
      </c>
      <c r="H46" s="34" t="s">
        <v>111</v>
      </c>
      <c r="I46" s="34" t="n">
        <v>1</v>
      </c>
      <c r="J46" s="37" t="n">
        <v>409000</v>
      </c>
      <c r="K46" s="34" t="n">
        <v>1</v>
      </c>
      <c r="L46" s="38" t="n">
        <f aca="false">IF(I46="","",I46*N(J46)*IF(K46="",1,K46))</f>
        <v>409000</v>
      </c>
      <c r="M46" s="34"/>
    </row>
    <row r="47" customFormat="false" ht="15" hidden="false" customHeight="false" outlineLevel="0" collapsed="false">
      <c r="A47" s="34" t="s">
        <v>21</v>
      </c>
      <c r="B47" s="35" t="n">
        <v>46271</v>
      </c>
      <c r="C47" s="36" t="n">
        <f aca="false">IF(B47="","",DATE(YEAR(B47),MONTH(B47),1))</f>
        <v>46266</v>
      </c>
      <c r="D47" s="34" t="s">
        <v>60</v>
      </c>
      <c r="E47" s="34" t="s">
        <v>85</v>
      </c>
      <c r="F47" s="34" t="s">
        <v>62</v>
      </c>
      <c r="G47" s="34" t="s">
        <v>86</v>
      </c>
      <c r="H47" s="34"/>
      <c r="I47" s="34" t="n">
        <v>1</v>
      </c>
      <c r="J47" s="37"/>
      <c r="K47" s="34"/>
      <c r="L47" s="38" t="n">
        <f aca="false">IF(I47="","",I47*N(J47)*IF(K47="",1,K47))</f>
        <v>0</v>
      </c>
      <c r="M47" s="39" t="s">
        <v>112</v>
      </c>
    </row>
    <row r="48" customFormat="false" ht="15" hidden="false" customHeight="false" outlineLevel="0" collapsed="false">
      <c r="A48" s="34" t="s">
        <v>21</v>
      </c>
      <c r="B48" s="35" t="n">
        <v>46273</v>
      </c>
      <c r="C48" s="36" t="n">
        <f aca="false">IF(B48="","",DATE(YEAR(B48),MONTH(B48),1))</f>
        <v>46266</v>
      </c>
      <c r="D48" s="34" t="s">
        <v>60</v>
      </c>
      <c r="E48" s="34" t="s">
        <v>71</v>
      </c>
      <c r="F48" s="34" t="s">
        <v>62</v>
      </c>
      <c r="G48" s="34" t="s">
        <v>72</v>
      </c>
      <c r="H48" s="34" t="s">
        <v>80</v>
      </c>
      <c r="I48" s="34" t="n">
        <v>5</v>
      </c>
      <c r="J48" s="37" t="n">
        <v>4597000</v>
      </c>
      <c r="K48" s="34" t="n">
        <v>1</v>
      </c>
      <c r="L48" s="38" t="n">
        <f aca="false">IF(I48="","",I48*N(J48)*IF(K48="",1,K48))</f>
        <v>22985000</v>
      </c>
      <c r="M48" s="34"/>
    </row>
    <row r="49" customFormat="false" ht="15" hidden="false" customHeight="false" outlineLevel="0" collapsed="false">
      <c r="A49" s="34" t="s">
        <v>21</v>
      </c>
      <c r="B49" s="35" t="n">
        <v>46273</v>
      </c>
      <c r="C49" s="36" t="n">
        <f aca="false">IF(B49="","",DATE(YEAR(B49),MONTH(B49),1))</f>
        <v>46266</v>
      </c>
      <c r="D49" s="34" t="s">
        <v>60</v>
      </c>
      <c r="E49" s="34" t="s">
        <v>93</v>
      </c>
      <c r="F49" s="34" t="s">
        <v>62</v>
      </c>
      <c r="G49" s="34" t="s">
        <v>94</v>
      </c>
      <c r="H49" s="34"/>
      <c r="I49" s="34" t="n">
        <v>1</v>
      </c>
      <c r="J49" s="37" t="n">
        <v>2712000</v>
      </c>
      <c r="K49" s="34" t="n">
        <v>1</v>
      </c>
      <c r="L49" s="38" t="n">
        <f aca="false">IF(I49="","",I49*N(J49)*IF(K49="",1,K49))</f>
        <v>2712000</v>
      </c>
      <c r="M49" s="39" t="s">
        <v>95</v>
      </c>
    </row>
    <row r="50" customFormat="false" ht="15" hidden="false" customHeight="false" outlineLevel="0" collapsed="false">
      <c r="A50" s="34" t="s">
        <v>21</v>
      </c>
      <c r="B50" s="35" t="n">
        <v>46273</v>
      </c>
      <c r="C50" s="36" t="n">
        <f aca="false">IF(B50="","",DATE(YEAR(B50),MONTH(B50),1))</f>
        <v>46266</v>
      </c>
      <c r="D50" s="34" t="s">
        <v>60</v>
      </c>
      <c r="E50" s="34" t="s">
        <v>71</v>
      </c>
      <c r="F50" s="34" t="s">
        <v>83</v>
      </c>
      <c r="G50" s="34" t="s">
        <v>72</v>
      </c>
      <c r="H50" s="34" t="s">
        <v>113</v>
      </c>
      <c r="I50" s="34" t="n">
        <v>2</v>
      </c>
      <c r="J50" s="37" t="n">
        <v>1302000</v>
      </c>
      <c r="K50" s="34" t="n">
        <v>1</v>
      </c>
      <c r="L50" s="38" t="n">
        <f aca="false">IF(I50="","",I50*N(J50)*IF(K50="",1,K50))</f>
        <v>2604000</v>
      </c>
      <c r="M50" s="34"/>
    </row>
    <row r="51" customFormat="false" ht="15" hidden="false" customHeight="false" outlineLevel="0" collapsed="false">
      <c r="A51" s="34" t="s">
        <v>21</v>
      </c>
      <c r="B51" s="35" t="n">
        <v>46285</v>
      </c>
      <c r="C51" s="36" t="n">
        <f aca="false">IF(B51="","",DATE(YEAR(B51),MONTH(B51),1))</f>
        <v>46266</v>
      </c>
      <c r="D51" s="34" t="s">
        <v>60</v>
      </c>
      <c r="E51" s="34" t="s">
        <v>85</v>
      </c>
      <c r="F51" s="34" t="s">
        <v>62</v>
      </c>
      <c r="G51" s="34" t="s">
        <v>86</v>
      </c>
      <c r="H51" s="34"/>
      <c r="I51" s="34" t="n">
        <v>2</v>
      </c>
      <c r="J51" s="37" t="n">
        <v>3012000</v>
      </c>
      <c r="K51" s="34" t="n">
        <v>1</v>
      </c>
      <c r="L51" s="38" t="n">
        <f aca="false">IF(I51="","",I51*N(J51)*IF(K51="",1,K51))</f>
        <v>6024000</v>
      </c>
      <c r="M51" s="34"/>
    </row>
    <row r="52" customFormat="false" ht="15" hidden="false" customHeight="false" outlineLevel="0" collapsed="false">
      <c r="A52" s="34" t="s">
        <v>21</v>
      </c>
      <c r="B52" s="35" t="n">
        <v>46285</v>
      </c>
      <c r="C52" s="36" t="n">
        <f aca="false">IF(B52="","",DATE(YEAR(B52),MONTH(B52),1))</f>
        <v>46266</v>
      </c>
      <c r="D52" s="34" t="s">
        <v>60</v>
      </c>
      <c r="E52" s="34" t="s">
        <v>71</v>
      </c>
      <c r="F52" s="34" t="s">
        <v>62</v>
      </c>
      <c r="G52" s="34" t="s">
        <v>72</v>
      </c>
      <c r="H52" s="34" t="s">
        <v>80</v>
      </c>
      <c r="I52" s="34" t="n">
        <v>1</v>
      </c>
      <c r="J52" s="37" t="n">
        <v>4597000</v>
      </c>
      <c r="K52" s="34" t="n">
        <v>1</v>
      </c>
      <c r="L52" s="38" t="n">
        <f aca="false">IF(I52="","",I52*N(J52)*IF(K52="",1,K52))</f>
        <v>4597000</v>
      </c>
      <c r="M52" s="34"/>
    </row>
    <row r="53" customFormat="false" ht="15" hidden="false" customHeight="false" outlineLevel="0" collapsed="false">
      <c r="A53" s="34" t="s">
        <v>21</v>
      </c>
      <c r="B53" s="35" t="n">
        <v>46285</v>
      </c>
      <c r="C53" s="36" t="n">
        <f aca="false">IF(B53="","",DATE(YEAR(B53),MONTH(B53),1))</f>
        <v>46266</v>
      </c>
      <c r="D53" s="34" t="s">
        <v>60</v>
      </c>
      <c r="E53" s="34" t="s">
        <v>114</v>
      </c>
      <c r="F53" s="34" t="s">
        <v>62</v>
      </c>
      <c r="G53" s="34" t="s">
        <v>115</v>
      </c>
      <c r="H53" s="34" t="s">
        <v>80</v>
      </c>
      <c r="I53" s="34" t="n">
        <v>1</v>
      </c>
      <c r="J53" s="37" t="n">
        <v>2128000</v>
      </c>
      <c r="K53" s="34" t="n">
        <v>1</v>
      </c>
      <c r="L53" s="38" t="n">
        <f aca="false">IF(I53="","",I53*N(J53)*IF(K53="",1,K53))</f>
        <v>2128000</v>
      </c>
      <c r="M53" s="34"/>
    </row>
    <row r="54" customFormat="false" ht="15" hidden="false" customHeight="false" outlineLevel="0" collapsed="false">
      <c r="A54" s="34" t="s">
        <v>21</v>
      </c>
      <c r="B54" s="35" t="n">
        <v>46285</v>
      </c>
      <c r="C54" s="36" t="n">
        <f aca="false">IF(B54="","",DATE(YEAR(B54),MONTH(B54),1))</f>
        <v>46266</v>
      </c>
      <c r="D54" s="34" t="s">
        <v>60</v>
      </c>
      <c r="E54" s="34" t="s">
        <v>100</v>
      </c>
      <c r="F54" s="34" t="s">
        <v>83</v>
      </c>
      <c r="G54" s="34" t="s">
        <v>101</v>
      </c>
      <c r="H54" s="34"/>
      <c r="I54" s="34" t="n">
        <v>1</v>
      </c>
      <c r="J54" s="37" t="n">
        <v>1470000</v>
      </c>
      <c r="K54" s="34" t="n">
        <v>1</v>
      </c>
      <c r="L54" s="38" t="n">
        <f aca="false">IF(I54="","",I54*N(J54)*IF(K54="",1,K54))</f>
        <v>1470000</v>
      </c>
      <c r="M54" s="34"/>
    </row>
    <row r="55" customFormat="false" ht="15" hidden="false" customHeight="false" outlineLevel="0" collapsed="false">
      <c r="A55" s="34" t="s">
        <v>21</v>
      </c>
      <c r="B55" s="35" t="n">
        <v>46285</v>
      </c>
      <c r="C55" s="36" t="n">
        <f aca="false">IF(B55="","",DATE(YEAR(B55),MONTH(B55),1))</f>
        <v>46266</v>
      </c>
      <c r="D55" s="34" t="s">
        <v>60</v>
      </c>
      <c r="E55" s="34" t="s">
        <v>102</v>
      </c>
      <c r="F55" s="34" t="s">
        <v>83</v>
      </c>
      <c r="G55" s="34" t="s">
        <v>103</v>
      </c>
      <c r="H55" s="34"/>
      <c r="I55" s="34" t="n">
        <v>1</v>
      </c>
      <c r="J55" s="37" t="n">
        <v>1419000</v>
      </c>
      <c r="K55" s="34" t="n">
        <v>1</v>
      </c>
      <c r="L55" s="38" t="n">
        <f aca="false">IF(I55="","",I55*N(J55)*IF(K55="",1,K55))</f>
        <v>1419000</v>
      </c>
      <c r="M55" s="34"/>
    </row>
    <row r="56" customFormat="false" ht="15" hidden="false" customHeight="false" outlineLevel="0" collapsed="false">
      <c r="A56" s="34" t="s">
        <v>21</v>
      </c>
      <c r="B56" s="35" t="n">
        <v>46285</v>
      </c>
      <c r="C56" s="36" t="n">
        <f aca="false">IF(B56="","",DATE(YEAR(B56),MONTH(B56),1))</f>
        <v>46266</v>
      </c>
      <c r="D56" s="34" t="s">
        <v>60</v>
      </c>
      <c r="E56" s="34" t="s">
        <v>71</v>
      </c>
      <c r="F56" s="34" t="s">
        <v>83</v>
      </c>
      <c r="G56" s="34" t="s">
        <v>72</v>
      </c>
      <c r="H56" s="34" t="s">
        <v>89</v>
      </c>
      <c r="I56" s="34" t="n">
        <v>1</v>
      </c>
      <c r="J56" s="37" t="n">
        <v>1302000</v>
      </c>
      <c r="K56" s="34" t="n">
        <v>1</v>
      </c>
      <c r="L56" s="38" t="n">
        <f aca="false">IF(I56="","",I56*N(J56)*IF(K56="",1,K56))</f>
        <v>1302000</v>
      </c>
      <c r="M56" s="34"/>
    </row>
    <row r="57" customFormat="false" ht="15" hidden="false" customHeight="false" outlineLevel="0" collapsed="false">
      <c r="A57" s="34" t="s">
        <v>21</v>
      </c>
      <c r="B57" s="35" t="n">
        <v>46285</v>
      </c>
      <c r="C57" s="36" t="n">
        <f aca="false">IF(B57="","",DATE(YEAR(B57),MONTH(B57),1))</f>
        <v>46266</v>
      </c>
      <c r="D57" s="34" t="s">
        <v>60</v>
      </c>
      <c r="E57" s="34" t="s">
        <v>71</v>
      </c>
      <c r="F57" s="34" t="s">
        <v>83</v>
      </c>
      <c r="G57" s="34" t="s">
        <v>72</v>
      </c>
      <c r="H57" s="34" t="s">
        <v>116</v>
      </c>
      <c r="I57" s="34" t="n">
        <v>1</v>
      </c>
      <c r="J57" s="37" t="n">
        <v>1302000</v>
      </c>
      <c r="K57" s="34" t="n">
        <v>1</v>
      </c>
      <c r="L57" s="38" t="n">
        <f aca="false">IF(I57="","",I57*N(J57)*IF(K57="",1,K57))</f>
        <v>1302000</v>
      </c>
      <c r="M57" s="34"/>
    </row>
    <row r="58" customFormat="false" ht="15" hidden="false" customHeight="false" outlineLevel="0" collapsed="false">
      <c r="A58" s="34" t="s">
        <v>21</v>
      </c>
      <c r="B58" s="35" t="n">
        <v>46285</v>
      </c>
      <c r="C58" s="36" t="n">
        <f aca="false">IF(B58="","",DATE(YEAR(B58),MONTH(B58),1))</f>
        <v>46266</v>
      </c>
      <c r="D58" s="34" t="s">
        <v>60</v>
      </c>
      <c r="E58" s="34" t="s">
        <v>68</v>
      </c>
      <c r="F58" s="34" t="s">
        <v>109</v>
      </c>
      <c r="G58" s="34" t="s">
        <v>69</v>
      </c>
      <c r="H58" s="34" t="s">
        <v>117</v>
      </c>
      <c r="I58" s="34" t="n">
        <v>2</v>
      </c>
      <c r="J58" s="37" t="n">
        <v>409000</v>
      </c>
      <c r="K58" s="34" t="n">
        <v>1</v>
      </c>
      <c r="L58" s="38" t="n">
        <f aca="false">IF(I58="","",I58*N(J58)*IF(K58="",1,K58))</f>
        <v>818000</v>
      </c>
      <c r="M58" s="34"/>
    </row>
    <row r="59" customFormat="false" ht="15" hidden="false" customHeight="false" outlineLevel="0" collapsed="false">
      <c r="A59" s="34" t="s">
        <v>21</v>
      </c>
      <c r="B59" s="35" t="n">
        <v>46290</v>
      </c>
      <c r="C59" s="36" t="n">
        <f aca="false">IF(B59="","",DATE(YEAR(B59),MONTH(B59),1))</f>
        <v>46266</v>
      </c>
      <c r="D59" s="34" t="s">
        <v>60</v>
      </c>
      <c r="E59" s="34" t="s">
        <v>100</v>
      </c>
      <c r="F59" s="34" t="s">
        <v>62</v>
      </c>
      <c r="G59" s="34" t="s">
        <v>101</v>
      </c>
      <c r="H59" s="34"/>
      <c r="I59" s="34" t="n">
        <v>1</v>
      </c>
      <c r="J59" s="37" t="n">
        <v>5025000</v>
      </c>
      <c r="K59" s="34" t="n">
        <v>1</v>
      </c>
      <c r="L59" s="38" t="n">
        <f aca="false">IF(I59="","",I59*N(J59)*IF(K59="",1,K59))</f>
        <v>5025000</v>
      </c>
      <c r="M59" s="34"/>
    </row>
    <row r="60" customFormat="false" ht="15" hidden="false" customHeight="false" outlineLevel="0" collapsed="false">
      <c r="A60" s="34" t="s">
        <v>21</v>
      </c>
      <c r="B60" s="35" t="n">
        <v>46290</v>
      </c>
      <c r="C60" s="36" t="n">
        <f aca="false">IF(B60="","",DATE(YEAR(B60),MONTH(B60),1))</f>
        <v>46266</v>
      </c>
      <c r="D60" s="34" t="s">
        <v>60</v>
      </c>
      <c r="E60" s="34" t="s">
        <v>87</v>
      </c>
      <c r="F60" s="34" t="s">
        <v>83</v>
      </c>
      <c r="G60" s="34" t="s">
        <v>88</v>
      </c>
      <c r="H60" s="34" t="s">
        <v>89</v>
      </c>
      <c r="I60" s="34" t="n">
        <v>1</v>
      </c>
      <c r="J60" s="37" t="n">
        <v>1447000</v>
      </c>
      <c r="K60" s="34" t="n">
        <v>1</v>
      </c>
      <c r="L60" s="38" t="n">
        <f aca="false">IF(I60="","",I60*N(J60)*IF(K60="",1,K60))</f>
        <v>1447000</v>
      </c>
      <c r="M60" s="34"/>
    </row>
    <row r="61" customFormat="false" ht="15" hidden="false" customHeight="false" outlineLevel="0" collapsed="false">
      <c r="A61" s="34"/>
      <c r="B61" s="35"/>
      <c r="C61" s="36" t="str">
        <f aca="false">IF(B61="","",DATE(YEAR(B61),MONTH(B61),1))</f>
        <v/>
      </c>
      <c r="D61" s="34"/>
      <c r="E61" s="34"/>
      <c r="F61" s="34"/>
      <c r="G61" s="34"/>
      <c r="H61" s="34"/>
      <c r="I61" s="34"/>
      <c r="J61" s="37"/>
      <c r="K61" s="34"/>
      <c r="L61" s="38" t="str">
        <f aca="false">IF(I61="","",I61*N(J61)*IF(K61="",1,K61))</f>
        <v/>
      </c>
      <c r="M61" s="34"/>
    </row>
    <row r="62" customFormat="false" ht="15" hidden="false" customHeight="false" outlineLevel="0" collapsed="false">
      <c r="A62" s="34"/>
      <c r="B62" s="35"/>
      <c r="C62" s="36" t="str">
        <f aca="false">IF(B62="","",DATE(YEAR(B62),MONTH(B62),1))</f>
        <v/>
      </c>
      <c r="D62" s="34"/>
      <c r="E62" s="34"/>
      <c r="F62" s="34"/>
      <c r="G62" s="34"/>
      <c r="H62" s="34"/>
      <c r="I62" s="34"/>
      <c r="J62" s="37"/>
      <c r="K62" s="34"/>
      <c r="L62" s="38" t="str">
        <f aca="false">IF(I62="","",I62*N(J62)*IF(K62="",1,K62))</f>
        <v/>
      </c>
      <c r="M62" s="34"/>
    </row>
    <row r="63" customFormat="false" ht="15" hidden="false" customHeight="false" outlineLevel="0" collapsed="false">
      <c r="A63" s="34"/>
      <c r="B63" s="35"/>
      <c r="C63" s="36" t="str">
        <f aca="false">IF(B63="","",DATE(YEAR(B63),MONTH(B63),1))</f>
        <v/>
      </c>
      <c r="D63" s="34"/>
      <c r="E63" s="34"/>
      <c r="F63" s="34"/>
      <c r="G63" s="34"/>
      <c r="H63" s="34"/>
      <c r="I63" s="34"/>
      <c r="J63" s="37"/>
      <c r="K63" s="34"/>
      <c r="L63" s="38" t="str">
        <f aca="false">IF(I63="","",I63*N(J63)*IF(K63="",1,K63))</f>
        <v/>
      </c>
      <c r="M63" s="34"/>
    </row>
    <row r="64" customFormat="false" ht="15" hidden="false" customHeight="false" outlineLevel="0" collapsed="false">
      <c r="A64" s="34"/>
      <c r="B64" s="35"/>
      <c r="C64" s="36" t="str">
        <f aca="false">IF(B64="","",DATE(YEAR(B64),MONTH(B64),1))</f>
        <v/>
      </c>
      <c r="D64" s="34"/>
      <c r="E64" s="34"/>
      <c r="F64" s="34"/>
      <c r="G64" s="34"/>
      <c r="H64" s="34"/>
      <c r="I64" s="34"/>
      <c r="J64" s="37"/>
      <c r="K64" s="34"/>
      <c r="L64" s="38" t="str">
        <f aca="false">IF(I64="","",I64*N(J64)*IF(K64="",1,K64))</f>
        <v/>
      </c>
      <c r="M64" s="34"/>
    </row>
    <row r="65" customFormat="false" ht="15" hidden="false" customHeight="false" outlineLevel="0" collapsed="false">
      <c r="A65" s="34"/>
      <c r="B65" s="35"/>
      <c r="C65" s="36" t="str">
        <f aca="false">IF(B65="","",DATE(YEAR(B65),MONTH(B65),1))</f>
        <v/>
      </c>
      <c r="D65" s="34"/>
      <c r="E65" s="34"/>
      <c r="F65" s="34"/>
      <c r="G65" s="34"/>
      <c r="H65" s="34"/>
      <c r="I65" s="34"/>
      <c r="J65" s="37"/>
      <c r="K65" s="34"/>
      <c r="L65" s="38" t="str">
        <f aca="false">IF(I65="","",I65*N(J65)*IF(K65="",1,K65))</f>
        <v/>
      </c>
      <c r="M65" s="34"/>
    </row>
    <row r="66" customFormat="false" ht="15" hidden="false" customHeight="false" outlineLevel="0" collapsed="false">
      <c r="A66" s="34"/>
      <c r="B66" s="35"/>
      <c r="C66" s="36" t="str">
        <f aca="false">IF(B66="","",DATE(YEAR(B66),MONTH(B66),1))</f>
        <v/>
      </c>
      <c r="D66" s="34"/>
      <c r="E66" s="34"/>
      <c r="F66" s="34"/>
      <c r="G66" s="34"/>
      <c r="H66" s="34"/>
      <c r="I66" s="34"/>
      <c r="J66" s="37"/>
      <c r="K66" s="34"/>
      <c r="L66" s="38" t="str">
        <f aca="false">IF(I66="","",I66*N(J66)*IF(K66="",1,K66))</f>
        <v/>
      </c>
      <c r="M66" s="34"/>
    </row>
    <row r="67" customFormat="false" ht="15" hidden="false" customHeight="false" outlineLevel="0" collapsed="false">
      <c r="A67" s="34"/>
      <c r="B67" s="35"/>
      <c r="C67" s="36" t="str">
        <f aca="false">IF(B67="","",DATE(YEAR(B67),MONTH(B67),1))</f>
        <v/>
      </c>
      <c r="D67" s="34"/>
      <c r="E67" s="34"/>
      <c r="F67" s="34"/>
      <c r="G67" s="34"/>
      <c r="H67" s="34"/>
      <c r="I67" s="34"/>
      <c r="J67" s="37"/>
      <c r="K67" s="34"/>
      <c r="L67" s="38" t="str">
        <f aca="false">IF(I67="","",I67*N(J67)*IF(K67="",1,K67))</f>
        <v/>
      </c>
      <c r="M67" s="34"/>
    </row>
    <row r="68" customFormat="false" ht="15" hidden="false" customHeight="false" outlineLevel="0" collapsed="false">
      <c r="A68" s="34"/>
      <c r="B68" s="35"/>
      <c r="C68" s="36" t="str">
        <f aca="false">IF(B68="","",DATE(YEAR(B68),MONTH(B68),1))</f>
        <v/>
      </c>
      <c r="D68" s="34"/>
      <c r="E68" s="34"/>
      <c r="F68" s="34"/>
      <c r="G68" s="34"/>
      <c r="H68" s="34"/>
      <c r="I68" s="34"/>
      <c r="J68" s="37"/>
      <c r="K68" s="34"/>
      <c r="L68" s="38" t="str">
        <f aca="false">IF(I68="","",I68*N(J68)*IF(K68="",1,K68))</f>
        <v/>
      </c>
      <c r="M68" s="34"/>
    </row>
    <row r="69" customFormat="false" ht="15" hidden="false" customHeight="false" outlineLevel="0" collapsed="false">
      <c r="A69" s="34"/>
      <c r="B69" s="35"/>
      <c r="C69" s="36" t="str">
        <f aca="false">IF(B69="","",DATE(YEAR(B69),MONTH(B69),1))</f>
        <v/>
      </c>
      <c r="D69" s="34"/>
      <c r="E69" s="34"/>
      <c r="F69" s="34"/>
      <c r="G69" s="34"/>
      <c r="H69" s="34"/>
      <c r="I69" s="34"/>
      <c r="J69" s="37"/>
      <c r="K69" s="34"/>
      <c r="L69" s="38" t="str">
        <f aca="false">IF(I69="","",I69*N(J69)*IF(K69="",1,K69))</f>
        <v/>
      </c>
      <c r="M69" s="34"/>
    </row>
    <row r="70" customFormat="false" ht="15" hidden="false" customHeight="false" outlineLevel="0" collapsed="false">
      <c r="A70" s="34"/>
      <c r="B70" s="35"/>
      <c r="C70" s="36" t="str">
        <f aca="false">IF(B70="","",DATE(YEAR(B70),MONTH(B70),1))</f>
        <v/>
      </c>
      <c r="D70" s="34"/>
      <c r="E70" s="34"/>
      <c r="F70" s="34"/>
      <c r="G70" s="34"/>
      <c r="H70" s="34"/>
      <c r="I70" s="34"/>
      <c r="J70" s="37"/>
      <c r="K70" s="34"/>
      <c r="L70" s="38" t="str">
        <f aca="false">IF(I70="","",I70*N(J70)*IF(K70="",1,K70))</f>
        <v/>
      </c>
      <c r="M70" s="34"/>
    </row>
    <row r="71" customFormat="false" ht="15" hidden="false" customHeight="false" outlineLevel="0" collapsed="false">
      <c r="A71" s="34"/>
      <c r="B71" s="35"/>
      <c r="C71" s="36" t="str">
        <f aca="false">IF(B71="","",DATE(YEAR(B71),MONTH(B71),1))</f>
        <v/>
      </c>
      <c r="D71" s="34"/>
      <c r="E71" s="34"/>
      <c r="F71" s="34"/>
      <c r="G71" s="34"/>
      <c r="H71" s="34"/>
      <c r="I71" s="34"/>
      <c r="J71" s="37"/>
      <c r="K71" s="34"/>
      <c r="L71" s="38" t="str">
        <f aca="false">IF(I71="","",I71*N(J71)*IF(K71="",1,K71))</f>
        <v/>
      </c>
      <c r="M71" s="34"/>
    </row>
    <row r="72" customFormat="false" ht="15" hidden="false" customHeight="false" outlineLevel="0" collapsed="false">
      <c r="A72" s="34"/>
      <c r="B72" s="35"/>
      <c r="C72" s="36" t="str">
        <f aca="false">IF(B72="","",DATE(YEAR(B72),MONTH(B72),1))</f>
        <v/>
      </c>
      <c r="D72" s="34"/>
      <c r="E72" s="34"/>
      <c r="F72" s="34"/>
      <c r="G72" s="34"/>
      <c r="H72" s="34"/>
      <c r="I72" s="34"/>
      <c r="J72" s="37"/>
      <c r="K72" s="34"/>
      <c r="L72" s="38" t="str">
        <f aca="false">IF(I72="","",I72*N(J72)*IF(K72="",1,K72))</f>
        <v/>
      </c>
      <c r="M72" s="34"/>
    </row>
    <row r="73" customFormat="false" ht="15" hidden="false" customHeight="false" outlineLevel="0" collapsed="false">
      <c r="A73" s="34"/>
      <c r="B73" s="35"/>
      <c r="C73" s="36" t="str">
        <f aca="false">IF(B73="","",DATE(YEAR(B73),MONTH(B73),1))</f>
        <v/>
      </c>
      <c r="D73" s="34"/>
      <c r="E73" s="34"/>
      <c r="F73" s="34"/>
      <c r="G73" s="34"/>
      <c r="H73" s="34"/>
      <c r="I73" s="34"/>
      <c r="J73" s="37"/>
      <c r="K73" s="34"/>
      <c r="L73" s="38" t="str">
        <f aca="false">IF(I73="","",I73*N(J73)*IF(K73="",1,K73))</f>
        <v/>
      </c>
      <c r="M73" s="34"/>
    </row>
    <row r="74" customFormat="false" ht="15" hidden="false" customHeight="false" outlineLevel="0" collapsed="false">
      <c r="A74" s="34"/>
      <c r="B74" s="35"/>
      <c r="C74" s="36" t="str">
        <f aca="false">IF(B74="","",DATE(YEAR(B74),MONTH(B74),1))</f>
        <v/>
      </c>
      <c r="D74" s="34"/>
      <c r="E74" s="34"/>
      <c r="F74" s="34"/>
      <c r="G74" s="34"/>
      <c r="H74" s="34"/>
      <c r="I74" s="34"/>
      <c r="J74" s="37"/>
      <c r="K74" s="34"/>
      <c r="L74" s="38" t="str">
        <f aca="false">IF(I74="","",I74*N(J74)*IF(K74="",1,K74))</f>
        <v/>
      </c>
      <c r="M74" s="34"/>
    </row>
    <row r="75" customFormat="false" ht="15" hidden="false" customHeight="false" outlineLevel="0" collapsed="false">
      <c r="A75" s="34"/>
      <c r="B75" s="35"/>
      <c r="C75" s="36" t="str">
        <f aca="false">IF(B75="","",DATE(YEAR(B75),MONTH(B75),1))</f>
        <v/>
      </c>
      <c r="D75" s="34"/>
      <c r="E75" s="34"/>
      <c r="F75" s="34"/>
      <c r="G75" s="34"/>
      <c r="H75" s="34"/>
      <c r="I75" s="34"/>
      <c r="J75" s="37"/>
      <c r="K75" s="34"/>
      <c r="L75" s="38" t="str">
        <f aca="false">IF(I75="","",I75*N(J75)*IF(K75="",1,K75))</f>
        <v/>
      </c>
      <c r="M75" s="34"/>
    </row>
    <row r="76" customFormat="false" ht="15" hidden="false" customHeight="false" outlineLevel="0" collapsed="false">
      <c r="A76" s="34"/>
      <c r="B76" s="35"/>
      <c r="C76" s="36" t="str">
        <f aca="false">IF(B76="","",DATE(YEAR(B76),MONTH(B76),1))</f>
        <v/>
      </c>
      <c r="D76" s="34"/>
      <c r="E76" s="34"/>
      <c r="F76" s="34"/>
      <c r="G76" s="34"/>
      <c r="H76" s="34"/>
      <c r="I76" s="34"/>
      <c r="J76" s="37"/>
      <c r="K76" s="34"/>
      <c r="L76" s="38" t="str">
        <f aca="false">IF(I76="","",I76*N(J76)*IF(K76="",1,K76))</f>
        <v/>
      </c>
      <c r="M76" s="34"/>
    </row>
    <row r="77" customFormat="false" ht="15" hidden="false" customHeight="false" outlineLevel="0" collapsed="false">
      <c r="A77" s="34"/>
      <c r="B77" s="35"/>
      <c r="C77" s="36" t="str">
        <f aca="false">IF(B77="","",DATE(YEAR(B77),MONTH(B77),1))</f>
        <v/>
      </c>
      <c r="D77" s="34"/>
      <c r="E77" s="34"/>
      <c r="F77" s="34"/>
      <c r="G77" s="34"/>
      <c r="H77" s="34"/>
      <c r="I77" s="34"/>
      <c r="J77" s="37"/>
      <c r="K77" s="34"/>
      <c r="L77" s="38" t="str">
        <f aca="false">IF(I77="","",I77*N(J77)*IF(K77="",1,K77))</f>
        <v/>
      </c>
      <c r="M77" s="34"/>
    </row>
    <row r="78" customFormat="false" ht="15" hidden="false" customHeight="false" outlineLevel="0" collapsed="false">
      <c r="A78" s="34"/>
      <c r="B78" s="35"/>
      <c r="C78" s="36" t="str">
        <f aca="false">IF(B78="","",DATE(YEAR(B78),MONTH(B78),1))</f>
        <v/>
      </c>
      <c r="D78" s="34"/>
      <c r="E78" s="34"/>
      <c r="F78" s="34"/>
      <c r="G78" s="34"/>
      <c r="H78" s="34"/>
      <c r="I78" s="34"/>
      <c r="J78" s="37"/>
      <c r="K78" s="34"/>
      <c r="L78" s="38" t="str">
        <f aca="false">IF(I78="","",I78*N(J78)*IF(K78="",1,K78))</f>
        <v/>
      </c>
      <c r="M78" s="34"/>
    </row>
    <row r="79" customFormat="false" ht="15" hidden="false" customHeight="false" outlineLevel="0" collapsed="false">
      <c r="A79" s="34"/>
      <c r="B79" s="35"/>
      <c r="C79" s="36" t="str">
        <f aca="false">IF(B79="","",DATE(YEAR(B79),MONTH(B79),1))</f>
        <v/>
      </c>
      <c r="D79" s="34"/>
      <c r="E79" s="34"/>
      <c r="F79" s="34"/>
      <c r="G79" s="34"/>
      <c r="H79" s="34"/>
      <c r="I79" s="34"/>
      <c r="J79" s="37"/>
      <c r="K79" s="34"/>
      <c r="L79" s="38" t="str">
        <f aca="false">IF(I79="","",I79*N(J79)*IF(K79="",1,K79))</f>
        <v/>
      </c>
      <c r="M79" s="34"/>
    </row>
    <row r="80" customFormat="false" ht="15" hidden="false" customHeight="false" outlineLevel="0" collapsed="false">
      <c r="A80" s="34"/>
      <c r="B80" s="35"/>
      <c r="C80" s="36" t="str">
        <f aca="false">IF(B80="","",DATE(YEAR(B80),MONTH(B80),1))</f>
        <v/>
      </c>
      <c r="D80" s="34"/>
      <c r="E80" s="34"/>
      <c r="F80" s="34"/>
      <c r="G80" s="34"/>
      <c r="H80" s="34"/>
      <c r="I80" s="34"/>
      <c r="J80" s="37"/>
      <c r="K80" s="34"/>
      <c r="L80" s="38" t="str">
        <f aca="false">IF(I80="","",I80*N(J80)*IF(K80="",1,K80))</f>
        <v/>
      </c>
      <c r="M80" s="34"/>
    </row>
    <row r="81" customFormat="false" ht="15" hidden="false" customHeight="false" outlineLevel="0" collapsed="false">
      <c r="A81" s="34"/>
      <c r="B81" s="35"/>
      <c r="C81" s="36" t="str">
        <f aca="false">IF(B81="","",DATE(YEAR(B81),MONTH(B81),1))</f>
        <v/>
      </c>
      <c r="D81" s="34"/>
      <c r="E81" s="34"/>
      <c r="F81" s="34"/>
      <c r="G81" s="34"/>
      <c r="H81" s="34"/>
      <c r="I81" s="34"/>
      <c r="J81" s="37"/>
      <c r="K81" s="34"/>
      <c r="L81" s="38" t="str">
        <f aca="false">IF(I81="","",I81*N(J81)*IF(K81="",1,K81))</f>
        <v/>
      </c>
      <c r="M81" s="34"/>
    </row>
    <row r="82" customFormat="false" ht="15" hidden="false" customHeight="false" outlineLevel="0" collapsed="false">
      <c r="A82" s="34"/>
      <c r="B82" s="35"/>
      <c r="C82" s="36" t="str">
        <f aca="false">IF(B82="","",DATE(YEAR(B82),MONTH(B82),1))</f>
        <v/>
      </c>
      <c r="D82" s="34"/>
      <c r="E82" s="34"/>
      <c r="F82" s="34"/>
      <c r="G82" s="34"/>
      <c r="H82" s="34"/>
      <c r="I82" s="34"/>
      <c r="J82" s="37"/>
      <c r="K82" s="34"/>
      <c r="L82" s="38" t="str">
        <f aca="false">IF(I82="","",I82*N(J82)*IF(K82="",1,K82))</f>
        <v/>
      </c>
      <c r="M82" s="34"/>
    </row>
    <row r="83" customFormat="false" ht="15" hidden="false" customHeight="false" outlineLevel="0" collapsed="false">
      <c r="A83" s="34"/>
      <c r="B83" s="35"/>
      <c r="C83" s="36" t="str">
        <f aca="false">IF(B83="","",DATE(YEAR(B83),MONTH(B83),1))</f>
        <v/>
      </c>
      <c r="D83" s="34"/>
      <c r="E83" s="34"/>
      <c r="F83" s="34"/>
      <c r="G83" s="34"/>
      <c r="H83" s="34"/>
      <c r="I83" s="34"/>
      <c r="J83" s="37"/>
      <c r="K83" s="34"/>
      <c r="L83" s="38" t="str">
        <f aca="false">IF(I83="","",I83*N(J83)*IF(K83="",1,K83))</f>
        <v/>
      </c>
      <c r="M83" s="34"/>
    </row>
    <row r="84" customFormat="false" ht="15" hidden="false" customHeight="false" outlineLevel="0" collapsed="false">
      <c r="A84" s="34"/>
      <c r="B84" s="35"/>
      <c r="C84" s="36" t="str">
        <f aca="false">IF(B84="","",DATE(YEAR(B84),MONTH(B84),1))</f>
        <v/>
      </c>
      <c r="D84" s="34"/>
      <c r="E84" s="34"/>
      <c r="F84" s="34"/>
      <c r="G84" s="34"/>
      <c r="H84" s="34"/>
      <c r="I84" s="34"/>
      <c r="J84" s="37"/>
      <c r="K84" s="34"/>
      <c r="L84" s="38" t="str">
        <f aca="false">IF(I84="","",I84*N(J84)*IF(K84="",1,K84))</f>
        <v/>
      </c>
      <c r="M84" s="34"/>
    </row>
    <row r="85" customFormat="false" ht="15" hidden="false" customHeight="false" outlineLevel="0" collapsed="false">
      <c r="A85" s="34"/>
      <c r="B85" s="35"/>
      <c r="C85" s="36" t="str">
        <f aca="false">IF(B85="","",DATE(YEAR(B85),MONTH(B85),1))</f>
        <v/>
      </c>
      <c r="D85" s="34"/>
      <c r="E85" s="34"/>
      <c r="F85" s="34"/>
      <c r="G85" s="34"/>
      <c r="H85" s="34"/>
      <c r="I85" s="34"/>
      <c r="J85" s="37"/>
      <c r="K85" s="34"/>
      <c r="L85" s="38" t="str">
        <f aca="false">IF(I85="","",I85*N(J85)*IF(K85="",1,K85))</f>
        <v/>
      </c>
      <c r="M85" s="34"/>
    </row>
    <row r="86" customFormat="false" ht="15" hidden="false" customHeight="false" outlineLevel="0" collapsed="false">
      <c r="A86" s="34"/>
      <c r="B86" s="35"/>
      <c r="C86" s="36" t="str">
        <f aca="false">IF(B86="","",DATE(YEAR(B86),MONTH(B86),1))</f>
        <v/>
      </c>
      <c r="D86" s="34"/>
      <c r="E86" s="34"/>
      <c r="F86" s="34"/>
      <c r="G86" s="34"/>
      <c r="H86" s="34"/>
      <c r="I86" s="34"/>
      <c r="J86" s="37"/>
      <c r="K86" s="34"/>
      <c r="L86" s="38" t="str">
        <f aca="false">IF(I86="","",I86*N(J86)*IF(K86="",1,K86))</f>
        <v/>
      </c>
      <c r="M86" s="34"/>
    </row>
    <row r="87" customFormat="false" ht="15" hidden="false" customHeight="false" outlineLevel="0" collapsed="false">
      <c r="A87" s="34"/>
      <c r="B87" s="35"/>
      <c r="C87" s="36" t="str">
        <f aca="false">IF(B87="","",DATE(YEAR(B87),MONTH(B87),1))</f>
        <v/>
      </c>
      <c r="D87" s="34"/>
      <c r="E87" s="34"/>
      <c r="F87" s="34"/>
      <c r="G87" s="34"/>
      <c r="H87" s="34"/>
      <c r="I87" s="34"/>
      <c r="J87" s="37"/>
      <c r="K87" s="34"/>
      <c r="L87" s="38" t="str">
        <f aca="false">IF(I87="","",I87*N(J87)*IF(K87="",1,K87))</f>
        <v/>
      </c>
      <c r="M87" s="34"/>
    </row>
    <row r="88" customFormat="false" ht="15" hidden="false" customHeight="false" outlineLevel="0" collapsed="false">
      <c r="A88" s="34"/>
      <c r="B88" s="35"/>
      <c r="C88" s="36" t="str">
        <f aca="false">IF(B88="","",DATE(YEAR(B88),MONTH(B88),1))</f>
        <v/>
      </c>
      <c r="D88" s="34"/>
      <c r="E88" s="34"/>
      <c r="F88" s="34"/>
      <c r="G88" s="34"/>
      <c r="H88" s="34"/>
      <c r="I88" s="34"/>
      <c r="J88" s="37"/>
      <c r="K88" s="34"/>
      <c r="L88" s="38" t="str">
        <f aca="false">IF(I88="","",I88*N(J88)*IF(K88="",1,K88))</f>
        <v/>
      </c>
      <c r="M88" s="34"/>
    </row>
    <row r="89" customFormat="false" ht="15" hidden="false" customHeight="false" outlineLevel="0" collapsed="false">
      <c r="A89" s="34"/>
      <c r="B89" s="35"/>
      <c r="C89" s="36" t="str">
        <f aca="false">IF(B89="","",DATE(YEAR(B89),MONTH(B89),1))</f>
        <v/>
      </c>
      <c r="D89" s="34"/>
      <c r="E89" s="34"/>
      <c r="F89" s="34"/>
      <c r="G89" s="34"/>
      <c r="H89" s="34"/>
      <c r="I89" s="34"/>
      <c r="J89" s="37"/>
      <c r="K89" s="34"/>
      <c r="L89" s="38" t="str">
        <f aca="false">IF(I89="","",I89*N(J89)*IF(K89="",1,K89))</f>
        <v/>
      </c>
      <c r="M89" s="34"/>
    </row>
    <row r="90" customFormat="false" ht="15" hidden="false" customHeight="false" outlineLevel="0" collapsed="false">
      <c r="A90" s="34"/>
      <c r="B90" s="35"/>
      <c r="C90" s="36" t="str">
        <f aca="false">IF(B90="","",DATE(YEAR(B90),MONTH(B90),1))</f>
        <v/>
      </c>
      <c r="D90" s="34"/>
      <c r="E90" s="34"/>
      <c r="F90" s="34"/>
      <c r="G90" s="34"/>
      <c r="H90" s="34"/>
      <c r="I90" s="34"/>
      <c r="J90" s="37"/>
      <c r="K90" s="34"/>
      <c r="L90" s="38" t="str">
        <f aca="false">IF(I90="","",I90*N(J90)*IF(K90="",1,K90))</f>
        <v/>
      </c>
      <c r="M90" s="34"/>
    </row>
    <row r="91" customFormat="false" ht="15" hidden="false" customHeight="false" outlineLevel="0" collapsed="false">
      <c r="A91" s="34"/>
      <c r="B91" s="35"/>
      <c r="C91" s="36" t="str">
        <f aca="false">IF(B91="","",DATE(YEAR(B91),MONTH(B91),1))</f>
        <v/>
      </c>
      <c r="D91" s="34"/>
      <c r="E91" s="34"/>
      <c r="F91" s="34"/>
      <c r="G91" s="34"/>
      <c r="H91" s="34"/>
      <c r="I91" s="34"/>
      <c r="J91" s="37"/>
      <c r="K91" s="34"/>
      <c r="L91" s="38" t="str">
        <f aca="false">IF(I91="","",I91*N(J91)*IF(K91="",1,K91))</f>
        <v/>
      </c>
      <c r="M91" s="34"/>
    </row>
    <row r="92" customFormat="false" ht="15" hidden="false" customHeight="false" outlineLevel="0" collapsed="false">
      <c r="A92" s="34"/>
      <c r="B92" s="35"/>
      <c r="C92" s="36" t="str">
        <f aca="false">IF(B92="","",DATE(YEAR(B92),MONTH(B92),1))</f>
        <v/>
      </c>
      <c r="D92" s="34"/>
      <c r="E92" s="34"/>
      <c r="F92" s="34"/>
      <c r="G92" s="34"/>
      <c r="H92" s="34"/>
      <c r="I92" s="34"/>
      <c r="J92" s="37"/>
      <c r="K92" s="34"/>
      <c r="L92" s="38" t="str">
        <f aca="false">IF(I92="","",I92*N(J92)*IF(K92="",1,K92))</f>
        <v/>
      </c>
      <c r="M92" s="34"/>
    </row>
    <row r="93" customFormat="false" ht="15" hidden="false" customHeight="false" outlineLevel="0" collapsed="false">
      <c r="A93" s="34"/>
      <c r="B93" s="35"/>
      <c r="C93" s="36" t="str">
        <f aca="false">IF(B93="","",DATE(YEAR(B93),MONTH(B93),1))</f>
        <v/>
      </c>
      <c r="D93" s="34"/>
      <c r="E93" s="34"/>
      <c r="F93" s="34"/>
      <c r="G93" s="34"/>
      <c r="H93" s="34"/>
      <c r="I93" s="34"/>
      <c r="J93" s="37"/>
      <c r="K93" s="34"/>
      <c r="L93" s="38" t="str">
        <f aca="false">IF(I93="","",I93*N(J93)*IF(K93="",1,K93))</f>
        <v/>
      </c>
      <c r="M93" s="34"/>
    </row>
    <row r="94" customFormat="false" ht="15" hidden="false" customHeight="false" outlineLevel="0" collapsed="false">
      <c r="A94" s="34"/>
      <c r="B94" s="35"/>
      <c r="C94" s="36" t="str">
        <f aca="false">IF(B94="","",DATE(YEAR(B94),MONTH(B94),1))</f>
        <v/>
      </c>
      <c r="D94" s="34"/>
      <c r="E94" s="34"/>
      <c r="F94" s="34"/>
      <c r="G94" s="34"/>
      <c r="H94" s="34"/>
      <c r="I94" s="34"/>
      <c r="J94" s="37"/>
      <c r="K94" s="34"/>
      <c r="L94" s="38" t="str">
        <f aca="false">IF(I94="","",I94*N(J94)*IF(K94="",1,K94))</f>
        <v/>
      </c>
      <c r="M94" s="34"/>
    </row>
    <row r="95" customFormat="false" ht="15" hidden="false" customHeight="false" outlineLevel="0" collapsed="false">
      <c r="A95" s="34"/>
      <c r="B95" s="35"/>
      <c r="C95" s="36" t="str">
        <f aca="false">IF(B95="","",DATE(YEAR(B95),MONTH(B95),1))</f>
        <v/>
      </c>
      <c r="D95" s="34"/>
      <c r="E95" s="34"/>
      <c r="F95" s="34"/>
      <c r="G95" s="34"/>
      <c r="H95" s="34"/>
      <c r="I95" s="34"/>
      <c r="J95" s="37"/>
      <c r="K95" s="34"/>
      <c r="L95" s="38" t="str">
        <f aca="false">IF(I95="","",I95*N(J95)*IF(K95="",1,K95))</f>
        <v/>
      </c>
      <c r="M95" s="34"/>
    </row>
    <row r="96" customFormat="false" ht="15" hidden="false" customHeight="false" outlineLevel="0" collapsed="false">
      <c r="A96" s="34"/>
      <c r="B96" s="35"/>
      <c r="C96" s="36" t="str">
        <f aca="false">IF(B96="","",DATE(YEAR(B96),MONTH(B96),1))</f>
        <v/>
      </c>
      <c r="D96" s="34"/>
      <c r="E96" s="34"/>
      <c r="F96" s="34"/>
      <c r="G96" s="34"/>
      <c r="H96" s="34"/>
      <c r="I96" s="34"/>
      <c r="J96" s="37"/>
      <c r="K96" s="34"/>
      <c r="L96" s="38" t="str">
        <f aca="false">IF(I96="","",I96*N(J96)*IF(K96="",1,K96))</f>
        <v/>
      </c>
      <c r="M96" s="34"/>
    </row>
    <row r="97" customFormat="false" ht="15" hidden="false" customHeight="false" outlineLevel="0" collapsed="false">
      <c r="A97" s="34"/>
      <c r="B97" s="35"/>
      <c r="C97" s="36" t="str">
        <f aca="false">IF(B97="","",DATE(YEAR(B97),MONTH(B97),1))</f>
        <v/>
      </c>
      <c r="D97" s="34"/>
      <c r="E97" s="34"/>
      <c r="F97" s="34"/>
      <c r="G97" s="34"/>
      <c r="H97" s="34"/>
      <c r="I97" s="34"/>
      <c r="J97" s="37"/>
      <c r="K97" s="34"/>
      <c r="L97" s="38" t="str">
        <f aca="false">IF(I97="","",I97*N(J97)*IF(K97="",1,K97))</f>
        <v/>
      </c>
      <c r="M97" s="34"/>
    </row>
    <row r="98" customFormat="false" ht="15" hidden="false" customHeight="false" outlineLevel="0" collapsed="false">
      <c r="A98" s="34"/>
      <c r="B98" s="35"/>
      <c r="C98" s="36" t="str">
        <f aca="false">IF(B98="","",DATE(YEAR(B98),MONTH(B98),1))</f>
        <v/>
      </c>
      <c r="D98" s="34"/>
      <c r="E98" s="34"/>
      <c r="F98" s="34"/>
      <c r="G98" s="34"/>
      <c r="H98" s="34"/>
      <c r="I98" s="34"/>
      <c r="J98" s="37"/>
      <c r="K98" s="34"/>
      <c r="L98" s="38" t="str">
        <f aca="false">IF(I98="","",I98*N(J98)*IF(K98="",1,K98))</f>
        <v/>
      </c>
      <c r="M98" s="34"/>
    </row>
    <row r="99" customFormat="false" ht="15" hidden="false" customHeight="false" outlineLevel="0" collapsed="false">
      <c r="A99" s="34"/>
      <c r="B99" s="35"/>
      <c r="C99" s="36" t="str">
        <f aca="false">IF(B99="","",DATE(YEAR(B99),MONTH(B99),1))</f>
        <v/>
      </c>
      <c r="D99" s="34"/>
      <c r="E99" s="34"/>
      <c r="F99" s="34"/>
      <c r="G99" s="34"/>
      <c r="H99" s="34"/>
      <c r="I99" s="34"/>
      <c r="J99" s="37"/>
      <c r="K99" s="34"/>
      <c r="L99" s="38" t="str">
        <f aca="false">IF(I99="","",I99*N(J99)*IF(K99="",1,K99))</f>
        <v/>
      </c>
      <c r="M99" s="34"/>
    </row>
    <row r="100" customFormat="false" ht="15" hidden="false" customHeight="false" outlineLevel="0" collapsed="false">
      <c r="A100" s="34"/>
      <c r="B100" s="35"/>
      <c r="C100" s="36" t="str">
        <f aca="false">IF(B100="","",DATE(YEAR(B100),MONTH(B100),1))</f>
        <v/>
      </c>
      <c r="D100" s="34"/>
      <c r="E100" s="34"/>
      <c r="F100" s="34"/>
      <c r="G100" s="34"/>
      <c r="H100" s="34"/>
      <c r="I100" s="34"/>
      <c r="J100" s="37"/>
      <c r="K100" s="34"/>
      <c r="L100" s="38" t="str">
        <f aca="false">IF(I100="","",I100*N(J100)*IF(K100="",1,K100))</f>
        <v/>
      </c>
      <c r="M100" s="34"/>
    </row>
    <row r="101" customFormat="false" ht="15" hidden="false" customHeight="false" outlineLevel="0" collapsed="false">
      <c r="A101" s="34"/>
      <c r="B101" s="35"/>
      <c r="C101" s="36" t="str">
        <f aca="false">IF(B101="","",DATE(YEAR(B101),MONTH(B101),1))</f>
        <v/>
      </c>
      <c r="D101" s="34"/>
      <c r="E101" s="34"/>
      <c r="F101" s="34"/>
      <c r="G101" s="34"/>
      <c r="H101" s="34"/>
      <c r="I101" s="34"/>
      <c r="J101" s="37"/>
      <c r="K101" s="34"/>
      <c r="L101" s="38" t="str">
        <f aca="false">IF(I101="","",I101*N(J101)*IF(K101="",1,K101))</f>
        <v/>
      </c>
      <c r="M101" s="34"/>
    </row>
    <row r="102" customFormat="false" ht="15" hidden="false" customHeight="false" outlineLevel="0" collapsed="false">
      <c r="A102" s="34"/>
      <c r="B102" s="35"/>
      <c r="C102" s="36" t="str">
        <f aca="false">IF(B102="","",DATE(YEAR(B102),MONTH(B102),1))</f>
        <v/>
      </c>
      <c r="D102" s="34"/>
      <c r="E102" s="34"/>
      <c r="F102" s="34"/>
      <c r="G102" s="34"/>
      <c r="H102" s="34"/>
      <c r="I102" s="34"/>
      <c r="J102" s="37"/>
      <c r="K102" s="34"/>
      <c r="L102" s="38" t="str">
        <f aca="false">IF(I102="","",I102*N(J102)*IF(K102="",1,K102))</f>
        <v/>
      </c>
      <c r="M102" s="34"/>
    </row>
    <row r="103" customFormat="false" ht="15" hidden="false" customHeight="false" outlineLevel="0" collapsed="false">
      <c r="A103" s="34"/>
      <c r="B103" s="35"/>
      <c r="C103" s="36" t="str">
        <f aca="false">IF(B103="","",DATE(YEAR(B103),MONTH(B103),1))</f>
        <v/>
      </c>
      <c r="D103" s="34"/>
      <c r="E103" s="34"/>
      <c r="F103" s="34"/>
      <c r="G103" s="34"/>
      <c r="H103" s="34"/>
      <c r="I103" s="34"/>
      <c r="J103" s="37"/>
      <c r="K103" s="34"/>
      <c r="L103" s="38" t="str">
        <f aca="false">IF(I103="","",I103*N(J103)*IF(K103="",1,K103))</f>
        <v/>
      </c>
      <c r="M103" s="34"/>
    </row>
    <row r="104" customFormat="false" ht="15" hidden="false" customHeight="false" outlineLevel="0" collapsed="false">
      <c r="A104" s="34"/>
      <c r="B104" s="35"/>
      <c r="C104" s="36" t="str">
        <f aca="false">IF(B104="","",DATE(YEAR(B104),MONTH(B104),1))</f>
        <v/>
      </c>
      <c r="D104" s="34"/>
      <c r="E104" s="34"/>
      <c r="F104" s="34"/>
      <c r="G104" s="34"/>
      <c r="H104" s="34"/>
      <c r="I104" s="34"/>
      <c r="J104" s="37"/>
      <c r="K104" s="34"/>
      <c r="L104" s="38" t="str">
        <f aca="false">IF(I104="","",I104*N(J104)*IF(K104="",1,K104))</f>
        <v/>
      </c>
      <c r="M104" s="34"/>
    </row>
    <row r="105" customFormat="false" ht="15" hidden="false" customHeight="false" outlineLevel="0" collapsed="false">
      <c r="A105" s="34"/>
      <c r="B105" s="35"/>
      <c r="C105" s="36" t="str">
        <f aca="false">IF(B105="","",DATE(YEAR(B105),MONTH(B105),1))</f>
        <v/>
      </c>
      <c r="D105" s="34"/>
      <c r="E105" s="34"/>
      <c r="F105" s="34"/>
      <c r="G105" s="34"/>
      <c r="H105" s="34"/>
      <c r="I105" s="34"/>
      <c r="J105" s="37"/>
      <c r="K105" s="34"/>
      <c r="L105" s="38" t="str">
        <f aca="false">IF(I105="","",I105*N(J105)*IF(K105="",1,K105))</f>
        <v/>
      </c>
      <c r="M105" s="34"/>
    </row>
    <row r="106" customFormat="false" ht="15" hidden="false" customHeight="false" outlineLevel="0" collapsed="false">
      <c r="A106" s="34"/>
      <c r="B106" s="35"/>
      <c r="C106" s="36" t="str">
        <f aca="false">IF(B106="","",DATE(YEAR(B106),MONTH(B106),1))</f>
        <v/>
      </c>
      <c r="D106" s="34"/>
      <c r="E106" s="34"/>
      <c r="F106" s="34"/>
      <c r="G106" s="34"/>
      <c r="H106" s="34"/>
      <c r="I106" s="34"/>
      <c r="J106" s="37"/>
      <c r="K106" s="34"/>
      <c r="L106" s="38" t="str">
        <f aca="false">IF(I106="","",I106*N(J106)*IF(K106="",1,K106))</f>
        <v/>
      </c>
      <c r="M106" s="34"/>
    </row>
    <row r="107" customFormat="false" ht="15" hidden="false" customHeight="false" outlineLevel="0" collapsed="false">
      <c r="A107" s="34"/>
      <c r="B107" s="35"/>
      <c r="C107" s="36" t="str">
        <f aca="false">IF(B107="","",DATE(YEAR(B107),MONTH(B107),1))</f>
        <v/>
      </c>
      <c r="D107" s="34"/>
      <c r="E107" s="34"/>
      <c r="F107" s="34"/>
      <c r="G107" s="34"/>
      <c r="H107" s="34"/>
      <c r="I107" s="34"/>
      <c r="J107" s="37"/>
      <c r="K107" s="34"/>
      <c r="L107" s="38" t="str">
        <f aca="false">IF(I107="","",I107*N(J107)*IF(K107="",1,K107))</f>
        <v/>
      </c>
      <c r="M107" s="34"/>
    </row>
    <row r="108" customFormat="false" ht="15" hidden="false" customHeight="false" outlineLevel="0" collapsed="false">
      <c r="A108" s="34"/>
      <c r="B108" s="35"/>
      <c r="C108" s="36" t="str">
        <f aca="false">IF(B108="","",DATE(YEAR(B108),MONTH(B108),1))</f>
        <v/>
      </c>
      <c r="D108" s="34"/>
      <c r="E108" s="34"/>
      <c r="F108" s="34"/>
      <c r="G108" s="34"/>
      <c r="H108" s="34"/>
      <c r="I108" s="34"/>
      <c r="J108" s="37"/>
      <c r="K108" s="34"/>
      <c r="L108" s="38" t="str">
        <f aca="false">IF(I108="","",I108*N(J108)*IF(K108="",1,K108))</f>
        <v/>
      </c>
      <c r="M108" s="34"/>
    </row>
    <row r="109" customFormat="false" ht="15" hidden="false" customHeight="false" outlineLevel="0" collapsed="false">
      <c r="A109" s="34"/>
      <c r="B109" s="35"/>
      <c r="C109" s="36" t="str">
        <f aca="false">IF(B109="","",DATE(YEAR(B109),MONTH(B109),1))</f>
        <v/>
      </c>
      <c r="D109" s="34"/>
      <c r="E109" s="34"/>
      <c r="F109" s="34"/>
      <c r="G109" s="34"/>
      <c r="H109" s="34"/>
      <c r="I109" s="34"/>
      <c r="J109" s="37"/>
      <c r="K109" s="34"/>
      <c r="L109" s="38" t="str">
        <f aca="false">IF(I109="","",I109*N(J109)*IF(K109="",1,K109))</f>
        <v/>
      </c>
      <c r="M109" s="34"/>
    </row>
    <row r="110" customFormat="false" ht="15" hidden="false" customHeight="false" outlineLevel="0" collapsed="false">
      <c r="A110" s="34"/>
      <c r="B110" s="35"/>
      <c r="C110" s="36" t="str">
        <f aca="false">IF(B110="","",DATE(YEAR(B110),MONTH(B110),1))</f>
        <v/>
      </c>
      <c r="D110" s="34"/>
      <c r="E110" s="34"/>
      <c r="F110" s="34"/>
      <c r="G110" s="34"/>
      <c r="H110" s="34"/>
      <c r="I110" s="34"/>
      <c r="J110" s="37"/>
      <c r="K110" s="34"/>
      <c r="L110" s="38" t="str">
        <f aca="false">IF(I110="","",I110*N(J110)*IF(K110="",1,K110))</f>
        <v/>
      </c>
      <c r="M110" s="34"/>
    </row>
    <row r="111" customFormat="false" ht="15" hidden="false" customHeight="false" outlineLevel="0" collapsed="false">
      <c r="A111" s="34"/>
      <c r="B111" s="35"/>
      <c r="C111" s="36" t="str">
        <f aca="false">IF(B111="","",DATE(YEAR(B111),MONTH(B111),1))</f>
        <v/>
      </c>
      <c r="D111" s="34"/>
      <c r="E111" s="34"/>
      <c r="F111" s="34"/>
      <c r="G111" s="34"/>
      <c r="H111" s="34"/>
      <c r="I111" s="34"/>
      <c r="J111" s="37"/>
      <c r="K111" s="34"/>
      <c r="L111" s="38" t="str">
        <f aca="false">IF(I111="","",I111*N(J111)*IF(K111="",1,K111))</f>
        <v/>
      </c>
      <c r="M111" s="34"/>
    </row>
    <row r="112" customFormat="false" ht="15" hidden="false" customHeight="false" outlineLevel="0" collapsed="false">
      <c r="A112" s="34"/>
      <c r="B112" s="35"/>
      <c r="C112" s="36" t="str">
        <f aca="false">IF(B112="","",DATE(YEAR(B112),MONTH(B112),1))</f>
        <v/>
      </c>
      <c r="D112" s="34"/>
      <c r="E112" s="34"/>
      <c r="F112" s="34"/>
      <c r="G112" s="34"/>
      <c r="H112" s="34"/>
      <c r="I112" s="34"/>
      <c r="J112" s="37"/>
      <c r="K112" s="34"/>
      <c r="L112" s="38" t="str">
        <f aca="false">IF(I112="","",I112*N(J112)*IF(K112="",1,K112))</f>
        <v/>
      </c>
      <c r="M112" s="34"/>
    </row>
    <row r="113" customFormat="false" ht="15" hidden="false" customHeight="false" outlineLevel="0" collapsed="false">
      <c r="A113" s="34"/>
      <c r="B113" s="35"/>
      <c r="C113" s="36" t="str">
        <f aca="false">IF(B113="","",DATE(YEAR(B113),MONTH(B113),1))</f>
        <v/>
      </c>
      <c r="D113" s="34"/>
      <c r="E113" s="34"/>
      <c r="F113" s="34"/>
      <c r="G113" s="34"/>
      <c r="H113" s="34"/>
      <c r="I113" s="34"/>
      <c r="J113" s="37"/>
      <c r="K113" s="34"/>
      <c r="L113" s="38" t="str">
        <f aca="false">IF(I113="","",I113*N(J113)*IF(K113="",1,K113))</f>
        <v/>
      </c>
      <c r="M113" s="34"/>
    </row>
    <row r="114" customFormat="false" ht="15" hidden="false" customHeight="false" outlineLevel="0" collapsed="false">
      <c r="A114" s="34"/>
      <c r="B114" s="35"/>
      <c r="C114" s="36" t="str">
        <f aca="false">IF(B114="","",DATE(YEAR(B114),MONTH(B114),1))</f>
        <v/>
      </c>
      <c r="D114" s="34"/>
      <c r="E114" s="34"/>
      <c r="F114" s="34"/>
      <c r="G114" s="34"/>
      <c r="H114" s="34"/>
      <c r="I114" s="34"/>
      <c r="J114" s="37"/>
      <c r="K114" s="34"/>
      <c r="L114" s="38" t="str">
        <f aca="false">IF(I114="","",I114*N(J114)*IF(K114="",1,K114))</f>
        <v/>
      </c>
      <c r="M114" s="34"/>
    </row>
    <row r="115" customFormat="false" ht="15" hidden="false" customHeight="false" outlineLevel="0" collapsed="false">
      <c r="A115" s="34"/>
      <c r="B115" s="35"/>
      <c r="C115" s="36" t="str">
        <f aca="false">IF(B115="","",DATE(YEAR(B115),MONTH(B115),1))</f>
        <v/>
      </c>
      <c r="D115" s="34"/>
      <c r="E115" s="34"/>
      <c r="F115" s="34"/>
      <c r="G115" s="34"/>
      <c r="H115" s="34"/>
      <c r="I115" s="34"/>
      <c r="J115" s="37"/>
      <c r="K115" s="34"/>
      <c r="L115" s="38" t="str">
        <f aca="false">IF(I115="","",I115*N(J115)*IF(K115="",1,K115))</f>
        <v/>
      </c>
      <c r="M115" s="34"/>
    </row>
    <row r="116" customFormat="false" ht="15" hidden="false" customHeight="false" outlineLevel="0" collapsed="false">
      <c r="A116" s="34"/>
      <c r="B116" s="35"/>
      <c r="C116" s="36" t="str">
        <f aca="false">IF(B116="","",DATE(YEAR(B116),MONTH(B116),1))</f>
        <v/>
      </c>
      <c r="D116" s="34"/>
      <c r="E116" s="34"/>
      <c r="F116" s="34"/>
      <c r="G116" s="34"/>
      <c r="H116" s="34"/>
      <c r="I116" s="34"/>
      <c r="J116" s="37"/>
      <c r="K116" s="34"/>
      <c r="L116" s="38" t="str">
        <f aca="false">IF(I116="","",I116*N(J116)*IF(K116="",1,K116))</f>
        <v/>
      </c>
      <c r="M116" s="34"/>
    </row>
    <row r="117" customFormat="false" ht="15" hidden="false" customHeight="false" outlineLevel="0" collapsed="false">
      <c r="A117" s="34"/>
      <c r="B117" s="35"/>
      <c r="C117" s="36" t="str">
        <f aca="false">IF(B117="","",DATE(YEAR(B117),MONTH(B117),1))</f>
        <v/>
      </c>
      <c r="D117" s="34"/>
      <c r="E117" s="34"/>
      <c r="F117" s="34"/>
      <c r="G117" s="34"/>
      <c r="H117" s="34"/>
      <c r="I117" s="34"/>
      <c r="J117" s="37"/>
      <c r="K117" s="34"/>
      <c r="L117" s="38" t="str">
        <f aca="false">IF(I117="","",I117*N(J117)*IF(K117="",1,K117))</f>
        <v/>
      </c>
      <c r="M117" s="34"/>
    </row>
    <row r="118" customFormat="false" ht="15" hidden="false" customHeight="false" outlineLevel="0" collapsed="false">
      <c r="A118" s="34"/>
      <c r="B118" s="35"/>
      <c r="C118" s="36" t="str">
        <f aca="false">IF(B118="","",DATE(YEAR(B118),MONTH(B118),1))</f>
        <v/>
      </c>
      <c r="D118" s="34"/>
      <c r="E118" s="34"/>
      <c r="F118" s="34"/>
      <c r="G118" s="34"/>
      <c r="H118" s="34"/>
      <c r="I118" s="34"/>
      <c r="J118" s="37"/>
      <c r="K118" s="34"/>
      <c r="L118" s="38" t="str">
        <f aca="false">IF(I118="","",I118*N(J118)*IF(K118="",1,K118))</f>
        <v/>
      </c>
      <c r="M118" s="34"/>
    </row>
    <row r="119" customFormat="false" ht="15" hidden="false" customHeight="false" outlineLevel="0" collapsed="false">
      <c r="A119" s="34"/>
      <c r="B119" s="35"/>
      <c r="C119" s="36" t="str">
        <f aca="false">IF(B119="","",DATE(YEAR(B119),MONTH(B119),1))</f>
        <v/>
      </c>
      <c r="D119" s="34"/>
      <c r="E119" s="34"/>
      <c r="F119" s="34"/>
      <c r="G119" s="34"/>
      <c r="H119" s="34"/>
      <c r="I119" s="34"/>
      <c r="J119" s="37"/>
      <c r="K119" s="34"/>
      <c r="L119" s="38" t="str">
        <f aca="false">IF(I119="","",I119*N(J119)*IF(K119="",1,K119))</f>
        <v/>
      </c>
      <c r="M119" s="34"/>
    </row>
    <row r="120" customFormat="false" ht="15" hidden="false" customHeight="false" outlineLevel="0" collapsed="false">
      <c r="A120" s="34"/>
      <c r="B120" s="35"/>
      <c r="C120" s="36" t="str">
        <f aca="false">IF(B120="","",DATE(YEAR(B120),MONTH(B120),1))</f>
        <v/>
      </c>
      <c r="D120" s="34"/>
      <c r="E120" s="34"/>
      <c r="F120" s="34"/>
      <c r="G120" s="34"/>
      <c r="H120" s="34"/>
      <c r="I120" s="34"/>
      <c r="J120" s="37"/>
      <c r="K120" s="34"/>
      <c r="L120" s="38" t="str">
        <f aca="false">IF(I120="","",I120*N(J120)*IF(K120="",1,K120))</f>
        <v/>
      </c>
      <c r="M120" s="34"/>
    </row>
    <row r="121" customFormat="false" ht="15" hidden="false" customHeight="false" outlineLevel="0" collapsed="false">
      <c r="A121" s="34"/>
      <c r="B121" s="35"/>
      <c r="C121" s="36" t="str">
        <f aca="false">IF(B121="","",DATE(YEAR(B121),MONTH(B121),1))</f>
        <v/>
      </c>
      <c r="D121" s="34"/>
      <c r="E121" s="34"/>
      <c r="F121" s="34"/>
      <c r="G121" s="34"/>
      <c r="H121" s="34"/>
      <c r="I121" s="34"/>
      <c r="J121" s="37"/>
      <c r="K121" s="34"/>
      <c r="L121" s="38" t="str">
        <f aca="false">IF(I121="","",I121*N(J121)*IF(K121="",1,K121))</f>
        <v/>
      </c>
      <c r="M121" s="34"/>
    </row>
    <row r="122" customFormat="false" ht="15" hidden="false" customHeight="false" outlineLevel="0" collapsed="false">
      <c r="A122" s="34"/>
      <c r="B122" s="35"/>
      <c r="C122" s="36" t="str">
        <f aca="false">IF(B122="","",DATE(YEAR(B122),MONTH(B122),1))</f>
        <v/>
      </c>
      <c r="D122" s="34"/>
      <c r="E122" s="34"/>
      <c r="F122" s="34"/>
      <c r="G122" s="34"/>
      <c r="H122" s="34"/>
      <c r="I122" s="34"/>
      <c r="J122" s="37"/>
      <c r="K122" s="34"/>
      <c r="L122" s="38" t="str">
        <f aca="false">IF(I122="","",I122*N(J122)*IF(K122="",1,K122))</f>
        <v/>
      </c>
      <c r="M122" s="34"/>
    </row>
    <row r="123" customFormat="false" ht="15" hidden="false" customHeight="false" outlineLevel="0" collapsed="false">
      <c r="A123" s="34"/>
      <c r="B123" s="35"/>
      <c r="C123" s="36" t="str">
        <f aca="false">IF(B123="","",DATE(YEAR(B123),MONTH(B123),1))</f>
        <v/>
      </c>
      <c r="D123" s="34"/>
      <c r="E123" s="34"/>
      <c r="F123" s="34"/>
      <c r="G123" s="34"/>
      <c r="H123" s="34"/>
      <c r="I123" s="34"/>
      <c r="J123" s="37"/>
      <c r="K123" s="34"/>
      <c r="L123" s="38" t="str">
        <f aca="false">IF(I123="","",I123*N(J123)*IF(K123="",1,K123))</f>
        <v/>
      </c>
      <c r="M123" s="34"/>
    </row>
    <row r="124" customFormat="false" ht="15" hidden="false" customHeight="false" outlineLevel="0" collapsed="false">
      <c r="A124" s="34"/>
      <c r="B124" s="35"/>
      <c r="C124" s="36" t="str">
        <f aca="false">IF(B124="","",DATE(YEAR(B124),MONTH(B124),1))</f>
        <v/>
      </c>
      <c r="D124" s="34"/>
      <c r="E124" s="34"/>
      <c r="F124" s="34"/>
      <c r="G124" s="34"/>
      <c r="H124" s="34"/>
      <c r="I124" s="34"/>
      <c r="J124" s="37"/>
      <c r="K124" s="34"/>
      <c r="L124" s="38" t="str">
        <f aca="false">IF(I124="","",I124*N(J124)*IF(K124="",1,K124))</f>
        <v/>
      </c>
      <c r="M124" s="34"/>
    </row>
    <row r="125" customFormat="false" ht="15" hidden="false" customHeight="false" outlineLevel="0" collapsed="false">
      <c r="A125" s="34"/>
      <c r="B125" s="35"/>
      <c r="C125" s="36" t="str">
        <f aca="false">IF(B125="","",DATE(YEAR(B125),MONTH(B125),1))</f>
        <v/>
      </c>
      <c r="D125" s="34"/>
      <c r="E125" s="34"/>
      <c r="F125" s="34"/>
      <c r="G125" s="34"/>
      <c r="H125" s="34"/>
      <c r="I125" s="34"/>
      <c r="J125" s="37"/>
      <c r="K125" s="34"/>
      <c r="L125" s="38" t="str">
        <f aca="false">IF(I125="","",I125*N(J125)*IF(K125="",1,K125))</f>
        <v/>
      </c>
      <c r="M125" s="34"/>
    </row>
    <row r="126" customFormat="false" ht="15" hidden="false" customHeight="false" outlineLevel="0" collapsed="false">
      <c r="A126" s="34"/>
      <c r="B126" s="35"/>
      <c r="C126" s="36" t="str">
        <f aca="false">IF(B126="","",DATE(YEAR(B126),MONTH(B126),1))</f>
        <v/>
      </c>
      <c r="D126" s="34"/>
      <c r="E126" s="34"/>
      <c r="F126" s="34"/>
      <c r="G126" s="34"/>
      <c r="H126" s="34"/>
      <c r="I126" s="34"/>
      <c r="J126" s="37"/>
      <c r="K126" s="34"/>
      <c r="L126" s="38" t="str">
        <f aca="false">IF(I126="","",I126*N(J126)*IF(K126="",1,K126))</f>
        <v/>
      </c>
      <c r="M126" s="34"/>
    </row>
    <row r="127" customFormat="false" ht="15" hidden="false" customHeight="false" outlineLevel="0" collapsed="false">
      <c r="A127" s="34"/>
      <c r="B127" s="35"/>
      <c r="C127" s="36" t="str">
        <f aca="false">IF(B127="","",DATE(YEAR(B127),MONTH(B127),1))</f>
        <v/>
      </c>
      <c r="D127" s="34"/>
      <c r="E127" s="34"/>
      <c r="F127" s="34"/>
      <c r="G127" s="34"/>
      <c r="H127" s="34"/>
      <c r="I127" s="34"/>
      <c r="J127" s="37"/>
      <c r="K127" s="34"/>
      <c r="L127" s="38" t="str">
        <f aca="false">IF(I127="","",I127*N(J127)*IF(K127="",1,K127))</f>
        <v/>
      </c>
      <c r="M127" s="34"/>
    </row>
    <row r="128" customFormat="false" ht="15" hidden="false" customHeight="false" outlineLevel="0" collapsed="false">
      <c r="A128" s="34"/>
      <c r="B128" s="35"/>
      <c r="C128" s="36" t="str">
        <f aca="false">IF(B128="","",DATE(YEAR(B128),MONTH(B128),1))</f>
        <v/>
      </c>
      <c r="D128" s="34"/>
      <c r="E128" s="34"/>
      <c r="F128" s="34"/>
      <c r="G128" s="34"/>
      <c r="H128" s="34"/>
      <c r="I128" s="34"/>
      <c r="J128" s="37"/>
      <c r="K128" s="34"/>
      <c r="L128" s="38" t="str">
        <f aca="false">IF(I128="","",I128*N(J128)*IF(K128="",1,K128))</f>
        <v/>
      </c>
      <c r="M128" s="34"/>
    </row>
    <row r="129" customFormat="false" ht="15" hidden="false" customHeight="false" outlineLevel="0" collapsed="false">
      <c r="A129" s="34"/>
      <c r="B129" s="35"/>
      <c r="C129" s="36" t="str">
        <f aca="false">IF(B129="","",DATE(YEAR(B129),MONTH(B129),1))</f>
        <v/>
      </c>
      <c r="D129" s="34"/>
      <c r="E129" s="34"/>
      <c r="F129" s="34"/>
      <c r="G129" s="34"/>
      <c r="H129" s="34"/>
      <c r="I129" s="34"/>
      <c r="J129" s="37"/>
      <c r="K129" s="34"/>
      <c r="L129" s="38" t="str">
        <f aca="false">IF(I129="","",I129*N(J129)*IF(K129="",1,K129))</f>
        <v/>
      </c>
      <c r="M129" s="34"/>
    </row>
    <row r="130" customFormat="false" ht="15" hidden="false" customHeight="false" outlineLevel="0" collapsed="false">
      <c r="A130" s="34"/>
      <c r="B130" s="35"/>
      <c r="C130" s="36" t="str">
        <f aca="false">IF(B130="","",DATE(YEAR(B130),MONTH(B130),1))</f>
        <v/>
      </c>
      <c r="D130" s="34"/>
      <c r="E130" s="34"/>
      <c r="F130" s="34"/>
      <c r="G130" s="34"/>
      <c r="H130" s="34"/>
      <c r="I130" s="34"/>
      <c r="J130" s="37"/>
      <c r="K130" s="34"/>
      <c r="L130" s="38" t="str">
        <f aca="false">IF(I130="","",I130*N(J130)*IF(K130="",1,K130))</f>
        <v/>
      </c>
      <c r="M130" s="34"/>
    </row>
    <row r="131" customFormat="false" ht="15" hidden="false" customHeight="false" outlineLevel="0" collapsed="false">
      <c r="A131" s="34"/>
      <c r="B131" s="35"/>
      <c r="C131" s="36" t="str">
        <f aca="false">IF(B131="","",DATE(YEAR(B131),MONTH(B131),1))</f>
        <v/>
      </c>
      <c r="D131" s="34"/>
      <c r="E131" s="34"/>
      <c r="F131" s="34"/>
      <c r="G131" s="34"/>
      <c r="H131" s="34"/>
      <c r="I131" s="34"/>
      <c r="J131" s="37"/>
      <c r="K131" s="34"/>
      <c r="L131" s="38" t="str">
        <f aca="false">IF(I131="","",I131*N(J131)*IF(K131="",1,K131))</f>
        <v/>
      </c>
      <c r="M131" s="34"/>
    </row>
    <row r="132" customFormat="false" ht="15" hidden="false" customHeight="false" outlineLevel="0" collapsed="false">
      <c r="A132" s="34"/>
      <c r="B132" s="35"/>
      <c r="C132" s="36" t="str">
        <f aca="false">IF(B132="","",DATE(YEAR(B132),MONTH(B132),1))</f>
        <v/>
      </c>
      <c r="D132" s="34"/>
      <c r="E132" s="34"/>
      <c r="F132" s="34"/>
      <c r="G132" s="34"/>
      <c r="H132" s="34"/>
      <c r="I132" s="34"/>
      <c r="J132" s="37"/>
      <c r="K132" s="34"/>
      <c r="L132" s="38" t="str">
        <f aca="false">IF(I132="","",I132*N(J132)*IF(K132="",1,K132))</f>
        <v/>
      </c>
      <c r="M132" s="34"/>
    </row>
    <row r="133" customFormat="false" ht="15" hidden="false" customHeight="false" outlineLevel="0" collapsed="false">
      <c r="A133" s="34"/>
      <c r="B133" s="35"/>
      <c r="C133" s="36" t="str">
        <f aca="false">IF(B133="","",DATE(YEAR(B133),MONTH(B133),1))</f>
        <v/>
      </c>
      <c r="D133" s="34"/>
      <c r="E133" s="34"/>
      <c r="F133" s="34"/>
      <c r="G133" s="34"/>
      <c r="H133" s="34"/>
      <c r="I133" s="34"/>
      <c r="J133" s="37"/>
      <c r="K133" s="34"/>
      <c r="L133" s="38" t="str">
        <f aca="false">IF(I133="","",I133*N(J133)*IF(K133="",1,K133))</f>
        <v/>
      </c>
      <c r="M133" s="34"/>
    </row>
    <row r="134" customFormat="false" ht="15" hidden="false" customHeight="false" outlineLevel="0" collapsed="false">
      <c r="A134" s="34"/>
      <c r="B134" s="35"/>
      <c r="C134" s="36" t="str">
        <f aca="false">IF(B134="","",DATE(YEAR(B134),MONTH(B134),1))</f>
        <v/>
      </c>
      <c r="D134" s="34"/>
      <c r="E134" s="34"/>
      <c r="F134" s="34"/>
      <c r="G134" s="34"/>
      <c r="H134" s="34"/>
      <c r="I134" s="34"/>
      <c r="J134" s="37"/>
      <c r="K134" s="34"/>
      <c r="L134" s="38" t="str">
        <f aca="false">IF(I134="","",I134*N(J134)*IF(K134="",1,K134))</f>
        <v/>
      </c>
      <c r="M134" s="34"/>
    </row>
    <row r="135" customFormat="false" ht="15" hidden="false" customHeight="false" outlineLevel="0" collapsed="false">
      <c r="A135" s="34"/>
      <c r="B135" s="35"/>
      <c r="C135" s="36" t="str">
        <f aca="false">IF(B135="","",DATE(YEAR(B135),MONTH(B135),1))</f>
        <v/>
      </c>
      <c r="D135" s="34"/>
      <c r="E135" s="34"/>
      <c r="F135" s="34"/>
      <c r="G135" s="34"/>
      <c r="H135" s="34"/>
      <c r="I135" s="34"/>
      <c r="J135" s="37"/>
      <c r="K135" s="34"/>
      <c r="L135" s="38" t="str">
        <f aca="false">IF(I135="","",I135*N(J135)*IF(K135="",1,K135))</f>
        <v/>
      </c>
      <c r="M135" s="34"/>
    </row>
    <row r="136" customFormat="false" ht="15" hidden="false" customHeight="false" outlineLevel="0" collapsed="false">
      <c r="A136" s="34"/>
      <c r="B136" s="35"/>
      <c r="C136" s="36" t="str">
        <f aca="false">IF(B136="","",DATE(YEAR(B136),MONTH(B136),1))</f>
        <v/>
      </c>
      <c r="D136" s="34"/>
      <c r="E136" s="34"/>
      <c r="F136" s="34"/>
      <c r="G136" s="34"/>
      <c r="H136" s="34"/>
      <c r="I136" s="34"/>
      <c r="J136" s="37"/>
      <c r="K136" s="34"/>
      <c r="L136" s="38" t="str">
        <f aca="false">IF(I136="","",I136*N(J136)*IF(K136="",1,K136))</f>
        <v/>
      </c>
      <c r="M136" s="34"/>
    </row>
    <row r="137" customFormat="false" ht="15" hidden="false" customHeight="false" outlineLevel="0" collapsed="false">
      <c r="A137" s="34"/>
      <c r="B137" s="35"/>
      <c r="C137" s="36" t="str">
        <f aca="false">IF(B137="","",DATE(YEAR(B137),MONTH(B137),1))</f>
        <v/>
      </c>
      <c r="D137" s="34"/>
      <c r="E137" s="34"/>
      <c r="F137" s="34"/>
      <c r="G137" s="34"/>
      <c r="H137" s="34"/>
      <c r="I137" s="34"/>
      <c r="J137" s="37"/>
      <c r="K137" s="34"/>
      <c r="L137" s="38" t="str">
        <f aca="false">IF(I137="","",I137*N(J137)*IF(K137="",1,K137))</f>
        <v/>
      </c>
      <c r="M137" s="34"/>
    </row>
    <row r="138" customFormat="false" ht="15" hidden="false" customHeight="false" outlineLevel="0" collapsed="false">
      <c r="A138" s="34"/>
      <c r="B138" s="35"/>
      <c r="C138" s="36" t="str">
        <f aca="false">IF(B138="","",DATE(YEAR(B138),MONTH(B138),1))</f>
        <v/>
      </c>
      <c r="D138" s="34"/>
      <c r="E138" s="34"/>
      <c r="F138" s="34"/>
      <c r="G138" s="34"/>
      <c r="H138" s="34"/>
      <c r="I138" s="34"/>
      <c r="J138" s="37"/>
      <c r="K138" s="34"/>
      <c r="L138" s="38" t="str">
        <f aca="false">IF(I138="","",I138*N(J138)*IF(K138="",1,K138))</f>
        <v/>
      </c>
      <c r="M138" s="34"/>
    </row>
    <row r="139" customFormat="false" ht="15" hidden="false" customHeight="false" outlineLevel="0" collapsed="false">
      <c r="A139" s="34"/>
      <c r="B139" s="35"/>
      <c r="C139" s="36" t="str">
        <f aca="false">IF(B139="","",DATE(YEAR(B139),MONTH(B139),1))</f>
        <v/>
      </c>
      <c r="D139" s="34"/>
      <c r="E139" s="34"/>
      <c r="F139" s="34"/>
      <c r="G139" s="34"/>
      <c r="H139" s="34"/>
      <c r="I139" s="34"/>
      <c r="J139" s="37"/>
      <c r="K139" s="34"/>
      <c r="L139" s="38" t="str">
        <f aca="false">IF(I139="","",I139*N(J139)*IF(K139="",1,K139))</f>
        <v/>
      </c>
      <c r="M139" s="34"/>
    </row>
    <row r="140" customFormat="false" ht="15" hidden="false" customHeight="false" outlineLevel="0" collapsed="false">
      <c r="A140" s="34"/>
      <c r="B140" s="35"/>
      <c r="C140" s="36" t="str">
        <f aca="false">IF(B140="","",DATE(YEAR(B140),MONTH(B140),1))</f>
        <v/>
      </c>
      <c r="D140" s="34"/>
      <c r="E140" s="34"/>
      <c r="F140" s="34"/>
      <c r="G140" s="34"/>
      <c r="H140" s="34"/>
      <c r="I140" s="34"/>
      <c r="J140" s="37"/>
      <c r="K140" s="34"/>
      <c r="L140" s="38" t="str">
        <f aca="false">IF(I140="","",I140*N(J140)*IF(K140="",1,K140))</f>
        <v/>
      </c>
      <c r="M140" s="34"/>
    </row>
    <row r="141" customFormat="false" ht="15" hidden="false" customHeight="false" outlineLevel="0" collapsed="false">
      <c r="A141" s="34"/>
      <c r="B141" s="35"/>
      <c r="C141" s="36" t="str">
        <f aca="false">IF(B141="","",DATE(YEAR(B141),MONTH(B141),1))</f>
        <v/>
      </c>
      <c r="D141" s="34"/>
      <c r="E141" s="34"/>
      <c r="F141" s="34"/>
      <c r="G141" s="34"/>
      <c r="H141" s="34"/>
      <c r="I141" s="34"/>
      <c r="J141" s="37"/>
      <c r="K141" s="34"/>
      <c r="L141" s="38" t="str">
        <f aca="false">IF(I141="","",I141*N(J141)*IF(K141="",1,K141))</f>
        <v/>
      </c>
      <c r="M141" s="34"/>
    </row>
    <row r="142" customFormat="false" ht="15" hidden="false" customHeight="false" outlineLevel="0" collapsed="false">
      <c r="A142" s="34"/>
      <c r="B142" s="35"/>
      <c r="C142" s="36" t="str">
        <f aca="false">IF(B142="","",DATE(YEAR(B142),MONTH(B142),1))</f>
        <v/>
      </c>
      <c r="D142" s="34"/>
      <c r="E142" s="34"/>
      <c r="F142" s="34"/>
      <c r="G142" s="34"/>
      <c r="H142" s="34"/>
      <c r="I142" s="34"/>
      <c r="J142" s="37"/>
      <c r="K142" s="34"/>
      <c r="L142" s="38" t="str">
        <f aca="false">IF(I142="","",I142*N(J142)*IF(K142="",1,K142))</f>
        <v/>
      </c>
      <c r="M142" s="34"/>
    </row>
    <row r="143" customFormat="false" ht="15" hidden="false" customHeight="false" outlineLevel="0" collapsed="false">
      <c r="A143" s="34"/>
      <c r="B143" s="35"/>
      <c r="C143" s="36" t="str">
        <f aca="false">IF(B143="","",DATE(YEAR(B143),MONTH(B143),1))</f>
        <v/>
      </c>
      <c r="D143" s="34"/>
      <c r="E143" s="34"/>
      <c r="F143" s="34"/>
      <c r="G143" s="34"/>
      <c r="H143" s="34"/>
      <c r="I143" s="34"/>
      <c r="J143" s="37"/>
      <c r="K143" s="34"/>
      <c r="L143" s="38" t="str">
        <f aca="false">IF(I143="","",I143*N(J143)*IF(K143="",1,K143))</f>
        <v/>
      </c>
      <c r="M143" s="34"/>
    </row>
    <row r="144" customFormat="false" ht="15" hidden="false" customHeight="false" outlineLevel="0" collapsed="false">
      <c r="A144" s="34"/>
      <c r="B144" s="35"/>
      <c r="C144" s="36" t="str">
        <f aca="false">IF(B144="","",DATE(YEAR(B144),MONTH(B144),1))</f>
        <v/>
      </c>
      <c r="D144" s="34"/>
      <c r="E144" s="34"/>
      <c r="F144" s="34"/>
      <c r="G144" s="34"/>
      <c r="H144" s="34"/>
      <c r="I144" s="34"/>
      <c r="J144" s="37"/>
      <c r="K144" s="34"/>
      <c r="L144" s="38" t="str">
        <f aca="false">IF(I144="","",I144*N(J144)*IF(K144="",1,K144))</f>
        <v/>
      </c>
      <c r="M144" s="34"/>
    </row>
    <row r="145" customFormat="false" ht="15" hidden="false" customHeight="false" outlineLevel="0" collapsed="false">
      <c r="A145" s="34"/>
      <c r="B145" s="35"/>
      <c r="C145" s="36" t="str">
        <f aca="false">IF(B145="","",DATE(YEAR(B145),MONTH(B145),1))</f>
        <v/>
      </c>
      <c r="D145" s="34"/>
      <c r="E145" s="34"/>
      <c r="F145" s="34"/>
      <c r="G145" s="34"/>
      <c r="H145" s="34"/>
      <c r="I145" s="34"/>
      <c r="J145" s="37"/>
      <c r="K145" s="34"/>
      <c r="L145" s="38" t="str">
        <f aca="false">IF(I145="","",I145*N(J145)*IF(K145="",1,K145))</f>
        <v/>
      </c>
      <c r="M145" s="34"/>
    </row>
    <row r="146" customFormat="false" ht="15" hidden="false" customHeight="false" outlineLevel="0" collapsed="false">
      <c r="A146" s="34"/>
      <c r="B146" s="35"/>
      <c r="C146" s="36" t="str">
        <f aca="false">IF(B146="","",DATE(YEAR(B146),MONTH(B146),1))</f>
        <v/>
      </c>
      <c r="D146" s="34"/>
      <c r="E146" s="34"/>
      <c r="F146" s="34"/>
      <c r="G146" s="34"/>
      <c r="H146" s="34"/>
      <c r="I146" s="34"/>
      <c r="J146" s="37"/>
      <c r="K146" s="34"/>
      <c r="L146" s="38" t="str">
        <f aca="false">IF(I146="","",I146*N(J146)*IF(K146="",1,K146))</f>
        <v/>
      </c>
      <c r="M146" s="34"/>
    </row>
    <row r="147" customFormat="false" ht="15" hidden="false" customHeight="false" outlineLevel="0" collapsed="false">
      <c r="A147" s="34"/>
      <c r="B147" s="35"/>
      <c r="C147" s="36" t="str">
        <f aca="false">IF(B147="","",DATE(YEAR(B147),MONTH(B147),1))</f>
        <v/>
      </c>
      <c r="D147" s="34"/>
      <c r="E147" s="34"/>
      <c r="F147" s="34"/>
      <c r="G147" s="34"/>
      <c r="H147" s="34"/>
      <c r="I147" s="34"/>
      <c r="J147" s="37"/>
      <c r="K147" s="34"/>
      <c r="L147" s="38" t="str">
        <f aca="false">IF(I147="","",I147*N(J147)*IF(K147="",1,K147))</f>
        <v/>
      </c>
      <c r="M147" s="34"/>
    </row>
    <row r="148" customFormat="false" ht="15" hidden="false" customHeight="false" outlineLevel="0" collapsed="false">
      <c r="A148" s="34"/>
      <c r="B148" s="35"/>
      <c r="C148" s="36" t="str">
        <f aca="false">IF(B148="","",DATE(YEAR(B148),MONTH(B148),1))</f>
        <v/>
      </c>
      <c r="D148" s="34"/>
      <c r="E148" s="34"/>
      <c r="F148" s="34"/>
      <c r="G148" s="34"/>
      <c r="H148" s="34"/>
      <c r="I148" s="34"/>
      <c r="J148" s="37"/>
      <c r="K148" s="34"/>
      <c r="L148" s="38" t="str">
        <f aca="false">IF(I148="","",I148*N(J148)*IF(K148="",1,K148))</f>
        <v/>
      </c>
      <c r="M148" s="34"/>
    </row>
    <row r="149" customFormat="false" ht="15" hidden="false" customHeight="false" outlineLevel="0" collapsed="false">
      <c r="A149" s="34"/>
      <c r="B149" s="35"/>
      <c r="C149" s="36" t="str">
        <f aca="false">IF(B149="","",DATE(YEAR(B149),MONTH(B149),1))</f>
        <v/>
      </c>
      <c r="D149" s="34"/>
      <c r="E149" s="34"/>
      <c r="F149" s="34"/>
      <c r="G149" s="34"/>
      <c r="H149" s="34"/>
      <c r="I149" s="34"/>
      <c r="J149" s="37"/>
      <c r="K149" s="34"/>
      <c r="L149" s="38" t="str">
        <f aca="false">IF(I149="","",I149*N(J149)*IF(K149="",1,K149))</f>
        <v/>
      </c>
      <c r="M149" s="34"/>
    </row>
    <row r="150" customFormat="false" ht="15" hidden="false" customHeight="false" outlineLevel="0" collapsed="false">
      <c r="A150" s="34"/>
      <c r="B150" s="35"/>
      <c r="C150" s="36" t="str">
        <f aca="false">IF(B150="","",DATE(YEAR(B150),MONTH(B150),1))</f>
        <v/>
      </c>
      <c r="D150" s="34"/>
      <c r="E150" s="34"/>
      <c r="F150" s="34"/>
      <c r="G150" s="34"/>
      <c r="H150" s="34"/>
      <c r="I150" s="34"/>
      <c r="J150" s="37"/>
      <c r="K150" s="34"/>
      <c r="L150" s="38" t="str">
        <f aca="false">IF(I150="","",I150*N(J150)*IF(K150="",1,K150))</f>
        <v/>
      </c>
      <c r="M150" s="34"/>
    </row>
    <row r="151" customFormat="false" ht="15" hidden="false" customHeight="false" outlineLevel="0" collapsed="false">
      <c r="A151" s="34"/>
      <c r="B151" s="35"/>
      <c r="C151" s="36" t="str">
        <f aca="false">IF(B151="","",DATE(YEAR(B151),MONTH(B151),1))</f>
        <v/>
      </c>
      <c r="D151" s="34"/>
      <c r="E151" s="34"/>
      <c r="F151" s="34"/>
      <c r="G151" s="34"/>
      <c r="H151" s="34"/>
      <c r="I151" s="34"/>
      <c r="J151" s="37"/>
      <c r="K151" s="34"/>
      <c r="L151" s="38" t="str">
        <f aca="false">IF(I151="","",I151*N(J151)*IF(K151="",1,K151))</f>
        <v/>
      </c>
      <c r="M151" s="34"/>
    </row>
    <row r="152" customFormat="false" ht="15" hidden="false" customHeight="false" outlineLevel="0" collapsed="false">
      <c r="A152" s="34"/>
      <c r="B152" s="35"/>
      <c r="C152" s="36" t="str">
        <f aca="false">IF(B152="","",DATE(YEAR(B152),MONTH(B152),1))</f>
        <v/>
      </c>
      <c r="D152" s="34"/>
      <c r="E152" s="34"/>
      <c r="F152" s="34"/>
      <c r="G152" s="34"/>
      <c r="H152" s="34"/>
      <c r="I152" s="34"/>
      <c r="J152" s="37"/>
      <c r="K152" s="34"/>
      <c r="L152" s="38" t="str">
        <f aca="false">IF(I152="","",I152*N(J152)*IF(K152="",1,K152))</f>
        <v/>
      </c>
      <c r="M152" s="34"/>
    </row>
    <row r="153" customFormat="false" ht="15" hidden="false" customHeight="false" outlineLevel="0" collapsed="false">
      <c r="A153" s="34"/>
      <c r="B153" s="35"/>
      <c r="C153" s="36" t="str">
        <f aca="false">IF(B153="","",DATE(YEAR(B153),MONTH(B153),1))</f>
        <v/>
      </c>
      <c r="D153" s="34"/>
      <c r="E153" s="34"/>
      <c r="F153" s="34"/>
      <c r="G153" s="34"/>
      <c r="H153" s="34"/>
      <c r="I153" s="34"/>
      <c r="J153" s="37"/>
      <c r="K153" s="34"/>
      <c r="L153" s="38" t="str">
        <f aca="false">IF(I153="","",I153*N(J153)*IF(K153="",1,K153))</f>
        <v/>
      </c>
      <c r="M153" s="34"/>
    </row>
    <row r="154" customFormat="false" ht="15" hidden="false" customHeight="false" outlineLevel="0" collapsed="false">
      <c r="A154" s="34"/>
      <c r="B154" s="35"/>
      <c r="C154" s="36" t="str">
        <f aca="false">IF(B154="","",DATE(YEAR(B154),MONTH(B154),1))</f>
        <v/>
      </c>
      <c r="D154" s="34"/>
      <c r="E154" s="34"/>
      <c r="F154" s="34"/>
      <c r="G154" s="34"/>
      <c r="H154" s="34"/>
      <c r="I154" s="34"/>
      <c r="J154" s="37"/>
      <c r="K154" s="34"/>
      <c r="L154" s="38" t="str">
        <f aca="false">IF(I154="","",I154*N(J154)*IF(K154="",1,K154))</f>
        <v/>
      </c>
      <c r="M154" s="34"/>
    </row>
    <row r="155" customFormat="false" ht="15" hidden="false" customHeight="false" outlineLevel="0" collapsed="false">
      <c r="A155" s="34"/>
      <c r="B155" s="35"/>
      <c r="C155" s="36" t="str">
        <f aca="false">IF(B155="","",DATE(YEAR(B155),MONTH(B155),1))</f>
        <v/>
      </c>
      <c r="D155" s="34"/>
      <c r="E155" s="34"/>
      <c r="F155" s="34"/>
      <c r="G155" s="34"/>
      <c r="H155" s="34"/>
      <c r="I155" s="34"/>
      <c r="J155" s="37"/>
      <c r="K155" s="34"/>
      <c r="L155" s="38" t="str">
        <f aca="false">IF(I155="","",I155*N(J155)*IF(K155="",1,K155))</f>
        <v/>
      </c>
      <c r="M155" s="34"/>
    </row>
    <row r="156" customFormat="false" ht="15" hidden="false" customHeight="false" outlineLevel="0" collapsed="false">
      <c r="A156" s="34"/>
      <c r="B156" s="35"/>
      <c r="C156" s="36" t="str">
        <f aca="false">IF(B156="","",DATE(YEAR(B156),MONTH(B156),1))</f>
        <v/>
      </c>
      <c r="D156" s="34"/>
      <c r="E156" s="34"/>
      <c r="F156" s="34"/>
      <c r="G156" s="34"/>
      <c r="H156" s="34"/>
      <c r="I156" s="34"/>
      <c r="J156" s="37"/>
      <c r="K156" s="34"/>
      <c r="L156" s="38" t="str">
        <f aca="false">IF(I156="","",I156*N(J156)*IF(K156="",1,K156))</f>
        <v/>
      </c>
      <c r="M156" s="34"/>
    </row>
    <row r="157" customFormat="false" ht="15" hidden="false" customHeight="false" outlineLevel="0" collapsed="false">
      <c r="A157" s="34"/>
      <c r="B157" s="35"/>
      <c r="C157" s="36" t="str">
        <f aca="false">IF(B157="","",DATE(YEAR(B157),MONTH(B157),1))</f>
        <v/>
      </c>
      <c r="D157" s="34"/>
      <c r="E157" s="34"/>
      <c r="F157" s="34"/>
      <c r="G157" s="34"/>
      <c r="H157" s="34"/>
      <c r="I157" s="34"/>
      <c r="J157" s="37"/>
      <c r="K157" s="34"/>
      <c r="L157" s="38" t="str">
        <f aca="false">IF(I157="","",I157*N(J157)*IF(K157="",1,K157))</f>
        <v/>
      </c>
      <c r="M157" s="34"/>
    </row>
    <row r="158" customFormat="false" ht="15" hidden="false" customHeight="false" outlineLevel="0" collapsed="false">
      <c r="A158" s="34"/>
      <c r="B158" s="35"/>
      <c r="C158" s="36" t="str">
        <f aca="false">IF(B158="","",DATE(YEAR(B158),MONTH(B158),1))</f>
        <v/>
      </c>
      <c r="D158" s="34"/>
      <c r="E158" s="34"/>
      <c r="F158" s="34"/>
      <c r="G158" s="34"/>
      <c r="H158" s="34"/>
      <c r="I158" s="34"/>
      <c r="J158" s="37"/>
      <c r="K158" s="34"/>
      <c r="L158" s="38" t="str">
        <f aca="false">IF(I158="","",I158*N(J158)*IF(K158="",1,K158))</f>
        <v/>
      </c>
      <c r="M158" s="34"/>
    </row>
    <row r="159" customFormat="false" ht="15" hidden="false" customHeight="false" outlineLevel="0" collapsed="false">
      <c r="A159" s="34"/>
      <c r="B159" s="35"/>
      <c r="C159" s="36" t="str">
        <f aca="false">IF(B159="","",DATE(YEAR(B159),MONTH(B159),1))</f>
        <v/>
      </c>
      <c r="D159" s="34"/>
      <c r="E159" s="34"/>
      <c r="F159" s="34"/>
      <c r="G159" s="34"/>
      <c r="H159" s="34"/>
      <c r="I159" s="34"/>
      <c r="J159" s="37"/>
      <c r="K159" s="34"/>
      <c r="L159" s="38" t="str">
        <f aca="false">IF(I159="","",I159*N(J159)*IF(K159="",1,K159))</f>
        <v/>
      </c>
      <c r="M159" s="34"/>
    </row>
    <row r="160" customFormat="false" ht="15" hidden="false" customHeight="false" outlineLevel="0" collapsed="false">
      <c r="A160" s="34"/>
      <c r="B160" s="35"/>
      <c r="C160" s="36" t="str">
        <f aca="false">IF(B160="","",DATE(YEAR(B160),MONTH(B160),1))</f>
        <v/>
      </c>
      <c r="D160" s="34"/>
      <c r="E160" s="34"/>
      <c r="F160" s="34"/>
      <c r="G160" s="34"/>
      <c r="H160" s="34"/>
      <c r="I160" s="34"/>
      <c r="J160" s="37"/>
      <c r="K160" s="34"/>
      <c r="L160" s="38" t="str">
        <f aca="false">IF(I160="","",I160*N(J160)*IF(K160="",1,K160))</f>
        <v/>
      </c>
      <c r="M160" s="34"/>
    </row>
    <row r="161" customFormat="false" ht="15" hidden="false" customHeight="false" outlineLevel="0" collapsed="false">
      <c r="A161" s="34"/>
      <c r="B161" s="35"/>
      <c r="C161" s="36" t="str">
        <f aca="false">IF(B161="","",DATE(YEAR(B161),MONTH(B161),1))</f>
        <v/>
      </c>
      <c r="D161" s="34"/>
      <c r="E161" s="34"/>
      <c r="F161" s="34"/>
      <c r="G161" s="34"/>
      <c r="H161" s="34"/>
      <c r="I161" s="34"/>
      <c r="J161" s="37"/>
      <c r="K161" s="34"/>
      <c r="L161" s="38" t="str">
        <f aca="false">IF(I161="","",I161*N(J161)*IF(K161="",1,K161))</f>
        <v/>
      </c>
      <c r="M161" s="34"/>
    </row>
    <row r="162" customFormat="false" ht="15" hidden="false" customHeight="false" outlineLevel="0" collapsed="false">
      <c r="A162" s="34"/>
      <c r="B162" s="35"/>
      <c r="C162" s="36" t="str">
        <f aca="false">IF(B162="","",DATE(YEAR(B162),MONTH(B162),1))</f>
        <v/>
      </c>
      <c r="D162" s="34"/>
      <c r="E162" s="34"/>
      <c r="F162" s="34"/>
      <c r="G162" s="34"/>
      <c r="H162" s="34"/>
      <c r="I162" s="34"/>
      <c r="J162" s="37"/>
      <c r="K162" s="34"/>
      <c r="L162" s="38" t="str">
        <f aca="false">IF(I162="","",I162*N(J162)*IF(K162="",1,K162))</f>
        <v/>
      </c>
      <c r="M162" s="34"/>
    </row>
    <row r="163" customFormat="false" ht="15" hidden="false" customHeight="false" outlineLevel="0" collapsed="false">
      <c r="A163" s="34"/>
      <c r="B163" s="35"/>
      <c r="C163" s="36" t="str">
        <f aca="false">IF(B163="","",DATE(YEAR(B163),MONTH(B163),1))</f>
        <v/>
      </c>
      <c r="D163" s="34"/>
      <c r="E163" s="34"/>
      <c r="F163" s="34"/>
      <c r="G163" s="34"/>
      <c r="H163" s="34"/>
      <c r="I163" s="34"/>
      <c r="J163" s="37"/>
      <c r="K163" s="34"/>
      <c r="L163" s="38" t="str">
        <f aca="false">IF(I163="","",I163*N(J163)*IF(K163="",1,K163))</f>
        <v/>
      </c>
      <c r="M163" s="34"/>
    </row>
    <row r="164" customFormat="false" ht="15" hidden="false" customHeight="false" outlineLevel="0" collapsed="false">
      <c r="A164" s="34"/>
      <c r="B164" s="35"/>
      <c r="C164" s="36" t="str">
        <f aca="false">IF(B164="","",DATE(YEAR(B164),MONTH(B164),1))</f>
        <v/>
      </c>
      <c r="D164" s="34"/>
      <c r="E164" s="34"/>
      <c r="F164" s="34"/>
      <c r="G164" s="34"/>
      <c r="H164" s="34"/>
      <c r="I164" s="34"/>
      <c r="J164" s="37"/>
      <c r="K164" s="34"/>
      <c r="L164" s="38" t="str">
        <f aca="false">IF(I164="","",I164*N(J164)*IF(K164="",1,K164))</f>
        <v/>
      </c>
      <c r="M164" s="34"/>
    </row>
    <row r="165" customFormat="false" ht="15" hidden="false" customHeight="false" outlineLevel="0" collapsed="false">
      <c r="A165" s="34"/>
      <c r="B165" s="35"/>
      <c r="C165" s="36" t="str">
        <f aca="false">IF(B165="","",DATE(YEAR(B165),MONTH(B165),1))</f>
        <v/>
      </c>
      <c r="D165" s="34"/>
      <c r="E165" s="34"/>
      <c r="F165" s="34"/>
      <c r="G165" s="34"/>
      <c r="H165" s="34"/>
      <c r="I165" s="34"/>
      <c r="J165" s="37"/>
      <c r="K165" s="34"/>
      <c r="L165" s="38" t="str">
        <f aca="false">IF(I165="","",I165*N(J165)*IF(K165="",1,K165))</f>
        <v/>
      </c>
      <c r="M165" s="34"/>
    </row>
    <row r="166" customFormat="false" ht="15" hidden="false" customHeight="false" outlineLevel="0" collapsed="false">
      <c r="A166" s="34"/>
      <c r="B166" s="35"/>
      <c r="C166" s="36" t="str">
        <f aca="false">IF(B166="","",DATE(YEAR(B166),MONTH(B166),1))</f>
        <v/>
      </c>
      <c r="D166" s="34"/>
      <c r="E166" s="34"/>
      <c r="F166" s="34"/>
      <c r="G166" s="34"/>
      <c r="H166" s="34"/>
      <c r="I166" s="34"/>
      <c r="J166" s="37"/>
      <c r="K166" s="34"/>
      <c r="L166" s="38" t="str">
        <f aca="false">IF(I166="","",I166*N(J166)*IF(K166="",1,K166))</f>
        <v/>
      </c>
      <c r="M166" s="34"/>
    </row>
    <row r="167" customFormat="false" ht="15" hidden="false" customHeight="false" outlineLevel="0" collapsed="false">
      <c r="A167" s="34"/>
      <c r="B167" s="35"/>
      <c r="C167" s="36" t="str">
        <f aca="false">IF(B167="","",DATE(YEAR(B167),MONTH(B167),1))</f>
        <v/>
      </c>
      <c r="D167" s="34"/>
      <c r="E167" s="34"/>
      <c r="F167" s="34"/>
      <c r="G167" s="34"/>
      <c r="H167" s="34"/>
      <c r="I167" s="34"/>
      <c r="J167" s="37"/>
      <c r="K167" s="34"/>
      <c r="L167" s="38" t="str">
        <f aca="false">IF(I167="","",I167*N(J167)*IF(K167="",1,K167))</f>
        <v/>
      </c>
      <c r="M167" s="34"/>
    </row>
    <row r="168" customFormat="false" ht="15" hidden="false" customHeight="false" outlineLevel="0" collapsed="false">
      <c r="A168" s="34"/>
      <c r="B168" s="35"/>
      <c r="C168" s="36" t="str">
        <f aca="false">IF(B168="","",DATE(YEAR(B168),MONTH(B168),1))</f>
        <v/>
      </c>
      <c r="D168" s="34"/>
      <c r="E168" s="34"/>
      <c r="F168" s="34"/>
      <c r="G168" s="34"/>
      <c r="H168" s="34"/>
      <c r="I168" s="34"/>
      <c r="J168" s="37"/>
      <c r="K168" s="34"/>
      <c r="L168" s="38" t="str">
        <f aca="false">IF(I168="","",I168*N(J168)*IF(K168="",1,K168))</f>
        <v/>
      </c>
      <c r="M168" s="34"/>
    </row>
    <row r="169" customFormat="false" ht="15" hidden="false" customHeight="false" outlineLevel="0" collapsed="false">
      <c r="A169" s="34"/>
      <c r="B169" s="35"/>
      <c r="C169" s="36" t="str">
        <f aca="false">IF(B169="","",DATE(YEAR(B169),MONTH(B169),1))</f>
        <v/>
      </c>
      <c r="D169" s="34"/>
      <c r="E169" s="34"/>
      <c r="F169" s="34"/>
      <c r="G169" s="34"/>
      <c r="H169" s="34"/>
      <c r="I169" s="34"/>
      <c r="J169" s="37"/>
      <c r="K169" s="34"/>
      <c r="L169" s="38" t="str">
        <f aca="false">IF(I169="","",I169*N(J169)*IF(K169="",1,K169))</f>
        <v/>
      </c>
      <c r="M169" s="34"/>
    </row>
    <row r="170" customFormat="false" ht="15" hidden="false" customHeight="false" outlineLevel="0" collapsed="false">
      <c r="A170" s="34"/>
      <c r="B170" s="35"/>
      <c r="C170" s="36" t="str">
        <f aca="false">IF(B170="","",DATE(YEAR(B170),MONTH(B170),1))</f>
        <v/>
      </c>
      <c r="D170" s="34"/>
      <c r="E170" s="34"/>
      <c r="F170" s="34"/>
      <c r="G170" s="34"/>
      <c r="H170" s="34"/>
      <c r="I170" s="34"/>
      <c r="J170" s="37"/>
      <c r="K170" s="34"/>
      <c r="L170" s="38" t="str">
        <f aca="false">IF(I170="","",I170*N(J170)*IF(K170="",1,K170))</f>
        <v/>
      </c>
      <c r="M170" s="34"/>
    </row>
    <row r="171" customFormat="false" ht="15" hidden="false" customHeight="false" outlineLevel="0" collapsed="false">
      <c r="A171" s="34"/>
      <c r="B171" s="35"/>
      <c r="C171" s="36" t="str">
        <f aca="false">IF(B171="","",DATE(YEAR(B171),MONTH(B171),1))</f>
        <v/>
      </c>
      <c r="D171" s="34"/>
      <c r="E171" s="34"/>
      <c r="F171" s="34"/>
      <c r="G171" s="34"/>
      <c r="H171" s="34"/>
      <c r="I171" s="34"/>
      <c r="J171" s="37"/>
      <c r="K171" s="34"/>
      <c r="L171" s="38" t="str">
        <f aca="false">IF(I171="","",I171*N(J171)*IF(K171="",1,K171))</f>
        <v/>
      </c>
      <c r="M171" s="34"/>
    </row>
    <row r="172" customFormat="false" ht="15" hidden="false" customHeight="false" outlineLevel="0" collapsed="false">
      <c r="A172" s="34"/>
      <c r="B172" s="35"/>
      <c r="C172" s="36" t="str">
        <f aca="false">IF(B172="","",DATE(YEAR(B172),MONTH(B172),1))</f>
        <v/>
      </c>
      <c r="D172" s="34"/>
      <c r="E172" s="34"/>
      <c r="F172" s="34"/>
      <c r="G172" s="34"/>
      <c r="H172" s="34"/>
      <c r="I172" s="34"/>
      <c r="J172" s="37"/>
      <c r="K172" s="34"/>
      <c r="L172" s="38" t="str">
        <f aca="false">IF(I172="","",I172*N(J172)*IF(K172="",1,K172))</f>
        <v/>
      </c>
      <c r="M172" s="34"/>
    </row>
    <row r="173" customFormat="false" ht="15" hidden="false" customHeight="false" outlineLevel="0" collapsed="false">
      <c r="A173" s="34"/>
      <c r="B173" s="35"/>
      <c r="C173" s="36" t="str">
        <f aca="false">IF(B173="","",DATE(YEAR(B173),MONTH(B173),1))</f>
        <v/>
      </c>
      <c r="D173" s="34"/>
      <c r="E173" s="34"/>
      <c r="F173" s="34"/>
      <c r="G173" s="34"/>
      <c r="H173" s="34"/>
      <c r="I173" s="34"/>
      <c r="J173" s="37"/>
      <c r="K173" s="34"/>
      <c r="L173" s="38" t="str">
        <f aca="false">IF(I173="","",I173*N(J173)*IF(K173="",1,K173))</f>
        <v/>
      </c>
      <c r="M173" s="34"/>
    </row>
    <row r="174" customFormat="false" ht="15" hidden="false" customHeight="false" outlineLevel="0" collapsed="false">
      <c r="A174" s="34"/>
      <c r="B174" s="35"/>
      <c r="C174" s="36" t="str">
        <f aca="false">IF(B174="","",DATE(YEAR(B174),MONTH(B174),1))</f>
        <v/>
      </c>
      <c r="D174" s="34"/>
      <c r="E174" s="34"/>
      <c r="F174" s="34"/>
      <c r="G174" s="34"/>
      <c r="H174" s="34"/>
      <c r="I174" s="34"/>
      <c r="J174" s="37"/>
      <c r="K174" s="34"/>
      <c r="L174" s="38" t="str">
        <f aca="false">IF(I174="","",I174*N(J174)*IF(K174="",1,K174))</f>
        <v/>
      </c>
      <c r="M174" s="34"/>
    </row>
    <row r="175" customFormat="false" ht="15" hidden="false" customHeight="false" outlineLevel="0" collapsed="false">
      <c r="A175" s="34"/>
      <c r="B175" s="35"/>
      <c r="C175" s="36" t="str">
        <f aca="false">IF(B175="","",DATE(YEAR(B175),MONTH(B175),1))</f>
        <v/>
      </c>
      <c r="D175" s="34"/>
      <c r="E175" s="34"/>
      <c r="F175" s="34"/>
      <c r="G175" s="34"/>
      <c r="H175" s="34"/>
      <c r="I175" s="34"/>
      <c r="J175" s="37"/>
      <c r="K175" s="34"/>
      <c r="L175" s="38" t="str">
        <f aca="false">IF(I175="","",I175*N(J175)*IF(K175="",1,K175))</f>
        <v/>
      </c>
      <c r="M175" s="34"/>
    </row>
    <row r="176" customFormat="false" ht="15" hidden="false" customHeight="false" outlineLevel="0" collapsed="false">
      <c r="A176" s="34"/>
      <c r="B176" s="35"/>
      <c r="C176" s="36" t="str">
        <f aca="false">IF(B176="","",DATE(YEAR(B176),MONTH(B176),1))</f>
        <v/>
      </c>
      <c r="D176" s="34"/>
      <c r="E176" s="34"/>
      <c r="F176" s="34"/>
      <c r="G176" s="34"/>
      <c r="H176" s="34"/>
      <c r="I176" s="34"/>
      <c r="J176" s="37"/>
      <c r="K176" s="34"/>
      <c r="L176" s="38" t="str">
        <f aca="false">IF(I176="","",I176*N(J176)*IF(K176="",1,K176))</f>
        <v/>
      </c>
      <c r="M176" s="34"/>
    </row>
    <row r="177" customFormat="false" ht="15" hidden="false" customHeight="false" outlineLevel="0" collapsed="false">
      <c r="A177" s="34"/>
      <c r="B177" s="35"/>
      <c r="C177" s="36" t="str">
        <f aca="false">IF(B177="","",DATE(YEAR(B177),MONTH(B177),1))</f>
        <v/>
      </c>
      <c r="D177" s="34"/>
      <c r="E177" s="34"/>
      <c r="F177" s="34"/>
      <c r="G177" s="34"/>
      <c r="H177" s="34"/>
      <c r="I177" s="34"/>
      <c r="J177" s="37"/>
      <c r="K177" s="34"/>
      <c r="L177" s="38" t="str">
        <f aca="false">IF(I177="","",I177*N(J177)*IF(K177="",1,K177))</f>
        <v/>
      </c>
      <c r="M177" s="34"/>
    </row>
    <row r="178" customFormat="false" ht="15" hidden="false" customHeight="false" outlineLevel="0" collapsed="false">
      <c r="A178" s="34"/>
      <c r="B178" s="35"/>
      <c r="C178" s="36" t="str">
        <f aca="false">IF(B178="","",DATE(YEAR(B178),MONTH(B178),1))</f>
        <v/>
      </c>
      <c r="D178" s="34"/>
      <c r="E178" s="34"/>
      <c r="F178" s="34"/>
      <c r="G178" s="34"/>
      <c r="H178" s="34"/>
      <c r="I178" s="34"/>
      <c r="J178" s="37"/>
      <c r="K178" s="34"/>
      <c r="L178" s="38" t="str">
        <f aca="false">IF(I178="","",I178*N(J178)*IF(K178="",1,K178))</f>
        <v/>
      </c>
      <c r="M178" s="34"/>
    </row>
    <row r="179" customFormat="false" ht="15" hidden="false" customHeight="false" outlineLevel="0" collapsed="false">
      <c r="A179" s="34"/>
      <c r="B179" s="35"/>
      <c r="C179" s="36" t="str">
        <f aca="false">IF(B179="","",DATE(YEAR(B179),MONTH(B179),1))</f>
        <v/>
      </c>
      <c r="D179" s="34"/>
      <c r="E179" s="34"/>
      <c r="F179" s="34"/>
      <c r="G179" s="34"/>
      <c r="H179" s="34"/>
      <c r="I179" s="34"/>
      <c r="J179" s="37"/>
      <c r="K179" s="34"/>
      <c r="L179" s="38" t="str">
        <f aca="false">IF(I179="","",I179*N(J179)*IF(K179="",1,K179))</f>
        <v/>
      </c>
      <c r="M179" s="34"/>
    </row>
    <row r="180" customFormat="false" ht="15" hidden="false" customHeight="false" outlineLevel="0" collapsed="false">
      <c r="A180" s="34"/>
      <c r="B180" s="35"/>
      <c r="C180" s="36" t="str">
        <f aca="false">IF(B180="","",DATE(YEAR(B180),MONTH(B180),1))</f>
        <v/>
      </c>
      <c r="D180" s="34"/>
      <c r="E180" s="34"/>
      <c r="F180" s="34"/>
      <c r="G180" s="34"/>
      <c r="H180" s="34"/>
      <c r="I180" s="34"/>
      <c r="J180" s="37"/>
      <c r="K180" s="34"/>
      <c r="L180" s="38" t="str">
        <f aca="false">IF(I180="","",I180*N(J180)*IF(K180="",1,K180))</f>
        <v/>
      </c>
      <c r="M180" s="34"/>
    </row>
    <row r="181" customFormat="false" ht="15" hidden="false" customHeight="false" outlineLevel="0" collapsed="false">
      <c r="A181" s="34"/>
      <c r="B181" s="35"/>
      <c r="C181" s="36" t="str">
        <f aca="false">IF(B181="","",DATE(YEAR(B181),MONTH(B181),1))</f>
        <v/>
      </c>
      <c r="D181" s="34"/>
      <c r="E181" s="34"/>
      <c r="F181" s="34"/>
      <c r="G181" s="34"/>
      <c r="H181" s="34"/>
      <c r="I181" s="34"/>
      <c r="J181" s="37"/>
      <c r="K181" s="34"/>
      <c r="L181" s="38" t="str">
        <f aca="false">IF(I181="","",I181*N(J181)*IF(K181="",1,K181))</f>
        <v/>
      </c>
      <c r="M181" s="34"/>
    </row>
    <row r="182" customFormat="false" ht="15" hidden="false" customHeight="false" outlineLevel="0" collapsed="false">
      <c r="A182" s="34"/>
      <c r="B182" s="35"/>
      <c r="C182" s="36" t="str">
        <f aca="false">IF(B182="","",DATE(YEAR(B182),MONTH(B182),1))</f>
        <v/>
      </c>
      <c r="D182" s="34"/>
      <c r="E182" s="34"/>
      <c r="F182" s="34"/>
      <c r="G182" s="34"/>
      <c r="H182" s="34"/>
      <c r="I182" s="34"/>
      <c r="J182" s="37"/>
      <c r="K182" s="34"/>
      <c r="L182" s="38" t="str">
        <f aca="false">IF(I182="","",I182*N(J182)*IF(K182="",1,K182))</f>
        <v/>
      </c>
      <c r="M182" s="34"/>
    </row>
    <row r="183" customFormat="false" ht="15" hidden="false" customHeight="false" outlineLevel="0" collapsed="false">
      <c r="A183" s="34"/>
      <c r="B183" s="35"/>
      <c r="C183" s="36" t="str">
        <f aca="false">IF(B183="","",DATE(YEAR(B183),MONTH(B183),1))</f>
        <v/>
      </c>
      <c r="D183" s="34"/>
      <c r="E183" s="34"/>
      <c r="F183" s="34"/>
      <c r="G183" s="34"/>
      <c r="H183" s="34"/>
      <c r="I183" s="34"/>
      <c r="J183" s="37"/>
      <c r="K183" s="34"/>
      <c r="L183" s="38" t="str">
        <f aca="false">IF(I183="","",I183*N(J183)*IF(K183="",1,K183))</f>
        <v/>
      </c>
      <c r="M183" s="34"/>
    </row>
    <row r="184" customFormat="false" ht="15" hidden="false" customHeight="false" outlineLevel="0" collapsed="false">
      <c r="A184" s="34"/>
      <c r="B184" s="35"/>
      <c r="C184" s="36" t="str">
        <f aca="false">IF(B184="","",DATE(YEAR(B184),MONTH(B184),1))</f>
        <v/>
      </c>
      <c r="D184" s="34"/>
      <c r="E184" s="34"/>
      <c r="F184" s="34"/>
      <c r="G184" s="34"/>
      <c r="H184" s="34"/>
      <c r="I184" s="34"/>
      <c r="J184" s="37"/>
      <c r="K184" s="34"/>
      <c r="L184" s="38" t="str">
        <f aca="false">IF(I184="","",I184*N(J184)*IF(K184="",1,K184))</f>
        <v/>
      </c>
      <c r="M184" s="34"/>
    </row>
    <row r="185" customFormat="false" ht="15" hidden="false" customHeight="false" outlineLevel="0" collapsed="false">
      <c r="A185" s="34"/>
      <c r="B185" s="35"/>
      <c r="C185" s="36" t="str">
        <f aca="false">IF(B185="","",DATE(YEAR(B185),MONTH(B185),1))</f>
        <v/>
      </c>
      <c r="D185" s="34"/>
      <c r="E185" s="34"/>
      <c r="F185" s="34"/>
      <c r="G185" s="34"/>
      <c r="H185" s="34"/>
      <c r="I185" s="34"/>
      <c r="J185" s="37"/>
      <c r="K185" s="34"/>
      <c r="L185" s="38" t="str">
        <f aca="false">IF(I185="","",I185*N(J185)*IF(K185="",1,K185))</f>
        <v/>
      </c>
      <c r="M185" s="34"/>
    </row>
    <row r="186" customFormat="false" ht="15" hidden="false" customHeight="false" outlineLevel="0" collapsed="false">
      <c r="A186" s="34"/>
      <c r="B186" s="35"/>
      <c r="C186" s="36" t="str">
        <f aca="false">IF(B186="","",DATE(YEAR(B186),MONTH(B186),1))</f>
        <v/>
      </c>
      <c r="D186" s="34"/>
      <c r="E186" s="34"/>
      <c r="F186" s="34"/>
      <c r="G186" s="34"/>
      <c r="H186" s="34"/>
      <c r="I186" s="34"/>
      <c r="J186" s="37"/>
      <c r="K186" s="34"/>
      <c r="L186" s="38" t="str">
        <f aca="false">IF(I186="","",I186*N(J186)*IF(K186="",1,K186))</f>
        <v/>
      </c>
      <c r="M186" s="34"/>
    </row>
    <row r="187" customFormat="false" ht="15" hidden="false" customHeight="false" outlineLevel="0" collapsed="false">
      <c r="A187" s="34"/>
      <c r="B187" s="35"/>
      <c r="C187" s="36" t="str">
        <f aca="false">IF(B187="","",DATE(YEAR(B187),MONTH(B187),1))</f>
        <v/>
      </c>
      <c r="D187" s="34"/>
      <c r="E187" s="34"/>
      <c r="F187" s="34"/>
      <c r="G187" s="34"/>
      <c r="H187" s="34"/>
      <c r="I187" s="34"/>
      <c r="J187" s="37"/>
      <c r="K187" s="34"/>
      <c r="L187" s="38" t="str">
        <f aca="false">IF(I187="","",I187*N(J187)*IF(K187="",1,K187))</f>
        <v/>
      </c>
      <c r="M187" s="34"/>
    </row>
    <row r="188" customFormat="false" ht="15" hidden="false" customHeight="false" outlineLevel="0" collapsed="false">
      <c r="A188" s="34"/>
      <c r="B188" s="35"/>
      <c r="C188" s="36" t="str">
        <f aca="false">IF(B188="","",DATE(YEAR(B188),MONTH(B188),1))</f>
        <v/>
      </c>
      <c r="D188" s="34"/>
      <c r="E188" s="34"/>
      <c r="F188" s="34"/>
      <c r="G188" s="34"/>
      <c r="H188" s="34"/>
      <c r="I188" s="34"/>
      <c r="J188" s="37"/>
      <c r="K188" s="34"/>
      <c r="L188" s="38" t="str">
        <f aca="false">IF(I188="","",I188*N(J188)*IF(K188="",1,K188))</f>
        <v/>
      </c>
      <c r="M188" s="34"/>
    </row>
    <row r="189" customFormat="false" ht="15" hidden="false" customHeight="false" outlineLevel="0" collapsed="false">
      <c r="A189" s="34"/>
      <c r="B189" s="35"/>
      <c r="C189" s="36" t="str">
        <f aca="false">IF(B189="","",DATE(YEAR(B189),MONTH(B189),1))</f>
        <v/>
      </c>
      <c r="D189" s="34"/>
      <c r="E189" s="34"/>
      <c r="F189" s="34"/>
      <c r="G189" s="34"/>
      <c r="H189" s="34"/>
      <c r="I189" s="34"/>
      <c r="J189" s="37"/>
      <c r="K189" s="34"/>
      <c r="L189" s="38" t="str">
        <f aca="false">IF(I189="","",I189*N(J189)*IF(K189="",1,K189))</f>
        <v/>
      </c>
      <c r="M189" s="34"/>
    </row>
    <row r="190" customFormat="false" ht="15" hidden="false" customHeight="false" outlineLevel="0" collapsed="false">
      <c r="A190" s="34"/>
      <c r="B190" s="35"/>
      <c r="C190" s="36" t="str">
        <f aca="false">IF(B190="","",DATE(YEAR(B190),MONTH(B190),1))</f>
        <v/>
      </c>
      <c r="D190" s="34"/>
      <c r="E190" s="34"/>
      <c r="F190" s="34"/>
      <c r="G190" s="34"/>
      <c r="H190" s="34"/>
      <c r="I190" s="34"/>
      <c r="J190" s="37"/>
      <c r="K190" s="34"/>
      <c r="L190" s="38" t="str">
        <f aca="false">IF(I190="","",I190*N(J190)*IF(K190="",1,K190))</f>
        <v/>
      </c>
      <c r="M190" s="34"/>
    </row>
    <row r="191" customFormat="false" ht="15" hidden="false" customHeight="false" outlineLevel="0" collapsed="false">
      <c r="A191" s="34"/>
      <c r="B191" s="35"/>
      <c r="C191" s="36" t="str">
        <f aca="false">IF(B191="","",DATE(YEAR(B191),MONTH(B191),1))</f>
        <v/>
      </c>
      <c r="D191" s="34"/>
      <c r="E191" s="34"/>
      <c r="F191" s="34"/>
      <c r="G191" s="34"/>
      <c r="H191" s="34"/>
      <c r="I191" s="34"/>
      <c r="J191" s="37"/>
      <c r="K191" s="34"/>
      <c r="L191" s="38" t="str">
        <f aca="false">IF(I191="","",I191*N(J191)*IF(K191="",1,K191))</f>
        <v/>
      </c>
      <c r="M191" s="34"/>
    </row>
    <row r="192" customFormat="false" ht="15" hidden="false" customHeight="false" outlineLevel="0" collapsed="false">
      <c r="A192" s="34"/>
      <c r="B192" s="35"/>
      <c r="C192" s="36" t="str">
        <f aca="false">IF(B192="","",DATE(YEAR(B192),MONTH(B192),1))</f>
        <v/>
      </c>
      <c r="D192" s="34"/>
      <c r="E192" s="34"/>
      <c r="F192" s="34"/>
      <c r="G192" s="34"/>
      <c r="H192" s="34"/>
      <c r="I192" s="34"/>
      <c r="J192" s="37"/>
      <c r="K192" s="34"/>
      <c r="L192" s="38" t="str">
        <f aca="false">IF(I192="","",I192*N(J192)*IF(K192="",1,K192))</f>
        <v/>
      </c>
      <c r="M192" s="34"/>
    </row>
    <row r="193" customFormat="false" ht="15" hidden="false" customHeight="false" outlineLevel="0" collapsed="false">
      <c r="A193" s="34"/>
      <c r="B193" s="35"/>
      <c r="C193" s="36" t="str">
        <f aca="false">IF(B193="","",DATE(YEAR(B193),MONTH(B193),1))</f>
        <v/>
      </c>
      <c r="D193" s="34"/>
      <c r="E193" s="34"/>
      <c r="F193" s="34"/>
      <c r="G193" s="34"/>
      <c r="H193" s="34"/>
      <c r="I193" s="34"/>
      <c r="J193" s="37"/>
      <c r="K193" s="34"/>
      <c r="L193" s="38" t="str">
        <f aca="false">IF(I193="","",I193*N(J193)*IF(K193="",1,K193))</f>
        <v/>
      </c>
      <c r="M193" s="34"/>
    </row>
    <row r="194" customFormat="false" ht="15" hidden="false" customHeight="false" outlineLevel="0" collapsed="false">
      <c r="A194" s="34"/>
      <c r="B194" s="35"/>
      <c r="C194" s="36" t="str">
        <f aca="false">IF(B194="","",DATE(YEAR(B194),MONTH(B194),1))</f>
        <v/>
      </c>
      <c r="D194" s="34"/>
      <c r="E194" s="34"/>
      <c r="F194" s="34"/>
      <c r="G194" s="34"/>
      <c r="H194" s="34"/>
      <c r="I194" s="34"/>
      <c r="J194" s="37"/>
      <c r="K194" s="34"/>
      <c r="L194" s="38" t="str">
        <f aca="false">IF(I194="","",I194*N(J194)*IF(K194="",1,K194))</f>
        <v/>
      </c>
      <c r="M194" s="34"/>
    </row>
    <row r="195" customFormat="false" ht="15" hidden="false" customHeight="false" outlineLevel="0" collapsed="false">
      <c r="A195" s="34"/>
      <c r="B195" s="35"/>
      <c r="C195" s="36" t="str">
        <f aca="false">IF(B195="","",DATE(YEAR(B195),MONTH(B195),1))</f>
        <v/>
      </c>
      <c r="D195" s="34"/>
      <c r="E195" s="34"/>
      <c r="F195" s="34"/>
      <c r="G195" s="34"/>
      <c r="H195" s="34"/>
      <c r="I195" s="34"/>
      <c r="J195" s="37"/>
      <c r="K195" s="34"/>
      <c r="L195" s="38" t="str">
        <f aca="false">IF(I195="","",I195*N(J195)*IF(K195="",1,K195))</f>
        <v/>
      </c>
      <c r="M195" s="34"/>
    </row>
    <row r="196" customFormat="false" ht="15" hidden="false" customHeight="false" outlineLevel="0" collapsed="false">
      <c r="A196" s="34"/>
      <c r="B196" s="35"/>
      <c r="C196" s="36" t="str">
        <f aca="false">IF(B196="","",DATE(YEAR(B196),MONTH(B196),1))</f>
        <v/>
      </c>
      <c r="D196" s="34"/>
      <c r="E196" s="34"/>
      <c r="F196" s="34"/>
      <c r="G196" s="34"/>
      <c r="H196" s="34"/>
      <c r="I196" s="34"/>
      <c r="J196" s="37"/>
      <c r="K196" s="34"/>
      <c r="L196" s="38" t="str">
        <f aca="false">IF(I196="","",I196*N(J196)*IF(K196="",1,K196))</f>
        <v/>
      </c>
      <c r="M196" s="34"/>
    </row>
    <row r="197" customFormat="false" ht="15" hidden="false" customHeight="false" outlineLevel="0" collapsed="false">
      <c r="A197" s="34"/>
      <c r="B197" s="35"/>
      <c r="C197" s="36" t="str">
        <f aca="false">IF(B197="","",DATE(YEAR(B197),MONTH(B197),1))</f>
        <v/>
      </c>
      <c r="D197" s="34"/>
      <c r="E197" s="34"/>
      <c r="F197" s="34"/>
      <c r="G197" s="34"/>
      <c r="H197" s="34"/>
      <c r="I197" s="34"/>
      <c r="J197" s="37"/>
      <c r="K197" s="34"/>
      <c r="L197" s="38" t="str">
        <f aca="false">IF(I197="","",I197*N(J197)*IF(K197="",1,K197))</f>
        <v/>
      </c>
      <c r="M197" s="34"/>
    </row>
    <row r="198" customFormat="false" ht="15" hidden="false" customHeight="false" outlineLevel="0" collapsed="false">
      <c r="A198" s="34"/>
      <c r="B198" s="35"/>
      <c r="C198" s="36" t="str">
        <f aca="false">IF(B198="","",DATE(YEAR(B198),MONTH(B198),1))</f>
        <v/>
      </c>
      <c r="D198" s="34"/>
      <c r="E198" s="34"/>
      <c r="F198" s="34"/>
      <c r="G198" s="34"/>
      <c r="H198" s="34"/>
      <c r="I198" s="34"/>
      <c r="J198" s="37"/>
      <c r="K198" s="34"/>
      <c r="L198" s="38" t="str">
        <f aca="false">IF(I198="","",I198*N(J198)*IF(K198="",1,K198))</f>
        <v/>
      </c>
      <c r="M198" s="34"/>
    </row>
    <row r="199" customFormat="false" ht="15" hidden="false" customHeight="false" outlineLevel="0" collapsed="false">
      <c r="A199" s="34"/>
      <c r="B199" s="35"/>
      <c r="C199" s="36" t="str">
        <f aca="false">IF(B199="","",DATE(YEAR(B199),MONTH(B199),1))</f>
        <v/>
      </c>
      <c r="D199" s="34"/>
      <c r="E199" s="34"/>
      <c r="F199" s="34"/>
      <c r="G199" s="34"/>
      <c r="H199" s="34"/>
      <c r="I199" s="34"/>
      <c r="J199" s="37"/>
      <c r="K199" s="34"/>
      <c r="L199" s="38" t="str">
        <f aca="false">IF(I199="","",I199*N(J199)*IF(K199="",1,K199))</f>
        <v/>
      </c>
      <c r="M199" s="34"/>
    </row>
    <row r="200" customFormat="false" ht="15" hidden="false" customHeight="false" outlineLevel="0" collapsed="false">
      <c r="A200" s="34"/>
      <c r="B200" s="35"/>
      <c r="C200" s="36" t="str">
        <f aca="false">IF(B200="","",DATE(YEAR(B200),MONTH(B200),1))</f>
        <v/>
      </c>
      <c r="D200" s="34"/>
      <c r="E200" s="34"/>
      <c r="F200" s="34"/>
      <c r="G200" s="34"/>
      <c r="H200" s="34"/>
      <c r="I200" s="34"/>
      <c r="J200" s="37"/>
      <c r="K200" s="34"/>
      <c r="L200" s="38" t="str">
        <f aca="false">IF(I200="","",I200*N(J200)*IF(K200="",1,K200))</f>
        <v/>
      </c>
      <c r="M200" s="34"/>
    </row>
    <row r="201" customFormat="false" ht="15" hidden="false" customHeight="false" outlineLevel="0" collapsed="false">
      <c r="A201" s="34"/>
      <c r="B201" s="35"/>
      <c r="C201" s="36" t="str">
        <f aca="false">IF(B201="","",DATE(YEAR(B201),MONTH(B201),1))</f>
        <v/>
      </c>
      <c r="D201" s="34"/>
      <c r="E201" s="34"/>
      <c r="F201" s="34"/>
      <c r="G201" s="34"/>
      <c r="H201" s="34"/>
      <c r="I201" s="34"/>
      <c r="J201" s="37"/>
      <c r="K201" s="34"/>
      <c r="L201" s="38" t="str">
        <f aca="false">IF(I201="","",I201*N(J201)*IF(K201="",1,K201))</f>
        <v/>
      </c>
      <c r="M201" s="34"/>
    </row>
    <row r="202" customFormat="false" ht="15" hidden="false" customHeight="false" outlineLevel="0" collapsed="false">
      <c r="A202" s="34"/>
      <c r="B202" s="35"/>
      <c r="C202" s="36" t="str">
        <f aca="false">IF(B202="","",DATE(YEAR(B202),MONTH(B202),1))</f>
        <v/>
      </c>
      <c r="D202" s="34"/>
      <c r="E202" s="34"/>
      <c r="F202" s="34"/>
      <c r="G202" s="34"/>
      <c r="H202" s="34"/>
      <c r="I202" s="34"/>
      <c r="J202" s="37"/>
      <c r="K202" s="34"/>
      <c r="L202" s="38" t="str">
        <f aca="false">IF(I202="","",I202*N(J202)*IF(K202="",1,K202))</f>
        <v/>
      </c>
      <c r="M202" s="34"/>
    </row>
    <row r="203" customFormat="false" ht="15" hidden="false" customHeight="false" outlineLevel="0" collapsed="false">
      <c r="A203" s="34"/>
      <c r="B203" s="35"/>
      <c r="C203" s="36" t="str">
        <f aca="false">IF(B203="","",DATE(YEAR(B203),MONTH(B203),1))</f>
        <v/>
      </c>
      <c r="D203" s="34"/>
      <c r="E203" s="34"/>
      <c r="F203" s="34"/>
      <c r="G203" s="34"/>
      <c r="H203" s="34"/>
      <c r="I203" s="34"/>
      <c r="J203" s="37"/>
      <c r="K203" s="34"/>
      <c r="L203" s="38" t="str">
        <f aca="false">IF(I203="","",I203*N(J203)*IF(K203="",1,K203))</f>
        <v/>
      </c>
      <c r="M203" s="34"/>
    </row>
    <row r="204" customFormat="false" ht="15" hidden="false" customHeight="false" outlineLevel="0" collapsed="false">
      <c r="A204" s="34"/>
      <c r="B204" s="35"/>
      <c r="C204" s="36" t="str">
        <f aca="false">IF(B204="","",DATE(YEAR(B204),MONTH(B204),1))</f>
        <v/>
      </c>
      <c r="D204" s="34"/>
      <c r="E204" s="34"/>
      <c r="F204" s="34"/>
      <c r="G204" s="34"/>
      <c r="H204" s="34"/>
      <c r="I204" s="34"/>
      <c r="J204" s="37"/>
      <c r="K204" s="34"/>
      <c r="L204" s="38" t="str">
        <f aca="false">IF(I204="","",I204*N(J204)*IF(K204="",1,K204))</f>
        <v/>
      </c>
      <c r="M204" s="34"/>
    </row>
    <row r="205" customFormat="false" ht="15" hidden="false" customHeight="false" outlineLevel="0" collapsed="false">
      <c r="A205" s="34"/>
      <c r="B205" s="35"/>
      <c r="C205" s="36" t="str">
        <f aca="false">IF(B205="","",DATE(YEAR(B205),MONTH(B205),1))</f>
        <v/>
      </c>
      <c r="D205" s="34"/>
      <c r="E205" s="34"/>
      <c r="F205" s="34"/>
      <c r="G205" s="34"/>
      <c r="H205" s="34"/>
      <c r="I205" s="34"/>
      <c r="J205" s="37"/>
      <c r="K205" s="34"/>
      <c r="L205" s="38" t="str">
        <f aca="false">IF(I205="","",I205*N(J205)*IF(K205="",1,K205))</f>
        <v/>
      </c>
      <c r="M205" s="34"/>
    </row>
    <row r="206" customFormat="false" ht="15" hidden="false" customHeight="false" outlineLevel="0" collapsed="false">
      <c r="A206" s="34"/>
      <c r="B206" s="35"/>
      <c r="C206" s="36" t="str">
        <f aca="false">IF(B206="","",DATE(YEAR(B206),MONTH(B206),1))</f>
        <v/>
      </c>
      <c r="D206" s="34"/>
      <c r="E206" s="34"/>
      <c r="F206" s="34"/>
      <c r="G206" s="34"/>
      <c r="H206" s="34"/>
      <c r="I206" s="34"/>
      <c r="J206" s="37"/>
      <c r="K206" s="34"/>
      <c r="L206" s="38" t="str">
        <f aca="false">IF(I206="","",I206*N(J206)*IF(K206="",1,K206))</f>
        <v/>
      </c>
      <c r="M206" s="34"/>
    </row>
    <row r="207" customFormat="false" ht="15" hidden="false" customHeight="false" outlineLevel="0" collapsed="false">
      <c r="A207" s="34"/>
      <c r="B207" s="35"/>
      <c r="C207" s="36" t="str">
        <f aca="false">IF(B207="","",DATE(YEAR(B207),MONTH(B207),1))</f>
        <v/>
      </c>
      <c r="D207" s="34"/>
      <c r="E207" s="34"/>
      <c r="F207" s="34"/>
      <c r="G207" s="34"/>
      <c r="H207" s="34"/>
      <c r="I207" s="34"/>
      <c r="J207" s="37"/>
      <c r="K207" s="34"/>
      <c r="L207" s="38" t="str">
        <f aca="false">IF(I207="","",I207*N(J207)*IF(K207="",1,K207))</f>
        <v/>
      </c>
      <c r="M207" s="34"/>
    </row>
    <row r="208" customFormat="false" ht="15" hidden="false" customHeight="false" outlineLevel="0" collapsed="false">
      <c r="A208" s="34"/>
      <c r="B208" s="35"/>
      <c r="C208" s="36" t="str">
        <f aca="false">IF(B208="","",DATE(YEAR(B208),MONTH(B208),1))</f>
        <v/>
      </c>
      <c r="D208" s="34"/>
      <c r="E208" s="34"/>
      <c r="F208" s="34"/>
      <c r="G208" s="34"/>
      <c r="H208" s="34"/>
      <c r="I208" s="34"/>
      <c r="J208" s="37"/>
      <c r="K208" s="34"/>
      <c r="L208" s="38" t="str">
        <f aca="false">IF(I208="","",I208*N(J208)*IF(K208="",1,K208))</f>
        <v/>
      </c>
      <c r="M208" s="34"/>
    </row>
    <row r="209" customFormat="false" ht="15" hidden="false" customHeight="false" outlineLevel="0" collapsed="false">
      <c r="A209" s="34"/>
      <c r="B209" s="35"/>
      <c r="C209" s="36" t="str">
        <f aca="false">IF(B209="","",DATE(YEAR(B209),MONTH(B209),1))</f>
        <v/>
      </c>
      <c r="D209" s="34"/>
      <c r="E209" s="34"/>
      <c r="F209" s="34"/>
      <c r="G209" s="34"/>
      <c r="H209" s="34"/>
      <c r="I209" s="34"/>
      <c r="J209" s="37"/>
      <c r="K209" s="34"/>
      <c r="L209" s="38" t="str">
        <f aca="false">IF(I209="","",I209*N(J209)*IF(K209="",1,K209))</f>
        <v/>
      </c>
      <c r="M209" s="34"/>
    </row>
    <row r="210" customFormat="false" ht="15" hidden="false" customHeight="false" outlineLevel="0" collapsed="false">
      <c r="A210" s="34"/>
      <c r="B210" s="35"/>
      <c r="C210" s="36" t="str">
        <f aca="false">IF(B210="","",DATE(YEAR(B210),MONTH(B210),1))</f>
        <v/>
      </c>
      <c r="D210" s="34"/>
      <c r="E210" s="34"/>
      <c r="F210" s="34"/>
      <c r="G210" s="34"/>
      <c r="H210" s="34"/>
      <c r="I210" s="34"/>
      <c r="J210" s="37"/>
      <c r="K210" s="34"/>
      <c r="L210" s="38" t="str">
        <f aca="false">IF(I210="","",I210*N(J210)*IF(K210="",1,K210))</f>
        <v/>
      </c>
      <c r="M210" s="34"/>
    </row>
    <row r="211" customFormat="false" ht="15" hidden="false" customHeight="false" outlineLevel="0" collapsed="false">
      <c r="A211" s="34"/>
      <c r="B211" s="35"/>
      <c r="C211" s="36" t="str">
        <f aca="false">IF(B211="","",DATE(YEAR(B211),MONTH(B211),1))</f>
        <v/>
      </c>
      <c r="D211" s="34"/>
      <c r="E211" s="34"/>
      <c r="F211" s="34"/>
      <c r="G211" s="34"/>
      <c r="H211" s="34"/>
      <c r="I211" s="34"/>
      <c r="J211" s="37"/>
      <c r="K211" s="34"/>
      <c r="L211" s="38" t="str">
        <f aca="false">IF(I211="","",I211*N(J211)*IF(K211="",1,K211))</f>
        <v/>
      </c>
      <c r="M211" s="34"/>
    </row>
    <row r="212" customFormat="false" ht="15" hidden="false" customHeight="false" outlineLevel="0" collapsed="false">
      <c r="A212" s="34"/>
      <c r="B212" s="35"/>
      <c r="C212" s="36" t="str">
        <f aca="false">IF(B212="","",DATE(YEAR(B212),MONTH(B212),1))</f>
        <v/>
      </c>
      <c r="D212" s="34"/>
      <c r="E212" s="34"/>
      <c r="F212" s="34"/>
      <c r="G212" s="34"/>
      <c r="H212" s="34"/>
      <c r="I212" s="34"/>
      <c r="J212" s="37"/>
      <c r="K212" s="34"/>
      <c r="L212" s="38" t="str">
        <f aca="false">IF(I212="","",I212*N(J212)*IF(K212="",1,K212))</f>
        <v/>
      </c>
      <c r="M212" s="34"/>
    </row>
    <row r="213" customFormat="false" ht="15" hidden="false" customHeight="false" outlineLevel="0" collapsed="false">
      <c r="A213" s="34"/>
      <c r="B213" s="35"/>
      <c r="C213" s="36" t="str">
        <f aca="false">IF(B213="","",DATE(YEAR(B213),MONTH(B213),1))</f>
        <v/>
      </c>
      <c r="D213" s="34"/>
      <c r="E213" s="34"/>
      <c r="F213" s="34"/>
      <c r="G213" s="34"/>
      <c r="H213" s="34"/>
      <c r="I213" s="34"/>
      <c r="J213" s="37"/>
      <c r="K213" s="34"/>
      <c r="L213" s="38" t="str">
        <f aca="false">IF(I213="","",I213*N(J213)*IF(K213="",1,K213))</f>
        <v/>
      </c>
      <c r="M213" s="34"/>
    </row>
    <row r="214" customFormat="false" ht="15" hidden="false" customHeight="false" outlineLevel="0" collapsed="false">
      <c r="A214" s="34"/>
      <c r="B214" s="35"/>
      <c r="C214" s="36" t="str">
        <f aca="false">IF(B214="","",DATE(YEAR(B214),MONTH(B214),1))</f>
        <v/>
      </c>
      <c r="D214" s="34"/>
      <c r="E214" s="34"/>
      <c r="F214" s="34"/>
      <c r="G214" s="34"/>
      <c r="H214" s="34"/>
      <c r="I214" s="34"/>
      <c r="J214" s="37"/>
      <c r="K214" s="34"/>
      <c r="L214" s="38" t="str">
        <f aca="false">IF(I214="","",I214*N(J214)*IF(K214="",1,K214))</f>
        <v/>
      </c>
      <c r="M214" s="34"/>
    </row>
    <row r="215" customFormat="false" ht="15" hidden="false" customHeight="false" outlineLevel="0" collapsed="false">
      <c r="A215" s="34"/>
      <c r="B215" s="35"/>
      <c r="C215" s="36" t="str">
        <f aca="false">IF(B215="","",DATE(YEAR(B215),MONTH(B215),1))</f>
        <v/>
      </c>
      <c r="D215" s="34"/>
      <c r="E215" s="34"/>
      <c r="F215" s="34"/>
      <c r="G215" s="34"/>
      <c r="H215" s="34"/>
      <c r="I215" s="34"/>
      <c r="J215" s="37"/>
      <c r="K215" s="34"/>
      <c r="L215" s="38" t="str">
        <f aca="false">IF(I215="","",I215*N(J215)*IF(K215="",1,K215))</f>
        <v/>
      </c>
      <c r="M215" s="34"/>
    </row>
    <row r="216" customFormat="false" ht="15" hidden="false" customHeight="false" outlineLevel="0" collapsed="false">
      <c r="A216" s="34"/>
      <c r="B216" s="35"/>
      <c r="C216" s="36" t="str">
        <f aca="false">IF(B216="","",DATE(YEAR(B216),MONTH(B216),1))</f>
        <v/>
      </c>
      <c r="D216" s="34"/>
      <c r="E216" s="34"/>
      <c r="F216" s="34"/>
      <c r="G216" s="34"/>
      <c r="H216" s="34"/>
      <c r="I216" s="34"/>
      <c r="J216" s="37"/>
      <c r="K216" s="34"/>
      <c r="L216" s="38" t="str">
        <f aca="false">IF(I216="","",I216*N(J216)*IF(K216="",1,K216))</f>
        <v/>
      </c>
      <c r="M216" s="34"/>
    </row>
    <row r="217" customFormat="false" ht="15" hidden="false" customHeight="false" outlineLevel="0" collapsed="false">
      <c r="A217" s="34"/>
      <c r="B217" s="35"/>
      <c r="C217" s="36" t="str">
        <f aca="false">IF(B217="","",DATE(YEAR(B217),MONTH(B217),1))</f>
        <v/>
      </c>
      <c r="D217" s="34"/>
      <c r="E217" s="34"/>
      <c r="F217" s="34"/>
      <c r="G217" s="34"/>
      <c r="H217" s="34"/>
      <c r="I217" s="34"/>
      <c r="J217" s="37"/>
      <c r="K217" s="34"/>
      <c r="L217" s="38" t="str">
        <f aca="false">IF(I217="","",I217*N(J217)*IF(K217="",1,K217))</f>
        <v/>
      </c>
      <c r="M217" s="34"/>
    </row>
    <row r="218" customFormat="false" ht="15" hidden="false" customHeight="false" outlineLevel="0" collapsed="false">
      <c r="A218" s="34"/>
      <c r="B218" s="35"/>
      <c r="C218" s="36" t="str">
        <f aca="false">IF(B218="","",DATE(YEAR(B218),MONTH(B218),1))</f>
        <v/>
      </c>
      <c r="D218" s="34"/>
      <c r="E218" s="34"/>
      <c r="F218" s="34"/>
      <c r="G218" s="34"/>
      <c r="H218" s="34"/>
      <c r="I218" s="34"/>
      <c r="J218" s="37"/>
      <c r="K218" s="34"/>
      <c r="L218" s="38" t="str">
        <f aca="false">IF(I218="","",I218*N(J218)*IF(K218="",1,K218))</f>
        <v/>
      </c>
      <c r="M218" s="34"/>
    </row>
    <row r="219" customFormat="false" ht="15" hidden="false" customHeight="false" outlineLevel="0" collapsed="false">
      <c r="A219" s="34"/>
      <c r="B219" s="35"/>
      <c r="C219" s="36" t="str">
        <f aca="false">IF(B219="","",DATE(YEAR(B219),MONTH(B219),1))</f>
        <v/>
      </c>
      <c r="D219" s="34"/>
      <c r="E219" s="34"/>
      <c r="F219" s="34"/>
      <c r="G219" s="34"/>
      <c r="H219" s="34"/>
      <c r="I219" s="34"/>
      <c r="J219" s="37"/>
      <c r="K219" s="34"/>
      <c r="L219" s="38" t="str">
        <f aca="false">IF(I219="","",I219*N(J219)*IF(K219="",1,K219))</f>
        <v/>
      </c>
      <c r="M219" s="34"/>
    </row>
    <row r="220" customFormat="false" ht="15" hidden="false" customHeight="false" outlineLevel="0" collapsed="false">
      <c r="A220" s="34"/>
      <c r="B220" s="35"/>
      <c r="C220" s="36" t="str">
        <f aca="false">IF(B220="","",DATE(YEAR(B220),MONTH(B220),1))</f>
        <v/>
      </c>
      <c r="D220" s="34"/>
      <c r="E220" s="34"/>
      <c r="F220" s="34"/>
      <c r="G220" s="34"/>
      <c r="H220" s="34"/>
      <c r="I220" s="34"/>
      <c r="J220" s="37"/>
      <c r="K220" s="34"/>
      <c r="L220" s="38" t="str">
        <f aca="false">IF(I220="","",I220*N(J220)*IF(K220="",1,K220))</f>
        <v/>
      </c>
      <c r="M220" s="34"/>
    </row>
    <row r="221" customFormat="false" ht="15" hidden="false" customHeight="false" outlineLevel="0" collapsed="false">
      <c r="A221" s="34"/>
      <c r="B221" s="35"/>
      <c r="C221" s="36" t="str">
        <f aca="false">IF(B221="","",DATE(YEAR(B221),MONTH(B221),1))</f>
        <v/>
      </c>
      <c r="D221" s="34"/>
      <c r="E221" s="34"/>
      <c r="F221" s="34"/>
      <c r="G221" s="34"/>
      <c r="H221" s="34"/>
      <c r="I221" s="34"/>
      <c r="J221" s="37"/>
      <c r="K221" s="34"/>
      <c r="L221" s="38" t="str">
        <f aca="false">IF(I221="","",I221*N(J221)*IF(K221="",1,K221))</f>
        <v/>
      </c>
      <c r="M221" s="34"/>
    </row>
    <row r="222" customFormat="false" ht="15" hidden="false" customHeight="false" outlineLevel="0" collapsed="false">
      <c r="A222" s="34"/>
      <c r="B222" s="35"/>
      <c r="C222" s="36" t="str">
        <f aca="false">IF(B222="","",DATE(YEAR(B222),MONTH(B222),1))</f>
        <v/>
      </c>
      <c r="D222" s="34"/>
      <c r="E222" s="34"/>
      <c r="F222" s="34"/>
      <c r="G222" s="34"/>
      <c r="H222" s="34"/>
      <c r="I222" s="34"/>
      <c r="J222" s="37"/>
      <c r="K222" s="34"/>
      <c r="L222" s="38" t="str">
        <f aca="false">IF(I222="","",I222*N(J222)*IF(K222="",1,K222))</f>
        <v/>
      </c>
      <c r="M222" s="34"/>
    </row>
    <row r="223" customFormat="false" ht="15" hidden="false" customHeight="false" outlineLevel="0" collapsed="false">
      <c r="A223" s="34"/>
      <c r="B223" s="35"/>
      <c r="C223" s="36" t="str">
        <f aca="false">IF(B223="","",DATE(YEAR(B223),MONTH(B223),1))</f>
        <v/>
      </c>
      <c r="D223" s="34"/>
      <c r="E223" s="34"/>
      <c r="F223" s="34"/>
      <c r="G223" s="34"/>
      <c r="H223" s="34"/>
      <c r="I223" s="34"/>
      <c r="J223" s="37"/>
      <c r="K223" s="34"/>
      <c r="L223" s="38" t="str">
        <f aca="false">IF(I223="","",I223*N(J223)*IF(K223="",1,K223))</f>
        <v/>
      </c>
      <c r="M223" s="34"/>
    </row>
    <row r="224" customFormat="false" ht="15" hidden="false" customHeight="false" outlineLevel="0" collapsed="false">
      <c r="A224" s="34"/>
      <c r="B224" s="35"/>
      <c r="C224" s="36" t="str">
        <f aca="false">IF(B224="","",DATE(YEAR(B224),MONTH(B224),1))</f>
        <v/>
      </c>
      <c r="D224" s="34"/>
      <c r="E224" s="34"/>
      <c r="F224" s="34"/>
      <c r="G224" s="34"/>
      <c r="H224" s="34"/>
      <c r="I224" s="34"/>
      <c r="J224" s="37"/>
      <c r="K224" s="34"/>
      <c r="L224" s="38" t="str">
        <f aca="false">IF(I224="","",I224*N(J224)*IF(K224="",1,K224))</f>
        <v/>
      </c>
      <c r="M224" s="34"/>
    </row>
    <row r="225" customFormat="false" ht="15" hidden="false" customHeight="false" outlineLevel="0" collapsed="false">
      <c r="A225" s="34"/>
      <c r="B225" s="35"/>
      <c r="C225" s="36" t="str">
        <f aca="false">IF(B225="","",DATE(YEAR(B225),MONTH(B225),1))</f>
        <v/>
      </c>
      <c r="D225" s="34"/>
      <c r="E225" s="34"/>
      <c r="F225" s="34"/>
      <c r="G225" s="34"/>
      <c r="H225" s="34"/>
      <c r="I225" s="34"/>
      <c r="J225" s="37"/>
      <c r="K225" s="34"/>
      <c r="L225" s="38" t="str">
        <f aca="false">IF(I225="","",I225*N(J225)*IF(K225="",1,K225))</f>
        <v/>
      </c>
      <c r="M225" s="34"/>
    </row>
    <row r="226" customFormat="false" ht="15" hidden="false" customHeight="false" outlineLevel="0" collapsed="false">
      <c r="A226" s="34"/>
      <c r="B226" s="35"/>
      <c r="C226" s="36" t="str">
        <f aca="false">IF(B226="","",DATE(YEAR(B226),MONTH(B226),1))</f>
        <v/>
      </c>
      <c r="D226" s="34"/>
      <c r="E226" s="34"/>
      <c r="F226" s="34"/>
      <c r="G226" s="34"/>
      <c r="H226" s="34"/>
      <c r="I226" s="34"/>
      <c r="J226" s="37"/>
      <c r="K226" s="34"/>
      <c r="L226" s="38" t="str">
        <f aca="false">IF(I226="","",I226*N(J226)*IF(K226="",1,K226))</f>
        <v/>
      </c>
      <c r="M226" s="34"/>
    </row>
    <row r="227" customFormat="false" ht="15" hidden="false" customHeight="false" outlineLevel="0" collapsed="false">
      <c r="A227" s="34"/>
      <c r="B227" s="35"/>
      <c r="C227" s="36" t="str">
        <f aca="false">IF(B227="","",DATE(YEAR(B227),MONTH(B227),1))</f>
        <v/>
      </c>
      <c r="D227" s="34"/>
      <c r="E227" s="34"/>
      <c r="F227" s="34"/>
      <c r="G227" s="34"/>
      <c r="H227" s="34"/>
      <c r="I227" s="34"/>
      <c r="J227" s="37"/>
      <c r="K227" s="34"/>
      <c r="L227" s="38" t="str">
        <f aca="false">IF(I227="","",I227*N(J227)*IF(K227="",1,K227))</f>
        <v/>
      </c>
      <c r="M227" s="34"/>
    </row>
    <row r="228" customFormat="false" ht="15" hidden="false" customHeight="false" outlineLevel="0" collapsed="false">
      <c r="A228" s="34"/>
      <c r="B228" s="35"/>
      <c r="C228" s="36" t="str">
        <f aca="false">IF(B228="","",DATE(YEAR(B228),MONTH(B228),1))</f>
        <v/>
      </c>
      <c r="D228" s="34"/>
      <c r="E228" s="34"/>
      <c r="F228" s="34"/>
      <c r="G228" s="34"/>
      <c r="H228" s="34"/>
      <c r="I228" s="34"/>
      <c r="J228" s="37"/>
      <c r="K228" s="34"/>
      <c r="L228" s="38" t="str">
        <f aca="false">IF(I228="","",I228*N(J228)*IF(K228="",1,K228))</f>
        <v/>
      </c>
      <c r="M228" s="34"/>
    </row>
    <row r="229" customFormat="false" ht="15" hidden="false" customHeight="false" outlineLevel="0" collapsed="false">
      <c r="A229" s="34"/>
      <c r="B229" s="35"/>
      <c r="C229" s="36" t="str">
        <f aca="false">IF(B229="","",DATE(YEAR(B229),MONTH(B229),1))</f>
        <v/>
      </c>
      <c r="D229" s="34"/>
      <c r="E229" s="34"/>
      <c r="F229" s="34"/>
      <c r="G229" s="34"/>
      <c r="H229" s="34"/>
      <c r="I229" s="34"/>
      <c r="J229" s="37"/>
      <c r="K229" s="34"/>
      <c r="L229" s="38" t="str">
        <f aca="false">IF(I229="","",I229*N(J229)*IF(K229="",1,K229))</f>
        <v/>
      </c>
      <c r="M229" s="34"/>
    </row>
    <row r="230" customFormat="false" ht="15" hidden="false" customHeight="false" outlineLevel="0" collapsed="false">
      <c r="A230" s="34"/>
      <c r="B230" s="35"/>
      <c r="C230" s="36" t="str">
        <f aca="false">IF(B230="","",DATE(YEAR(B230),MONTH(B230),1))</f>
        <v/>
      </c>
      <c r="D230" s="34"/>
      <c r="E230" s="34"/>
      <c r="F230" s="34"/>
      <c r="G230" s="34"/>
      <c r="H230" s="34"/>
      <c r="I230" s="34"/>
      <c r="J230" s="37"/>
      <c r="K230" s="34"/>
      <c r="L230" s="38" t="str">
        <f aca="false">IF(I230="","",I230*N(J230)*IF(K230="",1,K230))</f>
        <v/>
      </c>
      <c r="M230" s="34"/>
    </row>
    <row r="231" customFormat="false" ht="15" hidden="false" customHeight="false" outlineLevel="0" collapsed="false">
      <c r="A231" s="34"/>
      <c r="B231" s="35"/>
      <c r="C231" s="36" t="str">
        <f aca="false">IF(B231="","",DATE(YEAR(B231),MONTH(B231),1))</f>
        <v/>
      </c>
      <c r="D231" s="34"/>
      <c r="E231" s="34"/>
      <c r="F231" s="34"/>
      <c r="G231" s="34"/>
      <c r="H231" s="34"/>
      <c r="I231" s="34"/>
      <c r="J231" s="37"/>
      <c r="K231" s="34"/>
      <c r="L231" s="38" t="str">
        <f aca="false">IF(I231="","",I231*N(J231)*IF(K231="",1,K231))</f>
        <v/>
      </c>
      <c r="M231" s="34"/>
    </row>
    <row r="232" customFormat="false" ht="15" hidden="false" customHeight="false" outlineLevel="0" collapsed="false">
      <c r="A232" s="34"/>
      <c r="B232" s="35"/>
      <c r="C232" s="36" t="str">
        <f aca="false">IF(B232="","",DATE(YEAR(B232),MONTH(B232),1))</f>
        <v/>
      </c>
      <c r="D232" s="34"/>
      <c r="E232" s="34"/>
      <c r="F232" s="34"/>
      <c r="G232" s="34"/>
      <c r="H232" s="34"/>
      <c r="I232" s="34"/>
      <c r="J232" s="37"/>
      <c r="K232" s="34"/>
      <c r="L232" s="38" t="str">
        <f aca="false">IF(I232="","",I232*N(J232)*IF(K232="",1,K232))</f>
        <v/>
      </c>
      <c r="M232" s="34"/>
    </row>
    <row r="233" customFormat="false" ht="15" hidden="false" customHeight="false" outlineLevel="0" collapsed="false">
      <c r="A233" s="34"/>
      <c r="B233" s="35"/>
      <c r="C233" s="36" t="str">
        <f aca="false">IF(B233="","",DATE(YEAR(B233),MONTH(B233),1))</f>
        <v/>
      </c>
      <c r="D233" s="34"/>
      <c r="E233" s="34"/>
      <c r="F233" s="34"/>
      <c r="G233" s="34"/>
      <c r="H233" s="34"/>
      <c r="I233" s="34"/>
      <c r="J233" s="37"/>
      <c r="K233" s="34"/>
      <c r="L233" s="38" t="str">
        <f aca="false">IF(I233="","",I233*N(J233)*IF(K233="",1,K233))</f>
        <v/>
      </c>
      <c r="M233" s="34"/>
    </row>
    <row r="234" customFormat="false" ht="15" hidden="false" customHeight="false" outlineLevel="0" collapsed="false">
      <c r="A234" s="34"/>
      <c r="B234" s="35"/>
      <c r="C234" s="36" t="str">
        <f aca="false">IF(B234="","",DATE(YEAR(B234),MONTH(B234),1))</f>
        <v/>
      </c>
      <c r="D234" s="34"/>
      <c r="E234" s="34"/>
      <c r="F234" s="34"/>
      <c r="G234" s="34"/>
      <c r="H234" s="34"/>
      <c r="I234" s="34"/>
      <c r="J234" s="37"/>
      <c r="K234" s="34"/>
      <c r="L234" s="38" t="str">
        <f aca="false">IF(I234="","",I234*N(J234)*IF(K234="",1,K234))</f>
        <v/>
      </c>
      <c r="M234" s="34"/>
    </row>
    <row r="235" customFormat="false" ht="15" hidden="false" customHeight="false" outlineLevel="0" collapsed="false">
      <c r="A235" s="34"/>
      <c r="B235" s="35"/>
      <c r="C235" s="36" t="str">
        <f aca="false">IF(B235="","",DATE(YEAR(B235),MONTH(B235),1))</f>
        <v/>
      </c>
      <c r="D235" s="34"/>
      <c r="E235" s="34"/>
      <c r="F235" s="34"/>
      <c r="G235" s="34"/>
      <c r="H235" s="34"/>
      <c r="I235" s="34"/>
      <c r="J235" s="37"/>
      <c r="K235" s="34"/>
      <c r="L235" s="38" t="str">
        <f aca="false">IF(I235="","",I235*N(J235)*IF(K235="",1,K235))</f>
        <v/>
      </c>
      <c r="M235" s="34"/>
    </row>
    <row r="236" customFormat="false" ht="15" hidden="false" customHeight="false" outlineLevel="0" collapsed="false">
      <c r="A236" s="34"/>
      <c r="B236" s="35"/>
      <c r="C236" s="36" t="str">
        <f aca="false">IF(B236="","",DATE(YEAR(B236),MONTH(B236),1))</f>
        <v/>
      </c>
      <c r="D236" s="34"/>
      <c r="E236" s="34"/>
      <c r="F236" s="34"/>
      <c r="G236" s="34"/>
      <c r="H236" s="34"/>
      <c r="I236" s="34"/>
      <c r="J236" s="37"/>
      <c r="K236" s="34"/>
      <c r="L236" s="38" t="str">
        <f aca="false">IF(I236="","",I236*N(J236)*IF(K236="",1,K236))</f>
        <v/>
      </c>
      <c r="M236" s="34"/>
    </row>
    <row r="237" customFormat="false" ht="15" hidden="false" customHeight="false" outlineLevel="0" collapsed="false">
      <c r="A237" s="34"/>
      <c r="B237" s="35"/>
      <c r="C237" s="36" t="str">
        <f aca="false">IF(B237="","",DATE(YEAR(B237),MONTH(B237),1))</f>
        <v/>
      </c>
      <c r="D237" s="34"/>
      <c r="E237" s="34"/>
      <c r="F237" s="34"/>
      <c r="G237" s="34"/>
      <c r="H237" s="34"/>
      <c r="I237" s="34"/>
      <c r="J237" s="37"/>
      <c r="K237" s="34"/>
      <c r="L237" s="38" t="str">
        <f aca="false">IF(I237="","",I237*N(J237)*IF(K237="",1,K237))</f>
        <v/>
      </c>
      <c r="M237" s="34"/>
    </row>
    <row r="238" customFormat="false" ht="15" hidden="false" customHeight="false" outlineLevel="0" collapsed="false">
      <c r="A238" s="34"/>
      <c r="B238" s="35"/>
      <c r="C238" s="36" t="str">
        <f aca="false">IF(B238="","",DATE(YEAR(B238),MONTH(B238),1))</f>
        <v/>
      </c>
      <c r="D238" s="34"/>
      <c r="E238" s="34"/>
      <c r="F238" s="34"/>
      <c r="G238" s="34"/>
      <c r="H238" s="34"/>
      <c r="I238" s="34"/>
      <c r="J238" s="37"/>
      <c r="K238" s="34"/>
      <c r="L238" s="38" t="str">
        <f aca="false">IF(I238="","",I238*N(J238)*IF(K238="",1,K238))</f>
        <v/>
      </c>
      <c r="M238" s="34"/>
    </row>
    <row r="239" customFormat="false" ht="15" hidden="false" customHeight="false" outlineLevel="0" collapsed="false">
      <c r="A239" s="34"/>
      <c r="B239" s="35"/>
      <c r="C239" s="36" t="str">
        <f aca="false">IF(B239="","",DATE(YEAR(B239),MONTH(B239),1))</f>
        <v/>
      </c>
      <c r="D239" s="34"/>
      <c r="E239" s="34"/>
      <c r="F239" s="34"/>
      <c r="G239" s="34"/>
      <c r="H239" s="34"/>
      <c r="I239" s="34"/>
      <c r="J239" s="37"/>
      <c r="K239" s="34"/>
      <c r="L239" s="38" t="str">
        <f aca="false">IF(I239="","",I239*N(J239)*IF(K239="",1,K239))</f>
        <v/>
      </c>
      <c r="M239" s="34"/>
    </row>
    <row r="240" customFormat="false" ht="15" hidden="false" customHeight="false" outlineLevel="0" collapsed="false">
      <c r="A240" s="34"/>
      <c r="B240" s="35"/>
      <c r="C240" s="36" t="str">
        <f aca="false">IF(B240="","",DATE(YEAR(B240),MONTH(B240),1))</f>
        <v/>
      </c>
      <c r="D240" s="34"/>
      <c r="E240" s="34"/>
      <c r="F240" s="34"/>
      <c r="G240" s="34"/>
      <c r="H240" s="34"/>
      <c r="I240" s="34"/>
      <c r="J240" s="37"/>
      <c r="K240" s="34"/>
      <c r="L240" s="38" t="str">
        <f aca="false">IF(I240="","",I240*N(J240)*IF(K240="",1,K240))</f>
        <v/>
      </c>
      <c r="M240" s="34"/>
    </row>
    <row r="241" customFormat="false" ht="15" hidden="false" customHeight="false" outlineLevel="0" collapsed="false">
      <c r="A241" s="34"/>
      <c r="B241" s="35"/>
      <c r="C241" s="36" t="str">
        <f aca="false">IF(B241="","",DATE(YEAR(B241),MONTH(B241),1))</f>
        <v/>
      </c>
      <c r="D241" s="34"/>
      <c r="E241" s="34"/>
      <c r="F241" s="34"/>
      <c r="G241" s="34"/>
      <c r="H241" s="34"/>
      <c r="I241" s="34"/>
      <c r="J241" s="37"/>
      <c r="K241" s="34"/>
      <c r="L241" s="38" t="str">
        <f aca="false">IF(I241="","",I241*N(J241)*IF(K241="",1,K241))</f>
        <v/>
      </c>
      <c r="M241" s="34"/>
    </row>
    <row r="242" customFormat="false" ht="15" hidden="false" customHeight="false" outlineLevel="0" collapsed="false">
      <c r="A242" s="34"/>
      <c r="B242" s="35"/>
      <c r="C242" s="36" t="str">
        <f aca="false">IF(B242="","",DATE(YEAR(B242),MONTH(B242),1))</f>
        <v/>
      </c>
      <c r="D242" s="34"/>
      <c r="E242" s="34"/>
      <c r="F242" s="34"/>
      <c r="G242" s="34"/>
      <c r="H242" s="34"/>
      <c r="I242" s="34"/>
      <c r="J242" s="37"/>
      <c r="K242" s="34"/>
      <c r="L242" s="38" t="str">
        <f aca="false">IF(I242="","",I242*N(J242)*IF(K242="",1,K242))</f>
        <v/>
      </c>
      <c r="M242" s="34"/>
    </row>
    <row r="243" customFormat="false" ht="15" hidden="false" customHeight="false" outlineLevel="0" collapsed="false">
      <c r="A243" s="34"/>
      <c r="B243" s="35"/>
      <c r="C243" s="36" t="str">
        <f aca="false">IF(B243="","",DATE(YEAR(B243),MONTH(B243),1))</f>
        <v/>
      </c>
      <c r="D243" s="34"/>
      <c r="E243" s="34"/>
      <c r="F243" s="34"/>
      <c r="G243" s="34"/>
      <c r="H243" s="34"/>
      <c r="I243" s="34"/>
      <c r="J243" s="37"/>
      <c r="K243" s="34"/>
      <c r="L243" s="38" t="str">
        <f aca="false">IF(I243="","",I243*N(J243)*IF(K243="",1,K243))</f>
        <v/>
      </c>
      <c r="M243" s="34"/>
    </row>
    <row r="244" customFormat="false" ht="15" hidden="false" customHeight="false" outlineLevel="0" collapsed="false">
      <c r="A244" s="34"/>
      <c r="B244" s="35"/>
      <c r="C244" s="36" t="str">
        <f aca="false">IF(B244="","",DATE(YEAR(B244),MONTH(B244),1))</f>
        <v/>
      </c>
      <c r="D244" s="34"/>
      <c r="E244" s="34"/>
      <c r="F244" s="34"/>
      <c r="G244" s="34"/>
      <c r="H244" s="34"/>
      <c r="I244" s="34"/>
      <c r="J244" s="37"/>
      <c r="K244" s="34"/>
      <c r="L244" s="38" t="str">
        <f aca="false">IF(I244="","",I244*N(J244)*IF(K244="",1,K244))</f>
        <v/>
      </c>
      <c r="M244" s="34"/>
    </row>
    <row r="245" customFormat="false" ht="15" hidden="false" customHeight="false" outlineLevel="0" collapsed="false">
      <c r="A245" s="34"/>
      <c r="B245" s="35"/>
      <c r="C245" s="36" t="str">
        <f aca="false">IF(B245="","",DATE(YEAR(B245),MONTH(B245),1))</f>
        <v/>
      </c>
      <c r="D245" s="34"/>
      <c r="E245" s="34"/>
      <c r="F245" s="34"/>
      <c r="G245" s="34"/>
      <c r="H245" s="34"/>
      <c r="I245" s="34"/>
      <c r="J245" s="37"/>
      <c r="K245" s="34"/>
      <c r="L245" s="38" t="str">
        <f aca="false">IF(I245="","",I245*N(J245)*IF(K245="",1,K245))</f>
        <v/>
      </c>
      <c r="M245" s="34"/>
    </row>
    <row r="246" customFormat="false" ht="15" hidden="false" customHeight="false" outlineLevel="0" collapsed="false">
      <c r="A246" s="34"/>
      <c r="B246" s="35"/>
      <c r="C246" s="36" t="str">
        <f aca="false">IF(B246="","",DATE(YEAR(B246),MONTH(B246),1))</f>
        <v/>
      </c>
      <c r="D246" s="34"/>
      <c r="E246" s="34"/>
      <c r="F246" s="34"/>
      <c r="G246" s="34"/>
      <c r="H246" s="34"/>
      <c r="I246" s="34"/>
      <c r="J246" s="37"/>
      <c r="K246" s="34"/>
      <c r="L246" s="38" t="str">
        <f aca="false">IF(I246="","",I246*N(J246)*IF(K246="",1,K246))</f>
        <v/>
      </c>
      <c r="M246" s="34"/>
    </row>
    <row r="247" customFormat="false" ht="15" hidden="false" customHeight="false" outlineLevel="0" collapsed="false">
      <c r="A247" s="34"/>
      <c r="B247" s="35"/>
      <c r="C247" s="36" t="str">
        <f aca="false">IF(B247="","",DATE(YEAR(B247),MONTH(B247),1))</f>
        <v/>
      </c>
      <c r="D247" s="34"/>
      <c r="E247" s="34"/>
      <c r="F247" s="34"/>
      <c r="G247" s="34"/>
      <c r="H247" s="34"/>
      <c r="I247" s="34"/>
      <c r="J247" s="37"/>
      <c r="K247" s="34"/>
      <c r="L247" s="38" t="str">
        <f aca="false">IF(I247="","",I247*N(J247)*IF(K247="",1,K247))</f>
        <v/>
      </c>
      <c r="M247" s="34"/>
    </row>
    <row r="248" customFormat="false" ht="15" hidden="false" customHeight="false" outlineLevel="0" collapsed="false">
      <c r="A248" s="34"/>
      <c r="B248" s="35"/>
      <c r="C248" s="36" t="str">
        <f aca="false">IF(B248="","",DATE(YEAR(B248),MONTH(B248),1))</f>
        <v/>
      </c>
      <c r="D248" s="34"/>
      <c r="E248" s="34"/>
      <c r="F248" s="34"/>
      <c r="G248" s="34"/>
      <c r="H248" s="34"/>
      <c r="I248" s="34"/>
      <c r="J248" s="37"/>
      <c r="K248" s="34"/>
      <c r="L248" s="38" t="str">
        <f aca="false">IF(I248="","",I248*N(J248)*IF(K248="",1,K248))</f>
        <v/>
      </c>
      <c r="M248" s="34"/>
    </row>
    <row r="249" customFormat="false" ht="15" hidden="false" customHeight="false" outlineLevel="0" collapsed="false">
      <c r="A249" s="34"/>
      <c r="B249" s="35"/>
      <c r="C249" s="36" t="str">
        <f aca="false">IF(B249="","",DATE(YEAR(B249),MONTH(B249),1))</f>
        <v/>
      </c>
      <c r="D249" s="34"/>
      <c r="E249" s="34"/>
      <c r="F249" s="34"/>
      <c r="G249" s="34"/>
      <c r="H249" s="34"/>
      <c r="I249" s="34"/>
      <c r="J249" s="37"/>
      <c r="K249" s="34"/>
      <c r="L249" s="38" t="str">
        <f aca="false">IF(I249="","",I249*N(J249)*IF(K249="",1,K249))</f>
        <v/>
      </c>
      <c r="M249" s="34"/>
    </row>
    <row r="250" customFormat="false" ht="15" hidden="false" customHeight="false" outlineLevel="0" collapsed="false">
      <c r="A250" s="34"/>
      <c r="B250" s="35"/>
      <c r="C250" s="36" t="str">
        <f aca="false">IF(B250="","",DATE(YEAR(B250),MONTH(B250),1))</f>
        <v/>
      </c>
      <c r="D250" s="34"/>
      <c r="E250" s="34"/>
      <c r="F250" s="34"/>
      <c r="G250" s="34"/>
      <c r="H250" s="34"/>
      <c r="I250" s="34"/>
      <c r="J250" s="37"/>
      <c r="K250" s="34"/>
      <c r="L250" s="38" t="str">
        <f aca="false">IF(I250="","",I250*N(J250)*IF(K250="",1,K250))</f>
        <v/>
      </c>
      <c r="M250" s="34"/>
    </row>
    <row r="251" customFormat="false" ht="15" hidden="false" customHeight="false" outlineLevel="0" collapsed="false">
      <c r="A251" s="34"/>
      <c r="B251" s="35"/>
      <c r="C251" s="36" t="str">
        <f aca="false">IF(B251="","",DATE(YEAR(B251),MONTH(B251),1))</f>
        <v/>
      </c>
      <c r="D251" s="34"/>
      <c r="E251" s="34"/>
      <c r="F251" s="34"/>
      <c r="G251" s="34"/>
      <c r="H251" s="34"/>
      <c r="I251" s="34"/>
      <c r="J251" s="37"/>
      <c r="K251" s="34"/>
      <c r="L251" s="38" t="str">
        <f aca="false">IF(I251="","",I251*N(J251)*IF(K251="",1,K251))</f>
        <v/>
      </c>
      <c r="M251" s="34"/>
    </row>
    <row r="252" customFormat="false" ht="15" hidden="false" customHeight="false" outlineLevel="0" collapsed="false">
      <c r="A252" s="34"/>
      <c r="B252" s="35"/>
      <c r="C252" s="36" t="str">
        <f aca="false">IF(B252="","",DATE(YEAR(B252),MONTH(B252),1))</f>
        <v/>
      </c>
      <c r="D252" s="34"/>
      <c r="E252" s="34"/>
      <c r="F252" s="34"/>
      <c r="G252" s="34"/>
      <c r="H252" s="34"/>
      <c r="I252" s="34"/>
      <c r="J252" s="37"/>
      <c r="K252" s="34"/>
      <c r="L252" s="38" t="str">
        <f aca="false">IF(I252="","",I252*N(J252)*IF(K252="",1,K252))</f>
        <v/>
      </c>
      <c r="M252" s="34"/>
    </row>
    <row r="253" customFormat="false" ht="15" hidden="false" customHeight="false" outlineLevel="0" collapsed="false">
      <c r="A253" s="34"/>
      <c r="B253" s="35"/>
      <c r="C253" s="36" t="str">
        <f aca="false">IF(B253="","",DATE(YEAR(B253),MONTH(B253),1))</f>
        <v/>
      </c>
      <c r="D253" s="34"/>
      <c r="E253" s="34"/>
      <c r="F253" s="34"/>
      <c r="G253" s="34"/>
      <c r="H253" s="34"/>
      <c r="I253" s="34"/>
      <c r="J253" s="37"/>
      <c r="K253" s="34"/>
      <c r="L253" s="38" t="str">
        <f aca="false">IF(I253="","",I253*N(J253)*IF(K253="",1,K253))</f>
        <v/>
      </c>
      <c r="M253" s="34"/>
    </row>
    <row r="254" customFormat="false" ht="15" hidden="false" customHeight="false" outlineLevel="0" collapsed="false">
      <c r="A254" s="34"/>
      <c r="B254" s="35"/>
      <c r="C254" s="36" t="str">
        <f aca="false">IF(B254="","",DATE(YEAR(B254),MONTH(B254),1))</f>
        <v/>
      </c>
      <c r="D254" s="34"/>
      <c r="E254" s="34"/>
      <c r="F254" s="34"/>
      <c r="G254" s="34"/>
      <c r="H254" s="34"/>
      <c r="I254" s="34"/>
      <c r="J254" s="37"/>
      <c r="K254" s="34"/>
      <c r="L254" s="38" t="str">
        <f aca="false">IF(I254="","",I254*N(J254)*IF(K254="",1,K254))</f>
        <v/>
      </c>
      <c r="M254" s="34"/>
    </row>
    <row r="255" customFormat="false" ht="15" hidden="false" customHeight="false" outlineLevel="0" collapsed="false">
      <c r="A255" s="34"/>
      <c r="B255" s="35"/>
      <c r="C255" s="36" t="str">
        <f aca="false">IF(B255="","",DATE(YEAR(B255),MONTH(B255),1))</f>
        <v/>
      </c>
      <c r="D255" s="34"/>
      <c r="E255" s="34"/>
      <c r="F255" s="34"/>
      <c r="G255" s="34"/>
      <c r="H255" s="34"/>
      <c r="I255" s="34"/>
      <c r="J255" s="37"/>
      <c r="K255" s="34"/>
      <c r="L255" s="38" t="str">
        <f aca="false">IF(I255="","",I255*N(J255)*IF(K255="",1,K255))</f>
        <v/>
      </c>
      <c r="M255" s="34"/>
    </row>
    <row r="256" customFormat="false" ht="15" hidden="false" customHeight="false" outlineLevel="0" collapsed="false">
      <c r="A256" s="34"/>
      <c r="B256" s="35"/>
      <c r="C256" s="36" t="str">
        <f aca="false">IF(B256="","",DATE(YEAR(B256),MONTH(B256),1))</f>
        <v/>
      </c>
      <c r="D256" s="34"/>
      <c r="E256" s="34"/>
      <c r="F256" s="34"/>
      <c r="G256" s="34"/>
      <c r="H256" s="34"/>
      <c r="I256" s="34"/>
      <c r="J256" s="37"/>
      <c r="K256" s="34"/>
      <c r="L256" s="38" t="str">
        <f aca="false">IF(I256="","",I256*N(J256)*IF(K256="",1,K256))</f>
        <v/>
      </c>
      <c r="M256" s="34"/>
    </row>
    <row r="257" customFormat="false" ht="15" hidden="false" customHeight="false" outlineLevel="0" collapsed="false">
      <c r="A257" s="34"/>
      <c r="B257" s="35"/>
      <c r="C257" s="36" t="str">
        <f aca="false">IF(B257="","",DATE(YEAR(B257),MONTH(B257),1))</f>
        <v/>
      </c>
      <c r="D257" s="34"/>
      <c r="E257" s="34"/>
      <c r="F257" s="34"/>
      <c r="G257" s="34"/>
      <c r="H257" s="34"/>
      <c r="I257" s="34"/>
      <c r="J257" s="37"/>
      <c r="K257" s="34"/>
      <c r="L257" s="38" t="str">
        <f aca="false">IF(I257="","",I257*N(J257)*IF(K257="",1,K257))</f>
        <v/>
      </c>
      <c r="M257" s="34"/>
    </row>
    <row r="258" customFormat="false" ht="15" hidden="false" customHeight="false" outlineLevel="0" collapsed="false">
      <c r="A258" s="34"/>
      <c r="B258" s="35"/>
      <c r="C258" s="36" t="str">
        <f aca="false">IF(B258="","",DATE(YEAR(B258),MONTH(B258),1))</f>
        <v/>
      </c>
      <c r="D258" s="34"/>
      <c r="E258" s="34"/>
      <c r="F258" s="34"/>
      <c r="G258" s="34"/>
      <c r="H258" s="34"/>
      <c r="I258" s="34"/>
      <c r="J258" s="37"/>
      <c r="K258" s="34"/>
      <c r="L258" s="38" t="str">
        <f aca="false">IF(I258="","",I258*N(J258)*IF(K258="",1,K258))</f>
        <v/>
      </c>
      <c r="M258" s="34"/>
    </row>
    <row r="259" customFormat="false" ht="15" hidden="false" customHeight="false" outlineLevel="0" collapsed="false">
      <c r="A259" s="34"/>
      <c r="B259" s="35"/>
      <c r="C259" s="36" t="str">
        <f aca="false">IF(B259="","",DATE(YEAR(B259),MONTH(B259),1))</f>
        <v/>
      </c>
      <c r="D259" s="34"/>
      <c r="E259" s="34"/>
      <c r="F259" s="34"/>
      <c r="G259" s="34"/>
      <c r="H259" s="34"/>
      <c r="I259" s="34"/>
      <c r="J259" s="37"/>
      <c r="K259" s="34"/>
      <c r="L259" s="38" t="str">
        <f aca="false">IF(I259="","",I259*N(J259)*IF(K259="",1,K259))</f>
        <v/>
      </c>
      <c r="M259" s="34"/>
    </row>
    <row r="260" customFormat="false" ht="15" hidden="false" customHeight="false" outlineLevel="0" collapsed="false">
      <c r="A260" s="34"/>
      <c r="B260" s="35"/>
      <c r="C260" s="36" t="str">
        <f aca="false">IF(B260="","",DATE(YEAR(B260),MONTH(B260),1))</f>
        <v/>
      </c>
      <c r="D260" s="34"/>
      <c r="E260" s="34"/>
      <c r="F260" s="34"/>
      <c r="G260" s="34"/>
      <c r="H260" s="34"/>
      <c r="I260" s="34"/>
      <c r="J260" s="37"/>
      <c r="K260" s="34"/>
      <c r="L260" s="38" t="str">
        <f aca="false">IF(I260="","",I260*N(J260)*IF(K260="",1,K260))</f>
        <v/>
      </c>
      <c r="M260" s="34"/>
    </row>
    <row r="261" customFormat="false" ht="15" hidden="false" customHeight="false" outlineLevel="0" collapsed="false">
      <c r="A261" s="34"/>
      <c r="B261" s="35"/>
      <c r="C261" s="36" t="str">
        <f aca="false">IF(B261="","",DATE(YEAR(B261),MONTH(B261),1))</f>
        <v/>
      </c>
      <c r="D261" s="34"/>
      <c r="E261" s="34"/>
      <c r="F261" s="34"/>
      <c r="G261" s="34"/>
      <c r="H261" s="34"/>
      <c r="I261" s="34"/>
      <c r="J261" s="37"/>
      <c r="K261" s="34"/>
      <c r="L261" s="38" t="str">
        <f aca="false">IF(I261="","",I261*N(J261)*IF(K261="",1,K261))</f>
        <v/>
      </c>
      <c r="M261" s="34"/>
    </row>
    <row r="262" customFormat="false" ht="15" hidden="false" customHeight="false" outlineLevel="0" collapsed="false">
      <c r="A262" s="34"/>
      <c r="B262" s="35"/>
      <c r="C262" s="36" t="str">
        <f aca="false">IF(B262="","",DATE(YEAR(B262),MONTH(B262),1))</f>
        <v/>
      </c>
      <c r="D262" s="34"/>
      <c r="E262" s="34"/>
      <c r="F262" s="34"/>
      <c r="G262" s="34"/>
      <c r="H262" s="34"/>
      <c r="I262" s="34"/>
      <c r="J262" s="37"/>
      <c r="K262" s="34"/>
      <c r="L262" s="38" t="str">
        <f aca="false">IF(I262="","",I262*N(J262)*IF(K262="",1,K262))</f>
        <v/>
      </c>
      <c r="M262" s="34"/>
    </row>
    <row r="263" customFormat="false" ht="15" hidden="false" customHeight="false" outlineLevel="0" collapsed="false">
      <c r="A263" s="34"/>
      <c r="B263" s="35"/>
      <c r="C263" s="36" t="str">
        <f aca="false">IF(B263="","",DATE(YEAR(B263),MONTH(B263),1))</f>
        <v/>
      </c>
      <c r="D263" s="34"/>
      <c r="E263" s="34"/>
      <c r="F263" s="34"/>
      <c r="G263" s="34"/>
      <c r="H263" s="34"/>
      <c r="I263" s="34"/>
      <c r="J263" s="37"/>
      <c r="K263" s="34"/>
      <c r="L263" s="38" t="str">
        <f aca="false">IF(I263="","",I263*N(J263)*IF(K263="",1,K263))</f>
        <v/>
      </c>
      <c r="M263" s="34"/>
    </row>
    <row r="264" customFormat="false" ht="15" hidden="false" customHeight="false" outlineLevel="0" collapsed="false">
      <c r="A264" s="34"/>
      <c r="B264" s="35"/>
      <c r="C264" s="36" t="str">
        <f aca="false">IF(B264="","",DATE(YEAR(B264),MONTH(B264),1))</f>
        <v/>
      </c>
      <c r="D264" s="34"/>
      <c r="E264" s="34"/>
      <c r="F264" s="34"/>
      <c r="G264" s="34"/>
      <c r="H264" s="34"/>
      <c r="I264" s="34"/>
      <c r="J264" s="37"/>
      <c r="K264" s="34"/>
      <c r="L264" s="38" t="str">
        <f aca="false">IF(I264="","",I264*N(J264)*IF(K264="",1,K264))</f>
        <v/>
      </c>
      <c r="M264" s="34"/>
    </row>
    <row r="265" customFormat="false" ht="15" hidden="false" customHeight="false" outlineLevel="0" collapsed="false">
      <c r="A265" s="34"/>
      <c r="B265" s="35"/>
      <c r="C265" s="36" t="str">
        <f aca="false">IF(B265="","",DATE(YEAR(B265),MONTH(B265),1))</f>
        <v/>
      </c>
      <c r="D265" s="34"/>
      <c r="E265" s="34"/>
      <c r="F265" s="34"/>
      <c r="G265" s="34"/>
      <c r="H265" s="34"/>
      <c r="I265" s="34"/>
      <c r="J265" s="37"/>
      <c r="K265" s="34"/>
      <c r="L265" s="38" t="str">
        <f aca="false">IF(I265="","",I265*N(J265)*IF(K265="",1,K265))</f>
        <v/>
      </c>
      <c r="M265" s="34"/>
    </row>
    <row r="266" customFormat="false" ht="15" hidden="false" customHeight="false" outlineLevel="0" collapsed="false">
      <c r="A266" s="34"/>
      <c r="B266" s="35"/>
      <c r="C266" s="36" t="str">
        <f aca="false">IF(B266="","",DATE(YEAR(B266),MONTH(B266),1))</f>
        <v/>
      </c>
      <c r="D266" s="34"/>
      <c r="E266" s="34"/>
      <c r="F266" s="34"/>
      <c r="G266" s="34"/>
      <c r="H266" s="34"/>
      <c r="I266" s="34"/>
      <c r="J266" s="37"/>
      <c r="K266" s="34"/>
      <c r="L266" s="38" t="str">
        <f aca="false">IF(I266="","",I266*N(J266)*IF(K266="",1,K266))</f>
        <v/>
      </c>
      <c r="M266" s="34"/>
    </row>
    <row r="267" customFormat="false" ht="15" hidden="false" customHeight="false" outlineLevel="0" collapsed="false">
      <c r="A267" s="34"/>
      <c r="B267" s="35"/>
      <c r="C267" s="36" t="str">
        <f aca="false">IF(B267="","",DATE(YEAR(B267),MONTH(B267),1))</f>
        <v/>
      </c>
      <c r="D267" s="34"/>
      <c r="E267" s="34"/>
      <c r="F267" s="34"/>
      <c r="G267" s="34"/>
      <c r="H267" s="34"/>
      <c r="I267" s="34"/>
      <c r="J267" s="37"/>
      <c r="K267" s="34"/>
      <c r="L267" s="38" t="str">
        <f aca="false">IF(I267="","",I267*N(J267)*IF(K267="",1,K267))</f>
        <v/>
      </c>
      <c r="M267" s="34"/>
    </row>
    <row r="268" customFormat="false" ht="15" hidden="false" customHeight="false" outlineLevel="0" collapsed="false">
      <c r="A268" s="34"/>
      <c r="B268" s="35"/>
      <c r="C268" s="36" t="str">
        <f aca="false">IF(B268="","",DATE(YEAR(B268),MONTH(B268),1))</f>
        <v/>
      </c>
      <c r="D268" s="34"/>
      <c r="E268" s="34"/>
      <c r="F268" s="34"/>
      <c r="G268" s="34"/>
      <c r="H268" s="34"/>
      <c r="I268" s="34"/>
      <c r="J268" s="37"/>
      <c r="K268" s="34"/>
      <c r="L268" s="38" t="str">
        <f aca="false">IF(I268="","",I268*N(J268)*IF(K268="",1,K268))</f>
        <v/>
      </c>
      <c r="M268" s="34"/>
    </row>
    <row r="269" customFormat="false" ht="15" hidden="false" customHeight="false" outlineLevel="0" collapsed="false">
      <c r="A269" s="34"/>
      <c r="B269" s="35"/>
      <c r="C269" s="36" t="str">
        <f aca="false">IF(B269="","",DATE(YEAR(B269),MONTH(B269),1))</f>
        <v/>
      </c>
      <c r="D269" s="34"/>
      <c r="E269" s="34"/>
      <c r="F269" s="34"/>
      <c r="G269" s="34"/>
      <c r="H269" s="34"/>
      <c r="I269" s="34"/>
      <c r="J269" s="37"/>
      <c r="K269" s="34"/>
      <c r="L269" s="38" t="str">
        <f aca="false">IF(I269="","",I269*N(J269)*IF(K269="",1,K269))</f>
        <v/>
      </c>
      <c r="M269" s="34"/>
    </row>
    <row r="270" customFormat="false" ht="15" hidden="false" customHeight="false" outlineLevel="0" collapsed="false">
      <c r="A270" s="34"/>
      <c r="B270" s="35"/>
      <c r="C270" s="36" t="str">
        <f aca="false">IF(B270="","",DATE(YEAR(B270),MONTH(B270),1))</f>
        <v/>
      </c>
      <c r="D270" s="34"/>
      <c r="E270" s="34"/>
      <c r="F270" s="34"/>
      <c r="G270" s="34"/>
      <c r="H270" s="34"/>
      <c r="I270" s="34"/>
      <c r="J270" s="37"/>
      <c r="K270" s="34"/>
      <c r="L270" s="38" t="str">
        <f aca="false">IF(I270="","",I270*N(J270)*IF(K270="",1,K270))</f>
        <v/>
      </c>
      <c r="M270" s="34"/>
    </row>
    <row r="271" customFormat="false" ht="15" hidden="false" customHeight="false" outlineLevel="0" collapsed="false">
      <c r="A271" s="34"/>
      <c r="B271" s="35"/>
      <c r="C271" s="36" t="str">
        <f aca="false">IF(B271="","",DATE(YEAR(B271),MONTH(B271),1))</f>
        <v/>
      </c>
      <c r="D271" s="34"/>
      <c r="E271" s="34"/>
      <c r="F271" s="34"/>
      <c r="G271" s="34"/>
      <c r="H271" s="34"/>
      <c r="I271" s="34"/>
      <c r="J271" s="37"/>
      <c r="K271" s="34"/>
      <c r="L271" s="38" t="str">
        <f aca="false">IF(I271="","",I271*N(J271)*IF(K271="",1,K271))</f>
        <v/>
      </c>
      <c r="M271" s="34"/>
    </row>
    <row r="272" customFormat="false" ht="15" hidden="false" customHeight="false" outlineLevel="0" collapsed="false">
      <c r="A272" s="34"/>
      <c r="B272" s="35"/>
      <c r="C272" s="36" t="str">
        <f aca="false">IF(B272="","",DATE(YEAR(B272),MONTH(B272),1))</f>
        <v/>
      </c>
      <c r="D272" s="34"/>
      <c r="E272" s="34"/>
      <c r="F272" s="34"/>
      <c r="G272" s="34"/>
      <c r="H272" s="34"/>
      <c r="I272" s="34"/>
      <c r="J272" s="37"/>
      <c r="K272" s="34"/>
      <c r="L272" s="38" t="str">
        <f aca="false">IF(I272="","",I272*N(J272)*IF(K272="",1,K272))</f>
        <v/>
      </c>
      <c r="M272" s="34"/>
    </row>
    <row r="273" customFormat="false" ht="15" hidden="false" customHeight="false" outlineLevel="0" collapsed="false">
      <c r="A273" s="34"/>
      <c r="B273" s="35"/>
      <c r="C273" s="36" t="str">
        <f aca="false">IF(B273="","",DATE(YEAR(B273),MONTH(B273),1))</f>
        <v/>
      </c>
      <c r="D273" s="34"/>
      <c r="E273" s="34"/>
      <c r="F273" s="34"/>
      <c r="G273" s="34"/>
      <c r="H273" s="34"/>
      <c r="I273" s="34"/>
      <c r="J273" s="37"/>
      <c r="K273" s="34"/>
      <c r="L273" s="38" t="str">
        <f aca="false">IF(I273="","",I273*N(J273)*IF(K273="",1,K273))</f>
        <v/>
      </c>
      <c r="M273" s="34"/>
    </row>
    <row r="274" customFormat="false" ht="15" hidden="false" customHeight="false" outlineLevel="0" collapsed="false">
      <c r="A274" s="34"/>
      <c r="B274" s="35"/>
      <c r="C274" s="36" t="str">
        <f aca="false">IF(B274="","",DATE(YEAR(B274),MONTH(B274),1))</f>
        <v/>
      </c>
      <c r="D274" s="34"/>
      <c r="E274" s="34"/>
      <c r="F274" s="34"/>
      <c r="G274" s="34"/>
      <c r="H274" s="34"/>
      <c r="I274" s="34"/>
      <c r="J274" s="37"/>
      <c r="K274" s="34"/>
      <c r="L274" s="38" t="str">
        <f aca="false">IF(I274="","",I274*N(J274)*IF(K274="",1,K274))</f>
        <v/>
      </c>
      <c r="M274" s="34"/>
    </row>
    <row r="275" customFormat="false" ht="15" hidden="false" customHeight="false" outlineLevel="0" collapsed="false">
      <c r="A275" s="34"/>
      <c r="B275" s="35"/>
      <c r="C275" s="36" t="str">
        <f aca="false">IF(B275="","",DATE(YEAR(B275),MONTH(B275),1))</f>
        <v/>
      </c>
      <c r="D275" s="34"/>
      <c r="E275" s="34"/>
      <c r="F275" s="34"/>
      <c r="G275" s="34"/>
      <c r="H275" s="34"/>
      <c r="I275" s="34"/>
      <c r="J275" s="37"/>
      <c r="K275" s="34"/>
      <c r="L275" s="38" t="str">
        <f aca="false">IF(I275="","",I275*N(J275)*IF(K275="",1,K275))</f>
        <v/>
      </c>
      <c r="M275" s="34"/>
    </row>
    <row r="276" customFormat="false" ht="15" hidden="false" customHeight="false" outlineLevel="0" collapsed="false">
      <c r="A276" s="34"/>
      <c r="B276" s="35"/>
      <c r="C276" s="36" t="str">
        <f aca="false">IF(B276="","",DATE(YEAR(B276),MONTH(B276),1))</f>
        <v/>
      </c>
      <c r="D276" s="34"/>
      <c r="E276" s="34"/>
      <c r="F276" s="34"/>
      <c r="G276" s="34"/>
      <c r="H276" s="34"/>
      <c r="I276" s="34"/>
      <c r="J276" s="37"/>
      <c r="K276" s="34"/>
      <c r="L276" s="38" t="str">
        <f aca="false">IF(I276="","",I276*N(J276)*IF(K276="",1,K276))</f>
        <v/>
      </c>
      <c r="M276" s="34"/>
    </row>
    <row r="277" customFormat="false" ht="15" hidden="false" customHeight="false" outlineLevel="0" collapsed="false">
      <c r="A277" s="34"/>
      <c r="B277" s="35"/>
      <c r="C277" s="36" t="str">
        <f aca="false">IF(B277="","",DATE(YEAR(B277),MONTH(B277),1))</f>
        <v/>
      </c>
      <c r="D277" s="34"/>
      <c r="E277" s="34"/>
      <c r="F277" s="34"/>
      <c r="G277" s="34"/>
      <c r="H277" s="34"/>
      <c r="I277" s="34"/>
      <c r="J277" s="37"/>
      <c r="K277" s="34"/>
      <c r="L277" s="38" t="str">
        <f aca="false">IF(I277="","",I277*N(J277)*IF(K277="",1,K277))</f>
        <v/>
      </c>
      <c r="M277" s="34"/>
    </row>
    <row r="278" customFormat="false" ht="15" hidden="false" customHeight="false" outlineLevel="0" collapsed="false">
      <c r="A278" s="34"/>
      <c r="B278" s="35"/>
      <c r="C278" s="36" t="str">
        <f aca="false">IF(B278="","",DATE(YEAR(B278),MONTH(B278),1))</f>
        <v/>
      </c>
      <c r="D278" s="34"/>
      <c r="E278" s="34"/>
      <c r="F278" s="34"/>
      <c r="G278" s="34"/>
      <c r="H278" s="34"/>
      <c r="I278" s="34"/>
      <c r="J278" s="37"/>
      <c r="K278" s="34"/>
      <c r="L278" s="38" t="str">
        <f aca="false">IF(I278="","",I278*N(J278)*IF(K278="",1,K278))</f>
        <v/>
      </c>
      <c r="M278" s="34"/>
    </row>
    <row r="279" customFormat="false" ht="15" hidden="false" customHeight="false" outlineLevel="0" collapsed="false">
      <c r="A279" s="34"/>
      <c r="B279" s="35"/>
      <c r="C279" s="36" t="str">
        <f aca="false">IF(B279="","",DATE(YEAR(B279),MONTH(B279),1))</f>
        <v/>
      </c>
      <c r="D279" s="34"/>
      <c r="E279" s="34"/>
      <c r="F279" s="34"/>
      <c r="G279" s="34"/>
      <c r="H279" s="34"/>
      <c r="I279" s="34"/>
      <c r="J279" s="37"/>
      <c r="K279" s="34"/>
      <c r="L279" s="38" t="str">
        <f aca="false">IF(I279="","",I279*N(J279)*IF(K279="",1,K279))</f>
        <v/>
      </c>
      <c r="M279" s="34"/>
    </row>
    <row r="280" customFormat="false" ht="15" hidden="false" customHeight="false" outlineLevel="0" collapsed="false">
      <c r="A280" s="34"/>
      <c r="B280" s="35"/>
      <c r="C280" s="36" t="str">
        <f aca="false">IF(B280="","",DATE(YEAR(B280),MONTH(B280),1))</f>
        <v/>
      </c>
      <c r="D280" s="34"/>
      <c r="E280" s="34"/>
      <c r="F280" s="34"/>
      <c r="G280" s="34"/>
      <c r="H280" s="34"/>
      <c r="I280" s="34"/>
      <c r="J280" s="37"/>
      <c r="K280" s="34"/>
      <c r="L280" s="38" t="str">
        <f aca="false">IF(I280="","",I280*N(J280)*IF(K280="",1,K280))</f>
        <v/>
      </c>
      <c r="M280" s="34"/>
    </row>
    <row r="281" customFormat="false" ht="15" hidden="false" customHeight="false" outlineLevel="0" collapsed="false">
      <c r="A281" s="34"/>
      <c r="B281" s="35"/>
      <c r="C281" s="36" t="str">
        <f aca="false">IF(B281="","",DATE(YEAR(B281),MONTH(B281),1))</f>
        <v/>
      </c>
      <c r="D281" s="34"/>
      <c r="E281" s="34"/>
      <c r="F281" s="34"/>
      <c r="G281" s="34"/>
      <c r="H281" s="34"/>
      <c r="I281" s="34"/>
      <c r="J281" s="37"/>
      <c r="K281" s="34"/>
      <c r="L281" s="38" t="str">
        <f aca="false">IF(I281="","",I281*N(J281)*IF(K281="",1,K281))</f>
        <v/>
      </c>
      <c r="M281" s="34"/>
    </row>
    <row r="282" customFormat="false" ht="15" hidden="false" customHeight="false" outlineLevel="0" collapsed="false">
      <c r="A282" s="34"/>
      <c r="B282" s="35"/>
      <c r="C282" s="36" t="str">
        <f aca="false">IF(B282="","",DATE(YEAR(B282),MONTH(B282),1))</f>
        <v/>
      </c>
      <c r="D282" s="34"/>
      <c r="E282" s="34"/>
      <c r="F282" s="34"/>
      <c r="G282" s="34"/>
      <c r="H282" s="34"/>
      <c r="I282" s="34"/>
      <c r="J282" s="37"/>
      <c r="K282" s="34"/>
      <c r="L282" s="38" t="str">
        <f aca="false">IF(I282="","",I282*N(J282)*IF(K282="",1,K282))</f>
        <v/>
      </c>
      <c r="M282" s="34"/>
    </row>
    <row r="283" customFormat="false" ht="15" hidden="false" customHeight="false" outlineLevel="0" collapsed="false">
      <c r="A283" s="34"/>
      <c r="B283" s="35"/>
      <c r="C283" s="36" t="str">
        <f aca="false">IF(B283="","",DATE(YEAR(B283),MONTH(B283),1))</f>
        <v/>
      </c>
      <c r="D283" s="34"/>
      <c r="E283" s="34"/>
      <c r="F283" s="34"/>
      <c r="G283" s="34"/>
      <c r="H283" s="34"/>
      <c r="I283" s="34"/>
      <c r="J283" s="37"/>
      <c r="K283" s="34"/>
      <c r="L283" s="38" t="str">
        <f aca="false">IF(I283="","",I283*N(J283)*IF(K283="",1,K283))</f>
        <v/>
      </c>
      <c r="M283" s="34"/>
    </row>
    <row r="284" customFormat="false" ht="15" hidden="false" customHeight="false" outlineLevel="0" collapsed="false">
      <c r="A284" s="34"/>
      <c r="B284" s="35"/>
      <c r="C284" s="36" t="str">
        <f aca="false">IF(B284="","",DATE(YEAR(B284),MONTH(B284),1))</f>
        <v/>
      </c>
      <c r="D284" s="34"/>
      <c r="E284" s="34"/>
      <c r="F284" s="34"/>
      <c r="G284" s="34"/>
      <c r="H284" s="34"/>
      <c r="I284" s="34"/>
      <c r="J284" s="37"/>
      <c r="K284" s="34"/>
      <c r="L284" s="38" t="str">
        <f aca="false">IF(I284="","",I284*N(J284)*IF(K284="",1,K284))</f>
        <v/>
      </c>
      <c r="M284" s="34"/>
    </row>
    <row r="285" customFormat="false" ht="15" hidden="false" customHeight="false" outlineLevel="0" collapsed="false">
      <c r="A285" s="34"/>
      <c r="B285" s="35"/>
      <c r="C285" s="36" t="str">
        <f aca="false">IF(B285="","",DATE(YEAR(B285),MONTH(B285),1))</f>
        <v/>
      </c>
      <c r="D285" s="34"/>
      <c r="E285" s="34"/>
      <c r="F285" s="34"/>
      <c r="G285" s="34"/>
      <c r="H285" s="34"/>
      <c r="I285" s="34"/>
      <c r="J285" s="37"/>
      <c r="K285" s="34"/>
      <c r="L285" s="38" t="str">
        <f aca="false">IF(I285="","",I285*N(J285)*IF(K285="",1,K285))</f>
        <v/>
      </c>
      <c r="M285" s="34"/>
    </row>
    <row r="286" customFormat="false" ht="15" hidden="false" customHeight="false" outlineLevel="0" collapsed="false">
      <c r="A286" s="34"/>
      <c r="B286" s="35"/>
      <c r="C286" s="36" t="str">
        <f aca="false">IF(B286="","",DATE(YEAR(B286),MONTH(B286),1))</f>
        <v/>
      </c>
      <c r="D286" s="34"/>
      <c r="E286" s="34"/>
      <c r="F286" s="34"/>
      <c r="G286" s="34"/>
      <c r="H286" s="34"/>
      <c r="I286" s="34"/>
      <c r="J286" s="37"/>
      <c r="K286" s="34"/>
      <c r="L286" s="38" t="str">
        <f aca="false">IF(I286="","",I286*N(J286)*IF(K286="",1,K286))</f>
        <v/>
      </c>
      <c r="M286" s="34"/>
    </row>
    <row r="287" customFormat="false" ht="15" hidden="false" customHeight="false" outlineLevel="0" collapsed="false">
      <c r="A287" s="34"/>
      <c r="B287" s="35"/>
      <c r="C287" s="36" t="str">
        <f aca="false">IF(B287="","",DATE(YEAR(B287),MONTH(B287),1))</f>
        <v/>
      </c>
      <c r="D287" s="34"/>
      <c r="E287" s="34"/>
      <c r="F287" s="34"/>
      <c r="G287" s="34"/>
      <c r="H287" s="34"/>
      <c r="I287" s="34"/>
      <c r="J287" s="37"/>
      <c r="K287" s="34"/>
      <c r="L287" s="38" t="str">
        <f aca="false">IF(I287="","",I287*N(J287)*IF(K287="",1,K287))</f>
        <v/>
      </c>
      <c r="M287" s="34"/>
    </row>
    <row r="288" customFormat="false" ht="15" hidden="false" customHeight="false" outlineLevel="0" collapsed="false">
      <c r="A288" s="34"/>
      <c r="B288" s="35"/>
      <c r="C288" s="36" t="str">
        <f aca="false">IF(B288="","",DATE(YEAR(B288),MONTH(B288),1))</f>
        <v/>
      </c>
      <c r="D288" s="34"/>
      <c r="E288" s="34"/>
      <c r="F288" s="34"/>
      <c r="G288" s="34"/>
      <c r="H288" s="34"/>
      <c r="I288" s="34"/>
      <c r="J288" s="37"/>
      <c r="K288" s="34"/>
      <c r="L288" s="38" t="str">
        <f aca="false">IF(I288="","",I288*N(J288)*IF(K288="",1,K288))</f>
        <v/>
      </c>
      <c r="M288" s="34"/>
    </row>
    <row r="289" customFormat="false" ht="15" hidden="false" customHeight="false" outlineLevel="0" collapsed="false">
      <c r="A289" s="34"/>
      <c r="B289" s="35"/>
      <c r="C289" s="36" t="str">
        <f aca="false">IF(B289="","",DATE(YEAR(B289),MONTH(B289),1))</f>
        <v/>
      </c>
      <c r="D289" s="34"/>
      <c r="E289" s="34"/>
      <c r="F289" s="34"/>
      <c r="G289" s="34"/>
      <c r="H289" s="34"/>
      <c r="I289" s="34"/>
      <c r="J289" s="37"/>
      <c r="K289" s="34"/>
      <c r="L289" s="38" t="str">
        <f aca="false">IF(I289="","",I289*N(J289)*IF(K289="",1,K289))</f>
        <v/>
      </c>
      <c r="M289" s="34"/>
    </row>
    <row r="290" customFormat="false" ht="15" hidden="false" customHeight="false" outlineLevel="0" collapsed="false">
      <c r="A290" s="34"/>
      <c r="B290" s="35"/>
      <c r="C290" s="36" t="str">
        <f aca="false">IF(B290="","",DATE(YEAR(B290),MONTH(B290),1))</f>
        <v/>
      </c>
      <c r="D290" s="34"/>
      <c r="E290" s="34"/>
      <c r="F290" s="34"/>
      <c r="G290" s="34"/>
      <c r="H290" s="34"/>
      <c r="I290" s="34"/>
      <c r="J290" s="37"/>
      <c r="K290" s="34"/>
      <c r="L290" s="38" t="str">
        <f aca="false">IF(I290="","",I290*N(J290)*IF(K290="",1,K290))</f>
        <v/>
      </c>
      <c r="M290" s="34"/>
    </row>
    <row r="291" customFormat="false" ht="15" hidden="false" customHeight="false" outlineLevel="0" collapsed="false">
      <c r="A291" s="34"/>
      <c r="B291" s="35"/>
      <c r="C291" s="36" t="str">
        <f aca="false">IF(B291="","",DATE(YEAR(B291),MONTH(B291),1))</f>
        <v/>
      </c>
      <c r="D291" s="34"/>
      <c r="E291" s="34"/>
      <c r="F291" s="34"/>
      <c r="G291" s="34"/>
      <c r="H291" s="34"/>
      <c r="I291" s="34"/>
      <c r="J291" s="37"/>
      <c r="K291" s="34"/>
      <c r="L291" s="38" t="str">
        <f aca="false">IF(I291="","",I291*N(J291)*IF(K291="",1,K291))</f>
        <v/>
      </c>
      <c r="M291" s="34"/>
    </row>
    <row r="292" customFormat="false" ht="15" hidden="false" customHeight="false" outlineLevel="0" collapsed="false">
      <c r="A292" s="34"/>
      <c r="B292" s="35"/>
      <c r="C292" s="36" t="str">
        <f aca="false">IF(B292="","",DATE(YEAR(B292),MONTH(B292),1))</f>
        <v/>
      </c>
      <c r="D292" s="34"/>
      <c r="E292" s="34"/>
      <c r="F292" s="34"/>
      <c r="G292" s="34"/>
      <c r="H292" s="34"/>
      <c r="I292" s="34"/>
      <c r="J292" s="37"/>
      <c r="K292" s="34"/>
      <c r="L292" s="38" t="str">
        <f aca="false">IF(I292="","",I292*N(J292)*IF(K292="",1,K292))</f>
        <v/>
      </c>
      <c r="M292" s="34"/>
    </row>
    <row r="293" customFormat="false" ht="15" hidden="false" customHeight="false" outlineLevel="0" collapsed="false">
      <c r="A293" s="34"/>
      <c r="B293" s="35"/>
      <c r="C293" s="36" t="str">
        <f aca="false">IF(B293="","",DATE(YEAR(B293),MONTH(B293),1))</f>
        <v/>
      </c>
      <c r="D293" s="34"/>
      <c r="E293" s="34"/>
      <c r="F293" s="34"/>
      <c r="G293" s="34"/>
      <c r="H293" s="34"/>
      <c r="I293" s="34"/>
      <c r="J293" s="37"/>
      <c r="K293" s="34"/>
      <c r="L293" s="38" t="str">
        <f aca="false">IF(I293="","",I293*N(J293)*IF(K293="",1,K293))</f>
        <v/>
      </c>
      <c r="M293" s="34"/>
    </row>
    <row r="294" customFormat="false" ht="15" hidden="false" customHeight="false" outlineLevel="0" collapsed="false">
      <c r="A294" s="34"/>
      <c r="B294" s="35"/>
      <c r="C294" s="36" t="str">
        <f aca="false">IF(B294="","",DATE(YEAR(B294),MONTH(B294),1))</f>
        <v/>
      </c>
      <c r="D294" s="34"/>
      <c r="E294" s="34"/>
      <c r="F294" s="34"/>
      <c r="G294" s="34"/>
      <c r="H294" s="34"/>
      <c r="I294" s="34"/>
      <c r="J294" s="37"/>
      <c r="K294" s="34"/>
      <c r="L294" s="38" t="str">
        <f aca="false">IF(I294="","",I294*N(J294)*IF(K294="",1,K294))</f>
        <v/>
      </c>
      <c r="M294" s="34"/>
    </row>
    <row r="295" customFormat="false" ht="15" hidden="false" customHeight="false" outlineLevel="0" collapsed="false">
      <c r="A295" s="34"/>
      <c r="B295" s="35"/>
      <c r="C295" s="36" t="str">
        <f aca="false">IF(B295="","",DATE(YEAR(B295),MONTH(B295),1))</f>
        <v/>
      </c>
      <c r="D295" s="34"/>
      <c r="E295" s="34"/>
      <c r="F295" s="34"/>
      <c r="G295" s="34"/>
      <c r="H295" s="34"/>
      <c r="I295" s="34"/>
      <c r="J295" s="37"/>
      <c r="K295" s="34"/>
      <c r="L295" s="38" t="str">
        <f aca="false">IF(I295="","",I295*N(J295)*IF(K295="",1,K295))</f>
        <v/>
      </c>
      <c r="M295" s="34"/>
    </row>
    <row r="296" customFormat="false" ht="15" hidden="false" customHeight="false" outlineLevel="0" collapsed="false">
      <c r="A296" s="34"/>
      <c r="B296" s="35"/>
      <c r="C296" s="36" t="str">
        <f aca="false">IF(B296="","",DATE(YEAR(B296),MONTH(B296),1))</f>
        <v/>
      </c>
      <c r="D296" s="34"/>
      <c r="E296" s="34"/>
      <c r="F296" s="34"/>
      <c r="G296" s="34"/>
      <c r="H296" s="34"/>
      <c r="I296" s="34"/>
      <c r="J296" s="37"/>
      <c r="K296" s="34"/>
      <c r="L296" s="38" t="str">
        <f aca="false">IF(I296="","",I296*N(J296)*IF(K296="",1,K296))</f>
        <v/>
      </c>
      <c r="M296" s="34"/>
    </row>
    <row r="297" customFormat="false" ht="15" hidden="false" customHeight="false" outlineLevel="0" collapsed="false">
      <c r="A297" s="34"/>
      <c r="B297" s="35"/>
      <c r="C297" s="36" t="str">
        <f aca="false">IF(B297="","",DATE(YEAR(B297),MONTH(B297),1))</f>
        <v/>
      </c>
      <c r="D297" s="34"/>
      <c r="E297" s="34"/>
      <c r="F297" s="34"/>
      <c r="G297" s="34"/>
      <c r="H297" s="34"/>
      <c r="I297" s="34"/>
      <c r="J297" s="37"/>
      <c r="K297" s="34"/>
      <c r="L297" s="38" t="str">
        <f aca="false">IF(I297="","",I297*N(J297)*IF(K297="",1,K297))</f>
        <v/>
      </c>
      <c r="M297" s="34"/>
    </row>
    <row r="298" customFormat="false" ht="15" hidden="false" customHeight="false" outlineLevel="0" collapsed="false">
      <c r="A298" s="34"/>
      <c r="B298" s="35"/>
      <c r="C298" s="36" t="str">
        <f aca="false">IF(B298="","",DATE(YEAR(B298),MONTH(B298),1))</f>
        <v/>
      </c>
      <c r="D298" s="34"/>
      <c r="E298" s="34"/>
      <c r="F298" s="34"/>
      <c r="G298" s="34"/>
      <c r="H298" s="34"/>
      <c r="I298" s="34"/>
      <c r="J298" s="37"/>
      <c r="K298" s="34"/>
      <c r="L298" s="38" t="str">
        <f aca="false">IF(I298="","",I298*N(J298)*IF(K298="",1,K298))</f>
        <v/>
      </c>
      <c r="M298" s="34"/>
    </row>
    <row r="299" customFormat="false" ht="15" hidden="false" customHeight="false" outlineLevel="0" collapsed="false">
      <c r="A299" s="34"/>
      <c r="B299" s="35"/>
      <c r="C299" s="36" t="str">
        <f aca="false">IF(B299="","",DATE(YEAR(B299),MONTH(B299),1))</f>
        <v/>
      </c>
      <c r="D299" s="34"/>
      <c r="E299" s="34"/>
      <c r="F299" s="34"/>
      <c r="G299" s="34"/>
      <c r="H299" s="34"/>
      <c r="I299" s="34"/>
      <c r="J299" s="37"/>
      <c r="K299" s="34"/>
      <c r="L299" s="38" t="str">
        <f aca="false">IF(I299="","",I299*N(J299)*IF(K299="",1,K299))</f>
        <v/>
      </c>
      <c r="M299" s="34"/>
    </row>
    <row r="300" customFormat="false" ht="15" hidden="false" customHeight="false" outlineLevel="0" collapsed="false">
      <c r="A300" s="34"/>
      <c r="B300" s="35"/>
      <c r="C300" s="36" t="str">
        <f aca="false">IF(B300="","",DATE(YEAR(B300),MONTH(B300),1))</f>
        <v/>
      </c>
      <c r="D300" s="34"/>
      <c r="E300" s="34"/>
      <c r="F300" s="34"/>
      <c r="G300" s="34"/>
      <c r="H300" s="34"/>
      <c r="I300" s="34"/>
      <c r="J300" s="37"/>
      <c r="K300" s="34"/>
      <c r="L300" s="38" t="str">
        <f aca="false">IF(I300="","",I300*N(J300)*IF(K300="",1,K300))</f>
        <v/>
      </c>
      <c r="M300" s="34"/>
    </row>
    <row r="301" customFormat="false" ht="15" hidden="false" customHeight="false" outlineLevel="0" collapsed="false">
      <c r="A301" s="34"/>
      <c r="B301" s="35"/>
      <c r="C301" s="36" t="str">
        <f aca="false">IF(B301="","",DATE(YEAR(B301),MONTH(B301),1))</f>
        <v/>
      </c>
      <c r="D301" s="34"/>
      <c r="E301" s="34"/>
      <c r="F301" s="34"/>
      <c r="G301" s="34"/>
      <c r="H301" s="34"/>
      <c r="I301" s="34"/>
      <c r="J301" s="37"/>
      <c r="K301" s="34"/>
      <c r="L301" s="38" t="str">
        <f aca="false">IF(I301="","",I301*N(J301)*IF(K301="",1,K301))</f>
        <v/>
      </c>
      <c r="M301" s="34"/>
    </row>
    <row r="302" customFormat="false" ht="15" hidden="false" customHeight="false" outlineLevel="0" collapsed="false">
      <c r="A302" s="34"/>
      <c r="B302" s="35"/>
      <c r="C302" s="36" t="str">
        <f aca="false">IF(B302="","",DATE(YEAR(B302),MONTH(B302),1))</f>
        <v/>
      </c>
      <c r="D302" s="34"/>
      <c r="E302" s="34"/>
      <c r="F302" s="34"/>
      <c r="G302" s="34"/>
      <c r="H302" s="34"/>
      <c r="I302" s="34"/>
      <c r="J302" s="37"/>
      <c r="K302" s="34"/>
      <c r="L302" s="38" t="str">
        <f aca="false">IF(I302="","",I302*N(J302)*IF(K302="",1,K302))</f>
        <v/>
      </c>
      <c r="M302" s="34"/>
    </row>
    <row r="303" customFormat="false" ht="15" hidden="false" customHeight="false" outlineLevel="0" collapsed="false">
      <c r="A303" s="34"/>
      <c r="B303" s="35"/>
      <c r="C303" s="36" t="str">
        <f aca="false">IF(B303="","",DATE(YEAR(B303),MONTH(B303),1))</f>
        <v/>
      </c>
      <c r="D303" s="34"/>
      <c r="E303" s="34"/>
      <c r="F303" s="34"/>
      <c r="G303" s="34"/>
      <c r="H303" s="34"/>
      <c r="I303" s="34"/>
      <c r="J303" s="37"/>
      <c r="K303" s="34"/>
      <c r="L303" s="38" t="str">
        <f aca="false">IF(I303="","",I303*N(J303)*IF(K303="",1,K303))</f>
        <v/>
      </c>
      <c r="M303" s="34"/>
    </row>
    <row r="304" customFormat="false" ht="15" hidden="false" customHeight="false" outlineLevel="0" collapsed="false">
      <c r="A304" s="34"/>
      <c r="B304" s="35"/>
      <c r="C304" s="36" t="str">
        <f aca="false">IF(B304="","",DATE(YEAR(B304),MONTH(B304),1))</f>
        <v/>
      </c>
      <c r="D304" s="34"/>
      <c r="E304" s="34"/>
      <c r="F304" s="34"/>
      <c r="G304" s="34"/>
      <c r="H304" s="34"/>
      <c r="I304" s="34"/>
      <c r="J304" s="37"/>
      <c r="K304" s="34"/>
      <c r="L304" s="38" t="str">
        <f aca="false">IF(I304="","",I304*N(J304)*IF(K304="",1,K304))</f>
        <v/>
      </c>
      <c r="M304" s="34"/>
    </row>
    <row r="305" customFormat="false" ht="15" hidden="false" customHeight="false" outlineLevel="0" collapsed="false">
      <c r="A305" s="34"/>
      <c r="B305" s="35"/>
      <c r="C305" s="36" t="str">
        <f aca="false">IF(B305="","",DATE(YEAR(B305),MONTH(B305),1))</f>
        <v/>
      </c>
      <c r="D305" s="34"/>
      <c r="E305" s="34"/>
      <c r="F305" s="34"/>
      <c r="G305" s="34"/>
      <c r="H305" s="34"/>
      <c r="I305" s="34"/>
      <c r="J305" s="37"/>
      <c r="K305" s="34"/>
      <c r="L305" s="38" t="str">
        <f aca="false">IF(I305="","",I305*N(J305)*IF(K305="",1,K305))</f>
        <v/>
      </c>
      <c r="M305" s="34"/>
    </row>
    <row r="306" customFormat="false" ht="15" hidden="false" customHeight="false" outlineLevel="0" collapsed="false">
      <c r="A306" s="34"/>
      <c r="B306" s="35"/>
      <c r="C306" s="36" t="str">
        <f aca="false">IF(B306="","",DATE(YEAR(B306),MONTH(B306),1))</f>
        <v/>
      </c>
      <c r="D306" s="34"/>
      <c r="E306" s="34"/>
      <c r="F306" s="34"/>
      <c r="G306" s="34"/>
      <c r="H306" s="34"/>
      <c r="I306" s="34"/>
      <c r="J306" s="37"/>
      <c r="K306" s="34"/>
      <c r="L306" s="38" t="str">
        <f aca="false">IF(I306="","",I306*N(J306)*IF(K306="",1,K306))</f>
        <v/>
      </c>
      <c r="M306" s="34"/>
    </row>
    <row r="307" customFormat="false" ht="15" hidden="false" customHeight="false" outlineLevel="0" collapsed="false">
      <c r="A307" s="34"/>
      <c r="B307" s="35"/>
      <c r="C307" s="36" t="str">
        <f aca="false">IF(B307="","",DATE(YEAR(B307),MONTH(B307),1))</f>
        <v/>
      </c>
      <c r="D307" s="34"/>
      <c r="E307" s="34"/>
      <c r="F307" s="34"/>
      <c r="G307" s="34"/>
      <c r="H307" s="34"/>
      <c r="I307" s="34"/>
      <c r="J307" s="37"/>
      <c r="K307" s="34"/>
      <c r="L307" s="38" t="str">
        <f aca="false">IF(I307="","",I307*N(J307)*IF(K307="",1,K307))</f>
        <v/>
      </c>
      <c r="M307" s="34"/>
    </row>
    <row r="308" customFormat="false" ht="15" hidden="false" customHeight="false" outlineLevel="0" collapsed="false">
      <c r="A308" s="34"/>
      <c r="B308" s="35"/>
      <c r="C308" s="36" t="str">
        <f aca="false">IF(B308="","",DATE(YEAR(B308),MONTH(B308),1))</f>
        <v/>
      </c>
      <c r="D308" s="34"/>
      <c r="E308" s="34"/>
      <c r="F308" s="34"/>
      <c r="G308" s="34"/>
      <c r="H308" s="34"/>
      <c r="I308" s="34"/>
      <c r="J308" s="37"/>
      <c r="K308" s="34"/>
      <c r="L308" s="38" t="str">
        <f aca="false">IF(I308="","",I308*N(J308)*IF(K308="",1,K308))</f>
        <v/>
      </c>
      <c r="M308" s="34"/>
    </row>
    <row r="309" customFormat="false" ht="15" hidden="false" customHeight="false" outlineLevel="0" collapsed="false">
      <c r="A309" s="34"/>
      <c r="B309" s="35"/>
      <c r="C309" s="36" t="str">
        <f aca="false">IF(B309="","",DATE(YEAR(B309),MONTH(B309),1))</f>
        <v/>
      </c>
      <c r="D309" s="34"/>
      <c r="E309" s="34"/>
      <c r="F309" s="34"/>
      <c r="G309" s="34"/>
      <c r="H309" s="34"/>
      <c r="I309" s="34"/>
      <c r="J309" s="37"/>
      <c r="K309" s="34"/>
      <c r="L309" s="38" t="str">
        <f aca="false">IF(I309="","",I309*N(J309)*IF(K309="",1,K309))</f>
        <v/>
      </c>
      <c r="M309" s="34"/>
    </row>
    <row r="310" customFormat="false" ht="15" hidden="false" customHeight="false" outlineLevel="0" collapsed="false">
      <c r="A310" s="34"/>
      <c r="B310" s="35"/>
      <c r="C310" s="36" t="str">
        <f aca="false">IF(B310="","",DATE(YEAR(B310),MONTH(B310),1))</f>
        <v/>
      </c>
      <c r="D310" s="34"/>
      <c r="E310" s="34"/>
      <c r="F310" s="34"/>
      <c r="G310" s="34"/>
      <c r="H310" s="34"/>
      <c r="I310" s="34"/>
      <c r="J310" s="37"/>
      <c r="K310" s="34"/>
      <c r="L310" s="38" t="str">
        <f aca="false">IF(I310="","",I310*N(J310)*IF(K310="",1,K310))</f>
        <v/>
      </c>
      <c r="M310" s="34"/>
    </row>
    <row r="311" customFormat="false" ht="15" hidden="false" customHeight="false" outlineLevel="0" collapsed="false">
      <c r="A311" s="34"/>
      <c r="B311" s="35"/>
      <c r="C311" s="36" t="str">
        <f aca="false">IF(B311="","",DATE(YEAR(B311),MONTH(B311),1))</f>
        <v/>
      </c>
      <c r="D311" s="34"/>
      <c r="E311" s="34"/>
      <c r="F311" s="34"/>
      <c r="G311" s="34"/>
      <c r="H311" s="34"/>
      <c r="I311" s="34"/>
      <c r="J311" s="37"/>
      <c r="K311" s="34"/>
      <c r="L311" s="38" t="str">
        <f aca="false">IF(I311="","",I311*N(J311)*IF(K311="",1,K311))</f>
        <v/>
      </c>
      <c r="M311" s="34"/>
    </row>
    <row r="312" customFormat="false" ht="15" hidden="false" customHeight="false" outlineLevel="0" collapsed="false">
      <c r="A312" s="34"/>
      <c r="B312" s="35"/>
      <c r="C312" s="36" t="str">
        <f aca="false">IF(B312="","",DATE(YEAR(B312),MONTH(B312),1))</f>
        <v/>
      </c>
      <c r="D312" s="34"/>
      <c r="E312" s="34"/>
      <c r="F312" s="34"/>
      <c r="G312" s="34"/>
      <c r="H312" s="34"/>
      <c r="I312" s="34"/>
      <c r="J312" s="37"/>
      <c r="K312" s="34"/>
      <c r="L312" s="38" t="str">
        <f aca="false">IF(I312="","",I312*N(J312)*IF(K312="",1,K312))</f>
        <v/>
      </c>
      <c r="M312" s="34"/>
    </row>
    <row r="313" customFormat="false" ht="15" hidden="false" customHeight="false" outlineLevel="0" collapsed="false">
      <c r="A313" s="34"/>
      <c r="B313" s="35"/>
      <c r="C313" s="36" t="str">
        <f aca="false">IF(B313="","",DATE(YEAR(B313),MONTH(B313),1))</f>
        <v/>
      </c>
      <c r="D313" s="34"/>
      <c r="E313" s="34"/>
      <c r="F313" s="34"/>
      <c r="G313" s="34"/>
      <c r="H313" s="34"/>
      <c r="I313" s="34"/>
      <c r="J313" s="37"/>
      <c r="K313" s="34"/>
      <c r="L313" s="38" t="str">
        <f aca="false">IF(I313="","",I313*N(J313)*IF(K313="",1,K313))</f>
        <v/>
      </c>
      <c r="M313" s="34"/>
    </row>
    <row r="314" customFormat="false" ht="15" hidden="false" customHeight="false" outlineLevel="0" collapsed="false">
      <c r="A314" s="34"/>
      <c r="B314" s="35"/>
      <c r="C314" s="36" t="str">
        <f aca="false">IF(B314="","",DATE(YEAR(B314),MONTH(B314),1))</f>
        <v/>
      </c>
      <c r="D314" s="34"/>
      <c r="E314" s="34"/>
      <c r="F314" s="34"/>
      <c r="G314" s="34"/>
      <c r="H314" s="34"/>
      <c r="I314" s="34"/>
      <c r="J314" s="37"/>
      <c r="K314" s="34"/>
      <c r="L314" s="38" t="str">
        <f aca="false">IF(I314="","",I314*N(J314)*IF(K314="",1,K314))</f>
        <v/>
      </c>
      <c r="M314" s="34"/>
    </row>
    <row r="315" customFormat="false" ht="15" hidden="false" customHeight="false" outlineLevel="0" collapsed="false">
      <c r="A315" s="34"/>
      <c r="B315" s="35"/>
      <c r="C315" s="36" t="str">
        <f aca="false">IF(B315="","",DATE(YEAR(B315),MONTH(B315),1))</f>
        <v/>
      </c>
      <c r="D315" s="34"/>
      <c r="E315" s="34"/>
      <c r="F315" s="34"/>
      <c r="G315" s="34"/>
      <c r="H315" s="34"/>
      <c r="I315" s="34"/>
      <c r="J315" s="37"/>
      <c r="K315" s="34"/>
      <c r="L315" s="38" t="str">
        <f aca="false">IF(I315="","",I315*N(J315)*IF(K315="",1,K315))</f>
        <v/>
      </c>
      <c r="M315" s="34"/>
    </row>
    <row r="316" customFormat="false" ht="15" hidden="false" customHeight="false" outlineLevel="0" collapsed="false">
      <c r="A316" s="34"/>
      <c r="B316" s="35"/>
      <c r="C316" s="36" t="str">
        <f aca="false">IF(B316="","",DATE(YEAR(B316),MONTH(B316),1))</f>
        <v/>
      </c>
      <c r="D316" s="34"/>
      <c r="E316" s="34"/>
      <c r="F316" s="34"/>
      <c r="G316" s="34"/>
      <c r="H316" s="34"/>
      <c r="I316" s="34"/>
      <c r="J316" s="37"/>
      <c r="K316" s="34"/>
      <c r="L316" s="38" t="str">
        <f aca="false">IF(I316="","",I316*N(J316)*IF(K316="",1,K316))</f>
        <v/>
      </c>
      <c r="M316" s="34"/>
    </row>
    <row r="317" customFormat="false" ht="15" hidden="false" customHeight="false" outlineLevel="0" collapsed="false">
      <c r="A317" s="34"/>
      <c r="B317" s="35"/>
      <c r="C317" s="36" t="str">
        <f aca="false">IF(B317="","",DATE(YEAR(B317),MONTH(B317),1))</f>
        <v/>
      </c>
      <c r="D317" s="34"/>
      <c r="E317" s="34"/>
      <c r="F317" s="34"/>
      <c r="G317" s="34"/>
      <c r="H317" s="34"/>
      <c r="I317" s="34"/>
      <c r="J317" s="37"/>
      <c r="K317" s="34"/>
      <c r="L317" s="38" t="str">
        <f aca="false">IF(I317="","",I317*N(J317)*IF(K317="",1,K317))</f>
        <v/>
      </c>
      <c r="M317" s="34"/>
    </row>
    <row r="318" customFormat="false" ht="15" hidden="false" customHeight="false" outlineLevel="0" collapsed="false">
      <c r="A318" s="34"/>
      <c r="B318" s="35"/>
      <c r="C318" s="36" t="str">
        <f aca="false">IF(B318="","",DATE(YEAR(B318),MONTH(B318),1))</f>
        <v/>
      </c>
      <c r="D318" s="34"/>
      <c r="E318" s="34"/>
      <c r="F318" s="34"/>
      <c r="G318" s="34"/>
      <c r="H318" s="34"/>
      <c r="I318" s="34"/>
      <c r="J318" s="37"/>
      <c r="K318" s="34"/>
      <c r="L318" s="38" t="str">
        <f aca="false">IF(I318="","",I318*N(J318)*IF(K318="",1,K318))</f>
        <v/>
      </c>
      <c r="M318" s="34"/>
    </row>
    <row r="319" customFormat="false" ht="15" hidden="false" customHeight="false" outlineLevel="0" collapsed="false">
      <c r="A319" s="34"/>
      <c r="B319" s="35"/>
      <c r="C319" s="36" t="str">
        <f aca="false">IF(B319="","",DATE(YEAR(B319),MONTH(B319),1))</f>
        <v/>
      </c>
      <c r="D319" s="34"/>
      <c r="E319" s="34"/>
      <c r="F319" s="34"/>
      <c r="G319" s="34"/>
      <c r="H319" s="34"/>
      <c r="I319" s="34"/>
      <c r="J319" s="37"/>
      <c r="K319" s="34"/>
      <c r="L319" s="38" t="str">
        <f aca="false">IF(I319="","",I319*N(J319)*IF(K319="",1,K319))</f>
        <v/>
      </c>
      <c r="M319" s="34"/>
    </row>
    <row r="320" customFormat="false" ht="15" hidden="false" customHeight="false" outlineLevel="0" collapsed="false">
      <c r="A320" s="34"/>
      <c r="B320" s="35"/>
      <c r="C320" s="36" t="str">
        <f aca="false">IF(B320="","",DATE(YEAR(B320),MONTH(B320),1))</f>
        <v/>
      </c>
      <c r="D320" s="34"/>
      <c r="E320" s="34"/>
      <c r="F320" s="34"/>
      <c r="G320" s="34"/>
      <c r="H320" s="34"/>
      <c r="I320" s="34"/>
      <c r="J320" s="37"/>
      <c r="K320" s="34"/>
      <c r="L320" s="38" t="str">
        <f aca="false">IF(I320="","",I320*N(J320)*IF(K320="",1,K320))</f>
        <v/>
      </c>
      <c r="M320" s="34"/>
    </row>
    <row r="321" customFormat="false" ht="15" hidden="false" customHeight="false" outlineLevel="0" collapsed="false">
      <c r="A321" s="34"/>
      <c r="B321" s="35"/>
      <c r="C321" s="36" t="str">
        <f aca="false">IF(B321="","",DATE(YEAR(B321),MONTH(B321),1))</f>
        <v/>
      </c>
      <c r="D321" s="34"/>
      <c r="E321" s="34"/>
      <c r="F321" s="34"/>
      <c r="G321" s="34"/>
      <c r="H321" s="34"/>
      <c r="I321" s="34"/>
      <c r="J321" s="37"/>
      <c r="K321" s="34"/>
      <c r="L321" s="38" t="str">
        <f aca="false">IF(I321="","",I321*N(J321)*IF(K321="",1,K321))</f>
        <v/>
      </c>
      <c r="M321" s="34"/>
    </row>
    <row r="322" customFormat="false" ht="15" hidden="false" customHeight="false" outlineLevel="0" collapsed="false">
      <c r="A322" s="34"/>
      <c r="B322" s="35"/>
      <c r="C322" s="36" t="str">
        <f aca="false">IF(B322="","",DATE(YEAR(B322),MONTH(B322),1))</f>
        <v/>
      </c>
      <c r="D322" s="34"/>
      <c r="E322" s="34"/>
      <c r="F322" s="34"/>
      <c r="G322" s="34"/>
      <c r="H322" s="34"/>
      <c r="I322" s="34"/>
      <c r="J322" s="37"/>
      <c r="K322" s="34"/>
      <c r="L322" s="38" t="str">
        <f aca="false">IF(I322="","",I322*N(J322)*IF(K322="",1,K322))</f>
        <v/>
      </c>
      <c r="M322" s="34"/>
    </row>
    <row r="323" customFormat="false" ht="15" hidden="false" customHeight="false" outlineLevel="0" collapsed="false">
      <c r="A323" s="34"/>
      <c r="B323" s="35"/>
      <c r="C323" s="36" t="str">
        <f aca="false">IF(B323="","",DATE(YEAR(B323),MONTH(B323),1))</f>
        <v/>
      </c>
      <c r="D323" s="34"/>
      <c r="E323" s="34"/>
      <c r="F323" s="34"/>
      <c r="G323" s="34"/>
      <c r="H323" s="34"/>
      <c r="I323" s="34"/>
      <c r="J323" s="37"/>
      <c r="K323" s="34"/>
      <c r="L323" s="38" t="str">
        <f aca="false">IF(I323="","",I323*N(J323)*IF(K323="",1,K323))</f>
        <v/>
      </c>
      <c r="M323" s="34"/>
    </row>
    <row r="324" customFormat="false" ht="15" hidden="false" customHeight="false" outlineLevel="0" collapsed="false">
      <c r="A324" s="34"/>
      <c r="B324" s="35"/>
      <c r="C324" s="36" t="str">
        <f aca="false">IF(B324="","",DATE(YEAR(B324),MONTH(B324),1))</f>
        <v/>
      </c>
      <c r="D324" s="34"/>
      <c r="E324" s="34"/>
      <c r="F324" s="34"/>
      <c r="G324" s="34"/>
      <c r="H324" s="34"/>
      <c r="I324" s="34"/>
      <c r="J324" s="37"/>
      <c r="K324" s="34"/>
      <c r="L324" s="38" t="str">
        <f aca="false">IF(I324="","",I324*N(J324)*IF(K324="",1,K324))</f>
        <v/>
      </c>
      <c r="M324" s="34"/>
    </row>
    <row r="325" customFormat="false" ht="15" hidden="false" customHeight="false" outlineLevel="0" collapsed="false">
      <c r="A325" s="34"/>
      <c r="B325" s="35"/>
      <c r="C325" s="36" t="str">
        <f aca="false">IF(B325="","",DATE(YEAR(B325),MONTH(B325),1))</f>
        <v/>
      </c>
      <c r="D325" s="34"/>
      <c r="E325" s="34"/>
      <c r="F325" s="34"/>
      <c r="G325" s="34"/>
      <c r="H325" s="34"/>
      <c r="I325" s="34"/>
      <c r="J325" s="37"/>
      <c r="K325" s="34"/>
      <c r="L325" s="38" t="str">
        <f aca="false">IF(I325="","",I325*N(J325)*IF(K325="",1,K325))</f>
        <v/>
      </c>
      <c r="M325" s="34"/>
    </row>
    <row r="326" customFormat="false" ht="15" hidden="false" customHeight="false" outlineLevel="0" collapsed="false">
      <c r="A326" s="34"/>
      <c r="B326" s="35"/>
      <c r="C326" s="36" t="str">
        <f aca="false">IF(B326="","",DATE(YEAR(B326),MONTH(B326),1))</f>
        <v/>
      </c>
      <c r="D326" s="34"/>
      <c r="E326" s="34"/>
      <c r="F326" s="34"/>
      <c r="G326" s="34"/>
      <c r="H326" s="34"/>
      <c r="I326" s="34"/>
      <c r="J326" s="37"/>
      <c r="K326" s="34"/>
      <c r="L326" s="38" t="str">
        <f aca="false">IF(I326="","",I326*N(J326)*IF(K326="",1,K326))</f>
        <v/>
      </c>
      <c r="M326" s="34"/>
    </row>
    <row r="327" customFormat="false" ht="15" hidden="false" customHeight="false" outlineLevel="0" collapsed="false">
      <c r="A327" s="34"/>
      <c r="B327" s="35"/>
      <c r="C327" s="36" t="str">
        <f aca="false">IF(B327="","",DATE(YEAR(B327),MONTH(B327),1))</f>
        <v/>
      </c>
      <c r="D327" s="34"/>
      <c r="E327" s="34"/>
      <c r="F327" s="34"/>
      <c r="G327" s="34"/>
      <c r="H327" s="34"/>
      <c r="I327" s="34"/>
      <c r="J327" s="37"/>
      <c r="K327" s="34"/>
      <c r="L327" s="38" t="str">
        <f aca="false">IF(I327="","",I327*N(J327)*IF(K327="",1,K327))</f>
        <v/>
      </c>
      <c r="M327" s="34"/>
    </row>
    <row r="328" customFormat="false" ht="15" hidden="false" customHeight="false" outlineLevel="0" collapsed="false">
      <c r="A328" s="34"/>
      <c r="B328" s="35"/>
      <c r="C328" s="36" t="str">
        <f aca="false">IF(B328="","",DATE(YEAR(B328),MONTH(B328),1))</f>
        <v/>
      </c>
      <c r="D328" s="34"/>
      <c r="E328" s="34"/>
      <c r="F328" s="34"/>
      <c r="G328" s="34"/>
      <c r="H328" s="34"/>
      <c r="I328" s="34"/>
      <c r="J328" s="37"/>
      <c r="K328" s="34"/>
      <c r="L328" s="38" t="str">
        <f aca="false">IF(I328="","",I328*N(J328)*IF(K328="",1,K328))</f>
        <v/>
      </c>
      <c r="M328" s="34"/>
    </row>
    <row r="329" customFormat="false" ht="15" hidden="false" customHeight="false" outlineLevel="0" collapsed="false">
      <c r="A329" s="34"/>
      <c r="B329" s="35"/>
      <c r="C329" s="36" t="str">
        <f aca="false">IF(B329="","",DATE(YEAR(B329),MONTH(B329),1))</f>
        <v/>
      </c>
      <c r="D329" s="34"/>
      <c r="E329" s="34"/>
      <c r="F329" s="34"/>
      <c r="G329" s="34"/>
      <c r="H329" s="34"/>
      <c r="I329" s="34"/>
      <c r="J329" s="37"/>
      <c r="K329" s="34"/>
      <c r="L329" s="38" t="str">
        <f aca="false">IF(I329="","",I329*N(J329)*IF(K329="",1,K329))</f>
        <v/>
      </c>
      <c r="M329" s="34"/>
    </row>
    <row r="330" customFormat="false" ht="15" hidden="false" customHeight="false" outlineLevel="0" collapsed="false">
      <c r="A330" s="34"/>
      <c r="B330" s="35"/>
      <c r="C330" s="36" t="str">
        <f aca="false">IF(B330="","",DATE(YEAR(B330),MONTH(B330),1))</f>
        <v/>
      </c>
      <c r="D330" s="34"/>
      <c r="E330" s="34"/>
      <c r="F330" s="34"/>
      <c r="G330" s="34"/>
      <c r="H330" s="34"/>
      <c r="I330" s="34"/>
      <c r="J330" s="37"/>
      <c r="K330" s="34"/>
      <c r="L330" s="38" t="str">
        <f aca="false">IF(I330="","",I330*N(J330)*IF(K330="",1,K330))</f>
        <v/>
      </c>
      <c r="M330" s="34"/>
    </row>
    <row r="331" customFormat="false" ht="15" hidden="false" customHeight="false" outlineLevel="0" collapsed="false">
      <c r="A331" s="34"/>
      <c r="B331" s="35"/>
      <c r="C331" s="36" t="str">
        <f aca="false">IF(B331="","",DATE(YEAR(B331),MONTH(B331),1))</f>
        <v/>
      </c>
      <c r="D331" s="34"/>
      <c r="E331" s="34"/>
      <c r="F331" s="34"/>
      <c r="G331" s="34"/>
      <c r="H331" s="34"/>
      <c r="I331" s="34"/>
      <c r="J331" s="37"/>
      <c r="K331" s="34"/>
      <c r="L331" s="38" t="str">
        <f aca="false">IF(I331="","",I331*N(J331)*IF(K331="",1,K331))</f>
        <v/>
      </c>
      <c r="M331" s="34"/>
    </row>
    <row r="332" customFormat="false" ht="15" hidden="false" customHeight="false" outlineLevel="0" collapsed="false">
      <c r="A332" s="34"/>
      <c r="B332" s="35"/>
      <c r="C332" s="36" t="str">
        <f aca="false">IF(B332="","",DATE(YEAR(B332),MONTH(B332),1))</f>
        <v/>
      </c>
      <c r="D332" s="34"/>
      <c r="E332" s="34"/>
      <c r="F332" s="34"/>
      <c r="G332" s="34"/>
      <c r="H332" s="34"/>
      <c r="I332" s="34"/>
      <c r="J332" s="37"/>
      <c r="K332" s="34"/>
      <c r="L332" s="38" t="str">
        <f aca="false">IF(I332="","",I332*N(J332)*IF(K332="",1,K332))</f>
        <v/>
      </c>
      <c r="M332" s="34"/>
    </row>
    <row r="333" customFormat="false" ht="15" hidden="false" customHeight="false" outlineLevel="0" collapsed="false">
      <c r="A333" s="34"/>
      <c r="B333" s="35"/>
      <c r="C333" s="36" t="str">
        <f aca="false">IF(B333="","",DATE(YEAR(B333),MONTH(B333),1))</f>
        <v/>
      </c>
      <c r="D333" s="34"/>
      <c r="E333" s="34"/>
      <c r="F333" s="34"/>
      <c r="G333" s="34"/>
      <c r="H333" s="34"/>
      <c r="I333" s="34"/>
      <c r="J333" s="37"/>
      <c r="K333" s="34"/>
      <c r="L333" s="38" t="str">
        <f aca="false">IF(I333="","",I333*N(J333)*IF(K333="",1,K333))</f>
        <v/>
      </c>
      <c r="M333" s="34"/>
    </row>
    <row r="334" customFormat="false" ht="15" hidden="false" customHeight="false" outlineLevel="0" collapsed="false">
      <c r="A334" s="34"/>
      <c r="B334" s="35"/>
      <c r="C334" s="36" t="str">
        <f aca="false">IF(B334="","",DATE(YEAR(B334),MONTH(B334),1))</f>
        <v/>
      </c>
      <c r="D334" s="34"/>
      <c r="E334" s="34"/>
      <c r="F334" s="34"/>
      <c r="G334" s="34"/>
      <c r="H334" s="34"/>
      <c r="I334" s="34"/>
      <c r="J334" s="37"/>
      <c r="K334" s="34"/>
      <c r="L334" s="38" t="str">
        <f aca="false">IF(I334="","",I334*N(J334)*IF(K334="",1,K334))</f>
        <v/>
      </c>
      <c r="M334" s="34"/>
    </row>
    <row r="335" customFormat="false" ht="15" hidden="false" customHeight="false" outlineLevel="0" collapsed="false">
      <c r="A335" s="34"/>
      <c r="B335" s="35"/>
      <c r="C335" s="36" t="str">
        <f aca="false">IF(B335="","",DATE(YEAR(B335),MONTH(B335),1))</f>
        <v/>
      </c>
      <c r="D335" s="34"/>
      <c r="E335" s="34"/>
      <c r="F335" s="34"/>
      <c r="G335" s="34"/>
      <c r="H335" s="34"/>
      <c r="I335" s="34"/>
      <c r="J335" s="37"/>
      <c r="K335" s="34"/>
      <c r="L335" s="38" t="str">
        <f aca="false">IF(I335="","",I335*N(J335)*IF(K335="",1,K335))</f>
        <v/>
      </c>
      <c r="M335" s="34"/>
    </row>
    <row r="336" customFormat="false" ht="15" hidden="false" customHeight="false" outlineLevel="0" collapsed="false">
      <c r="A336" s="34"/>
      <c r="B336" s="35"/>
      <c r="C336" s="36" t="str">
        <f aca="false">IF(B336="","",DATE(YEAR(B336),MONTH(B336),1))</f>
        <v/>
      </c>
      <c r="D336" s="34"/>
      <c r="E336" s="34"/>
      <c r="F336" s="34"/>
      <c r="G336" s="34"/>
      <c r="H336" s="34"/>
      <c r="I336" s="34"/>
      <c r="J336" s="37"/>
      <c r="K336" s="34"/>
      <c r="L336" s="38" t="str">
        <f aca="false">IF(I336="","",I336*N(J336)*IF(K336="",1,K336))</f>
        <v/>
      </c>
      <c r="M336" s="34"/>
    </row>
    <row r="337" customFormat="false" ht="15" hidden="false" customHeight="false" outlineLevel="0" collapsed="false">
      <c r="A337" s="34"/>
      <c r="B337" s="35"/>
      <c r="C337" s="36" t="str">
        <f aca="false">IF(B337="","",DATE(YEAR(B337),MONTH(B337),1))</f>
        <v/>
      </c>
      <c r="D337" s="34"/>
      <c r="E337" s="34"/>
      <c r="F337" s="34"/>
      <c r="G337" s="34"/>
      <c r="H337" s="34"/>
      <c r="I337" s="34"/>
      <c r="J337" s="37"/>
      <c r="K337" s="34"/>
      <c r="L337" s="38" t="str">
        <f aca="false">IF(I337="","",I337*N(J337)*IF(K337="",1,K337))</f>
        <v/>
      </c>
      <c r="M337" s="34"/>
    </row>
    <row r="338" customFormat="false" ht="15" hidden="false" customHeight="false" outlineLevel="0" collapsed="false">
      <c r="A338" s="34"/>
      <c r="B338" s="35"/>
      <c r="C338" s="36" t="str">
        <f aca="false">IF(B338="","",DATE(YEAR(B338),MONTH(B338),1))</f>
        <v/>
      </c>
      <c r="D338" s="34"/>
      <c r="E338" s="34"/>
      <c r="F338" s="34"/>
      <c r="G338" s="34"/>
      <c r="H338" s="34"/>
      <c r="I338" s="34"/>
      <c r="J338" s="37"/>
      <c r="K338" s="34"/>
      <c r="L338" s="38" t="str">
        <f aca="false">IF(I338="","",I338*N(J338)*IF(K338="",1,K338))</f>
        <v/>
      </c>
      <c r="M338" s="34"/>
    </row>
    <row r="339" customFormat="false" ht="15" hidden="false" customHeight="false" outlineLevel="0" collapsed="false">
      <c r="A339" s="34"/>
      <c r="B339" s="35"/>
      <c r="C339" s="36" t="str">
        <f aca="false">IF(B339="","",DATE(YEAR(B339),MONTH(B339),1))</f>
        <v/>
      </c>
      <c r="D339" s="34"/>
      <c r="E339" s="34"/>
      <c r="F339" s="34"/>
      <c r="G339" s="34"/>
      <c r="H339" s="34"/>
      <c r="I339" s="34"/>
      <c r="J339" s="37"/>
      <c r="K339" s="34"/>
      <c r="L339" s="38" t="str">
        <f aca="false">IF(I339="","",I339*N(J339)*IF(K339="",1,K339))</f>
        <v/>
      </c>
      <c r="M339" s="34"/>
    </row>
    <row r="340" customFormat="false" ht="15" hidden="false" customHeight="false" outlineLevel="0" collapsed="false">
      <c r="A340" s="34"/>
      <c r="B340" s="35"/>
      <c r="C340" s="36" t="str">
        <f aca="false">IF(B340="","",DATE(YEAR(B340),MONTH(B340),1))</f>
        <v/>
      </c>
      <c r="D340" s="34"/>
      <c r="E340" s="34"/>
      <c r="F340" s="34"/>
      <c r="G340" s="34"/>
      <c r="H340" s="34"/>
      <c r="I340" s="34"/>
      <c r="J340" s="37"/>
      <c r="K340" s="34"/>
      <c r="L340" s="38" t="str">
        <f aca="false">IF(I340="","",I340*N(J340)*IF(K340="",1,K340))</f>
        <v/>
      </c>
      <c r="M340" s="34"/>
    </row>
    <row r="341" customFormat="false" ht="15" hidden="false" customHeight="false" outlineLevel="0" collapsed="false">
      <c r="A341" s="34"/>
      <c r="B341" s="35"/>
      <c r="C341" s="36" t="str">
        <f aca="false">IF(B341="","",DATE(YEAR(B341),MONTH(B341),1))</f>
        <v/>
      </c>
      <c r="D341" s="34"/>
      <c r="E341" s="34"/>
      <c r="F341" s="34"/>
      <c r="G341" s="34"/>
      <c r="H341" s="34"/>
      <c r="I341" s="34"/>
      <c r="J341" s="37"/>
      <c r="K341" s="34"/>
      <c r="L341" s="38" t="str">
        <f aca="false">IF(I341="","",I341*N(J341)*IF(K341="",1,K341))</f>
        <v/>
      </c>
      <c r="M341" s="34"/>
    </row>
    <row r="342" customFormat="false" ht="15" hidden="false" customHeight="false" outlineLevel="0" collapsed="false">
      <c r="A342" s="34"/>
      <c r="B342" s="35"/>
      <c r="C342" s="36" t="str">
        <f aca="false">IF(B342="","",DATE(YEAR(B342),MONTH(B342),1))</f>
        <v/>
      </c>
      <c r="D342" s="34"/>
      <c r="E342" s="34"/>
      <c r="F342" s="34"/>
      <c r="G342" s="34"/>
      <c r="H342" s="34"/>
      <c r="I342" s="34"/>
      <c r="J342" s="37"/>
      <c r="K342" s="34"/>
      <c r="L342" s="38" t="str">
        <f aca="false">IF(I342="","",I342*N(J342)*IF(K342="",1,K342))</f>
        <v/>
      </c>
      <c r="M342" s="34"/>
    </row>
    <row r="343" customFormat="false" ht="15" hidden="false" customHeight="false" outlineLevel="0" collapsed="false">
      <c r="A343" s="34"/>
      <c r="B343" s="35"/>
      <c r="C343" s="36" t="str">
        <f aca="false">IF(B343="","",DATE(YEAR(B343),MONTH(B343),1))</f>
        <v/>
      </c>
      <c r="D343" s="34"/>
      <c r="E343" s="34"/>
      <c r="F343" s="34"/>
      <c r="G343" s="34"/>
      <c r="H343" s="34"/>
      <c r="I343" s="34"/>
      <c r="J343" s="37"/>
      <c r="K343" s="34"/>
      <c r="L343" s="38" t="str">
        <f aca="false">IF(I343="","",I343*N(J343)*IF(K343="",1,K343))</f>
        <v/>
      </c>
      <c r="M343" s="34"/>
    </row>
    <row r="344" customFormat="false" ht="15" hidden="false" customHeight="false" outlineLevel="0" collapsed="false">
      <c r="A344" s="34"/>
      <c r="B344" s="35"/>
      <c r="C344" s="36" t="str">
        <f aca="false">IF(B344="","",DATE(YEAR(B344),MONTH(B344),1))</f>
        <v/>
      </c>
      <c r="D344" s="34"/>
      <c r="E344" s="34"/>
      <c r="F344" s="34"/>
      <c r="G344" s="34"/>
      <c r="H344" s="34"/>
      <c r="I344" s="34"/>
      <c r="J344" s="37"/>
      <c r="K344" s="34"/>
      <c r="L344" s="38" t="str">
        <f aca="false">IF(I344="","",I344*N(J344)*IF(K344="",1,K344))</f>
        <v/>
      </c>
      <c r="M344" s="34"/>
    </row>
    <row r="345" customFormat="false" ht="15" hidden="false" customHeight="false" outlineLevel="0" collapsed="false">
      <c r="A345" s="34"/>
      <c r="B345" s="35"/>
      <c r="C345" s="36" t="str">
        <f aca="false">IF(B345="","",DATE(YEAR(B345),MONTH(B345),1))</f>
        <v/>
      </c>
      <c r="D345" s="34"/>
      <c r="E345" s="34"/>
      <c r="F345" s="34"/>
      <c r="G345" s="34"/>
      <c r="H345" s="34"/>
      <c r="I345" s="34"/>
      <c r="J345" s="37"/>
      <c r="K345" s="34"/>
      <c r="L345" s="38" t="str">
        <f aca="false">IF(I345="","",I345*N(J345)*IF(K345="",1,K345))</f>
        <v/>
      </c>
      <c r="M345" s="34"/>
    </row>
    <row r="346" customFormat="false" ht="15" hidden="false" customHeight="false" outlineLevel="0" collapsed="false">
      <c r="A346" s="34"/>
      <c r="B346" s="35"/>
      <c r="C346" s="36" t="str">
        <f aca="false">IF(B346="","",DATE(YEAR(B346),MONTH(B346),1))</f>
        <v/>
      </c>
      <c r="D346" s="34"/>
      <c r="E346" s="34"/>
      <c r="F346" s="34"/>
      <c r="G346" s="34"/>
      <c r="H346" s="34"/>
      <c r="I346" s="34"/>
      <c r="J346" s="37"/>
      <c r="K346" s="34"/>
      <c r="L346" s="38" t="str">
        <f aca="false">IF(I346="","",I346*N(J346)*IF(K346="",1,K346))</f>
        <v/>
      </c>
      <c r="M346" s="34"/>
    </row>
    <row r="347" customFormat="false" ht="15" hidden="false" customHeight="false" outlineLevel="0" collapsed="false">
      <c r="A347" s="34"/>
      <c r="B347" s="35"/>
      <c r="C347" s="36" t="str">
        <f aca="false">IF(B347="","",DATE(YEAR(B347),MONTH(B347),1))</f>
        <v/>
      </c>
      <c r="D347" s="34"/>
      <c r="E347" s="34"/>
      <c r="F347" s="34"/>
      <c r="G347" s="34"/>
      <c r="H347" s="34"/>
      <c r="I347" s="34"/>
      <c r="J347" s="37"/>
      <c r="K347" s="34"/>
      <c r="L347" s="38" t="str">
        <f aca="false">IF(I347="","",I347*N(J347)*IF(K347="",1,K347))</f>
        <v/>
      </c>
      <c r="M347" s="34"/>
    </row>
    <row r="348" customFormat="false" ht="15" hidden="false" customHeight="false" outlineLevel="0" collapsed="false">
      <c r="A348" s="34"/>
      <c r="B348" s="35"/>
      <c r="C348" s="36" t="str">
        <f aca="false">IF(B348="","",DATE(YEAR(B348),MONTH(B348),1))</f>
        <v/>
      </c>
      <c r="D348" s="34"/>
      <c r="E348" s="34"/>
      <c r="F348" s="34"/>
      <c r="G348" s="34"/>
      <c r="H348" s="34"/>
      <c r="I348" s="34"/>
      <c r="J348" s="37"/>
      <c r="K348" s="34"/>
      <c r="L348" s="38" t="str">
        <f aca="false">IF(I348="","",I348*N(J348)*IF(K348="",1,K348))</f>
        <v/>
      </c>
      <c r="M348" s="34"/>
    </row>
    <row r="349" customFormat="false" ht="15" hidden="false" customHeight="false" outlineLevel="0" collapsed="false">
      <c r="A349" s="34"/>
      <c r="B349" s="35"/>
      <c r="C349" s="36" t="str">
        <f aca="false">IF(B349="","",DATE(YEAR(B349),MONTH(B349),1))</f>
        <v/>
      </c>
      <c r="D349" s="34"/>
      <c r="E349" s="34"/>
      <c r="F349" s="34"/>
      <c r="G349" s="34"/>
      <c r="H349" s="34"/>
      <c r="I349" s="34"/>
      <c r="J349" s="37"/>
      <c r="K349" s="34"/>
      <c r="L349" s="38" t="str">
        <f aca="false">IF(I349="","",I349*N(J349)*IF(K349="",1,K349))</f>
        <v/>
      </c>
      <c r="M349" s="34"/>
    </row>
    <row r="350" customFormat="false" ht="15" hidden="false" customHeight="false" outlineLevel="0" collapsed="false">
      <c r="A350" s="34"/>
      <c r="B350" s="35"/>
      <c r="C350" s="36" t="str">
        <f aca="false">IF(B350="","",DATE(YEAR(B350),MONTH(B350),1))</f>
        <v/>
      </c>
      <c r="D350" s="34"/>
      <c r="E350" s="34"/>
      <c r="F350" s="34"/>
      <c r="G350" s="34"/>
      <c r="H350" s="34"/>
      <c r="I350" s="34"/>
      <c r="J350" s="37"/>
      <c r="K350" s="34"/>
      <c r="L350" s="38" t="str">
        <f aca="false">IF(I350="","",I350*N(J350)*IF(K350="",1,K350))</f>
        <v/>
      </c>
      <c r="M350" s="34"/>
    </row>
    <row r="351" customFormat="false" ht="15" hidden="false" customHeight="false" outlineLevel="0" collapsed="false">
      <c r="A351" s="34"/>
      <c r="B351" s="35"/>
      <c r="C351" s="36" t="str">
        <f aca="false">IF(B351="","",DATE(YEAR(B351),MONTH(B351),1))</f>
        <v/>
      </c>
      <c r="D351" s="34"/>
      <c r="E351" s="34"/>
      <c r="F351" s="34"/>
      <c r="G351" s="34"/>
      <c r="H351" s="34"/>
      <c r="I351" s="34"/>
      <c r="J351" s="37"/>
      <c r="K351" s="34"/>
      <c r="L351" s="38" t="str">
        <f aca="false">IF(I351="","",I351*N(J351)*IF(K351="",1,K351))</f>
        <v/>
      </c>
      <c r="M351" s="34"/>
    </row>
    <row r="352" customFormat="false" ht="15" hidden="false" customHeight="false" outlineLevel="0" collapsed="false">
      <c r="A352" s="34"/>
      <c r="B352" s="35"/>
      <c r="C352" s="36" t="str">
        <f aca="false">IF(B352="","",DATE(YEAR(B352),MONTH(B352),1))</f>
        <v/>
      </c>
      <c r="D352" s="34"/>
      <c r="E352" s="34"/>
      <c r="F352" s="34"/>
      <c r="G352" s="34"/>
      <c r="H352" s="34"/>
      <c r="I352" s="34"/>
      <c r="J352" s="37"/>
      <c r="K352" s="34"/>
      <c r="L352" s="38" t="str">
        <f aca="false">IF(I352="","",I352*N(J352)*IF(K352="",1,K352))</f>
        <v/>
      </c>
      <c r="M352" s="34"/>
    </row>
    <row r="353" customFormat="false" ht="15" hidden="false" customHeight="false" outlineLevel="0" collapsed="false">
      <c r="A353" s="34"/>
      <c r="B353" s="35"/>
      <c r="C353" s="36" t="str">
        <f aca="false">IF(B353="","",DATE(YEAR(B353),MONTH(B353),1))</f>
        <v/>
      </c>
      <c r="D353" s="34"/>
      <c r="E353" s="34"/>
      <c r="F353" s="34"/>
      <c r="G353" s="34"/>
      <c r="H353" s="34"/>
      <c r="I353" s="34"/>
      <c r="J353" s="37"/>
      <c r="K353" s="34"/>
      <c r="L353" s="38" t="str">
        <f aca="false">IF(I353="","",I353*N(J353)*IF(K353="",1,K353))</f>
        <v/>
      </c>
      <c r="M353" s="34"/>
    </row>
    <row r="354" customFormat="false" ht="15" hidden="false" customHeight="false" outlineLevel="0" collapsed="false">
      <c r="A354" s="34"/>
      <c r="B354" s="35"/>
      <c r="C354" s="36" t="str">
        <f aca="false">IF(B354="","",DATE(YEAR(B354),MONTH(B354),1))</f>
        <v/>
      </c>
      <c r="D354" s="34"/>
      <c r="E354" s="34"/>
      <c r="F354" s="34"/>
      <c r="G354" s="34"/>
      <c r="H354" s="34"/>
      <c r="I354" s="34"/>
      <c r="J354" s="37"/>
      <c r="K354" s="34"/>
      <c r="L354" s="38" t="str">
        <f aca="false">IF(I354="","",I354*N(J354)*IF(K354="",1,K354))</f>
        <v/>
      </c>
      <c r="M354" s="34"/>
    </row>
    <row r="355" customFormat="false" ht="15" hidden="false" customHeight="false" outlineLevel="0" collapsed="false">
      <c r="A355" s="34"/>
      <c r="B355" s="35"/>
      <c r="C355" s="36" t="str">
        <f aca="false">IF(B355="","",DATE(YEAR(B355),MONTH(B355),1))</f>
        <v/>
      </c>
      <c r="D355" s="34"/>
      <c r="E355" s="34"/>
      <c r="F355" s="34"/>
      <c r="G355" s="34"/>
      <c r="H355" s="34"/>
      <c r="I355" s="34"/>
      <c r="J355" s="37"/>
      <c r="K355" s="34"/>
      <c r="L355" s="38" t="str">
        <f aca="false">IF(I355="","",I355*N(J355)*IF(K355="",1,K355))</f>
        <v/>
      </c>
      <c r="M355" s="34"/>
    </row>
    <row r="356" customFormat="false" ht="15" hidden="false" customHeight="false" outlineLevel="0" collapsed="false">
      <c r="A356" s="34"/>
      <c r="B356" s="35"/>
      <c r="C356" s="36" t="str">
        <f aca="false">IF(B356="","",DATE(YEAR(B356),MONTH(B356),1))</f>
        <v/>
      </c>
      <c r="D356" s="34"/>
      <c r="E356" s="34"/>
      <c r="F356" s="34"/>
      <c r="G356" s="34"/>
      <c r="H356" s="34"/>
      <c r="I356" s="34"/>
      <c r="J356" s="37"/>
      <c r="K356" s="34"/>
      <c r="L356" s="38" t="str">
        <f aca="false">IF(I356="","",I356*N(J356)*IF(K356="",1,K356))</f>
        <v/>
      </c>
      <c r="M356" s="34"/>
    </row>
    <row r="357" customFormat="false" ht="15" hidden="false" customHeight="false" outlineLevel="0" collapsed="false">
      <c r="A357" s="34"/>
      <c r="B357" s="35"/>
      <c r="C357" s="36" t="str">
        <f aca="false">IF(B357="","",DATE(YEAR(B357),MONTH(B357),1))</f>
        <v/>
      </c>
      <c r="D357" s="34"/>
      <c r="E357" s="34"/>
      <c r="F357" s="34"/>
      <c r="G357" s="34"/>
      <c r="H357" s="34"/>
      <c r="I357" s="34"/>
      <c r="J357" s="37"/>
      <c r="K357" s="34"/>
      <c r="L357" s="38" t="str">
        <f aca="false">IF(I357="","",I357*N(J357)*IF(K357="",1,K357))</f>
        <v/>
      </c>
      <c r="M357" s="34"/>
    </row>
    <row r="358" customFormat="false" ht="15" hidden="false" customHeight="false" outlineLevel="0" collapsed="false">
      <c r="A358" s="34"/>
      <c r="B358" s="35"/>
      <c r="C358" s="36" t="str">
        <f aca="false">IF(B358="","",DATE(YEAR(B358),MONTH(B358),1))</f>
        <v/>
      </c>
      <c r="D358" s="34"/>
      <c r="E358" s="34"/>
      <c r="F358" s="34"/>
      <c r="G358" s="34"/>
      <c r="H358" s="34"/>
      <c r="I358" s="34"/>
      <c r="J358" s="37"/>
      <c r="K358" s="34"/>
      <c r="L358" s="38" t="str">
        <f aca="false">IF(I358="","",I358*N(J358)*IF(K358="",1,K358))</f>
        <v/>
      </c>
      <c r="M358" s="34"/>
    </row>
    <row r="359" customFormat="false" ht="15" hidden="false" customHeight="false" outlineLevel="0" collapsed="false">
      <c r="A359" s="34"/>
      <c r="B359" s="35"/>
      <c r="C359" s="36" t="str">
        <f aca="false">IF(B359="","",DATE(YEAR(B359),MONTH(B359),1))</f>
        <v/>
      </c>
      <c r="D359" s="34"/>
      <c r="E359" s="34"/>
      <c r="F359" s="34"/>
      <c r="G359" s="34"/>
      <c r="H359" s="34"/>
      <c r="I359" s="34"/>
      <c r="J359" s="37"/>
      <c r="K359" s="34"/>
      <c r="L359" s="38" t="str">
        <f aca="false">IF(I359="","",I359*N(J359)*IF(K359="",1,K359))</f>
        <v/>
      </c>
      <c r="M359" s="34"/>
    </row>
    <row r="360" customFormat="false" ht="15" hidden="false" customHeight="false" outlineLevel="0" collapsed="false">
      <c r="A360" s="34"/>
      <c r="B360" s="35"/>
      <c r="C360" s="36" t="str">
        <f aca="false">IF(B360="","",DATE(YEAR(B360),MONTH(B360),1))</f>
        <v/>
      </c>
      <c r="D360" s="34"/>
      <c r="E360" s="34"/>
      <c r="F360" s="34"/>
      <c r="G360" s="34"/>
      <c r="H360" s="34"/>
      <c r="I360" s="34"/>
      <c r="J360" s="37"/>
      <c r="K360" s="34"/>
      <c r="L360" s="38" t="str">
        <f aca="false">IF(I360="","",I360*N(J360)*IF(K360="",1,K360))</f>
        <v/>
      </c>
      <c r="M360" s="34"/>
    </row>
    <row r="361" customFormat="false" ht="15" hidden="false" customHeight="false" outlineLevel="0" collapsed="false">
      <c r="A361" s="34"/>
      <c r="B361" s="35"/>
      <c r="C361" s="36" t="str">
        <f aca="false">IF(B361="","",DATE(YEAR(B361),MONTH(B361),1))</f>
        <v/>
      </c>
      <c r="D361" s="34"/>
      <c r="E361" s="34"/>
      <c r="F361" s="34"/>
      <c r="G361" s="34"/>
      <c r="H361" s="34"/>
      <c r="I361" s="34"/>
      <c r="J361" s="37"/>
      <c r="K361" s="34"/>
      <c r="L361" s="38" t="str">
        <f aca="false">IF(I361="","",I361*N(J361)*IF(K361="",1,K361))</f>
        <v/>
      </c>
      <c r="M361" s="34"/>
    </row>
    <row r="362" customFormat="false" ht="15" hidden="false" customHeight="false" outlineLevel="0" collapsed="false">
      <c r="A362" s="34"/>
      <c r="B362" s="35"/>
      <c r="C362" s="36" t="str">
        <f aca="false">IF(B362="","",DATE(YEAR(B362),MONTH(B362),1))</f>
        <v/>
      </c>
      <c r="D362" s="34"/>
      <c r="E362" s="34"/>
      <c r="F362" s="34"/>
      <c r="G362" s="34"/>
      <c r="H362" s="34"/>
      <c r="I362" s="34"/>
      <c r="J362" s="37"/>
      <c r="K362" s="34"/>
      <c r="L362" s="38" t="str">
        <f aca="false">IF(I362="","",I362*N(J362)*IF(K362="",1,K362))</f>
        <v/>
      </c>
      <c r="M362" s="34"/>
    </row>
    <row r="363" customFormat="false" ht="15" hidden="false" customHeight="false" outlineLevel="0" collapsed="false">
      <c r="A363" s="34"/>
      <c r="B363" s="35"/>
      <c r="C363" s="36" t="str">
        <f aca="false">IF(B363="","",DATE(YEAR(B363),MONTH(B363),1))</f>
        <v/>
      </c>
      <c r="D363" s="34"/>
      <c r="E363" s="34"/>
      <c r="F363" s="34"/>
      <c r="G363" s="34"/>
      <c r="H363" s="34"/>
      <c r="I363" s="34"/>
      <c r="J363" s="37"/>
      <c r="K363" s="34"/>
      <c r="L363" s="38" t="str">
        <f aca="false">IF(I363="","",I363*N(J363)*IF(K363="",1,K363))</f>
        <v/>
      </c>
      <c r="M363" s="34"/>
    </row>
    <row r="364" customFormat="false" ht="15" hidden="false" customHeight="false" outlineLevel="0" collapsed="false">
      <c r="A364" s="34"/>
      <c r="B364" s="35"/>
      <c r="C364" s="36" t="str">
        <f aca="false">IF(B364="","",DATE(YEAR(B364),MONTH(B364),1))</f>
        <v/>
      </c>
      <c r="D364" s="34"/>
      <c r="E364" s="34"/>
      <c r="F364" s="34"/>
      <c r="G364" s="34"/>
      <c r="H364" s="34"/>
      <c r="I364" s="34"/>
      <c r="J364" s="37"/>
      <c r="K364" s="34"/>
      <c r="L364" s="38" t="str">
        <f aca="false">IF(I364="","",I364*N(J364)*IF(K364="",1,K364))</f>
        <v/>
      </c>
      <c r="M364" s="34"/>
    </row>
    <row r="365" customFormat="false" ht="15" hidden="false" customHeight="false" outlineLevel="0" collapsed="false">
      <c r="A365" s="34"/>
      <c r="B365" s="35"/>
      <c r="C365" s="36" t="str">
        <f aca="false">IF(B365="","",DATE(YEAR(B365),MONTH(B365),1))</f>
        <v/>
      </c>
      <c r="D365" s="34"/>
      <c r="E365" s="34"/>
      <c r="F365" s="34"/>
      <c r="G365" s="34"/>
      <c r="H365" s="34"/>
      <c r="I365" s="34"/>
      <c r="J365" s="37"/>
      <c r="K365" s="34"/>
      <c r="L365" s="38" t="str">
        <f aca="false">IF(I365="","",I365*N(J365)*IF(K365="",1,K365))</f>
        <v/>
      </c>
      <c r="M365" s="34"/>
    </row>
    <row r="366" customFormat="false" ht="15" hidden="false" customHeight="false" outlineLevel="0" collapsed="false">
      <c r="A366" s="34"/>
      <c r="B366" s="35"/>
      <c r="C366" s="36" t="str">
        <f aca="false">IF(B366="","",DATE(YEAR(B366),MONTH(B366),1))</f>
        <v/>
      </c>
      <c r="D366" s="34"/>
      <c r="E366" s="34"/>
      <c r="F366" s="34"/>
      <c r="G366" s="34"/>
      <c r="H366" s="34"/>
      <c r="I366" s="34"/>
      <c r="J366" s="37"/>
      <c r="K366" s="34"/>
      <c r="L366" s="38" t="str">
        <f aca="false">IF(I366="","",I366*N(J366)*IF(K366="",1,K366))</f>
        <v/>
      </c>
      <c r="M366" s="34"/>
    </row>
    <row r="367" customFormat="false" ht="15" hidden="false" customHeight="false" outlineLevel="0" collapsed="false">
      <c r="A367" s="34"/>
      <c r="B367" s="35"/>
      <c r="C367" s="36" t="str">
        <f aca="false">IF(B367="","",DATE(YEAR(B367),MONTH(B367),1))</f>
        <v/>
      </c>
      <c r="D367" s="34"/>
      <c r="E367" s="34"/>
      <c r="F367" s="34"/>
      <c r="G367" s="34"/>
      <c r="H367" s="34"/>
      <c r="I367" s="34"/>
      <c r="J367" s="37"/>
      <c r="K367" s="34"/>
      <c r="L367" s="38" t="str">
        <f aca="false">IF(I367="","",I367*N(J367)*IF(K367="",1,K367))</f>
        <v/>
      </c>
      <c r="M367" s="34"/>
    </row>
    <row r="368" customFormat="false" ht="15" hidden="false" customHeight="false" outlineLevel="0" collapsed="false">
      <c r="A368" s="34"/>
      <c r="B368" s="35"/>
      <c r="C368" s="36" t="str">
        <f aca="false">IF(B368="","",DATE(YEAR(B368),MONTH(B368),1))</f>
        <v/>
      </c>
      <c r="D368" s="34"/>
      <c r="E368" s="34"/>
      <c r="F368" s="34"/>
      <c r="G368" s="34"/>
      <c r="H368" s="34"/>
      <c r="I368" s="34"/>
      <c r="J368" s="37"/>
      <c r="K368" s="34"/>
      <c r="L368" s="38" t="str">
        <f aca="false">IF(I368="","",I368*N(J368)*IF(K368="",1,K368))</f>
        <v/>
      </c>
      <c r="M368" s="34"/>
    </row>
    <row r="369" customFormat="false" ht="15" hidden="false" customHeight="false" outlineLevel="0" collapsed="false">
      <c r="A369" s="34"/>
      <c r="B369" s="35"/>
      <c r="C369" s="36" t="str">
        <f aca="false">IF(B369="","",DATE(YEAR(B369),MONTH(B369),1))</f>
        <v/>
      </c>
      <c r="D369" s="34"/>
      <c r="E369" s="34"/>
      <c r="F369" s="34"/>
      <c r="G369" s="34"/>
      <c r="H369" s="34"/>
      <c r="I369" s="34"/>
      <c r="J369" s="37"/>
      <c r="K369" s="34"/>
      <c r="L369" s="38" t="str">
        <f aca="false">IF(I369="","",I369*N(J369)*IF(K369="",1,K369))</f>
        <v/>
      </c>
      <c r="M369" s="34"/>
    </row>
    <row r="370" customFormat="false" ht="15" hidden="false" customHeight="false" outlineLevel="0" collapsed="false">
      <c r="A370" s="34"/>
      <c r="B370" s="35"/>
      <c r="C370" s="36" t="str">
        <f aca="false">IF(B370="","",DATE(YEAR(B370),MONTH(B370),1))</f>
        <v/>
      </c>
      <c r="D370" s="34"/>
      <c r="E370" s="34"/>
      <c r="F370" s="34"/>
      <c r="G370" s="34"/>
      <c r="H370" s="34"/>
      <c r="I370" s="34"/>
      <c r="J370" s="37"/>
      <c r="K370" s="34"/>
      <c r="L370" s="38" t="str">
        <f aca="false">IF(I370="","",I370*N(J370)*IF(K370="",1,K370))</f>
        <v/>
      </c>
      <c r="M370" s="34"/>
    </row>
    <row r="371" customFormat="false" ht="15" hidden="false" customHeight="false" outlineLevel="0" collapsed="false">
      <c r="A371" s="34"/>
      <c r="B371" s="35"/>
      <c r="C371" s="36" t="str">
        <f aca="false">IF(B371="","",DATE(YEAR(B371),MONTH(B371),1))</f>
        <v/>
      </c>
      <c r="D371" s="34"/>
      <c r="E371" s="34"/>
      <c r="F371" s="34"/>
      <c r="G371" s="34"/>
      <c r="H371" s="34"/>
      <c r="I371" s="34"/>
      <c r="J371" s="37"/>
      <c r="K371" s="34"/>
      <c r="L371" s="38" t="str">
        <f aca="false">IF(I371="","",I371*N(J371)*IF(K371="",1,K371))</f>
        <v/>
      </c>
      <c r="M371" s="34"/>
    </row>
    <row r="372" customFormat="false" ht="15" hidden="false" customHeight="false" outlineLevel="0" collapsed="false">
      <c r="A372" s="34"/>
      <c r="B372" s="35"/>
      <c r="C372" s="36" t="str">
        <f aca="false">IF(B372="","",DATE(YEAR(B372),MONTH(B372),1))</f>
        <v/>
      </c>
      <c r="D372" s="34"/>
      <c r="E372" s="34"/>
      <c r="F372" s="34"/>
      <c r="G372" s="34"/>
      <c r="H372" s="34"/>
      <c r="I372" s="34"/>
      <c r="J372" s="37"/>
      <c r="K372" s="34"/>
      <c r="L372" s="38" t="str">
        <f aca="false">IF(I372="","",I372*N(J372)*IF(K372="",1,K372))</f>
        <v/>
      </c>
      <c r="M372" s="34"/>
    </row>
    <row r="373" customFormat="false" ht="15" hidden="false" customHeight="false" outlineLevel="0" collapsed="false">
      <c r="A373" s="34"/>
      <c r="B373" s="35"/>
      <c r="C373" s="36" t="str">
        <f aca="false">IF(B373="","",DATE(YEAR(B373),MONTH(B373),1))</f>
        <v/>
      </c>
      <c r="D373" s="34"/>
      <c r="E373" s="34"/>
      <c r="F373" s="34"/>
      <c r="G373" s="34"/>
      <c r="H373" s="34"/>
      <c r="I373" s="34"/>
      <c r="J373" s="37"/>
      <c r="K373" s="34"/>
      <c r="L373" s="38" t="str">
        <f aca="false">IF(I373="","",I373*N(J373)*IF(K373="",1,K373))</f>
        <v/>
      </c>
      <c r="M373" s="34"/>
    </row>
    <row r="374" customFormat="false" ht="15" hidden="false" customHeight="false" outlineLevel="0" collapsed="false">
      <c r="A374" s="34"/>
      <c r="B374" s="35"/>
      <c r="C374" s="36" t="str">
        <f aca="false">IF(B374="","",DATE(YEAR(B374),MONTH(B374),1))</f>
        <v/>
      </c>
      <c r="D374" s="34"/>
      <c r="E374" s="34"/>
      <c r="F374" s="34"/>
      <c r="G374" s="34"/>
      <c r="H374" s="34"/>
      <c r="I374" s="34"/>
      <c r="J374" s="37"/>
      <c r="K374" s="34"/>
      <c r="L374" s="38" t="str">
        <f aca="false">IF(I374="","",I374*N(J374)*IF(K374="",1,K374))</f>
        <v/>
      </c>
      <c r="M374" s="34"/>
    </row>
    <row r="375" customFormat="false" ht="15" hidden="false" customHeight="false" outlineLevel="0" collapsed="false">
      <c r="A375" s="34"/>
      <c r="B375" s="35"/>
      <c r="C375" s="36" t="str">
        <f aca="false">IF(B375="","",DATE(YEAR(B375),MONTH(B375),1))</f>
        <v/>
      </c>
      <c r="D375" s="34"/>
      <c r="E375" s="34"/>
      <c r="F375" s="34"/>
      <c r="G375" s="34"/>
      <c r="H375" s="34"/>
      <c r="I375" s="34"/>
      <c r="J375" s="37"/>
      <c r="K375" s="34"/>
      <c r="L375" s="38" t="str">
        <f aca="false">IF(I375="","",I375*N(J375)*IF(K375="",1,K375))</f>
        <v/>
      </c>
      <c r="M375" s="34"/>
    </row>
    <row r="376" customFormat="false" ht="15" hidden="false" customHeight="false" outlineLevel="0" collapsed="false">
      <c r="A376" s="34"/>
      <c r="B376" s="35"/>
      <c r="C376" s="36" t="str">
        <f aca="false">IF(B376="","",DATE(YEAR(B376),MONTH(B376),1))</f>
        <v/>
      </c>
      <c r="D376" s="34"/>
      <c r="E376" s="34"/>
      <c r="F376" s="34"/>
      <c r="G376" s="34"/>
      <c r="H376" s="34"/>
      <c r="I376" s="34"/>
      <c r="J376" s="37"/>
      <c r="K376" s="34"/>
      <c r="L376" s="38" t="str">
        <f aca="false">IF(I376="","",I376*N(J376)*IF(K376="",1,K376))</f>
        <v/>
      </c>
      <c r="M376" s="34"/>
    </row>
    <row r="377" customFormat="false" ht="15" hidden="false" customHeight="false" outlineLevel="0" collapsed="false">
      <c r="A377" s="34"/>
      <c r="B377" s="35"/>
      <c r="C377" s="36" t="str">
        <f aca="false">IF(B377="","",DATE(YEAR(B377),MONTH(B377),1))</f>
        <v/>
      </c>
      <c r="D377" s="34"/>
      <c r="E377" s="34"/>
      <c r="F377" s="34"/>
      <c r="G377" s="34"/>
      <c r="H377" s="34"/>
      <c r="I377" s="34"/>
      <c r="J377" s="37"/>
      <c r="K377" s="34"/>
      <c r="L377" s="38" t="str">
        <f aca="false">IF(I377="","",I377*N(J377)*IF(K377="",1,K377))</f>
        <v/>
      </c>
      <c r="M377" s="34"/>
    </row>
    <row r="378" customFormat="false" ht="15" hidden="false" customHeight="false" outlineLevel="0" collapsed="false">
      <c r="A378" s="34"/>
      <c r="B378" s="35"/>
      <c r="C378" s="36" t="str">
        <f aca="false">IF(B378="","",DATE(YEAR(B378),MONTH(B378),1))</f>
        <v/>
      </c>
      <c r="D378" s="34"/>
      <c r="E378" s="34"/>
      <c r="F378" s="34"/>
      <c r="G378" s="34"/>
      <c r="H378" s="34"/>
      <c r="I378" s="34"/>
      <c r="J378" s="37"/>
      <c r="K378" s="34"/>
      <c r="L378" s="38" t="str">
        <f aca="false">IF(I378="","",I378*N(J378)*IF(K378="",1,K378))</f>
        <v/>
      </c>
      <c r="M378" s="34"/>
    </row>
    <row r="379" customFormat="false" ht="15" hidden="false" customHeight="false" outlineLevel="0" collapsed="false">
      <c r="A379" s="34"/>
      <c r="B379" s="35"/>
      <c r="C379" s="36" t="str">
        <f aca="false">IF(B379="","",DATE(YEAR(B379),MONTH(B379),1))</f>
        <v/>
      </c>
      <c r="D379" s="34"/>
      <c r="E379" s="34"/>
      <c r="F379" s="34"/>
      <c r="G379" s="34"/>
      <c r="H379" s="34"/>
      <c r="I379" s="34"/>
      <c r="J379" s="37"/>
      <c r="K379" s="34"/>
      <c r="L379" s="38" t="str">
        <f aca="false">IF(I379="","",I379*N(J379)*IF(K379="",1,K379))</f>
        <v/>
      </c>
      <c r="M379" s="34"/>
    </row>
    <row r="380" customFormat="false" ht="15" hidden="false" customHeight="false" outlineLevel="0" collapsed="false">
      <c r="A380" s="34"/>
      <c r="B380" s="35"/>
      <c r="C380" s="36" t="str">
        <f aca="false">IF(B380="","",DATE(YEAR(B380),MONTH(B380),1))</f>
        <v/>
      </c>
      <c r="D380" s="34"/>
      <c r="E380" s="34"/>
      <c r="F380" s="34"/>
      <c r="G380" s="34"/>
      <c r="H380" s="34"/>
      <c r="I380" s="34"/>
      <c r="J380" s="37"/>
      <c r="K380" s="34"/>
      <c r="L380" s="38" t="str">
        <f aca="false">IF(I380="","",I380*N(J380)*IF(K380="",1,K380))</f>
        <v/>
      </c>
      <c r="M380" s="34"/>
    </row>
    <row r="381" customFormat="false" ht="15" hidden="false" customHeight="false" outlineLevel="0" collapsed="false">
      <c r="A381" s="34"/>
      <c r="B381" s="35"/>
      <c r="C381" s="36" t="str">
        <f aca="false">IF(B381="","",DATE(YEAR(B381),MONTH(B381),1))</f>
        <v/>
      </c>
      <c r="D381" s="34"/>
      <c r="E381" s="34"/>
      <c r="F381" s="34"/>
      <c r="G381" s="34"/>
      <c r="H381" s="34"/>
      <c r="I381" s="34"/>
      <c r="J381" s="37"/>
      <c r="K381" s="34"/>
      <c r="L381" s="38" t="str">
        <f aca="false">IF(I381="","",I381*N(J381)*IF(K381="",1,K381))</f>
        <v/>
      </c>
      <c r="M381" s="34"/>
    </row>
    <row r="382" customFormat="false" ht="15" hidden="false" customHeight="false" outlineLevel="0" collapsed="false">
      <c r="A382" s="34"/>
      <c r="B382" s="35"/>
      <c r="C382" s="36" t="str">
        <f aca="false">IF(B382="","",DATE(YEAR(B382),MONTH(B382),1))</f>
        <v/>
      </c>
      <c r="D382" s="34"/>
      <c r="E382" s="34"/>
      <c r="F382" s="34"/>
      <c r="G382" s="34"/>
      <c r="H382" s="34"/>
      <c r="I382" s="34"/>
      <c r="J382" s="37"/>
      <c r="K382" s="34"/>
      <c r="L382" s="38" t="str">
        <f aca="false">IF(I382="","",I382*N(J382)*IF(K382="",1,K382))</f>
        <v/>
      </c>
      <c r="M382" s="34"/>
    </row>
    <row r="383" customFormat="false" ht="15" hidden="false" customHeight="false" outlineLevel="0" collapsed="false">
      <c r="A383" s="34"/>
      <c r="B383" s="35"/>
      <c r="C383" s="36" t="str">
        <f aca="false">IF(B383="","",DATE(YEAR(B383),MONTH(B383),1))</f>
        <v/>
      </c>
      <c r="D383" s="34"/>
      <c r="E383" s="34"/>
      <c r="F383" s="34"/>
      <c r="G383" s="34"/>
      <c r="H383" s="34"/>
      <c r="I383" s="34"/>
      <c r="J383" s="37"/>
      <c r="K383" s="34"/>
      <c r="L383" s="38" t="str">
        <f aca="false">IF(I383="","",I383*N(J383)*IF(K383="",1,K383))</f>
        <v/>
      </c>
      <c r="M383" s="34"/>
    </row>
    <row r="384" customFormat="false" ht="15" hidden="false" customHeight="false" outlineLevel="0" collapsed="false">
      <c r="A384" s="34"/>
      <c r="B384" s="35"/>
      <c r="C384" s="36" t="str">
        <f aca="false">IF(B384="","",DATE(YEAR(B384),MONTH(B384),1))</f>
        <v/>
      </c>
      <c r="D384" s="34"/>
      <c r="E384" s="34"/>
      <c r="F384" s="34"/>
      <c r="G384" s="34"/>
      <c r="H384" s="34"/>
      <c r="I384" s="34"/>
      <c r="J384" s="37"/>
      <c r="K384" s="34"/>
      <c r="L384" s="38" t="str">
        <f aca="false">IF(I384="","",I384*N(J384)*IF(K384="",1,K384))</f>
        <v/>
      </c>
      <c r="M384" s="34"/>
    </row>
    <row r="385" customFormat="false" ht="15" hidden="false" customHeight="false" outlineLevel="0" collapsed="false">
      <c r="A385" s="34"/>
      <c r="B385" s="35"/>
      <c r="C385" s="36" t="str">
        <f aca="false">IF(B385="","",DATE(YEAR(B385),MONTH(B385),1))</f>
        <v/>
      </c>
      <c r="D385" s="34"/>
      <c r="E385" s="34"/>
      <c r="F385" s="34"/>
      <c r="G385" s="34"/>
      <c r="H385" s="34"/>
      <c r="I385" s="34"/>
      <c r="J385" s="37"/>
      <c r="K385" s="34"/>
      <c r="L385" s="38" t="str">
        <f aca="false">IF(I385="","",I385*N(J385)*IF(K385="",1,K385))</f>
        <v/>
      </c>
      <c r="M385" s="34"/>
    </row>
    <row r="386" customFormat="false" ht="15" hidden="false" customHeight="false" outlineLevel="0" collapsed="false">
      <c r="A386" s="34"/>
      <c r="B386" s="35"/>
      <c r="C386" s="36" t="str">
        <f aca="false">IF(B386="","",DATE(YEAR(B386),MONTH(B386),1))</f>
        <v/>
      </c>
      <c r="D386" s="34"/>
      <c r="E386" s="34"/>
      <c r="F386" s="34"/>
      <c r="G386" s="34"/>
      <c r="H386" s="34"/>
      <c r="I386" s="34"/>
      <c r="J386" s="37"/>
      <c r="K386" s="34"/>
      <c r="L386" s="38" t="str">
        <f aca="false">IF(I386="","",I386*N(J386)*IF(K386="",1,K386))</f>
        <v/>
      </c>
      <c r="M386" s="34"/>
    </row>
    <row r="387" customFormat="false" ht="15" hidden="false" customHeight="false" outlineLevel="0" collapsed="false">
      <c r="A387" s="34"/>
      <c r="B387" s="35"/>
      <c r="C387" s="36" t="str">
        <f aca="false">IF(B387="","",DATE(YEAR(B387),MONTH(B387),1))</f>
        <v/>
      </c>
      <c r="D387" s="34"/>
      <c r="E387" s="34"/>
      <c r="F387" s="34"/>
      <c r="G387" s="34"/>
      <c r="H387" s="34"/>
      <c r="I387" s="34"/>
      <c r="J387" s="37"/>
      <c r="K387" s="34"/>
      <c r="L387" s="38" t="str">
        <f aca="false">IF(I387="","",I387*N(J387)*IF(K387="",1,K387))</f>
        <v/>
      </c>
      <c r="M387" s="34"/>
    </row>
    <row r="388" customFormat="false" ht="15" hidden="false" customHeight="false" outlineLevel="0" collapsed="false">
      <c r="A388" s="34"/>
      <c r="B388" s="35"/>
      <c r="C388" s="36" t="str">
        <f aca="false">IF(B388="","",DATE(YEAR(B388),MONTH(B388),1))</f>
        <v/>
      </c>
      <c r="D388" s="34"/>
      <c r="E388" s="34"/>
      <c r="F388" s="34"/>
      <c r="G388" s="34"/>
      <c r="H388" s="34"/>
      <c r="I388" s="34"/>
      <c r="J388" s="37"/>
      <c r="K388" s="34"/>
      <c r="L388" s="38" t="str">
        <f aca="false">IF(I388="","",I388*N(J388)*IF(K388="",1,K388))</f>
        <v/>
      </c>
      <c r="M388" s="34"/>
    </row>
    <row r="389" customFormat="false" ht="15" hidden="false" customHeight="false" outlineLevel="0" collapsed="false">
      <c r="A389" s="34"/>
      <c r="B389" s="35"/>
      <c r="C389" s="36" t="str">
        <f aca="false">IF(B389="","",DATE(YEAR(B389),MONTH(B389),1))</f>
        <v/>
      </c>
      <c r="D389" s="34"/>
      <c r="E389" s="34"/>
      <c r="F389" s="34"/>
      <c r="G389" s="34"/>
      <c r="H389" s="34"/>
      <c r="I389" s="34"/>
      <c r="J389" s="37"/>
      <c r="K389" s="34"/>
      <c r="L389" s="38" t="str">
        <f aca="false">IF(I389="","",I389*N(J389)*IF(K389="",1,K389))</f>
        <v/>
      </c>
      <c r="M389" s="34"/>
    </row>
    <row r="390" customFormat="false" ht="15" hidden="false" customHeight="false" outlineLevel="0" collapsed="false">
      <c r="A390" s="34"/>
      <c r="B390" s="35"/>
      <c r="C390" s="36" t="str">
        <f aca="false">IF(B390="","",DATE(YEAR(B390),MONTH(B390),1))</f>
        <v/>
      </c>
      <c r="D390" s="34"/>
      <c r="E390" s="34"/>
      <c r="F390" s="34"/>
      <c r="G390" s="34"/>
      <c r="H390" s="34"/>
      <c r="I390" s="34"/>
      <c r="J390" s="37"/>
      <c r="K390" s="34"/>
      <c r="L390" s="38" t="str">
        <f aca="false">IF(I390="","",I390*N(J390)*IF(K390="",1,K390))</f>
        <v/>
      </c>
      <c r="M390" s="34"/>
    </row>
    <row r="391" customFormat="false" ht="15" hidden="false" customHeight="false" outlineLevel="0" collapsed="false">
      <c r="A391" s="34"/>
      <c r="B391" s="35"/>
      <c r="C391" s="36" t="str">
        <f aca="false">IF(B391="","",DATE(YEAR(B391),MONTH(B391),1))</f>
        <v/>
      </c>
      <c r="D391" s="34"/>
      <c r="E391" s="34"/>
      <c r="F391" s="34"/>
      <c r="G391" s="34"/>
      <c r="H391" s="34"/>
      <c r="I391" s="34"/>
      <c r="J391" s="37"/>
      <c r="K391" s="34"/>
      <c r="L391" s="38" t="str">
        <f aca="false">IF(I391="","",I391*N(J391)*IF(K391="",1,K391))</f>
        <v/>
      </c>
      <c r="M391" s="34"/>
    </row>
    <row r="392" customFormat="false" ht="15" hidden="false" customHeight="false" outlineLevel="0" collapsed="false">
      <c r="A392" s="34"/>
      <c r="B392" s="35"/>
      <c r="C392" s="36" t="str">
        <f aca="false">IF(B392="","",DATE(YEAR(B392),MONTH(B392),1))</f>
        <v/>
      </c>
      <c r="D392" s="34"/>
      <c r="E392" s="34"/>
      <c r="F392" s="34"/>
      <c r="G392" s="34"/>
      <c r="H392" s="34"/>
      <c r="I392" s="34"/>
      <c r="J392" s="37"/>
      <c r="K392" s="34"/>
      <c r="L392" s="38" t="str">
        <f aca="false">IF(I392="","",I392*N(J392)*IF(K392="",1,K392))</f>
        <v/>
      </c>
      <c r="M392" s="34"/>
    </row>
    <row r="393" customFormat="false" ht="15" hidden="false" customHeight="false" outlineLevel="0" collapsed="false">
      <c r="A393" s="34"/>
      <c r="B393" s="35"/>
      <c r="C393" s="36" t="str">
        <f aca="false">IF(B393="","",DATE(YEAR(B393),MONTH(B393),1))</f>
        <v/>
      </c>
      <c r="D393" s="34"/>
      <c r="E393" s="34"/>
      <c r="F393" s="34"/>
      <c r="G393" s="34"/>
      <c r="H393" s="34"/>
      <c r="I393" s="34"/>
      <c r="J393" s="37"/>
      <c r="K393" s="34"/>
      <c r="L393" s="38" t="str">
        <f aca="false">IF(I393="","",I393*N(J393)*IF(K393="",1,K393))</f>
        <v/>
      </c>
      <c r="M393" s="34"/>
    </row>
    <row r="394" customFormat="false" ht="15" hidden="false" customHeight="false" outlineLevel="0" collapsed="false">
      <c r="A394" s="34"/>
      <c r="B394" s="35"/>
      <c r="C394" s="36" t="str">
        <f aca="false">IF(B394="","",DATE(YEAR(B394),MONTH(B394),1))</f>
        <v/>
      </c>
      <c r="D394" s="34"/>
      <c r="E394" s="34"/>
      <c r="F394" s="34"/>
      <c r="G394" s="34"/>
      <c r="H394" s="34"/>
      <c r="I394" s="34"/>
      <c r="J394" s="37"/>
      <c r="K394" s="34"/>
      <c r="L394" s="38" t="str">
        <f aca="false">IF(I394="","",I394*N(J394)*IF(K394="",1,K394))</f>
        <v/>
      </c>
      <c r="M394" s="34"/>
    </row>
    <row r="395" customFormat="false" ht="15" hidden="false" customHeight="false" outlineLevel="0" collapsed="false">
      <c r="A395" s="34"/>
      <c r="B395" s="35"/>
      <c r="C395" s="36" t="str">
        <f aca="false">IF(B395="","",DATE(YEAR(B395),MONTH(B395),1))</f>
        <v/>
      </c>
      <c r="D395" s="34"/>
      <c r="E395" s="34"/>
      <c r="F395" s="34"/>
      <c r="G395" s="34"/>
      <c r="H395" s="34"/>
      <c r="I395" s="34"/>
      <c r="J395" s="37"/>
      <c r="K395" s="34"/>
      <c r="L395" s="38" t="str">
        <f aca="false">IF(I395="","",I395*N(J395)*IF(K395="",1,K395))</f>
        <v/>
      </c>
      <c r="M395" s="34"/>
    </row>
    <row r="396" customFormat="false" ht="15" hidden="false" customHeight="false" outlineLevel="0" collapsed="false">
      <c r="A396" s="34"/>
      <c r="B396" s="35"/>
      <c r="C396" s="36" t="str">
        <f aca="false">IF(B396="","",DATE(YEAR(B396),MONTH(B396),1))</f>
        <v/>
      </c>
      <c r="D396" s="34"/>
      <c r="E396" s="34"/>
      <c r="F396" s="34"/>
      <c r="G396" s="34"/>
      <c r="H396" s="34"/>
      <c r="I396" s="34"/>
      <c r="J396" s="37"/>
      <c r="K396" s="34"/>
      <c r="L396" s="38" t="str">
        <f aca="false">IF(I396="","",I396*N(J396)*IF(K396="",1,K396))</f>
        <v/>
      </c>
      <c r="M396" s="34"/>
    </row>
    <row r="397" customFormat="false" ht="15" hidden="false" customHeight="false" outlineLevel="0" collapsed="false">
      <c r="A397" s="34"/>
      <c r="B397" s="35"/>
      <c r="C397" s="36" t="str">
        <f aca="false">IF(B397="","",DATE(YEAR(B397),MONTH(B397),1))</f>
        <v/>
      </c>
      <c r="D397" s="34"/>
      <c r="E397" s="34"/>
      <c r="F397" s="34"/>
      <c r="G397" s="34"/>
      <c r="H397" s="34"/>
      <c r="I397" s="34"/>
      <c r="J397" s="37"/>
      <c r="K397" s="34"/>
      <c r="L397" s="38" t="str">
        <f aca="false">IF(I397="","",I397*N(J397)*IF(K397="",1,K397))</f>
        <v/>
      </c>
      <c r="M397" s="34"/>
    </row>
    <row r="398" customFormat="false" ht="15" hidden="false" customHeight="false" outlineLevel="0" collapsed="false">
      <c r="A398" s="34"/>
      <c r="B398" s="35"/>
      <c r="C398" s="36" t="str">
        <f aca="false">IF(B398="","",DATE(YEAR(B398),MONTH(B398),1))</f>
        <v/>
      </c>
      <c r="D398" s="34"/>
      <c r="E398" s="34"/>
      <c r="F398" s="34"/>
      <c r="G398" s="34"/>
      <c r="H398" s="34"/>
      <c r="I398" s="34"/>
      <c r="J398" s="37"/>
      <c r="K398" s="34"/>
      <c r="L398" s="38" t="str">
        <f aca="false">IF(I398="","",I398*N(J398)*IF(K398="",1,K398))</f>
        <v/>
      </c>
      <c r="M398" s="34"/>
    </row>
    <row r="399" customFormat="false" ht="15" hidden="false" customHeight="false" outlineLevel="0" collapsed="false">
      <c r="A399" s="34"/>
      <c r="B399" s="35"/>
      <c r="C399" s="36" t="str">
        <f aca="false">IF(B399="","",DATE(YEAR(B399),MONTH(B399),1))</f>
        <v/>
      </c>
      <c r="D399" s="34"/>
      <c r="E399" s="34"/>
      <c r="F399" s="34"/>
      <c r="G399" s="34"/>
      <c r="H399" s="34"/>
      <c r="I399" s="34"/>
      <c r="J399" s="37"/>
      <c r="K399" s="34"/>
      <c r="L399" s="38" t="str">
        <f aca="false">IF(I399="","",I399*N(J399)*IF(K399="",1,K399))</f>
        <v/>
      </c>
      <c r="M399" s="34"/>
    </row>
    <row r="400" customFormat="false" ht="15" hidden="false" customHeight="false" outlineLevel="0" collapsed="false">
      <c r="A400" s="34"/>
      <c r="B400" s="35"/>
      <c r="C400" s="36" t="str">
        <f aca="false">IF(B400="","",DATE(YEAR(B400),MONTH(B400),1))</f>
        <v/>
      </c>
      <c r="D400" s="34"/>
      <c r="E400" s="34"/>
      <c r="F400" s="34"/>
      <c r="G400" s="34"/>
      <c r="H400" s="34"/>
      <c r="I400" s="34"/>
      <c r="J400" s="37"/>
      <c r="K400" s="34"/>
      <c r="L400" s="38" t="str">
        <f aca="false">IF(I400="","",I400*N(J400)*IF(K400="",1,K400))</f>
        <v/>
      </c>
      <c r="M400" s="34"/>
    </row>
    <row r="401" customFormat="false" ht="15" hidden="false" customHeight="false" outlineLevel="0" collapsed="false">
      <c r="A401" s="34"/>
      <c r="B401" s="35"/>
      <c r="C401" s="36" t="str">
        <f aca="false">IF(B401="","",DATE(YEAR(B401),MONTH(B401),1))</f>
        <v/>
      </c>
      <c r="D401" s="34"/>
      <c r="E401" s="34"/>
      <c r="F401" s="34"/>
      <c r="G401" s="34"/>
      <c r="H401" s="34"/>
      <c r="I401" s="34"/>
      <c r="J401" s="37"/>
      <c r="K401" s="34"/>
      <c r="L401" s="38" t="str">
        <f aca="false">IF(I401="","",I401*N(J401)*IF(K401="",1,K401))</f>
        <v/>
      </c>
      <c r="M401" s="34"/>
    </row>
    <row r="402" customFormat="false" ht="15" hidden="false" customHeight="false" outlineLevel="0" collapsed="false">
      <c r="A402" s="34"/>
      <c r="B402" s="35"/>
      <c r="C402" s="36" t="str">
        <f aca="false">IF(B402="","",DATE(YEAR(B402),MONTH(B402),1))</f>
        <v/>
      </c>
      <c r="D402" s="34"/>
      <c r="E402" s="34"/>
      <c r="F402" s="34"/>
      <c r="G402" s="34"/>
      <c r="H402" s="34"/>
      <c r="I402" s="34"/>
      <c r="J402" s="37"/>
      <c r="K402" s="34"/>
      <c r="L402" s="38" t="str">
        <f aca="false">IF(I402="","",I402*N(J402)*IF(K402="",1,K402))</f>
        <v/>
      </c>
      <c r="M402" s="34"/>
    </row>
    <row r="403" customFormat="false" ht="15" hidden="false" customHeight="false" outlineLevel="0" collapsed="false">
      <c r="A403" s="34"/>
      <c r="B403" s="35"/>
      <c r="C403" s="36" t="str">
        <f aca="false">IF(B403="","",DATE(YEAR(B403),MONTH(B403),1))</f>
        <v/>
      </c>
      <c r="D403" s="34"/>
      <c r="E403" s="34"/>
      <c r="F403" s="34"/>
      <c r="G403" s="34"/>
      <c r="H403" s="34"/>
      <c r="I403" s="34"/>
      <c r="J403" s="37"/>
      <c r="K403" s="34"/>
      <c r="L403" s="38" t="str">
        <f aca="false">IF(I403="","",I403*N(J403)*IF(K403="",1,K403))</f>
        <v/>
      </c>
      <c r="M403" s="34"/>
    </row>
    <row r="404" customFormat="false" ht="15" hidden="false" customHeight="false" outlineLevel="0" collapsed="false">
      <c r="A404" s="34"/>
      <c r="B404" s="35"/>
      <c r="C404" s="36" t="str">
        <f aca="false">IF(B404="","",DATE(YEAR(B404),MONTH(B404),1))</f>
        <v/>
      </c>
      <c r="D404" s="34"/>
      <c r="E404" s="34"/>
      <c r="F404" s="34"/>
      <c r="G404" s="34"/>
      <c r="H404" s="34"/>
      <c r="I404" s="34"/>
      <c r="J404" s="37"/>
      <c r="K404" s="34"/>
      <c r="L404" s="38" t="str">
        <f aca="false">IF(I404="","",I404*N(J404)*IF(K404="",1,K404))</f>
        <v/>
      </c>
      <c r="M404" s="34"/>
    </row>
    <row r="405" customFormat="false" ht="15" hidden="false" customHeight="false" outlineLevel="0" collapsed="false">
      <c r="A405" s="34"/>
      <c r="B405" s="35"/>
      <c r="C405" s="36" t="str">
        <f aca="false">IF(B405="","",DATE(YEAR(B405),MONTH(B405),1))</f>
        <v/>
      </c>
      <c r="D405" s="34"/>
      <c r="E405" s="34"/>
      <c r="F405" s="34"/>
      <c r="G405" s="34"/>
      <c r="H405" s="34"/>
      <c r="I405" s="34"/>
      <c r="J405" s="37"/>
      <c r="K405" s="34"/>
      <c r="L405" s="38" t="str">
        <f aca="false">IF(I405="","",I405*N(J405)*IF(K405="",1,K405))</f>
        <v/>
      </c>
      <c r="M405" s="34"/>
    </row>
    <row r="406" customFormat="false" ht="15" hidden="false" customHeight="false" outlineLevel="0" collapsed="false">
      <c r="A406" s="34"/>
      <c r="B406" s="35"/>
      <c r="C406" s="36" t="str">
        <f aca="false">IF(B406="","",DATE(YEAR(B406),MONTH(B406),1))</f>
        <v/>
      </c>
      <c r="D406" s="34"/>
      <c r="E406" s="34"/>
      <c r="F406" s="34"/>
      <c r="G406" s="34"/>
      <c r="H406" s="34"/>
      <c r="I406" s="34"/>
      <c r="J406" s="37"/>
      <c r="K406" s="34"/>
      <c r="L406" s="38" t="str">
        <f aca="false">IF(I406="","",I406*N(J406)*IF(K406="",1,K406))</f>
        <v/>
      </c>
      <c r="M406" s="34"/>
    </row>
    <row r="407" customFormat="false" ht="15" hidden="false" customHeight="false" outlineLevel="0" collapsed="false">
      <c r="A407" s="34"/>
      <c r="B407" s="35"/>
      <c r="C407" s="36" t="str">
        <f aca="false">IF(B407="","",DATE(YEAR(B407),MONTH(B407),1))</f>
        <v/>
      </c>
      <c r="D407" s="34"/>
      <c r="E407" s="34"/>
      <c r="F407" s="34"/>
      <c r="G407" s="34"/>
      <c r="H407" s="34"/>
      <c r="I407" s="34"/>
      <c r="J407" s="37"/>
      <c r="K407" s="34"/>
      <c r="L407" s="38" t="str">
        <f aca="false">IF(I407="","",I407*N(J407)*IF(K407="",1,K407))</f>
        <v/>
      </c>
      <c r="M407" s="34"/>
    </row>
    <row r="408" customFormat="false" ht="15" hidden="false" customHeight="false" outlineLevel="0" collapsed="false">
      <c r="A408" s="34"/>
      <c r="B408" s="35"/>
      <c r="C408" s="36" t="str">
        <f aca="false">IF(B408="","",DATE(YEAR(B408),MONTH(B408),1))</f>
        <v/>
      </c>
      <c r="D408" s="34"/>
      <c r="E408" s="34"/>
      <c r="F408" s="34"/>
      <c r="G408" s="34"/>
      <c r="H408" s="34"/>
      <c r="I408" s="34"/>
      <c r="J408" s="37"/>
      <c r="K408" s="34"/>
      <c r="L408" s="38" t="str">
        <f aca="false">IF(I408="","",I408*N(J408)*IF(K408="",1,K408))</f>
        <v/>
      </c>
      <c r="M408" s="34"/>
    </row>
    <row r="409" customFormat="false" ht="15" hidden="false" customHeight="false" outlineLevel="0" collapsed="false">
      <c r="A409" s="34"/>
      <c r="B409" s="35"/>
      <c r="C409" s="36" t="str">
        <f aca="false">IF(B409="","",DATE(YEAR(B409),MONTH(B409),1))</f>
        <v/>
      </c>
      <c r="D409" s="34"/>
      <c r="E409" s="34"/>
      <c r="F409" s="34"/>
      <c r="G409" s="34"/>
      <c r="H409" s="34"/>
      <c r="I409" s="34"/>
      <c r="J409" s="37"/>
      <c r="K409" s="34"/>
      <c r="L409" s="38" t="str">
        <f aca="false">IF(I409="","",I409*N(J409)*IF(K409="",1,K409))</f>
        <v/>
      </c>
      <c r="M409" s="34"/>
    </row>
    <row r="410" customFormat="false" ht="15" hidden="false" customHeight="false" outlineLevel="0" collapsed="false">
      <c r="A410" s="34"/>
      <c r="B410" s="35"/>
      <c r="C410" s="36" t="str">
        <f aca="false">IF(B410="","",DATE(YEAR(B410),MONTH(B410),1))</f>
        <v/>
      </c>
      <c r="D410" s="34"/>
      <c r="E410" s="34"/>
      <c r="F410" s="34"/>
      <c r="G410" s="34"/>
      <c r="H410" s="34"/>
      <c r="I410" s="34"/>
      <c r="J410" s="37"/>
      <c r="K410" s="34"/>
      <c r="L410" s="38" t="str">
        <f aca="false">IF(I410="","",I410*N(J410)*IF(K410="",1,K410))</f>
        <v/>
      </c>
      <c r="M410" s="34"/>
    </row>
    <row r="411" customFormat="false" ht="15" hidden="false" customHeight="false" outlineLevel="0" collapsed="false">
      <c r="A411" s="34"/>
      <c r="B411" s="35"/>
      <c r="C411" s="36" t="str">
        <f aca="false">IF(B411="","",DATE(YEAR(B411),MONTH(B411),1))</f>
        <v/>
      </c>
      <c r="D411" s="34"/>
      <c r="E411" s="34"/>
      <c r="F411" s="34"/>
      <c r="G411" s="34"/>
      <c r="H411" s="34"/>
      <c r="I411" s="34"/>
      <c r="J411" s="37"/>
      <c r="K411" s="34"/>
      <c r="L411" s="38" t="str">
        <f aca="false">IF(I411="","",I411*N(J411)*IF(K411="",1,K411))</f>
        <v/>
      </c>
      <c r="M411" s="34"/>
    </row>
    <row r="412" customFormat="false" ht="15" hidden="false" customHeight="false" outlineLevel="0" collapsed="false">
      <c r="A412" s="34"/>
      <c r="B412" s="35"/>
      <c r="C412" s="36" t="str">
        <f aca="false">IF(B412="","",DATE(YEAR(B412),MONTH(B412),1))</f>
        <v/>
      </c>
      <c r="D412" s="34"/>
      <c r="E412" s="34"/>
      <c r="F412" s="34"/>
      <c r="G412" s="34"/>
      <c r="H412" s="34"/>
      <c r="I412" s="34"/>
      <c r="J412" s="37"/>
      <c r="K412" s="34"/>
      <c r="L412" s="38" t="str">
        <f aca="false">IF(I412="","",I412*N(J412)*IF(K412="",1,K412))</f>
        <v/>
      </c>
      <c r="M412" s="34"/>
    </row>
    <row r="413" customFormat="false" ht="15" hidden="false" customHeight="false" outlineLevel="0" collapsed="false">
      <c r="A413" s="34"/>
      <c r="B413" s="35"/>
      <c r="C413" s="36" t="str">
        <f aca="false">IF(B413="","",DATE(YEAR(B413),MONTH(B413),1))</f>
        <v/>
      </c>
      <c r="D413" s="34"/>
      <c r="E413" s="34"/>
      <c r="F413" s="34"/>
      <c r="G413" s="34"/>
      <c r="H413" s="34"/>
      <c r="I413" s="34"/>
      <c r="J413" s="37"/>
      <c r="K413" s="34"/>
      <c r="L413" s="38" t="str">
        <f aca="false">IF(I413="","",I413*N(J413)*IF(K413="",1,K413))</f>
        <v/>
      </c>
      <c r="M413" s="34"/>
    </row>
    <row r="414" customFormat="false" ht="15" hidden="false" customHeight="false" outlineLevel="0" collapsed="false">
      <c r="A414" s="34"/>
      <c r="B414" s="35"/>
      <c r="C414" s="36" t="str">
        <f aca="false">IF(B414="","",DATE(YEAR(B414),MONTH(B414),1))</f>
        <v/>
      </c>
      <c r="D414" s="34"/>
      <c r="E414" s="34"/>
      <c r="F414" s="34"/>
      <c r="G414" s="34"/>
      <c r="H414" s="34"/>
      <c r="I414" s="34"/>
      <c r="J414" s="37"/>
      <c r="K414" s="34"/>
      <c r="L414" s="38" t="str">
        <f aca="false">IF(I414="","",I414*N(J414)*IF(K414="",1,K414))</f>
        <v/>
      </c>
      <c r="M414" s="34"/>
    </row>
    <row r="415" customFormat="false" ht="15" hidden="false" customHeight="false" outlineLevel="0" collapsed="false">
      <c r="A415" s="34"/>
      <c r="B415" s="35"/>
      <c r="C415" s="36" t="str">
        <f aca="false">IF(B415="","",DATE(YEAR(B415),MONTH(B415),1))</f>
        <v/>
      </c>
      <c r="D415" s="34"/>
      <c r="E415" s="34"/>
      <c r="F415" s="34"/>
      <c r="G415" s="34"/>
      <c r="H415" s="34"/>
      <c r="I415" s="34"/>
      <c r="J415" s="37"/>
      <c r="K415" s="34"/>
      <c r="L415" s="38" t="str">
        <f aca="false">IF(I415="","",I415*N(J415)*IF(K415="",1,K415))</f>
        <v/>
      </c>
      <c r="M415" s="34"/>
    </row>
    <row r="416" customFormat="false" ht="15" hidden="false" customHeight="false" outlineLevel="0" collapsed="false">
      <c r="A416" s="34"/>
      <c r="B416" s="35"/>
      <c r="C416" s="36" t="str">
        <f aca="false">IF(B416="","",DATE(YEAR(B416),MONTH(B416),1))</f>
        <v/>
      </c>
      <c r="D416" s="34"/>
      <c r="E416" s="34"/>
      <c r="F416" s="34"/>
      <c r="G416" s="34"/>
      <c r="H416" s="34"/>
      <c r="I416" s="34"/>
      <c r="J416" s="37"/>
      <c r="K416" s="34"/>
      <c r="L416" s="38" t="str">
        <f aca="false">IF(I416="","",I416*N(J416)*IF(K416="",1,K416))</f>
        <v/>
      </c>
      <c r="M416" s="34"/>
    </row>
    <row r="417" customFormat="false" ht="15" hidden="false" customHeight="false" outlineLevel="0" collapsed="false">
      <c r="A417" s="34"/>
      <c r="B417" s="35"/>
      <c r="C417" s="36" t="str">
        <f aca="false">IF(B417="","",DATE(YEAR(B417),MONTH(B417),1))</f>
        <v/>
      </c>
      <c r="D417" s="34"/>
      <c r="E417" s="34"/>
      <c r="F417" s="34"/>
      <c r="G417" s="34"/>
      <c r="H417" s="34"/>
      <c r="I417" s="34"/>
      <c r="J417" s="37"/>
      <c r="K417" s="34"/>
      <c r="L417" s="38" t="str">
        <f aca="false">IF(I417="","",I417*N(J417)*IF(K417="",1,K417))</f>
        <v/>
      </c>
      <c r="M417" s="34"/>
    </row>
    <row r="418" customFormat="false" ht="15" hidden="false" customHeight="false" outlineLevel="0" collapsed="false">
      <c r="A418" s="34"/>
      <c r="B418" s="35"/>
      <c r="C418" s="36" t="str">
        <f aca="false">IF(B418="","",DATE(YEAR(B418),MONTH(B418),1))</f>
        <v/>
      </c>
      <c r="D418" s="34"/>
      <c r="E418" s="34"/>
      <c r="F418" s="34"/>
      <c r="G418" s="34"/>
      <c r="H418" s="34"/>
      <c r="I418" s="34"/>
      <c r="J418" s="37"/>
      <c r="K418" s="34"/>
      <c r="L418" s="38" t="str">
        <f aca="false">IF(I418="","",I418*N(J418)*IF(K418="",1,K418))</f>
        <v/>
      </c>
      <c r="M418" s="34"/>
    </row>
    <row r="419" customFormat="false" ht="15" hidden="false" customHeight="false" outlineLevel="0" collapsed="false">
      <c r="A419" s="34"/>
      <c r="B419" s="35"/>
      <c r="C419" s="36" t="str">
        <f aca="false">IF(B419="","",DATE(YEAR(B419),MONTH(B419),1))</f>
        <v/>
      </c>
      <c r="D419" s="34"/>
      <c r="E419" s="34"/>
      <c r="F419" s="34"/>
      <c r="G419" s="34"/>
      <c r="H419" s="34"/>
      <c r="I419" s="34"/>
      <c r="J419" s="37"/>
      <c r="K419" s="34"/>
      <c r="L419" s="38" t="str">
        <f aca="false">IF(I419="","",I419*N(J419)*IF(K419="",1,K419))</f>
        <v/>
      </c>
      <c r="M419" s="34"/>
    </row>
    <row r="420" customFormat="false" ht="15" hidden="false" customHeight="false" outlineLevel="0" collapsed="false">
      <c r="A420" s="34"/>
      <c r="B420" s="35"/>
      <c r="C420" s="36" t="str">
        <f aca="false">IF(B420="","",DATE(YEAR(B420),MONTH(B420),1))</f>
        <v/>
      </c>
      <c r="D420" s="34"/>
      <c r="E420" s="34"/>
      <c r="F420" s="34"/>
      <c r="G420" s="34"/>
      <c r="H420" s="34"/>
      <c r="I420" s="34"/>
      <c r="J420" s="37"/>
      <c r="K420" s="34"/>
      <c r="L420" s="38" t="str">
        <f aca="false">IF(I420="","",I420*N(J420)*IF(K420="",1,K420))</f>
        <v/>
      </c>
      <c r="M420" s="34"/>
    </row>
    <row r="421" customFormat="false" ht="15" hidden="false" customHeight="false" outlineLevel="0" collapsed="false">
      <c r="A421" s="34"/>
      <c r="B421" s="35"/>
      <c r="C421" s="36" t="str">
        <f aca="false">IF(B421="","",DATE(YEAR(B421),MONTH(B421),1))</f>
        <v/>
      </c>
      <c r="D421" s="34"/>
      <c r="E421" s="34"/>
      <c r="F421" s="34"/>
      <c r="G421" s="34"/>
      <c r="H421" s="34"/>
      <c r="I421" s="34"/>
      <c r="J421" s="37"/>
      <c r="K421" s="34"/>
      <c r="L421" s="38" t="str">
        <f aca="false">IF(I421="","",I421*N(J421)*IF(K421="",1,K421))</f>
        <v/>
      </c>
      <c r="M421" s="34"/>
    </row>
    <row r="422" customFormat="false" ht="15" hidden="false" customHeight="false" outlineLevel="0" collapsed="false">
      <c r="A422" s="34"/>
      <c r="B422" s="35"/>
      <c r="C422" s="36" t="str">
        <f aca="false">IF(B422="","",DATE(YEAR(B422),MONTH(B422),1))</f>
        <v/>
      </c>
      <c r="D422" s="34"/>
      <c r="E422" s="34"/>
      <c r="F422" s="34"/>
      <c r="G422" s="34"/>
      <c r="H422" s="34"/>
      <c r="I422" s="34"/>
      <c r="J422" s="37"/>
      <c r="K422" s="34"/>
      <c r="L422" s="38" t="str">
        <f aca="false">IF(I422="","",I422*N(J422)*IF(K422="",1,K422))</f>
        <v/>
      </c>
      <c r="M422" s="34"/>
    </row>
    <row r="423" customFormat="false" ht="15" hidden="false" customHeight="false" outlineLevel="0" collapsed="false">
      <c r="A423" s="34"/>
      <c r="B423" s="35"/>
      <c r="C423" s="36" t="str">
        <f aca="false">IF(B423="","",DATE(YEAR(B423),MONTH(B423),1))</f>
        <v/>
      </c>
      <c r="D423" s="34"/>
      <c r="E423" s="34"/>
      <c r="F423" s="34"/>
      <c r="G423" s="34"/>
      <c r="H423" s="34"/>
      <c r="I423" s="34"/>
      <c r="J423" s="37"/>
      <c r="K423" s="34"/>
      <c r="L423" s="38" t="str">
        <f aca="false">IF(I423="","",I423*N(J423)*IF(K423="",1,K423))</f>
        <v/>
      </c>
      <c r="M423" s="34"/>
    </row>
    <row r="424" customFormat="false" ht="15" hidden="false" customHeight="false" outlineLevel="0" collapsed="false">
      <c r="A424" s="34"/>
      <c r="B424" s="35"/>
      <c r="C424" s="36" t="str">
        <f aca="false">IF(B424="","",DATE(YEAR(B424),MONTH(B424),1))</f>
        <v/>
      </c>
      <c r="D424" s="34"/>
      <c r="E424" s="34"/>
      <c r="F424" s="34"/>
      <c r="G424" s="34"/>
      <c r="H424" s="34"/>
      <c r="I424" s="34"/>
      <c r="J424" s="37"/>
      <c r="K424" s="34"/>
      <c r="L424" s="38" t="str">
        <f aca="false">IF(I424="","",I424*N(J424)*IF(K424="",1,K424))</f>
        <v/>
      </c>
      <c r="M424" s="34"/>
    </row>
    <row r="425" customFormat="false" ht="15" hidden="false" customHeight="false" outlineLevel="0" collapsed="false">
      <c r="A425" s="34"/>
      <c r="B425" s="35"/>
      <c r="C425" s="36" t="str">
        <f aca="false">IF(B425="","",DATE(YEAR(B425),MONTH(B425),1))</f>
        <v/>
      </c>
      <c r="D425" s="34"/>
      <c r="E425" s="34"/>
      <c r="F425" s="34"/>
      <c r="G425" s="34"/>
      <c r="H425" s="34"/>
      <c r="I425" s="34"/>
      <c r="J425" s="37"/>
      <c r="K425" s="34"/>
      <c r="L425" s="38" t="str">
        <f aca="false">IF(I425="","",I425*N(J425)*IF(K425="",1,K425))</f>
        <v/>
      </c>
      <c r="M425" s="34"/>
    </row>
    <row r="426" customFormat="false" ht="15" hidden="false" customHeight="false" outlineLevel="0" collapsed="false">
      <c r="A426" s="34"/>
      <c r="B426" s="35"/>
      <c r="C426" s="36" t="str">
        <f aca="false">IF(B426="","",DATE(YEAR(B426),MONTH(B426),1))</f>
        <v/>
      </c>
      <c r="D426" s="34"/>
      <c r="E426" s="34"/>
      <c r="F426" s="34"/>
      <c r="G426" s="34"/>
      <c r="H426" s="34"/>
      <c r="I426" s="34"/>
      <c r="J426" s="37"/>
      <c r="K426" s="34"/>
      <c r="L426" s="38" t="str">
        <f aca="false">IF(I426="","",I426*N(J426)*IF(K426="",1,K426))</f>
        <v/>
      </c>
      <c r="M426" s="34"/>
    </row>
    <row r="427" customFormat="false" ht="15" hidden="false" customHeight="false" outlineLevel="0" collapsed="false">
      <c r="A427" s="34"/>
      <c r="B427" s="35"/>
      <c r="C427" s="36" t="str">
        <f aca="false">IF(B427="","",DATE(YEAR(B427),MONTH(B427),1))</f>
        <v/>
      </c>
      <c r="D427" s="34"/>
      <c r="E427" s="34"/>
      <c r="F427" s="34"/>
      <c r="G427" s="34"/>
      <c r="H427" s="34"/>
      <c r="I427" s="34"/>
      <c r="J427" s="37"/>
      <c r="K427" s="34"/>
      <c r="L427" s="38" t="str">
        <f aca="false">IF(I427="","",I427*N(J427)*IF(K427="",1,K427))</f>
        <v/>
      </c>
      <c r="M427" s="34"/>
    </row>
    <row r="428" customFormat="false" ht="15" hidden="false" customHeight="false" outlineLevel="0" collapsed="false">
      <c r="A428" s="34"/>
      <c r="B428" s="35"/>
      <c r="C428" s="36" t="str">
        <f aca="false">IF(B428="","",DATE(YEAR(B428),MONTH(B428),1))</f>
        <v/>
      </c>
      <c r="D428" s="34"/>
      <c r="E428" s="34"/>
      <c r="F428" s="34"/>
      <c r="G428" s="34"/>
      <c r="H428" s="34"/>
      <c r="I428" s="34"/>
      <c r="J428" s="37"/>
      <c r="K428" s="34"/>
      <c r="L428" s="38" t="str">
        <f aca="false">IF(I428="","",I428*N(J428)*IF(K428="",1,K428))</f>
        <v/>
      </c>
      <c r="M428" s="34"/>
    </row>
    <row r="429" customFormat="false" ht="15" hidden="false" customHeight="false" outlineLevel="0" collapsed="false">
      <c r="A429" s="34"/>
      <c r="B429" s="35"/>
      <c r="C429" s="36" t="str">
        <f aca="false">IF(B429="","",DATE(YEAR(B429),MONTH(B429),1))</f>
        <v/>
      </c>
      <c r="D429" s="34"/>
      <c r="E429" s="34"/>
      <c r="F429" s="34"/>
      <c r="G429" s="34"/>
      <c r="H429" s="34"/>
      <c r="I429" s="34"/>
      <c r="J429" s="37"/>
      <c r="K429" s="34"/>
      <c r="L429" s="38" t="str">
        <f aca="false">IF(I429="","",I429*N(J429)*IF(K429="",1,K429))</f>
        <v/>
      </c>
      <c r="M429" s="34"/>
    </row>
    <row r="430" customFormat="false" ht="15" hidden="false" customHeight="false" outlineLevel="0" collapsed="false">
      <c r="A430" s="34"/>
      <c r="B430" s="35"/>
      <c r="C430" s="36" t="str">
        <f aca="false">IF(B430="","",DATE(YEAR(B430),MONTH(B430),1))</f>
        <v/>
      </c>
      <c r="D430" s="34"/>
      <c r="E430" s="34"/>
      <c r="F430" s="34"/>
      <c r="G430" s="34"/>
      <c r="H430" s="34"/>
      <c r="I430" s="34"/>
      <c r="J430" s="37"/>
      <c r="K430" s="34"/>
      <c r="L430" s="38" t="str">
        <f aca="false">IF(I430="","",I430*N(J430)*IF(K430="",1,K430))</f>
        <v/>
      </c>
      <c r="M430" s="34"/>
    </row>
    <row r="431" customFormat="false" ht="15" hidden="false" customHeight="false" outlineLevel="0" collapsed="false">
      <c r="A431" s="34"/>
      <c r="B431" s="35"/>
      <c r="C431" s="36" t="str">
        <f aca="false">IF(B431="","",DATE(YEAR(B431),MONTH(B431),1))</f>
        <v/>
      </c>
      <c r="D431" s="34"/>
      <c r="E431" s="34"/>
      <c r="F431" s="34"/>
      <c r="G431" s="34"/>
      <c r="H431" s="34"/>
      <c r="I431" s="34"/>
      <c r="J431" s="37"/>
      <c r="K431" s="34"/>
      <c r="L431" s="38" t="str">
        <f aca="false">IF(I431="","",I431*N(J431)*IF(K431="",1,K431))</f>
        <v/>
      </c>
      <c r="M431" s="34"/>
    </row>
    <row r="432" customFormat="false" ht="15" hidden="false" customHeight="false" outlineLevel="0" collapsed="false">
      <c r="A432" s="34"/>
      <c r="B432" s="35"/>
      <c r="C432" s="36" t="str">
        <f aca="false">IF(B432="","",DATE(YEAR(B432),MONTH(B432),1))</f>
        <v/>
      </c>
      <c r="D432" s="34"/>
      <c r="E432" s="34"/>
      <c r="F432" s="34"/>
      <c r="G432" s="34"/>
      <c r="H432" s="34"/>
      <c r="I432" s="34"/>
      <c r="J432" s="37"/>
      <c r="K432" s="34"/>
      <c r="L432" s="38" t="str">
        <f aca="false">IF(I432="","",I432*N(J432)*IF(K432="",1,K432))</f>
        <v/>
      </c>
      <c r="M432" s="34"/>
    </row>
    <row r="433" customFormat="false" ht="15" hidden="false" customHeight="false" outlineLevel="0" collapsed="false">
      <c r="A433" s="34"/>
      <c r="B433" s="35"/>
      <c r="C433" s="36" t="str">
        <f aca="false">IF(B433="","",DATE(YEAR(B433),MONTH(B433),1))</f>
        <v/>
      </c>
      <c r="D433" s="34"/>
      <c r="E433" s="34"/>
      <c r="F433" s="34"/>
      <c r="G433" s="34"/>
      <c r="H433" s="34"/>
      <c r="I433" s="34"/>
      <c r="J433" s="37"/>
      <c r="K433" s="34"/>
      <c r="L433" s="38" t="str">
        <f aca="false">IF(I433="","",I433*N(J433)*IF(K433="",1,K433))</f>
        <v/>
      </c>
      <c r="M433" s="34"/>
    </row>
    <row r="434" customFormat="false" ht="15" hidden="false" customHeight="false" outlineLevel="0" collapsed="false">
      <c r="A434" s="34"/>
      <c r="B434" s="35"/>
      <c r="C434" s="36" t="str">
        <f aca="false">IF(B434="","",DATE(YEAR(B434),MONTH(B434),1))</f>
        <v/>
      </c>
      <c r="D434" s="34"/>
      <c r="E434" s="34"/>
      <c r="F434" s="34"/>
      <c r="G434" s="34"/>
      <c r="H434" s="34"/>
      <c r="I434" s="34"/>
      <c r="J434" s="37"/>
      <c r="K434" s="34"/>
      <c r="L434" s="38" t="str">
        <f aca="false">IF(I434="","",I434*N(J434)*IF(K434="",1,K434))</f>
        <v/>
      </c>
      <c r="M434" s="34"/>
    </row>
    <row r="435" customFormat="false" ht="15" hidden="false" customHeight="false" outlineLevel="0" collapsed="false">
      <c r="A435" s="34"/>
      <c r="B435" s="35"/>
      <c r="C435" s="36" t="str">
        <f aca="false">IF(B435="","",DATE(YEAR(B435),MONTH(B435),1))</f>
        <v/>
      </c>
      <c r="D435" s="34"/>
      <c r="E435" s="34"/>
      <c r="F435" s="34"/>
      <c r="G435" s="34"/>
      <c r="H435" s="34"/>
      <c r="I435" s="34"/>
      <c r="J435" s="37"/>
      <c r="K435" s="34"/>
      <c r="L435" s="38" t="str">
        <f aca="false">IF(I435="","",I435*N(J435)*IF(K435="",1,K435))</f>
        <v/>
      </c>
      <c r="M435" s="34"/>
    </row>
    <row r="436" customFormat="false" ht="15" hidden="false" customHeight="false" outlineLevel="0" collapsed="false">
      <c r="A436" s="34"/>
      <c r="B436" s="35"/>
      <c r="C436" s="36" t="str">
        <f aca="false">IF(B436="","",DATE(YEAR(B436),MONTH(B436),1))</f>
        <v/>
      </c>
      <c r="D436" s="34"/>
      <c r="E436" s="34"/>
      <c r="F436" s="34"/>
      <c r="G436" s="34"/>
      <c r="H436" s="34"/>
      <c r="I436" s="34"/>
      <c r="J436" s="37"/>
      <c r="K436" s="34"/>
      <c r="L436" s="38" t="str">
        <f aca="false">IF(I436="","",I436*N(J436)*IF(K436="",1,K436))</f>
        <v/>
      </c>
      <c r="M436" s="34"/>
    </row>
    <row r="437" customFormat="false" ht="15" hidden="false" customHeight="false" outlineLevel="0" collapsed="false">
      <c r="A437" s="34"/>
      <c r="B437" s="35"/>
      <c r="C437" s="36" t="str">
        <f aca="false">IF(B437="","",DATE(YEAR(B437),MONTH(B437),1))</f>
        <v/>
      </c>
      <c r="D437" s="34"/>
      <c r="E437" s="34"/>
      <c r="F437" s="34"/>
      <c r="G437" s="34"/>
      <c r="H437" s="34"/>
      <c r="I437" s="34"/>
      <c r="J437" s="37"/>
      <c r="K437" s="34"/>
      <c r="L437" s="38" t="str">
        <f aca="false">IF(I437="","",I437*N(J437)*IF(K437="",1,K437))</f>
        <v/>
      </c>
      <c r="M437" s="34"/>
    </row>
    <row r="438" customFormat="false" ht="15" hidden="false" customHeight="false" outlineLevel="0" collapsed="false">
      <c r="A438" s="34"/>
      <c r="B438" s="35"/>
      <c r="C438" s="36" t="str">
        <f aca="false">IF(B438="","",DATE(YEAR(B438),MONTH(B438),1))</f>
        <v/>
      </c>
      <c r="D438" s="34"/>
      <c r="E438" s="34"/>
      <c r="F438" s="34"/>
      <c r="G438" s="34"/>
      <c r="H438" s="34"/>
      <c r="I438" s="34"/>
      <c r="J438" s="37"/>
      <c r="K438" s="34"/>
      <c r="L438" s="38" t="str">
        <f aca="false">IF(I438="","",I438*N(J438)*IF(K438="",1,K438))</f>
        <v/>
      </c>
      <c r="M438" s="34"/>
    </row>
    <row r="439" customFormat="false" ht="15" hidden="false" customHeight="false" outlineLevel="0" collapsed="false">
      <c r="A439" s="34"/>
      <c r="B439" s="35"/>
      <c r="C439" s="36" t="str">
        <f aca="false">IF(B439="","",DATE(YEAR(B439),MONTH(B439),1))</f>
        <v/>
      </c>
      <c r="D439" s="34"/>
      <c r="E439" s="34"/>
      <c r="F439" s="34"/>
      <c r="G439" s="34"/>
      <c r="H439" s="34"/>
      <c r="I439" s="34"/>
      <c r="J439" s="37"/>
      <c r="K439" s="34"/>
      <c r="L439" s="38" t="str">
        <f aca="false">IF(I439="","",I439*N(J439)*IF(K439="",1,K439))</f>
        <v/>
      </c>
      <c r="M439" s="34"/>
    </row>
    <row r="440" customFormat="false" ht="15" hidden="false" customHeight="false" outlineLevel="0" collapsed="false">
      <c r="A440" s="34"/>
      <c r="B440" s="35"/>
      <c r="C440" s="36" t="str">
        <f aca="false">IF(B440="","",DATE(YEAR(B440),MONTH(B440),1))</f>
        <v/>
      </c>
      <c r="D440" s="34"/>
      <c r="E440" s="34"/>
      <c r="F440" s="34"/>
      <c r="G440" s="34"/>
      <c r="H440" s="34"/>
      <c r="I440" s="34"/>
      <c r="J440" s="37"/>
      <c r="K440" s="34"/>
      <c r="L440" s="38" t="str">
        <f aca="false">IF(I440="","",I440*N(J440)*IF(K440="",1,K440))</f>
        <v/>
      </c>
      <c r="M440" s="34"/>
    </row>
    <row r="441" customFormat="false" ht="15" hidden="false" customHeight="false" outlineLevel="0" collapsed="false">
      <c r="A441" s="34"/>
      <c r="B441" s="35"/>
      <c r="C441" s="36" t="str">
        <f aca="false">IF(B441="","",DATE(YEAR(B441),MONTH(B441),1))</f>
        <v/>
      </c>
      <c r="D441" s="34"/>
      <c r="E441" s="34"/>
      <c r="F441" s="34"/>
      <c r="G441" s="34"/>
      <c r="H441" s="34"/>
      <c r="I441" s="34"/>
      <c r="J441" s="37"/>
      <c r="K441" s="34"/>
      <c r="L441" s="38" t="str">
        <f aca="false">IF(I441="","",I441*N(J441)*IF(K441="",1,K441))</f>
        <v/>
      </c>
      <c r="M441" s="34"/>
    </row>
    <row r="442" customFormat="false" ht="15" hidden="false" customHeight="false" outlineLevel="0" collapsed="false">
      <c r="A442" s="34"/>
      <c r="B442" s="35"/>
      <c r="C442" s="36" t="str">
        <f aca="false">IF(B442="","",DATE(YEAR(B442),MONTH(B442),1))</f>
        <v/>
      </c>
      <c r="D442" s="34"/>
      <c r="E442" s="34"/>
      <c r="F442" s="34"/>
      <c r="G442" s="34"/>
      <c r="H442" s="34"/>
      <c r="I442" s="34"/>
      <c r="J442" s="37"/>
      <c r="K442" s="34"/>
      <c r="L442" s="38" t="str">
        <f aca="false">IF(I442="","",I442*N(J442)*IF(K442="",1,K442))</f>
        <v/>
      </c>
      <c r="M442" s="34"/>
    </row>
    <row r="443" customFormat="false" ht="15" hidden="false" customHeight="false" outlineLevel="0" collapsed="false">
      <c r="A443" s="34"/>
      <c r="B443" s="35"/>
      <c r="C443" s="36" t="str">
        <f aca="false">IF(B443="","",DATE(YEAR(B443),MONTH(B443),1))</f>
        <v/>
      </c>
      <c r="D443" s="34"/>
      <c r="E443" s="34"/>
      <c r="F443" s="34"/>
      <c r="G443" s="34"/>
      <c r="H443" s="34"/>
      <c r="I443" s="34"/>
      <c r="J443" s="37"/>
      <c r="K443" s="34"/>
      <c r="L443" s="38" t="str">
        <f aca="false">IF(I443="","",I443*N(J443)*IF(K443="",1,K443))</f>
        <v/>
      </c>
      <c r="M443" s="34"/>
    </row>
    <row r="444" customFormat="false" ht="15" hidden="false" customHeight="false" outlineLevel="0" collapsed="false">
      <c r="A444" s="34"/>
      <c r="B444" s="35"/>
      <c r="C444" s="36" t="str">
        <f aca="false">IF(B444="","",DATE(YEAR(B444),MONTH(B444),1))</f>
        <v/>
      </c>
      <c r="D444" s="34"/>
      <c r="E444" s="34"/>
      <c r="F444" s="34"/>
      <c r="G444" s="34"/>
      <c r="H444" s="34"/>
      <c r="I444" s="34"/>
      <c r="J444" s="37"/>
      <c r="K444" s="34"/>
      <c r="L444" s="38" t="str">
        <f aca="false">IF(I444="","",I444*N(J444)*IF(K444="",1,K444))</f>
        <v/>
      </c>
      <c r="M444" s="34"/>
    </row>
    <row r="445" customFormat="false" ht="15" hidden="false" customHeight="false" outlineLevel="0" collapsed="false">
      <c r="A445" s="34"/>
      <c r="B445" s="35"/>
      <c r="C445" s="36" t="str">
        <f aca="false">IF(B445="","",DATE(YEAR(B445),MONTH(B445),1))</f>
        <v/>
      </c>
      <c r="D445" s="34"/>
      <c r="E445" s="34"/>
      <c r="F445" s="34"/>
      <c r="G445" s="34"/>
      <c r="H445" s="34"/>
      <c r="I445" s="34"/>
      <c r="J445" s="37"/>
      <c r="K445" s="34"/>
      <c r="L445" s="38" t="str">
        <f aca="false">IF(I445="","",I445*N(J445)*IF(K445="",1,K445))</f>
        <v/>
      </c>
      <c r="M445" s="34"/>
    </row>
    <row r="446" customFormat="false" ht="15" hidden="false" customHeight="false" outlineLevel="0" collapsed="false">
      <c r="A446" s="34"/>
      <c r="B446" s="35"/>
      <c r="C446" s="36" t="str">
        <f aca="false">IF(B446="","",DATE(YEAR(B446),MONTH(B446),1))</f>
        <v/>
      </c>
      <c r="D446" s="34"/>
      <c r="E446" s="34"/>
      <c r="F446" s="34"/>
      <c r="G446" s="34"/>
      <c r="H446" s="34"/>
      <c r="I446" s="34"/>
      <c r="J446" s="37"/>
      <c r="K446" s="34"/>
      <c r="L446" s="38" t="str">
        <f aca="false">IF(I446="","",I446*N(J446)*IF(K446="",1,K446))</f>
        <v/>
      </c>
      <c r="M446" s="34"/>
    </row>
    <row r="447" customFormat="false" ht="15" hidden="false" customHeight="false" outlineLevel="0" collapsed="false">
      <c r="A447" s="34"/>
      <c r="B447" s="35"/>
      <c r="C447" s="36" t="str">
        <f aca="false">IF(B447="","",DATE(YEAR(B447),MONTH(B447),1))</f>
        <v/>
      </c>
      <c r="D447" s="34"/>
      <c r="E447" s="34"/>
      <c r="F447" s="34"/>
      <c r="G447" s="34"/>
      <c r="H447" s="34"/>
      <c r="I447" s="34"/>
      <c r="J447" s="37"/>
      <c r="K447" s="34"/>
      <c r="L447" s="38" t="str">
        <f aca="false">IF(I447="","",I447*N(J447)*IF(K447="",1,K447))</f>
        <v/>
      </c>
      <c r="M447" s="34"/>
    </row>
    <row r="448" customFormat="false" ht="15" hidden="false" customHeight="false" outlineLevel="0" collapsed="false">
      <c r="A448" s="34"/>
      <c r="B448" s="35"/>
      <c r="C448" s="36" t="str">
        <f aca="false">IF(B448="","",DATE(YEAR(B448),MONTH(B448),1))</f>
        <v/>
      </c>
      <c r="D448" s="34"/>
      <c r="E448" s="34"/>
      <c r="F448" s="34"/>
      <c r="G448" s="34"/>
      <c r="H448" s="34"/>
      <c r="I448" s="34"/>
      <c r="J448" s="37"/>
      <c r="K448" s="34"/>
      <c r="L448" s="38" t="str">
        <f aca="false">IF(I448="","",I448*N(J448)*IF(K448="",1,K448))</f>
        <v/>
      </c>
      <c r="M448" s="34"/>
    </row>
    <row r="449" customFormat="false" ht="15" hidden="false" customHeight="false" outlineLevel="0" collapsed="false">
      <c r="A449" s="34"/>
      <c r="B449" s="35"/>
      <c r="C449" s="36" t="str">
        <f aca="false">IF(B449="","",DATE(YEAR(B449),MONTH(B449),1))</f>
        <v/>
      </c>
      <c r="D449" s="34"/>
      <c r="E449" s="34"/>
      <c r="F449" s="34"/>
      <c r="G449" s="34"/>
      <c r="H449" s="34"/>
      <c r="I449" s="34"/>
      <c r="J449" s="37"/>
      <c r="K449" s="34"/>
      <c r="L449" s="38" t="str">
        <f aca="false">IF(I449="","",I449*N(J449)*IF(K449="",1,K449))</f>
        <v/>
      </c>
      <c r="M449" s="34"/>
    </row>
    <row r="450" customFormat="false" ht="15" hidden="false" customHeight="false" outlineLevel="0" collapsed="false">
      <c r="A450" s="34"/>
      <c r="B450" s="35"/>
      <c r="C450" s="36" t="str">
        <f aca="false">IF(B450="","",DATE(YEAR(B450),MONTH(B450),1))</f>
        <v/>
      </c>
      <c r="D450" s="34"/>
      <c r="E450" s="34"/>
      <c r="F450" s="34"/>
      <c r="G450" s="34"/>
      <c r="H450" s="34"/>
      <c r="I450" s="34"/>
      <c r="J450" s="37"/>
      <c r="K450" s="34"/>
      <c r="L450" s="38" t="str">
        <f aca="false">IF(I450="","",I450*N(J450)*IF(K450="",1,K450))</f>
        <v/>
      </c>
      <c r="M450" s="34"/>
    </row>
    <row r="451" customFormat="false" ht="15" hidden="false" customHeight="false" outlineLevel="0" collapsed="false">
      <c r="A451" s="34"/>
      <c r="B451" s="35"/>
      <c r="C451" s="36" t="str">
        <f aca="false">IF(B451="","",DATE(YEAR(B451),MONTH(B451),1))</f>
        <v/>
      </c>
      <c r="D451" s="34"/>
      <c r="E451" s="34"/>
      <c r="F451" s="34"/>
      <c r="G451" s="34"/>
      <c r="H451" s="34"/>
      <c r="I451" s="34"/>
      <c r="J451" s="37"/>
      <c r="K451" s="34"/>
      <c r="L451" s="38" t="str">
        <f aca="false">IF(I451="","",I451*N(J451)*IF(K451="",1,K451))</f>
        <v/>
      </c>
      <c r="M451" s="34"/>
    </row>
    <row r="452" customFormat="false" ht="15" hidden="false" customHeight="false" outlineLevel="0" collapsed="false">
      <c r="A452" s="34"/>
      <c r="B452" s="35"/>
      <c r="C452" s="36" t="str">
        <f aca="false">IF(B452="","",DATE(YEAR(B452),MONTH(B452),1))</f>
        <v/>
      </c>
      <c r="D452" s="34"/>
      <c r="E452" s="34"/>
      <c r="F452" s="34"/>
      <c r="G452" s="34"/>
      <c r="H452" s="34"/>
      <c r="I452" s="34"/>
      <c r="J452" s="37"/>
      <c r="K452" s="34"/>
      <c r="L452" s="38" t="str">
        <f aca="false">IF(I452="","",I452*N(J452)*IF(K452="",1,K452))</f>
        <v/>
      </c>
      <c r="M452" s="34"/>
    </row>
    <row r="453" customFormat="false" ht="15" hidden="false" customHeight="false" outlineLevel="0" collapsed="false">
      <c r="A453" s="34"/>
      <c r="B453" s="35"/>
      <c r="C453" s="36" t="str">
        <f aca="false">IF(B453="","",DATE(YEAR(B453),MONTH(B453),1))</f>
        <v/>
      </c>
      <c r="D453" s="34"/>
      <c r="E453" s="34"/>
      <c r="F453" s="34"/>
      <c r="G453" s="34"/>
      <c r="H453" s="34"/>
      <c r="I453" s="34"/>
      <c r="J453" s="37"/>
      <c r="K453" s="34"/>
      <c r="L453" s="38" t="str">
        <f aca="false">IF(I453="","",I453*N(J453)*IF(K453="",1,K453))</f>
        <v/>
      </c>
      <c r="M453" s="34"/>
    </row>
    <row r="454" customFormat="false" ht="15" hidden="false" customHeight="false" outlineLevel="0" collapsed="false">
      <c r="A454" s="34"/>
      <c r="B454" s="35"/>
      <c r="C454" s="36" t="str">
        <f aca="false">IF(B454="","",DATE(YEAR(B454),MONTH(B454),1))</f>
        <v/>
      </c>
      <c r="D454" s="34"/>
      <c r="E454" s="34"/>
      <c r="F454" s="34"/>
      <c r="G454" s="34"/>
      <c r="H454" s="34"/>
      <c r="I454" s="34"/>
      <c r="J454" s="37"/>
      <c r="K454" s="34"/>
      <c r="L454" s="38" t="str">
        <f aca="false">IF(I454="","",I454*N(J454)*IF(K454="",1,K454))</f>
        <v/>
      </c>
      <c r="M454" s="34"/>
    </row>
    <row r="455" customFormat="false" ht="15" hidden="false" customHeight="false" outlineLevel="0" collapsed="false">
      <c r="A455" s="34"/>
      <c r="B455" s="35"/>
      <c r="C455" s="36" t="str">
        <f aca="false">IF(B455="","",DATE(YEAR(B455),MONTH(B455),1))</f>
        <v/>
      </c>
      <c r="D455" s="34"/>
      <c r="E455" s="34"/>
      <c r="F455" s="34"/>
      <c r="G455" s="34"/>
      <c r="H455" s="34"/>
      <c r="I455" s="34"/>
      <c r="J455" s="37"/>
      <c r="K455" s="34"/>
      <c r="L455" s="38" t="str">
        <f aca="false">IF(I455="","",I455*N(J455)*IF(K455="",1,K455))</f>
        <v/>
      </c>
      <c r="M455" s="34"/>
    </row>
    <row r="456" customFormat="false" ht="15" hidden="false" customHeight="false" outlineLevel="0" collapsed="false">
      <c r="A456" s="34"/>
      <c r="B456" s="35"/>
      <c r="C456" s="36" t="str">
        <f aca="false">IF(B456="","",DATE(YEAR(B456),MONTH(B456),1))</f>
        <v/>
      </c>
      <c r="D456" s="34"/>
      <c r="E456" s="34"/>
      <c r="F456" s="34"/>
      <c r="G456" s="34"/>
      <c r="H456" s="34"/>
      <c r="I456" s="34"/>
      <c r="J456" s="37"/>
      <c r="K456" s="34"/>
      <c r="L456" s="38" t="str">
        <f aca="false">IF(I456="","",I456*N(J456)*IF(K456="",1,K456))</f>
        <v/>
      </c>
      <c r="M456" s="34"/>
    </row>
    <row r="457" customFormat="false" ht="15" hidden="false" customHeight="false" outlineLevel="0" collapsed="false">
      <c r="A457" s="34"/>
      <c r="B457" s="35"/>
      <c r="C457" s="36" t="str">
        <f aca="false">IF(B457="","",DATE(YEAR(B457),MONTH(B457),1))</f>
        <v/>
      </c>
      <c r="D457" s="34"/>
      <c r="E457" s="34"/>
      <c r="F457" s="34"/>
      <c r="G457" s="34"/>
      <c r="H457" s="34"/>
      <c r="I457" s="34"/>
      <c r="J457" s="37"/>
      <c r="K457" s="34"/>
      <c r="L457" s="38" t="str">
        <f aca="false">IF(I457="","",I457*N(J457)*IF(K457="",1,K457))</f>
        <v/>
      </c>
      <c r="M457" s="34"/>
    </row>
    <row r="458" customFormat="false" ht="15" hidden="false" customHeight="false" outlineLevel="0" collapsed="false">
      <c r="A458" s="34"/>
      <c r="B458" s="35"/>
      <c r="C458" s="36" t="str">
        <f aca="false">IF(B458="","",DATE(YEAR(B458),MONTH(B458),1))</f>
        <v/>
      </c>
      <c r="D458" s="34"/>
      <c r="E458" s="34"/>
      <c r="F458" s="34"/>
      <c r="G458" s="34"/>
      <c r="H458" s="34"/>
      <c r="I458" s="34"/>
      <c r="J458" s="37"/>
      <c r="K458" s="34"/>
      <c r="L458" s="38" t="str">
        <f aca="false">IF(I458="","",I458*N(J458)*IF(K458="",1,K458))</f>
        <v/>
      </c>
      <c r="M458" s="34"/>
    </row>
    <row r="459" customFormat="false" ht="15" hidden="false" customHeight="false" outlineLevel="0" collapsed="false">
      <c r="A459" s="34"/>
      <c r="B459" s="35"/>
      <c r="C459" s="36" t="str">
        <f aca="false">IF(B459="","",DATE(YEAR(B459),MONTH(B459),1))</f>
        <v/>
      </c>
      <c r="D459" s="34"/>
      <c r="E459" s="34"/>
      <c r="F459" s="34"/>
      <c r="G459" s="34"/>
      <c r="H459" s="34"/>
      <c r="I459" s="34"/>
      <c r="J459" s="37"/>
      <c r="K459" s="34"/>
      <c r="L459" s="38" t="str">
        <f aca="false">IF(I459="","",I459*N(J459)*IF(K459="",1,K459))</f>
        <v/>
      </c>
      <c r="M459" s="34"/>
    </row>
    <row r="460" customFormat="false" ht="15" hidden="false" customHeight="false" outlineLevel="0" collapsed="false">
      <c r="A460" s="34"/>
      <c r="B460" s="35"/>
      <c r="C460" s="36" t="str">
        <f aca="false">IF(B460="","",DATE(YEAR(B460),MONTH(B460),1))</f>
        <v/>
      </c>
      <c r="D460" s="34"/>
      <c r="E460" s="34"/>
      <c r="F460" s="34"/>
      <c r="G460" s="34"/>
      <c r="H460" s="34"/>
      <c r="I460" s="34"/>
      <c r="J460" s="37"/>
      <c r="K460" s="34"/>
      <c r="L460" s="38" t="str">
        <f aca="false">IF(I460="","",I460*N(J460)*IF(K460="",1,K460))</f>
        <v/>
      </c>
      <c r="M460" s="34"/>
    </row>
    <row r="461" customFormat="false" ht="15" hidden="false" customHeight="false" outlineLevel="0" collapsed="false">
      <c r="A461" s="34"/>
      <c r="B461" s="35"/>
      <c r="C461" s="36" t="str">
        <f aca="false">IF(B461="","",DATE(YEAR(B461),MONTH(B461),1))</f>
        <v/>
      </c>
      <c r="D461" s="34"/>
      <c r="E461" s="34"/>
      <c r="F461" s="34"/>
      <c r="G461" s="34"/>
      <c r="H461" s="34"/>
      <c r="I461" s="34"/>
      <c r="J461" s="37"/>
      <c r="K461" s="34"/>
      <c r="L461" s="38" t="str">
        <f aca="false">IF(I461="","",I461*N(J461)*IF(K461="",1,K461))</f>
        <v/>
      </c>
      <c r="M461" s="34"/>
    </row>
    <row r="462" customFormat="false" ht="15" hidden="false" customHeight="false" outlineLevel="0" collapsed="false">
      <c r="A462" s="34"/>
      <c r="B462" s="35"/>
      <c r="C462" s="36" t="str">
        <f aca="false">IF(B462="","",DATE(YEAR(B462),MONTH(B462),1))</f>
        <v/>
      </c>
      <c r="D462" s="34"/>
      <c r="E462" s="34"/>
      <c r="F462" s="34"/>
      <c r="G462" s="34"/>
      <c r="H462" s="34"/>
      <c r="I462" s="34"/>
      <c r="J462" s="37"/>
      <c r="K462" s="34"/>
      <c r="L462" s="38" t="str">
        <f aca="false">IF(I462="","",I462*N(J462)*IF(K462="",1,K462))</f>
        <v/>
      </c>
      <c r="M462" s="34"/>
    </row>
    <row r="463" customFormat="false" ht="15" hidden="false" customHeight="false" outlineLevel="0" collapsed="false">
      <c r="A463" s="34"/>
      <c r="B463" s="35"/>
      <c r="C463" s="36" t="str">
        <f aca="false">IF(B463="","",DATE(YEAR(B463),MONTH(B463),1))</f>
        <v/>
      </c>
      <c r="D463" s="34"/>
      <c r="E463" s="34"/>
      <c r="F463" s="34"/>
      <c r="G463" s="34"/>
      <c r="H463" s="34"/>
      <c r="I463" s="34"/>
      <c r="J463" s="37"/>
      <c r="K463" s="34"/>
      <c r="L463" s="38" t="str">
        <f aca="false">IF(I463="","",I463*N(J463)*IF(K463="",1,K463))</f>
        <v/>
      </c>
      <c r="M463" s="34"/>
    </row>
    <row r="464" customFormat="false" ht="15" hidden="false" customHeight="false" outlineLevel="0" collapsed="false">
      <c r="A464" s="34"/>
      <c r="B464" s="35"/>
      <c r="C464" s="36" t="str">
        <f aca="false">IF(B464="","",DATE(YEAR(B464),MONTH(B464),1))</f>
        <v/>
      </c>
      <c r="D464" s="34"/>
      <c r="E464" s="34"/>
      <c r="F464" s="34"/>
      <c r="G464" s="34"/>
      <c r="H464" s="34"/>
      <c r="I464" s="34"/>
      <c r="J464" s="37"/>
      <c r="K464" s="34"/>
      <c r="L464" s="38" t="str">
        <f aca="false">IF(I464="","",I464*N(J464)*IF(K464="",1,K464))</f>
        <v/>
      </c>
      <c r="M464" s="34"/>
    </row>
    <row r="465" customFormat="false" ht="15" hidden="false" customHeight="false" outlineLevel="0" collapsed="false">
      <c r="A465" s="34"/>
      <c r="B465" s="35"/>
      <c r="C465" s="36" t="str">
        <f aca="false">IF(B465="","",DATE(YEAR(B465),MONTH(B465),1))</f>
        <v/>
      </c>
      <c r="D465" s="34"/>
      <c r="E465" s="34"/>
      <c r="F465" s="34"/>
      <c r="G465" s="34"/>
      <c r="H465" s="34"/>
      <c r="I465" s="34"/>
      <c r="J465" s="37"/>
      <c r="K465" s="34"/>
      <c r="L465" s="38" t="str">
        <f aca="false">IF(I465="","",I465*N(J465)*IF(K465="",1,K465))</f>
        <v/>
      </c>
      <c r="M465" s="34"/>
    </row>
    <row r="466" customFormat="false" ht="15" hidden="false" customHeight="false" outlineLevel="0" collapsed="false">
      <c r="A466" s="34"/>
      <c r="B466" s="35"/>
      <c r="C466" s="36" t="str">
        <f aca="false">IF(B466="","",DATE(YEAR(B466),MONTH(B466),1))</f>
        <v/>
      </c>
      <c r="D466" s="34"/>
      <c r="E466" s="34"/>
      <c r="F466" s="34"/>
      <c r="G466" s="34"/>
      <c r="H466" s="34"/>
      <c r="I466" s="34"/>
      <c r="J466" s="37"/>
      <c r="K466" s="34"/>
      <c r="L466" s="38" t="str">
        <f aca="false">IF(I466="","",I466*N(J466)*IF(K466="",1,K466))</f>
        <v/>
      </c>
      <c r="M466" s="34"/>
    </row>
    <row r="467" customFormat="false" ht="15" hidden="false" customHeight="false" outlineLevel="0" collapsed="false">
      <c r="A467" s="34"/>
      <c r="B467" s="35"/>
      <c r="C467" s="36" t="str">
        <f aca="false">IF(B467="","",DATE(YEAR(B467),MONTH(B467),1))</f>
        <v/>
      </c>
      <c r="D467" s="34"/>
      <c r="E467" s="34"/>
      <c r="F467" s="34"/>
      <c r="G467" s="34"/>
      <c r="H467" s="34"/>
      <c r="I467" s="34"/>
      <c r="J467" s="37"/>
      <c r="K467" s="34"/>
      <c r="L467" s="38" t="str">
        <f aca="false">IF(I467="","",I467*N(J467)*IF(K467="",1,K467))</f>
        <v/>
      </c>
      <c r="M467" s="34"/>
    </row>
    <row r="468" customFormat="false" ht="15" hidden="false" customHeight="false" outlineLevel="0" collapsed="false">
      <c r="A468" s="34"/>
      <c r="B468" s="35"/>
      <c r="C468" s="36" t="str">
        <f aca="false">IF(B468="","",DATE(YEAR(B468),MONTH(B468),1))</f>
        <v/>
      </c>
      <c r="D468" s="34"/>
      <c r="E468" s="34"/>
      <c r="F468" s="34"/>
      <c r="G468" s="34"/>
      <c r="H468" s="34"/>
      <c r="I468" s="34"/>
      <c r="J468" s="37"/>
      <c r="K468" s="34"/>
      <c r="L468" s="38" t="str">
        <f aca="false">IF(I468="","",I468*N(J468)*IF(K468="",1,K468))</f>
        <v/>
      </c>
      <c r="M468" s="34"/>
    </row>
    <row r="469" customFormat="false" ht="15" hidden="false" customHeight="false" outlineLevel="0" collapsed="false">
      <c r="A469" s="34"/>
      <c r="B469" s="35"/>
      <c r="C469" s="36" t="str">
        <f aca="false">IF(B469="","",DATE(YEAR(B469),MONTH(B469),1))</f>
        <v/>
      </c>
      <c r="D469" s="34"/>
      <c r="E469" s="34"/>
      <c r="F469" s="34"/>
      <c r="G469" s="34"/>
      <c r="H469" s="34"/>
      <c r="I469" s="34"/>
      <c r="J469" s="37"/>
      <c r="K469" s="34"/>
      <c r="L469" s="38" t="str">
        <f aca="false">IF(I469="","",I469*N(J469)*IF(K469="",1,K469))</f>
        <v/>
      </c>
      <c r="M469" s="34"/>
    </row>
    <row r="470" customFormat="false" ht="15" hidden="false" customHeight="false" outlineLevel="0" collapsed="false">
      <c r="A470" s="34"/>
      <c r="B470" s="35"/>
      <c r="C470" s="36" t="str">
        <f aca="false">IF(B470="","",DATE(YEAR(B470),MONTH(B470),1))</f>
        <v/>
      </c>
      <c r="D470" s="34"/>
      <c r="E470" s="34"/>
      <c r="F470" s="34"/>
      <c r="G470" s="34"/>
      <c r="H470" s="34"/>
      <c r="I470" s="34"/>
      <c r="J470" s="37"/>
      <c r="K470" s="34"/>
      <c r="L470" s="38" t="str">
        <f aca="false">IF(I470="","",I470*N(J470)*IF(K470="",1,K470))</f>
        <v/>
      </c>
      <c r="M470" s="34"/>
    </row>
    <row r="471" customFormat="false" ht="15" hidden="false" customHeight="false" outlineLevel="0" collapsed="false">
      <c r="A471" s="34"/>
      <c r="B471" s="35"/>
      <c r="C471" s="36" t="str">
        <f aca="false">IF(B471="","",DATE(YEAR(B471),MONTH(B471),1))</f>
        <v/>
      </c>
      <c r="D471" s="34"/>
      <c r="E471" s="34"/>
      <c r="F471" s="34"/>
      <c r="G471" s="34"/>
      <c r="H471" s="34"/>
      <c r="I471" s="34"/>
      <c r="J471" s="37"/>
      <c r="K471" s="34"/>
      <c r="L471" s="38" t="str">
        <f aca="false">IF(I471="","",I471*N(J471)*IF(K471="",1,K471))</f>
        <v/>
      </c>
      <c r="M471" s="34"/>
    </row>
    <row r="472" customFormat="false" ht="15" hidden="false" customHeight="false" outlineLevel="0" collapsed="false">
      <c r="A472" s="34"/>
      <c r="B472" s="35"/>
      <c r="C472" s="36" t="str">
        <f aca="false">IF(B472="","",DATE(YEAR(B472),MONTH(B472),1))</f>
        <v/>
      </c>
      <c r="D472" s="34"/>
      <c r="E472" s="34"/>
      <c r="F472" s="34"/>
      <c r="G472" s="34"/>
      <c r="H472" s="34"/>
      <c r="I472" s="34"/>
      <c r="J472" s="37"/>
      <c r="K472" s="34"/>
      <c r="L472" s="38" t="str">
        <f aca="false">IF(I472="","",I472*N(J472)*IF(K472="",1,K472))</f>
        <v/>
      </c>
      <c r="M472" s="34"/>
    </row>
    <row r="473" customFormat="false" ht="15" hidden="false" customHeight="false" outlineLevel="0" collapsed="false">
      <c r="A473" s="34"/>
      <c r="B473" s="35"/>
      <c r="C473" s="36" t="str">
        <f aca="false">IF(B473="","",DATE(YEAR(B473),MONTH(B473),1))</f>
        <v/>
      </c>
      <c r="D473" s="34"/>
      <c r="E473" s="34"/>
      <c r="F473" s="34"/>
      <c r="G473" s="34"/>
      <c r="H473" s="34"/>
      <c r="I473" s="34"/>
      <c r="J473" s="37"/>
      <c r="K473" s="34"/>
      <c r="L473" s="38" t="str">
        <f aca="false">IF(I473="","",I473*N(J473)*IF(K473="",1,K473))</f>
        <v/>
      </c>
      <c r="M473" s="34"/>
    </row>
    <row r="474" customFormat="false" ht="15" hidden="false" customHeight="false" outlineLevel="0" collapsed="false">
      <c r="A474" s="34"/>
      <c r="B474" s="35"/>
      <c r="C474" s="36" t="str">
        <f aca="false">IF(B474="","",DATE(YEAR(B474),MONTH(B474),1))</f>
        <v/>
      </c>
      <c r="D474" s="34"/>
      <c r="E474" s="34"/>
      <c r="F474" s="34"/>
      <c r="G474" s="34"/>
      <c r="H474" s="34"/>
      <c r="I474" s="34"/>
      <c r="J474" s="37"/>
      <c r="K474" s="34"/>
      <c r="L474" s="38" t="str">
        <f aca="false">IF(I474="","",I474*N(J474)*IF(K474="",1,K474))</f>
        <v/>
      </c>
      <c r="M474" s="34"/>
    </row>
    <row r="475" customFormat="false" ht="15" hidden="false" customHeight="false" outlineLevel="0" collapsed="false">
      <c r="A475" s="34"/>
      <c r="B475" s="35"/>
      <c r="C475" s="36" t="str">
        <f aca="false">IF(B475="","",DATE(YEAR(B475),MONTH(B475),1))</f>
        <v/>
      </c>
      <c r="D475" s="34"/>
      <c r="E475" s="34"/>
      <c r="F475" s="34"/>
      <c r="G475" s="34"/>
      <c r="H475" s="34"/>
      <c r="I475" s="34"/>
      <c r="J475" s="37"/>
      <c r="K475" s="34"/>
      <c r="L475" s="38" t="str">
        <f aca="false">IF(I475="","",I475*N(J475)*IF(K475="",1,K475))</f>
        <v/>
      </c>
      <c r="M475" s="34"/>
    </row>
    <row r="476" customFormat="false" ht="15" hidden="false" customHeight="false" outlineLevel="0" collapsed="false">
      <c r="A476" s="34"/>
      <c r="B476" s="35"/>
      <c r="C476" s="36" t="str">
        <f aca="false">IF(B476="","",DATE(YEAR(B476),MONTH(B476),1))</f>
        <v/>
      </c>
      <c r="D476" s="34"/>
      <c r="E476" s="34"/>
      <c r="F476" s="34"/>
      <c r="G476" s="34"/>
      <c r="H476" s="34"/>
      <c r="I476" s="34"/>
      <c r="J476" s="37"/>
      <c r="K476" s="34"/>
      <c r="L476" s="38" t="str">
        <f aca="false">IF(I476="","",I476*N(J476)*IF(K476="",1,K476))</f>
        <v/>
      </c>
      <c r="M476" s="34"/>
    </row>
    <row r="477" customFormat="false" ht="15" hidden="false" customHeight="false" outlineLevel="0" collapsed="false">
      <c r="A477" s="34"/>
      <c r="B477" s="35"/>
      <c r="C477" s="36" t="str">
        <f aca="false">IF(B477="","",DATE(YEAR(B477),MONTH(B477),1))</f>
        <v/>
      </c>
      <c r="D477" s="34"/>
      <c r="E477" s="34"/>
      <c r="F477" s="34"/>
      <c r="G477" s="34"/>
      <c r="H477" s="34"/>
      <c r="I477" s="34"/>
      <c r="J477" s="37"/>
      <c r="K477" s="34"/>
      <c r="L477" s="38" t="str">
        <f aca="false">IF(I477="","",I477*N(J477)*IF(K477="",1,K477))</f>
        <v/>
      </c>
      <c r="M477" s="34"/>
    </row>
    <row r="478" customFormat="false" ht="15" hidden="false" customHeight="false" outlineLevel="0" collapsed="false">
      <c r="A478" s="34"/>
      <c r="B478" s="35"/>
      <c r="C478" s="36" t="str">
        <f aca="false">IF(B478="","",DATE(YEAR(B478),MONTH(B478),1))</f>
        <v/>
      </c>
      <c r="D478" s="34"/>
      <c r="E478" s="34"/>
      <c r="F478" s="34"/>
      <c r="G478" s="34"/>
      <c r="H478" s="34"/>
      <c r="I478" s="34"/>
      <c r="J478" s="37"/>
      <c r="K478" s="34"/>
      <c r="L478" s="38" t="str">
        <f aca="false">IF(I478="","",I478*N(J478)*IF(K478="",1,K478))</f>
        <v/>
      </c>
      <c r="M478" s="34"/>
    </row>
    <row r="479" customFormat="false" ht="15" hidden="false" customHeight="false" outlineLevel="0" collapsed="false">
      <c r="A479" s="34"/>
      <c r="B479" s="35"/>
      <c r="C479" s="36" t="str">
        <f aca="false">IF(B479="","",DATE(YEAR(B479),MONTH(B479),1))</f>
        <v/>
      </c>
      <c r="D479" s="34"/>
      <c r="E479" s="34"/>
      <c r="F479" s="34"/>
      <c r="G479" s="34"/>
      <c r="H479" s="34"/>
      <c r="I479" s="34"/>
      <c r="J479" s="37"/>
      <c r="K479" s="34"/>
      <c r="L479" s="38" t="str">
        <f aca="false">IF(I479="","",I479*N(J479)*IF(K479="",1,K479))</f>
        <v/>
      </c>
      <c r="M479" s="34"/>
    </row>
    <row r="480" customFormat="false" ht="15" hidden="false" customHeight="false" outlineLevel="0" collapsed="false">
      <c r="A480" s="34"/>
      <c r="B480" s="35"/>
      <c r="C480" s="36" t="str">
        <f aca="false">IF(B480="","",DATE(YEAR(B480),MONTH(B480),1))</f>
        <v/>
      </c>
      <c r="D480" s="34"/>
      <c r="E480" s="34"/>
      <c r="F480" s="34"/>
      <c r="G480" s="34"/>
      <c r="H480" s="34"/>
      <c r="I480" s="34"/>
      <c r="J480" s="37"/>
      <c r="K480" s="34"/>
      <c r="L480" s="38" t="str">
        <f aca="false">IF(I480="","",I480*N(J480)*IF(K480="",1,K480))</f>
        <v/>
      </c>
      <c r="M480" s="34"/>
    </row>
    <row r="481" customFormat="false" ht="15" hidden="false" customHeight="false" outlineLevel="0" collapsed="false">
      <c r="A481" s="34"/>
      <c r="B481" s="35"/>
      <c r="C481" s="36" t="str">
        <f aca="false">IF(B481="","",DATE(YEAR(B481),MONTH(B481),1))</f>
        <v/>
      </c>
      <c r="D481" s="34"/>
      <c r="E481" s="34"/>
      <c r="F481" s="34"/>
      <c r="G481" s="34"/>
      <c r="H481" s="34"/>
      <c r="I481" s="34"/>
      <c r="J481" s="37"/>
      <c r="K481" s="34"/>
      <c r="L481" s="38" t="str">
        <f aca="false">IF(I481="","",I481*N(J481)*IF(K481="",1,K481))</f>
        <v/>
      </c>
      <c r="M481" s="34"/>
    </row>
    <row r="482" customFormat="false" ht="15" hidden="false" customHeight="false" outlineLevel="0" collapsed="false">
      <c r="A482" s="34"/>
      <c r="B482" s="35"/>
      <c r="C482" s="36" t="str">
        <f aca="false">IF(B482="","",DATE(YEAR(B482),MONTH(B482),1))</f>
        <v/>
      </c>
      <c r="D482" s="34"/>
      <c r="E482" s="34"/>
      <c r="F482" s="34"/>
      <c r="G482" s="34"/>
      <c r="H482" s="34"/>
      <c r="I482" s="34"/>
      <c r="J482" s="37"/>
      <c r="K482" s="34"/>
      <c r="L482" s="38" t="str">
        <f aca="false">IF(I482="","",I482*N(J482)*IF(K482="",1,K482))</f>
        <v/>
      </c>
      <c r="M482" s="34"/>
    </row>
    <row r="483" customFormat="false" ht="15" hidden="false" customHeight="false" outlineLevel="0" collapsed="false">
      <c r="A483" s="34"/>
      <c r="B483" s="35"/>
      <c r="C483" s="36" t="str">
        <f aca="false">IF(B483="","",DATE(YEAR(B483),MONTH(B483),1))</f>
        <v/>
      </c>
      <c r="D483" s="34"/>
      <c r="E483" s="34"/>
      <c r="F483" s="34"/>
      <c r="G483" s="34"/>
      <c r="H483" s="34"/>
      <c r="I483" s="34"/>
      <c r="J483" s="37"/>
      <c r="K483" s="34"/>
      <c r="L483" s="38" t="str">
        <f aca="false">IF(I483="","",I483*N(J483)*IF(K483="",1,K483))</f>
        <v/>
      </c>
      <c r="M483" s="34"/>
    </row>
    <row r="484" customFormat="false" ht="15" hidden="false" customHeight="false" outlineLevel="0" collapsed="false">
      <c r="A484" s="34"/>
      <c r="B484" s="35"/>
      <c r="C484" s="36" t="str">
        <f aca="false">IF(B484="","",DATE(YEAR(B484),MONTH(B484),1))</f>
        <v/>
      </c>
      <c r="D484" s="34"/>
      <c r="E484" s="34"/>
      <c r="F484" s="34"/>
      <c r="G484" s="34"/>
      <c r="H484" s="34"/>
      <c r="I484" s="34"/>
      <c r="J484" s="37"/>
      <c r="K484" s="34"/>
      <c r="L484" s="38" t="str">
        <f aca="false">IF(I484="","",I484*N(J484)*IF(K484="",1,K484))</f>
        <v/>
      </c>
      <c r="M484" s="34"/>
    </row>
    <row r="485" customFormat="false" ht="15" hidden="false" customHeight="false" outlineLevel="0" collapsed="false">
      <c r="A485" s="34"/>
      <c r="B485" s="35"/>
      <c r="C485" s="36" t="str">
        <f aca="false">IF(B485="","",DATE(YEAR(B485),MONTH(B485),1))</f>
        <v/>
      </c>
      <c r="D485" s="34"/>
      <c r="E485" s="34"/>
      <c r="F485" s="34"/>
      <c r="G485" s="34"/>
      <c r="H485" s="34"/>
      <c r="I485" s="34"/>
      <c r="J485" s="37"/>
      <c r="K485" s="34"/>
      <c r="L485" s="38" t="str">
        <f aca="false">IF(I485="","",I485*N(J485)*IF(K485="",1,K485))</f>
        <v/>
      </c>
      <c r="M485" s="34"/>
    </row>
    <row r="486" customFormat="false" ht="15" hidden="false" customHeight="false" outlineLevel="0" collapsed="false">
      <c r="A486" s="34"/>
      <c r="B486" s="35"/>
      <c r="C486" s="36" t="str">
        <f aca="false">IF(B486="","",DATE(YEAR(B486),MONTH(B486),1))</f>
        <v/>
      </c>
      <c r="D486" s="34"/>
      <c r="E486" s="34"/>
      <c r="F486" s="34"/>
      <c r="G486" s="34"/>
      <c r="H486" s="34"/>
      <c r="I486" s="34"/>
      <c r="J486" s="37"/>
      <c r="K486" s="34"/>
      <c r="L486" s="38" t="str">
        <f aca="false">IF(I486="","",I486*N(J486)*IF(K486="",1,K486))</f>
        <v/>
      </c>
      <c r="M486" s="34"/>
    </row>
    <row r="487" customFormat="false" ht="15" hidden="false" customHeight="false" outlineLevel="0" collapsed="false">
      <c r="A487" s="34"/>
      <c r="B487" s="35"/>
      <c r="C487" s="36" t="str">
        <f aca="false">IF(B487="","",DATE(YEAR(B487),MONTH(B487),1))</f>
        <v/>
      </c>
      <c r="D487" s="34"/>
      <c r="E487" s="34"/>
      <c r="F487" s="34"/>
      <c r="G487" s="34"/>
      <c r="H487" s="34"/>
      <c r="I487" s="34"/>
      <c r="J487" s="37"/>
      <c r="K487" s="34"/>
      <c r="L487" s="38" t="str">
        <f aca="false">IF(I487="","",I487*N(J487)*IF(K487="",1,K487))</f>
        <v/>
      </c>
      <c r="M487" s="34"/>
    </row>
    <row r="488" customFormat="false" ht="15" hidden="false" customHeight="false" outlineLevel="0" collapsed="false">
      <c r="A488" s="34"/>
      <c r="B488" s="35"/>
      <c r="C488" s="36" t="str">
        <f aca="false">IF(B488="","",DATE(YEAR(B488),MONTH(B488),1))</f>
        <v/>
      </c>
      <c r="D488" s="34"/>
      <c r="E488" s="34"/>
      <c r="F488" s="34"/>
      <c r="G488" s="34"/>
      <c r="H488" s="34"/>
      <c r="I488" s="34"/>
      <c r="J488" s="37"/>
      <c r="K488" s="34"/>
      <c r="L488" s="38" t="str">
        <f aca="false">IF(I488="","",I488*N(J488)*IF(K488="",1,K488))</f>
        <v/>
      </c>
      <c r="M488" s="34"/>
    </row>
    <row r="489" customFormat="false" ht="15" hidden="false" customHeight="false" outlineLevel="0" collapsed="false">
      <c r="A489" s="34"/>
      <c r="B489" s="35"/>
      <c r="C489" s="36" t="str">
        <f aca="false">IF(B489="","",DATE(YEAR(B489),MONTH(B489),1))</f>
        <v/>
      </c>
      <c r="D489" s="34"/>
      <c r="E489" s="34"/>
      <c r="F489" s="34"/>
      <c r="G489" s="34"/>
      <c r="H489" s="34"/>
      <c r="I489" s="34"/>
      <c r="J489" s="37"/>
      <c r="K489" s="34"/>
      <c r="L489" s="38" t="str">
        <f aca="false">IF(I489="","",I489*N(J489)*IF(K489="",1,K489))</f>
        <v/>
      </c>
      <c r="M489" s="34"/>
    </row>
    <row r="490" customFormat="false" ht="15" hidden="false" customHeight="false" outlineLevel="0" collapsed="false">
      <c r="A490" s="34"/>
      <c r="B490" s="35"/>
      <c r="C490" s="36" t="str">
        <f aca="false">IF(B490="","",DATE(YEAR(B490),MONTH(B490),1))</f>
        <v/>
      </c>
      <c r="D490" s="34"/>
      <c r="E490" s="34"/>
      <c r="F490" s="34"/>
      <c r="G490" s="34"/>
      <c r="H490" s="34"/>
      <c r="I490" s="34"/>
      <c r="J490" s="37"/>
      <c r="K490" s="34"/>
      <c r="L490" s="38" t="str">
        <f aca="false">IF(I490="","",I490*N(J490)*IF(K490="",1,K490))</f>
        <v/>
      </c>
      <c r="M490" s="34"/>
    </row>
    <row r="491" customFormat="false" ht="15" hidden="false" customHeight="false" outlineLevel="0" collapsed="false">
      <c r="A491" s="34"/>
      <c r="B491" s="35"/>
      <c r="C491" s="36" t="str">
        <f aca="false">IF(B491="","",DATE(YEAR(B491),MONTH(B491),1))</f>
        <v/>
      </c>
      <c r="D491" s="34"/>
      <c r="E491" s="34"/>
      <c r="F491" s="34"/>
      <c r="G491" s="34"/>
      <c r="H491" s="34"/>
      <c r="I491" s="34"/>
      <c r="J491" s="37"/>
      <c r="K491" s="34"/>
      <c r="L491" s="38" t="str">
        <f aca="false">IF(I491="","",I491*N(J491)*IF(K491="",1,K491))</f>
        <v/>
      </c>
      <c r="M491" s="34"/>
    </row>
    <row r="492" customFormat="false" ht="15" hidden="false" customHeight="false" outlineLevel="0" collapsed="false">
      <c r="A492" s="34"/>
      <c r="B492" s="35"/>
      <c r="C492" s="36" t="str">
        <f aca="false">IF(B492="","",DATE(YEAR(B492),MONTH(B492),1))</f>
        <v/>
      </c>
      <c r="D492" s="34"/>
      <c r="E492" s="34"/>
      <c r="F492" s="34"/>
      <c r="G492" s="34"/>
      <c r="H492" s="34"/>
      <c r="I492" s="34"/>
      <c r="J492" s="37"/>
      <c r="K492" s="34"/>
      <c r="L492" s="38" t="str">
        <f aca="false">IF(I492="","",I492*N(J492)*IF(K492="",1,K492))</f>
        <v/>
      </c>
      <c r="M492" s="34"/>
    </row>
    <row r="493" customFormat="false" ht="15" hidden="false" customHeight="false" outlineLevel="0" collapsed="false">
      <c r="A493" s="34"/>
      <c r="B493" s="35"/>
      <c r="C493" s="36" t="str">
        <f aca="false">IF(B493="","",DATE(YEAR(B493),MONTH(B493),1))</f>
        <v/>
      </c>
      <c r="D493" s="34"/>
      <c r="E493" s="34"/>
      <c r="F493" s="34"/>
      <c r="G493" s="34"/>
      <c r="H493" s="34"/>
      <c r="I493" s="34"/>
      <c r="J493" s="37"/>
      <c r="K493" s="34"/>
      <c r="L493" s="38" t="str">
        <f aca="false">IF(I493="","",I493*N(J493)*IF(K493="",1,K493))</f>
        <v/>
      </c>
      <c r="M493" s="34"/>
    </row>
    <row r="494" customFormat="false" ht="15" hidden="false" customHeight="false" outlineLevel="0" collapsed="false">
      <c r="A494" s="34"/>
      <c r="B494" s="35"/>
      <c r="C494" s="36" t="str">
        <f aca="false">IF(B494="","",DATE(YEAR(B494),MONTH(B494),1))</f>
        <v/>
      </c>
      <c r="D494" s="34"/>
      <c r="E494" s="34"/>
      <c r="F494" s="34"/>
      <c r="G494" s="34"/>
      <c r="H494" s="34"/>
      <c r="I494" s="34"/>
      <c r="J494" s="37"/>
      <c r="K494" s="34"/>
      <c r="L494" s="38" t="str">
        <f aca="false">IF(I494="","",I494*N(J494)*IF(K494="",1,K494))</f>
        <v/>
      </c>
      <c r="M494" s="34"/>
    </row>
    <row r="495" customFormat="false" ht="15" hidden="false" customHeight="false" outlineLevel="0" collapsed="false">
      <c r="A495" s="34"/>
      <c r="B495" s="35"/>
      <c r="C495" s="36" t="str">
        <f aca="false">IF(B495="","",DATE(YEAR(B495),MONTH(B495),1))</f>
        <v/>
      </c>
      <c r="D495" s="34"/>
      <c r="E495" s="34"/>
      <c r="F495" s="34"/>
      <c r="G495" s="34"/>
      <c r="H495" s="34"/>
      <c r="I495" s="34"/>
      <c r="J495" s="37"/>
      <c r="K495" s="34"/>
      <c r="L495" s="38" t="str">
        <f aca="false">IF(I495="","",I495*N(J495)*IF(K495="",1,K495))</f>
        <v/>
      </c>
      <c r="M495" s="34"/>
    </row>
    <row r="496" customFormat="false" ht="15" hidden="false" customHeight="false" outlineLevel="0" collapsed="false">
      <c r="A496" s="34"/>
      <c r="B496" s="35"/>
      <c r="C496" s="36" t="str">
        <f aca="false">IF(B496="","",DATE(YEAR(B496),MONTH(B496),1))</f>
        <v/>
      </c>
      <c r="D496" s="34"/>
      <c r="E496" s="34"/>
      <c r="F496" s="34"/>
      <c r="G496" s="34"/>
      <c r="H496" s="34"/>
      <c r="I496" s="34"/>
      <c r="J496" s="37"/>
      <c r="K496" s="34"/>
      <c r="L496" s="38" t="str">
        <f aca="false">IF(I496="","",I496*N(J496)*IF(K496="",1,K496))</f>
        <v/>
      </c>
      <c r="M496" s="34"/>
    </row>
    <row r="497" customFormat="false" ht="15" hidden="false" customHeight="false" outlineLevel="0" collapsed="false">
      <c r="A497" s="34"/>
      <c r="B497" s="35"/>
      <c r="C497" s="36" t="str">
        <f aca="false">IF(B497="","",DATE(YEAR(B497),MONTH(B497),1))</f>
        <v/>
      </c>
      <c r="D497" s="34"/>
      <c r="E497" s="34"/>
      <c r="F497" s="34"/>
      <c r="G497" s="34"/>
      <c r="H497" s="34"/>
      <c r="I497" s="34"/>
      <c r="J497" s="37"/>
      <c r="K497" s="34"/>
      <c r="L497" s="38" t="str">
        <f aca="false">IF(I497="","",I497*N(J497)*IF(K497="",1,K497))</f>
        <v/>
      </c>
      <c r="M497" s="34"/>
    </row>
    <row r="498" customFormat="false" ht="15" hidden="false" customHeight="false" outlineLevel="0" collapsed="false">
      <c r="A498" s="34"/>
      <c r="B498" s="35"/>
      <c r="C498" s="36" t="str">
        <f aca="false">IF(B498="","",DATE(YEAR(B498),MONTH(B498),1))</f>
        <v/>
      </c>
      <c r="D498" s="34"/>
      <c r="E498" s="34"/>
      <c r="F498" s="34"/>
      <c r="G498" s="34"/>
      <c r="H498" s="34"/>
      <c r="I498" s="34"/>
      <c r="J498" s="37"/>
      <c r="K498" s="34"/>
      <c r="L498" s="38" t="str">
        <f aca="false">IF(I498="","",I498*N(J498)*IF(K498="",1,K498))</f>
        <v/>
      </c>
      <c r="M498" s="34"/>
    </row>
    <row r="499" customFormat="false" ht="15" hidden="false" customHeight="false" outlineLevel="0" collapsed="false">
      <c r="A499" s="34"/>
      <c r="B499" s="35"/>
      <c r="C499" s="36" t="str">
        <f aca="false">IF(B499="","",DATE(YEAR(B499),MONTH(B499),1))</f>
        <v/>
      </c>
      <c r="D499" s="34"/>
      <c r="E499" s="34"/>
      <c r="F499" s="34"/>
      <c r="G499" s="34"/>
      <c r="H499" s="34"/>
      <c r="I499" s="34"/>
      <c r="J499" s="37"/>
      <c r="K499" s="34"/>
      <c r="L499" s="38" t="str">
        <f aca="false">IF(I499="","",I499*N(J499)*IF(K499="",1,K499))</f>
        <v/>
      </c>
      <c r="M499" s="34"/>
    </row>
    <row r="500" customFormat="false" ht="15" hidden="false" customHeight="false" outlineLevel="0" collapsed="false">
      <c r="A500" s="34"/>
      <c r="B500" s="35"/>
      <c r="C500" s="36" t="str">
        <f aca="false">IF(B500="","",DATE(YEAR(B500),MONTH(B500),1))</f>
        <v/>
      </c>
      <c r="D500" s="34"/>
      <c r="E500" s="34"/>
      <c r="F500" s="34"/>
      <c r="G500" s="34"/>
      <c r="H500" s="34"/>
      <c r="I500" s="34"/>
      <c r="J500" s="37"/>
      <c r="K500" s="34"/>
      <c r="L500" s="38" t="str">
        <f aca="false">IF(I500="","",I500*N(J500)*IF(K500="",1,K500))</f>
        <v/>
      </c>
      <c r="M500" s="34"/>
    </row>
    <row r="501" customFormat="false" ht="15" hidden="false" customHeight="false" outlineLevel="0" collapsed="false">
      <c r="A501" s="34"/>
      <c r="B501" s="35"/>
      <c r="C501" s="36" t="str">
        <f aca="false">IF(B501="","",DATE(YEAR(B501),MONTH(B501),1))</f>
        <v/>
      </c>
      <c r="D501" s="34"/>
      <c r="E501" s="34"/>
      <c r="F501" s="34"/>
      <c r="G501" s="34"/>
      <c r="H501" s="34"/>
      <c r="I501" s="34"/>
      <c r="J501" s="37"/>
      <c r="K501" s="34"/>
      <c r="L501" s="38" t="str">
        <f aca="false">IF(I501="","",I501*N(J501)*IF(K501="",1,K501))</f>
        <v/>
      </c>
      <c r="M501" s="34"/>
    </row>
    <row r="502" customFormat="false" ht="15" hidden="false" customHeight="false" outlineLevel="0" collapsed="false">
      <c r="A502" s="34"/>
      <c r="B502" s="35"/>
      <c r="C502" s="36" t="str">
        <f aca="false">IF(B502="","",DATE(YEAR(B502),MONTH(B502),1))</f>
        <v/>
      </c>
      <c r="D502" s="34"/>
      <c r="E502" s="34"/>
      <c r="F502" s="34"/>
      <c r="G502" s="34"/>
      <c r="H502" s="34"/>
      <c r="I502" s="34"/>
      <c r="J502" s="37"/>
      <c r="K502" s="34"/>
      <c r="L502" s="38" t="str">
        <f aca="false">IF(I502="","",I502*N(J502)*IF(K502="",1,K502))</f>
        <v/>
      </c>
      <c r="M502" s="34"/>
    </row>
    <row r="503" customFormat="false" ht="15" hidden="false" customHeight="false" outlineLevel="0" collapsed="false">
      <c r="A503" s="34"/>
      <c r="B503" s="35"/>
      <c r="C503" s="36" t="str">
        <f aca="false">IF(B503="","",DATE(YEAR(B503),MONTH(B503),1))</f>
        <v/>
      </c>
      <c r="D503" s="34"/>
      <c r="E503" s="34"/>
      <c r="F503" s="34"/>
      <c r="G503" s="34"/>
      <c r="H503" s="34"/>
      <c r="I503" s="34"/>
      <c r="J503" s="37"/>
      <c r="K503" s="34"/>
      <c r="L503" s="38" t="str">
        <f aca="false">IF(I503="","",I503*N(J503)*IF(K503="",1,K503))</f>
        <v/>
      </c>
      <c r="M503" s="34"/>
    </row>
    <row r="504" customFormat="false" ht="15" hidden="false" customHeight="false" outlineLevel="0" collapsed="false">
      <c r="A504" s="34"/>
      <c r="B504" s="35"/>
      <c r="C504" s="36" t="str">
        <f aca="false">IF(B504="","",DATE(YEAR(B504),MONTH(B504),1))</f>
        <v/>
      </c>
      <c r="D504" s="34"/>
      <c r="E504" s="34"/>
      <c r="F504" s="34"/>
      <c r="G504" s="34"/>
      <c r="H504" s="34"/>
      <c r="I504" s="34"/>
      <c r="J504" s="37"/>
      <c r="K504" s="34"/>
      <c r="L504" s="38" t="str">
        <f aca="false">IF(I504="","",I504*N(J504)*IF(K504="",1,K504))</f>
        <v/>
      </c>
      <c r="M504" s="34"/>
    </row>
    <row r="505" customFormat="false" ht="15" hidden="false" customHeight="false" outlineLevel="0" collapsed="false">
      <c r="A505" s="34"/>
      <c r="B505" s="35"/>
      <c r="C505" s="36" t="str">
        <f aca="false">IF(B505="","",DATE(YEAR(B505),MONTH(B505),1))</f>
        <v/>
      </c>
      <c r="D505" s="34"/>
      <c r="E505" s="34"/>
      <c r="F505" s="34"/>
      <c r="G505" s="34"/>
      <c r="H505" s="34"/>
      <c r="I505" s="34"/>
      <c r="J505" s="37"/>
      <c r="K505" s="34"/>
      <c r="L505" s="38" t="str">
        <f aca="false">IF(I505="","",I505*N(J505)*IF(K505="",1,K505))</f>
        <v/>
      </c>
      <c r="M505" s="34"/>
    </row>
    <row r="506" customFormat="false" ht="15" hidden="false" customHeight="false" outlineLevel="0" collapsed="false">
      <c r="A506" s="34"/>
      <c r="B506" s="35"/>
      <c r="C506" s="36" t="str">
        <f aca="false">IF(B506="","",DATE(YEAR(B506),MONTH(B506),1))</f>
        <v/>
      </c>
      <c r="D506" s="34"/>
      <c r="E506" s="34"/>
      <c r="F506" s="34"/>
      <c r="G506" s="34"/>
      <c r="H506" s="34"/>
      <c r="I506" s="34"/>
      <c r="J506" s="37"/>
      <c r="K506" s="34"/>
      <c r="L506" s="38" t="str">
        <f aca="false">IF(I506="","",I506*N(J506)*IF(K506="",1,K506))</f>
        <v/>
      </c>
      <c r="M506" s="34"/>
    </row>
    <row r="507" customFormat="false" ht="15" hidden="false" customHeight="false" outlineLevel="0" collapsed="false">
      <c r="A507" s="34"/>
      <c r="B507" s="35"/>
      <c r="C507" s="36" t="str">
        <f aca="false">IF(B507="","",DATE(YEAR(B507),MONTH(B507),1))</f>
        <v/>
      </c>
      <c r="D507" s="34"/>
      <c r="E507" s="34"/>
      <c r="F507" s="34"/>
      <c r="G507" s="34"/>
      <c r="H507" s="34"/>
      <c r="I507" s="34"/>
      <c r="J507" s="37"/>
      <c r="K507" s="34"/>
      <c r="L507" s="38" t="str">
        <f aca="false">IF(I507="","",I507*N(J507)*IF(K507="",1,K507))</f>
        <v/>
      </c>
      <c r="M507" s="34"/>
    </row>
    <row r="508" customFormat="false" ht="15" hidden="false" customHeight="false" outlineLevel="0" collapsed="false">
      <c r="A508" s="34"/>
      <c r="B508" s="35"/>
      <c r="C508" s="36" t="str">
        <f aca="false">IF(B508="","",DATE(YEAR(B508),MONTH(B508),1))</f>
        <v/>
      </c>
      <c r="D508" s="34"/>
      <c r="E508" s="34"/>
      <c r="F508" s="34"/>
      <c r="G508" s="34"/>
      <c r="H508" s="34"/>
      <c r="I508" s="34"/>
      <c r="J508" s="37"/>
      <c r="K508" s="34"/>
      <c r="L508" s="38" t="str">
        <f aca="false">IF(I508="","",I508*N(J508)*IF(K508="",1,K508))</f>
        <v/>
      </c>
      <c r="M508" s="34"/>
    </row>
    <row r="509" customFormat="false" ht="15" hidden="false" customHeight="false" outlineLevel="0" collapsed="false">
      <c r="A509" s="34"/>
      <c r="B509" s="35"/>
      <c r="C509" s="36" t="str">
        <f aca="false">IF(B509="","",DATE(YEAR(B509),MONTH(B509),1))</f>
        <v/>
      </c>
      <c r="D509" s="34"/>
      <c r="E509" s="34"/>
      <c r="F509" s="34"/>
      <c r="G509" s="34"/>
      <c r="H509" s="34"/>
      <c r="I509" s="34"/>
      <c r="J509" s="37"/>
      <c r="K509" s="34"/>
      <c r="L509" s="38" t="str">
        <f aca="false">IF(I509="","",I509*N(J509)*IF(K509="",1,K509))</f>
        <v/>
      </c>
      <c r="M509" s="34"/>
    </row>
    <row r="510" customFormat="false" ht="15" hidden="false" customHeight="false" outlineLevel="0" collapsed="false">
      <c r="A510" s="34"/>
      <c r="B510" s="35"/>
      <c r="C510" s="36" t="str">
        <f aca="false">IF(B510="","",DATE(YEAR(B510),MONTH(B510),1))</f>
        <v/>
      </c>
      <c r="D510" s="34"/>
      <c r="E510" s="34"/>
      <c r="F510" s="34"/>
      <c r="G510" s="34"/>
      <c r="H510" s="34"/>
      <c r="I510" s="34"/>
      <c r="J510" s="37"/>
      <c r="K510" s="34"/>
      <c r="L510" s="38" t="str">
        <f aca="false">IF(I510="","",I510*N(J510)*IF(K510="",1,K510))</f>
        <v/>
      </c>
      <c r="M510" s="34"/>
    </row>
    <row r="511" customFormat="false" ht="15" hidden="false" customHeight="false" outlineLevel="0" collapsed="false">
      <c r="A511" s="34"/>
      <c r="B511" s="35"/>
      <c r="C511" s="36" t="str">
        <f aca="false">IF(B511="","",DATE(YEAR(B511),MONTH(B511),1))</f>
        <v/>
      </c>
      <c r="D511" s="34"/>
      <c r="E511" s="34"/>
      <c r="F511" s="34"/>
      <c r="G511" s="34"/>
      <c r="H511" s="34"/>
      <c r="I511" s="34"/>
      <c r="J511" s="37"/>
      <c r="K511" s="34"/>
      <c r="L511" s="38" t="str">
        <f aca="false">IF(I511="","",I511*N(J511)*IF(K511="",1,K511))</f>
        <v/>
      </c>
      <c r="M511" s="34"/>
    </row>
    <row r="512" customFormat="false" ht="15" hidden="false" customHeight="false" outlineLevel="0" collapsed="false">
      <c r="A512" s="34"/>
      <c r="B512" s="35"/>
      <c r="C512" s="36" t="str">
        <f aca="false">IF(B512="","",DATE(YEAR(B512),MONTH(B512),1))</f>
        <v/>
      </c>
      <c r="D512" s="34"/>
      <c r="E512" s="34"/>
      <c r="F512" s="34"/>
      <c r="G512" s="34"/>
      <c r="H512" s="34"/>
      <c r="I512" s="34"/>
      <c r="J512" s="37"/>
      <c r="K512" s="34"/>
      <c r="L512" s="38" t="str">
        <f aca="false">IF(I512="","",I512*N(J512)*IF(K512="",1,K512))</f>
        <v/>
      </c>
      <c r="M512" s="34"/>
    </row>
    <row r="513" customFormat="false" ht="15" hidden="false" customHeight="false" outlineLevel="0" collapsed="false">
      <c r="A513" s="34"/>
      <c r="B513" s="35"/>
      <c r="C513" s="36" t="str">
        <f aca="false">IF(B513="","",DATE(YEAR(B513),MONTH(B513),1))</f>
        <v/>
      </c>
      <c r="D513" s="34"/>
      <c r="E513" s="34"/>
      <c r="F513" s="34"/>
      <c r="G513" s="34"/>
      <c r="H513" s="34"/>
      <c r="I513" s="34"/>
      <c r="J513" s="37"/>
      <c r="K513" s="34"/>
      <c r="L513" s="38" t="str">
        <f aca="false">IF(I513="","",I513*N(J513)*IF(K513="",1,K513))</f>
        <v/>
      </c>
      <c r="M513" s="34"/>
    </row>
    <row r="514" customFormat="false" ht="15" hidden="false" customHeight="false" outlineLevel="0" collapsed="false">
      <c r="A514" s="34"/>
      <c r="B514" s="35"/>
      <c r="C514" s="36" t="str">
        <f aca="false">IF(B514="","",DATE(YEAR(B514),MONTH(B514),1))</f>
        <v/>
      </c>
      <c r="D514" s="34"/>
      <c r="E514" s="34"/>
      <c r="F514" s="34"/>
      <c r="G514" s="34"/>
      <c r="H514" s="34"/>
      <c r="I514" s="34"/>
      <c r="J514" s="37"/>
      <c r="K514" s="34"/>
      <c r="L514" s="38" t="str">
        <f aca="false">IF(I514="","",I514*N(J514)*IF(K514="",1,K514))</f>
        <v/>
      </c>
      <c r="M514" s="34"/>
    </row>
    <row r="515" customFormat="false" ht="15" hidden="false" customHeight="false" outlineLevel="0" collapsed="false">
      <c r="A515" s="34"/>
      <c r="B515" s="35"/>
      <c r="C515" s="36" t="str">
        <f aca="false">IF(B515="","",DATE(YEAR(B515),MONTH(B515),1))</f>
        <v/>
      </c>
      <c r="D515" s="34"/>
      <c r="E515" s="34"/>
      <c r="F515" s="34"/>
      <c r="G515" s="34"/>
      <c r="H515" s="34"/>
      <c r="I515" s="34"/>
      <c r="J515" s="37"/>
      <c r="K515" s="34"/>
      <c r="L515" s="38" t="str">
        <f aca="false">IF(I515="","",I515*N(J515)*IF(K515="",1,K515))</f>
        <v/>
      </c>
      <c r="M515" s="34"/>
    </row>
    <row r="516" customFormat="false" ht="15" hidden="false" customHeight="false" outlineLevel="0" collapsed="false">
      <c r="A516" s="34"/>
      <c r="B516" s="35"/>
      <c r="C516" s="36" t="str">
        <f aca="false">IF(B516="","",DATE(YEAR(B516),MONTH(B516),1))</f>
        <v/>
      </c>
      <c r="D516" s="34"/>
      <c r="E516" s="34"/>
      <c r="F516" s="34"/>
      <c r="G516" s="34"/>
      <c r="H516" s="34"/>
      <c r="I516" s="34"/>
      <c r="J516" s="37"/>
      <c r="K516" s="34"/>
      <c r="L516" s="38" t="str">
        <f aca="false">IF(I516="","",I516*N(J516)*IF(K516="",1,K516))</f>
        <v/>
      </c>
      <c r="M516" s="34"/>
    </row>
    <row r="517" customFormat="false" ht="15" hidden="false" customHeight="false" outlineLevel="0" collapsed="false">
      <c r="A517" s="34"/>
      <c r="B517" s="35"/>
      <c r="C517" s="36" t="str">
        <f aca="false">IF(B517="","",DATE(YEAR(B517),MONTH(B517),1))</f>
        <v/>
      </c>
      <c r="D517" s="34"/>
      <c r="E517" s="34"/>
      <c r="F517" s="34"/>
      <c r="G517" s="34"/>
      <c r="H517" s="34"/>
      <c r="I517" s="34"/>
      <c r="J517" s="37"/>
      <c r="K517" s="34"/>
      <c r="L517" s="38" t="str">
        <f aca="false">IF(I517="","",I517*N(J517)*IF(K517="",1,K517))</f>
        <v/>
      </c>
      <c r="M517" s="34"/>
    </row>
    <row r="518" customFormat="false" ht="15" hidden="false" customHeight="false" outlineLevel="0" collapsed="false">
      <c r="A518" s="34"/>
      <c r="B518" s="35"/>
      <c r="C518" s="36" t="str">
        <f aca="false">IF(B518="","",DATE(YEAR(B518),MONTH(B518),1))</f>
        <v/>
      </c>
      <c r="D518" s="34"/>
      <c r="E518" s="34"/>
      <c r="F518" s="34"/>
      <c r="G518" s="34"/>
      <c r="H518" s="34"/>
      <c r="I518" s="34"/>
      <c r="J518" s="37"/>
      <c r="K518" s="34"/>
      <c r="L518" s="38" t="str">
        <f aca="false">IF(I518="","",I518*N(J518)*IF(K518="",1,K518))</f>
        <v/>
      </c>
      <c r="M518" s="34"/>
    </row>
    <row r="519" customFormat="false" ht="15" hidden="false" customHeight="false" outlineLevel="0" collapsed="false">
      <c r="A519" s="34"/>
      <c r="B519" s="35"/>
      <c r="C519" s="36" t="str">
        <f aca="false">IF(B519="","",DATE(YEAR(B519),MONTH(B519),1))</f>
        <v/>
      </c>
      <c r="D519" s="34"/>
      <c r="E519" s="34"/>
      <c r="F519" s="34"/>
      <c r="G519" s="34"/>
      <c r="H519" s="34"/>
      <c r="I519" s="34"/>
      <c r="J519" s="37"/>
      <c r="K519" s="34"/>
      <c r="L519" s="38" t="str">
        <f aca="false">IF(I519="","",I519*N(J519)*IF(K519="",1,K519))</f>
        <v/>
      </c>
      <c r="M519" s="34"/>
    </row>
    <row r="520" customFormat="false" ht="15" hidden="false" customHeight="false" outlineLevel="0" collapsed="false">
      <c r="A520" s="34"/>
      <c r="B520" s="35"/>
      <c r="C520" s="36" t="str">
        <f aca="false">IF(B520="","",DATE(YEAR(B520),MONTH(B520),1))</f>
        <v/>
      </c>
      <c r="D520" s="34"/>
      <c r="E520" s="34"/>
      <c r="F520" s="34"/>
      <c r="G520" s="34"/>
      <c r="H520" s="34"/>
      <c r="I520" s="34"/>
      <c r="J520" s="37"/>
      <c r="K520" s="34"/>
      <c r="L520" s="38" t="str">
        <f aca="false">IF(I520="","",I520*N(J520)*IF(K520="",1,K520))</f>
        <v/>
      </c>
      <c r="M520" s="34"/>
    </row>
    <row r="521" customFormat="false" ht="15" hidden="false" customHeight="false" outlineLevel="0" collapsed="false">
      <c r="A521" s="34"/>
      <c r="B521" s="35"/>
      <c r="C521" s="36" t="str">
        <f aca="false">IF(B521="","",DATE(YEAR(B521),MONTH(B521),1))</f>
        <v/>
      </c>
      <c r="D521" s="34"/>
      <c r="E521" s="34"/>
      <c r="F521" s="34"/>
      <c r="G521" s="34"/>
      <c r="H521" s="34"/>
      <c r="I521" s="34"/>
      <c r="J521" s="37"/>
      <c r="K521" s="34"/>
      <c r="L521" s="38" t="str">
        <f aca="false">IF(I521="","",I521*N(J521)*IF(K521="",1,K521))</f>
        <v/>
      </c>
      <c r="M521" s="34"/>
    </row>
    <row r="522" customFormat="false" ht="15" hidden="false" customHeight="false" outlineLevel="0" collapsed="false">
      <c r="A522" s="34"/>
      <c r="B522" s="35"/>
      <c r="C522" s="36" t="str">
        <f aca="false">IF(B522="","",DATE(YEAR(B522),MONTH(B522),1))</f>
        <v/>
      </c>
      <c r="D522" s="34"/>
      <c r="E522" s="34"/>
      <c r="F522" s="34"/>
      <c r="G522" s="34"/>
      <c r="H522" s="34"/>
      <c r="I522" s="34"/>
      <c r="J522" s="37"/>
      <c r="K522" s="34"/>
      <c r="L522" s="38" t="str">
        <f aca="false">IF(I522="","",I522*N(J522)*IF(K522="",1,K522))</f>
        <v/>
      </c>
      <c r="M522" s="34"/>
    </row>
    <row r="523" customFormat="false" ht="15" hidden="false" customHeight="false" outlineLevel="0" collapsed="false">
      <c r="A523" s="34"/>
      <c r="B523" s="35"/>
      <c r="C523" s="36" t="str">
        <f aca="false">IF(B523="","",DATE(YEAR(B523),MONTH(B523),1))</f>
        <v/>
      </c>
      <c r="D523" s="34"/>
      <c r="E523" s="34"/>
      <c r="F523" s="34"/>
      <c r="G523" s="34"/>
      <c r="H523" s="34"/>
      <c r="I523" s="34"/>
      <c r="J523" s="37"/>
      <c r="K523" s="34"/>
      <c r="L523" s="38" t="str">
        <f aca="false">IF(I523="","",I523*N(J523)*IF(K523="",1,K523))</f>
        <v/>
      </c>
      <c r="M523" s="34"/>
    </row>
    <row r="524" customFormat="false" ht="15" hidden="false" customHeight="false" outlineLevel="0" collapsed="false">
      <c r="A524" s="34"/>
      <c r="B524" s="35"/>
      <c r="C524" s="36" t="str">
        <f aca="false">IF(B524="","",DATE(YEAR(B524),MONTH(B524),1))</f>
        <v/>
      </c>
      <c r="D524" s="34"/>
      <c r="E524" s="34"/>
      <c r="F524" s="34"/>
      <c r="G524" s="34"/>
      <c r="H524" s="34"/>
      <c r="I524" s="34"/>
      <c r="J524" s="37"/>
      <c r="K524" s="34"/>
      <c r="L524" s="38" t="str">
        <f aca="false">IF(I524="","",I524*N(J524)*IF(K524="",1,K524))</f>
        <v/>
      </c>
      <c r="M524" s="34"/>
    </row>
    <row r="525" customFormat="false" ht="15" hidden="false" customHeight="false" outlineLevel="0" collapsed="false">
      <c r="A525" s="34"/>
      <c r="B525" s="35"/>
      <c r="C525" s="36" t="str">
        <f aca="false">IF(B525="","",DATE(YEAR(B525),MONTH(B525),1))</f>
        <v/>
      </c>
      <c r="D525" s="34"/>
      <c r="E525" s="34"/>
      <c r="F525" s="34"/>
      <c r="G525" s="34"/>
      <c r="H525" s="34"/>
      <c r="I525" s="34"/>
      <c r="J525" s="37"/>
      <c r="K525" s="34"/>
      <c r="L525" s="38" t="str">
        <f aca="false">IF(I525="","",I525*N(J525)*IF(K525="",1,K525))</f>
        <v/>
      </c>
      <c r="M525" s="34"/>
    </row>
    <row r="526" customFormat="false" ht="15" hidden="false" customHeight="false" outlineLevel="0" collapsed="false">
      <c r="A526" s="34"/>
      <c r="B526" s="35"/>
      <c r="C526" s="36" t="str">
        <f aca="false">IF(B526="","",DATE(YEAR(B526),MONTH(B526),1))</f>
        <v/>
      </c>
      <c r="D526" s="34"/>
      <c r="E526" s="34"/>
      <c r="F526" s="34"/>
      <c r="G526" s="34"/>
      <c r="H526" s="34"/>
      <c r="I526" s="34"/>
      <c r="J526" s="37"/>
      <c r="K526" s="34"/>
      <c r="L526" s="38" t="str">
        <f aca="false">IF(I526="","",I526*N(J526)*IF(K526="",1,K526))</f>
        <v/>
      </c>
      <c r="M526" s="34"/>
    </row>
    <row r="527" customFormat="false" ht="15" hidden="false" customHeight="false" outlineLevel="0" collapsed="false">
      <c r="A527" s="34"/>
      <c r="B527" s="35"/>
      <c r="C527" s="36" t="str">
        <f aca="false">IF(B527="","",DATE(YEAR(B527),MONTH(B527),1))</f>
        <v/>
      </c>
      <c r="D527" s="34"/>
      <c r="E527" s="34"/>
      <c r="F527" s="34"/>
      <c r="G527" s="34"/>
      <c r="H527" s="34"/>
      <c r="I527" s="34"/>
      <c r="J527" s="37"/>
      <c r="K527" s="34"/>
      <c r="L527" s="38" t="str">
        <f aca="false">IF(I527="","",I527*N(J527)*IF(K527="",1,K527))</f>
        <v/>
      </c>
      <c r="M527" s="34"/>
    </row>
    <row r="528" customFormat="false" ht="15" hidden="false" customHeight="false" outlineLevel="0" collapsed="false">
      <c r="A528" s="34"/>
      <c r="B528" s="35"/>
      <c r="C528" s="36" t="str">
        <f aca="false">IF(B528="","",DATE(YEAR(B528),MONTH(B528),1))</f>
        <v/>
      </c>
      <c r="D528" s="34"/>
      <c r="E528" s="34"/>
      <c r="F528" s="34"/>
      <c r="G528" s="34"/>
      <c r="H528" s="34"/>
      <c r="I528" s="34"/>
      <c r="J528" s="37"/>
      <c r="K528" s="34"/>
      <c r="L528" s="38" t="str">
        <f aca="false">IF(I528="","",I528*N(J528)*IF(K528="",1,K528))</f>
        <v/>
      </c>
      <c r="M528" s="34"/>
    </row>
    <row r="529" customFormat="false" ht="15" hidden="false" customHeight="false" outlineLevel="0" collapsed="false">
      <c r="A529" s="34"/>
      <c r="B529" s="35"/>
      <c r="C529" s="36" t="str">
        <f aca="false">IF(B529="","",DATE(YEAR(B529),MONTH(B529),1))</f>
        <v/>
      </c>
      <c r="D529" s="34"/>
      <c r="E529" s="34"/>
      <c r="F529" s="34"/>
      <c r="G529" s="34"/>
      <c r="H529" s="34"/>
      <c r="I529" s="34"/>
      <c r="J529" s="37"/>
      <c r="K529" s="34"/>
      <c r="L529" s="38" t="str">
        <f aca="false">IF(I529="","",I529*N(J529)*IF(K529="",1,K529))</f>
        <v/>
      </c>
      <c r="M529" s="34"/>
    </row>
    <row r="530" customFormat="false" ht="15" hidden="false" customHeight="false" outlineLevel="0" collapsed="false">
      <c r="A530" s="34"/>
      <c r="B530" s="35"/>
      <c r="C530" s="36" t="str">
        <f aca="false">IF(B530="","",DATE(YEAR(B530),MONTH(B530),1))</f>
        <v/>
      </c>
      <c r="D530" s="34"/>
      <c r="E530" s="34"/>
      <c r="F530" s="34"/>
      <c r="G530" s="34"/>
      <c r="H530" s="34"/>
      <c r="I530" s="34"/>
      <c r="J530" s="37"/>
      <c r="K530" s="34"/>
      <c r="L530" s="38" t="str">
        <f aca="false">IF(I530="","",I530*N(J530)*IF(K530="",1,K530))</f>
        <v/>
      </c>
      <c r="M530" s="34"/>
    </row>
    <row r="531" customFormat="false" ht="15" hidden="false" customHeight="false" outlineLevel="0" collapsed="false">
      <c r="A531" s="34"/>
      <c r="B531" s="35"/>
      <c r="C531" s="36" t="str">
        <f aca="false">IF(B531="","",DATE(YEAR(B531),MONTH(B531),1))</f>
        <v/>
      </c>
      <c r="D531" s="34"/>
      <c r="E531" s="34"/>
      <c r="F531" s="34"/>
      <c r="G531" s="34"/>
      <c r="H531" s="34"/>
      <c r="I531" s="34"/>
      <c r="J531" s="37"/>
      <c r="K531" s="34"/>
      <c r="L531" s="38" t="str">
        <f aca="false">IF(I531="","",I531*N(J531)*IF(K531="",1,K531))</f>
        <v/>
      </c>
      <c r="M531" s="34"/>
    </row>
    <row r="532" customFormat="false" ht="15" hidden="false" customHeight="false" outlineLevel="0" collapsed="false">
      <c r="A532" s="34"/>
      <c r="B532" s="35"/>
      <c r="C532" s="36" t="str">
        <f aca="false">IF(B532="","",DATE(YEAR(B532),MONTH(B532),1))</f>
        <v/>
      </c>
      <c r="D532" s="34"/>
      <c r="E532" s="34"/>
      <c r="F532" s="34"/>
      <c r="G532" s="34"/>
      <c r="H532" s="34"/>
      <c r="I532" s="34"/>
      <c r="J532" s="37"/>
      <c r="K532" s="34"/>
      <c r="L532" s="38" t="str">
        <f aca="false">IF(I532="","",I532*N(J532)*IF(K532="",1,K532))</f>
        <v/>
      </c>
      <c r="M532" s="34"/>
    </row>
    <row r="533" customFormat="false" ht="15" hidden="false" customHeight="false" outlineLevel="0" collapsed="false">
      <c r="A533" s="34"/>
      <c r="B533" s="35"/>
      <c r="C533" s="36" t="str">
        <f aca="false">IF(B533="","",DATE(YEAR(B533),MONTH(B533),1))</f>
        <v/>
      </c>
      <c r="D533" s="34"/>
      <c r="E533" s="34"/>
      <c r="F533" s="34"/>
      <c r="G533" s="34"/>
      <c r="H533" s="34"/>
      <c r="I533" s="34"/>
      <c r="J533" s="37"/>
      <c r="K533" s="34"/>
      <c r="L533" s="38" t="str">
        <f aca="false">IF(I533="","",I533*N(J533)*IF(K533="",1,K533))</f>
        <v/>
      </c>
      <c r="M533" s="34"/>
    </row>
    <row r="534" customFormat="false" ht="15" hidden="false" customHeight="false" outlineLevel="0" collapsed="false">
      <c r="A534" s="34"/>
      <c r="B534" s="35"/>
      <c r="C534" s="36" t="str">
        <f aca="false">IF(B534="","",DATE(YEAR(B534),MONTH(B534),1))</f>
        <v/>
      </c>
      <c r="D534" s="34"/>
      <c r="E534" s="34"/>
      <c r="F534" s="34"/>
      <c r="G534" s="34"/>
      <c r="H534" s="34"/>
      <c r="I534" s="34"/>
      <c r="J534" s="37"/>
      <c r="K534" s="34"/>
      <c r="L534" s="38" t="str">
        <f aca="false">IF(I534="","",I534*N(J534)*IF(K534="",1,K534))</f>
        <v/>
      </c>
      <c r="M534" s="34"/>
    </row>
    <row r="535" customFormat="false" ht="15" hidden="false" customHeight="false" outlineLevel="0" collapsed="false">
      <c r="A535" s="34"/>
      <c r="B535" s="35"/>
      <c r="C535" s="36" t="str">
        <f aca="false">IF(B535="","",DATE(YEAR(B535),MONTH(B535),1))</f>
        <v/>
      </c>
      <c r="D535" s="34"/>
      <c r="E535" s="34"/>
      <c r="F535" s="34"/>
      <c r="G535" s="34"/>
      <c r="H535" s="34"/>
      <c r="I535" s="34"/>
      <c r="J535" s="37"/>
      <c r="K535" s="34"/>
      <c r="L535" s="38" t="str">
        <f aca="false">IF(I535="","",I535*N(J535)*IF(K535="",1,K535))</f>
        <v/>
      </c>
      <c r="M535" s="34"/>
    </row>
    <row r="536" customFormat="false" ht="15" hidden="false" customHeight="false" outlineLevel="0" collapsed="false">
      <c r="A536" s="34"/>
      <c r="B536" s="35"/>
      <c r="C536" s="36" t="str">
        <f aca="false">IF(B536="","",DATE(YEAR(B536),MONTH(B536),1))</f>
        <v/>
      </c>
      <c r="D536" s="34"/>
      <c r="E536" s="34"/>
      <c r="F536" s="34"/>
      <c r="G536" s="34"/>
      <c r="H536" s="34"/>
      <c r="I536" s="34"/>
      <c r="J536" s="37"/>
      <c r="K536" s="34"/>
      <c r="L536" s="38" t="str">
        <f aca="false">IF(I536="","",I536*N(J536)*IF(K536="",1,K536))</f>
        <v/>
      </c>
      <c r="M536" s="34"/>
    </row>
    <row r="537" customFormat="false" ht="15" hidden="false" customHeight="false" outlineLevel="0" collapsed="false">
      <c r="A537" s="34"/>
      <c r="B537" s="35"/>
      <c r="C537" s="36" t="str">
        <f aca="false">IF(B537="","",DATE(YEAR(B537),MONTH(B537),1))</f>
        <v/>
      </c>
      <c r="D537" s="34"/>
      <c r="E537" s="34"/>
      <c r="F537" s="34"/>
      <c r="G537" s="34"/>
      <c r="H537" s="34"/>
      <c r="I537" s="34"/>
      <c r="J537" s="37"/>
      <c r="K537" s="34"/>
      <c r="L537" s="38" t="str">
        <f aca="false">IF(I537="","",I537*N(J537)*IF(K537="",1,K537))</f>
        <v/>
      </c>
      <c r="M537" s="34"/>
    </row>
    <row r="538" customFormat="false" ht="15" hidden="false" customHeight="false" outlineLevel="0" collapsed="false">
      <c r="A538" s="34"/>
      <c r="B538" s="35"/>
      <c r="C538" s="36" t="str">
        <f aca="false">IF(B538="","",DATE(YEAR(B538),MONTH(B538),1))</f>
        <v/>
      </c>
      <c r="D538" s="34"/>
      <c r="E538" s="34"/>
      <c r="F538" s="34"/>
      <c r="G538" s="34"/>
      <c r="H538" s="34"/>
      <c r="I538" s="34"/>
      <c r="J538" s="37"/>
      <c r="K538" s="34"/>
      <c r="L538" s="38" t="str">
        <f aca="false">IF(I538="","",I538*N(J538)*IF(K538="",1,K538))</f>
        <v/>
      </c>
      <c r="M538" s="34"/>
    </row>
    <row r="539" customFormat="false" ht="15" hidden="false" customHeight="false" outlineLevel="0" collapsed="false">
      <c r="A539" s="34"/>
      <c r="B539" s="35"/>
      <c r="C539" s="36" t="str">
        <f aca="false">IF(B539="","",DATE(YEAR(B539),MONTH(B539),1))</f>
        <v/>
      </c>
      <c r="D539" s="34"/>
      <c r="E539" s="34"/>
      <c r="F539" s="34"/>
      <c r="G539" s="34"/>
      <c r="H539" s="34"/>
      <c r="I539" s="34"/>
      <c r="J539" s="37"/>
      <c r="K539" s="34"/>
      <c r="L539" s="38" t="str">
        <f aca="false">IF(I539="","",I539*N(J539)*IF(K539="",1,K539))</f>
        <v/>
      </c>
      <c r="M539" s="34"/>
    </row>
    <row r="540" customFormat="false" ht="15" hidden="false" customHeight="false" outlineLevel="0" collapsed="false">
      <c r="A540" s="34"/>
      <c r="B540" s="35"/>
      <c r="C540" s="36" t="str">
        <f aca="false">IF(B540="","",DATE(YEAR(B540),MONTH(B540),1))</f>
        <v/>
      </c>
      <c r="D540" s="34"/>
      <c r="E540" s="34"/>
      <c r="F540" s="34"/>
      <c r="G540" s="34"/>
      <c r="H540" s="34"/>
      <c r="I540" s="34"/>
      <c r="J540" s="37"/>
      <c r="K540" s="34"/>
      <c r="L540" s="38" t="str">
        <f aca="false">IF(I540="","",I540*N(J540)*IF(K540="",1,K540))</f>
        <v/>
      </c>
      <c r="M540" s="34"/>
    </row>
    <row r="541" customFormat="false" ht="15" hidden="false" customHeight="false" outlineLevel="0" collapsed="false">
      <c r="A541" s="34"/>
      <c r="B541" s="35"/>
      <c r="C541" s="36" t="str">
        <f aca="false">IF(B541="","",DATE(YEAR(B541),MONTH(B541),1))</f>
        <v/>
      </c>
      <c r="D541" s="34"/>
      <c r="E541" s="34"/>
      <c r="F541" s="34"/>
      <c r="G541" s="34"/>
      <c r="H541" s="34"/>
      <c r="I541" s="34"/>
      <c r="J541" s="37"/>
      <c r="K541" s="34"/>
      <c r="L541" s="38" t="str">
        <f aca="false">IF(I541="","",I541*N(J541)*IF(K541="",1,K541))</f>
        <v/>
      </c>
      <c r="M541" s="34"/>
    </row>
    <row r="542" customFormat="false" ht="15" hidden="false" customHeight="false" outlineLevel="0" collapsed="false">
      <c r="A542" s="34"/>
      <c r="B542" s="35"/>
      <c r="C542" s="36" t="str">
        <f aca="false">IF(B542="","",DATE(YEAR(B542),MONTH(B542),1))</f>
        <v/>
      </c>
      <c r="D542" s="34"/>
      <c r="E542" s="34"/>
      <c r="F542" s="34"/>
      <c r="G542" s="34"/>
      <c r="H542" s="34"/>
      <c r="I542" s="34"/>
      <c r="J542" s="37"/>
      <c r="K542" s="34"/>
      <c r="L542" s="38" t="str">
        <f aca="false">IF(I542="","",I542*N(J542)*IF(K542="",1,K542))</f>
        <v/>
      </c>
      <c r="M542" s="34"/>
    </row>
    <row r="543" customFormat="false" ht="15" hidden="false" customHeight="false" outlineLevel="0" collapsed="false">
      <c r="A543" s="34"/>
      <c r="B543" s="35"/>
      <c r="C543" s="36" t="str">
        <f aca="false">IF(B543="","",DATE(YEAR(B543),MONTH(B543),1))</f>
        <v/>
      </c>
      <c r="D543" s="34"/>
      <c r="E543" s="34"/>
      <c r="F543" s="34"/>
      <c r="G543" s="34"/>
      <c r="H543" s="34"/>
      <c r="I543" s="34"/>
      <c r="J543" s="37"/>
      <c r="K543" s="34"/>
      <c r="L543" s="38" t="str">
        <f aca="false">IF(I543="","",I543*N(J543)*IF(K543="",1,K543))</f>
        <v/>
      </c>
      <c r="M543" s="34"/>
    </row>
    <row r="544" customFormat="false" ht="15" hidden="false" customHeight="false" outlineLevel="0" collapsed="false">
      <c r="A544" s="34"/>
      <c r="B544" s="35"/>
      <c r="C544" s="36" t="str">
        <f aca="false">IF(B544="","",DATE(YEAR(B544),MONTH(B544),1))</f>
        <v/>
      </c>
      <c r="D544" s="34"/>
      <c r="E544" s="34"/>
      <c r="F544" s="34"/>
      <c r="G544" s="34"/>
      <c r="H544" s="34"/>
      <c r="I544" s="34"/>
      <c r="J544" s="37"/>
      <c r="K544" s="34"/>
      <c r="L544" s="38" t="str">
        <f aca="false">IF(I544="","",I544*N(J544)*IF(K544="",1,K544))</f>
        <v/>
      </c>
      <c r="M544" s="34"/>
    </row>
    <row r="545" customFormat="false" ht="15" hidden="false" customHeight="false" outlineLevel="0" collapsed="false">
      <c r="A545" s="34"/>
      <c r="B545" s="35"/>
      <c r="C545" s="36" t="str">
        <f aca="false">IF(B545="","",DATE(YEAR(B545),MONTH(B545),1))</f>
        <v/>
      </c>
      <c r="D545" s="34"/>
      <c r="E545" s="34"/>
      <c r="F545" s="34"/>
      <c r="G545" s="34"/>
      <c r="H545" s="34"/>
      <c r="I545" s="34"/>
      <c r="J545" s="37"/>
      <c r="K545" s="34"/>
      <c r="L545" s="38" t="str">
        <f aca="false">IF(I545="","",I545*N(J545)*IF(K545="",1,K545))</f>
        <v/>
      </c>
      <c r="M545" s="34"/>
    </row>
    <row r="546" customFormat="false" ht="15" hidden="false" customHeight="false" outlineLevel="0" collapsed="false">
      <c r="A546" s="34"/>
      <c r="B546" s="35"/>
      <c r="C546" s="36" t="str">
        <f aca="false">IF(B546="","",DATE(YEAR(B546),MONTH(B546),1))</f>
        <v/>
      </c>
      <c r="D546" s="34"/>
      <c r="E546" s="34"/>
      <c r="F546" s="34"/>
      <c r="G546" s="34"/>
      <c r="H546" s="34"/>
      <c r="I546" s="34"/>
      <c r="J546" s="37"/>
      <c r="K546" s="34"/>
      <c r="L546" s="38" t="str">
        <f aca="false">IF(I546="","",I546*N(J546)*IF(K546="",1,K546))</f>
        <v/>
      </c>
      <c r="M546" s="34"/>
    </row>
    <row r="547" customFormat="false" ht="15" hidden="false" customHeight="false" outlineLevel="0" collapsed="false">
      <c r="A547" s="34"/>
      <c r="B547" s="35"/>
      <c r="C547" s="36" t="str">
        <f aca="false">IF(B547="","",DATE(YEAR(B547),MONTH(B547),1))</f>
        <v/>
      </c>
      <c r="D547" s="34"/>
      <c r="E547" s="34"/>
      <c r="F547" s="34"/>
      <c r="G547" s="34"/>
      <c r="H547" s="34"/>
      <c r="I547" s="34"/>
      <c r="J547" s="37"/>
      <c r="K547" s="34"/>
      <c r="L547" s="38" t="str">
        <f aca="false">IF(I547="","",I547*N(J547)*IF(K547="",1,K547))</f>
        <v/>
      </c>
      <c r="M547" s="34"/>
    </row>
    <row r="548" customFormat="false" ht="15" hidden="false" customHeight="false" outlineLevel="0" collapsed="false">
      <c r="A548" s="34"/>
      <c r="B548" s="35"/>
      <c r="C548" s="36" t="str">
        <f aca="false">IF(B548="","",DATE(YEAR(B548),MONTH(B548),1))</f>
        <v/>
      </c>
      <c r="D548" s="34"/>
      <c r="E548" s="34"/>
      <c r="F548" s="34"/>
      <c r="G548" s="34"/>
      <c r="H548" s="34"/>
      <c r="I548" s="34"/>
      <c r="J548" s="37"/>
      <c r="K548" s="34"/>
      <c r="L548" s="38" t="str">
        <f aca="false">IF(I548="","",I548*N(J548)*IF(K548="",1,K548))</f>
        <v/>
      </c>
      <c r="M548" s="34"/>
    </row>
    <row r="549" customFormat="false" ht="15" hidden="false" customHeight="false" outlineLevel="0" collapsed="false">
      <c r="A549" s="34"/>
      <c r="B549" s="35"/>
      <c r="C549" s="36" t="str">
        <f aca="false">IF(B549="","",DATE(YEAR(B549),MONTH(B549),1))</f>
        <v/>
      </c>
      <c r="D549" s="34"/>
      <c r="E549" s="34"/>
      <c r="F549" s="34"/>
      <c r="G549" s="34"/>
      <c r="H549" s="34"/>
      <c r="I549" s="34"/>
      <c r="J549" s="37"/>
      <c r="K549" s="34"/>
      <c r="L549" s="38" t="str">
        <f aca="false">IF(I549="","",I549*N(J549)*IF(K549="",1,K549))</f>
        <v/>
      </c>
      <c r="M549" s="34"/>
    </row>
    <row r="550" customFormat="false" ht="15" hidden="false" customHeight="false" outlineLevel="0" collapsed="false">
      <c r="A550" s="34"/>
      <c r="B550" s="35"/>
      <c r="C550" s="36" t="str">
        <f aca="false">IF(B550="","",DATE(YEAR(B550),MONTH(B550),1))</f>
        <v/>
      </c>
      <c r="D550" s="34"/>
      <c r="E550" s="34"/>
      <c r="F550" s="34"/>
      <c r="G550" s="34"/>
      <c r="H550" s="34"/>
      <c r="I550" s="34"/>
      <c r="J550" s="37"/>
      <c r="K550" s="34"/>
      <c r="L550" s="38" t="str">
        <f aca="false">IF(I550="","",I550*N(J550)*IF(K550="",1,K550))</f>
        <v/>
      </c>
      <c r="M550" s="34"/>
    </row>
    <row r="551" customFormat="false" ht="15" hidden="false" customHeight="false" outlineLevel="0" collapsed="false">
      <c r="A551" s="34"/>
      <c r="B551" s="35"/>
      <c r="C551" s="36" t="str">
        <f aca="false">IF(B551="","",DATE(YEAR(B551),MONTH(B551),1))</f>
        <v/>
      </c>
      <c r="D551" s="34"/>
      <c r="E551" s="34"/>
      <c r="F551" s="34"/>
      <c r="G551" s="34"/>
      <c r="H551" s="34"/>
      <c r="I551" s="34"/>
      <c r="J551" s="37"/>
      <c r="K551" s="34"/>
      <c r="L551" s="38" t="str">
        <f aca="false">IF(I551="","",I551*N(J551)*IF(K551="",1,K551))</f>
        <v/>
      </c>
      <c r="M551" s="34"/>
    </row>
    <row r="552" customFormat="false" ht="15" hidden="false" customHeight="false" outlineLevel="0" collapsed="false">
      <c r="A552" s="34"/>
      <c r="B552" s="35"/>
      <c r="C552" s="36" t="str">
        <f aca="false">IF(B552="","",DATE(YEAR(B552),MONTH(B552),1))</f>
        <v/>
      </c>
      <c r="D552" s="34"/>
      <c r="E552" s="34"/>
      <c r="F552" s="34"/>
      <c r="G552" s="34"/>
      <c r="H552" s="34"/>
      <c r="I552" s="34"/>
      <c r="J552" s="37"/>
      <c r="K552" s="34"/>
      <c r="L552" s="38" t="str">
        <f aca="false">IF(I552="","",I552*N(J552)*IF(K552="",1,K552))</f>
        <v/>
      </c>
      <c r="M552" s="34"/>
    </row>
    <row r="553" customFormat="false" ht="15" hidden="false" customHeight="false" outlineLevel="0" collapsed="false">
      <c r="A553" s="34"/>
      <c r="B553" s="35"/>
      <c r="C553" s="36" t="str">
        <f aca="false">IF(B553="","",DATE(YEAR(B553),MONTH(B553),1))</f>
        <v/>
      </c>
      <c r="D553" s="34"/>
      <c r="E553" s="34"/>
      <c r="F553" s="34"/>
      <c r="G553" s="34"/>
      <c r="H553" s="34"/>
      <c r="I553" s="34"/>
      <c r="J553" s="37"/>
      <c r="K553" s="34"/>
      <c r="L553" s="38" t="str">
        <f aca="false">IF(I553="","",I553*N(J553)*IF(K553="",1,K553))</f>
        <v/>
      </c>
      <c r="M553" s="34"/>
    </row>
    <row r="554" customFormat="false" ht="15" hidden="false" customHeight="false" outlineLevel="0" collapsed="false">
      <c r="A554" s="34"/>
      <c r="B554" s="35"/>
      <c r="C554" s="36" t="str">
        <f aca="false">IF(B554="","",DATE(YEAR(B554),MONTH(B554),1))</f>
        <v/>
      </c>
      <c r="D554" s="34"/>
      <c r="E554" s="34"/>
      <c r="F554" s="34"/>
      <c r="G554" s="34"/>
      <c r="H554" s="34"/>
      <c r="I554" s="34"/>
      <c r="J554" s="37"/>
      <c r="K554" s="34"/>
      <c r="L554" s="38" t="str">
        <f aca="false">IF(I554="","",I554*N(J554)*IF(K554="",1,K554))</f>
        <v/>
      </c>
      <c r="M554" s="34"/>
    </row>
    <row r="555" customFormat="false" ht="15" hidden="false" customHeight="false" outlineLevel="0" collapsed="false">
      <c r="A555" s="34"/>
      <c r="B555" s="35"/>
      <c r="C555" s="36" t="str">
        <f aca="false">IF(B555="","",DATE(YEAR(B555),MONTH(B555),1))</f>
        <v/>
      </c>
      <c r="D555" s="34"/>
      <c r="E555" s="34"/>
      <c r="F555" s="34"/>
      <c r="G555" s="34"/>
      <c r="H555" s="34"/>
      <c r="I555" s="34"/>
      <c r="J555" s="37"/>
      <c r="K555" s="34"/>
      <c r="L555" s="38" t="str">
        <f aca="false">IF(I555="","",I555*N(J555)*IF(K555="",1,K555))</f>
        <v/>
      </c>
      <c r="M555" s="34"/>
    </row>
    <row r="556" customFormat="false" ht="15" hidden="false" customHeight="false" outlineLevel="0" collapsed="false">
      <c r="A556" s="34"/>
      <c r="B556" s="35"/>
      <c r="C556" s="36" t="str">
        <f aca="false">IF(B556="","",DATE(YEAR(B556),MONTH(B556),1))</f>
        <v/>
      </c>
      <c r="D556" s="34"/>
      <c r="E556" s="34"/>
      <c r="F556" s="34"/>
      <c r="G556" s="34"/>
      <c r="H556" s="34"/>
      <c r="I556" s="34"/>
      <c r="J556" s="37"/>
      <c r="K556" s="34"/>
      <c r="L556" s="38" t="str">
        <f aca="false">IF(I556="","",I556*N(J556)*IF(K556="",1,K556))</f>
        <v/>
      </c>
      <c r="M556" s="34"/>
    </row>
    <row r="557" customFormat="false" ht="15" hidden="false" customHeight="false" outlineLevel="0" collapsed="false">
      <c r="A557" s="34"/>
      <c r="B557" s="35"/>
      <c r="C557" s="36" t="str">
        <f aca="false">IF(B557="","",DATE(YEAR(B557),MONTH(B557),1))</f>
        <v/>
      </c>
      <c r="D557" s="34"/>
      <c r="E557" s="34"/>
      <c r="F557" s="34"/>
      <c r="G557" s="34"/>
      <c r="H557" s="34"/>
      <c r="I557" s="34"/>
      <c r="J557" s="37"/>
      <c r="K557" s="34"/>
      <c r="L557" s="38" t="str">
        <f aca="false">IF(I557="","",I557*N(J557)*IF(K557="",1,K557))</f>
        <v/>
      </c>
      <c r="M557" s="34"/>
    </row>
    <row r="558" customFormat="false" ht="15" hidden="false" customHeight="false" outlineLevel="0" collapsed="false">
      <c r="A558" s="34"/>
      <c r="B558" s="35"/>
      <c r="C558" s="36" t="str">
        <f aca="false">IF(B558="","",DATE(YEAR(B558),MONTH(B558),1))</f>
        <v/>
      </c>
      <c r="D558" s="34"/>
      <c r="E558" s="34"/>
      <c r="F558" s="34"/>
      <c r="G558" s="34"/>
      <c r="H558" s="34"/>
      <c r="I558" s="34"/>
      <c r="J558" s="37"/>
      <c r="K558" s="34"/>
      <c r="L558" s="38" t="str">
        <f aca="false">IF(I558="","",I558*N(J558)*IF(K558="",1,K558))</f>
        <v/>
      </c>
      <c r="M558" s="34"/>
    </row>
    <row r="559" customFormat="false" ht="15" hidden="false" customHeight="false" outlineLevel="0" collapsed="false">
      <c r="A559" s="34"/>
      <c r="B559" s="35"/>
      <c r="C559" s="36" t="str">
        <f aca="false">IF(B559="","",DATE(YEAR(B559),MONTH(B559),1))</f>
        <v/>
      </c>
      <c r="D559" s="34"/>
      <c r="E559" s="34"/>
      <c r="F559" s="34"/>
      <c r="G559" s="34"/>
      <c r="H559" s="34"/>
      <c r="I559" s="34"/>
      <c r="J559" s="37"/>
      <c r="K559" s="34"/>
      <c r="L559" s="38" t="str">
        <f aca="false">IF(I559="","",I559*N(J559)*IF(K559="",1,K559))</f>
        <v/>
      </c>
      <c r="M559" s="34"/>
    </row>
    <row r="560" customFormat="false" ht="15" hidden="false" customHeight="false" outlineLevel="0" collapsed="false">
      <c r="A560" s="34"/>
      <c r="B560" s="35"/>
      <c r="C560" s="36" t="str">
        <f aca="false">IF(B560="","",DATE(YEAR(B560),MONTH(B560),1))</f>
        <v/>
      </c>
      <c r="D560" s="34"/>
      <c r="E560" s="34"/>
      <c r="F560" s="34"/>
      <c r="G560" s="34"/>
      <c r="H560" s="34"/>
      <c r="I560" s="34"/>
      <c r="J560" s="37"/>
      <c r="K560" s="34"/>
      <c r="L560" s="38" t="str">
        <f aca="false">IF(I560="","",I560*N(J560)*IF(K560="",1,K560))</f>
        <v/>
      </c>
      <c r="M560" s="34"/>
    </row>
    <row r="561" customFormat="false" ht="15" hidden="false" customHeight="false" outlineLevel="0" collapsed="false">
      <c r="A561" s="34"/>
      <c r="B561" s="35"/>
      <c r="C561" s="36" t="str">
        <f aca="false">IF(B561="","",DATE(YEAR(B561),MONTH(B561),1))</f>
        <v/>
      </c>
      <c r="D561" s="34"/>
      <c r="E561" s="34"/>
      <c r="F561" s="34"/>
      <c r="G561" s="34"/>
      <c r="H561" s="34"/>
      <c r="I561" s="34"/>
      <c r="J561" s="37"/>
      <c r="K561" s="34"/>
      <c r="L561" s="38" t="str">
        <f aca="false">IF(I561="","",I561*N(J561)*IF(K561="",1,K561))</f>
        <v/>
      </c>
      <c r="M561" s="34"/>
    </row>
    <row r="562" customFormat="false" ht="15" hidden="false" customHeight="false" outlineLevel="0" collapsed="false">
      <c r="A562" s="34"/>
      <c r="B562" s="35"/>
      <c r="C562" s="36" t="str">
        <f aca="false">IF(B562="","",DATE(YEAR(B562),MONTH(B562),1))</f>
        <v/>
      </c>
      <c r="D562" s="34"/>
      <c r="E562" s="34"/>
      <c r="F562" s="34"/>
      <c r="G562" s="34"/>
      <c r="H562" s="34"/>
      <c r="I562" s="34"/>
      <c r="J562" s="37"/>
      <c r="K562" s="34"/>
      <c r="L562" s="38" t="str">
        <f aca="false">IF(I562="","",I562*N(J562)*IF(K562="",1,K562))</f>
        <v/>
      </c>
      <c r="M562" s="34"/>
    </row>
    <row r="563" customFormat="false" ht="15" hidden="false" customHeight="false" outlineLevel="0" collapsed="false">
      <c r="A563" s="34"/>
      <c r="B563" s="35"/>
      <c r="C563" s="36" t="str">
        <f aca="false">IF(B563="","",DATE(YEAR(B563),MONTH(B563),1))</f>
        <v/>
      </c>
      <c r="D563" s="34"/>
      <c r="E563" s="34"/>
      <c r="F563" s="34"/>
      <c r="G563" s="34"/>
      <c r="H563" s="34"/>
      <c r="I563" s="34"/>
      <c r="J563" s="37"/>
      <c r="K563" s="34"/>
      <c r="L563" s="38" t="str">
        <f aca="false">IF(I563="","",I563*N(J563)*IF(K563="",1,K563))</f>
        <v/>
      </c>
      <c r="M563" s="34"/>
    </row>
    <row r="564" customFormat="false" ht="15" hidden="false" customHeight="false" outlineLevel="0" collapsed="false">
      <c r="A564" s="34"/>
      <c r="B564" s="35"/>
      <c r="C564" s="36" t="str">
        <f aca="false">IF(B564="","",DATE(YEAR(B564),MONTH(B564),1))</f>
        <v/>
      </c>
      <c r="D564" s="34"/>
      <c r="E564" s="34"/>
      <c r="F564" s="34"/>
      <c r="G564" s="34"/>
      <c r="H564" s="34"/>
      <c r="I564" s="34"/>
      <c r="J564" s="37"/>
      <c r="K564" s="34"/>
      <c r="L564" s="38" t="str">
        <f aca="false">IF(I564="","",I564*N(J564)*IF(K564="",1,K564))</f>
        <v/>
      </c>
      <c r="M564" s="34"/>
    </row>
    <row r="565" customFormat="false" ht="15" hidden="false" customHeight="false" outlineLevel="0" collapsed="false">
      <c r="A565" s="34"/>
      <c r="B565" s="35"/>
      <c r="C565" s="36" t="str">
        <f aca="false">IF(B565="","",DATE(YEAR(B565),MONTH(B565),1))</f>
        <v/>
      </c>
      <c r="D565" s="34"/>
      <c r="E565" s="34"/>
      <c r="F565" s="34"/>
      <c r="G565" s="34"/>
      <c r="H565" s="34"/>
      <c r="I565" s="34"/>
      <c r="J565" s="37"/>
      <c r="K565" s="34"/>
      <c r="L565" s="38" t="str">
        <f aca="false">IF(I565="","",I565*N(J565)*IF(K565="",1,K565))</f>
        <v/>
      </c>
      <c r="M565" s="34"/>
    </row>
    <row r="566" customFormat="false" ht="15" hidden="false" customHeight="false" outlineLevel="0" collapsed="false">
      <c r="A566" s="34"/>
      <c r="B566" s="35"/>
      <c r="C566" s="36" t="str">
        <f aca="false">IF(B566="","",DATE(YEAR(B566),MONTH(B566),1))</f>
        <v/>
      </c>
      <c r="D566" s="34"/>
      <c r="E566" s="34"/>
      <c r="F566" s="34"/>
      <c r="G566" s="34"/>
      <c r="H566" s="34"/>
      <c r="I566" s="34"/>
      <c r="J566" s="37"/>
      <c r="K566" s="34"/>
      <c r="L566" s="38" t="str">
        <f aca="false">IF(I566="","",I566*N(J566)*IF(K566="",1,K566))</f>
        <v/>
      </c>
      <c r="M566" s="34"/>
    </row>
    <row r="567" customFormat="false" ht="15" hidden="false" customHeight="false" outlineLevel="0" collapsed="false">
      <c r="A567" s="34"/>
      <c r="B567" s="35"/>
      <c r="C567" s="36" t="str">
        <f aca="false">IF(B567="","",DATE(YEAR(B567),MONTH(B567),1))</f>
        <v/>
      </c>
      <c r="D567" s="34"/>
      <c r="E567" s="34"/>
      <c r="F567" s="34"/>
      <c r="G567" s="34"/>
      <c r="H567" s="34"/>
      <c r="I567" s="34"/>
      <c r="J567" s="37"/>
      <c r="K567" s="34"/>
      <c r="L567" s="38" t="str">
        <f aca="false">IF(I567="","",I567*N(J567)*IF(K567="",1,K567))</f>
        <v/>
      </c>
      <c r="M567" s="34"/>
    </row>
    <row r="568" customFormat="false" ht="15" hidden="false" customHeight="false" outlineLevel="0" collapsed="false">
      <c r="A568" s="34"/>
      <c r="B568" s="35"/>
      <c r="C568" s="36" t="str">
        <f aca="false">IF(B568="","",DATE(YEAR(B568),MONTH(B568),1))</f>
        <v/>
      </c>
      <c r="D568" s="34"/>
      <c r="E568" s="34"/>
      <c r="F568" s="34"/>
      <c r="G568" s="34"/>
      <c r="H568" s="34"/>
      <c r="I568" s="34"/>
      <c r="J568" s="37"/>
      <c r="K568" s="34"/>
      <c r="L568" s="38" t="str">
        <f aca="false">IF(I568="","",I568*N(J568)*IF(K568="",1,K568))</f>
        <v/>
      </c>
      <c r="M568" s="34"/>
    </row>
    <row r="569" customFormat="false" ht="15" hidden="false" customHeight="false" outlineLevel="0" collapsed="false">
      <c r="A569" s="34"/>
      <c r="B569" s="35"/>
      <c r="C569" s="36" t="str">
        <f aca="false">IF(B569="","",DATE(YEAR(B569),MONTH(B569),1))</f>
        <v/>
      </c>
      <c r="D569" s="34"/>
      <c r="E569" s="34"/>
      <c r="F569" s="34"/>
      <c r="G569" s="34"/>
      <c r="H569" s="34"/>
      <c r="I569" s="34"/>
      <c r="J569" s="37"/>
      <c r="K569" s="34"/>
      <c r="L569" s="38" t="str">
        <f aca="false">IF(I569="","",I569*N(J569)*IF(K569="",1,K569))</f>
        <v/>
      </c>
      <c r="M569" s="34"/>
    </row>
    <row r="570" customFormat="false" ht="15" hidden="false" customHeight="false" outlineLevel="0" collapsed="false">
      <c r="A570" s="34"/>
      <c r="B570" s="35"/>
      <c r="C570" s="36" t="str">
        <f aca="false">IF(B570="","",DATE(YEAR(B570),MONTH(B570),1))</f>
        <v/>
      </c>
      <c r="D570" s="34"/>
      <c r="E570" s="34"/>
      <c r="F570" s="34"/>
      <c r="G570" s="34"/>
      <c r="H570" s="34"/>
      <c r="I570" s="34"/>
      <c r="J570" s="37"/>
      <c r="K570" s="34"/>
      <c r="L570" s="38" t="str">
        <f aca="false">IF(I570="","",I570*N(J570)*IF(K570="",1,K570))</f>
        <v/>
      </c>
      <c r="M570" s="34"/>
    </row>
    <row r="571" customFormat="false" ht="15" hidden="false" customHeight="false" outlineLevel="0" collapsed="false">
      <c r="A571" s="34"/>
      <c r="B571" s="35"/>
      <c r="C571" s="36" t="str">
        <f aca="false">IF(B571="","",DATE(YEAR(B571),MONTH(B571),1))</f>
        <v/>
      </c>
      <c r="D571" s="34"/>
      <c r="E571" s="34"/>
      <c r="F571" s="34"/>
      <c r="G571" s="34"/>
      <c r="H571" s="34"/>
      <c r="I571" s="34"/>
      <c r="J571" s="37"/>
      <c r="K571" s="34"/>
      <c r="L571" s="38" t="str">
        <f aca="false">IF(I571="","",I571*N(J571)*IF(K571="",1,K571))</f>
        <v/>
      </c>
      <c r="M571" s="34"/>
    </row>
    <row r="572" customFormat="false" ht="15" hidden="false" customHeight="false" outlineLevel="0" collapsed="false">
      <c r="A572" s="34"/>
      <c r="B572" s="35"/>
      <c r="C572" s="36" t="str">
        <f aca="false">IF(B572="","",DATE(YEAR(B572),MONTH(B572),1))</f>
        <v/>
      </c>
      <c r="D572" s="34"/>
      <c r="E572" s="34"/>
      <c r="F572" s="34"/>
      <c r="G572" s="34"/>
      <c r="H572" s="34"/>
      <c r="I572" s="34"/>
      <c r="J572" s="37"/>
      <c r="K572" s="34"/>
      <c r="L572" s="38" t="str">
        <f aca="false">IF(I572="","",I572*N(J572)*IF(K572="",1,K572))</f>
        <v/>
      </c>
      <c r="M572" s="34"/>
    </row>
    <row r="573" customFormat="false" ht="15" hidden="false" customHeight="false" outlineLevel="0" collapsed="false">
      <c r="A573" s="34"/>
      <c r="B573" s="35"/>
      <c r="C573" s="36" t="str">
        <f aca="false">IF(B573="","",DATE(YEAR(B573),MONTH(B573),1))</f>
        <v/>
      </c>
      <c r="D573" s="34"/>
      <c r="E573" s="34"/>
      <c r="F573" s="34"/>
      <c r="G573" s="34"/>
      <c r="H573" s="34"/>
      <c r="I573" s="34"/>
      <c r="J573" s="37"/>
      <c r="K573" s="34"/>
      <c r="L573" s="38" t="str">
        <f aca="false">IF(I573="","",I573*N(J573)*IF(K573="",1,K573))</f>
        <v/>
      </c>
      <c r="M573" s="34"/>
    </row>
    <row r="574" customFormat="false" ht="15" hidden="false" customHeight="false" outlineLevel="0" collapsed="false">
      <c r="A574" s="34"/>
      <c r="B574" s="35"/>
      <c r="C574" s="36" t="str">
        <f aca="false">IF(B574="","",DATE(YEAR(B574),MONTH(B574),1))</f>
        <v/>
      </c>
      <c r="D574" s="34"/>
      <c r="E574" s="34"/>
      <c r="F574" s="34"/>
      <c r="G574" s="34"/>
      <c r="H574" s="34"/>
      <c r="I574" s="34"/>
      <c r="J574" s="37"/>
      <c r="K574" s="34"/>
      <c r="L574" s="38" t="str">
        <f aca="false">IF(I574="","",I574*N(J574)*IF(K574="",1,K574))</f>
        <v/>
      </c>
      <c r="M574" s="34"/>
    </row>
    <row r="575" customFormat="false" ht="15" hidden="false" customHeight="false" outlineLevel="0" collapsed="false">
      <c r="A575" s="34"/>
      <c r="B575" s="35"/>
      <c r="C575" s="36" t="str">
        <f aca="false">IF(B575="","",DATE(YEAR(B575),MONTH(B575),1))</f>
        <v/>
      </c>
      <c r="D575" s="34"/>
      <c r="E575" s="34"/>
      <c r="F575" s="34"/>
      <c r="G575" s="34"/>
      <c r="H575" s="34"/>
      <c r="I575" s="34"/>
      <c r="J575" s="37"/>
      <c r="K575" s="34"/>
      <c r="L575" s="38" t="str">
        <f aca="false">IF(I575="","",I575*N(J575)*IF(K575="",1,K575))</f>
        <v/>
      </c>
      <c r="M575" s="34"/>
    </row>
    <row r="576" customFormat="false" ht="15" hidden="false" customHeight="false" outlineLevel="0" collapsed="false">
      <c r="A576" s="34"/>
      <c r="B576" s="35"/>
      <c r="C576" s="36" t="str">
        <f aca="false">IF(B576="","",DATE(YEAR(B576),MONTH(B576),1))</f>
        <v/>
      </c>
      <c r="D576" s="34"/>
      <c r="E576" s="34"/>
      <c r="F576" s="34"/>
      <c r="G576" s="34"/>
      <c r="H576" s="34"/>
      <c r="I576" s="34"/>
      <c r="J576" s="37"/>
      <c r="K576" s="34"/>
      <c r="L576" s="38" t="str">
        <f aca="false">IF(I576="","",I576*N(J576)*IF(K576="",1,K576))</f>
        <v/>
      </c>
      <c r="M576" s="34"/>
    </row>
    <row r="577" customFormat="false" ht="15" hidden="false" customHeight="false" outlineLevel="0" collapsed="false">
      <c r="A577" s="34"/>
      <c r="B577" s="35"/>
      <c r="C577" s="36" t="str">
        <f aca="false">IF(B577="","",DATE(YEAR(B577),MONTH(B577),1))</f>
        <v/>
      </c>
      <c r="D577" s="34"/>
      <c r="E577" s="34"/>
      <c r="F577" s="34"/>
      <c r="G577" s="34"/>
      <c r="H577" s="34"/>
      <c r="I577" s="34"/>
      <c r="J577" s="37"/>
      <c r="K577" s="34"/>
      <c r="L577" s="38" t="str">
        <f aca="false">IF(I577="","",I577*N(J577)*IF(K577="",1,K577))</f>
        <v/>
      </c>
      <c r="M577" s="34"/>
    </row>
    <row r="578" customFormat="false" ht="15" hidden="false" customHeight="false" outlineLevel="0" collapsed="false">
      <c r="A578" s="34"/>
      <c r="B578" s="35"/>
      <c r="C578" s="36" t="str">
        <f aca="false">IF(B578="","",DATE(YEAR(B578),MONTH(B578),1))</f>
        <v/>
      </c>
      <c r="D578" s="34"/>
      <c r="E578" s="34"/>
      <c r="F578" s="34"/>
      <c r="G578" s="34"/>
      <c r="H578" s="34"/>
      <c r="I578" s="34"/>
      <c r="J578" s="37"/>
      <c r="K578" s="34"/>
      <c r="L578" s="38" t="str">
        <f aca="false">IF(I578="","",I578*N(J578)*IF(K578="",1,K578))</f>
        <v/>
      </c>
      <c r="M578" s="34"/>
    </row>
    <row r="579" customFormat="false" ht="15" hidden="false" customHeight="false" outlineLevel="0" collapsed="false">
      <c r="A579" s="34"/>
      <c r="B579" s="35"/>
      <c r="C579" s="36" t="str">
        <f aca="false">IF(B579="","",DATE(YEAR(B579),MONTH(B579),1))</f>
        <v/>
      </c>
      <c r="D579" s="34"/>
      <c r="E579" s="34"/>
      <c r="F579" s="34"/>
      <c r="G579" s="34"/>
      <c r="H579" s="34"/>
      <c r="I579" s="34"/>
      <c r="J579" s="37"/>
      <c r="K579" s="34"/>
      <c r="L579" s="38" t="str">
        <f aca="false">IF(I579="","",I579*N(J579)*IF(K579="",1,K579))</f>
        <v/>
      </c>
      <c r="M579" s="34"/>
    </row>
    <row r="580" customFormat="false" ht="15" hidden="false" customHeight="false" outlineLevel="0" collapsed="false">
      <c r="A580" s="34"/>
      <c r="B580" s="35"/>
      <c r="C580" s="36" t="str">
        <f aca="false">IF(B580="","",DATE(YEAR(B580),MONTH(B580),1))</f>
        <v/>
      </c>
      <c r="D580" s="34"/>
      <c r="E580" s="34"/>
      <c r="F580" s="34"/>
      <c r="G580" s="34"/>
      <c r="H580" s="34"/>
      <c r="I580" s="34"/>
      <c r="J580" s="37"/>
      <c r="K580" s="34"/>
      <c r="L580" s="38" t="str">
        <f aca="false">IF(I580="","",I580*N(J580)*IF(K580="",1,K580))</f>
        <v/>
      </c>
      <c r="M580" s="34"/>
    </row>
    <row r="581" customFormat="false" ht="15" hidden="false" customHeight="false" outlineLevel="0" collapsed="false">
      <c r="A581" s="34"/>
      <c r="B581" s="35"/>
      <c r="C581" s="36" t="str">
        <f aca="false">IF(B581="","",DATE(YEAR(B581),MONTH(B581),1))</f>
        <v/>
      </c>
      <c r="D581" s="34"/>
      <c r="E581" s="34"/>
      <c r="F581" s="34"/>
      <c r="G581" s="34"/>
      <c r="H581" s="34"/>
      <c r="I581" s="34"/>
      <c r="J581" s="37"/>
      <c r="K581" s="34"/>
      <c r="L581" s="38" t="str">
        <f aca="false">IF(I581="","",I581*N(J581)*IF(K581="",1,K581))</f>
        <v/>
      </c>
      <c r="M581" s="34"/>
    </row>
    <row r="582" customFormat="false" ht="15" hidden="false" customHeight="false" outlineLevel="0" collapsed="false">
      <c r="A582" s="34"/>
      <c r="B582" s="35"/>
      <c r="C582" s="36" t="str">
        <f aca="false">IF(B582="","",DATE(YEAR(B582),MONTH(B582),1))</f>
        <v/>
      </c>
      <c r="D582" s="34"/>
      <c r="E582" s="34"/>
      <c r="F582" s="34"/>
      <c r="G582" s="34"/>
      <c r="H582" s="34"/>
      <c r="I582" s="34"/>
      <c r="J582" s="37"/>
      <c r="K582" s="34"/>
      <c r="L582" s="38" t="str">
        <f aca="false">IF(I582="","",I582*N(J582)*IF(K582="",1,K582))</f>
        <v/>
      </c>
      <c r="M582" s="34"/>
    </row>
    <row r="583" customFormat="false" ht="15" hidden="false" customHeight="false" outlineLevel="0" collapsed="false">
      <c r="A583" s="34"/>
      <c r="B583" s="35"/>
      <c r="C583" s="36" t="str">
        <f aca="false">IF(B583="","",DATE(YEAR(B583),MONTH(B583),1))</f>
        <v/>
      </c>
      <c r="D583" s="34"/>
      <c r="E583" s="34"/>
      <c r="F583" s="34"/>
      <c r="G583" s="34"/>
      <c r="H583" s="34"/>
      <c r="I583" s="34"/>
      <c r="J583" s="37"/>
      <c r="K583" s="34"/>
      <c r="L583" s="38" t="str">
        <f aca="false">IF(I583="","",I583*N(J583)*IF(K583="",1,K583))</f>
        <v/>
      </c>
      <c r="M583" s="34"/>
    </row>
    <row r="584" customFormat="false" ht="15" hidden="false" customHeight="false" outlineLevel="0" collapsed="false">
      <c r="A584" s="34"/>
      <c r="B584" s="35"/>
      <c r="C584" s="36" t="str">
        <f aca="false">IF(B584="","",DATE(YEAR(B584),MONTH(B584),1))</f>
        <v/>
      </c>
      <c r="D584" s="34"/>
      <c r="E584" s="34"/>
      <c r="F584" s="34"/>
      <c r="G584" s="34"/>
      <c r="H584" s="34"/>
      <c r="I584" s="34"/>
      <c r="J584" s="37"/>
      <c r="K584" s="34"/>
      <c r="L584" s="38" t="str">
        <f aca="false">IF(I584="","",I584*N(J584)*IF(K584="",1,K584))</f>
        <v/>
      </c>
      <c r="M584" s="34"/>
    </row>
    <row r="585" customFormat="false" ht="15" hidden="false" customHeight="false" outlineLevel="0" collapsed="false">
      <c r="A585" s="34"/>
      <c r="B585" s="35"/>
      <c r="C585" s="36" t="str">
        <f aca="false">IF(B585="","",DATE(YEAR(B585),MONTH(B585),1))</f>
        <v/>
      </c>
      <c r="D585" s="34"/>
      <c r="E585" s="34"/>
      <c r="F585" s="34"/>
      <c r="G585" s="34"/>
      <c r="H585" s="34"/>
      <c r="I585" s="34"/>
      <c r="J585" s="37"/>
      <c r="K585" s="34"/>
      <c r="L585" s="38" t="str">
        <f aca="false">IF(I585="","",I585*N(J585)*IF(K585="",1,K585))</f>
        <v/>
      </c>
      <c r="M585" s="34"/>
    </row>
    <row r="586" customFormat="false" ht="15" hidden="false" customHeight="false" outlineLevel="0" collapsed="false">
      <c r="A586" s="34"/>
      <c r="B586" s="35"/>
      <c r="C586" s="36" t="str">
        <f aca="false">IF(B586="","",DATE(YEAR(B586),MONTH(B586),1))</f>
        <v/>
      </c>
      <c r="D586" s="34"/>
      <c r="E586" s="34"/>
      <c r="F586" s="34"/>
      <c r="G586" s="34"/>
      <c r="H586" s="34"/>
      <c r="I586" s="34"/>
      <c r="J586" s="37"/>
      <c r="K586" s="34"/>
      <c r="L586" s="38" t="str">
        <f aca="false">IF(I586="","",I586*N(J586)*IF(K586="",1,K586))</f>
        <v/>
      </c>
      <c r="M586" s="34"/>
    </row>
    <row r="587" customFormat="false" ht="15" hidden="false" customHeight="false" outlineLevel="0" collapsed="false">
      <c r="A587" s="34"/>
      <c r="B587" s="35"/>
      <c r="C587" s="36" t="str">
        <f aca="false">IF(B587="","",DATE(YEAR(B587),MONTH(B587),1))</f>
        <v/>
      </c>
      <c r="D587" s="34"/>
      <c r="E587" s="34"/>
      <c r="F587" s="34"/>
      <c r="G587" s="34"/>
      <c r="H587" s="34"/>
      <c r="I587" s="34"/>
      <c r="J587" s="37"/>
      <c r="K587" s="34"/>
      <c r="L587" s="38" t="str">
        <f aca="false">IF(I587="","",I587*N(J587)*IF(K587="",1,K587))</f>
        <v/>
      </c>
      <c r="M587" s="34"/>
    </row>
    <row r="588" customFormat="false" ht="15" hidden="false" customHeight="false" outlineLevel="0" collapsed="false">
      <c r="A588" s="34"/>
      <c r="B588" s="35"/>
      <c r="C588" s="36" t="str">
        <f aca="false">IF(B588="","",DATE(YEAR(B588),MONTH(B588),1))</f>
        <v/>
      </c>
      <c r="D588" s="34"/>
      <c r="E588" s="34"/>
      <c r="F588" s="34"/>
      <c r="G588" s="34"/>
      <c r="H588" s="34"/>
      <c r="I588" s="34"/>
      <c r="J588" s="37"/>
      <c r="K588" s="34"/>
      <c r="L588" s="38" t="str">
        <f aca="false">IF(I588="","",I588*N(J588)*IF(K588="",1,K588))</f>
        <v/>
      </c>
      <c r="M588" s="34"/>
    </row>
    <row r="589" customFormat="false" ht="15" hidden="false" customHeight="false" outlineLevel="0" collapsed="false">
      <c r="A589" s="34"/>
      <c r="B589" s="35"/>
      <c r="C589" s="36" t="str">
        <f aca="false">IF(B589="","",DATE(YEAR(B589),MONTH(B589),1))</f>
        <v/>
      </c>
      <c r="D589" s="34"/>
      <c r="E589" s="34"/>
      <c r="F589" s="34"/>
      <c r="G589" s="34"/>
      <c r="H589" s="34"/>
      <c r="I589" s="34"/>
      <c r="J589" s="37"/>
      <c r="K589" s="34"/>
      <c r="L589" s="38" t="str">
        <f aca="false">IF(I589="","",I589*N(J589)*IF(K589="",1,K589))</f>
        <v/>
      </c>
      <c r="M589" s="34"/>
    </row>
    <row r="590" customFormat="false" ht="15" hidden="false" customHeight="false" outlineLevel="0" collapsed="false">
      <c r="A590" s="34"/>
      <c r="B590" s="35"/>
      <c r="C590" s="36" t="str">
        <f aca="false">IF(B590="","",DATE(YEAR(B590),MONTH(B590),1))</f>
        <v/>
      </c>
      <c r="D590" s="34"/>
      <c r="E590" s="34"/>
      <c r="F590" s="34"/>
      <c r="G590" s="34"/>
      <c r="H590" s="34"/>
      <c r="I590" s="34"/>
      <c r="J590" s="37"/>
      <c r="K590" s="34"/>
      <c r="L590" s="38" t="str">
        <f aca="false">IF(I590="","",I590*N(J590)*IF(K590="",1,K590))</f>
        <v/>
      </c>
      <c r="M590" s="34"/>
    </row>
    <row r="591" customFormat="false" ht="15" hidden="false" customHeight="false" outlineLevel="0" collapsed="false">
      <c r="A591" s="34"/>
      <c r="B591" s="35"/>
      <c r="C591" s="36" t="str">
        <f aca="false">IF(B591="","",DATE(YEAR(B591),MONTH(B591),1))</f>
        <v/>
      </c>
      <c r="D591" s="34"/>
      <c r="E591" s="34"/>
      <c r="F591" s="34"/>
      <c r="G591" s="34"/>
      <c r="H591" s="34"/>
      <c r="I591" s="34"/>
      <c r="J591" s="37"/>
      <c r="K591" s="34"/>
      <c r="L591" s="38" t="str">
        <f aca="false">IF(I591="","",I591*N(J591)*IF(K591="",1,K591))</f>
        <v/>
      </c>
      <c r="M591" s="34"/>
    </row>
    <row r="592" customFormat="false" ht="15" hidden="false" customHeight="false" outlineLevel="0" collapsed="false">
      <c r="A592" s="34"/>
      <c r="B592" s="35"/>
      <c r="C592" s="36" t="str">
        <f aca="false">IF(B592="","",DATE(YEAR(B592),MONTH(B592),1))</f>
        <v/>
      </c>
      <c r="D592" s="34"/>
      <c r="E592" s="34"/>
      <c r="F592" s="34"/>
      <c r="G592" s="34"/>
      <c r="H592" s="34"/>
      <c r="I592" s="34"/>
      <c r="J592" s="37"/>
      <c r="K592" s="34"/>
      <c r="L592" s="38" t="str">
        <f aca="false">IF(I592="","",I592*N(J592)*IF(K592="",1,K592))</f>
        <v/>
      </c>
      <c r="M592" s="34"/>
    </row>
    <row r="593" customFormat="false" ht="15" hidden="false" customHeight="false" outlineLevel="0" collapsed="false">
      <c r="A593" s="34"/>
      <c r="B593" s="35"/>
      <c r="C593" s="36" t="str">
        <f aca="false">IF(B593="","",DATE(YEAR(B593),MONTH(B593),1))</f>
        <v/>
      </c>
      <c r="D593" s="34"/>
      <c r="E593" s="34"/>
      <c r="F593" s="34"/>
      <c r="G593" s="34"/>
      <c r="H593" s="34"/>
      <c r="I593" s="34"/>
      <c r="J593" s="37"/>
      <c r="K593" s="34"/>
      <c r="L593" s="38" t="str">
        <f aca="false">IF(I593="","",I593*N(J593)*IF(K593="",1,K593))</f>
        <v/>
      </c>
      <c r="M593" s="34"/>
    </row>
    <row r="594" customFormat="false" ht="15" hidden="false" customHeight="false" outlineLevel="0" collapsed="false">
      <c r="A594" s="34"/>
      <c r="B594" s="35"/>
      <c r="C594" s="36" t="str">
        <f aca="false">IF(B594="","",DATE(YEAR(B594),MONTH(B594),1))</f>
        <v/>
      </c>
      <c r="D594" s="34"/>
      <c r="E594" s="34"/>
      <c r="F594" s="34"/>
      <c r="G594" s="34"/>
      <c r="H594" s="34"/>
      <c r="I594" s="34"/>
      <c r="J594" s="37"/>
      <c r="K594" s="34"/>
      <c r="L594" s="38" t="str">
        <f aca="false">IF(I594="","",I594*N(J594)*IF(K594="",1,K594))</f>
        <v/>
      </c>
      <c r="M594" s="34"/>
    </row>
    <row r="595" customFormat="false" ht="15" hidden="false" customHeight="false" outlineLevel="0" collapsed="false">
      <c r="A595" s="34"/>
      <c r="B595" s="35"/>
      <c r="C595" s="36" t="str">
        <f aca="false">IF(B595="","",DATE(YEAR(B595),MONTH(B595),1))</f>
        <v/>
      </c>
      <c r="D595" s="34"/>
      <c r="E595" s="34"/>
      <c r="F595" s="34"/>
      <c r="G595" s="34"/>
      <c r="H595" s="34"/>
      <c r="I595" s="34"/>
      <c r="J595" s="37"/>
      <c r="K595" s="34"/>
      <c r="L595" s="38" t="str">
        <f aca="false">IF(I595="","",I595*N(J595)*IF(K595="",1,K595))</f>
        <v/>
      </c>
      <c r="M595" s="34"/>
    </row>
    <row r="596" customFormat="false" ht="15" hidden="false" customHeight="false" outlineLevel="0" collapsed="false">
      <c r="A596" s="34"/>
      <c r="B596" s="35"/>
      <c r="C596" s="36" t="str">
        <f aca="false">IF(B596="","",DATE(YEAR(B596),MONTH(B596),1))</f>
        <v/>
      </c>
      <c r="D596" s="34"/>
      <c r="E596" s="34"/>
      <c r="F596" s="34"/>
      <c r="G596" s="34"/>
      <c r="H596" s="34"/>
      <c r="I596" s="34"/>
      <c r="J596" s="37"/>
      <c r="K596" s="34"/>
      <c r="L596" s="38" t="str">
        <f aca="false">IF(I596="","",I596*N(J596)*IF(K596="",1,K596))</f>
        <v/>
      </c>
      <c r="M596" s="34"/>
    </row>
    <row r="597" customFormat="false" ht="15" hidden="false" customHeight="false" outlineLevel="0" collapsed="false">
      <c r="A597" s="34"/>
      <c r="B597" s="35"/>
      <c r="C597" s="36" t="str">
        <f aca="false">IF(B597="","",DATE(YEAR(B597),MONTH(B597),1))</f>
        <v/>
      </c>
      <c r="D597" s="34"/>
      <c r="E597" s="34"/>
      <c r="F597" s="34"/>
      <c r="G597" s="34"/>
      <c r="H597" s="34"/>
      <c r="I597" s="34"/>
      <c r="J597" s="37"/>
      <c r="K597" s="34"/>
      <c r="L597" s="38" t="str">
        <f aca="false">IF(I597="","",I597*N(J597)*IF(K597="",1,K597))</f>
        <v/>
      </c>
      <c r="M597" s="34"/>
    </row>
    <row r="598" customFormat="false" ht="15" hidden="false" customHeight="false" outlineLevel="0" collapsed="false">
      <c r="A598" s="34"/>
      <c r="B598" s="35"/>
      <c r="C598" s="36" t="str">
        <f aca="false">IF(B598="","",DATE(YEAR(B598),MONTH(B598),1))</f>
        <v/>
      </c>
      <c r="D598" s="34"/>
      <c r="E598" s="34"/>
      <c r="F598" s="34"/>
      <c r="G598" s="34"/>
      <c r="H598" s="34"/>
      <c r="I598" s="34"/>
      <c r="J598" s="37"/>
      <c r="K598" s="34"/>
      <c r="L598" s="38" t="str">
        <f aca="false">IF(I598="","",I598*N(J598)*IF(K598="",1,K598))</f>
        <v/>
      </c>
      <c r="M598" s="34"/>
    </row>
    <row r="599" customFormat="false" ht="15" hidden="false" customHeight="false" outlineLevel="0" collapsed="false">
      <c r="A599" s="34"/>
      <c r="B599" s="35"/>
      <c r="C599" s="36" t="str">
        <f aca="false">IF(B599="","",DATE(YEAR(B599),MONTH(B599),1))</f>
        <v/>
      </c>
      <c r="D599" s="34"/>
      <c r="E599" s="34"/>
      <c r="F599" s="34"/>
      <c r="G599" s="34"/>
      <c r="H599" s="34"/>
      <c r="I599" s="34"/>
      <c r="J599" s="37"/>
      <c r="K599" s="34"/>
      <c r="L599" s="38" t="str">
        <f aca="false">IF(I599="","",I599*N(J599)*IF(K599="",1,K599))</f>
        <v/>
      </c>
      <c r="M599" s="34"/>
    </row>
    <row r="600" customFormat="false" ht="15" hidden="false" customHeight="false" outlineLevel="0" collapsed="false">
      <c r="A600" s="34"/>
      <c r="B600" s="35"/>
      <c r="C600" s="36" t="str">
        <f aca="false">IF(B600="","",DATE(YEAR(B600),MONTH(B600),1))</f>
        <v/>
      </c>
      <c r="D600" s="34"/>
      <c r="E600" s="34"/>
      <c r="F600" s="34"/>
      <c r="G600" s="34"/>
      <c r="H600" s="34"/>
      <c r="I600" s="34"/>
      <c r="J600" s="37"/>
      <c r="K600" s="34"/>
      <c r="L600" s="38" t="str">
        <f aca="false">IF(I600="","",I600*N(J600)*IF(K600="",1,K600))</f>
        <v/>
      </c>
      <c r="M600" s="34"/>
    </row>
    <row r="601" customFormat="false" ht="15" hidden="false" customHeight="false" outlineLevel="0" collapsed="false">
      <c r="A601" s="34"/>
      <c r="B601" s="35"/>
      <c r="C601" s="36" t="str">
        <f aca="false">IF(B601="","",DATE(YEAR(B601),MONTH(B601),1))</f>
        <v/>
      </c>
      <c r="D601" s="34"/>
      <c r="E601" s="34"/>
      <c r="F601" s="34"/>
      <c r="G601" s="34"/>
      <c r="H601" s="34"/>
      <c r="I601" s="34"/>
      <c r="J601" s="37"/>
      <c r="K601" s="34"/>
      <c r="L601" s="38" t="str">
        <f aca="false">IF(I601="","",I601*N(J601)*IF(K601="",1,K601))</f>
        <v/>
      </c>
      <c r="M601" s="34"/>
    </row>
    <row r="602" customFormat="false" ht="15" hidden="false" customHeight="false" outlineLevel="0" collapsed="false">
      <c r="A602" s="34"/>
      <c r="B602" s="35"/>
      <c r="C602" s="36" t="str">
        <f aca="false">IF(B602="","",DATE(YEAR(B602),MONTH(B602),1))</f>
        <v/>
      </c>
      <c r="D602" s="34"/>
      <c r="E602" s="34"/>
      <c r="F602" s="34"/>
      <c r="G602" s="34"/>
      <c r="H602" s="34"/>
      <c r="I602" s="34"/>
      <c r="J602" s="37"/>
      <c r="K602" s="34"/>
      <c r="L602" s="38" t="str">
        <f aca="false">IF(I602="","",I602*N(J602)*IF(K602="",1,K602))</f>
        <v/>
      </c>
      <c r="M602" s="34"/>
    </row>
    <row r="603" customFormat="false" ht="15" hidden="false" customHeight="false" outlineLevel="0" collapsed="false">
      <c r="A603" s="34"/>
      <c r="B603" s="35"/>
      <c r="C603" s="36" t="str">
        <f aca="false">IF(B603="","",DATE(YEAR(B603),MONTH(B603),1))</f>
        <v/>
      </c>
      <c r="D603" s="34"/>
      <c r="E603" s="34"/>
      <c r="F603" s="34"/>
      <c r="G603" s="34"/>
      <c r="H603" s="34"/>
      <c r="I603" s="34"/>
      <c r="J603" s="37"/>
      <c r="K603" s="34"/>
      <c r="L603" s="38" t="str">
        <f aca="false">IF(I603="","",I603*N(J603)*IF(K603="",1,K603))</f>
        <v/>
      </c>
      <c r="M603" s="34"/>
    </row>
    <row r="604" customFormat="false" ht="15" hidden="false" customHeight="false" outlineLevel="0" collapsed="false">
      <c r="A604" s="34"/>
      <c r="B604" s="35"/>
      <c r="C604" s="36" t="str">
        <f aca="false">IF(B604="","",DATE(YEAR(B604),MONTH(B604),1))</f>
        <v/>
      </c>
      <c r="D604" s="34"/>
      <c r="E604" s="34"/>
      <c r="F604" s="34"/>
      <c r="G604" s="34"/>
      <c r="H604" s="34"/>
      <c r="I604" s="34"/>
      <c r="J604" s="37"/>
      <c r="K604" s="34"/>
      <c r="L604" s="38" t="str">
        <f aca="false">IF(I604="","",I604*N(J604)*IF(K604="",1,K604))</f>
        <v/>
      </c>
      <c r="M604" s="34"/>
    </row>
    <row r="605" customFormat="false" ht="15" hidden="false" customHeight="false" outlineLevel="0" collapsed="false">
      <c r="A605" s="34"/>
      <c r="B605" s="35"/>
      <c r="C605" s="36" t="str">
        <f aca="false">IF(B605="","",DATE(YEAR(B605),MONTH(B605),1))</f>
        <v/>
      </c>
      <c r="D605" s="34"/>
      <c r="E605" s="34"/>
      <c r="F605" s="34"/>
      <c r="G605" s="34"/>
      <c r="H605" s="34"/>
      <c r="I605" s="34"/>
      <c r="J605" s="37"/>
      <c r="K605" s="34"/>
      <c r="L605" s="38" t="str">
        <f aca="false">IF(I605="","",I605*N(J605)*IF(K605="",1,K605))</f>
        <v/>
      </c>
      <c r="M605" s="34"/>
    </row>
    <row r="606" customFormat="false" ht="15" hidden="false" customHeight="false" outlineLevel="0" collapsed="false">
      <c r="A606" s="34"/>
      <c r="B606" s="35"/>
      <c r="C606" s="36" t="str">
        <f aca="false">IF(B606="","",DATE(YEAR(B606),MONTH(B606),1))</f>
        <v/>
      </c>
      <c r="D606" s="34"/>
      <c r="E606" s="34"/>
      <c r="F606" s="34"/>
      <c r="G606" s="34"/>
      <c r="H606" s="34"/>
      <c r="I606" s="34"/>
      <c r="J606" s="37"/>
      <c r="K606" s="34"/>
      <c r="L606" s="38" t="str">
        <f aca="false">IF(I606="","",I606*N(J606)*IF(K606="",1,K606))</f>
        <v/>
      </c>
      <c r="M606" s="34"/>
    </row>
    <row r="607" customFormat="false" ht="15" hidden="false" customHeight="false" outlineLevel="0" collapsed="false">
      <c r="A607" s="34"/>
      <c r="B607" s="35"/>
      <c r="C607" s="36" t="str">
        <f aca="false">IF(B607="","",DATE(YEAR(B607),MONTH(B607),1))</f>
        <v/>
      </c>
      <c r="D607" s="34"/>
      <c r="E607" s="34"/>
      <c r="F607" s="34"/>
      <c r="G607" s="34"/>
      <c r="H607" s="34"/>
      <c r="I607" s="34"/>
      <c r="J607" s="37"/>
      <c r="K607" s="34"/>
      <c r="L607" s="38" t="str">
        <f aca="false">IF(I607="","",I607*N(J607)*IF(K607="",1,K607))</f>
        <v/>
      </c>
      <c r="M607" s="34"/>
    </row>
    <row r="608" customFormat="false" ht="15" hidden="false" customHeight="false" outlineLevel="0" collapsed="false">
      <c r="A608" s="34"/>
      <c r="B608" s="35"/>
      <c r="C608" s="36" t="str">
        <f aca="false">IF(B608="","",DATE(YEAR(B608),MONTH(B608),1))</f>
        <v/>
      </c>
      <c r="D608" s="34"/>
      <c r="E608" s="34"/>
      <c r="F608" s="34"/>
      <c r="G608" s="34"/>
      <c r="H608" s="34"/>
      <c r="I608" s="34"/>
      <c r="J608" s="37"/>
      <c r="K608" s="34"/>
      <c r="L608" s="38" t="str">
        <f aca="false">IF(I608="","",I608*N(J608)*IF(K608="",1,K608))</f>
        <v/>
      </c>
      <c r="M608" s="34"/>
    </row>
    <row r="609" customFormat="false" ht="15" hidden="false" customHeight="false" outlineLevel="0" collapsed="false">
      <c r="A609" s="34"/>
      <c r="B609" s="35"/>
      <c r="C609" s="36" t="str">
        <f aca="false">IF(B609="","",DATE(YEAR(B609),MONTH(B609),1))</f>
        <v/>
      </c>
      <c r="D609" s="34"/>
      <c r="E609" s="34"/>
      <c r="F609" s="34"/>
      <c r="G609" s="34"/>
      <c r="H609" s="34"/>
      <c r="I609" s="34"/>
      <c r="J609" s="37"/>
      <c r="K609" s="34"/>
      <c r="L609" s="38" t="str">
        <f aca="false">IF(I609="","",I609*N(J609)*IF(K609="",1,K609))</f>
        <v/>
      </c>
      <c r="M609" s="34"/>
    </row>
    <row r="610" customFormat="false" ht="15" hidden="false" customHeight="false" outlineLevel="0" collapsed="false">
      <c r="A610" s="34"/>
      <c r="B610" s="35"/>
      <c r="C610" s="36" t="str">
        <f aca="false">IF(B610="","",DATE(YEAR(B610),MONTH(B610),1))</f>
        <v/>
      </c>
      <c r="D610" s="34"/>
      <c r="E610" s="34"/>
      <c r="F610" s="34"/>
      <c r="G610" s="34"/>
      <c r="H610" s="34"/>
      <c r="I610" s="34"/>
      <c r="J610" s="37"/>
      <c r="K610" s="34"/>
      <c r="L610" s="38" t="str">
        <f aca="false">IF(I610="","",I610*N(J610)*IF(K610="",1,K610))</f>
        <v/>
      </c>
      <c r="M610" s="34"/>
    </row>
    <row r="611" customFormat="false" ht="15" hidden="false" customHeight="false" outlineLevel="0" collapsed="false">
      <c r="A611" s="34"/>
      <c r="B611" s="35"/>
      <c r="C611" s="36" t="str">
        <f aca="false">IF(B611="","",DATE(YEAR(B611),MONTH(B611),1))</f>
        <v/>
      </c>
      <c r="D611" s="34"/>
      <c r="E611" s="34"/>
      <c r="F611" s="34"/>
      <c r="G611" s="34"/>
      <c r="H611" s="34"/>
      <c r="I611" s="34"/>
      <c r="J611" s="37"/>
      <c r="K611" s="34"/>
      <c r="L611" s="38" t="str">
        <f aca="false">IF(I611="","",I611*N(J611)*IF(K611="",1,K611))</f>
        <v/>
      </c>
      <c r="M611" s="34"/>
    </row>
    <row r="612" customFormat="false" ht="15" hidden="false" customHeight="false" outlineLevel="0" collapsed="false">
      <c r="A612" s="34"/>
      <c r="B612" s="35"/>
      <c r="C612" s="36" t="str">
        <f aca="false">IF(B612="","",DATE(YEAR(B612),MONTH(B612),1))</f>
        <v/>
      </c>
      <c r="D612" s="34"/>
      <c r="E612" s="34"/>
      <c r="F612" s="34"/>
      <c r="G612" s="34"/>
      <c r="H612" s="34"/>
      <c r="I612" s="34"/>
      <c r="J612" s="37"/>
      <c r="K612" s="34"/>
      <c r="L612" s="38" t="str">
        <f aca="false">IF(I612="","",I612*N(J612)*IF(K612="",1,K612))</f>
        <v/>
      </c>
      <c r="M612" s="34"/>
    </row>
    <row r="613" customFormat="false" ht="15" hidden="false" customHeight="false" outlineLevel="0" collapsed="false">
      <c r="A613" s="34"/>
      <c r="B613" s="35"/>
      <c r="C613" s="36" t="str">
        <f aca="false">IF(B613="","",DATE(YEAR(B613),MONTH(B613),1))</f>
        <v/>
      </c>
      <c r="D613" s="34"/>
      <c r="E613" s="34"/>
      <c r="F613" s="34"/>
      <c r="G613" s="34"/>
      <c r="H613" s="34"/>
      <c r="I613" s="34"/>
      <c r="J613" s="37"/>
      <c r="K613" s="34"/>
      <c r="L613" s="38" t="str">
        <f aca="false">IF(I613="","",I613*N(J613)*IF(K613="",1,K613))</f>
        <v/>
      </c>
      <c r="M613" s="34"/>
    </row>
    <row r="614" customFormat="false" ht="15" hidden="false" customHeight="false" outlineLevel="0" collapsed="false">
      <c r="A614" s="34"/>
      <c r="B614" s="35"/>
      <c r="C614" s="36" t="str">
        <f aca="false">IF(B614="","",DATE(YEAR(B614),MONTH(B614),1))</f>
        <v/>
      </c>
      <c r="D614" s="34"/>
      <c r="E614" s="34"/>
      <c r="F614" s="34"/>
      <c r="G614" s="34"/>
      <c r="H614" s="34"/>
      <c r="I614" s="34"/>
      <c r="J614" s="37"/>
      <c r="K614" s="34"/>
      <c r="L614" s="38" t="str">
        <f aca="false">IF(I614="","",I614*N(J614)*IF(K614="",1,K614))</f>
        <v/>
      </c>
      <c r="M614" s="34"/>
    </row>
    <row r="615" customFormat="false" ht="15" hidden="false" customHeight="false" outlineLevel="0" collapsed="false">
      <c r="A615" s="34"/>
      <c r="B615" s="35"/>
      <c r="C615" s="36" t="str">
        <f aca="false">IF(B615="","",DATE(YEAR(B615),MONTH(B615),1))</f>
        <v/>
      </c>
      <c r="D615" s="34"/>
      <c r="E615" s="34"/>
      <c r="F615" s="34"/>
      <c r="G615" s="34"/>
      <c r="H615" s="34"/>
      <c r="I615" s="34"/>
      <c r="J615" s="37"/>
      <c r="K615" s="34"/>
      <c r="L615" s="38" t="str">
        <f aca="false">IF(I615="","",I615*N(J615)*IF(K615="",1,K615))</f>
        <v/>
      </c>
      <c r="M615" s="34"/>
    </row>
    <row r="616" customFormat="false" ht="15" hidden="false" customHeight="false" outlineLevel="0" collapsed="false">
      <c r="A616" s="34"/>
      <c r="B616" s="35"/>
      <c r="C616" s="36" t="str">
        <f aca="false">IF(B616="","",DATE(YEAR(B616),MONTH(B616),1))</f>
        <v/>
      </c>
      <c r="D616" s="34"/>
      <c r="E616" s="34"/>
      <c r="F616" s="34"/>
      <c r="G616" s="34"/>
      <c r="H616" s="34"/>
      <c r="I616" s="34"/>
      <c r="J616" s="37"/>
      <c r="K616" s="34"/>
      <c r="L616" s="38" t="str">
        <f aca="false">IF(I616="","",I616*N(J616)*IF(K616="",1,K616))</f>
        <v/>
      </c>
      <c r="M616" s="34"/>
    </row>
    <row r="617" customFormat="false" ht="15" hidden="false" customHeight="false" outlineLevel="0" collapsed="false">
      <c r="A617" s="34"/>
      <c r="B617" s="35"/>
      <c r="C617" s="36" t="str">
        <f aca="false">IF(B617="","",DATE(YEAR(B617),MONTH(B617),1))</f>
        <v/>
      </c>
      <c r="D617" s="34"/>
      <c r="E617" s="34"/>
      <c r="F617" s="34"/>
      <c r="G617" s="34"/>
      <c r="H617" s="34"/>
      <c r="I617" s="34"/>
      <c r="J617" s="37"/>
      <c r="K617" s="34"/>
      <c r="L617" s="38" t="str">
        <f aca="false">IF(I617="","",I617*N(J617)*IF(K617="",1,K617))</f>
        <v/>
      </c>
      <c r="M617" s="34"/>
    </row>
    <row r="618" customFormat="false" ht="15" hidden="false" customHeight="false" outlineLevel="0" collapsed="false">
      <c r="A618" s="34"/>
      <c r="B618" s="35"/>
      <c r="C618" s="36" t="str">
        <f aca="false">IF(B618="","",DATE(YEAR(B618),MONTH(B618),1))</f>
        <v/>
      </c>
      <c r="D618" s="34"/>
      <c r="E618" s="34"/>
      <c r="F618" s="34"/>
      <c r="G618" s="34"/>
      <c r="H618" s="34"/>
      <c r="I618" s="34"/>
      <c r="J618" s="37"/>
      <c r="K618" s="34"/>
      <c r="L618" s="38" t="str">
        <f aca="false">IF(I618="","",I618*N(J618)*IF(K618="",1,K618))</f>
        <v/>
      </c>
      <c r="M618" s="34"/>
    </row>
    <row r="619" customFormat="false" ht="15" hidden="false" customHeight="false" outlineLevel="0" collapsed="false">
      <c r="A619" s="34"/>
      <c r="B619" s="35"/>
      <c r="C619" s="36" t="str">
        <f aca="false">IF(B619="","",DATE(YEAR(B619),MONTH(B619),1))</f>
        <v/>
      </c>
      <c r="D619" s="34"/>
      <c r="E619" s="34"/>
      <c r="F619" s="34"/>
      <c r="G619" s="34"/>
      <c r="H619" s="34"/>
      <c r="I619" s="34"/>
      <c r="J619" s="37"/>
      <c r="K619" s="34"/>
      <c r="L619" s="38" t="str">
        <f aca="false">IF(I619="","",I619*N(J619)*IF(K619="",1,K619))</f>
        <v/>
      </c>
      <c r="M619" s="34"/>
    </row>
    <row r="620" customFormat="false" ht="15" hidden="false" customHeight="false" outlineLevel="0" collapsed="false">
      <c r="A620" s="34"/>
      <c r="B620" s="35"/>
      <c r="C620" s="36" t="str">
        <f aca="false">IF(B620="","",DATE(YEAR(B620),MONTH(B620),1))</f>
        <v/>
      </c>
      <c r="D620" s="34"/>
      <c r="E620" s="34"/>
      <c r="F620" s="34"/>
      <c r="G620" s="34"/>
      <c r="H620" s="34"/>
      <c r="I620" s="34"/>
      <c r="J620" s="37"/>
      <c r="K620" s="34"/>
      <c r="L620" s="38" t="str">
        <f aca="false">IF(I620="","",I620*N(J620)*IF(K620="",1,K620))</f>
        <v/>
      </c>
      <c r="M620" s="34"/>
    </row>
    <row r="621" customFormat="false" ht="15" hidden="false" customHeight="false" outlineLevel="0" collapsed="false">
      <c r="A621" s="34"/>
      <c r="B621" s="35"/>
      <c r="C621" s="36" t="str">
        <f aca="false">IF(B621="","",DATE(YEAR(B621),MONTH(B621),1))</f>
        <v/>
      </c>
      <c r="D621" s="34"/>
      <c r="E621" s="34"/>
      <c r="F621" s="34"/>
      <c r="G621" s="34"/>
      <c r="H621" s="34"/>
      <c r="I621" s="34"/>
      <c r="J621" s="37"/>
      <c r="K621" s="34"/>
      <c r="L621" s="38" t="str">
        <f aca="false">IF(I621="","",I621*N(J621)*IF(K621="",1,K621))</f>
        <v/>
      </c>
      <c r="M621" s="34"/>
    </row>
    <row r="622" customFormat="false" ht="15" hidden="false" customHeight="false" outlineLevel="0" collapsed="false">
      <c r="A622" s="34"/>
      <c r="B622" s="35"/>
      <c r="C622" s="36" t="str">
        <f aca="false">IF(B622="","",DATE(YEAR(B622),MONTH(B622),1))</f>
        <v/>
      </c>
      <c r="D622" s="34"/>
      <c r="E622" s="34"/>
      <c r="F622" s="34"/>
      <c r="G622" s="34"/>
      <c r="H622" s="34"/>
      <c r="I622" s="34"/>
      <c r="J622" s="37"/>
      <c r="K622" s="34"/>
      <c r="L622" s="38" t="str">
        <f aca="false">IF(I622="","",I622*N(J622)*IF(K622="",1,K622))</f>
        <v/>
      </c>
      <c r="M622" s="34"/>
    </row>
    <row r="623" customFormat="false" ht="15" hidden="false" customHeight="false" outlineLevel="0" collapsed="false">
      <c r="A623" s="34"/>
      <c r="B623" s="35"/>
      <c r="C623" s="36" t="str">
        <f aca="false">IF(B623="","",DATE(YEAR(B623),MONTH(B623),1))</f>
        <v/>
      </c>
      <c r="D623" s="34"/>
      <c r="E623" s="34"/>
      <c r="F623" s="34"/>
      <c r="G623" s="34"/>
      <c r="H623" s="34"/>
      <c r="I623" s="34"/>
      <c r="J623" s="37"/>
      <c r="K623" s="34"/>
      <c r="L623" s="38" t="str">
        <f aca="false">IF(I623="","",I623*N(J623)*IF(K623="",1,K623))</f>
        <v/>
      </c>
      <c r="M623" s="34"/>
    </row>
    <row r="624" customFormat="false" ht="15" hidden="false" customHeight="false" outlineLevel="0" collapsed="false">
      <c r="A624" s="34"/>
      <c r="B624" s="35"/>
      <c r="C624" s="36" t="str">
        <f aca="false">IF(B624="","",DATE(YEAR(B624),MONTH(B624),1))</f>
        <v/>
      </c>
      <c r="D624" s="34"/>
      <c r="E624" s="34"/>
      <c r="F624" s="34"/>
      <c r="G624" s="34"/>
      <c r="H624" s="34"/>
      <c r="I624" s="34"/>
      <c r="J624" s="37"/>
      <c r="K624" s="34"/>
      <c r="L624" s="38" t="str">
        <f aca="false">IF(I624="","",I624*N(J624)*IF(K624="",1,K624))</f>
        <v/>
      </c>
      <c r="M624" s="34"/>
    </row>
    <row r="625" customFormat="false" ht="15" hidden="false" customHeight="false" outlineLevel="0" collapsed="false">
      <c r="A625" s="34"/>
      <c r="B625" s="35"/>
      <c r="C625" s="36" t="str">
        <f aca="false">IF(B625="","",DATE(YEAR(B625),MONTH(B625),1))</f>
        <v/>
      </c>
      <c r="D625" s="34"/>
      <c r="E625" s="34"/>
      <c r="F625" s="34"/>
      <c r="G625" s="34"/>
      <c r="H625" s="34"/>
      <c r="I625" s="34"/>
      <c r="J625" s="37"/>
      <c r="K625" s="34"/>
      <c r="L625" s="38" t="str">
        <f aca="false">IF(I625="","",I625*N(J625)*IF(K625="",1,K625))</f>
        <v/>
      </c>
      <c r="M625" s="34"/>
    </row>
    <row r="626" customFormat="false" ht="15" hidden="false" customHeight="false" outlineLevel="0" collapsed="false">
      <c r="A626" s="34"/>
      <c r="B626" s="35"/>
      <c r="C626" s="36" t="str">
        <f aca="false">IF(B626="","",DATE(YEAR(B626),MONTH(B626),1))</f>
        <v/>
      </c>
      <c r="D626" s="34"/>
      <c r="E626" s="34"/>
      <c r="F626" s="34"/>
      <c r="G626" s="34"/>
      <c r="H626" s="34"/>
      <c r="I626" s="34"/>
      <c r="J626" s="37"/>
      <c r="K626" s="34"/>
      <c r="L626" s="38" t="str">
        <f aca="false">IF(I626="","",I626*N(J626)*IF(K626="",1,K626))</f>
        <v/>
      </c>
      <c r="M626" s="34"/>
    </row>
    <row r="627" customFormat="false" ht="15" hidden="false" customHeight="false" outlineLevel="0" collapsed="false">
      <c r="A627" s="34"/>
      <c r="B627" s="35"/>
      <c r="C627" s="36" t="str">
        <f aca="false">IF(B627="","",DATE(YEAR(B627),MONTH(B627),1))</f>
        <v/>
      </c>
      <c r="D627" s="34"/>
      <c r="E627" s="34"/>
      <c r="F627" s="34"/>
      <c r="G627" s="34"/>
      <c r="H627" s="34"/>
      <c r="I627" s="34"/>
      <c r="J627" s="37"/>
      <c r="K627" s="34"/>
      <c r="L627" s="38" t="str">
        <f aca="false">IF(I627="","",I627*N(J627)*IF(K627="",1,K627))</f>
        <v/>
      </c>
      <c r="M627" s="34"/>
    </row>
    <row r="628" customFormat="false" ht="15" hidden="false" customHeight="false" outlineLevel="0" collapsed="false">
      <c r="A628" s="34"/>
      <c r="B628" s="35"/>
      <c r="C628" s="36" t="str">
        <f aca="false">IF(B628="","",DATE(YEAR(B628),MONTH(B628),1))</f>
        <v/>
      </c>
      <c r="D628" s="34"/>
      <c r="E628" s="34"/>
      <c r="F628" s="34"/>
      <c r="G628" s="34"/>
      <c r="H628" s="34"/>
      <c r="I628" s="34"/>
      <c r="J628" s="37"/>
      <c r="K628" s="34"/>
      <c r="L628" s="38" t="str">
        <f aca="false">IF(I628="","",I628*N(J628)*IF(K628="",1,K628))</f>
        <v/>
      </c>
      <c r="M628" s="34"/>
    </row>
    <row r="629" customFormat="false" ht="15" hidden="false" customHeight="false" outlineLevel="0" collapsed="false">
      <c r="A629" s="34"/>
      <c r="B629" s="35"/>
      <c r="C629" s="36" t="str">
        <f aca="false">IF(B629="","",DATE(YEAR(B629),MONTH(B629),1))</f>
        <v/>
      </c>
      <c r="D629" s="34"/>
      <c r="E629" s="34"/>
      <c r="F629" s="34"/>
      <c r="G629" s="34"/>
      <c r="H629" s="34"/>
      <c r="I629" s="34"/>
      <c r="J629" s="37"/>
      <c r="K629" s="34"/>
      <c r="L629" s="38" t="str">
        <f aca="false">IF(I629="","",I629*N(J629)*IF(K629="",1,K629))</f>
        <v/>
      </c>
      <c r="M629" s="34"/>
    </row>
    <row r="630" customFormat="false" ht="15" hidden="false" customHeight="false" outlineLevel="0" collapsed="false">
      <c r="A630" s="34"/>
      <c r="B630" s="35"/>
      <c r="C630" s="36" t="str">
        <f aca="false">IF(B630="","",DATE(YEAR(B630),MONTH(B630),1))</f>
        <v/>
      </c>
      <c r="D630" s="34"/>
      <c r="E630" s="34"/>
      <c r="F630" s="34"/>
      <c r="G630" s="34"/>
      <c r="H630" s="34"/>
      <c r="I630" s="34"/>
      <c r="J630" s="37"/>
      <c r="K630" s="34"/>
      <c r="L630" s="38" t="str">
        <f aca="false">IF(I630="","",I630*N(J630)*IF(K630="",1,K630))</f>
        <v/>
      </c>
      <c r="M630" s="34"/>
    </row>
    <row r="631" customFormat="false" ht="15" hidden="false" customHeight="false" outlineLevel="0" collapsed="false">
      <c r="A631" s="34"/>
      <c r="B631" s="35"/>
      <c r="C631" s="36" t="str">
        <f aca="false">IF(B631="","",DATE(YEAR(B631),MONTH(B631),1))</f>
        <v/>
      </c>
      <c r="D631" s="34"/>
      <c r="E631" s="34"/>
      <c r="F631" s="34"/>
      <c r="G631" s="34"/>
      <c r="H631" s="34"/>
      <c r="I631" s="34"/>
      <c r="J631" s="37"/>
      <c r="K631" s="34"/>
      <c r="L631" s="38" t="str">
        <f aca="false">IF(I631="","",I631*N(J631)*IF(K631="",1,K631))</f>
        <v/>
      </c>
      <c r="M631" s="34"/>
    </row>
    <row r="632" customFormat="false" ht="15" hidden="false" customHeight="false" outlineLevel="0" collapsed="false">
      <c r="A632" s="34"/>
      <c r="B632" s="35"/>
      <c r="C632" s="36" t="str">
        <f aca="false">IF(B632="","",DATE(YEAR(B632),MONTH(B632),1))</f>
        <v/>
      </c>
      <c r="D632" s="34"/>
      <c r="E632" s="34"/>
      <c r="F632" s="34"/>
      <c r="G632" s="34"/>
      <c r="H632" s="34"/>
      <c r="I632" s="34"/>
      <c r="J632" s="37"/>
      <c r="K632" s="34"/>
      <c r="L632" s="38" t="str">
        <f aca="false">IF(I632="","",I632*N(J632)*IF(K632="",1,K632))</f>
        <v/>
      </c>
      <c r="M632" s="34"/>
    </row>
    <row r="633" customFormat="false" ht="15" hidden="false" customHeight="false" outlineLevel="0" collapsed="false">
      <c r="A633" s="34"/>
      <c r="B633" s="35"/>
      <c r="C633" s="36" t="str">
        <f aca="false">IF(B633="","",DATE(YEAR(B633),MONTH(B633),1))</f>
        <v/>
      </c>
      <c r="D633" s="34"/>
      <c r="E633" s="34"/>
      <c r="F633" s="34"/>
      <c r="G633" s="34"/>
      <c r="H633" s="34"/>
      <c r="I633" s="34"/>
      <c r="J633" s="37"/>
      <c r="K633" s="34"/>
      <c r="L633" s="38" t="str">
        <f aca="false">IF(I633="","",I633*N(J633)*IF(K633="",1,K633))</f>
        <v/>
      </c>
      <c r="M633" s="34"/>
    </row>
    <row r="634" customFormat="false" ht="15" hidden="false" customHeight="false" outlineLevel="0" collapsed="false">
      <c r="A634" s="34"/>
      <c r="B634" s="35"/>
      <c r="C634" s="36" t="str">
        <f aca="false">IF(B634="","",DATE(YEAR(B634),MONTH(B634),1))</f>
        <v/>
      </c>
      <c r="D634" s="34"/>
      <c r="E634" s="34"/>
      <c r="F634" s="34"/>
      <c r="G634" s="34"/>
      <c r="H634" s="34"/>
      <c r="I634" s="34"/>
      <c r="J634" s="37"/>
      <c r="K634" s="34"/>
      <c r="L634" s="38" t="str">
        <f aca="false">IF(I634="","",I634*N(J634)*IF(K634="",1,K634))</f>
        <v/>
      </c>
      <c r="M634" s="34"/>
    </row>
    <row r="635" customFormat="false" ht="15" hidden="false" customHeight="false" outlineLevel="0" collapsed="false">
      <c r="A635" s="34"/>
      <c r="B635" s="35"/>
      <c r="C635" s="36" t="str">
        <f aca="false">IF(B635="","",DATE(YEAR(B635),MONTH(B635),1))</f>
        <v/>
      </c>
      <c r="D635" s="34"/>
      <c r="E635" s="34"/>
      <c r="F635" s="34"/>
      <c r="G635" s="34"/>
      <c r="H635" s="34"/>
      <c r="I635" s="34"/>
      <c r="J635" s="37"/>
      <c r="K635" s="34"/>
      <c r="L635" s="38" t="str">
        <f aca="false">IF(I635="","",I635*N(J635)*IF(K635="",1,K635))</f>
        <v/>
      </c>
      <c r="M635" s="34"/>
    </row>
    <row r="636" customFormat="false" ht="15" hidden="false" customHeight="false" outlineLevel="0" collapsed="false">
      <c r="A636" s="34"/>
      <c r="B636" s="35"/>
      <c r="C636" s="36" t="str">
        <f aca="false">IF(B636="","",DATE(YEAR(B636),MONTH(B636),1))</f>
        <v/>
      </c>
      <c r="D636" s="34"/>
      <c r="E636" s="34"/>
      <c r="F636" s="34"/>
      <c r="G636" s="34"/>
      <c r="H636" s="34"/>
      <c r="I636" s="34"/>
      <c r="J636" s="37"/>
      <c r="K636" s="34"/>
      <c r="L636" s="38" t="str">
        <f aca="false">IF(I636="","",I636*N(J636)*IF(K636="",1,K636))</f>
        <v/>
      </c>
      <c r="M636" s="34"/>
    </row>
    <row r="637" customFormat="false" ht="15" hidden="false" customHeight="false" outlineLevel="0" collapsed="false">
      <c r="A637" s="34"/>
      <c r="B637" s="35"/>
      <c r="C637" s="36" t="str">
        <f aca="false">IF(B637="","",DATE(YEAR(B637),MONTH(B637),1))</f>
        <v/>
      </c>
      <c r="D637" s="34"/>
      <c r="E637" s="34"/>
      <c r="F637" s="34"/>
      <c r="G637" s="34"/>
      <c r="H637" s="34"/>
      <c r="I637" s="34"/>
      <c r="J637" s="37"/>
      <c r="K637" s="34"/>
      <c r="L637" s="38" t="str">
        <f aca="false">IF(I637="","",I637*N(J637)*IF(K637="",1,K637))</f>
        <v/>
      </c>
      <c r="M637" s="34"/>
    </row>
    <row r="638" customFormat="false" ht="15" hidden="false" customHeight="false" outlineLevel="0" collapsed="false">
      <c r="A638" s="34"/>
      <c r="B638" s="35"/>
      <c r="C638" s="36" t="str">
        <f aca="false">IF(B638="","",DATE(YEAR(B638),MONTH(B638),1))</f>
        <v/>
      </c>
      <c r="D638" s="34"/>
      <c r="E638" s="34"/>
      <c r="F638" s="34"/>
      <c r="G638" s="34"/>
      <c r="H638" s="34"/>
      <c r="I638" s="34"/>
      <c r="J638" s="37"/>
      <c r="K638" s="34"/>
      <c r="L638" s="38" t="str">
        <f aca="false">IF(I638="","",I638*N(J638)*IF(K638="",1,K638))</f>
        <v/>
      </c>
      <c r="M638" s="34"/>
    </row>
    <row r="639" customFormat="false" ht="15" hidden="false" customHeight="false" outlineLevel="0" collapsed="false">
      <c r="A639" s="34"/>
      <c r="B639" s="35"/>
      <c r="C639" s="36" t="str">
        <f aca="false">IF(B639="","",DATE(YEAR(B639),MONTH(B639),1))</f>
        <v/>
      </c>
      <c r="D639" s="34"/>
      <c r="E639" s="34"/>
      <c r="F639" s="34"/>
      <c r="G639" s="34"/>
      <c r="H639" s="34"/>
      <c r="I639" s="34"/>
      <c r="J639" s="37"/>
      <c r="K639" s="34"/>
      <c r="L639" s="38" t="str">
        <f aca="false">IF(I639="","",I639*N(J639)*IF(K639="",1,K639))</f>
        <v/>
      </c>
      <c r="M639" s="34"/>
    </row>
    <row r="640" customFormat="false" ht="15" hidden="false" customHeight="false" outlineLevel="0" collapsed="false">
      <c r="A640" s="34"/>
      <c r="B640" s="35"/>
      <c r="C640" s="36" t="str">
        <f aca="false">IF(B640="","",DATE(YEAR(B640),MONTH(B640),1))</f>
        <v/>
      </c>
      <c r="D640" s="34"/>
      <c r="E640" s="34"/>
      <c r="F640" s="34"/>
      <c r="G640" s="34"/>
      <c r="H640" s="34"/>
      <c r="I640" s="34"/>
      <c r="J640" s="37"/>
      <c r="K640" s="34"/>
      <c r="L640" s="38" t="str">
        <f aca="false">IF(I640="","",I640*N(J640)*IF(K640="",1,K640))</f>
        <v/>
      </c>
      <c r="M640" s="34"/>
    </row>
    <row r="641" customFormat="false" ht="15" hidden="false" customHeight="false" outlineLevel="0" collapsed="false">
      <c r="A641" s="34"/>
      <c r="B641" s="35"/>
      <c r="C641" s="36" t="str">
        <f aca="false">IF(B641="","",DATE(YEAR(B641),MONTH(B641),1))</f>
        <v/>
      </c>
      <c r="D641" s="34"/>
      <c r="E641" s="34"/>
      <c r="F641" s="34"/>
      <c r="G641" s="34"/>
      <c r="H641" s="34"/>
      <c r="I641" s="34"/>
      <c r="J641" s="37"/>
      <c r="K641" s="34"/>
      <c r="L641" s="38" t="str">
        <f aca="false">IF(I641="","",I641*N(J641)*IF(K641="",1,K641))</f>
        <v/>
      </c>
      <c r="M641" s="34"/>
    </row>
    <row r="642" customFormat="false" ht="15" hidden="false" customHeight="false" outlineLevel="0" collapsed="false">
      <c r="A642" s="34"/>
      <c r="B642" s="35"/>
      <c r="C642" s="36" t="str">
        <f aca="false">IF(B642="","",DATE(YEAR(B642),MONTH(B642),1))</f>
        <v/>
      </c>
      <c r="D642" s="34"/>
      <c r="E642" s="34"/>
      <c r="F642" s="34"/>
      <c r="G642" s="34"/>
      <c r="H642" s="34"/>
      <c r="I642" s="34"/>
      <c r="J642" s="37"/>
      <c r="K642" s="34"/>
      <c r="L642" s="38" t="str">
        <f aca="false">IF(I642="","",I642*N(J642)*IF(K642="",1,K642))</f>
        <v/>
      </c>
      <c r="M642" s="34"/>
    </row>
    <row r="643" customFormat="false" ht="15" hidden="false" customHeight="false" outlineLevel="0" collapsed="false">
      <c r="A643" s="34"/>
      <c r="B643" s="35"/>
      <c r="C643" s="36" t="str">
        <f aca="false">IF(B643="","",DATE(YEAR(B643),MONTH(B643),1))</f>
        <v/>
      </c>
      <c r="D643" s="34"/>
      <c r="E643" s="34"/>
      <c r="F643" s="34"/>
      <c r="G643" s="34"/>
      <c r="H643" s="34"/>
      <c r="I643" s="34"/>
      <c r="J643" s="37"/>
      <c r="K643" s="34"/>
      <c r="L643" s="38" t="str">
        <f aca="false">IF(I643="","",I643*N(J643)*IF(K643="",1,K643))</f>
        <v/>
      </c>
      <c r="M643" s="34"/>
    </row>
    <row r="644" customFormat="false" ht="15" hidden="false" customHeight="false" outlineLevel="0" collapsed="false">
      <c r="A644" s="34"/>
      <c r="B644" s="35"/>
      <c r="C644" s="36" t="str">
        <f aca="false">IF(B644="","",DATE(YEAR(B644),MONTH(B644),1))</f>
        <v/>
      </c>
      <c r="D644" s="34"/>
      <c r="E644" s="34"/>
      <c r="F644" s="34"/>
      <c r="G644" s="34"/>
      <c r="H644" s="34"/>
      <c r="I644" s="34"/>
      <c r="J644" s="37"/>
      <c r="K644" s="34"/>
      <c r="L644" s="38" t="str">
        <f aca="false">IF(I644="","",I644*N(J644)*IF(K644="",1,K644))</f>
        <v/>
      </c>
      <c r="M644" s="34"/>
    </row>
    <row r="645" customFormat="false" ht="15" hidden="false" customHeight="false" outlineLevel="0" collapsed="false">
      <c r="A645" s="34"/>
      <c r="B645" s="35"/>
      <c r="C645" s="36" t="str">
        <f aca="false">IF(B645="","",DATE(YEAR(B645),MONTH(B645),1))</f>
        <v/>
      </c>
      <c r="D645" s="34"/>
      <c r="E645" s="34"/>
      <c r="F645" s="34"/>
      <c r="G645" s="34"/>
      <c r="H645" s="34"/>
      <c r="I645" s="34"/>
      <c r="J645" s="37"/>
      <c r="K645" s="34"/>
      <c r="L645" s="38" t="str">
        <f aca="false">IF(I645="","",I645*N(J645)*IF(K645="",1,K645))</f>
        <v/>
      </c>
      <c r="M645" s="34"/>
    </row>
    <row r="646" customFormat="false" ht="15" hidden="false" customHeight="false" outlineLevel="0" collapsed="false">
      <c r="A646" s="34"/>
      <c r="B646" s="35"/>
      <c r="C646" s="36" t="str">
        <f aca="false">IF(B646="","",DATE(YEAR(B646),MONTH(B646),1))</f>
        <v/>
      </c>
      <c r="D646" s="34"/>
      <c r="E646" s="34"/>
      <c r="F646" s="34"/>
      <c r="G646" s="34"/>
      <c r="H646" s="34"/>
      <c r="I646" s="34"/>
      <c r="J646" s="37"/>
      <c r="K646" s="34"/>
      <c r="L646" s="38" t="str">
        <f aca="false">IF(I646="","",I646*N(J646)*IF(K646="",1,K646))</f>
        <v/>
      </c>
      <c r="M646" s="34"/>
    </row>
    <row r="647" customFormat="false" ht="15" hidden="false" customHeight="false" outlineLevel="0" collapsed="false">
      <c r="A647" s="34"/>
      <c r="B647" s="35"/>
      <c r="C647" s="36" t="str">
        <f aca="false">IF(B647="","",DATE(YEAR(B647),MONTH(B647),1))</f>
        <v/>
      </c>
      <c r="D647" s="34"/>
      <c r="E647" s="34"/>
      <c r="F647" s="34"/>
      <c r="G647" s="34"/>
      <c r="H647" s="34"/>
      <c r="I647" s="34"/>
      <c r="J647" s="37"/>
      <c r="K647" s="34"/>
      <c r="L647" s="38" t="str">
        <f aca="false">IF(I647="","",I647*N(J647)*IF(K647="",1,K647))</f>
        <v/>
      </c>
      <c r="M647" s="34"/>
    </row>
    <row r="648" customFormat="false" ht="15" hidden="false" customHeight="false" outlineLevel="0" collapsed="false">
      <c r="A648" s="34"/>
      <c r="B648" s="35"/>
      <c r="C648" s="36" t="str">
        <f aca="false">IF(B648="","",DATE(YEAR(B648),MONTH(B648),1))</f>
        <v/>
      </c>
      <c r="D648" s="34"/>
      <c r="E648" s="34"/>
      <c r="F648" s="34"/>
      <c r="G648" s="34"/>
      <c r="H648" s="34"/>
      <c r="I648" s="34"/>
      <c r="J648" s="37"/>
      <c r="K648" s="34"/>
      <c r="L648" s="38" t="str">
        <f aca="false">IF(I648="","",I648*N(J648)*IF(K648="",1,K648))</f>
        <v/>
      </c>
      <c r="M648" s="34"/>
    </row>
    <row r="649" customFormat="false" ht="15" hidden="false" customHeight="false" outlineLevel="0" collapsed="false">
      <c r="A649" s="34"/>
      <c r="B649" s="35"/>
      <c r="C649" s="36" t="str">
        <f aca="false">IF(B649="","",DATE(YEAR(B649),MONTH(B649),1))</f>
        <v/>
      </c>
      <c r="D649" s="34"/>
      <c r="E649" s="34"/>
      <c r="F649" s="34"/>
      <c r="G649" s="34"/>
      <c r="H649" s="34"/>
      <c r="I649" s="34"/>
      <c r="J649" s="37"/>
      <c r="K649" s="34"/>
      <c r="L649" s="38" t="str">
        <f aca="false">IF(I649="","",I649*N(J649)*IF(K649="",1,K649))</f>
        <v/>
      </c>
      <c r="M649" s="34"/>
    </row>
    <row r="650" customFormat="false" ht="15" hidden="false" customHeight="false" outlineLevel="0" collapsed="false">
      <c r="A650" s="34"/>
      <c r="B650" s="35"/>
      <c r="C650" s="36" t="str">
        <f aca="false">IF(B650="","",DATE(YEAR(B650),MONTH(B650),1))</f>
        <v/>
      </c>
      <c r="D650" s="34"/>
      <c r="E650" s="34"/>
      <c r="F650" s="34"/>
      <c r="G650" s="34"/>
      <c r="H650" s="34"/>
      <c r="I650" s="34"/>
      <c r="J650" s="37"/>
      <c r="K650" s="34"/>
      <c r="L650" s="38" t="str">
        <f aca="false">IF(I650="","",I650*N(J650)*IF(K650="",1,K650))</f>
        <v/>
      </c>
      <c r="M650" s="34"/>
    </row>
    <row r="651" customFormat="false" ht="15" hidden="false" customHeight="false" outlineLevel="0" collapsed="false">
      <c r="A651" s="34"/>
      <c r="B651" s="35"/>
      <c r="C651" s="36" t="str">
        <f aca="false">IF(B651="","",DATE(YEAR(B651),MONTH(B651),1))</f>
        <v/>
      </c>
      <c r="D651" s="34"/>
      <c r="E651" s="34"/>
      <c r="F651" s="34"/>
      <c r="G651" s="34"/>
      <c r="H651" s="34"/>
      <c r="I651" s="34"/>
      <c r="J651" s="37"/>
      <c r="K651" s="34"/>
      <c r="L651" s="38" t="str">
        <f aca="false">IF(I651="","",I651*N(J651)*IF(K651="",1,K651))</f>
        <v/>
      </c>
      <c r="M651" s="34"/>
    </row>
    <row r="652" customFormat="false" ht="15" hidden="false" customHeight="false" outlineLevel="0" collapsed="false">
      <c r="A652" s="34"/>
      <c r="B652" s="35"/>
      <c r="C652" s="36" t="str">
        <f aca="false">IF(B652="","",DATE(YEAR(B652),MONTH(B652),1))</f>
        <v/>
      </c>
      <c r="D652" s="34"/>
      <c r="E652" s="34"/>
      <c r="F652" s="34"/>
      <c r="G652" s="34"/>
      <c r="H652" s="34"/>
      <c r="I652" s="34"/>
      <c r="J652" s="37"/>
      <c r="K652" s="34"/>
      <c r="L652" s="38" t="str">
        <f aca="false">IF(I652="","",I652*N(J652)*IF(K652="",1,K652))</f>
        <v/>
      </c>
      <c r="M652" s="34"/>
    </row>
    <row r="653" customFormat="false" ht="15" hidden="false" customHeight="false" outlineLevel="0" collapsed="false">
      <c r="A653" s="34"/>
      <c r="B653" s="35"/>
      <c r="C653" s="36" t="str">
        <f aca="false">IF(B653="","",DATE(YEAR(B653),MONTH(B653),1))</f>
        <v/>
      </c>
      <c r="D653" s="34"/>
      <c r="E653" s="34"/>
      <c r="F653" s="34"/>
      <c r="G653" s="34"/>
      <c r="H653" s="34"/>
      <c r="I653" s="34"/>
      <c r="J653" s="37"/>
      <c r="K653" s="34"/>
      <c r="L653" s="38" t="str">
        <f aca="false">IF(I653="","",I653*N(J653)*IF(K653="",1,K653))</f>
        <v/>
      </c>
      <c r="M653" s="34"/>
    </row>
    <row r="654" customFormat="false" ht="15" hidden="false" customHeight="false" outlineLevel="0" collapsed="false">
      <c r="A654" s="34"/>
      <c r="B654" s="35"/>
      <c r="C654" s="36" t="str">
        <f aca="false">IF(B654="","",DATE(YEAR(B654),MONTH(B654),1))</f>
        <v/>
      </c>
      <c r="D654" s="34"/>
      <c r="E654" s="34"/>
      <c r="F654" s="34"/>
      <c r="G654" s="34"/>
      <c r="H654" s="34"/>
      <c r="I654" s="34"/>
      <c r="J654" s="37"/>
      <c r="K654" s="34"/>
      <c r="L654" s="38" t="str">
        <f aca="false">IF(I654="","",I654*N(J654)*IF(K654="",1,K654))</f>
        <v/>
      </c>
      <c r="M654" s="34"/>
    </row>
    <row r="655" customFormat="false" ht="15" hidden="false" customHeight="false" outlineLevel="0" collapsed="false">
      <c r="A655" s="34"/>
      <c r="B655" s="35"/>
      <c r="C655" s="36" t="str">
        <f aca="false">IF(B655="","",DATE(YEAR(B655),MONTH(B655),1))</f>
        <v/>
      </c>
      <c r="D655" s="34"/>
      <c r="E655" s="34"/>
      <c r="F655" s="34"/>
      <c r="G655" s="34"/>
      <c r="H655" s="34"/>
      <c r="I655" s="34"/>
      <c r="J655" s="37"/>
      <c r="K655" s="34"/>
      <c r="L655" s="38" t="str">
        <f aca="false">IF(I655="","",I655*N(J655)*IF(K655="",1,K655))</f>
        <v/>
      </c>
      <c r="M655" s="34"/>
    </row>
    <row r="656" customFormat="false" ht="15" hidden="false" customHeight="false" outlineLevel="0" collapsed="false">
      <c r="A656" s="34"/>
      <c r="B656" s="35"/>
      <c r="C656" s="36" t="str">
        <f aca="false">IF(B656="","",DATE(YEAR(B656),MONTH(B656),1))</f>
        <v/>
      </c>
      <c r="D656" s="34"/>
      <c r="E656" s="34"/>
      <c r="F656" s="34"/>
      <c r="G656" s="34"/>
      <c r="H656" s="34"/>
      <c r="I656" s="34"/>
      <c r="J656" s="37"/>
      <c r="K656" s="34"/>
      <c r="L656" s="38" t="str">
        <f aca="false">IF(I656="","",I656*N(J656)*IF(K656="",1,K656))</f>
        <v/>
      </c>
      <c r="M656" s="34"/>
    </row>
    <row r="657" customFormat="false" ht="15" hidden="false" customHeight="false" outlineLevel="0" collapsed="false">
      <c r="A657" s="34"/>
      <c r="B657" s="35"/>
      <c r="C657" s="36" t="str">
        <f aca="false">IF(B657="","",DATE(YEAR(B657),MONTH(B657),1))</f>
        <v/>
      </c>
      <c r="D657" s="34"/>
      <c r="E657" s="34"/>
      <c r="F657" s="34"/>
      <c r="G657" s="34"/>
      <c r="H657" s="34"/>
      <c r="I657" s="34"/>
      <c r="J657" s="37"/>
      <c r="K657" s="34"/>
      <c r="L657" s="38" t="str">
        <f aca="false">IF(I657="","",I657*N(J657)*IF(K657="",1,K657))</f>
        <v/>
      </c>
      <c r="M657" s="34"/>
    </row>
    <row r="658" customFormat="false" ht="15" hidden="false" customHeight="false" outlineLevel="0" collapsed="false">
      <c r="A658" s="34"/>
      <c r="B658" s="35"/>
      <c r="C658" s="36" t="str">
        <f aca="false">IF(B658="","",DATE(YEAR(B658),MONTH(B658),1))</f>
        <v/>
      </c>
      <c r="D658" s="34"/>
      <c r="E658" s="34"/>
      <c r="F658" s="34"/>
      <c r="G658" s="34"/>
      <c r="H658" s="34"/>
      <c r="I658" s="34"/>
      <c r="J658" s="37"/>
      <c r="K658" s="34"/>
      <c r="L658" s="38" t="str">
        <f aca="false">IF(I658="","",I658*N(J658)*IF(K658="",1,K658))</f>
        <v/>
      </c>
      <c r="M658" s="34"/>
    </row>
    <row r="659" customFormat="false" ht="15" hidden="false" customHeight="false" outlineLevel="0" collapsed="false">
      <c r="A659" s="34"/>
      <c r="B659" s="35"/>
      <c r="C659" s="36" t="str">
        <f aca="false">IF(B659="","",DATE(YEAR(B659),MONTH(B659),1))</f>
        <v/>
      </c>
      <c r="D659" s="34"/>
      <c r="E659" s="34"/>
      <c r="F659" s="34"/>
      <c r="G659" s="34"/>
      <c r="H659" s="34"/>
      <c r="I659" s="34"/>
      <c r="J659" s="37"/>
      <c r="K659" s="34"/>
      <c r="L659" s="38" t="str">
        <f aca="false">IF(I659="","",I659*N(J659)*IF(K659="",1,K659))</f>
        <v/>
      </c>
      <c r="M659" s="34"/>
    </row>
    <row r="660" customFormat="false" ht="15" hidden="false" customHeight="false" outlineLevel="0" collapsed="false">
      <c r="A660" s="34"/>
      <c r="B660" s="35"/>
      <c r="C660" s="36" t="str">
        <f aca="false">IF(B660="","",DATE(YEAR(B660),MONTH(B660),1))</f>
        <v/>
      </c>
      <c r="D660" s="34"/>
      <c r="E660" s="34"/>
      <c r="F660" s="34"/>
      <c r="G660" s="34"/>
      <c r="H660" s="34"/>
      <c r="I660" s="34"/>
      <c r="J660" s="37"/>
      <c r="K660" s="34"/>
      <c r="L660" s="38" t="str">
        <f aca="false">IF(I660="","",I660*N(J660)*IF(K660="",1,K660))</f>
        <v/>
      </c>
      <c r="M660" s="34"/>
    </row>
    <row r="661" customFormat="false" ht="15" hidden="false" customHeight="false" outlineLevel="0" collapsed="false">
      <c r="A661" s="34"/>
      <c r="B661" s="35"/>
      <c r="C661" s="36" t="str">
        <f aca="false">IF(B661="","",DATE(YEAR(B661),MONTH(B661),1))</f>
        <v/>
      </c>
      <c r="D661" s="34"/>
      <c r="E661" s="34"/>
      <c r="F661" s="34"/>
      <c r="G661" s="34"/>
      <c r="H661" s="34"/>
      <c r="I661" s="34"/>
      <c r="J661" s="37"/>
      <c r="K661" s="34"/>
      <c r="L661" s="38" t="str">
        <f aca="false">IF(I661="","",I661*N(J661)*IF(K661="",1,K661))</f>
        <v/>
      </c>
      <c r="M661" s="34"/>
    </row>
    <row r="662" customFormat="false" ht="15" hidden="false" customHeight="false" outlineLevel="0" collapsed="false">
      <c r="A662" s="34"/>
      <c r="B662" s="35"/>
      <c r="C662" s="36" t="str">
        <f aca="false">IF(B662="","",DATE(YEAR(B662),MONTH(B662),1))</f>
        <v/>
      </c>
      <c r="D662" s="34"/>
      <c r="E662" s="34"/>
      <c r="F662" s="34"/>
      <c r="G662" s="34"/>
      <c r="H662" s="34"/>
      <c r="I662" s="34"/>
      <c r="J662" s="37"/>
      <c r="K662" s="34"/>
      <c r="L662" s="38" t="str">
        <f aca="false">IF(I662="","",I662*N(J662)*IF(K662="",1,K662))</f>
        <v/>
      </c>
      <c r="M662" s="34"/>
    </row>
    <row r="663" customFormat="false" ht="15" hidden="false" customHeight="false" outlineLevel="0" collapsed="false">
      <c r="A663" s="34"/>
      <c r="B663" s="35"/>
      <c r="C663" s="36" t="str">
        <f aca="false">IF(B663="","",DATE(YEAR(B663),MONTH(B663),1))</f>
        <v/>
      </c>
      <c r="D663" s="34"/>
      <c r="E663" s="34"/>
      <c r="F663" s="34"/>
      <c r="G663" s="34"/>
      <c r="H663" s="34"/>
      <c r="I663" s="34"/>
      <c r="J663" s="37"/>
      <c r="K663" s="34"/>
      <c r="L663" s="38" t="str">
        <f aca="false">IF(I663="","",I663*N(J663)*IF(K663="",1,K663))</f>
        <v/>
      </c>
      <c r="M663" s="34"/>
    </row>
    <row r="664" customFormat="false" ht="15" hidden="false" customHeight="false" outlineLevel="0" collapsed="false">
      <c r="A664" s="34"/>
      <c r="B664" s="35"/>
      <c r="C664" s="36" t="str">
        <f aca="false">IF(B664="","",DATE(YEAR(B664),MONTH(B664),1))</f>
        <v/>
      </c>
      <c r="D664" s="34"/>
      <c r="E664" s="34"/>
      <c r="F664" s="34"/>
      <c r="G664" s="34"/>
      <c r="H664" s="34"/>
      <c r="I664" s="34"/>
      <c r="J664" s="37"/>
      <c r="K664" s="34"/>
      <c r="L664" s="38" t="str">
        <f aca="false">IF(I664="","",I664*N(J664)*IF(K664="",1,K664))</f>
        <v/>
      </c>
      <c r="M664" s="34"/>
    </row>
    <row r="665" customFormat="false" ht="15" hidden="false" customHeight="false" outlineLevel="0" collapsed="false">
      <c r="A665" s="34"/>
      <c r="B665" s="35"/>
      <c r="C665" s="36" t="str">
        <f aca="false">IF(B665="","",DATE(YEAR(B665),MONTH(B665),1))</f>
        <v/>
      </c>
      <c r="D665" s="34"/>
      <c r="E665" s="34"/>
      <c r="F665" s="34"/>
      <c r="G665" s="34"/>
      <c r="H665" s="34"/>
      <c r="I665" s="34"/>
      <c r="J665" s="37"/>
      <c r="K665" s="34"/>
      <c r="L665" s="38" t="str">
        <f aca="false">IF(I665="","",I665*N(J665)*IF(K665="",1,K665))</f>
        <v/>
      </c>
      <c r="M665" s="34"/>
    </row>
    <row r="666" customFormat="false" ht="15" hidden="false" customHeight="false" outlineLevel="0" collapsed="false">
      <c r="A666" s="34"/>
      <c r="B666" s="35"/>
      <c r="C666" s="36" t="str">
        <f aca="false">IF(B666="","",DATE(YEAR(B666),MONTH(B666),1))</f>
        <v/>
      </c>
      <c r="D666" s="34"/>
      <c r="E666" s="34"/>
      <c r="F666" s="34"/>
      <c r="G666" s="34"/>
      <c r="H666" s="34"/>
      <c r="I666" s="34"/>
      <c r="J666" s="37"/>
      <c r="K666" s="34"/>
      <c r="L666" s="38" t="str">
        <f aca="false">IF(I666="","",I666*N(J666)*IF(K666="",1,K666))</f>
        <v/>
      </c>
      <c r="M666" s="34"/>
    </row>
    <row r="667" customFormat="false" ht="15" hidden="false" customHeight="false" outlineLevel="0" collapsed="false">
      <c r="A667" s="34"/>
      <c r="B667" s="35"/>
      <c r="C667" s="36" t="str">
        <f aca="false">IF(B667="","",DATE(YEAR(B667),MONTH(B667),1))</f>
        <v/>
      </c>
      <c r="D667" s="34"/>
      <c r="E667" s="34"/>
      <c r="F667" s="34"/>
      <c r="G667" s="34"/>
      <c r="H667" s="34"/>
      <c r="I667" s="34"/>
      <c r="J667" s="37"/>
      <c r="K667" s="34"/>
      <c r="L667" s="38" t="str">
        <f aca="false">IF(I667="","",I667*N(J667)*IF(K667="",1,K667))</f>
        <v/>
      </c>
      <c r="M667" s="34"/>
    </row>
    <row r="668" customFormat="false" ht="15" hidden="false" customHeight="false" outlineLevel="0" collapsed="false">
      <c r="A668" s="34"/>
      <c r="B668" s="35"/>
      <c r="C668" s="36" t="str">
        <f aca="false">IF(B668="","",DATE(YEAR(B668),MONTH(B668),1))</f>
        <v/>
      </c>
      <c r="D668" s="34"/>
      <c r="E668" s="34"/>
      <c r="F668" s="34"/>
      <c r="G668" s="34"/>
      <c r="H668" s="34"/>
      <c r="I668" s="34"/>
      <c r="J668" s="37"/>
      <c r="K668" s="34"/>
      <c r="L668" s="38" t="str">
        <f aca="false">IF(I668="","",I668*N(J668)*IF(K668="",1,K668))</f>
        <v/>
      </c>
      <c r="M668" s="34"/>
    </row>
    <row r="669" customFormat="false" ht="15" hidden="false" customHeight="false" outlineLevel="0" collapsed="false">
      <c r="A669" s="34"/>
      <c r="B669" s="35"/>
      <c r="C669" s="36" t="str">
        <f aca="false">IF(B669="","",DATE(YEAR(B669),MONTH(B669),1))</f>
        <v/>
      </c>
      <c r="D669" s="34"/>
      <c r="E669" s="34"/>
      <c r="F669" s="34"/>
      <c r="G669" s="34"/>
      <c r="H669" s="34"/>
      <c r="I669" s="34"/>
      <c r="J669" s="37"/>
      <c r="K669" s="34"/>
      <c r="L669" s="38" t="str">
        <f aca="false">IF(I669="","",I669*N(J669)*IF(K669="",1,K669))</f>
        <v/>
      </c>
      <c r="M669" s="34"/>
    </row>
    <row r="670" customFormat="false" ht="15" hidden="false" customHeight="false" outlineLevel="0" collapsed="false">
      <c r="A670" s="34"/>
      <c r="B670" s="35"/>
      <c r="C670" s="36" t="str">
        <f aca="false">IF(B670="","",DATE(YEAR(B670),MONTH(B670),1))</f>
        <v/>
      </c>
      <c r="D670" s="34"/>
      <c r="E670" s="34"/>
      <c r="F670" s="34"/>
      <c r="G670" s="34"/>
      <c r="H670" s="34"/>
      <c r="I670" s="34"/>
      <c r="J670" s="37"/>
      <c r="K670" s="34"/>
      <c r="L670" s="38" t="str">
        <f aca="false">IF(I670="","",I670*N(J670)*IF(K670="",1,K670))</f>
        <v/>
      </c>
      <c r="M670" s="34"/>
    </row>
    <row r="671" customFormat="false" ht="15" hidden="false" customHeight="false" outlineLevel="0" collapsed="false">
      <c r="A671" s="34"/>
      <c r="B671" s="35"/>
      <c r="C671" s="36" t="str">
        <f aca="false">IF(B671="","",DATE(YEAR(B671),MONTH(B671),1))</f>
        <v/>
      </c>
      <c r="D671" s="34"/>
      <c r="E671" s="34"/>
      <c r="F671" s="34"/>
      <c r="G671" s="34"/>
      <c r="H671" s="34"/>
      <c r="I671" s="34"/>
      <c r="J671" s="37"/>
      <c r="K671" s="34"/>
      <c r="L671" s="38" t="str">
        <f aca="false">IF(I671="","",I671*N(J671)*IF(K671="",1,K671))</f>
        <v/>
      </c>
      <c r="M671" s="34"/>
    </row>
    <row r="672" customFormat="false" ht="15" hidden="false" customHeight="false" outlineLevel="0" collapsed="false">
      <c r="A672" s="34"/>
      <c r="B672" s="35"/>
      <c r="C672" s="36" t="str">
        <f aca="false">IF(B672="","",DATE(YEAR(B672),MONTH(B672),1))</f>
        <v/>
      </c>
      <c r="D672" s="34"/>
      <c r="E672" s="34"/>
      <c r="F672" s="34"/>
      <c r="G672" s="34"/>
      <c r="H672" s="34"/>
      <c r="I672" s="34"/>
      <c r="J672" s="37"/>
      <c r="K672" s="34"/>
      <c r="L672" s="38" t="str">
        <f aca="false">IF(I672="","",I672*N(J672)*IF(K672="",1,K672))</f>
        <v/>
      </c>
      <c r="M672" s="34"/>
    </row>
    <row r="673" customFormat="false" ht="15" hidden="false" customHeight="false" outlineLevel="0" collapsed="false">
      <c r="A673" s="34"/>
      <c r="B673" s="35"/>
      <c r="C673" s="36" t="str">
        <f aca="false">IF(B673="","",DATE(YEAR(B673),MONTH(B673),1))</f>
        <v/>
      </c>
      <c r="D673" s="34"/>
      <c r="E673" s="34"/>
      <c r="F673" s="34"/>
      <c r="G673" s="34"/>
      <c r="H673" s="34"/>
      <c r="I673" s="34"/>
      <c r="J673" s="37"/>
      <c r="K673" s="34"/>
      <c r="L673" s="38" t="str">
        <f aca="false">IF(I673="","",I673*N(J673)*IF(K673="",1,K673))</f>
        <v/>
      </c>
      <c r="M673" s="34"/>
    </row>
    <row r="674" customFormat="false" ht="15" hidden="false" customHeight="false" outlineLevel="0" collapsed="false">
      <c r="A674" s="34"/>
      <c r="B674" s="35"/>
      <c r="C674" s="36" t="str">
        <f aca="false">IF(B674="","",DATE(YEAR(B674),MONTH(B674),1))</f>
        <v/>
      </c>
      <c r="D674" s="34"/>
      <c r="E674" s="34"/>
      <c r="F674" s="34"/>
      <c r="G674" s="34"/>
      <c r="H674" s="34"/>
      <c r="I674" s="34"/>
      <c r="J674" s="37"/>
      <c r="K674" s="34"/>
      <c r="L674" s="38" t="str">
        <f aca="false">IF(I674="","",I674*N(J674)*IF(K674="",1,K674))</f>
        <v/>
      </c>
      <c r="M674" s="34"/>
    </row>
    <row r="675" customFormat="false" ht="15" hidden="false" customHeight="false" outlineLevel="0" collapsed="false">
      <c r="A675" s="34"/>
      <c r="B675" s="35"/>
      <c r="C675" s="36" t="str">
        <f aca="false">IF(B675="","",DATE(YEAR(B675),MONTH(B675),1))</f>
        <v/>
      </c>
      <c r="D675" s="34"/>
      <c r="E675" s="34"/>
      <c r="F675" s="34"/>
      <c r="G675" s="34"/>
      <c r="H675" s="34"/>
      <c r="I675" s="34"/>
      <c r="J675" s="37"/>
      <c r="K675" s="34"/>
      <c r="L675" s="38" t="str">
        <f aca="false">IF(I675="","",I675*N(J675)*IF(K675="",1,K675))</f>
        <v/>
      </c>
      <c r="M675" s="34"/>
    </row>
    <row r="676" customFormat="false" ht="15" hidden="false" customHeight="false" outlineLevel="0" collapsed="false">
      <c r="A676" s="34"/>
      <c r="B676" s="35"/>
      <c r="C676" s="36" t="str">
        <f aca="false">IF(B676="","",DATE(YEAR(B676),MONTH(B676),1))</f>
        <v/>
      </c>
      <c r="D676" s="34"/>
      <c r="E676" s="34"/>
      <c r="F676" s="34"/>
      <c r="G676" s="34"/>
      <c r="H676" s="34"/>
      <c r="I676" s="34"/>
      <c r="J676" s="37"/>
      <c r="K676" s="34"/>
      <c r="L676" s="38" t="str">
        <f aca="false">IF(I676="","",I676*N(J676)*IF(K676="",1,K676))</f>
        <v/>
      </c>
      <c r="M676" s="34"/>
    </row>
    <row r="677" customFormat="false" ht="15" hidden="false" customHeight="false" outlineLevel="0" collapsed="false">
      <c r="A677" s="34"/>
      <c r="B677" s="35"/>
      <c r="C677" s="36" t="str">
        <f aca="false">IF(B677="","",DATE(YEAR(B677),MONTH(B677),1))</f>
        <v/>
      </c>
      <c r="D677" s="34"/>
      <c r="E677" s="34"/>
      <c r="F677" s="34"/>
      <c r="G677" s="34"/>
      <c r="H677" s="34"/>
      <c r="I677" s="34"/>
      <c r="J677" s="37"/>
      <c r="K677" s="34"/>
      <c r="L677" s="38" t="str">
        <f aca="false">IF(I677="","",I677*N(J677)*IF(K677="",1,K677))</f>
        <v/>
      </c>
      <c r="M677" s="34"/>
    </row>
    <row r="678" customFormat="false" ht="15" hidden="false" customHeight="false" outlineLevel="0" collapsed="false">
      <c r="A678" s="34"/>
      <c r="B678" s="35"/>
      <c r="C678" s="36" t="str">
        <f aca="false">IF(B678="","",DATE(YEAR(B678),MONTH(B678),1))</f>
        <v/>
      </c>
      <c r="D678" s="34"/>
      <c r="E678" s="34"/>
      <c r="F678" s="34"/>
      <c r="G678" s="34"/>
      <c r="H678" s="34"/>
      <c r="I678" s="34"/>
      <c r="J678" s="37"/>
      <c r="K678" s="34"/>
      <c r="L678" s="38" t="str">
        <f aca="false">IF(I678="","",I678*N(J678)*IF(K678="",1,K678))</f>
        <v/>
      </c>
      <c r="M678" s="34"/>
    </row>
    <row r="679" customFormat="false" ht="15" hidden="false" customHeight="false" outlineLevel="0" collapsed="false">
      <c r="A679" s="34"/>
      <c r="B679" s="35"/>
      <c r="C679" s="36" t="str">
        <f aca="false">IF(B679="","",DATE(YEAR(B679),MONTH(B679),1))</f>
        <v/>
      </c>
      <c r="D679" s="34"/>
      <c r="E679" s="34"/>
      <c r="F679" s="34"/>
      <c r="G679" s="34"/>
      <c r="H679" s="34"/>
      <c r="I679" s="34"/>
      <c r="J679" s="37"/>
      <c r="K679" s="34"/>
      <c r="L679" s="38" t="str">
        <f aca="false">IF(I679="","",I679*N(J679)*IF(K679="",1,K679))</f>
        <v/>
      </c>
      <c r="M679" s="34"/>
    </row>
    <row r="680" customFormat="false" ht="15" hidden="false" customHeight="false" outlineLevel="0" collapsed="false">
      <c r="A680" s="34"/>
      <c r="B680" s="35"/>
      <c r="C680" s="36" t="str">
        <f aca="false">IF(B680="","",DATE(YEAR(B680),MONTH(B680),1))</f>
        <v/>
      </c>
      <c r="D680" s="34"/>
      <c r="E680" s="34"/>
      <c r="F680" s="34"/>
      <c r="G680" s="34"/>
      <c r="H680" s="34"/>
      <c r="I680" s="34"/>
      <c r="J680" s="37"/>
      <c r="K680" s="34"/>
      <c r="L680" s="38" t="str">
        <f aca="false">IF(I680="","",I680*N(J680)*IF(K680="",1,K680))</f>
        <v/>
      </c>
      <c r="M680" s="34"/>
    </row>
    <row r="681" customFormat="false" ht="15" hidden="false" customHeight="false" outlineLevel="0" collapsed="false">
      <c r="A681" s="34"/>
      <c r="B681" s="35"/>
      <c r="C681" s="36" t="str">
        <f aca="false">IF(B681="","",DATE(YEAR(B681),MONTH(B681),1))</f>
        <v/>
      </c>
      <c r="D681" s="34"/>
      <c r="E681" s="34"/>
      <c r="F681" s="34"/>
      <c r="G681" s="34"/>
      <c r="H681" s="34"/>
      <c r="I681" s="34"/>
      <c r="J681" s="37"/>
      <c r="K681" s="34"/>
      <c r="L681" s="38" t="str">
        <f aca="false">IF(I681="","",I681*N(J681)*IF(K681="",1,K681))</f>
        <v/>
      </c>
      <c r="M681" s="34"/>
    </row>
    <row r="682" customFormat="false" ht="15" hidden="false" customHeight="false" outlineLevel="0" collapsed="false">
      <c r="A682" s="34"/>
      <c r="B682" s="35"/>
      <c r="C682" s="36" t="str">
        <f aca="false">IF(B682="","",DATE(YEAR(B682),MONTH(B682),1))</f>
        <v/>
      </c>
      <c r="D682" s="34"/>
      <c r="E682" s="34"/>
      <c r="F682" s="34"/>
      <c r="G682" s="34"/>
      <c r="H682" s="34"/>
      <c r="I682" s="34"/>
      <c r="J682" s="37"/>
      <c r="K682" s="34"/>
      <c r="L682" s="38" t="str">
        <f aca="false">IF(I682="","",I682*N(J682)*IF(K682="",1,K682))</f>
        <v/>
      </c>
      <c r="M682" s="34"/>
    </row>
    <row r="683" customFormat="false" ht="15" hidden="false" customHeight="false" outlineLevel="0" collapsed="false">
      <c r="A683" s="34"/>
      <c r="B683" s="35"/>
      <c r="C683" s="36" t="str">
        <f aca="false">IF(B683="","",DATE(YEAR(B683),MONTH(B683),1))</f>
        <v/>
      </c>
      <c r="D683" s="34"/>
      <c r="E683" s="34"/>
      <c r="F683" s="34"/>
      <c r="G683" s="34"/>
      <c r="H683" s="34"/>
      <c r="I683" s="34"/>
      <c r="J683" s="37"/>
      <c r="K683" s="34"/>
      <c r="L683" s="38" t="str">
        <f aca="false">IF(I683="","",I683*N(J683)*IF(K683="",1,K683))</f>
        <v/>
      </c>
      <c r="M683" s="34"/>
    </row>
    <row r="684" customFormat="false" ht="15" hidden="false" customHeight="false" outlineLevel="0" collapsed="false">
      <c r="A684" s="34"/>
      <c r="B684" s="35"/>
      <c r="C684" s="36" t="str">
        <f aca="false">IF(B684="","",DATE(YEAR(B684),MONTH(B684),1))</f>
        <v/>
      </c>
      <c r="D684" s="34"/>
      <c r="E684" s="34"/>
      <c r="F684" s="34"/>
      <c r="G684" s="34"/>
      <c r="H684" s="34"/>
      <c r="I684" s="34"/>
      <c r="J684" s="37"/>
      <c r="K684" s="34"/>
      <c r="L684" s="38" t="str">
        <f aca="false">IF(I684="","",I684*N(J684)*IF(K684="",1,K684))</f>
        <v/>
      </c>
      <c r="M684" s="34"/>
    </row>
    <row r="685" customFormat="false" ht="15" hidden="false" customHeight="false" outlineLevel="0" collapsed="false">
      <c r="A685" s="34"/>
      <c r="B685" s="35"/>
      <c r="C685" s="36" t="str">
        <f aca="false">IF(B685="","",DATE(YEAR(B685),MONTH(B685),1))</f>
        <v/>
      </c>
      <c r="D685" s="34"/>
      <c r="E685" s="34"/>
      <c r="F685" s="34"/>
      <c r="G685" s="34"/>
      <c r="H685" s="34"/>
      <c r="I685" s="34"/>
      <c r="J685" s="37"/>
      <c r="K685" s="34"/>
      <c r="L685" s="38" t="str">
        <f aca="false">IF(I685="","",I685*N(J685)*IF(K685="",1,K685))</f>
        <v/>
      </c>
      <c r="M685" s="34"/>
    </row>
    <row r="686" customFormat="false" ht="15" hidden="false" customHeight="false" outlineLevel="0" collapsed="false">
      <c r="A686" s="34"/>
      <c r="B686" s="35"/>
      <c r="C686" s="36" t="str">
        <f aca="false">IF(B686="","",DATE(YEAR(B686),MONTH(B686),1))</f>
        <v/>
      </c>
      <c r="D686" s="34"/>
      <c r="E686" s="34"/>
      <c r="F686" s="34"/>
      <c r="G686" s="34"/>
      <c r="H686" s="34"/>
      <c r="I686" s="34"/>
      <c r="J686" s="37"/>
      <c r="K686" s="34"/>
      <c r="L686" s="38" t="str">
        <f aca="false">IF(I686="","",I686*N(J686)*IF(K686="",1,K686))</f>
        <v/>
      </c>
      <c r="M686" s="34"/>
    </row>
    <row r="687" customFormat="false" ht="15" hidden="false" customHeight="false" outlineLevel="0" collapsed="false">
      <c r="A687" s="34"/>
      <c r="B687" s="35"/>
      <c r="C687" s="36" t="str">
        <f aca="false">IF(B687="","",DATE(YEAR(B687),MONTH(B687),1))</f>
        <v/>
      </c>
      <c r="D687" s="34"/>
      <c r="E687" s="34"/>
      <c r="F687" s="34"/>
      <c r="G687" s="34"/>
      <c r="H687" s="34"/>
      <c r="I687" s="34"/>
      <c r="J687" s="37"/>
      <c r="K687" s="34"/>
      <c r="L687" s="38" t="str">
        <f aca="false">IF(I687="","",I687*N(J687)*IF(K687="",1,K687))</f>
        <v/>
      </c>
      <c r="M687" s="34"/>
    </row>
    <row r="688" customFormat="false" ht="15" hidden="false" customHeight="false" outlineLevel="0" collapsed="false">
      <c r="A688" s="34"/>
      <c r="B688" s="35"/>
      <c r="C688" s="36" t="str">
        <f aca="false">IF(B688="","",DATE(YEAR(B688),MONTH(B688),1))</f>
        <v/>
      </c>
      <c r="D688" s="34"/>
      <c r="E688" s="34"/>
      <c r="F688" s="34"/>
      <c r="G688" s="34"/>
      <c r="H688" s="34"/>
      <c r="I688" s="34"/>
      <c r="J688" s="37"/>
      <c r="K688" s="34"/>
      <c r="L688" s="38" t="str">
        <f aca="false">IF(I688="","",I688*N(J688)*IF(K688="",1,K688))</f>
        <v/>
      </c>
      <c r="M688" s="34"/>
    </row>
    <row r="689" customFormat="false" ht="15" hidden="false" customHeight="false" outlineLevel="0" collapsed="false">
      <c r="A689" s="34"/>
      <c r="B689" s="35"/>
      <c r="C689" s="36" t="str">
        <f aca="false">IF(B689="","",DATE(YEAR(B689),MONTH(B689),1))</f>
        <v/>
      </c>
      <c r="D689" s="34"/>
      <c r="E689" s="34"/>
      <c r="F689" s="34"/>
      <c r="G689" s="34"/>
      <c r="H689" s="34"/>
      <c r="I689" s="34"/>
      <c r="J689" s="37"/>
      <c r="K689" s="34"/>
      <c r="L689" s="38" t="str">
        <f aca="false">IF(I689="","",I689*N(J689)*IF(K689="",1,K689))</f>
        <v/>
      </c>
      <c r="M689" s="34"/>
    </row>
    <row r="690" customFormat="false" ht="15" hidden="false" customHeight="false" outlineLevel="0" collapsed="false">
      <c r="A690" s="34"/>
      <c r="B690" s="35"/>
      <c r="C690" s="36" t="str">
        <f aca="false">IF(B690="","",DATE(YEAR(B690),MONTH(B690),1))</f>
        <v/>
      </c>
      <c r="D690" s="34"/>
      <c r="E690" s="34"/>
      <c r="F690" s="34"/>
      <c r="G690" s="34"/>
      <c r="H690" s="34"/>
      <c r="I690" s="34"/>
      <c r="J690" s="37"/>
      <c r="K690" s="34"/>
      <c r="L690" s="38" t="str">
        <f aca="false">IF(I690="","",I690*N(J690)*IF(K690="",1,K690))</f>
        <v/>
      </c>
      <c r="M690" s="34"/>
    </row>
    <row r="691" customFormat="false" ht="15" hidden="false" customHeight="false" outlineLevel="0" collapsed="false">
      <c r="A691" s="34"/>
      <c r="B691" s="35"/>
      <c r="C691" s="36" t="str">
        <f aca="false">IF(B691="","",DATE(YEAR(B691),MONTH(B691),1))</f>
        <v/>
      </c>
      <c r="D691" s="34"/>
      <c r="E691" s="34"/>
      <c r="F691" s="34"/>
      <c r="G691" s="34"/>
      <c r="H691" s="34"/>
      <c r="I691" s="34"/>
      <c r="J691" s="37"/>
      <c r="K691" s="34"/>
      <c r="L691" s="38" t="str">
        <f aca="false">IF(I691="","",I691*N(J691)*IF(K691="",1,K691))</f>
        <v/>
      </c>
      <c r="M691" s="34"/>
    </row>
    <row r="692" customFormat="false" ht="15" hidden="false" customHeight="false" outlineLevel="0" collapsed="false">
      <c r="A692" s="34"/>
      <c r="B692" s="35"/>
      <c r="C692" s="36" t="str">
        <f aca="false">IF(B692="","",DATE(YEAR(B692),MONTH(B692),1))</f>
        <v/>
      </c>
      <c r="D692" s="34"/>
      <c r="E692" s="34"/>
      <c r="F692" s="34"/>
      <c r="G692" s="34"/>
      <c r="H692" s="34"/>
      <c r="I692" s="34"/>
      <c r="J692" s="37"/>
      <c r="K692" s="34"/>
      <c r="L692" s="38" t="str">
        <f aca="false">IF(I692="","",I692*N(J692)*IF(K692="",1,K692))</f>
        <v/>
      </c>
      <c r="M692" s="34"/>
    </row>
    <row r="693" customFormat="false" ht="15" hidden="false" customHeight="false" outlineLevel="0" collapsed="false">
      <c r="A693" s="34"/>
      <c r="B693" s="35"/>
      <c r="C693" s="36" t="str">
        <f aca="false">IF(B693="","",DATE(YEAR(B693),MONTH(B693),1))</f>
        <v/>
      </c>
      <c r="D693" s="34"/>
      <c r="E693" s="34"/>
      <c r="F693" s="34"/>
      <c r="G693" s="34"/>
      <c r="H693" s="34"/>
      <c r="I693" s="34"/>
      <c r="J693" s="37"/>
      <c r="K693" s="34"/>
      <c r="L693" s="38" t="str">
        <f aca="false">IF(I693="","",I693*N(J693)*IF(K693="",1,K693))</f>
        <v/>
      </c>
      <c r="M693" s="34"/>
    </row>
    <row r="694" customFormat="false" ht="15" hidden="false" customHeight="false" outlineLevel="0" collapsed="false">
      <c r="A694" s="34"/>
      <c r="B694" s="35"/>
      <c r="C694" s="36" t="str">
        <f aca="false">IF(B694="","",DATE(YEAR(B694),MONTH(B694),1))</f>
        <v/>
      </c>
      <c r="D694" s="34"/>
      <c r="E694" s="34"/>
      <c r="F694" s="34"/>
      <c r="G694" s="34"/>
      <c r="H694" s="34"/>
      <c r="I694" s="34"/>
      <c r="J694" s="37"/>
      <c r="K694" s="34"/>
      <c r="L694" s="38" t="str">
        <f aca="false">IF(I694="","",I694*N(J694)*IF(K694="",1,K694))</f>
        <v/>
      </c>
      <c r="M694" s="34"/>
    </row>
    <row r="695" customFormat="false" ht="15" hidden="false" customHeight="false" outlineLevel="0" collapsed="false">
      <c r="A695" s="34"/>
      <c r="B695" s="35"/>
      <c r="C695" s="36" t="str">
        <f aca="false">IF(B695="","",DATE(YEAR(B695),MONTH(B695),1))</f>
        <v/>
      </c>
      <c r="D695" s="34"/>
      <c r="E695" s="34"/>
      <c r="F695" s="34"/>
      <c r="G695" s="34"/>
      <c r="H695" s="34"/>
      <c r="I695" s="34"/>
      <c r="J695" s="37"/>
      <c r="K695" s="34"/>
      <c r="L695" s="38" t="str">
        <f aca="false">IF(I695="","",I695*N(J695)*IF(K695="",1,K695))</f>
        <v/>
      </c>
      <c r="M695" s="34"/>
    </row>
    <row r="696" customFormat="false" ht="15" hidden="false" customHeight="false" outlineLevel="0" collapsed="false">
      <c r="A696" s="34"/>
      <c r="B696" s="35"/>
      <c r="C696" s="36" t="str">
        <f aca="false">IF(B696="","",DATE(YEAR(B696),MONTH(B696),1))</f>
        <v/>
      </c>
      <c r="D696" s="34"/>
      <c r="E696" s="34"/>
      <c r="F696" s="34"/>
      <c r="G696" s="34"/>
      <c r="H696" s="34"/>
      <c r="I696" s="34"/>
      <c r="J696" s="37"/>
      <c r="K696" s="34"/>
      <c r="L696" s="38" t="str">
        <f aca="false">IF(I696="","",I696*N(J696)*IF(K696="",1,K696))</f>
        <v/>
      </c>
      <c r="M696" s="34"/>
    </row>
    <row r="697" customFormat="false" ht="15" hidden="false" customHeight="false" outlineLevel="0" collapsed="false">
      <c r="A697" s="34"/>
      <c r="B697" s="35"/>
      <c r="C697" s="36" t="str">
        <f aca="false">IF(B697="","",DATE(YEAR(B697),MONTH(B697),1))</f>
        <v/>
      </c>
      <c r="D697" s="34"/>
      <c r="E697" s="34"/>
      <c r="F697" s="34"/>
      <c r="G697" s="34"/>
      <c r="H697" s="34"/>
      <c r="I697" s="34"/>
      <c r="J697" s="37"/>
      <c r="K697" s="34"/>
      <c r="L697" s="38" t="str">
        <f aca="false">IF(I697="","",I697*N(J697)*IF(K697="",1,K697))</f>
        <v/>
      </c>
      <c r="M697" s="34"/>
    </row>
    <row r="698" customFormat="false" ht="15" hidden="false" customHeight="false" outlineLevel="0" collapsed="false">
      <c r="A698" s="34"/>
      <c r="B698" s="35"/>
      <c r="C698" s="36" t="str">
        <f aca="false">IF(B698="","",DATE(YEAR(B698),MONTH(B698),1))</f>
        <v/>
      </c>
      <c r="D698" s="34"/>
      <c r="E698" s="34"/>
      <c r="F698" s="34"/>
      <c r="G698" s="34"/>
      <c r="H698" s="34"/>
      <c r="I698" s="34"/>
      <c r="J698" s="37"/>
      <c r="K698" s="34"/>
      <c r="L698" s="38" t="str">
        <f aca="false">IF(I698="","",I698*N(J698)*IF(K698="",1,K698))</f>
        <v/>
      </c>
      <c r="M698" s="34"/>
    </row>
    <row r="699" customFormat="false" ht="15" hidden="false" customHeight="false" outlineLevel="0" collapsed="false">
      <c r="A699" s="34"/>
      <c r="B699" s="35"/>
      <c r="C699" s="36" t="str">
        <f aca="false">IF(B699="","",DATE(YEAR(B699),MONTH(B699),1))</f>
        <v/>
      </c>
      <c r="D699" s="34"/>
      <c r="E699" s="34"/>
      <c r="F699" s="34"/>
      <c r="G699" s="34"/>
      <c r="H699" s="34"/>
      <c r="I699" s="34"/>
      <c r="J699" s="37"/>
      <c r="K699" s="34"/>
      <c r="L699" s="38" t="str">
        <f aca="false">IF(I699="","",I699*N(J699)*IF(K699="",1,K699))</f>
        <v/>
      </c>
      <c r="M699" s="34"/>
    </row>
    <row r="700" customFormat="false" ht="15" hidden="false" customHeight="false" outlineLevel="0" collapsed="false">
      <c r="A700" s="34"/>
      <c r="B700" s="35"/>
      <c r="C700" s="36" t="str">
        <f aca="false">IF(B700="","",DATE(YEAR(B700),MONTH(B700),1))</f>
        <v/>
      </c>
      <c r="D700" s="34"/>
      <c r="E700" s="34"/>
      <c r="F700" s="34"/>
      <c r="G700" s="34"/>
      <c r="H700" s="34"/>
      <c r="I700" s="34"/>
      <c r="J700" s="37"/>
      <c r="K700" s="34"/>
      <c r="L700" s="38" t="str">
        <f aca="false">IF(I700="","",I700*N(J700)*IF(K700="",1,K700))</f>
        <v/>
      </c>
      <c r="M700" s="34"/>
    </row>
    <row r="701" customFormat="false" ht="15" hidden="false" customHeight="false" outlineLevel="0" collapsed="false">
      <c r="A701" s="34"/>
      <c r="B701" s="35"/>
      <c r="C701" s="36" t="str">
        <f aca="false">IF(B701="","",DATE(YEAR(B701),MONTH(B701),1))</f>
        <v/>
      </c>
      <c r="D701" s="34"/>
      <c r="E701" s="34"/>
      <c r="F701" s="34"/>
      <c r="G701" s="34"/>
      <c r="H701" s="34"/>
      <c r="I701" s="34"/>
      <c r="J701" s="37"/>
      <c r="K701" s="34"/>
      <c r="L701" s="38" t="str">
        <f aca="false">IF(I701="","",I701*N(J701)*IF(K701="",1,K701))</f>
        <v/>
      </c>
      <c r="M701" s="34"/>
    </row>
    <row r="702" customFormat="false" ht="15" hidden="false" customHeight="false" outlineLevel="0" collapsed="false">
      <c r="A702" s="34"/>
      <c r="B702" s="35"/>
      <c r="C702" s="36" t="str">
        <f aca="false">IF(B702="","",DATE(YEAR(B702),MONTH(B702),1))</f>
        <v/>
      </c>
      <c r="D702" s="34"/>
      <c r="E702" s="34"/>
      <c r="F702" s="34"/>
      <c r="G702" s="34"/>
      <c r="H702" s="34"/>
      <c r="I702" s="34"/>
      <c r="J702" s="37"/>
      <c r="K702" s="34"/>
      <c r="L702" s="38" t="str">
        <f aca="false">IF(I702="","",I702*N(J702)*IF(K702="",1,K702))</f>
        <v/>
      </c>
      <c r="M702" s="34"/>
    </row>
    <row r="703" customFormat="false" ht="15" hidden="false" customHeight="false" outlineLevel="0" collapsed="false">
      <c r="A703" s="34"/>
      <c r="B703" s="35"/>
      <c r="C703" s="36" t="str">
        <f aca="false">IF(B703="","",DATE(YEAR(B703),MONTH(B703),1))</f>
        <v/>
      </c>
      <c r="D703" s="34"/>
      <c r="E703" s="34"/>
      <c r="F703" s="34"/>
      <c r="G703" s="34"/>
      <c r="H703" s="34"/>
      <c r="I703" s="34"/>
      <c r="J703" s="37"/>
      <c r="K703" s="34"/>
      <c r="L703" s="38" t="str">
        <f aca="false">IF(I703="","",I703*N(J703)*IF(K703="",1,K703))</f>
        <v/>
      </c>
      <c r="M703" s="34"/>
    </row>
    <row r="704" customFormat="false" ht="15" hidden="false" customHeight="false" outlineLevel="0" collapsed="false">
      <c r="A704" s="34"/>
      <c r="B704" s="35"/>
      <c r="C704" s="36" t="str">
        <f aca="false">IF(B704="","",DATE(YEAR(B704),MONTH(B704),1))</f>
        <v/>
      </c>
      <c r="D704" s="34"/>
      <c r="E704" s="34"/>
      <c r="F704" s="34"/>
      <c r="G704" s="34"/>
      <c r="H704" s="34"/>
      <c r="I704" s="34"/>
      <c r="J704" s="37"/>
      <c r="K704" s="34"/>
      <c r="L704" s="38" t="str">
        <f aca="false">IF(I704="","",I704*N(J704)*IF(K704="",1,K704))</f>
        <v/>
      </c>
      <c r="M704" s="34"/>
    </row>
    <row r="705" customFormat="false" ht="15" hidden="false" customHeight="false" outlineLevel="0" collapsed="false">
      <c r="A705" s="34"/>
      <c r="B705" s="35"/>
      <c r="C705" s="36" t="str">
        <f aca="false">IF(B705="","",DATE(YEAR(B705),MONTH(B705),1))</f>
        <v/>
      </c>
      <c r="D705" s="34"/>
      <c r="E705" s="34"/>
      <c r="F705" s="34"/>
      <c r="G705" s="34"/>
      <c r="H705" s="34"/>
      <c r="I705" s="34"/>
      <c r="J705" s="37"/>
      <c r="K705" s="34"/>
      <c r="L705" s="38" t="str">
        <f aca="false">IF(I705="","",I705*N(J705)*IF(K705="",1,K705))</f>
        <v/>
      </c>
      <c r="M705" s="34"/>
    </row>
    <row r="706" customFormat="false" ht="15" hidden="false" customHeight="false" outlineLevel="0" collapsed="false">
      <c r="A706" s="34"/>
      <c r="B706" s="35"/>
      <c r="C706" s="36" t="str">
        <f aca="false">IF(B706="","",DATE(YEAR(B706),MONTH(B706),1))</f>
        <v/>
      </c>
      <c r="D706" s="34"/>
      <c r="E706" s="34"/>
      <c r="F706" s="34"/>
      <c r="G706" s="34"/>
      <c r="H706" s="34"/>
      <c r="I706" s="34"/>
      <c r="J706" s="37"/>
      <c r="K706" s="34"/>
      <c r="L706" s="38" t="str">
        <f aca="false">IF(I706="","",I706*N(J706)*IF(K706="",1,K706))</f>
        <v/>
      </c>
      <c r="M706" s="34"/>
    </row>
    <row r="707" customFormat="false" ht="15" hidden="false" customHeight="false" outlineLevel="0" collapsed="false">
      <c r="A707" s="34"/>
      <c r="B707" s="35"/>
      <c r="C707" s="36" t="str">
        <f aca="false">IF(B707="","",DATE(YEAR(B707),MONTH(B707),1))</f>
        <v/>
      </c>
      <c r="D707" s="34"/>
      <c r="E707" s="34"/>
      <c r="F707" s="34"/>
      <c r="G707" s="34"/>
      <c r="H707" s="34"/>
      <c r="I707" s="34"/>
      <c r="J707" s="37"/>
      <c r="K707" s="34"/>
      <c r="L707" s="38" t="str">
        <f aca="false">IF(I707="","",I707*N(J707)*IF(K707="",1,K707))</f>
        <v/>
      </c>
      <c r="M707" s="34"/>
    </row>
    <row r="708" customFormat="false" ht="15" hidden="false" customHeight="false" outlineLevel="0" collapsed="false">
      <c r="A708" s="34"/>
      <c r="B708" s="35"/>
      <c r="C708" s="36" t="str">
        <f aca="false">IF(B708="","",DATE(YEAR(B708),MONTH(B708),1))</f>
        <v/>
      </c>
      <c r="D708" s="34"/>
      <c r="E708" s="34"/>
      <c r="F708" s="34"/>
      <c r="G708" s="34"/>
      <c r="H708" s="34"/>
      <c r="I708" s="34"/>
      <c r="J708" s="37"/>
      <c r="K708" s="34"/>
      <c r="L708" s="38" t="str">
        <f aca="false">IF(I708="","",I708*N(J708)*IF(K708="",1,K708))</f>
        <v/>
      </c>
      <c r="M708" s="34"/>
    </row>
    <row r="709" customFormat="false" ht="15" hidden="false" customHeight="false" outlineLevel="0" collapsed="false">
      <c r="A709" s="34"/>
      <c r="B709" s="35"/>
      <c r="C709" s="36" t="str">
        <f aca="false">IF(B709="","",DATE(YEAR(B709),MONTH(B709),1))</f>
        <v/>
      </c>
      <c r="D709" s="34"/>
      <c r="E709" s="34"/>
      <c r="F709" s="34"/>
      <c r="G709" s="34"/>
      <c r="H709" s="34"/>
      <c r="I709" s="34"/>
      <c r="J709" s="37"/>
      <c r="K709" s="34"/>
      <c r="L709" s="38" t="str">
        <f aca="false">IF(I709="","",I709*N(J709)*IF(K709="",1,K709))</f>
        <v/>
      </c>
      <c r="M709" s="34"/>
    </row>
    <row r="710" customFormat="false" ht="15" hidden="false" customHeight="false" outlineLevel="0" collapsed="false">
      <c r="A710" s="34"/>
      <c r="B710" s="35"/>
      <c r="C710" s="36" t="str">
        <f aca="false">IF(B710="","",DATE(YEAR(B710),MONTH(B710),1))</f>
        <v/>
      </c>
      <c r="D710" s="34"/>
      <c r="E710" s="34"/>
      <c r="F710" s="34"/>
      <c r="G710" s="34"/>
      <c r="H710" s="34"/>
      <c r="I710" s="34"/>
      <c r="J710" s="37"/>
      <c r="K710" s="34"/>
      <c r="L710" s="38" t="str">
        <f aca="false">IF(I710="","",I710*N(J710)*IF(K710="",1,K710))</f>
        <v/>
      </c>
      <c r="M710" s="34"/>
    </row>
    <row r="711" customFormat="false" ht="15" hidden="false" customHeight="false" outlineLevel="0" collapsed="false">
      <c r="A711" s="34"/>
      <c r="B711" s="35"/>
      <c r="C711" s="36" t="str">
        <f aca="false">IF(B711="","",DATE(YEAR(B711),MONTH(B711),1))</f>
        <v/>
      </c>
      <c r="D711" s="34"/>
      <c r="E711" s="34"/>
      <c r="F711" s="34"/>
      <c r="G711" s="34"/>
      <c r="H711" s="34"/>
      <c r="I711" s="34"/>
      <c r="J711" s="37"/>
      <c r="K711" s="34"/>
      <c r="L711" s="38" t="str">
        <f aca="false">IF(I711="","",I711*N(J711)*IF(K711="",1,K711))</f>
        <v/>
      </c>
      <c r="M711" s="34"/>
    </row>
    <row r="712" customFormat="false" ht="15" hidden="false" customHeight="false" outlineLevel="0" collapsed="false">
      <c r="A712" s="34"/>
      <c r="B712" s="35"/>
      <c r="C712" s="36" t="str">
        <f aca="false">IF(B712="","",DATE(YEAR(B712),MONTH(B712),1))</f>
        <v/>
      </c>
      <c r="D712" s="34"/>
      <c r="E712" s="34"/>
      <c r="F712" s="34"/>
      <c r="G712" s="34"/>
      <c r="H712" s="34"/>
      <c r="I712" s="34"/>
      <c r="J712" s="37"/>
      <c r="K712" s="34"/>
      <c r="L712" s="38" t="str">
        <f aca="false">IF(I712="","",I712*N(J712)*IF(K712="",1,K712))</f>
        <v/>
      </c>
      <c r="M712" s="34"/>
    </row>
    <row r="713" customFormat="false" ht="15" hidden="false" customHeight="false" outlineLevel="0" collapsed="false">
      <c r="A713" s="34"/>
      <c r="B713" s="35"/>
      <c r="C713" s="36" t="str">
        <f aca="false">IF(B713="","",DATE(YEAR(B713),MONTH(B713),1))</f>
        <v/>
      </c>
      <c r="D713" s="34"/>
      <c r="E713" s="34"/>
      <c r="F713" s="34"/>
      <c r="G713" s="34"/>
      <c r="H713" s="34"/>
      <c r="I713" s="34"/>
      <c r="J713" s="37"/>
      <c r="K713" s="34"/>
      <c r="L713" s="38" t="str">
        <f aca="false">IF(I713="","",I713*N(J713)*IF(K713="",1,K713))</f>
        <v/>
      </c>
      <c r="M713" s="34"/>
    </row>
    <row r="714" customFormat="false" ht="15" hidden="false" customHeight="false" outlineLevel="0" collapsed="false">
      <c r="A714" s="34"/>
      <c r="B714" s="35"/>
      <c r="C714" s="36" t="str">
        <f aca="false">IF(B714="","",DATE(YEAR(B714),MONTH(B714),1))</f>
        <v/>
      </c>
      <c r="D714" s="34"/>
      <c r="E714" s="34"/>
      <c r="F714" s="34"/>
      <c r="G714" s="34"/>
      <c r="H714" s="34"/>
      <c r="I714" s="34"/>
      <c r="J714" s="37"/>
      <c r="K714" s="34"/>
      <c r="L714" s="38" t="str">
        <f aca="false">IF(I714="","",I714*N(J714)*IF(K714="",1,K714))</f>
        <v/>
      </c>
      <c r="M714" s="34"/>
    </row>
    <row r="715" customFormat="false" ht="15" hidden="false" customHeight="false" outlineLevel="0" collapsed="false">
      <c r="A715" s="34"/>
      <c r="B715" s="35"/>
      <c r="C715" s="36" t="str">
        <f aca="false">IF(B715="","",DATE(YEAR(B715),MONTH(B715),1))</f>
        <v/>
      </c>
      <c r="D715" s="34"/>
      <c r="E715" s="34"/>
      <c r="F715" s="34"/>
      <c r="G715" s="34"/>
      <c r="H715" s="34"/>
      <c r="I715" s="34"/>
      <c r="J715" s="37"/>
      <c r="K715" s="34"/>
      <c r="L715" s="38" t="str">
        <f aca="false">IF(I715="","",I715*N(J715)*IF(K715="",1,K715))</f>
        <v/>
      </c>
      <c r="M715" s="34"/>
    </row>
    <row r="716" customFormat="false" ht="15" hidden="false" customHeight="false" outlineLevel="0" collapsed="false">
      <c r="A716" s="34"/>
      <c r="B716" s="35"/>
      <c r="C716" s="36" t="str">
        <f aca="false">IF(B716="","",DATE(YEAR(B716),MONTH(B716),1))</f>
        <v/>
      </c>
      <c r="D716" s="34"/>
      <c r="E716" s="34"/>
      <c r="F716" s="34"/>
      <c r="G716" s="34"/>
      <c r="H716" s="34"/>
      <c r="I716" s="34"/>
      <c r="J716" s="37"/>
      <c r="K716" s="34"/>
      <c r="L716" s="38" t="str">
        <f aca="false">IF(I716="","",I716*N(J716)*IF(K716="",1,K716))</f>
        <v/>
      </c>
      <c r="M716" s="34"/>
    </row>
    <row r="717" customFormat="false" ht="15" hidden="false" customHeight="false" outlineLevel="0" collapsed="false">
      <c r="A717" s="34"/>
      <c r="B717" s="35"/>
      <c r="C717" s="36" t="str">
        <f aca="false">IF(B717="","",DATE(YEAR(B717),MONTH(B717),1))</f>
        <v/>
      </c>
      <c r="D717" s="34"/>
      <c r="E717" s="34"/>
      <c r="F717" s="34"/>
      <c r="G717" s="34"/>
      <c r="H717" s="34"/>
      <c r="I717" s="34"/>
      <c r="J717" s="37"/>
      <c r="K717" s="34"/>
      <c r="L717" s="38" t="str">
        <f aca="false">IF(I717="","",I717*N(J717)*IF(K717="",1,K717))</f>
        <v/>
      </c>
      <c r="M717" s="34"/>
    </row>
    <row r="718" customFormat="false" ht="15" hidden="false" customHeight="false" outlineLevel="0" collapsed="false">
      <c r="A718" s="34"/>
      <c r="B718" s="35"/>
      <c r="C718" s="36" t="str">
        <f aca="false">IF(B718="","",DATE(YEAR(B718),MONTH(B718),1))</f>
        <v/>
      </c>
      <c r="D718" s="34"/>
      <c r="E718" s="34"/>
      <c r="F718" s="34"/>
      <c r="G718" s="34"/>
      <c r="H718" s="34"/>
      <c r="I718" s="34"/>
      <c r="J718" s="37"/>
      <c r="K718" s="34"/>
      <c r="L718" s="38" t="str">
        <f aca="false">IF(I718="","",I718*N(J718)*IF(K718="",1,K718))</f>
        <v/>
      </c>
      <c r="M718" s="34"/>
    </row>
    <row r="719" customFormat="false" ht="15" hidden="false" customHeight="false" outlineLevel="0" collapsed="false">
      <c r="A719" s="34"/>
      <c r="B719" s="35"/>
      <c r="C719" s="36" t="str">
        <f aca="false">IF(B719="","",DATE(YEAR(B719),MONTH(B719),1))</f>
        <v/>
      </c>
      <c r="D719" s="34"/>
      <c r="E719" s="34"/>
      <c r="F719" s="34"/>
      <c r="G719" s="34"/>
      <c r="H719" s="34"/>
      <c r="I719" s="34"/>
      <c r="J719" s="37"/>
      <c r="K719" s="34"/>
      <c r="L719" s="38" t="str">
        <f aca="false">IF(I719="","",I719*N(J719)*IF(K719="",1,K719))</f>
        <v/>
      </c>
      <c r="M719" s="34"/>
    </row>
    <row r="720" customFormat="false" ht="15" hidden="false" customHeight="false" outlineLevel="0" collapsed="false">
      <c r="A720" s="34"/>
      <c r="B720" s="35"/>
      <c r="C720" s="36" t="str">
        <f aca="false">IF(B720="","",DATE(YEAR(B720),MONTH(B720),1))</f>
        <v/>
      </c>
      <c r="D720" s="34"/>
      <c r="E720" s="34"/>
      <c r="F720" s="34"/>
      <c r="G720" s="34"/>
      <c r="H720" s="34"/>
      <c r="I720" s="34"/>
      <c r="J720" s="37"/>
      <c r="K720" s="34"/>
      <c r="L720" s="38" t="str">
        <f aca="false">IF(I720="","",I720*N(J720)*IF(K720="",1,K720))</f>
        <v/>
      </c>
      <c r="M720" s="34"/>
    </row>
    <row r="721" customFormat="false" ht="15" hidden="false" customHeight="false" outlineLevel="0" collapsed="false">
      <c r="A721" s="34"/>
      <c r="B721" s="35"/>
      <c r="C721" s="36" t="str">
        <f aca="false">IF(B721="","",DATE(YEAR(B721),MONTH(B721),1))</f>
        <v/>
      </c>
      <c r="D721" s="34"/>
      <c r="E721" s="34"/>
      <c r="F721" s="34"/>
      <c r="G721" s="34"/>
      <c r="H721" s="34"/>
      <c r="I721" s="34"/>
      <c r="J721" s="37"/>
      <c r="K721" s="34"/>
      <c r="L721" s="38" t="str">
        <f aca="false">IF(I721="","",I721*N(J721)*IF(K721="",1,K721))</f>
        <v/>
      </c>
      <c r="M721" s="34"/>
    </row>
    <row r="722" customFormat="false" ht="15" hidden="false" customHeight="false" outlineLevel="0" collapsed="false">
      <c r="A722" s="34"/>
      <c r="B722" s="35"/>
      <c r="C722" s="36" t="str">
        <f aca="false">IF(B722="","",DATE(YEAR(B722),MONTH(B722),1))</f>
        <v/>
      </c>
      <c r="D722" s="34"/>
      <c r="E722" s="34"/>
      <c r="F722" s="34"/>
      <c r="G722" s="34"/>
      <c r="H722" s="34"/>
      <c r="I722" s="34"/>
      <c r="J722" s="37"/>
      <c r="K722" s="34"/>
      <c r="L722" s="38" t="str">
        <f aca="false">IF(I722="","",I722*N(J722)*IF(K722="",1,K722))</f>
        <v/>
      </c>
      <c r="M722" s="34"/>
    </row>
    <row r="723" customFormat="false" ht="15" hidden="false" customHeight="false" outlineLevel="0" collapsed="false">
      <c r="A723" s="34"/>
      <c r="B723" s="35"/>
      <c r="C723" s="36" t="str">
        <f aca="false">IF(B723="","",DATE(YEAR(B723),MONTH(B723),1))</f>
        <v/>
      </c>
      <c r="D723" s="34"/>
      <c r="E723" s="34"/>
      <c r="F723" s="34"/>
      <c r="G723" s="34"/>
      <c r="H723" s="34"/>
      <c r="I723" s="34"/>
      <c r="J723" s="37"/>
      <c r="K723" s="34"/>
      <c r="L723" s="38" t="str">
        <f aca="false">IF(I723="","",I723*N(J723)*IF(K723="",1,K723))</f>
        <v/>
      </c>
      <c r="M723" s="34"/>
    </row>
    <row r="724" customFormat="false" ht="15" hidden="false" customHeight="false" outlineLevel="0" collapsed="false">
      <c r="A724" s="34"/>
      <c r="B724" s="35"/>
      <c r="C724" s="36" t="str">
        <f aca="false">IF(B724="","",DATE(YEAR(B724),MONTH(B724),1))</f>
        <v/>
      </c>
      <c r="D724" s="34"/>
      <c r="E724" s="34"/>
      <c r="F724" s="34"/>
      <c r="G724" s="34"/>
      <c r="H724" s="34"/>
      <c r="I724" s="34"/>
      <c r="J724" s="37"/>
      <c r="K724" s="34"/>
      <c r="L724" s="38" t="str">
        <f aca="false">IF(I724="","",I724*N(J724)*IF(K724="",1,K724))</f>
        <v/>
      </c>
      <c r="M724" s="34"/>
    </row>
    <row r="725" customFormat="false" ht="15" hidden="false" customHeight="false" outlineLevel="0" collapsed="false">
      <c r="A725" s="34"/>
      <c r="B725" s="35"/>
      <c r="C725" s="36" t="str">
        <f aca="false">IF(B725="","",DATE(YEAR(B725),MONTH(B725),1))</f>
        <v/>
      </c>
      <c r="D725" s="34"/>
      <c r="E725" s="34"/>
      <c r="F725" s="34"/>
      <c r="G725" s="34"/>
      <c r="H725" s="34"/>
      <c r="I725" s="34"/>
      <c r="J725" s="37"/>
      <c r="K725" s="34"/>
      <c r="L725" s="38" t="str">
        <f aca="false">IF(I725="","",I725*N(J725)*IF(K725="",1,K725))</f>
        <v/>
      </c>
      <c r="M725" s="34"/>
    </row>
    <row r="726" customFormat="false" ht="15" hidden="false" customHeight="false" outlineLevel="0" collapsed="false">
      <c r="A726" s="34"/>
      <c r="B726" s="35"/>
      <c r="C726" s="36" t="str">
        <f aca="false">IF(B726="","",DATE(YEAR(B726),MONTH(B726),1))</f>
        <v/>
      </c>
      <c r="D726" s="34"/>
      <c r="E726" s="34"/>
      <c r="F726" s="34"/>
      <c r="G726" s="34"/>
      <c r="H726" s="34"/>
      <c r="I726" s="34"/>
      <c r="J726" s="37"/>
      <c r="K726" s="34"/>
      <c r="L726" s="38" t="str">
        <f aca="false">IF(I726="","",I726*N(J726)*IF(K726="",1,K726))</f>
        <v/>
      </c>
      <c r="M726" s="34"/>
    </row>
    <row r="727" customFormat="false" ht="15" hidden="false" customHeight="false" outlineLevel="0" collapsed="false">
      <c r="A727" s="34"/>
      <c r="B727" s="35"/>
      <c r="C727" s="36" t="str">
        <f aca="false">IF(B727="","",DATE(YEAR(B727),MONTH(B727),1))</f>
        <v/>
      </c>
      <c r="D727" s="34"/>
      <c r="E727" s="34"/>
      <c r="F727" s="34"/>
      <c r="G727" s="34"/>
      <c r="H727" s="34"/>
      <c r="I727" s="34"/>
      <c r="J727" s="37"/>
      <c r="K727" s="34"/>
      <c r="L727" s="38" t="str">
        <f aca="false">IF(I727="","",I727*N(J727)*IF(K727="",1,K727))</f>
        <v/>
      </c>
      <c r="M727" s="34"/>
    </row>
    <row r="728" customFormat="false" ht="15" hidden="false" customHeight="false" outlineLevel="0" collapsed="false">
      <c r="A728" s="34"/>
      <c r="B728" s="35"/>
      <c r="C728" s="36" t="str">
        <f aca="false">IF(B728="","",DATE(YEAR(B728),MONTH(B728),1))</f>
        <v/>
      </c>
      <c r="D728" s="34"/>
      <c r="E728" s="34"/>
      <c r="F728" s="34"/>
      <c r="G728" s="34"/>
      <c r="H728" s="34"/>
      <c r="I728" s="34"/>
      <c r="J728" s="37"/>
      <c r="K728" s="34"/>
      <c r="L728" s="38" t="str">
        <f aca="false">IF(I728="","",I728*N(J728)*IF(K728="",1,K728))</f>
        <v/>
      </c>
      <c r="M728" s="34"/>
    </row>
    <row r="729" customFormat="false" ht="15" hidden="false" customHeight="false" outlineLevel="0" collapsed="false">
      <c r="A729" s="34"/>
      <c r="B729" s="35"/>
      <c r="C729" s="36" t="str">
        <f aca="false">IF(B729="","",DATE(YEAR(B729),MONTH(B729),1))</f>
        <v/>
      </c>
      <c r="D729" s="34"/>
      <c r="E729" s="34"/>
      <c r="F729" s="34"/>
      <c r="G729" s="34"/>
      <c r="H729" s="34"/>
      <c r="I729" s="34"/>
      <c r="J729" s="37"/>
      <c r="K729" s="34"/>
      <c r="L729" s="38" t="str">
        <f aca="false">IF(I729="","",I729*N(J729)*IF(K729="",1,K729))</f>
        <v/>
      </c>
      <c r="M729" s="34"/>
    </row>
    <row r="730" customFormat="false" ht="15" hidden="false" customHeight="false" outlineLevel="0" collapsed="false">
      <c r="A730" s="34"/>
      <c r="B730" s="35"/>
      <c r="C730" s="36" t="str">
        <f aca="false">IF(B730="","",DATE(YEAR(B730),MONTH(B730),1))</f>
        <v/>
      </c>
      <c r="D730" s="34"/>
      <c r="E730" s="34"/>
      <c r="F730" s="34"/>
      <c r="G730" s="34"/>
      <c r="H730" s="34"/>
      <c r="I730" s="34"/>
      <c r="J730" s="37"/>
      <c r="K730" s="34"/>
      <c r="L730" s="38" t="str">
        <f aca="false">IF(I730="","",I730*N(J730)*IF(K730="",1,K730))</f>
        <v/>
      </c>
      <c r="M730" s="34"/>
    </row>
    <row r="731" customFormat="false" ht="15" hidden="false" customHeight="false" outlineLevel="0" collapsed="false">
      <c r="A731" s="34"/>
      <c r="B731" s="35"/>
      <c r="C731" s="36" t="str">
        <f aca="false">IF(B731="","",DATE(YEAR(B731),MONTH(B731),1))</f>
        <v/>
      </c>
      <c r="D731" s="34"/>
      <c r="E731" s="34"/>
      <c r="F731" s="34"/>
      <c r="G731" s="34"/>
      <c r="H731" s="34"/>
      <c r="I731" s="34"/>
      <c r="J731" s="37"/>
      <c r="K731" s="34"/>
      <c r="L731" s="38" t="str">
        <f aca="false">IF(I731="","",I731*N(J731)*IF(K731="",1,K731))</f>
        <v/>
      </c>
      <c r="M731" s="34"/>
    </row>
    <row r="732" customFormat="false" ht="15" hidden="false" customHeight="false" outlineLevel="0" collapsed="false">
      <c r="A732" s="34"/>
      <c r="B732" s="35"/>
      <c r="C732" s="36" t="str">
        <f aca="false">IF(B732="","",DATE(YEAR(B732),MONTH(B732),1))</f>
        <v/>
      </c>
      <c r="D732" s="34"/>
      <c r="E732" s="34"/>
      <c r="F732" s="34"/>
      <c r="G732" s="34"/>
      <c r="H732" s="34"/>
      <c r="I732" s="34"/>
      <c r="J732" s="37"/>
      <c r="K732" s="34"/>
      <c r="L732" s="38" t="str">
        <f aca="false">IF(I732="","",I732*N(J732)*IF(K732="",1,K732))</f>
        <v/>
      </c>
      <c r="M732" s="34"/>
    </row>
    <row r="733" customFormat="false" ht="15" hidden="false" customHeight="false" outlineLevel="0" collapsed="false">
      <c r="A733" s="34"/>
      <c r="B733" s="35"/>
      <c r="C733" s="36" t="str">
        <f aca="false">IF(B733="","",DATE(YEAR(B733),MONTH(B733),1))</f>
        <v/>
      </c>
      <c r="D733" s="34"/>
      <c r="E733" s="34"/>
      <c r="F733" s="34"/>
      <c r="G733" s="34"/>
      <c r="H733" s="34"/>
      <c r="I733" s="34"/>
      <c r="J733" s="37"/>
      <c r="K733" s="34"/>
      <c r="L733" s="38" t="str">
        <f aca="false">IF(I733="","",I733*N(J733)*IF(K733="",1,K733))</f>
        <v/>
      </c>
      <c r="M733" s="34"/>
    </row>
    <row r="734" customFormat="false" ht="15" hidden="false" customHeight="false" outlineLevel="0" collapsed="false">
      <c r="A734" s="34"/>
      <c r="B734" s="35"/>
      <c r="C734" s="36" t="str">
        <f aca="false">IF(B734="","",DATE(YEAR(B734),MONTH(B734),1))</f>
        <v/>
      </c>
      <c r="D734" s="34"/>
      <c r="E734" s="34"/>
      <c r="F734" s="34"/>
      <c r="G734" s="34"/>
      <c r="H734" s="34"/>
      <c r="I734" s="34"/>
      <c r="J734" s="37"/>
      <c r="K734" s="34"/>
      <c r="L734" s="38" t="str">
        <f aca="false">IF(I734="","",I734*N(J734)*IF(K734="",1,K734))</f>
        <v/>
      </c>
      <c r="M734" s="34"/>
    </row>
    <row r="735" customFormat="false" ht="15" hidden="false" customHeight="false" outlineLevel="0" collapsed="false">
      <c r="A735" s="34"/>
      <c r="B735" s="35"/>
      <c r="C735" s="36" t="str">
        <f aca="false">IF(B735="","",DATE(YEAR(B735),MONTH(B735),1))</f>
        <v/>
      </c>
      <c r="D735" s="34"/>
      <c r="E735" s="34"/>
      <c r="F735" s="34"/>
      <c r="G735" s="34"/>
      <c r="H735" s="34"/>
      <c r="I735" s="34"/>
      <c r="J735" s="37"/>
      <c r="K735" s="34"/>
      <c r="L735" s="38" t="str">
        <f aca="false">IF(I735="","",I735*N(J735)*IF(K735="",1,K735))</f>
        <v/>
      </c>
      <c r="M735" s="34"/>
    </row>
    <row r="736" customFormat="false" ht="15" hidden="false" customHeight="false" outlineLevel="0" collapsed="false">
      <c r="A736" s="34"/>
      <c r="B736" s="35"/>
      <c r="C736" s="36" t="str">
        <f aca="false">IF(B736="","",DATE(YEAR(B736),MONTH(B736),1))</f>
        <v/>
      </c>
      <c r="D736" s="34"/>
      <c r="E736" s="34"/>
      <c r="F736" s="34"/>
      <c r="G736" s="34"/>
      <c r="H736" s="34"/>
      <c r="I736" s="34"/>
      <c r="J736" s="37"/>
      <c r="K736" s="34"/>
      <c r="L736" s="38" t="str">
        <f aca="false">IF(I736="","",I736*N(J736)*IF(K736="",1,K736))</f>
        <v/>
      </c>
      <c r="M736" s="34"/>
    </row>
    <row r="737" customFormat="false" ht="15" hidden="false" customHeight="false" outlineLevel="0" collapsed="false">
      <c r="A737" s="34"/>
      <c r="B737" s="35"/>
      <c r="C737" s="36" t="str">
        <f aca="false">IF(B737="","",DATE(YEAR(B737),MONTH(B737),1))</f>
        <v/>
      </c>
      <c r="D737" s="34"/>
      <c r="E737" s="34"/>
      <c r="F737" s="34"/>
      <c r="G737" s="34"/>
      <c r="H737" s="34"/>
      <c r="I737" s="34"/>
      <c r="J737" s="37"/>
      <c r="K737" s="34"/>
      <c r="L737" s="38" t="str">
        <f aca="false">IF(I737="","",I737*N(J737)*IF(K737="",1,K737))</f>
        <v/>
      </c>
      <c r="M737" s="34"/>
    </row>
    <row r="738" customFormat="false" ht="15" hidden="false" customHeight="false" outlineLevel="0" collapsed="false">
      <c r="A738" s="34"/>
      <c r="B738" s="35"/>
      <c r="C738" s="36" t="str">
        <f aca="false">IF(B738="","",DATE(YEAR(B738),MONTH(B738),1))</f>
        <v/>
      </c>
      <c r="D738" s="34"/>
      <c r="E738" s="34"/>
      <c r="F738" s="34"/>
      <c r="G738" s="34"/>
      <c r="H738" s="34"/>
      <c r="I738" s="34"/>
      <c r="J738" s="37"/>
      <c r="K738" s="34"/>
      <c r="L738" s="38" t="str">
        <f aca="false">IF(I738="","",I738*N(J738)*IF(K738="",1,K738))</f>
        <v/>
      </c>
      <c r="M738" s="34"/>
    </row>
    <row r="739" customFormat="false" ht="15" hidden="false" customHeight="false" outlineLevel="0" collapsed="false">
      <c r="A739" s="34"/>
      <c r="B739" s="35"/>
      <c r="C739" s="36" t="str">
        <f aca="false">IF(B739="","",DATE(YEAR(B739),MONTH(B739),1))</f>
        <v/>
      </c>
      <c r="D739" s="34"/>
      <c r="E739" s="34"/>
      <c r="F739" s="34"/>
      <c r="G739" s="34"/>
      <c r="H739" s="34"/>
      <c r="I739" s="34"/>
      <c r="J739" s="37"/>
      <c r="K739" s="34"/>
      <c r="L739" s="38" t="str">
        <f aca="false">IF(I739="","",I739*N(J739)*IF(K739="",1,K739))</f>
        <v/>
      </c>
      <c r="M739" s="34"/>
    </row>
    <row r="740" customFormat="false" ht="15" hidden="false" customHeight="false" outlineLevel="0" collapsed="false">
      <c r="A740" s="34"/>
      <c r="B740" s="35"/>
      <c r="C740" s="36" t="str">
        <f aca="false">IF(B740="","",DATE(YEAR(B740),MONTH(B740),1))</f>
        <v/>
      </c>
      <c r="D740" s="34"/>
      <c r="E740" s="34"/>
      <c r="F740" s="34"/>
      <c r="G740" s="34"/>
      <c r="H740" s="34"/>
      <c r="I740" s="34"/>
      <c r="J740" s="37"/>
      <c r="K740" s="34"/>
      <c r="L740" s="38" t="str">
        <f aca="false">IF(I740="","",I740*N(J740)*IF(K740="",1,K740))</f>
        <v/>
      </c>
      <c r="M740" s="34"/>
    </row>
    <row r="741" customFormat="false" ht="15" hidden="false" customHeight="false" outlineLevel="0" collapsed="false">
      <c r="A741" s="34"/>
      <c r="B741" s="35"/>
      <c r="C741" s="36" t="str">
        <f aca="false">IF(B741="","",DATE(YEAR(B741),MONTH(B741),1))</f>
        <v/>
      </c>
      <c r="D741" s="34"/>
      <c r="E741" s="34"/>
      <c r="F741" s="34"/>
      <c r="G741" s="34"/>
      <c r="H741" s="34"/>
      <c r="I741" s="34"/>
      <c r="J741" s="37"/>
      <c r="K741" s="34"/>
      <c r="L741" s="38" t="str">
        <f aca="false">IF(I741="","",I741*N(J741)*IF(K741="",1,K741))</f>
        <v/>
      </c>
      <c r="M741" s="34"/>
    </row>
    <row r="742" customFormat="false" ht="15" hidden="false" customHeight="false" outlineLevel="0" collapsed="false">
      <c r="A742" s="34"/>
      <c r="B742" s="35"/>
      <c r="C742" s="36" t="str">
        <f aca="false">IF(B742="","",DATE(YEAR(B742),MONTH(B742),1))</f>
        <v/>
      </c>
      <c r="D742" s="34"/>
      <c r="E742" s="34"/>
      <c r="F742" s="34"/>
      <c r="G742" s="34"/>
      <c r="H742" s="34"/>
      <c r="I742" s="34"/>
      <c r="J742" s="37"/>
      <c r="K742" s="34"/>
      <c r="L742" s="38" t="str">
        <f aca="false">IF(I742="","",I742*N(J742)*IF(K742="",1,K742))</f>
        <v/>
      </c>
      <c r="M742" s="34"/>
    </row>
    <row r="743" customFormat="false" ht="15" hidden="false" customHeight="false" outlineLevel="0" collapsed="false">
      <c r="A743" s="34"/>
      <c r="B743" s="35"/>
      <c r="C743" s="36" t="str">
        <f aca="false">IF(B743="","",DATE(YEAR(B743),MONTH(B743),1))</f>
        <v/>
      </c>
      <c r="D743" s="34"/>
      <c r="E743" s="34"/>
      <c r="F743" s="34"/>
      <c r="G743" s="34"/>
      <c r="H743" s="34"/>
      <c r="I743" s="34"/>
      <c r="J743" s="37"/>
      <c r="K743" s="34"/>
      <c r="L743" s="38" t="str">
        <f aca="false">IF(I743="","",I743*N(J743)*IF(K743="",1,K743))</f>
        <v/>
      </c>
      <c r="M743" s="34"/>
    </row>
    <row r="744" customFormat="false" ht="15" hidden="false" customHeight="false" outlineLevel="0" collapsed="false">
      <c r="A744" s="34"/>
      <c r="B744" s="35"/>
      <c r="C744" s="36" t="str">
        <f aca="false">IF(B744="","",DATE(YEAR(B744),MONTH(B744),1))</f>
        <v/>
      </c>
      <c r="D744" s="34"/>
      <c r="E744" s="34"/>
      <c r="F744" s="34"/>
      <c r="G744" s="34"/>
      <c r="H744" s="34"/>
      <c r="I744" s="34"/>
      <c r="J744" s="37"/>
      <c r="K744" s="34"/>
      <c r="L744" s="38" t="str">
        <f aca="false">IF(I744="","",I744*N(J744)*IF(K744="",1,K744))</f>
        <v/>
      </c>
      <c r="M744" s="34"/>
    </row>
    <row r="745" customFormat="false" ht="15" hidden="false" customHeight="false" outlineLevel="0" collapsed="false">
      <c r="A745" s="34"/>
      <c r="B745" s="35"/>
      <c r="C745" s="36" t="str">
        <f aca="false">IF(B745="","",DATE(YEAR(B745),MONTH(B745),1))</f>
        <v/>
      </c>
      <c r="D745" s="34"/>
      <c r="E745" s="34"/>
      <c r="F745" s="34"/>
      <c r="G745" s="34"/>
      <c r="H745" s="34"/>
      <c r="I745" s="34"/>
      <c r="J745" s="37"/>
      <c r="K745" s="34"/>
      <c r="L745" s="38" t="str">
        <f aca="false">IF(I745="","",I745*N(J745)*IF(K745="",1,K745))</f>
        <v/>
      </c>
      <c r="M745" s="34"/>
    </row>
    <row r="746" customFormat="false" ht="15" hidden="false" customHeight="false" outlineLevel="0" collapsed="false">
      <c r="A746" s="34"/>
      <c r="B746" s="35"/>
      <c r="C746" s="36" t="str">
        <f aca="false">IF(B746="","",DATE(YEAR(B746),MONTH(B746),1))</f>
        <v/>
      </c>
      <c r="D746" s="34"/>
      <c r="E746" s="34"/>
      <c r="F746" s="34"/>
      <c r="G746" s="34"/>
      <c r="H746" s="34"/>
      <c r="I746" s="34"/>
      <c r="J746" s="37"/>
      <c r="K746" s="34"/>
      <c r="L746" s="38" t="str">
        <f aca="false">IF(I746="","",I746*N(J746)*IF(K746="",1,K746))</f>
        <v/>
      </c>
      <c r="M746" s="34"/>
    </row>
    <row r="747" customFormat="false" ht="15" hidden="false" customHeight="false" outlineLevel="0" collapsed="false">
      <c r="A747" s="34"/>
      <c r="B747" s="35"/>
      <c r="C747" s="36" t="str">
        <f aca="false">IF(B747="","",DATE(YEAR(B747),MONTH(B747),1))</f>
        <v/>
      </c>
      <c r="D747" s="34"/>
      <c r="E747" s="34"/>
      <c r="F747" s="34"/>
      <c r="G747" s="34"/>
      <c r="H747" s="34"/>
      <c r="I747" s="34"/>
      <c r="J747" s="37"/>
      <c r="K747" s="34"/>
      <c r="L747" s="38" t="str">
        <f aca="false">IF(I747="","",I747*N(J747)*IF(K747="",1,K747))</f>
        <v/>
      </c>
      <c r="M747" s="34"/>
    </row>
    <row r="748" customFormat="false" ht="15" hidden="false" customHeight="false" outlineLevel="0" collapsed="false">
      <c r="A748" s="34"/>
      <c r="B748" s="35"/>
      <c r="C748" s="36" t="str">
        <f aca="false">IF(B748="","",DATE(YEAR(B748),MONTH(B748),1))</f>
        <v/>
      </c>
      <c r="D748" s="34"/>
      <c r="E748" s="34"/>
      <c r="F748" s="34"/>
      <c r="G748" s="34"/>
      <c r="H748" s="34"/>
      <c r="I748" s="34"/>
      <c r="J748" s="37"/>
      <c r="K748" s="34"/>
      <c r="L748" s="38" t="str">
        <f aca="false">IF(I748="","",I748*N(J748)*IF(K748="",1,K748))</f>
        <v/>
      </c>
      <c r="M748" s="34"/>
    </row>
    <row r="749" customFormat="false" ht="15" hidden="false" customHeight="false" outlineLevel="0" collapsed="false">
      <c r="A749" s="34"/>
      <c r="B749" s="35"/>
      <c r="C749" s="36" t="str">
        <f aca="false">IF(B749="","",DATE(YEAR(B749),MONTH(B749),1))</f>
        <v/>
      </c>
      <c r="D749" s="34"/>
      <c r="E749" s="34"/>
      <c r="F749" s="34"/>
      <c r="G749" s="34"/>
      <c r="H749" s="34"/>
      <c r="I749" s="34"/>
      <c r="J749" s="37"/>
      <c r="K749" s="34"/>
      <c r="L749" s="38" t="str">
        <f aca="false">IF(I749="","",I749*N(J749)*IF(K749="",1,K749))</f>
        <v/>
      </c>
      <c r="M749" s="34"/>
    </row>
    <row r="750" customFormat="false" ht="15" hidden="false" customHeight="false" outlineLevel="0" collapsed="false">
      <c r="A750" s="34"/>
      <c r="B750" s="35"/>
      <c r="C750" s="36" t="str">
        <f aca="false">IF(B750="","",DATE(YEAR(B750),MONTH(B750),1))</f>
        <v/>
      </c>
      <c r="D750" s="34"/>
      <c r="E750" s="34"/>
      <c r="F750" s="34"/>
      <c r="G750" s="34"/>
      <c r="H750" s="34"/>
      <c r="I750" s="34"/>
      <c r="J750" s="37"/>
      <c r="K750" s="34"/>
      <c r="L750" s="38" t="str">
        <f aca="false">IF(I750="","",I750*N(J750)*IF(K750="",1,K750))</f>
        <v/>
      </c>
      <c r="M750" s="34"/>
    </row>
    <row r="751" customFormat="false" ht="15" hidden="false" customHeight="false" outlineLevel="0" collapsed="false">
      <c r="A751" s="34"/>
      <c r="B751" s="35"/>
      <c r="C751" s="36" t="str">
        <f aca="false">IF(B751="","",DATE(YEAR(B751),MONTH(B751),1))</f>
        <v/>
      </c>
      <c r="D751" s="34"/>
      <c r="E751" s="34"/>
      <c r="F751" s="34"/>
      <c r="G751" s="34"/>
      <c r="H751" s="34"/>
      <c r="I751" s="34"/>
      <c r="J751" s="37"/>
      <c r="K751" s="34"/>
      <c r="L751" s="38" t="str">
        <f aca="false">IF(I751="","",I751*N(J751)*IF(K751="",1,K751))</f>
        <v/>
      </c>
      <c r="M751" s="34"/>
    </row>
    <row r="752" customFormat="false" ht="15" hidden="false" customHeight="false" outlineLevel="0" collapsed="false">
      <c r="A752" s="34"/>
      <c r="B752" s="35"/>
      <c r="C752" s="36" t="str">
        <f aca="false">IF(B752="","",DATE(YEAR(B752),MONTH(B752),1))</f>
        <v/>
      </c>
      <c r="D752" s="34"/>
      <c r="E752" s="34"/>
      <c r="F752" s="34"/>
      <c r="G752" s="34"/>
      <c r="H752" s="34"/>
      <c r="I752" s="34"/>
      <c r="J752" s="37"/>
      <c r="K752" s="34"/>
      <c r="L752" s="38" t="str">
        <f aca="false">IF(I752="","",I752*N(J752)*IF(K752="",1,K752))</f>
        <v/>
      </c>
      <c r="M752" s="34"/>
    </row>
    <row r="753" customFormat="false" ht="15" hidden="false" customHeight="false" outlineLevel="0" collapsed="false">
      <c r="A753" s="34"/>
      <c r="B753" s="35"/>
      <c r="C753" s="36" t="str">
        <f aca="false">IF(B753="","",DATE(YEAR(B753),MONTH(B753),1))</f>
        <v/>
      </c>
      <c r="D753" s="34"/>
      <c r="E753" s="34"/>
      <c r="F753" s="34"/>
      <c r="G753" s="34"/>
      <c r="H753" s="34"/>
      <c r="I753" s="34"/>
      <c r="J753" s="37"/>
      <c r="K753" s="34"/>
      <c r="L753" s="38" t="str">
        <f aca="false">IF(I753="","",I753*N(J753)*IF(K753="",1,K753))</f>
        <v/>
      </c>
      <c r="M753" s="34"/>
    </row>
    <row r="754" customFormat="false" ht="15" hidden="false" customHeight="false" outlineLevel="0" collapsed="false">
      <c r="A754" s="34"/>
      <c r="B754" s="35"/>
      <c r="C754" s="36" t="str">
        <f aca="false">IF(B754="","",DATE(YEAR(B754),MONTH(B754),1))</f>
        <v/>
      </c>
      <c r="D754" s="34"/>
      <c r="E754" s="34"/>
      <c r="F754" s="34"/>
      <c r="G754" s="34"/>
      <c r="H754" s="34"/>
      <c r="I754" s="34"/>
      <c r="J754" s="37"/>
      <c r="K754" s="34"/>
      <c r="L754" s="38" t="str">
        <f aca="false">IF(I754="","",I754*N(J754)*IF(K754="",1,K754))</f>
        <v/>
      </c>
      <c r="M754" s="34"/>
    </row>
    <row r="755" customFormat="false" ht="15" hidden="false" customHeight="false" outlineLevel="0" collapsed="false">
      <c r="A755" s="34"/>
      <c r="B755" s="35"/>
      <c r="C755" s="36" t="str">
        <f aca="false">IF(B755="","",DATE(YEAR(B755),MONTH(B755),1))</f>
        <v/>
      </c>
      <c r="D755" s="34"/>
      <c r="E755" s="34"/>
      <c r="F755" s="34"/>
      <c r="G755" s="34"/>
      <c r="H755" s="34"/>
      <c r="I755" s="34"/>
      <c r="J755" s="37"/>
      <c r="K755" s="34"/>
      <c r="L755" s="38" t="str">
        <f aca="false">IF(I755="","",I755*N(J755)*IF(K755="",1,K755))</f>
        <v/>
      </c>
      <c r="M755" s="34"/>
    </row>
    <row r="756" customFormat="false" ht="15" hidden="false" customHeight="false" outlineLevel="0" collapsed="false">
      <c r="A756" s="34"/>
      <c r="B756" s="35"/>
      <c r="C756" s="36" t="str">
        <f aca="false">IF(B756="","",DATE(YEAR(B756),MONTH(B756),1))</f>
        <v/>
      </c>
      <c r="D756" s="34"/>
      <c r="E756" s="34"/>
      <c r="F756" s="34"/>
      <c r="G756" s="34"/>
      <c r="H756" s="34"/>
      <c r="I756" s="34"/>
      <c r="J756" s="37"/>
      <c r="K756" s="34"/>
      <c r="L756" s="38" t="str">
        <f aca="false">IF(I756="","",I756*N(J756)*IF(K756="",1,K756))</f>
        <v/>
      </c>
      <c r="M756" s="34"/>
    </row>
    <row r="757" customFormat="false" ht="15" hidden="false" customHeight="false" outlineLevel="0" collapsed="false">
      <c r="A757" s="34"/>
      <c r="B757" s="35"/>
      <c r="C757" s="36" t="str">
        <f aca="false">IF(B757="","",DATE(YEAR(B757),MONTH(B757),1))</f>
        <v/>
      </c>
      <c r="D757" s="34"/>
      <c r="E757" s="34"/>
      <c r="F757" s="34"/>
      <c r="G757" s="34"/>
      <c r="H757" s="34"/>
      <c r="I757" s="34"/>
      <c r="J757" s="37"/>
      <c r="K757" s="34"/>
      <c r="L757" s="38" t="str">
        <f aca="false">IF(I757="","",I757*N(J757)*IF(K757="",1,K757))</f>
        <v/>
      </c>
      <c r="M757" s="34"/>
    </row>
    <row r="758" customFormat="false" ht="15" hidden="false" customHeight="false" outlineLevel="0" collapsed="false">
      <c r="A758" s="34"/>
      <c r="B758" s="35"/>
      <c r="C758" s="36" t="str">
        <f aca="false">IF(B758="","",DATE(YEAR(B758),MONTH(B758),1))</f>
        <v/>
      </c>
      <c r="D758" s="34"/>
      <c r="E758" s="34"/>
      <c r="F758" s="34"/>
      <c r="G758" s="34"/>
      <c r="H758" s="34"/>
      <c r="I758" s="34"/>
      <c r="J758" s="37"/>
      <c r="K758" s="34"/>
      <c r="L758" s="38" t="str">
        <f aca="false">IF(I758="","",I758*N(J758)*IF(K758="",1,K758))</f>
        <v/>
      </c>
      <c r="M758" s="34"/>
    </row>
    <row r="759" customFormat="false" ht="15" hidden="false" customHeight="false" outlineLevel="0" collapsed="false">
      <c r="A759" s="34"/>
      <c r="B759" s="35"/>
      <c r="C759" s="36" t="str">
        <f aca="false">IF(B759="","",DATE(YEAR(B759),MONTH(B759),1))</f>
        <v/>
      </c>
      <c r="D759" s="34"/>
      <c r="E759" s="34"/>
      <c r="F759" s="34"/>
      <c r="G759" s="34"/>
      <c r="H759" s="34"/>
      <c r="I759" s="34"/>
      <c r="J759" s="37"/>
      <c r="K759" s="34"/>
      <c r="L759" s="38" t="str">
        <f aca="false">IF(I759="","",I759*N(J759)*IF(K759="",1,K759))</f>
        <v/>
      </c>
      <c r="M759" s="34"/>
    </row>
    <row r="760" customFormat="false" ht="15" hidden="false" customHeight="false" outlineLevel="0" collapsed="false">
      <c r="A760" s="34"/>
      <c r="B760" s="35"/>
      <c r="C760" s="36" t="str">
        <f aca="false">IF(B760="","",DATE(YEAR(B760),MONTH(B760),1))</f>
        <v/>
      </c>
      <c r="D760" s="34"/>
      <c r="E760" s="34"/>
      <c r="F760" s="34"/>
      <c r="G760" s="34"/>
      <c r="H760" s="34"/>
      <c r="I760" s="34"/>
      <c r="J760" s="37"/>
      <c r="K760" s="34"/>
      <c r="L760" s="38" t="str">
        <f aca="false">IF(I760="","",I760*N(J760)*IF(K760="",1,K760))</f>
        <v/>
      </c>
      <c r="M760" s="34"/>
    </row>
    <row r="761" customFormat="false" ht="15" hidden="false" customHeight="false" outlineLevel="0" collapsed="false">
      <c r="A761" s="34"/>
      <c r="B761" s="35"/>
      <c r="C761" s="36" t="str">
        <f aca="false">IF(B761="","",DATE(YEAR(B761),MONTH(B761),1))</f>
        <v/>
      </c>
      <c r="D761" s="34"/>
      <c r="E761" s="34"/>
      <c r="F761" s="34"/>
      <c r="G761" s="34"/>
      <c r="H761" s="34"/>
      <c r="I761" s="34"/>
      <c r="J761" s="37"/>
      <c r="K761" s="34"/>
      <c r="L761" s="38" t="str">
        <f aca="false">IF(I761="","",I761*N(J761)*IF(K761="",1,K761))</f>
        <v/>
      </c>
      <c r="M761" s="34"/>
    </row>
    <row r="762" customFormat="false" ht="15" hidden="false" customHeight="false" outlineLevel="0" collapsed="false">
      <c r="A762" s="34"/>
      <c r="B762" s="35"/>
      <c r="C762" s="36" t="str">
        <f aca="false">IF(B762="","",DATE(YEAR(B762),MONTH(B762),1))</f>
        <v/>
      </c>
      <c r="D762" s="34"/>
      <c r="E762" s="34"/>
      <c r="F762" s="34"/>
      <c r="G762" s="34"/>
      <c r="H762" s="34"/>
      <c r="I762" s="34"/>
      <c r="J762" s="37"/>
      <c r="K762" s="34"/>
      <c r="L762" s="38" t="str">
        <f aca="false">IF(I762="","",I762*N(J762)*IF(K762="",1,K762))</f>
        <v/>
      </c>
      <c r="M762" s="34"/>
    </row>
    <row r="763" customFormat="false" ht="15" hidden="false" customHeight="false" outlineLevel="0" collapsed="false">
      <c r="A763" s="34"/>
      <c r="B763" s="35"/>
      <c r="C763" s="36" t="str">
        <f aca="false">IF(B763="","",DATE(YEAR(B763),MONTH(B763),1))</f>
        <v/>
      </c>
      <c r="D763" s="34"/>
      <c r="E763" s="34"/>
      <c r="F763" s="34"/>
      <c r="G763" s="34"/>
      <c r="H763" s="34"/>
      <c r="I763" s="34"/>
      <c r="J763" s="37"/>
      <c r="K763" s="34"/>
      <c r="L763" s="38" t="str">
        <f aca="false">IF(I763="","",I763*N(J763)*IF(K763="",1,K763))</f>
        <v/>
      </c>
      <c r="M763" s="34"/>
    </row>
    <row r="764" customFormat="false" ht="15" hidden="false" customHeight="false" outlineLevel="0" collapsed="false">
      <c r="A764" s="34"/>
      <c r="B764" s="35"/>
      <c r="C764" s="36" t="str">
        <f aca="false">IF(B764="","",DATE(YEAR(B764),MONTH(B764),1))</f>
        <v/>
      </c>
      <c r="D764" s="34"/>
      <c r="E764" s="34"/>
      <c r="F764" s="34"/>
      <c r="G764" s="34"/>
      <c r="H764" s="34"/>
      <c r="I764" s="34"/>
      <c r="J764" s="37"/>
      <c r="K764" s="34"/>
      <c r="L764" s="38" t="str">
        <f aca="false">IF(I764="","",I764*N(J764)*IF(K764="",1,K764))</f>
        <v/>
      </c>
      <c r="M764" s="34"/>
    </row>
    <row r="765" customFormat="false" ht="15" hidden="false" customHeight="false" outlineLevel="0" collapsed="false">
      <c r="A765" s="34"/>
      <c r="B765" s="35"/>
      <c r="C765" s="36" t="str">
        <f aca="false">IF(B765="","",DATE(YEAR(B765),MONTH(B765),1))</f>
        <v/>
      </c>
      <c r="D765" s="34"/>
      <c r="E765" s="34"/>
      <c r="F765" s="34"/>
      <c r="G765" s="34"/>
      <c r="H765" s="34"/>
      <c r="I765" s="34"/>
      <c r="J765" s="37"/>
      <c r="K765" s="34"/>
      <c r="L765" s="38" t="str">
        <f aca="false">IF(I765="","",I765*N(J765)*IF(K765="",1,K765))</f>
        <v/>
      </c>
      <c r="M765" s="34"/>
    </row>
    <row r="766" customFormat="false" ht="15" hidden="false" customHeight="false" outlineLevel="0" collapsed="false">
      <c r="A766" s="34"/>
      <c r="B766" s="35"/>
      <c r="C766" s="36" t="str">
        <f aca="false">IF(B766="","",DATE(YEAR(B766),MONTH(B766),1))</f>
        <v/>
      </c>
      <c r="D766" s="34"/>
      <c r="E766" s="34"/>
      <c r="F766" s="34"/>
      <c r="G766" s="34"/>
      <c r="H766" s="34"/>
      <c r="I766" s="34"/>
      <c r="J766" s="37"/>
      <c r="K766" s="34"/>
      <c r="L766" s="38" t="str">
        <f aca="false">IF(I766="","",I766*N(J766)*IF(K766="",1,K766))</f>
        <v/>
      </c>
      <c r="M766" s="34"/>
    </row>
    <row r="767" customFormat="false" ht="15" hidden="false" customHeight="false" outlineLevel="0" collapsed="false">
      <c r="A767" s="34"/>
      <c r="B767" s="35"/>
      <c r="C767" s="36" t="str">
        <f aca="false">IF(B767="","",DATE(YEAR(B767),MONTH(B767),1))</f>
        <v/>
      </c>
      <c r="D767" s="34"/>
      <c r="E767" s="34"/>
      <c r="F767" s="34"/>
      <c r="G767" s="34"/>
      <c r="H767" s="34"/>
      <c r="I767" s="34"/>
      <c r="J767" s="37"/>
      <c r="K767" s="34"/>
      <c r="L767" s="38" t="str">
        <f aca="false">IF(I767="","",I767*N(J767)*IF(K767="",1,K767))</f>
        <v/>
      </c>
      <c r="M767" s="34"/>
    </row>
    <row r="768" customFormat="false" ht="15" hidden="false" customHeight="false" outlineLevel="0" collapsed="false">
      <c r="A768" s="34"/>
      <c r="B768" s="35"/>
      <c r="C768" s="36" t="str">
        <f aca="false">IF(B768="","",DATE(YEAR(B768),MONTH(B768),1))</f>
        <v/>
      </c>
      <c r="D768" s="34"/>
      <c r="E768" s="34"/>
      <c r="F768" s="34"/>
      <c r="G768" s="34"/>
      <c r="H768" s="34"/>
      <c r="I768" s="34"/>
      <c r="J768" s="37"/>
      <c r="K768" s="34"/>
      <c r="L768" s="38" t="str">
        <f aca="false">IF(I768="","",I768*N(J768)*IF(K768="",1,K768))</f>
        <v/>
      </c>
      <c r="M768" s="34"/>
    </row>
    <row r="769" customFormat="false" ht="15" hidden="false" customHeight="false" outlineLevel="0" collapsed="false">
      <c r="A769" s="34"/>
      <c r="B769" s="35"/>
      <c r="C769" s="36" t="str">
        <f aca="false">IF(B769="","",DATE(YEAR(B769),MONTH(B769),1))</f>
        <v/>
      </c>
      <c r="D769" s="34"/>
      <c r="E769" s="34"/>
      <c r="F769" s="34"/>
      <c r="G769" s="34"/>
      <c r="H769" s="34"/>
      <c r="I769" s="34"/>
      <c r="J769" s="37"/>
      <c r="K769" s="34"/>
      <c r="L769" s="38" t="str">
        <f aca="false">IF(I769="","",I769*N(J769)*IF(K769="",1,K769))</f>
        <v/>
      </c>
      <c r="M769" s="34"/>
    </row>
    <row r="770" customFormat="false" ht="15" hidden="false" customHeight="false" outlineLevel="0" collapsed="false">
      <c r="A770" s="34"/>
      <c r="B770" s="35"/>
      <c r="C770" s="36" t="str">
        <f aca="false">IF(B770="","",DATE(YEAR(B770),MONTH(B770),1))</f>
        <v/>
      </c>
      <c r="D770" s="34"/>
      <c r="E770" s="34"/>
      <c r="F770" s="34"/>
      <c r="G770" s="34"/>
      <c r="H770" s="34"/>
      <c r="I770" s="34"/>
      <c r="J770" s="37"/>
      <c r="K770" s="34"/>
      <c r="L770" s="38" t="str">
        <f aca="false">IF(I770="","",I770*N(J770)*IF(K770="",1,K770))</f>
        <v/>
      </c>
      <c r="M770" s="34"/>
    </row>
    <row r="771" customFormat="false" ht="15" hidden="false" customHeight="false" outlineLevel="0" collapsed="false">
      <c r="A771" s="34"/>
      <c r="B771" s="35"/>
      <c r="C771" s="36" t="str">
        <f aca="false">IF(B771="","",DATE(YEAR(B771),MONTH(B771),1))</f>
        <v/>
      </c>
      <c r="D771" s="34"/>
      <c r="E771" s="34"/>
      <c r="F771" s="34"/>
      <c r="G771" s="34"/>
      <c r="H771" s="34"/>
      <c r="I771" s="34"/>
      <c r="J771" s="37"/>
      <c r="K771" s="34"/>
      <c r="L771" s="38" t="str">
        <f aca="false">IF(I771="","",I771*N(J771)*IF(K771="",1,K771))</f>
        <v/>
      </c>
      <c r="M771" s="34"/>
    </row>
    <row r="772" customFormat="false" ht="15" hidden="false" customHeight="false" outlineLevel="0" collapsed="false">
      <c r="A772" s="34"/>
      <c r="B772" s="35"/>
      <c r="C772" s="36" t="str">
        <f aca="false">IF(B772="","",DATE(YEAR(B772),MONTH(B772),1))</f>
        <v/>
      </c>
      <c r="D772" s="34"/>
      <c r="E772" s="34"/>
      <c r="F772" s="34"/>
      <c r="G772" s="34"/>
      <c r="H772" s="34"/>
      <c r="I772" s="34"/>
      <c r="J772" s="37"/>
      <c r="K772" s="34"/>
      <c r="L772" s="38" t="str">
        <f aca="false">IF(I772="","",I772*N(J772)*IF(K772="",1,K772))</f>
        <v/>
      </c>
      <c r="M772" s="34"/>
    </row>
    <row r="773" customFormat="false" ht="15" hidden="false" customHeight="false" outlineLevel="0" collapsed="false">
      <c r="A773" s="34"/>
      <c r="B773" s="35"/>
      <c r="C773" s="36" t="str">
        <f aca="false">IF(B773="","",DATE(YEAR(B773),MONTH(B773),1))</f>
        <v/>
      </c>
      <c r="D773" s="34"/>
      <c r="E773" s="34"/>
      <c r="F773" s="34"/>
      <c r="G773" s="34"/>
      <c r="H773" s="34"/>
      <c r="I773" s="34"/>
      <c r="J773" s="37"/>
      <c r="K773" s="34"/>
      <c r="L773" s="38" t="str">
        <f aca="false">IF(I773="","",I773*N(J773)*IF(K773="",1,K773))</f>
        <v/>
      </c>
      <c r="M773" s="34"/>
    </row>
    <row r="774" customFormat="false" ht="15" hidden="false" customHeight="false" outlineLevel="0" collapsed="false">
      <c r="A774" s="34"/>
      <c r="B774" s="35"/>
      <c r="C774" s="36" t="str">
        <f aca="false">IF(B774="","",DATE(YEAR(B774),MONTH(B774),1))</f>
        <v/>
      </c>
      <c r="D774" s="34"/>
      <c r="E774" s="34"/>
      <c r="F774" s="34"/>
      <c r="G774" s="34"/>
      <c r="H774" s="34"/>
      <c r="I774" s="34"/>
      <c r="J774" s="37"/>
      <c r="K774" s="34"/>
      <c r="L774" s="38" t="str">
        <f aca="false">IF(I774="","",I774*N(J774)*IF(K774="",1,K774))</f>
        <v/>
      </c>
      <c r="M774" s="34"/>
    </row>
    <row r="775" customFormat="false" ht="15" hidden="false" customHeight="false" outlineLevel="0" collapsed="false">
      <c r="A775" s="34"/>
      <c r="B775" s="35"/>
      <c r="C775" s="36" t="str">
        <f aca="false">IF(B775="","",DATE(YEAR(B775),MONTH(B775),1))</f>
        <v/>
      </c>
      <c r="D775" s="34"/>
      <c r="E775" s="34"/>
      <c r="F775" s="34"/>
      <c r="G775" s="34"/>
      <c r="H775" s="34"/>
      <c r="I775" s="34"/>
      <c r="J775" s="37"/>
      <c r="K775" s="34"/>
      <c r="L775" s="38" t="str">
        <f aca="false">IF(I775="","",I775*N(J775)*IF(K775="",1,K775))</f>
        <v/>
      </c>
      <c r="M775" s="34"/>
    </row>
    <row r="776" customFormat="false" ht="15" hidden="false" customHeight="false" outlineLevel="0" collapsed="false">
      <c r="A776" s="34"/>
      <c r="B776" s="35"/>
      <c r="C776" s="36" t="str">
        <f aca="false">IF(B776="","",DATE(YEAR(B776),MONTH(B776),1))</f>
        <v/>
      </c>
      <c r="D776" s="34"/>
      <c r="E776" s="34"/>
      <c r="F776" s="34"/>
      <c r="G776" s="34"/>
      <c r="H776" s="34"/>
      <c r="I776" s="34"/>
      <c r="J776" s="37"/>
      <c r="K776" s="34"/>
      <c r="L776" s="38" t="str">
        <f aca="false">IF(I776="","",I776*N(J776)*IF(K776="",1,K776))</f>
        <v/>
      </c>
      <c r="M776" s="34"/>
    </row>
    <row r="777" customFormat="false" ht="15" hidden="false" customHeight="false" outlineLevel="0" collapsed="false">
      <c r="A777" s="34"/>
      <c r="B777" s="35"/>
      <c r="C777" s="36" t="str">
        <f aca="false">IF(B777="","",DATE(YEAR(B777),MONTH(B777),1))</f>
        <v/>
      </c>
      <c r="D777" s="34"/>
      <c r="E777" s="34"/>
      <c r="F777" s="34"/>
      <c r="G777" s="34"/>
      <c r="H777" s="34"/>
      <c r="I777" s="34"/>
      <c r="J777" s="37"/>
      <c r="K777" s="34"/>
      <c r="L777" s="38" t="str">
        <f aca="false">IF(I777="","",I777*N(J777)*IF(K777="",1,K777))</f>
        <v/>
      </c>
      <c r="M777" s="34"/>
    </row>
    <row r="778" customFormat="false" ht="15" hidden="false" customHeight="false" outlineLevel="0" collapsed="false">
      <c r="A778" s="34"/>
      <c r="B778" s="35"/>
      <c r="C778" s="36" t="str">
        <f aca="false">IF(B778="","",DATE(YEAR(B778),MONTH(B778),1))</f>
        <v/>
      </c>
      <c r="D778" s="34"/>
      <c r="E778" s="34"/>
      <c r="F778" s="34"/>
      <c r="G778" s="34"/>
      <c r="H778" s="34"/>
      <c r="I778" s="34"/>
      <c r="J778" s="37"/>
      <c r="K778" s="34"/>
      <c r="L778" s="38" t="str">
        <f aca="false">IF(I778="","",I778*N(J778)*IF(K778="",1,K778))</f>
        <v/>
      </c>
      <c r="M778" s="34"/>
    </row>
    <row r="779" customFormat="false" ht="15" hidden="false" customHeight="false" outlineLevel="0" collapsed="false">
      <c r="A779" s="34"/>
      <c r="B779" s="35"/>
      <c r="C779" s="36" t="str">
        <f aca="false">IF(B779="","",DATE(YEAR(B779),MONTH(B779),1))</f>
        <v/>
      </c>
      <c r="D779" s="34"/>
      <c r="E779" s="34"/>
      <c r="F779" s="34"/>
      <c r="G779" s="34"/>
      <c r="H779" s="34"/>
      <c r="I779" s="34"/>
      <c r="J779" s="37"/>
      <c r="K779" s="34"/>
      <c r="L779" s="38" t="str">
        <f aca="false">IF(I779="","",I779*N(J779)*IF(K779="",1,K779))</f>
        <v/>
      </c>
      <c r="M779" s="34"/>
    </row>
    <row r="780" customFormat="false" ht="15" hidden="false" customHeight="false" outlineLevel="0" collapsed="false">
      <c r="A780" s="34"/>
      <c r="B780" s="35"/>
      <c r="C780" s="36" t="str">
        <f aca="false">IF(B780="","",DATE(YEAR(B780),MONTH(B780),1))</f>
        <v/>
      </c>
      <c r="D780" s="34"/>
      <c r="E780" s="34"/>
      <c r="F780" s="34"/>
      <c r="G780" s="34"/>
      <c r="H780" s="34"/>
      <c r="I780" s="34"/>
      <c r="J780" s="37"/>
      <c r="K780" s="34"/>
      <c r="L780" s="38" t="str">
        <f aca="false">IF(I780="","",I780*N(J780)*IF(K780="",1,K780))</f>
        <v/>
      </c>
      <c r="M780" s="34"/>
    </row>
    <row r="781" customFormat="false" ht="15" hidden="false" customHeight="false" outlineLevel="0" collapsed="false">
      <c r="A781" s="34"/>
      <c r="B781" s="35"/>
      <c r="C781" s="36" t="str">
        <f aca="false">IF(B781="","",DATE(YEAR(B781),MONTH(B781),1))</f>
        <v/>
      </c>
      <c r="D781" s="34"/>
      <c r="E781" s="34"/>
      <c r="F781" s="34"/>
      <c r="G781" s="34"/>
      <c r="H781" s="34"/>
      <c r="I781" s="34"/>
      <c r="J781" s="37"/>
      <c r="K781" s="34"/>
      <c r="L781" s="38" t="str">
        <f aca="false">IF(I781="","",I781*N(J781)*IF(K781="",1,K781))</f>
        <v/>
      </c>
      <c r="M781" s="34"/>
    </row>
    <row r="782" customFormat="false" ht="15" hidden="false" customHeight="false" outlineLevel="0" collapsed="false">
      <c r="A782" s="34"/>
      <c r="B782" s="35"/>
      <c r="C782" s="36" t="str">
        <f aca="false">IF(B782="","",DATE(YEAR(B782),MONTH(B782),1))</f>
        <v/>
      </c>
      <c r="D782" s="34"/>
      <c r="E782" s="34"/>
      <c r="F782" s="34"/>
      <c r="G782" s="34"/>
      <c r="H782" s="34"/>
      <c r="I782" s="34"/>
      <c r="J782" s="37"/>
      <c r="K782" s="34"/>
      <c r="L782" s="38" t="str">
        <f aca="false">IF(I782="","",I782*N(J782)*IF(K782="",1,K782))</f>
        <v/>
      </c>
      <c r="M782" s="34"/>
    </row>
    <row r="783" customFormat="false" ht="15" hidden="false" customHeight="false" outlineLevel="0" collapsed="false">
      <c r="A783" s="34"/>
      <c r="B783" s="35"/>
      <c r="C783" s="36" t="str">
        <f aca="false">IF(B783="","",DATE(YEAR(B783),MONTH(B783),1))</f>
        <v/>
      </c>
      <c r="D783" s="34"/>
      <c r="E783" s="34"/>
      <c r="F783" s="34"/>
      <c r="G783" s="34"/>
      <c r="H783" s="34"/>
      <c r="I783" s="34"/>
      <c r="J783" s="37"/>
      <c r="K783" s="34"/>
      <c r="L783" s="38" t="str">
        <f aca="false">IF(I783="","",I783*N(J783)*IF(K783="",1,K783))</f>
        <v/>
      </c>
      <c r="M783" s="34"/>
    </row>
    <row r="784" customFormat="false" ht="15" hidden="false" customHeight="false" outlineLevel="0" collapsed="false">
      <c r="A784" s="34"/>
      <c r="B784" s="35"/>
      <c r="C784" s="36" t="str">
        <f aca="false">IF(B784="","",DATE(YEAR(B784),MONTH(B784),1))</f>
        <v/>
      </c>
      <c r="D784" s="34"/>
      <c r="E784" s="34"/>
      <c r="F784" s="34"/>
      <c r="G784" s="34"/>
      <c r="H784" s="34"/>
      <c r="I784" s="34"/>
      <c r="J784" s="37"/>
      <c r="K784" s="34"/>
      <c r="L784" s="38" t="str">
        <f aca="false">IF(I784="","",I784*N(J784)*IF(K784="",1,K784))</f>
        <v/>
      </c>
      <c r="M784" s="34"/>
    </row>
    <row r="785" customFormat="false" ht="15" hidden="false" customHeight="false" outlineLevel="0" collapsed="false">
      <c r="A785" s="34"/>
      <c r="B785" s="35"/>
      <c r="C785" s="36" t="str">
        <f aca="false">IF(B785="","",DATE(YEAR(B785),MONTH(B785),1))</f>
        <v/>
      </c>
      <c r="D785" s="34"/>
      <c r="E785" s="34"/>
      <c r="F785" s="34"/>
      <c r="G785" s="34"/>
      <c r="H785" s="34"/>
      <c r="I785" s="34"/>
      <c r="J785" s="37"/>
      <c r="K785" s="34"/>
      <c r="L785" s="38" t="str">
        <f aca="false">IF(I785="","",I785*N(J785)*IF(K785="",1,K785))</f>
        <v/>
      </c>
      <c r="M785" s="34"/>
    </row>
    <row r="786" customFormat="false" ht="15" hidden="false" customHeight="false" outlineLevel="0" collapsed="false">
      <c r="A786" s="34"/>
      <c r="B786" s="35"/>
      <c r="C786" s="36" t="str">
        <f aca="false">IF(B786="","",DATE(YEAR(B786),MONTH(B786),1))</f>
        <v/>
      </c>
      <c r="D786" s="34"/>
      <c r="E786" s="34"/>
      <c r="F786" s="34"/>
      <c r="G786" s="34"/>
      <c r="H786" s="34"/>
      <c r="I786" s="34"/>
      <c r="J786" s="37"/>
      <c r="K786" s="34"/>
      <c r="L786" s="38" t="str">
        <f aca="false">IF(I786="","",I786*N(J786)*IF(K786="",1,K786))</f>
        <v/>
      </c>
      <c r="M786" s="34"/>
    </row>
    <row r="787" customFormat="false" ht="15" hidden="false" customHeight="false" outlineLevel="0" collapsed="false">
      <c r="A787" s="34"/>
      <c r="B787" s="35"/>
      <c r="C787" s="36" t="str">
        <f aca="false">IF(B787="","",DATE(YEAR(B787),MONTH(B787),1))</f>
        <v/>
      </c>
      <c r="D787" s="34"/>
      <c r="E787" s="34"/>
      <c r="F787" s="34"/>
      <c r="G787" s="34"/>
      <c r="H787" s="34"/>
      <c r="I787" s="34"/>
      <c r="J787" s="37"/>
      <c r="K787" s="34"/>
      <c r="L787" s="38" t="str">
        <f aca="false">IF(I787="","",I787*N(J787)*IF(K787="",1,K787))</f>
        <v/>
      </c>
      <c r="M787" s="34"/>
    </row>
    <row r="788" customFormat="false" ht="15" hidden="false" customHeight="false" outlineLevel="0" collapsed="false">
      <c r="A788" s="34"/>
      <c r="B788" s="35"/>
      <c r="C788" s="36" t="str">
        <f aca="false">IF(B788="","",DATE(YEAR(B788),MONTH(B788),1))</f>
        <v/>
      </c>
      <c r="D788" s="34"/>
      <c r="E788" s="34"/>
      <c r="F788" s="34"/>
      <c r="G788" s="34"/>
      <c r="H788" s="34"/>
      <c r="I788" s="34"/>
      <c r="J788" s="37"/>
      <c r="K788" s="34"/>
      <c r="L788" s="38" t="str">
        <f aca="false">IF(I788="","",I788*N(J788)*IF(K788="",1,K788))</f>
        <v/>
      </c>
      <c r="M788" s="34"/>
    </row>
    <row r="789" customFormat="false" ht="15" hidden="false" customHeight="false" outlineLevel="0" collapsed="false">
      <c r="A789" s="34"/>
      <c r="B789" s="35"/>
      <c r="C789" s="36" t="str">
        <f aca="false">IF(B789="","",DATE(YEAR(B789),MONTH(B789),1))</f>
        <v/>
      </c>
      <c r="D789" s="34"/>
      <c r="E789" s="34"/>
      <c r="F789" s="34"/>
      <c r="G789" s="34"/>
      <c r="H789" s="34"/>
      <c r="I789" s="34"/>
      <c r="J789" s="37"/>
      <c r="K789" s="34"/>
      <c r="L789" s="38" t="str">
        <f aca="false">IF(I789="","",I789*N(J789)*IF(K789="",1,K789))</f>
        <v/>
      </c>
      <c r="M789" s="34"/>
    </row>
    <row r="790" customFormat="false" ht="15" hidden="false" customHeight="false" outlineLevel="0" collapsed="false">
      <c r="A790" s="34"/>
      <c r="B790" s="35"/>
      <c r="C790" s="36" t="str">
        <f aca="false">IF(B790="","",DATE(YEAR(B790),MONTH(B790),1))</f>
        <v/>
      </c>
      <c r="D790" s="34"/>
      <c r="E790" s="34"/>
      <c r="F790" s="34"/>
      <c r="G790" s="34"/>
      <c r="H790" s="34"/>
      <c r="I790" s="34"/>
      <c r="J790" s="37"/>
      <c r="K790" s="34"/>
      <c r="L790" s="38" t="str">
        <f aca="false">IF(I790="","",I790*N(J790)*IF(K790="",1,K790))</f>
        <v/>
      </c>
      <c r="M790" s="34"/>
    </row>
    <row r="791" customFormat="false" ht="15" hidden="false" customHeight="false" outlineLevel="0" collapsed="false">
      <c r="A791" s="34"/>
      <c r="B791" s="35"/>
      <c r="C791" s="36" t="str">
        <f aca="false">IF(B791="","",DATE(YEAR(B791),MONTH(B791),1))</f>
        <v/>
      </c>
      <c r="D791" s="34"/>
      <c r="E791" s="34"/>
      <c r="F791" s="34"/>
      <c r="G791" s="34"/>
      <c r="H791" s="34"/>
      <c r="I791" s="34"/>
      <c r="J791" s="37"/>
      <c r="K791" s="34"/>
      <c r="L791" s="38" t="str">
        <f aca="false">IF(I791="","",I791*N(J791)*IF(K791="",1,K791))</f>
        <v/>
      </c>
      <c r="M791" s="34"/>
    </row>
    <row r="792" customFormat="false" ht="15" hidden="false" customHeight="false" outlineLevel="0" collapsed="false">
      <c r="A792" s="34"/>
      <c r="B792" s="35"/>
      <c r="C792" s="36" t="str">
        <f aca="false">IF(B792="","",DATE(YEAR(B792),MONTH(B792),1))</f>
        <v/>
      </c>
      <c r="D792" s="34"/>
      <c r="E792" s="34"/>
      <c r="F792" s="34"/>
      <c r="G792" s="34"/>
      <c r="H792" s="34"/>
      <c r="I792" s="34"/>
      <c r="J792" s="37"/>
      <c r="K792" s="34"/>
      <c r="L792" s="38" t="str">
        <f aca="false">IF(I792="","",I792*N(J792)*IF(K792="",1,K792))</f>
        <v/>
      </c>
      <c r="M792" s="34"/>
    </row>
    <row r="793" customFormat="false" ht="15" hidden="false" customHeight="false" outlineLevel="0" collapsed="false">
      <c r="A793" s="34"/>
      <c r="B793" s="35"/>
      <c r="C793" s="36" t="str">
        <f aca="false">IF(B793="","",DATE(YEAR(B793),MONTH(B793),1))</f>
        <v/>
      </c>
      <c r="D793" s="34"/>
      <c r="E793" s="34"/>
      <c r="F793" s="34"/>
      <c r="G793" s="34"/>
      <c r="H793" s="34"/>
      <c r="I793" s="34"/>
      <c r="J793" s="37"/>
      <c r="K793" s="34"/>
      <c r="L793" s="38" t="str">
        <f aca="false">IF(I793="","",I793*N(J793)*IF(K793="",1,K793))</f>
        <v/>
      </c>
      <c r="M793" s="34"/>
    </row>
    <row r="794" customFormat="false" ht="15" hidden="false" customHeight="false" outlineLevel="0" collapsed="false">
      <c r="A794" s="34"/>
      <c r="B794" s="35"/>
      <c r="C794" s="36" t="str">
        <f aca="false">IF(B794="","",DATE(YEAR(B794),MONTH(B794),1))</f>
        <v/>
      </c>
      <c r="D794" s="34"/>
      <c r="E794" s="34"/>
      <c r="F794" s="34"/>
      <c r="G794" s="34"/>
      <c r="H794" s="34"/>
      <c r="I794" s="34"/>
      <c r="J794" s="37"/>
      <c r="K794" s="34"/>
      <c r="L794" s="38" t="str">
        <f aca="false">IF(I794="","",I794*N(J794)*IF(K794="",1,K794))</f>
        <v/>
      </c>
      <c r="M794" s="34"/>
    </row>
    <row r="795" customFormat="false" ht="15" hidden="false" customHeight="false" outlineLevel="0" collapsed="false">
      <c r="A795" s="34"/>
      <c r="B795" s="35"/>
      <c r="C795" s="36" t="str">
        <f aca="false">IF(B795="","",DATE(YEAR(B795),MONTH(B795),1))</f>
        <v/>
      </c>
      <c r="D795" s="34"/>
      <c r="E795" s="34"/>
      <c r="F795" s="34"/>
      <c r="G795" s="34"/>
      <c r="H795" s="34"/>
      <c r="I795" s="34"/>
      <c r="J795" s="37"/>
      <c r="K795" s="34"/>
      <c r="L795" s="38" t="str">
        <f aca="false">IF(I795="","",I795*N(J795)*IF(K795="",1,K795))</f>
        <v/>
      </c>
      <c r="M795" s="34"/>
    </row>
    <row r="796" customFormat="false" ht="15" hidden="false" customHeight="false" outlineLevel="0" collapsed="false">
      <c r="A796" s="34"/>
      <c r="B796" s="35"/>
      <c r="C796" s="36" t="str">
        <f aca="false">IF(B796="","",DATE(YEAR(B796),MONTH(B796),1))</f>
        <v/>
      </c>
      <c r="D796" s="34"/>
      <c r="E796" s="34"/>
      <c r="F796" s="34"/>
      <c r="G796" s="34"/>
      <c r="H796" s="34"/>
      <c r="I796" s="34"/>
      <c r="J796" s="37"/>
      <c r="K796" s="34"/>
      <c r="L796" s="38" t="str">
        <f aca="false">IF(I796="","",I796*N(J796)*IF(K796="",1,K796))</f>
        <v/>
      </c>
      <c r="M796" s="34"/>
    </row>
    <row r="797" customFormat="false" ht="15" hidden="false" customHeight="false" outlineLevel="0" collapsed="false">
      <c r="A797" s="34"/>
      <c r="B797" s="35"/>
      <c r="C797" s="36" t="str">
        <f aca="false">IF(B797="","",DATE(YEAR(B797),MONTH(B797),1))</f>
        <v/>
      </c>
      <c r="D797" s="34"/>
      <c r="E797" s="34"/>
      <c r="F797" s="34"/>
      <c r="G797" s="34"/>
      <c r="H797" s="34"/>
      <c r="I797" s="34"/>
      <c r="J797" s="37"/>
      <c r="K797" s="34"/>
      <c r="L797" s="38" t="str">
        <f aca="false">IF(I797="","",I797*N(J797)*IF(K797="",1,K797))</f>
        <v/>
      </c>
      <c r="M797" s="34"/>
    </row>
    <row r="798" customFormat="false" ht="15" hidden="false" customHeight="false" outlineLevel="0" collapsed="false">
      <c r="A798" s="34"/>
      <c r="B798" s="35"/>
      <c r="C798" s="36" t="str">
        <f aca="false">IF(B798="","",DATE(YEAR(B798),MONTH(B798),1))</f>
        <v/>
      </c>
      <c r="D798" s="34"/>
      <c r="E798" s="34"/>
      <c r="F798" s="34"/>
      <c r="G798" s="34"/>
      <c r="H798" s="34"/>
      <c r="I798" s="34"/>
      <c r="J798" s="37"/>
      <c r="K798" s="34"/>
      <c r="L798" s="38" t="str">
        <f aca="false">IF(I798="","",I798*N(J798)*IF(K798="",1,K798))</f>
        <v/>
      </c>
      <c r="M798" s="34"/>
    </row>
    <row r="799" customFormat="false" ht="15" hidden="false" customHeight="false" outlineLevel="0" collapsed="false">
      <c r="A799" s="34"/>
      <c r="B799" s="35"/>
      <c r="C799" s="36" t="str">
        <f aca="false">IF(B799="","",DATE(YEAR(B799),MONTH(B799),1))</f>
        <v/>
      </c>
      <c r="D799" s="34"/>
      <c r="E799" s="34"/>
      <c r="F799" s="34"/>
      <c r="G799" s="34"/>
      <c r="H799" s="34"/>
      <c r="I799" s="34"/>
      <c r="J799" s="37"/>
      <c r="K799" s="34"/>
      <c r="L799" s="38" t="str">
        <f aca="false">IF(I799="","",I799*N(J799)*IF(K799="",1,K799))</f>
        <v/>
      </c>
      <c r="M799" s="34"/>
    </row>
    <row r="800" customFormat="false" ht="15" hidden="false" customHeight="false" outlineLevel="0" collapsed="false">
      <c r="A800" s="34"/>
      <c r="B800" s="35"/>
      <c r="C800" s="36" t="str">
        <f aca="false">IF(B800="","",DATE(YEAR(B800),MONTH(B800),1))</f>
        <v/>
      </c>
      <c r="D800" s="34"/>
      <c r="E800" s="34"/>
      <c r="F800" s="34"/>
      <c r="G800" s="34"/>
      <c r="H800" s="34"/>
      <c r="I800" s="34"/>
      <c r="J800" s="37"/>
      <c r="K800" s="34"/>
      <c r="L800" s="38" t="str">
        <f aca="false">IF(I800="","",I800*N(J800)*IF(K800="",1,K800))</f>
        <v/>
      </c>
      <c r="M800" s="34"/>
    </row>
    <row r="801" customFormat="false" ht="15" hidden="false" customHeight="false" outlineLevel="0" collapsed="false">
      <c r="A801" s="34"/>
      <c r="B801" s="35"/>
      <c r="C801" s="36" t="str">
        <f aca="false">IF(B801="","",DATE(YEAR(B801),MONTH(B801),1))</f>
        <v/>
      </c>
      <c r="D801" s="34"/>
      <c r="E801" s="34"/>
      <c r="F801" s="34"/>
      <c r="G801" s="34"/>
      <c r="H801" s="34"/>
      <c r="I801" s="34"/>
      <c r="J801" s="37"/>
      <c r="K801" s="34"/>
      <c r="L801" s="38" t="str">
        <f aca="false">IF(I801="","",I801*N(J801)*IF(K801="",1,K801))</f>
        <v/>
      </c>
      <c r="M801" s="34"/>
    </row>
    <row r="802" customFormat="false" ht="15" hidden="false" customHeight="false" outlineLevel="0" collapsed="false">
      <c r="A802" s="34"/>
      <c r="B802" s="35"/>
      <c r="C802" s="36" t="str">
        <f aca="false">IF(B802="","",DATE(YEAR(B802),MONTH(B802),1))</f>
        <v/>
      </c>
      <c r="D802" s="34"/>
      <c r="E802" s="34"/>
      <c r="F802" s="34"/>
      <c r="G802" s="34"/>
      <c r="H802" s="34"/>
      <c r="I802" s="34"/>
      <c r="J802" s="37"/>
      <c r="K802" s="34"/>
      <c r="L802" s="38" t="str">
        <f aca="false">IF(I802="","",I802*N(J802)*IF(K802="",1,K802))</f>
        <v/>
      </c>
      <c r="M802" s="34"/>
    </row>
    <row r="803" customFormat="false" ht="15" hidden="false" customHeight="false" outlineLevel="0" collapsed="false">
      <c r="A803" s="34"/>
      <c r="B803" s="35"/>
      <c r="C803" s="36" t="str">
        <f aca="false">IF(B803="","",DATE(YEAR(B803),MONTH(B803),1))</f>
        <v/>
      </c>
      <c r="D803" s="34"/>
      <c r="E803" s="34"/>
      <c r="F803" s="34"/>
      <c r="G803" s="34"/>
      <c r="H803" s="34"/>
      <c r="I803" s="34"/>
      <c r="J803" s="37"/>
      <c r="K803" s="34"/>
      <c r="L803" s="38" t="str">
        <f aca="false">IF(I803="","",I803*N(J803)*IF(K803="",1,K803))</f>
        <v/>
      </c>
      <c r="M803" s="34"/>
    </row>
    <row r="804" customFormat="false" ht="15" hidden="false" customHeight="false" outlineLevel="0" collapsed="false">
      <c r="A804" s="34"/>
      <c r="B804" s="35"/>
      <c r="C804" s="36" t="str">
        <f aca="false">IF(B804="","",DATE(YEAR(B804),MONTH(B804),1))</f>
        <v/>
      </c>
      <c r="D804" s="34"/>
      <c r="E804" s="34"/>
      <c r="F804" s="34"/>
      <c r="G804" s="34"/>
      <c r="H804" s="34"/>
      <c r="I804" s="34"/>
      <c r="J804" s="37"/>
      <c r="K804" s="34"/>
      <c r="L804" s="38" t="str">
        <f aca="false">IF(I804="","",I804*N(J804)*IF(K804="",1,K804))</f>
        <v/>
      </c>
      <c r="M804" s="34"/>
    </row>
    <row r="805" customFormat="false" ht="15" hidden="false" customHeight="false" outlineLevel="0" collapsed="false">
      <c r="A805" s="34"/>
      <c r="B805" s="35"/>
      <c r="C805" s="36" t="str">
        <f aca="false">IF(B805="","",DATE(YEAR(B805),MONTH(B805),1))</f>
        <v/>
      </c>
      <c r="D805" s="34"/>
      <c r="E805" s="34"/>
      <c r="F805" s="34"/>
      <c r="G805" s="34"/>
      <c r="H805" s="34"/>
      <c r="I805" s="34"/>
      <c r="J805" s="37"/>
      <c r="K805" s="34"/>
      <c r="L805" s="38" t="str">
        <f aca="false">IF(I805="","",I805*N(J805)*IF(K805="",1,K805))</f>
        <v/>
      </c>
      <c r="M805" s="34"/>
    </row>
    <row r="806" customFormat="false" ht="15" hidden="false" customHeight="false" outlineLevel="0" collapsed="false">
      <c r="A806" s="34"/>
      <c r="B806" s="35"/>
      <c r="C806" s="36" t="str">
        <f aca="false">IF(B806="","",DATE(YEAR(B806),MONTH(B806),1))</f>
        <v/>
      </c>
      <c r="D806" s="34"/>
      <c r="E806" s="34"/>
      <c r="F806" s="34"/>
      <c r="G806" s="34"/>
      <c r="H806" s="34"/>
      <c r="I806" s="34"/>
      <c r="J806" s="37"/>
      <c r="K806" s="34"/>
      <c r="L806" s="38" t="str">
        <f aca="false">IF(I806="","",I806*N(J806)*IF(K806="",1,K806))</f>
        <v/>
      </c>
      <c r="M806" s="34"/>
    </row>
    <row r="807" customFormat="false" ht="15" hidden="false" customHeight="false" outlineLevel="0" collapsed="false">
      <c r="A807" s="34"/>
      <c r="B807" s="35"/>
      <c r="C807" s="36" t="str">
        <f aca="false">IF(B807="","",DATE(YEAR(B807),MONTH(B807),1))</f>
        <v/>
      </c>
      <c r="D807" s="34"/>
      <c r="E807" s="34"/>
      <c r="F807" s="34"/>
      <c r="G807" s="34"/>
      <c r="H807" s="34"/>
      <c r="I807" s="34"/>
      <c r="J807" s="37"/>
      <c r="K807" s="34"/>
      <c r="L807" s="38" t="str">
        <f aca="false">IF(I807="","",I807*N(J807)*IF(K807="",1,K807))</f>
        <v/>
      </c>
      <c r="M807" s="34"/>
    </row>
    <row r="808" customFormat="false" ht="15" hidden="false" customHeight="false" outlineLevel="0" collapsed="false">
      <c r="A808" s="34"/>
      <c r="B808" s="35"/>
      <c r="C808" s="36" t="str">
        <f aca="false">IF(B808="","",DATE(YEAR(B808),MONTH(B808),1))</f>
        <v/>
      </c>
      <c r="D808" s="34"/>
      <c r="E808" s="34"/>
      <c r="F808" s="34"/>
      <c r="G808" s="34"/>
      <c r="H808" s="34"/>
      <c r="I808" s="34"/>
      <c r="J808" s="37"/>
      <c r="K808" s="34"/>
      <c r="L808" s="38" t="str">
        <f aca="false">IF(I808="","",I808*N(J808)*IF(K808="",1,K808))</f>
        <v/>
      </c>
      <c r="M808" s="34"/>
    </row>
    <row r="809" customFormat="false" ht="15" hidden="false" customHeight="false" outlineLevel="0" collapsed="false">
      <c r="A809" s="34"/>
      <c r="B809" s="35"/>
      <c r="C809" s="36" t="str">
        <f aca="false">IF(B809="","",DATE(YEAR(B809),MONTH(B809),1))</f>
        <v/>
      </c>
      <c r="D809" s="34"/>
      <c r="E809" s="34"/>
      <c r="F809" s="34"/>
      <c r="G809" s="34"/>
      <c r="H809" s="34"/>
      <c r="I809" s="34"/>
      <c r="J809" s="37"/>
      <c r="K809" s="34"/>
      <c r="L809" s="38" t="str">
        <f aca="false">IF(I809="","",I809*N(J809)*IF(K809="",1,K809))</f>
        <v/>
      </c>
      <c r="M809" s="34"/>
    </row>
    <row r="810" customFormat="false" ht="15" hidden="false" customHeight="false" outlineLevel="0" collapsed="false">
      <c r="A810" s="34"/>
      <c r="B810" s="35"/>
      <c r="C810" s="36" t="str">
        <f aca="false">IF(B810="","",DATE(YEAR(B810),MONTH(B810),1))</f>
        <v/>
      </c>
      <c r="D810" s="34"/>
      <c r="E810" s="34"/>
      <c r="F810" s="34"/>
      <c r="G810" s="34"/>
      <c r="H810" s="34"/>
      <c r="I810" s="34"/>
      <c r="J810" s="37"/>
      <c r="K810" s="34"/>
      <c r="L810" s="38" t="str">
        <f aca="false">IF(I810="","",I810*N(J810)*IF(K810="",1,K810))</f>
        <v/>
      </c>
      <c r="M810" s="34"/>
    </row>
    <row r="811" customFormat="false" ht="15" hidden="false" customHeight="false" outlineLevel="0" collapsed="false">
      <c r="A811" s="34"/>
      <c r="B811" s="35"/>
      <c r="C811" s="36" t="str">
        <f aca="false">IF(B811="","",DATE(YEAR(B811),MONTH(B811),1))</f>
        <v/>
      </c>
      <c r="D811" s="34"/>
      <c r="E811" s="34"/>
      <c r="F811" s="34"/>
      <c r="G811" s="34"/>
      <c r="H811" s="34"/>
      <c r="I811" s="34"/>
      <c r="J811" s="37"/>
      <c r="K811" s="34"/>
      <c r="L811" s="38" t="str">
        <f aca="false">IF(I811="","",I811*N(J811)*IF(K811="",1,K811))</f>
        <v/>
      </c>
      <c r="M811" s="34"/>
    </row>
    <row r="812" customFormat="false" ht="15" hidden="false" customHeight="false" outlineLevel="0" collapsed="false">
      <c r="A812" s="34"/>
      <c r="B812" s="35"/>
      <c r="C812" s="36" t="str">
        <f aca="false">IF(B812="","",DATE(YEAR(B812),MONTH(B812),1))</f>
        <v/>
      </c>
      <c r="D812" s="34"/>
      <c r="E812" s="34"/>
      <c r="F812" s="34"/>
      <c r="G812" s="34"/>
      <c r="H812" s="34"/>
      <c r="I812" s="34"/>
      <c r="J812" s="37"/>
      <c r="K812" s="34"/>
      <c r="L812" s="38" t="str">
        <f aca="false">IF(I812="","",I812*N(J812)*IF(K812="",1,K812))</f>
        <v/>
      </c>
      <c r="M812" s="34"/>
    </row>
    <row r="813" customFormat="false" ht="15" hidden="false" customHeight="false" outlineLevel="0" collapsed="false">
      <c r="A813" s="34"/>
      <c r="B813" s="35"/>
      <c r="C813" s="36" t="str">
        <f aca="false">IF(B813="","",DATE(YEAR(B813),MONTH(B813),1))</f>
        <v/>
      </c>
      <c r="D813" s="34"/>
      <c r="E813" s="34"/>
      <c r="F813" s="34"/>
      <c r="G813" s="34"/>
      <c r="H813" s="34"/>
      <c r="I813" s="34"/>
      <c r="J813" s="37"/>
      <c r="K813" s="34"/>
      <c r="L813" s="38" t="str">
        <f aca="false">IF(I813="","",I813*N(J813)*IF(K813="",1,K813))</f>
        <v/>
      </c>
      <c r="M813" s="34"/>
    </row>
    <row r="814" customFormat="false" ht="15" hidden="false" customHeight="false" outlineLevel="0" collapsed="false">
      <c r="A814" s="34"/>
      <c r="B814" s="35"/>
      <c r="C814" s="36" t="str">
        <f aca="false">IF(B814="","",DATE(YEAR(B814),MONTH(B814),1))</f>
        <v/>
      </c>
      <c r="D814" s="34"/>
      <c r="E814" s="34"/>
      <c r="F814" s="34"/>
      <c r="G814" s="34"/>
      <c r="H814" s="34"/>
      <c r="I814" s="34"/>
      <c r="J814" s="37"/>
      <c r="K814" s="34"/>
      <c r="L814" s="38" t="str">
        <f aca="false">IF(I814="","",I814*N(J814)*IF(K814="",1,K814))</f>
        <v/>
      </c>
      <c r="M814" s="34"/>
    </row>
    <row r="815" customFormat="false" ht="15" hidden="false" customHeight="false" outlineLevel="0" collapsed="false">
      <c r="A815" s="34"/>
      <c r="B815" s="35"/>
      <c r="C815" s="36" t="str">
        <f aca="false">IF(B815="","",DATE(YEAR(B815),MONTH(B815),1))</f>
        <v/>
      </c>
      <c r="D815" s="34"/>
      <c r="E815" s="34"/>
      <c r="F815" s="34"/>
      <c r="G815" s="34"/>
      <c r="H815" s="34"/>
      <c r="I815" s="34"/>
      <c r="J815" s="37"/>
      <c r="K815" s="34"/>
      <c r="L815" s="38" t="str">
        <f aca="false">IF(I815="","",I815*N(J815)*IF(K815="",1,K815))</f>
        <v/>
      </c>
      <c r="M815" s="34"/>
    </row>
    <row r="816" customFormat="false" ht="15" hidden="false" customHeight="false" outlineLevel="0" collapsed="false">
      <c r="A816" s="34"/>
      <c r="B816" s="35"/>
      <c r="C816" s="36" t="str">
        <f aca="false">IF(B816="","",DATE(YEAR(B816),MONTH(B816),1))</f>
        <v/>
      </c>
      <c r="D816" s="34"/>
      <c r="E816" s="34"/>
      <c r="F816" s="34"/>
      <c r="G816" s="34"/>
      <c r="H816" s="34"/>
      <c r="I816" s="34"/>
      <c r="J816" s="37"/>
      <c r="K816" s="34"/>
      <c r="L816" s="38" t="str">
        <f aca="false">IF(I816="","",I816*N(J816)*IF(K816="",1,K816))</f>
        <v/>
      </c>
      <c r="M816" s="34"/>
    </row>
    <row r="817" customFormat="false" ht="15" hidden="false" customHeight="false" outlineLevel="0" collapsed="false">
      <c r="A817" s="34"/>
      <c r="B817" s="35"/>
      <c r="C817" s="36" t="str">
        <f aca="false">IF(B817="","",DATE(YEAR(B817),MONTH(B817),1))</f>
        <v/>
      </c>
      <c r="D817" s="34"/>
      <c r="E817" s="34"/>
      <c r="F817" s="34"/>
      <c r="G817" s="34"/>
      <c r="H817" s="34"/>
      <c r="I817" s="34"/>
      <c r="J817" s="37"/>
      <c r="K817" s="34"/>
      <c r="L817" s="38" t="str">
        <f aca="false">IF(I817="","",I817*N(J817)*IF(K817="",1,K817))</f>
        <v/>
      </c>
      <c r="M817" s="34"/>
    </row>
    <row r="818" customFormat="false" ht="15" hidden="false" customHeight="false" outlineLevel="0" collapsed="false">
      <c r="A818" s="34"/>
      <c r="B818" s="35"/>
      <c r="C818" s="36" t="str">
        <f aca="false">IF(B818="","",DATE(YEAR(B818),MONTH(B818),1))</f>
        <v/>
      </c>
      <c r="D818" s="34"/>
      <c r="E818" s="34"/>
      <c r="F818" s="34"/>
      <c r="G818" s="34"/>
      <c r="H818" s="34"/>
      <c r="I818" s="34"/>
      <c r="J818" s="37"/>
      <c r="K818" s="34"/>
      <c r="L818" s="38" t="str">
        <f aca="false">IF(I818="","",I818*N(J818)*IF(K818="",1,K818))</f>
        <v/>
      </c>
      <c r="M818" s="34"/>
    </row>
    <row r="819" customFormat="false" ht="15" hidden="false" customHeight="false" outlineLevel="0" collapsed="false">
      <c r="A819" s="34"/>
      <c r="B819" s="35"/>
      <c r="C819" s="36" t="str">
        <f aca="false">IF(B819="","",DATE(YEAR(B819),MONTH(B819),1))</f>
        <v/>
      </c>
      <c r="D819" s="34"/>
      <c r="E819" s="34"/>
      <c r="F819" s="34"/>
      <c r="G819" s="34"/>
      <c r="H819" s="34"/>
      <c r="I819" s="34"/>
      <c r="J819" s="37"/>
      <c r="K819" s="34"/>
      <c r="L819" s="38" t="str">
        <f aca="false">IF(I819="","",I819*N(J819)*IF(K819="",1,K819))</f>
        <v/>
      </c>
      <c r="M819" s="34"/>
    </row>
    <row r="820" customFormat="false" ht="15" hidden="false" customHeight="false" outlineLevel="0" collapsed="false">
      <c r="A820" s="34"/>
      <c r="B820" s="35"/>
      <c r="C820" s="36" t="str">
        <f aca="false">IF(B820="","",DATE(YEAR(B820),MONTH(B820),1))</f>
        <v/>
      </c>
      <c r="D820" s="34"/>
      <c r="E820" s="34"/>
      <c r="F820" s="34"/>
      <c r="G820" s="34"/>
      <c r="H820" s="34"/>
      <c r="I820" s="34"/>
      <c r="J820" s="37"/>
      <c r="K820" s="34"/>
      <c r="L820" s="38" t="str">
        <f aca="false">IF(I820="","",I820*N(J820)*IF(K820="",1,K820))</f>
        <v/>
      </c>
      <c r="M820" s="34"/>
    </row>
    <row r="821" customFormat="false" ht="15" hidden="false" customHeight="false" outlineLevel="0" collapsed="false">
      <c r="A821" s="34"/>
      <c r="B821" s="35"/>
      <c r="C821" s="36" t="str">
        <f aca="false">IF(B821="","",DATE(YEAR(B821),MONTH(B821),1))</f>
        <v/>
      </c>
      <c r="D821" s="34"/>
      <c r="E821" s="34"/>
      <c r="F821" s="34"/>
      <c r="G821" s="34"/>
      <c r="H821" s="34"/>
      <c r="I821" s="34"/>
      <c r="J821" s="37"/>
      <c r="K821" s="34"/>
      <c r="L821" s="38" t="str">
        <f aca="false">IF(I821="","",I821*N(J821)*IF(K821="",1,K821))</f>
        <v/>
      </c>
      <c r="M821" s="34"/>
    </row>
    <row r="822" customFormat="false" ht="15" hidden="false" customHeight="false" outlineLevel="0" collapsed="false">
      <c r="A822" s="34"/>
      <c r="B822" s="35"/>
      <c r="C822" s="36" t="str">
        <f aca="false">IF(B822="","",DATE(YEAR(B822),MONTH(B822),1))</f>
        <v/>
      </c>
      <c r="D822" s="34"/>
      <c r="E822" s="34"/>
      <c r="F822" s="34"/>
      <c r="G822" s="34"/>
      <c r="H822" s="34"/>
      <c r="I822" s="34"/>
      <c r="J822" s="37"/>
      <c r="K822" s="34"/>
      <c r="L822" s="38" t="str">
        <f aca="false">IF(I822="","",I822*N(J822)*IF(K822="",1,K822))</f>
        <v/>
      </c>
      <c r="M822" s="34"/>
    </row>
    <row r="823" customFormat="false" ht="15" hidden="false" customHeight="false" outlineLevel="0" collapsed="false">
      <c r="A823" s="34"/>
      <c r="B823" s="35"/>
      <c r="C823" s="36" t="str">
        <f aca="false">IF(B823="","",DATE(YEAR(B823),MONTH(B823),1))</f>
        <v/>
      </c>
      <c r="D823" s="34"/>
      <c r="E823" s="34"/>
      <c r="F823" s="34"/>
      <c r="G823" s="34"/>
      <c r="H823" s="34"/>
      <c r="I823" s="34"/>
      <c r="J823" s="37"/>
      <c r="K823" s="34"/>
      <c r="L823" s="38" t="str">
        <f aca="false">IF(I823="","",I823*N(J823)*IF(K823="",1,K823))</f>
        <v/>
      </c>
      <c r="M823" s="34"/>
    </row>
    <row r="824" customFormat="false" ht="15" hidden="false" customHeight="false" outlineLevel="0" collapsed="false">
      <c r="A824" s="34"/>
      <c r="B824" s="35"/>
      <c r="C824" s="36" t="str">
        <f aca="false">IF(B824="","",DATE(YEAR(B824),MONTH(B824),1))</f>
        <v/>
      </c>
      <c r="D824" s="34"/>
      <c r="E824" s="34"/>
      <c r="F824" s="34"/>
      <c r="G824" s="34"/>
      <c r="H824" s="34"/>
      <c r="I824" s="34"/>
      <c r="J824" s="37"/>
      <c r="K824" s="34"/>
      <c r="L824" s="38" t="str">
        <f aca="false">IF(I824="","",I824*N(J824)*IF(K824="",1,K824))</f>
        <v/>
      </c>
      <c r="M824" s="34"/>
    </row>
    <row r="825" customFormat="false" ht="15" hidden="false" customHeight="false" outlineLevel="0" collapsed="false">
      <c r="A825" s="34"/>
      <c r="B825" s="35"/>
      <c r="C825" s="36" t="str">
        <f aca="false">IF(B825="","",DATE(YEAR(B825),MONTH(B825),1))</f>
        <v/>
      </c>
      <c r="D825" s="34"/>
      <c r="E825" s="34"/>
      <c r="F825" s="34"/>
      <c r="G825" s="34"/>
      <c r="H825" s="34"/>
      <c r="I825" s="34"/>
      <c r="J825" s="37"/>
      <c r="K825" s="34"/>
      <c r="L825" s="38" t="str">
        <f aca="false">IF(I825="","",I825*N(J825)*IF(K825="",1,K825))</f>
        <v/>
      </c>
      <c r="M825" s="34"/>
    </row>
    <row r="826" customFormat="false" ht="15" hidden="false" customHeight="false" outlineLevel="0" collapsed="false">
      <c r="A826" s="34"/>
      <c r="B826" s="35"/>
      <c r="C826" s="36" t="str">
        <f aca="false">IF(B826="","",DATE(YEAR(B826),MONTH(B826),1))</f>
        <v/>
      </c>
      <c r="D826" s="34"/>
      <c r="E826" s="34"/>
      <c r="F826" s="34"/>
      <c r="G826" s="34"/>
      <c r="H826" s="34"/>
      <c r="I826" s="34"/>
      <c r="J826" s="37"/>
      <c r="K826" s="34"/>
      <c r="L826" s="38" t="str">
        <f aca="false">IF(I826="","",I826*N(J826)*IF(K826="",1,K826))</f>
        <v/>
      </c>
      <c r="M826" s="34"/>
    </row>
    <row r="827" customFormat="false" ht="15" hidden="false" customHeight="false" outlineLevel="0" collapsed="false">
      <c r="A827" s="34"/>
      <c r="B827" s="35"/>
      <c r="C827" s="36" t="str">
        <f aca="false">IF(B827="","",DATE(YEAR(B827),MONTH(B827),1))</f>
        <v/>
      </c>
      <c r="D827" s="34"/>
      <c r="E827" s="34"/>
      <c r="F827" s="34"/>
      <c r="G827" s="34"/>
      <c r="H827" s="34"/>
      <c r="I827" s="34"/>
      <c r="J827" s="37"/>
      <c r="K827" s="34"/>
      <c r="L827" s="38" t="str">
        <f aca="false">IF(I827="","",I827*N(J827)*IF(K827="",1,K827))</f>
        <v/>
      </c>
      <c r="M827" s="34"/>
    </row>
    <row r="828" customFormat="false" ht="15" hidden="false" customHeight="false" outlineLevel="0" collapsed="false">
      <c r="A828" s="34"/>
      <c r="B828" s="35"/>
      <c r="C828" s="36" t="str">
        <f aca="false">IF(B828="","",DATE(YEAR(B828),MONTH(B828),1))</f>
        <v/>
      </c>
      <c r="D828" s="34"/>
      <c r="E828" s="34"/>
      <c r="F828" s="34"/>
      <c r="G828" s="34"/>
      <c r="H828" s="34"/>
      <c r="I828" s="34"/>
      <c r="J828" s="37"/>
      <c r="K828" s="34"/>
      <c r="L828" s="38" t="str">
        <f aca="false">IF(I828="","",I828*N(J828)*IF(K828="",1,K828))</f>
        <v/>
      </c>
      <c r="M828" s="34"/>
    </row>
    <row r="829" customFormat="false" ht="15" hidden="false" customHeight="false" outlineLevel="0" collapsed="false">
      <c r="A829" s="34"/>
      <c r="B829" s="35"/>
      <c r="C829" s="36" t="str">
        <f aca="false">IF(B829="","",DATE(YEAR(B829),MONTH(B829),1))</f>
        <v/>
      </c>
      <c r="D829" s="34"/>
      <c r="E829" s="34"/>
      <c r="F829" s="34"/>
      <c r="G829" s="34"/>
      <c r="H829" s="34"/>
      <c r="I829" s="34"/>
      <c r="J829" s="37"/>
      <c r="K829" s="34"/>
      <c r="L829" s="38" t="str">
        <f aca="false">IF(I829="","",I829*N(J829)*IF(K829="",1,K829))</f>
        <v/>
      </c>
      <c r="M829" s="34"/>
    </row>
    <row r="830" customFormat="false" ht="15" hidden="false" customHeight="false" outlineLevel="0" collapsed="false">
      <c r="A830" s="34"/>
      <c r="B830" s="35"/>
      <c r="C830" s="36" t="str">
        <f aca="false">IF(B830="","",DATE(YEAR(B830),MONTH(B830),1))</f>
        <v/>
      </c>
      <c r="D830" s="34"/>
      <c r="E830" s="34"/>
      <c r="F830" s="34"/>
      <c r="G830" s="34"/>
      <c r="H830" s="34"/>
      <c r="I830" s="34"/>
      <c r="J830" s="37"/>
      <c r="K830" s="34"/>
      <c r="L830" s="38" t="str">
        <f aca="false">IF(I830="","",I830*N(J830)*IF(K830="",1,K830))</f>
        <v/>
      </c>
      <c r="M830" s="34"/>
    </row>
    <row r="831" customFormat="false" ht="15" hidden="false" customHeight="false" outlineLevel="0" collapsed="false">
      <c r="A831" s="34"/>
      <c r="B831" s="35"/>
      <c r="C831" s="36" t="str">
        <f aca="false">IF(B831="","",DATE(YEAR(B831),MONTH(B831),1))</f>
        <v/>
      </c>
      <c r="D831" s="34"/>
      <c r="E831" s="34"/>
      <c r="F831" s="34"/>
      <c r="G831" s="34"/>
      <c r="H831" s="34"/>
      <c r="I831" s="34"/>
      <c r="J831" s="37"/>
      <c r="K831" s="34"/>
      <c r="L831" s="38" t="str">
        <f aca="false">IF(I831="","",I831*N(J831)*IF(K831="",1,K831))</f>
        <v/>
      </c>
      <c r="M831" s="34"/>
    </row>
    <row r="832" customFormat="false" ht="15" hidden="false" customHeight="false" outlineLevel="0" collapsed="false">
      <c r="A832" s="34"/>
      <c r="B832" s="35"/>
      <c r="C832" s="36" t="str">
        <f aca="false">IF(B832="","",DATE(YEAR(B832),MONTH(B832),1))</f>
        <v/>
      </c>
      <c r="D832" s="34"/>
      <c r="E832" s="34"/>
      <c r="F832" s="34"/>
      <c r="G832" s="34"/>
      <c r="H832" s="34"/>
      <c r="I832" s="34"/>
      <c r="J832" s="37"/>
      <c r="K832" s="34"/>
      <c r="L832" s="38" t="str">
        <f aca="false">IF(I832="","",I832*N(J832)*IF(K832="",1,K832))</f>
        <v/>
      </c>
      <c r="M832" s="34"/>
    </row>
    <row r="833" customFormat="false" ht="15" hidden="false" customHeight="false" outlineLevel="0" collapsed="false">
      <c r="A833" s="34"/>
      <c r="B833" s="35"/>
      <c r="C833" s="36" t="str">
        <f aca="false">IF(B833="","",DATE(YEAR(B833),MONTH(B833),1))</f>
        <v/>
      </c>
      <c r="D833" s="34"/>
      <c r="E833" s="34"/>
      <c r="F833" s="34"/>
      <c r="G833" s="34"/>
      <c r="H833" s="34"/>
      <c r="I833" s="34"/>
      <c r="J833" s="37"/>
      <c r="K833" s="34"/>
      <c r="L833" s="38" t="str">
        <f aca="false">IF(I833="","",I833*N(J833)*IF(K833="",1,K833))</f>
        <v/>
      </c>
      <c r="M833" s="34"/>
    </row>
    <row r="834" customFormat="false" ht="15" hidden="false" customHeight="false" outlineLevel="0" collapsed="false">
      <c r="A834" s="34"/>
      <c r="B834" s="35"/>
      <c r="C834" s="36" t="str">
        <f aca="false">IF(B834="","",DATE(YEAR(B834),MONTH(B834),1))</f>
        <v/>
      </c>
      <c r="D834" s="34"/>
      <c r="E834" s="34"/>
      <c r="F834" s="34"/>
      <c r="G834" s="34"/>
      <c r="H834" s="34"/>
      <c r="I834" s="34"/>
      <c r="J834" s="37"/>
      <c r="K834" s="34"/>
      <c r="L834" s="38" t="str">
        <f aca="false">IF(I834="","",I834*N(J834)*IF(K834="",1,K834))</f>
        <v/>
      </c>
      <c r="M834" s="34"/>
    </row>
    <row r="835" customFormat="false" ht="15" hidden="false" customHeight="false" outlineLevel="0" collapsed="false">
      <c r="A835" s="34"/>
      <c r="B835" s="35"/>
      <c r="C835" s="36" t="str">
        <f aca="false">IF(B835="","",DATE(YEAR(B835),MONTH(B835),1))</f>
        <v/>
      </c>
      <c r="D835" s="34"/>
      <c r="E835" s="34"/>
      <c r="F835" s="34"/>
      <c r="G835" s="34"/>
      <c r="H835" s="34"/>
      <c r="I835" s="34"/>
      <c r="J835" s="37"/>
      <c r="K835" s="34"/>
      <c r="L835" s="38" t="str">
        <f aca="false">IF(I835="","",I835*N(J835)*IF(K835="",1,K835))</f>
        <v/>
      </c>
      <c r="M835" s="34"/>
    </row>
    <row r="836" customFormat="false" ht="15" hidden="false" customHeight="false" outlineLevel="0" collapsed="false">
      <c r="A836" s="34"/>
      <c r="B836" s="35"/>
      <c r="C836" s="36" t="str">
        <f aca="false">IF(B836="","",DATE(YEAR(B836),MONTH(B836),1))</f>
        <v/>
      </c>
      <c r="D836" s="34"/>
      <c r="E836" s="34"/>
      <c r="F836" s="34"/>
      <c r="G836" s="34"/>
      <c r="H836" s="34"/>
      <c r="I836" s="34"/>
      <c r="J836" s="37"/>
      <c r="K836" s="34"/>
      <c r="L836" s="38" t="str">
        <f aca="false">IF(I836="","",I836*N(J836)*IF(K836="",1,K836))</f>
        <v/>
      </c>
      <c r="M836" s="34"/>
    </row>
    <row r="837" customFormat="false" ht="15" hidden="false" customHeight="false" outlineLevel="0" collapsed="false">
      <c r="A837" s="34"/>
      <c r="B837" s="35"/>
      <c r="C837" s="36" t="str">
        <f aca="false">IF(B837="","",DATE(YEAR(B837),MONTH(B837),1))</f>
        <v/>
      </c>
      <c r="D837" s="34"/>
      <c r="E837" s="34"/>
      <c r="F837" s="34"/>
      <c r="G837" s="34"/>
      <c r="H837" s="34"/>
      <c r="I837" s="34"/>
      <c r="J837" s="37"/>
      <c r="K837" s="34"/>
      <c r="L837" s="38" t="str">
        <f aca="false">IF(I837="","",I837*N(J837)*IF(K837="",1,K837))</f>
        <v/>
      </c>
      <c r="M837" s="34"/>
    </row>
    <row r="838" customFormat="false" ht="15" hidden="false" customHeight="false" outlineLevel="0" collapsed="false">
      <c r="A838" s="34"/>
      <c r="B838" s="35"/>
      <c r="C838" s="36" t="str">
        <f aca="false">IF(B838="","",DATE(YEAR(B838),MONTH(B838),1))</f>
        <v/>
      </c>
      <c r="D838" s="34"/>
      <c r="E838" s="34"/>
      <c r="F838" s="34"/>
      <c r="G838" s="34"/>
      <c r="H838" s="34"/>
      <c r="I838" s="34"/>
      <c r="J838" s="37"/>
      <c r="K838" s="34"/>
      <c r="L838" s="38" t="str">
        <f aca="false">IF(I838="","",I838*N(J838)*IF(K838="",1,K838))</f>
        <v/>
      </c>
      <c r="M838" s="34"/>
    </row>
    <row r="839" customFormat="false" ht="15" hidden="false" customHeight="false" outlineLevel="0" collapsed="false">
      <c r="A839" s="34"/>
      <c r="B839" s="35"/>
      <c r="C839" s="36" t="str">
        <f aca="false">IF(B839="","",DATE(YEAR(B839),MONTH(B839),1))</f>
        <v/>
      </c>
      <c r="D839" s="34"/>
      <c r="E839" s="34"/>
      <c r="F839" s="34"/>
      <c r="G839" s="34"/>
      <c r="H839" s="34"/>
      <c r="I839" s="34"/>
      <c r="J839" s="37"/>
      <c r="K839" s="34"/>
      <c r="L839" s="38" t="str">
        <f aca="false">IF(I839="","",I839*N(J839)*IF(K839="",1,K839))</f>
        <v/>
      </c>
      <c r="M839" s="34"/>
    </row>
    <row r="840" customFormat="false" ht="15" hidden="false" customHeight="false" outlineLevel="0" collapsed="false">
      <c r="A840" s="34"/>
      <c r="B840" s="35"/>
      <c r="C840" s="36" t="str">
        <f aca="false">IF(B840="","",DATE(YEAR(B840),MONTH(B840),1))</f>
        <v/>
      </c>
      <c r="D840" s="34"/>
      <c r="E840" s="34"/>
      <c r="F840" s="34"/>
      <c r="G840" s="34"/>
      <c r="H840" s="34"/>
      <c r="I840" s="34"/>
      <c r="J840" s="37"/>
      <c r="K840" s="34"/>
      <c r="L840" s="38" t="str">
        <f aca="false">IF(I840="","",I840*N(J840)*IF(K840="",1,K840))</f>
        <v/>
      </c>
      <c r="M840" s="34"/>
    </row>
    <row r="841" customFormat="false" ht="15" hidden="false" customHeight="false" outlineLevel="0" collapsed="false">
      <c r="A841" s="34"/>
      <c r="B841" s="35"/>
      <c r="C841" s="36" t="str">
        <f aca="false">IF(B841="","",DATE(YEAR(B841),MONTH(B841),1))</f>
        <v/>
      </c>
      <c r="D841" s="34"/>
      <c r="E841" s="34"/>
      <c r="F841" s="34"/>
      <c r="G841" s="34"/>
      <c r="H841" s="34"/>
      <c r="I841" s="34"/>
      <c r="J841" s="37"/>
      <c r="K841" s="34"/>
      <c r="L841" s="38" t="str">
        <f aca="false">IF(I841="","",I841*N(J841)*IF(K841="",1,K841))</f>
        <v/>
      </c>
      <c r="M841" s="34"/>
    </row>
    <row r="842" customFormat="false" ht="15" hidden="false" customHeight="false" outlineLevel="0" collapsed="false">
      <c r="A842" s="34"/>
      <c r="B842" s="35"/>
      <c r="C842" s="36" t="str">
        <f aca="false">IF(B842="","",DATE(YEAR(B842),MONTH(B842),1))</f>
        <v/>
      </c>
      <c r="D842" s="34"/>
      <c r="E842" s="34"/>
      <c r="F842" s="34"/>
      <c r="G842" s="34"/>
      <c r="H842" s="34"/>
      <c r="I842" s="34"/>
      <c r="J842" s="37"/>
      <c r="K842" s="34"/>
      <c r="L842" s="38" t="str">
        <f aca="false">IF(I842="","",I842*N(J842)*IF(K842="",1,K842))</f>
        <v/>
      </c>
      <c r="M842" s="34"/>
    </row>
    <row r="843" customFormat="false" ht="15" hidden="false" customHeight="false" outlineLevel="0" collapsed="false">
      <c r="A843" s="34"/>
      <c r="B843" s="35"/>
      <c r="C843" s="36" t="str">
        <f aca="false">IF(B843="","",DATE(YEAR(B843),MONTH(B843),1))</f>
        <v/>
      </c>
      <c r="D843" s="34"/>
      <c r="E843" s="34"/>
      <c r="F843" s="34"/>
      <c r="G843" s="34"/>
      <c r="H843" s="34"/>
      <c r="I843" s="34"/>
      <c r="J843" s="37"/>
      <c r="K843" s="34"/>
      <c r="L843" s="38" t="str">
        <f aca="false">IF(I843="","",I843*N(J843)*IF(K843="",1,K843))</f>
        <v/>
      </c>
      <c r="M843" s="34"/>
    </row>
    <row r="844" customFormat="false" ht="15" hidden="false" customHeight="false" outlineLevel="0" collapsed="false">
      <c r="A844" s="34"/>
      <c r="B844" s="35"/>
      <c r="C844" s="36" t="str">
        <f aca="false">IF(B844="","",DATE(YEAR(B844),MONTH(B844),1))</f>
        <v/>
      </c>
      <c r="D844" s="34"/>
      <c r="E844" s="34"/>
      <c r="F844" s="34"/>
      <c r="G844" s="34"/>
      <c r="H844" s="34"/>
      <c r="I844" s="34"/>
      <c r="J844" s="37"/>
      <c r="K844" s="34"/>
      <c r="L844" s="38" t="str">
        <f aca="false">IF(I844="","",I844*N(J844)*IF(K844="",1,K844))</f>
        <v/>
      </c>
      <c r="M844" s="34"/>
    </row>
    <row r="845" customFormat="false" ht="15" hidden="false" customHeight="false" outlineLevel="0" collapsed="false">
      <c r="A845" s="34"/>
      <c r="B845" s="35"/>
      <c r="C845" s="36" t="str">
        <f aca="false">IF(B845="","",DATE(YEAR(B845),MONTH(B845),1))</f>
        <v/>
      </c>
      <c r="D845" s="34"/>
      <c r="E845" s="34"/>
      <c r="F845" s="34"/>
      <c r="G845" s="34"/>
      <c r="H845" s="34"/>
      <c r="I845" s="34"/>
      <c r="J845" s="37"/>
      <c r="K845" s="34"/>
      <c r="L845" s="38" t="str">
        <f aca="false">IF(I845="","",I845*N(J845)*IF(K845="",1,K845))</f>
        <v/>
      </c>
      <c r="M845" s="34"/>
    </row>
    <row r="846" customFormat="false" ht="15" hidden="false" customHeight="false" outlineLevel="0" collapsed="false">
      <c r="A846" s="34"/>
      <c r="B846" s="35"/>
      <c r="C846" s="36" t="str">
        <f aca="false">IF(B846="","",DATE(YEAR(B846),MONTH(B846),1))</f>
        <v/>
      </c>
      <c r="D846" s="34"/>
      <c r="E846" s="34"/>
      <c r="F846" s="34"/>
      <c r="G846" s="34"/>
      <c r="H846" s="34"/>
      <c r="I846" s="34"/>
      <c r="J846" s="37"/>
      <c r="K846" s="34"/>
      <c r="L846" s="38" t="str">
        <f aca="false">IF(I846="","",I846*N(J846)*IF(K846="",1,K846))</f>
        <v/>
      </c>
      <c r="M846" s="34"/>
    </row>
    <row r="847" customFormat="false" ht="15" hidden="false" customHeight="false" outlineLevel="0" collapsed="false">
      <c r="A847" s="34"/>
      <c r="B847" s="35"/>
      <c r="C847" s="36" t="str">
        <f aca="false">IF(B847="","",DATE(YEAR(B847),MONTH(B847),1))</f>
        <v/>
      </c>
      <c r="D847" s="34"/>
      <c r="E847" s="34"/>
      <c r="F847" s="34"/>
      <c r="G847" s="34"/>
      <c r="H847" s="34"/>
      <c r="I847" s="34"/>
      <c r="J847" s="37"/>
      <c r="K847" s="34"/>
      <c r="L847" s="38" t="str">
        <f aca="false">IF(I847="","",I847*N(J847)*IF(K847="",1,K847))</f>
        <v/>
      </c>
      <c r="M847" s="34"/>
    </row>
    <row r="848" customFormat="false" ht="15" hidden="false" customHeight="false" outlineLevel="0" collapsed="false">
      <c r="A848" s="34"/>
      <c r="B848" s="35"/>
      <c r="C848" s="36" t="str">
        <f aca="false">IF(B848="","",DATE(YEAR(B848),MONTH(B848),1))</f>
        <v/>
      </c>
      <c r="D848" s="34"/>
      <c r="E848" s="34"/>
      <c r="F848" s="34"/>
      <c r="G848" s="34"/>
      <c r="H848" s="34"/>
      <c r="I848" s="34"/>
      <c r="J848" s="37"/>
      <c r="K848" s="34"/>
      <c r="L848" s="38" t="str">
        <f aca="false">IF(I848="","",I848*N(J848)*IF(K848="",1,K848))</f>
        <v/>
      </c>
      <c r="M848" s="34"/>
    </row>
    <row r="849" customFormat="false" ht="15" hidden="false" customHeight="false" outlineLevel="0" collapsed="false">
      <c r="A849" s="34"/>
      <c r="B849" s="35"/>
      <c r="C849" s="36" t="str">
        <f aca="false">IF(B849="","",DATE(YEAR(B849),MONTH(B849),1))</f>
        <v/>
      </c>
      <c r="D849" s="34"/>
      <c r="E849" s="34"/>
      <c r="F849" s="34"/>
      <c r="G849" s="34"/>
      <c r="H849" s="34"/>
      <c r="I849" s="34"/>
      <c r="J849" s="37"/>
      <c r="K849" s="34"/>
      <c r="L849" s="38" t="str">
        <f aca="false">IF(I849="","",I849*N(J849)*IF(K849="",1,K849))</f>
        <v/>
      </c>
      <c r="M849" s="34"/>
    </row>
    <row r="850" customFormat="false" ht="15" hidden="false" customHeight="false" outlineLevel="0" collapsed="false">
      <c r="A850" s="34"/>
      <c r="B850" s="35"/>
      <c r="C850" s="36" t="str">
        <f aca="false">IF(B850="","",DATE(YEAR(B850),MONTH(B850),1))</f>
        <v/>
      </c>
      <c r="D850" s="34"/>
      <c r="E850" s="34"/>
      <c r="F850" s="34"/>
      <c r="G850" s="34"/>
      <c r="H850" s="34"/>
      <c r="I850" s="34"/>
      <c r="J850" s="37"/>
      <c r="K850" s="34"/>
      <c r="L850" s="38" t="str">
        <f aca="false">IF(I850="","",I850*N(J850)*IF(K850="",1,K850))</f>
        <v/>
      </c>
      <c r="M850" s="34"/>
    </row>
    <row r="851" customFormat="false" ht="15" hidden="false" customHeight="false" outlineLevel="0" collapsed="false">
      <c r="A851" s="34"/>
      <c r="B851" s="35"/>
      <c r="C851" s="36" t="str">
        <f aca="false">IF(B851="","",DATE(YEAR(B851),MONTH(B851),1))</f>
        <v/>
      </c>
      <c r="D851" s="34"/>
      <c r="E851" s="34"/>
      <c r="F851" s="34"/>
      <c r="G851" s="34"/>
      <c r="H851" s="34"/>
      <c r="I851" s="34"/>
      <c r="J851" s="37"/>
      <c r="K851" s="34"/>
      <c r="L851" s="38" t="str">
        <f aca="false">IF(I851="","",I851*N(J851)*IF(K851="",1,K851))</f>
        <v/>
      </c>
      <c r="M851" s="34"/>
    </row>
    <row r="852" customFormat="false" ht="15" hidden="false" customHeight="false" outlineLevel="0" collapsed="false">
      <c r="A852" s="34"/>
      <c r="B852" s="35"/>
      <c r="C852" s="36" t="str">
        <f aca="false">IF(B852="","",DATE(YEAR(B852),MONTH(B852),1))</f>
        <v/>
      </c>
      <c r="D852" s="34"/>
      <c r="E852" s="34"/>
      <c r="F852" s="34"/>
      <c r="G852" s="34"/>
      <c r="H852" s="34"/>
      <c r="I852" s="34"/>
      <c r="J852" s="37"/>
      <c r="K852" s="34"/>
      <c r="L852" s="38" t="str">
        <f aca="false">IF(I852="","",I852*N(J852)*IF(K852="",1,K852))</f>
        <v/>
      </c>
      <c r="M852" s="34"/>
    </row>
    <row r="853" customFormat="false" ht="15" hidden="false" customHeight="false" outlineLevel="0" collapsed="false">
      <c r="A853" s="34"/>
      <c r="B853" s="35"/>
      <c r="C853" s="36" t="str">
        <f aca="false">IF(B853="","",DATE(YEAR(B853),MONTH(B853),1))</f>
        <v/>
      </c>
      <c r="D853" s="34"/>
      <c r="E853" s="34"/>
      <c r="F853" s="34"/>
      <c r="G853" s="34"/>
      <c r="H853" s="34"/>
      <c r="I853" s="34"/>
      <c r="J853" s="37"/>
      <c r="K853" s="34"/>
      <c r="L853" s="38" t="str">
        <f aca="false">IF(I853="","",I853*N(J853)*IF(K853="",1,K853))</f>
        <v/>
      </c>
      <c r="M853" s="34"/>
    </row>
    <row r="854" customFormat="false" ht="15" hidden="false" customHeight="false" outlineLevel="0" collapsed="false">
      <c r="A854" s="34"/>
      <c r="B854" s="35"/>
      <c r="C854" s="36" t="str">
        <f aca="false">IF(B854="","",DATE(YEAR(B854),MONTH(B854),1))</f>
        <v/>
      </c>
      <c r="D854" s="34"/>
      <c r="E854" s="34"/>
      <c r="F854" s="34"/>
      <c r="G854" s="34"/>
      <c r="H854" s="34"/>
      <c r="I854" s="34"/>
      <c r="J854" s="37"/>
      <c r="K854" s="34"/>
      <c r="L854" s="38" t="str">
        <f aca="false">IF(I854="","",I854*N(J854)*IF(K854="",1,K854))</f>
        <v/>
      </c>
      <c r="M854" s="34"/>
    </row>
    <row r="855" customFormat="false" ht="15" hidden="false" customHeight="false" outlineLevel="0" collapsed="false">
      <c r="A855" s="34"/>
      <c r="B855" s="35"/>
      <c r="C855" s="36" t="str">
        <f aca="false">IF(B855="","",DATE(YEAR(B855),MONTH(B855),1))</f>
        <v/>
      </c>
      <c r="D855" s="34"/>
      <c r="E855" s="34"/>
      <c r="F855" s="34"/>
      <c r="G855" s="34"/>
      <c r="H855" s="34"/>
      <c r="I855" s="34"/>
      <c r="J855" s="37"/>
      <c r="K855" s="34"/>
      <c r="L855" s="38" t="str">
        <f aca="false">IF(I855="","",I855*N(J855)*IF(K855="",1,K855))</f>
        <v/>
      </c>
      <c r="M855" s="34"/>
    </row>
    <row r="856" customFormat="false" ht="15" hidden="false" customHeight="false" outlineLevel="0" collapsed="false">
      <c r="A856" s="34"/>
      <c r="B856" s="35"/>
      <c r="C856" s="36" t="str">
        <f aca="false">IF(B856="","",DATE(YEAR(B856),MONTH(B856),1))</f>
        <v/>
      </c>
      <c r="D856" s="34"/>
      <c r="E856" s="34"/>
      <c r="F856" s="34"/>
      <c r="G856" s="34"/>
      <c r="H856" s="34"/>
      <c r="I856" s="34"/>
      <c r="J856" s="37"/>
      <c r="K856" s="34"/>
      <c r="L856" s="38" t="str">
        <f aca="false">IF(I856="","",I856*N(J856)*IF(K856="",1,K856))</f>
        <v/>
      </c>
      <c r="M856" s="34"/>
    </row>
    <row r="857" customFormat="false" ht="15" hidden="false" customHeight="false" outlineLevel="0" collapsed="false">
      <c r="A857" s="34"/>
      <c r="B857" s="35"/>
      <c r="C857" s="36" t="str">
        <f aca="false">IF(B857="","",DATE(YEAR(B857),MONTH(B857),1))</f>
        <v/>
      </c>
      <c r="D857" s="34"/>
      <c r="E857" s="34"/>
      <c r="F857" s="34"/>
      <c r="G857" s="34"/>
      <c r="H857" s="34"/>
      <c r="I857" s="34"/>
      <c r="J857" s="37"/>
      <c r="K857" s="34"/>
      <c r="L857" s="38" t="str">
        <f aca="false">IF(I857="","",I857*N(J857)*IF(K857="",1,K857))</f>
        <v/>
      </c>
      <c r="M857" s="34"/>
    </row>
    <row r="858" customFormat="false" ht="15" hidden="false" customHeight="false" outlineLevel="0" collapsed="false">
      <c r="A858" s="34"/>
      <c r="B858" s="35"/>
      <c r="C858" s="36" t="str">
        <f aca="false">IF(B858="","",DATE(YEAR(B858),MONTH(B858),1))</f>
        <v/>
      </c>
      <c r="D858" s="34"/>
      <c r="E858" s="34"/>
      <c r="F858" s="34"/>
      <c r="G858" s="34"/>
      <c r="H858" s="34"/>
      <c r="I858" s="34"/>
      <c r="J858" s="37"/>
      <c r="K858" s="34"/>
      <c r="L858" s="38" t="str">
        <f aca="false">IF(I858="","",I858*N(J858)*IF(K858="",1,K858))</f>
        <v/>
      </c>
      <c r="M858" s="34"/>
    </row>
    <row r="859" customFormat="false" ht="15" hidden="false" customHeight="false" outlineLevel="0" collapsed="false">
      <c r="A859" s="34"/>
      <c r="B859" s="35"/>
      <c r="C859" s="36" t="str">
        <f aca="false">IF(B859="","",DATE(YEAR(B859),MONTH(B859),1))</f>
        <v/>
      </c>
      <c r="D859" s="34"/>
      <c r="E859" s="34"/>
      <c r="F859" s="34"/>
      <c r="G859" s="34"/>
      <c r="H859" s="34"/>
      <c r="I859" s="34"/>
      <c r="J859" s="37"/>
      <c r="K859" s="34"/>
      <c r="L859" s="38" t="str">
        <f aca="false">IF(I859="","",I859*N(J859)*IF(K859="",1,K859))</f>
        <v/>
      </c>
      <c r="M859" s="34"/>
    </row>
    <row r="860" customFormat="false" ht="15" hidden="false" customHeight="false" outlineLevel="0" collapsed="false">
      <c r="A860" s="34"/>
      <c r="B860" s="35"/>
      <c r="C860" s="36" t="str">
        <f aca="false">IF(B860="","",DATE(YEAR(B860),MONTH(B860),1))</f>
        <v/>
      </c>
      <c r="D860" s="34"/>
      <c r="E860" s="34"/>
      <c r="F860" s="34"/>
      <c r="G860" s="34"/>
      <c r="H860" s="34"/>
      <c r="I860" s="34"/>
      <c r="J860" s="37"/>
      <c r="K860" s="34"/>
      <c r="L860" s="38" t="str">
        <f aca="false">IF(I860="","",I860*N(J860)*IF(K860="",1,K860))</f>
        <v/>
      </c>
      <c r="M860" s="34"/>
    </row>
    <row r="861" customFormat="false" ht="15" hidden="false" customHeight="false" outlineLevel="0" collapsed="false">
      <c r="A861" s="34"/>
      <c r="B861" s="35"/>
      <c r="C861" s="36" t="str">
        <f aca="false">IF(B861="","",DATE(YEAR(B861),MONTH(B861),1))</f>
        <v/>
      </c>
      <c r="D861" s="34"/>
      <c r="E861" s="34"/>
      <c r="F861" s="34"/>
      <c r="G861" s="34"/>
      <c r="H861" s="34"/>
      <c r="I861" s="34"/>
      <c r="J861" s="37"/>
      <c r="K861" s="34"/>
      <c r="L861" s="38" t="str">
        <f aca="false">IF(I861="","",I861*N(J861)*IF(K861="",1,K861))</f>
        <v/>
      </c>
      <c r="M861" s="34"/>
    </row>
    <row r="862" customFormat="false" ht="15" hidden="false" customHeight="false" outlineLevel="0" collapsed="false">
      <c r="A862" s="34"/>
      <c r="B862" s="35"/>
      <c r="C862" s="36" t="str">
        <f aca="false">IF(B862="","",DATE(YEAR(B862),MONTH(B862),1))</f>
        <v/>
      </c>
      <c r="D862" s="34"/>
      <c r="E862" s="34"/>
      <c r="F862" s="34"/>
      <c r="G862" s="34"/>
      <c r="H862" s="34"/>
      <c r="I862" s="34"/>
      <c r="J862" s="37"/>
      <c r="K862" s="34"/>
      <c r="L862" s="38" t="str">
        <f aca="false">IF(I862="","",I862*N(J862)*IF(K862="",1,K862))</f>
        <v/>
      </c>
      <c r="M862" s="34"/>
    </row>
    <row r="863" customFormat="false" ht="15" hidden="false" customHeight="false" outlineLevel="0" collapsed="false">
      <c r="A863" s="34"/>
      <c r="B863" s="35"/>
      <c r="C863" s="36" t="str">
        <f aca="false">IF(B863="","",DATE(YEAR(B863),MONTH(B863),1))</f>
        <v/>
      </c>
      <c r="D863" s="34"/>
      <c r="E863" s="34"/>
      <c r="F863" s="34"/>
      <c r="G863" s="34"/>
      <c r="H863" s="34"/>
      <c r="I863" s="34"/>
      <c r="J863" s="37"/>
      <c r="K863" s="34"/>
      <c r="L863" s="38" t="str">
        <f aca="false">IF(I863="","",I863*N(J863)*IF(K863="",1,K863))</f>
        <v/>
      </c>
      <c r="M863" s="34"/>
    </row>
    <row r="864" customFormat="false" ht="15" hidden="false" customHeight="false" outlineLevel="0" collapsed="false">
      <c r="A864" s="34"/>
      <c r="B864" s="35"/>
      <c r="C864" s="36" t="str">
        <f aca="false">IF(B864="","",DATE(YEAR(B864),MONTH(B864),1))</f>
        <v/>
      </c>
      <c r="D864" s="34"/>
      <c r="E864" s="34"/>
      <c r="F864" s="34"/>
      <c r="G864" s="34"/>
      <c r="H864" s="34"/>
      <c r="I864" s="34"/>
      <c r="J864" s="37"/>
      <c r="K864" s="34"/>
      <c r="L864" s="38" t="str">
        <f aca="false">IF(I864="","",I864*N(J864)*IF(K864="",1,K864))</f>
        <v/>
      </c>
      <c r="M864" s="34"/>
    </row>
    <row r="865" customFormat="false" ht="15" hidden="false" customHeight="false" outlineLevel="0" collapsed="false">
      <c r="A865" s="34"/>
      <c r="B865" s="35"/>
      <c r="C865" s="36" t="str">
        <f aca="false">IF(B865="","",DATE(YEAR(B865),MONTH(B865),1))</f>
        <v/>
      </c>
      <c r="D865" s="34"/>
      <c r="E865" s="34"/>
      <c r="F865" s="34"/>
      <c r="G865" s="34"/>
      <c r="H865" s="34"/>
      <c r="I865" s="34"/>
      <c r="J865" s="37"/>
      <c r="K865" s="34"/>
      <c r="L865" s="38" t="str">
        <f aca="false">IF(I865="","",I865*N(J865)*IF(K865="",1,K865))</f>
        <v/>
      </c>
      <c r="M865" s="34"/>
    </row>
    <row r="866" customFormat="false" ht="15" hidden="false" customHeight="false" outlineLevel="0" collapsed="false">
      <c r="A866" s="34"/>
      <c r="B866" s="35"/>
      <c r="C866" s="36" t="str">
        <f aca="false">IF(B866="","",DATE(YEAR(B866),MONTH(B866),1))</f>
        <v/>
      </c>
      <c r="D866" s="34"/>
      <c r="E866" s="34"/>
      <c r="F866" s="34"/>
      <c r="G866" s="34"/>
      <c r="H866" s="34"/>
      <c r="I866" s="34"/>
      <c r="J866" s="37"/>
      <c r="K866" s="34"/>
      <c r="L866" s="38" t="str">
        <f aca="false">IF(I866="","",I866*N(J866)*IF(K866="",1,K866))</f>
        <v/>
      </c>
      <c r="M866" s="34"/>
    </row>
    <row r="867" customFormat="false" ht="15" hidden="false" customHeight="false" outlineLevel="0" collapsed="false">
      <c r="A867" s="34"/>
      <c r="B867" s="35"/>
      <c r="C867" s="36" t="str">
        <f aca="false">IF(B867="","",DATE(YEAR(B867),MONTH(B867),1))</f>
        <v/>
      </c>
      <c r="D867" s="34"/>
      <c r="E867" s="34"/>
      <c r="F867" s="34"/>
      <c r="G867" s="34"/>
      <c r="H867" s="34"/>
      <c r="I867" s="34"/>
      <c r="J867" s="37"/>
      <c r="K867" s="34"/>
      <c r="L867" s="38" t="str">
        <f aca="false">IF(I867="","",I867*N(J867)*IF(K867="",1,K867))</f>
        <v/>
      </c>
      <c r="M867" s="34"/>
    </row>
    <row r="868" customFormat="false" ht="15" hidden="false" customHeight="false" outlineLevel="0" collapsed="false">
      <c r="A868" s="34"/>
      <c r="B868" s="35"/>
      <c r="C868" s="36" t="str">
        <f aca="false">IF(B868="","",DATE(YEAR(B868),MONTH(B868),1))</f>
        <v/>
      </c>
      <c r="D868" s="34"/>
      <c r="E868" s="34"/>
      <c r="F868" s="34"/>
      <c r="G868" s="34"/>
      <c r="H868" s="34"/>
      <c r="I868" s="34"/>
      <c r="J868" s="37"/>
      <c r="K868" s="34"/>
      <c r="L868" s="38" t="str">
        <f aca="false">IF(I868="","",I868*N(J868)*IF(K868="",1,K868))</f>
        <v/>
      </c>
      <c r="M868" s="34"/>
    </row>
    <row r="869" customFormat="false" ht="15" hidden="false" customHeight="false" outlineLevel="0" collapsed="false">
      <c r="A869" s="34"/>
      <c r="B869" s="35"/>
      <c r="C869" s="36" t="str">
        <f aca="false">IF(B869="","",DATE(YEAR(B869),MONTH(B869),1))</f>
        <v/>
      </c>
      <c r="D869" s="34"/>
      <c r="E869" s="34"/>
      <c r="F869" s="34"/>
      <c r="G869" s="34"/>
      <c r="H869" s="34"/>
      <c r="I869" s="34"/>
      <c r="J869" s="37"/>
      <c r="K869" s="34"/>
      <c r="L869" s="38" t="str">
        <f aca="false">IF(I869="","",I869*N(J869)*IF(K869="",1,K869))</f>
        <v/>
      </c>
      <c r="M869" s="34"/>
    </row>
    <row r="870" customFormat="false" ht="15" hidden="false" customHeight="false" outlineLevel="0" collapsed="false">
      <c r="A870" s="34"/>
      <c r="B870" s="35"/>
      <c r="C870" s="36" t="str">
        <f aca="false">IF(B870="","",DATE(YEAR(B870),MONTH(B870),1))</f>
        <v/>
      </c>
      <c r="D870" s="34"/>
      <c r="E870" s="34"/>
      <c r="F870" s="34"/>
      <c r="G870" s="34"/>
      <c r="H870" s="34"/>
      <c r="I870" s="34"/>
      <c r="J870" s="37"/>
      <c r="K870" s="34"/>
      <c r="L870" s="38" t="str">
        <f aca="false">IF(I870="","",I870*N(J870)*IF(K870="",1,K870))</f>
        <v/>
      </c>
      <c r="M870" s="34"/>
    </row>
    <row r="871" customFormat="false" ht="15" hidden="false" customHeight="false" outlineLevel="0" collapsed="false">
      <c r="A871" s="34"/>
      <c r="B871" s="35"/>
      <c r="C871" s="36" t="str">
        <f aca="false">IF(B871="","",DATE(YEAR(B871),MONTH(B871),1))</f>
        <v/>
      </c>
      <c r="D871" s="34"/>
      <c r="E871" s="34"/>
      <c r="F871" s="34"/>
      <c r="G871" s="34"/>
      <c r="H871" s="34"/>
      <c r="I871" s="34"/>
      <c r="J871" s="37"/>
      <c r="K871" s="34"/>
      <c r="L871" s="38" t="str">
        <f aca="false">IF(I871="","",I871*N(J871)*IF(K871="",1,K871))</f>
        <v/>
      </c>
      <c r="M871" s="34"/>
    </row>
    <row r="872" customFormat="false" ht="15" hidden="false" customHeight="false" outlineLevel="0" collapsed="false">
      <c r="A872" s="34"/>
      <c r="B872" s="35"/>
      <c r="C872" s="36" t="str">
        <f aca="false">IF(B872="","",DATE(YEAR(B872),MONTH(B872),1))</f>
        <v/>
      </c>
      <c r="D872" s="34"/>
      <c r="E872" s="34"/>
      <c r="F872" s="34"/>
      <c r="G872" s="34"/>
      <c r="H872" s="34"/>
      <c r="I872" s="34"/>
      <c r="J872" s="37"/>
      <c r="K872" s="34"/>
      <c r="L872" s="38" t="str">
        <f aca="false">IF(I872="","",I872*N(J872)*IF(K872="",1,K872))</f>
        <v/>
      </c>
      <c r="M872" s="34"/>
    </row>
    <row r="873" customFormat="false" ht="15" hidden="false" customHeight="false" outlineLevel="0" collapsed="false">
      <c r="A873" s="34"/>
      <c r="B873" s="35"/>
      <c r="C873" s="36" t="str">
        <f aca="false">IF(B873="","",DATE(YEAR(B873),MONTH(B873),1))</f>
        <v/>
      </c>
      <c r="D873" s="34"/>
      <c r="E873" s="34"/>
      <c r="F873" s="34"/>
      <c r="G873" s="34"/>
      <c r="H873" s="34"/>
      <c r="I873" s="34"/>
      <c r="J873" s="37"/>
      <c r="K873" s="34"/>
      <c r="L873" s="38" t="str">
        <f aca="false">IF(I873="","",I873*N(J873)*IF(K873="",1,K873))</f>
        <v/>
      </c>
      <c r="M873" s="34"/>
    </row>
    <row r="874" customFormat="false" ht="15" hidden="false" customHeight="false" outlineLevel="0" collapsed="false">
      <c r="A874" s="34"/>
      <c r="B874" s="35"/>
      <c r="C874" s="36" t="str">
        <f aca="false">IF(B874="","",DATE(YEAR(B874),MONTH(B874),1))</f>
        <v/>
      </c>
      <c r="D874" s="34"/>
      <c r="E874" s="34"/>
      <c r="F874" s="34"/>
      <c r="G874" s="34"/>
      <c r="H874" s="34"/>
      <c r="I874" s="34"/>
      <c r="J874" s="37"/>
      <c r="K874" s="34"/>
      <c r="L874" s="38" t="str">
        <f aca="false">IF(I874="","",I874*N(J874)*IF(K874="",1,K874))</f>
        <v/>
      </c>
      <c r="M874" s="34"/>
    </row>
    <row r="875" customFormat="false" ht="15" hidden="false" customHeight="false" outlineLevel="0" collapsed="false">
      <c r="A875" s="34"/>
      <c r="B875" s="35"/>
      <c r="C875" s="36" t="str">
        <f aca="false">IF(B875="","",DATE(YEAR(B875),MONTH(B875),1))</f>
        <v/>
      </c>
      <c r="D875" s="34"/>
      <c r="E875" s="34"/>
      <c r="F875" s="34"/>
      <c r="G875" s="34"/>
      <c r="H875" s="34"/>
      <c r="I875" s="34"/>
      <c r="J875" s="37"/>
      <c r="K875" s="34"/>
      <c r="L875" s="38" t="str">
        <f aca="false">IF(I875="","",I875*N(J875)*IF(K875="",1,K875))</f>
        <v/>
      </c>
      <c r="M875" s="34"/>
    </row>
    <row r="876" customFormat="false" ht="15" hidden="false" customHeight="false" outlineLevel="0" collapsed="false">
      <c r="A876" s="34"/>
      <c r="B876" s="35"/>
      <c r="C876" s="36" t="str">
        <f aca="false">IF(B876="","",DATE(YEAR(B876),MONTH(B876),1))</f>
        <v/>
      </c>
      <c r="D876" s="34"/>
      <c r="E876" s="34"/>
      <c r="F876" s="34"/>
      <c r="G876" s="34"/>
      <c r="H876" s="34"/>
      <c r="I876" s="34"/>
      <c r="J876" s="37"/>
      <c r="K876" s="34"/>
      <c r="L876" s="38" t="str">
        <f aca="false">IF(I876="","",I876*N(J876)*IF(K876="",1,K876))</f>
        <v/>
      </c>
      <c r="M876" s="34"/>
    </row>
    <row r="877" customFormat="false" ht="15" hidden="false" customHeight="false" outlineLevel="0" collapsed="false">
      <c r="A877" s="34"/>
      <c r="B877" s="35"/>
      <c r="C877" s="36" t="str">
        <f aca="false">IF(B877="","",DATE(YEAR(B877),MONTH(B877),1))</f>
        <v/>
      </c>
      <c r="D877" s="34"/>
      <c r="E877" s="34"/>
      <c r="F877" s="34"/>
      <c r="G877" s="34"/>
      <c r="H877" s="34"/>
      <c r="I877" s="34"/>
      <c r="J877" s="37"/>
      <c r="K877" s="34"/>
      <c r="L877" s="38" t="str">
        <f aca="false">IF(I877="","",I877*N(J877)*IF(K877="",1,K877))</f>
        <v/>
      </c>
      <c r="M877" s="34"/>
    </row>
    <row r="878" customFormat="false" ht="15" hidden="false" customHeight="false" outlineLevel="0" collapsed="false">
      <c r="A878" s="34"/>
      <c r="B878" s="35"/>
      <c r="C878" s="36" t="str">
        <f aca="false">IF(B878="","",DATE(YEAR(B878),MONTH(B878),1))</f>
        <v/>
      </c>
      <c r="D878" s="34"/>
      <c r="E878" s="34"/>
      <c r="F878" s="34"/>
      <c r="G878" s="34"/>
      <c r="H878" s="34"/>
      <c r="I878" s="34"/>
      <c r="J878" s="37"/>
      <c r="K878" s="34"/>
      <c r="L878" s="38" t="str">
        <f aca="false">IF(I878="","",I878*N(J878)*IF(K878="",1,K878))</f>
        <v/>
      </c>
      <c r="M878" s="34"/>
    </row>
    <row r="879" customFormat="false" ht="15" hidden="false" customHeight="false" outlineLevel="0" collapsed="false">
      <c r="A879" s="34"/>
      <c r="B879" s="35"/>
      <c r="C879" s="36" t="str">
        <f aca="false">IF(B879="","",DATE(YEAR(B879),MONTH(B879),1))</f>
        <v/>
      </c>
      <c r="D879" s="34"/>
      <c r="E879" s="34"/>
      <c r="F879" s="34"/>
      <c r="G879" s="34"/>
      <c r="H879" s="34"/>
      <c r="I879" s="34"/>
      <c r="J879" s="37"/>
      <c r="K879" s="34"/>
      <c r="L879" s="38" t="str">
        <f aca="false">IF(I879="","",I879*N(J879)*IF(K879="",1,K879))</f>
        <v/>
      </c>
      <c r="M879" s="34"/>
    </row>
    <row r="880" customFormat="false" ht="15" hidden="false" customHeight="false" outlineLevel="0" collapsed="false">
      <c r="A880" s="34"/>
      <c r="B880" s="35"/>
      <c r="C880" s="36" t="str">
        <f aca="false">IF(B880="","",DATE(YEAR(B880),MONTH(B880),1))</f>
        <v/>
      </c>
      <c r="D880" s="34"/>
      <c r="E880" s="34"/>
      <c r="F880" s="34"/>
      <c r="G880" s="34"/>
      <c r="H880" s="34"/>
      <c r="I880" s="34"/>
      <c r="J880" s="37"/>
      <c r="K880" s="34"/>
      <c r="L880" s="38" t="str">
        <f aca="false">IF(I880="","",I880*N(J880)*IF(K880="",1,K880))</f>
        <v/>
      </c>
      <c r="M880" s="34"/>
    </row>
    <row r="881" customFormat="false" ht="15" hidden="false" customHeight="false" outlineLevel="0" collapsed="false">
      <c r="A881" s="34"/>
      <c r="B881" s="35"/>
      <c r="C881" s="36" t="str">
        <f aca="false">IF(B881="","",DATE(YEAR(B881),MONTH(B881),1))</f>
        <v/>
      </c>
      <c r="D881" s="34"/>
      <c r="E881" s="34"/>
      <c r="F881" s="34"/>
      <c r="G881" s="34"/>
      <c r="H881" s="34"/>
      <c r="I881" s="34"/>
      <c r="J881" s="37"/>
      <c r="K881" s="34"/>
      <c r="L881" s="38" t="str">
        <f aca="false">IF(I881="","",I881*N(J881)*IF(K881="",1,K881))</f>
        <v/>
      </c>
      <c r="M881" s="34"/>
    </row>
    <row r="882" customFormat="false" ht="15" hidden="false" customHeight="false" outlineLevel="0" collapsed="false">
      <c r="A882" s="34"/>
      <c r="B882" s="35"/>
      <c r="C882" s="36" t="str">
        <f aca="false">IF(B882="","",DATE(YEAR(B882),MONTH(B882),1))</f>
        <v/>
      </c>
      <c r="D882" s="34"/>
      <c r="E882" s="34"/>
      <c r="F882" s="34"/>
      <c r="G882" s="34"/>
      <c r="H882" s="34"/>
      <c r="I882" s="34"/>
      <c r="J882" s="37"/>
      <c r="K882" s="34"/>
      <c r="L882" s="38" t="str">
        <f aca="false">IF(I882="","",I882*N(J882)*IF(K882="",1,K882))</f>
        <v/>
      </c>
      <c r="M882" s="34"/>
    </row>
    <row r="883" customFormat="false" ht="15" hidden="false" customHeight="false" outlineLevel="0" collapsed="false">
      <c r="A883" s="34"/>
      <c r="B883" s="35"/>
      <c r="C883" s="36" t="str">
        <f aca="false">IF(B883="","",DATE(YEAR(B883),MONTH(B883),1))</f>
        <v/>
      </c>
      <c r="D883" s="34"/>
      <c r="E883" s="34"/>
      <c r="F883" s="34"/>
      <c r="G883" s="34"/>
      <c r="H883" s="34"/>
      <c r="I883" s="34"/>
      <c r="J883" s="37"/>
      <c r="K883" s="34"/>
      <c r="L883" s="38" t="str">
        <f aca="false">IF(I883="","",I883*N(J883)*IF(K883="",1,K883))</f>
        <v/>
      </c>
      <c r="M883" s="34"/>
    </row>
    <row r="884" customFormat="false" ht="15" hidden="false" customHeight="false" outlineLevel="0" collapsed="false">
      <c r="A884" s="34"/>
      <c r="B884" s="35"/>
      <c r="C884" s="36" t="str">
        <f aca="false">IF(B884="","",DATE(YEAR(B884),MONTH(B884),1))</f>
        <v/>
      </c>
      <c r="D884" s="34"/>
      <c r="E884" s="34"/>
      <c r="F884" s="34"/>
      <c r="G884" s="34"/>
      <c r="H884" s="34"/>
      <c r="I884" s="34"/>
      <c r="J884" s="37"/>
      <c r="K884" s="34"/>
      <c r="L884" s="38" t="str">
        <f aca="false">IF(I884="","",I884*N(J884)*IF(K884="",1,K884))</f>
        <v/>
      </c>
      <c r="M884" s="34"/>
    </row>
    <row r="885" customFormat="false" ht="15" hidden="false" customHeight="false" outlineLevel="0" collapsed="false">
      <c r="A885" s="34"/>
      <c r="B885" s="35"/>
      <c r="C885" s="36" t="str">
        <f aca="false">IF(B885="","",DATE(YEAR(B885),MONTH(B885),1))</f>
        <v/>
      </c>
      <c r="D885" s="34"/>
      <c r="E885" s="34"/>
      <c r="F885" s="34"/>
      <c r="G885" s="34"/>
      <c r="H885" s="34"/>
      <c r="I885" s="34"/>
      <c r="J885" s="37"/>
      <c r="K885" s="34"/>
      <c r="L885" s="38" t="str">
        <f aca="false">IF(I885="","",I885*N(J885)*IF(K885="",1,K885))</f>
        <v/>
      </c>
      <c r="M885" s="34"/>
    </row>
    <row r="886" customFormat="false" ht="15" hidden="false" customHeight="false" outlineLevel="0" collapsed="false">
      <c r="A886" s="34"/>
      <c r="B886" s="35"/>
      <c r="C886" s="36" t="str">
        <f aca="false">IF(B886="","",DATE(YEAR(B886),MONTH(B886),1))</f>
        <v/>
      </c>
      <c r="D886" s="34"/>
      <c r="E886" s="34"/>
      <c r="F886" s="34"/>
      <c r="G886" s="34"/>
      <c r="H886" s="34"/>
      <c r="I886" s="34"/>
      <c r="J886" s="37"/>
      <c r="K886" s="34"/>
      <c r="L886" s="38" t="str">
        <f aca="false">IF(I886="","",I886*N(J886)*IF(K886="",1,K886))</f>
        <v/>
      </c>
      <c r="M886" s="34"/>
    </row>
    <row r="887" customFormat="false" ht="15" hidden="false" customHeight="false" outlineLevel="0" collapsed="false">
      <c r="A887" s="34"/>
      <c r="B887" s="35"/>
      <c r="C887" s="36" t="str">
        <f aca="false">IF(B887="","",DATE(YEAR(B887),MONTH(B887),1))</f>
        <v/>
      </c>
      <c r="D887" s="34"/>
      <c r="E887" s="34"/>
      <c r="F887" s="34"/>
      <c r="G887" s="34"/>
      <c r="H887" s="34"/>
      <c r="I887" s="34"/>
      <c r="J887" s="37"/>
      <c r="K887" s="34"/>
      <c r="L887" s="38" t="str">
        <f aca="false">IF(I887="","",I887*N(J887)*IF(K887="",1,K887))</f>
        <v/>
      </c>
      <c r="M887" s="34"/>
    </row>
    <row r="888" customFormat="false" ht="15" hidden="false" customHeight="false" outlineLevel="0" collapsed="false">
      <c r="A888" s="34"/>
      <c r="B888" s="35"/>
      <c r="C888" s="36" t="str">
        <f aca="false">IF(B888="","",DATE(YEAR(B888),MONTH(B888),1))</f>
        <v/>
      </c>
      <c r="D888" s="34"/>
      <c r="E888" s="34"/>
      <c r="F888" s="34"/>
      <c r="G888" s="34"/>
      <c r="H888" s="34"/>
      <c r="I888" s="34"/>
      <c r="J888" s="37"/>
      <c r="K888" s="34"/>
      <c r="L888" s="38" t="str">
        <f aca="false">IF(I888="","",I888*N(J888)*IF(K888="",1,K888))</f>
        <v/>
      </c>
      <c r="M888" s="34"/>
    </row>
    <row r="889" customFormat="false" ht="15" hidden="false" customHeight="false" outlineLevel="0" collapsed="false">
      <c r="A889" s="34"/>
      <c r="B889" s="35"/>
      <c r="C889" s="36" t="str">
        <f aca="false">IF(B889="","",DATE(YEAR(B889),MONTH(B889),1))</f>
        <v/>
      </c>
      <c r="D889" s="34"/>
      <c r="E889" s="34"/>
      <c r="F889" s="34"/>
      <c r="G889" s="34"/>
      <c r="H889" s="34"/>
      <c r="I889" s="34"/>
      <c r="J889" s="37"/>
      <c r="K889" s="34"/>
      <c r="L889" s="38" t="str">
        <f aca="false">IF(I889="","",I889*N(J889)*IF(K889="",1,K889))</f>
        <v/>
      </c>
      <c r="M889" s="34"/>
    </row>
    <row r="890" customFormat="false" ht="15" hidden="false" customHeight="false" outlineLevel="0" collapsed="false">
      <c r="A890" s="34"/>
      <c r="B890" s="35"/>
      <c r="C890" s="36" t="str">
        <f aca="false">IF(B890="","",DATE(YEAR(B890),MONTH(B890),1))</f>
        <v/>
      </c>
      <c r="D890" s="34"/>
      <c r="E890" s="34"/>
      <c r="F890" s="34"/>
      <c r="G890" s="34"/>
      <c r="H890" s="34"/>
      <c r="I890" s="34"/>
      <c r="J890" s="37"/>
      <c r="K890" s="34"/>
      <c r="L890" s="38" t="str">
        <f aca="false">IF(I890="","",I890*N(J890)*IF(K890="",1,K890))</f>
        <v/>
      </c>
      <c r="M890" s="34"/>
    </row>
    <row r="891" customFormat="false" ht="15" hidden="false" customHeight="false" outlineLevel="0" collapsed="false">
      <c r="A891" s="34"/>
      <c r="B891" s="35"/>
      <c r="C891" s="36" t="str">
        <f aca="false">IF(B891="","",DATE(YEAR(B891),MONTH(B891),1))</f>
        <v/>
      </c>
      <c r="D891" s="34"/>
      <c r="E891" s="34"/>
      <c r="F891" s="34"/>
      <c r="G891" s="34"/>
      <c r="H891" s="34"/>
      <c r="I891" s="34"/>
      <c r="J891" s="37"/>
      <c r="K891" s="34"/>
      <c r="L891" s="38" t="str">
        <f aca="false">IF(I891="","",I891*N(J891)*IF(K891="",1,K891))</f>
        <v/>
      </c>
      <c r="M891" s="34"/>
    </row>
    <row r="892" customFormat="false" ht="15" hidden="false" customHeight="false" outlineLevel="0" collapsed="false">
      <c r="A892" s="34"/>
      <c r="B892" s="35"/>
      <c r="C892" s="36" t="str">
        <f aca="false">IF(B892="","",DATE(YEAR(B892),MONTH(B892),1))</f>
        <v/>
      </c>
      <c r="D892" s="34"/>
      <c r="E892" s="34"/>
      <c r="F892" s="34"/>
      <c r="G892" s="34"/>
      <c r="H892" s="34"/>
      <c r="I892" s="34"/>
      <c r="J892" s="37"/>
      <c r="K892" s="34"/>
      <c r="L892" s="38" t="str">
        <f aca="false">IF(I892="","",I892*N(J892)*IF(K892="",1,K892))</f>
        <v/>
      </c>
      <c r="M892" s="34"/>
    </row>
    <row r="893" customFormat="false" ht="15" hidden="false" customHeight="false" outlineLevel="0" collapsed="false">
      <c r="A893" s="34"/>
      <c r="B893" s="35"/>
      <c r="C893" s="36" t="str">
        <f aca="false">IF(B893="","",DATE(YEAR(B893),MONTH(B893),1))</f>
        <v/>
      </c>
      <c r="D893" s="34"/>
      <c r="E893" s="34"/>
      <c r="F893" s="34"/>
      <c r="G893" s="34"/>
      <c r="H893" s="34"/>
      <c r="I893" s="34"/>
      <c r="J893" s="37"/>
      <c r="K893" s="34"/>
      <c r="L893" s="38" t="str">
        <f aca="false">IF(I893="","",I893*N(J893)*IF(K893="",1,K893))</f>
        <v/>
      </c>
      <c r="M893" s="34"/>
    </row>
    <row r="894" customFormat="false" ht="15" hidden="false" customHeight="false" outlineLevel="0" collapsed="false">
      <c r="A894" s="34"/>
      <c r="B894" s="35"/>
      <c r="C894" s="36" t="str">
        <f aca="false">IF(B894="","",DATE(YEAR(B894),MONTH(B894),1))</f>
        <v/>
      </c>
      <c r="D894" s="34"/>
      <c r="E894" s="34"/>
      <c r="F894" s="34"/>
      <c r="G894" s="34"/>
      <c r="H894" s="34"/>
      <c r="I894" s="34"/>
      <c r="J894" s="37"/>
      <c r="K894" s="34"/>
      <c r="L894" s="38" t="str">
        <f aca="false">IF(I894="","",I894*N(J894)*IF(K894="",1,K894))</f>
        <v/>
      </c>
      <c r="M894" s="34"/>
    </row>
    <row r="895" customFormat="false" ht="15" hidden="false" customHeight="false" outlineLevel="0" collapsed="false">
      <c r="A895" s="34"/>
      <c r="B895" s="35"/>
      <c r="C895" s="36" t="str">
        <f aca="false">IF(B895="","",DATE(YEAR(B895),MONTH(B895),1))</f>
        <v/>
      </c>
      <c r="D895" s="34"/>
      <c r="E895" s="34"/>
      <c r="F895" s="34"/>
      <c r="G895" s="34"/>
      <c r="H895" s="34"/>
      <c r="I895" s="34"/>
      <c r="J895" s="37"/>
      <c r="K895" s="34"/>
      <c r="L895" s="38" t="str">
        <f aca="false">IF(I895="","",I895*N(J895)*IF(K895="",1,K895))</f>
        <v/>
      </c>
      <c r="M895" s="34"/>
    </row>
    <row r="896" customFormat="false" ht="15" hidden="false" customHeight="false" outlineLevel="0" collapsed="false">
      <c r="A896" s="34"/>
      <c r="B896" s="35"/>
      <c r="C896" s="36" t="str">
        <f aca="false">IF(B896="","",DATE(YEAR(B896),MONTH(B896),1))</f>
        <v/>
      </c>
      <c r="D896" s="34"/>
      <c r="E896" s="34"/>
      <c r="F896" s="34"/>
      <c r="G896" s="34"/>
      <c r="H896" s="34"/>
      <c r="I896" s="34"/>
      <c r="J896" s="37"/>
      <c r="K896" s="34"/>
      <c r="L896" s="38" t="str">
        <f aca="false">IF(I896="","",I896*N(J896)*IF(K896="",1,K896))</f>
        <v/>
      </c>
      <c r="M896" s="34"/>
    </row>
    <row r="897" customFormat="false" ht="15" hidden="false" customHeight="false" outlineLevel="0" collapsed="false">
      <c r="A897" s="34"/>
      <c r="B897" s="35"/>
      <c r="C897" s="36" t="str">
        <f aca="false">IF(B897="","",DATE(YEAR(B897),MONTH(B897),1))</f>
        <v/>
      </c>
      <c r="D897" s="34"/>
      <c r="E897" s="34"/>
      <c r="F897" s="34"/>
      <c r="G897" s="34"/>
      <c r="H897" s="34"/>
      <c r="I897" s="34"/>
      <c r="J897" s="37"/>
      <c r="K897" s="34"/>
      <c r="L897" s="38" t="str">
        <f aca="false">IF(I897="","",I897*N(J897)*IF(K897="",1,K897))</f>
        <v/>
      </c>
      <c r="M897" s="34"/>
    </row>
    <row r="898" customFormat="false" ht="15" hidden="false" customHeight="false" outlineLevel="0" collapsed="false">
      <c r="A898" s="34"/>
      <c r="B898" s="35"/>
      <c r="C898" s="36" t="str">
        <f aca="false">IF(B898="","",DATE(YEAR(B898),MONTH(B898),1))</f>
        <v/>
      </c>
      <c r="D898" s="34"/>
      <c r="E898" s="34"/>
      <c r="F898" s="34"/>
      <c r="G898" s="34"/>
      <c r="H898" s="34"/>
      <c r="I898" s="34"/>
      <c r="J898" s="37"/>
      <c r="K898" s="34"/>
      <c r="L898" s="38" t="str">
        <f aca="false">IF(I898="","",I898*N(J898)*IF(K898="",1,K898))</f>
        <v/>
      </c>
      <c r="M898" s="34"/>
    </row>
    <row r="899" customFormat="false" ht="15" hidden="false" customHeight="false" outlineLevel="0" collapsed="false">
      <c r="A899" s="34"/>
      <c r="B899" s="35"/>
      <c r="C899" s="36" t="str">
        <f aca="false">IF(B899="","",DATE(YEAR(B899),MONTH(B899),1))</f>
        <v/>
      </c>
      <c r="D899" s="34"/>
      <c r="E899" s="34"/>
      <c r="F899" s="34"/>
      <c r="G899" s="34"/>
      <c r="H899" s="34"/>
      <c r="I899" s="34"/>
      <c r="J899" s="37"/>
      <c r="K899" s="34"/>
      <c r="L899" s="38" t="str">
        <f aca="false">IF(I899="","",I899*N(J899)*IF(K899="",1,K899))</f>
        <v/>
      </c>
      <c r="M899" s="34"/>
    </row>
    <row r="900" customFormat="false" ht="15" hidden="false" customHeight="false" outlineLevel="0" collapsed="false">
      <c r="A900" s="34"/>
      <c r="B900" s="35"/>
      <c r="C900" s="36" t="str">
        <f aca="false">IF(B900="","",DATE(YEAR(B900),MONTH(B900),1))</f>
        <v/>
      </c>
      <c r="D900" s="34"/>
      <c r="E900" s="34"/>
      <c r="F900" s="34"/>
      <c r="G900" s="34"/>
      <c r="H900" s="34"/>
      <c r="I900" s="34"/>
      <c r="J900" s="37"/>
      <c r="K900" s="34"/>
      <c r="L900" s="38" t="str">
        <f aca="false">IF(I900="","",I900*N(J900)*IF(K900="",1,K900))</f>
        <v/>
      </c>
      <c r="M900" s="34"/>
    </row>
    <row r="901" customFormat="false" ht="15" hidden="false" customHeight="false" outlineLevel="0" collapsed="false">
      <c r="A901" s="34"/>
      <c r="B901" s="35"/>
      <c r="C901" s="36" t="str">
        <f aca="false">IF(B901="","",DATE(YEAR(B901),MONTH(B901),1))</f>
        <v/>
      </c>
      <c r="D901" s="34"/>
      <c r="E901" s="34"/>
      <c r="F901" s="34"/>
      <c r="G901" s="34"/>
      <c r="H901" s="34"/>
      <c r="I901" s="34"/>
      <c r="J901" s="37"/>
      <c r="K901" s="34"/>
      <c r="L901" s="38" t="str">
        <f aca="false">IF(I901="","",I901*N(J901)*IF(K901="",1,K901))</f>
        <v/>
      </c>
      <c r="M901" s="34"/>
    </row>
    <row r="902" customFormat="false" ht="15" hidden="false" customHeight="false" outlineLevel="0" collapsed="false">
      <c r="A902" s="34"/>
      <c r="B902" s="35"/>
      <c r="C902" s="36" t="str">
        <f aca="false">IF(B902="","",DATE(YEAR(B902),MONTH(B902),1))</f>
        <v/>
      </c>
      <c r="D902" s="34"/>
      <c r="E902" s="34"/>
      <c r="F902" s="34"/>
      <c r="G902" s="34"/>
      <c r="H902" s="34"/>
      <c r="I902" s="34"/>
      <c r="J902" s="37"/>
      <c r="K902" s="34"/>
      <c r="L902" s="38" t="str">
        <f aca="false">IF(I902="","",I902*N(J902)*IF(K902="",1,K902))</f>
        <v/>
      </c>
      <c r="M902" s="34"/>
    </row>
    <row r="903" customFormat="false" ht="15" hidden="false" customHeight="false" outlineLevel="0" collapsed="false">
      <c r="A903" s="34"/>
      <c r="B903" s="35"/>
      <c r="C903" s="36" t="str">
        <f aca="false">IF(B903="","",DATE(YEAR(B903),MONTH(B903),1))</f>
        <v/>
      </c>
      <c r="D903" s="34"/>
      <c r="E903" s="34"/>
      <c r="F903" s="34"/>
      <c r="G903" s="34"/>
      <c r="H903" s="34"/>
      <c r="I903" s="34"/>
      <c r="J903" s="37"/>
      <c r="K903" s="34"/>
      <c r="L903" s="38" t="str">
        <f aca="false">IF(I903="","",I903*N(J903)*IF(K903="",1,K903))</f>
        <v/>
      </c>
      <c r="M903" s="34"/>
    </row>
    <row r="904" customFormat="false" ht="15" hidden="false" customHeight="false" outlineLevel="0" collapsed="false">
      <c r="A904" s="34"/>
      <c r="B904" s="35"/>
      <c r="C904" s="36" t="str">
        <f aca="false">IF(B904="","",DATE(YEAR(B904),MONTH(B904),1))</f>
        <v/>
      </c>
      <c r="D904" s="34"/>
      <c r="E904" s="34"/>
      <c r="F904" s="34"/>
      <c r="G904" s="34"/>
      <c r="H904" s="34"/>
      <c r="I904" s="34"/>
      <c r="J904" s="37"/>
      <c r="K904" s="34"/>
      <c r="L904" s="38" t="str">
        <f aca="false">IF(I904="","",I904*N(J904)*IF(K904="",1,K904))</f>
        <v/>
      </c>
      <c r="M904" s="34"/>
    </row>
    <row r="905" customFormat="false" ht="15" hidden="false" customHeight="false" outlineLevel="0" collapsed="false">
      <c r="A905" s="34"/>
      <c r="B905" s="35"/>
      <c r="C905" s="36" t="str">
        <f aca="false">IF(B905="","",DATE(YEAR(B905),MONTH(B905),1))</f>
        <v/>
      </c>
      <c r="D905" s="34"/>
      <c r="E905" s="34"/>
      <c r="F905" s="34"/>
      <c r="G905" s="34"/>
      <c r="H905" s="34"/>
      <c r="I905" s="34"/>
      <c r="J905" s="37"/>
      <c r="K905" s="34"/>
      <c r="L905" s="38" t="str">
        <f aca="false">IF(I905="","",I905*N(J905)*IF(K905="",1,K905))</f>
        <v/>
      </c>
      <c r="M905" s="34"/>
    </row>
    <row r="906" customFormat="false" ht="15" hidden="false" customHeight="false" outlineLevel="0" collapsed="false">
      <c r="A906" s="34"/>
      <c r="B906" s="35"/>
      <c r="C906" s="36" t="str">
        <f aca="false">IF(B906="","",DATE(YEAR(B906),MONTH(B906),1))</f>
        <v/>
      </c>
      <c r="D906" s="34"/>
      <c r="E906" s="34"/>
      <c r="F906" s="34"/>
      <c r="G906" s="34"/>
      <c r="H906" s="34"/>
      <c r="I906" s="34"/>
      <c r="J906" s="37"/>
      <c r="K906" s="34"/>
      <c r="L906" s="38" t="str">
        <f aca="false">IF(I906="","",I906*N(J906)*IF(K906="",1,K906))</f>
        <v/>
      </c>
      <c r="M906" s="34"/>
    </row>
    <row r="907" customFormat="false" ht="15" hidden="false" customHeight="false" outlineLevel="0" collapsed="false">
      <c r="A907" s="34"/>
      <c r="B907" s="35"/>
      <c r="C907" s="36" t="str">
        <f aca="false">IF(B907="","",DATE(YEAR(B907),MONTH(B907),1))</f>
        <v/>
      </c>
      <c r="D907" s="34"/>
      <c r="E907" s="34"/>
      <c r="F907" s="34"/>
      <c r="G907" s="34"/>
      <c r="H907" s="34"/>
      <c r="I907" s="34"/>
      <c r="J907" s="37"/>
      <c r="K907" s="34"/>
      <c r="L907" s="38" t="str">
        <f aca="false">IF(I907="","",I907*N(J907)*IF(K907="",1,K907))</f>
        <v/>
      </c>
      <c r="M907" s="34"/>
    </row>
    <row r="908" customFormat="false" ht="15" hidden="false" customHeight="false" outlineLevel="0" collapsed="false">
      <c r="A908" s="34"/>
      <c r="B908" s="35"/>
      <c r="C908" s="36" t="str">
        <f aca="false">IF(B908="","",DATE(YEAR(B908),MONTH(B908),1))</f>
        <v/>
      </c>
      <c r="D908" s="34"/>
      <c r="E908" s="34"/>
      <c r="F908" s="34"/>
      <c r="G908" s="34"/>
      <c r="H908" s="34"/>
      <c r="I908" s="34"/>
      <c r="J908" s="37"/>
      <c r="K908" s="34"/>
      <c r="L908" s="38" t="str">
        <f aca="false">IF(I908="","",I908*N(J908)*IF(K908="",1,K908))</f>
        <v/>
      </c>
      <c r="M908" s="34"/>
    </row>
    <row r="909" customFormat="false" ht="15" hidden="false" customHeight="false" outlineLevel="0" collapsed="false">
      <c r="A909" s="34"/>
      <c r="B909" s="35"/>
      <c r="C909" s="36" t="str">
        <f aca="false">IF(B909="","",DATE(YEAR(B909),MONTH(B909),1))</f>
        <v/>
      </c>
      <c r="D909" s="34"/>
      <c r="E909" s="34"/>
      <c r="F909" s="34"/>
      <c r="G909" s="34"/>
      <c r="H909" s="34"/>
      <c r="I909" s="34"/>
      <c r="J909" s="37"/>
      <c r="K909" s="34"/>
      <c r="L909" s="38" t="str">
        <f aca="false">IF(I909="","",I909*N(J909)*IF(K909="",1,K909))</f>
        <v/>
      </c>
      <c r="M909" s="34"/>
    </row>
    <row r="910" customFormat="false" ht="15" hidden="false" customHeight="false" outlineLevel="0" collapsed="false">
      <c r="A910" s="34"/>
      <c r="B910" s="35"/>
      <c r="C910" s="36" t="str">
        <f aca="false">IF(B910="","",DATE(YEAR(B910),MONTH(B910),1))</f>
        <v/>
      </c>
      <c r="D910" s="34"/>
      <c r="E910" s="34"/>
      <c r="F910" s="34"/>
      <c r="G910" s="34"/>
      <c r="H910" s="34"/>
      <c r="I910" s="34"/>
      <c r="J910" s="37"/>
      <c r="K910" s="34"/>
      <c r="L910" s="38" t="str">
        <f aca="false">IF(I910="","",I910*N(J910)*IF(K910="",1,K910))</f>
        <v/>
      </c>
      <c r="M910" s="34"/>
    </row>
    <row r="911" customFormat="false" ht="15" hidden="false" customHeight="false" outlineLevel="0" collapsed="false">
      <c r="A911" s="34"/>
      <c r="B911" s="35"/>
      <c r="C911" s="36" t="str">
        <f aca="false">IF(B911="","",DATE(YEAR(B911),MONTH(B911),1))</f>
        <v/>
      </c>
      <c r="D911" s="34"/>
      <c r="E911" s="34"/>
      <c r="F911" s="34"/>
      <c r="G911" s="34"/>
      <c r="H911" s="34"/>
      <c r="I911" s="34"/>
      <c r="J911" s="37"/>
      <c r="K911" s="34"/>
      <c r="L911" s="38" t="str">
        <f aca="false">IF(I911="","",I911*N(J911)*IF(K911="",1,K911))</f>
        <v/>
      </c>
      <c r="M911" s="34"/>
    </row>
    <row r="912" customFormat="false" ht="15" hidden="false" customHeight="false" outlineLevel="0" collapsed="false">
      <c r="A912" s="34"/>
      <c r="B912" s="35"/>
      <c r="C912" s="36" t="str">
        <f aca="false">IF(B912="","",DATE(YEAR(B912),MONTH(B912),1))</f>
        <v/>
      </c>
      <c r="D912" s="34"/>
      <c r="E912" s="34"/>
      <c r="F912" s="34"/>
      <c r="G912" s="34"/>
      <c r="H912" s="34"/>
      <c r="I912" s="34"/>
      <c r="J912" s="37"/>
      <c r="K912" s="34"/>
      <c r="L912" s="38" t="str">
        <f aca="false">IF(I912="","",I912*N(J912)*IF(K912="",1,K912))</f>
        <v/>
      </c>
      <c r="M912" s="34"/>
    </row>
    <row r="913" customFormat="false" ht="15" hidden="false" customHeight="false" outlineLevel="0" collapsed="false">
      <c r="A913" s="34"/>
      <c r="B913" s="35"/>
      <c r="C913" s="36" t="str">
        <f aca="false">IF(B913="","",DATE(YEAR(B913),MONTH(B913),1))</f>
        <v/>
      </c>
      <c r="D913" s="34"/>
      <c r="E913" s="34"/>
      <c r="F913" s="34"/>
      <c r="G913" s="34"/>
      <c r="H913" s="34"/>
      <c r="I913" s="34"/>
      <c r="J913" s="37"/>
      <c r="K913" s="34"/>
      <c r="L913" s="38" t="str">
        <f aca="false">IF(I913="","",I913*N(J913)*IF(K913="",1,K913))</f>
        <v/>
      </c>
      <c r="M913" s="34"/>
    </row>
    <row r="914" customFormat="false" ht="15" hidden="false" customHeight="false" outlineLevel="0" collapsed="false">
      <c r="A914" s="34"/>
      <c r="B914" s="35"/>
      <c r="C914" s="36" t="str">
        <f aca="false">IF(B914="","",DATE(YEAR(B914),MONTH(B914),1))</f>
        <v/>
      </c>
      <c r="D914" s="34"/>
      <c r="E914" s="34"/>
      <c r="F914" s="34"/>
      <c r="G914" s="34"/>
      <c r="H914" s="34"/>
      <c r="I914" s="34"/>
      <c r="J914" s="37"/>
      <c r="K914" s="34"/>
      <c r="L914" s="38" t="str">
        <f aca="false">IF(I914="","",I914*N(J914)*IF(K914="",1,K914))</f>
        <v/>
      </c>
      <c r="M914" s="34"/>
    </row>
    <row r="915" customFormat="false" ht="15" hidden="false" customHeight="false" outlineLevel="0" collapsed="false">
      <c r="A915" s="34"/>
      <c r="B915" s="35"/>
      <c r="C915" s="36" t="str">
        <f aca="false">IF(B915="","",DATE(YEAR(B915),MONTH(B915),1))</f>
        <v/>
      </c>
      <c r="D915" s="34"/>
      <c r="E915" s="34"/>
      <c r="F915" s="34"/>
      <c r="G915" s="34"/>
      <c r="H915" s="34"/>
      <c r="I915" s="34"/>
      <c r="J915" s="37"/>
      <c r="K915" s="34"/>
      <c r="L915" s="38" t="str">
        <f aca="false">IF(I915="","",I915*N(J915)*IF(K915="",1,K915))</f>
        <v/>
      </c>
      <c r="M915" s="34"/>
    </row>
    <row r="916" customFormat="false" ht="15" hidden="false" customHeight="false" outlineLevel="0" collapsed="false">
      <c r="A916" s="34"/>
      <c r="B916" s="35"/>
      <c r="C916" s="36" t="str">
        <f aca="false">IF(B916="","",DATE(YEAR(B916),MONTH(B916),1))</f>
        <v/>
      </c>
      <c r="D916" s="34"/>
      <c r="E916" s="34"/>
      <c r="F916" s="34"/>
      <c r="G916" s="34"/>
      <c r="H916" s="34"/>
      <c r="I916" s="34"/>
      <c r="J916" s="37"/>
      <c r="K916" s="34"/>
      <c r="L916" s="38" t="str">
        <f aca="false">IF(I916="","",I916*N(J916)*IF(K916="",1,K916))</f>
        <v/>
      </c>
      <c r="M916" s="34"/>
    </row>
    <row r="917" customFormat="false" ht="15" hidden="false" customHeight="false" outlineLevel="0" collapsed="false">
      <c r="A917" s="34"/>
      <c r="B917" s="35"/>
      <c r="C917" s="36" t="str">
        <f aca="false">IF(B917="","",DATE(YEAR(B917),MONTH(B917),1))</f>
        <v/>
      </c>
      <c r="D917" s="34"/>
      <c r="E917" s="34"/>
      <c r="F917" s="34"/>
      <c r="G917" s="34"/>
      <c r="H917" s="34"/>
      <c r="I917" s="34"/>
      <c r="J917" s="37"/>
      <c r="K917" s="34"/>
      <c r="L917" s="38" t="str">
        <f aca="false">IF(I917="","",I917*N(J917)*IF(K917="",1,K917))</f>
        <v/>
      </c>
      <c r="M917" s="34"/>
    </row>
    <row r="918" customFormat="false" ht="15" hidden="false" customHeight="false" outlineLevel="0" collapsed="false">
      <c r="A918" s="34"/>
      <c r="B918" s="35"/>
      <c r="C918" s="36" t="str">
        <f aca="false">IF(B918="","",DATE(YEAR(B918),MONTH(B918),1))</f>
        <v/>
      </c>
      <c r="D918" s="34"/>
      <c r="E918" s="34"/>
      <c r="F918" s="34"/>
      <c r="G918" s="34"/>
      <c r="H918" s="34"/>
      <c r="I918" s="34"/>
      <c r="J918" s="37"/>
      <c r="K918" s="34"/>
      <c r="L918" s="38" t="str">
        <f aca="false">IF(I918="","",I918*N(J918)*IF(K918="",1,K918))</f>
        <v/>
      </c>
      <c r="M918" s="34"/>
    </row>
    <row r="919" customFormat="false" ht="15" hidden="false" customHeight="false" outlineLevel="0" collapsed="false">
      <c r="A919" s="34"/>
      <c r="B919" s="35"/>
      <c r="C919" s="36" t="str">
        <f aca="false">IF(B919="","",DATE(YEAR(B919),MONTH(B919),1))</f>
        <v/>
      </c>
      <c r="D919" s="34"/>
      <c r="E919" s="34"/>
      <c r="F919" s="34"/>
      <c r="G919" s="34"/>
      <c r="H919" s="34"/>
      <c r="I919" s="34"/>
      <c r="J919" s="37"/>
      <c r="K919" s="34"/>
      <c r="L919" s="38" t="str">
        <f aca="false">IF(I919="","",I919*N(J919)*IF(K919="",1,K919))</f>
        <v/>
      </c>
      <c r="M919" s="34"/>
    </row>
    <row r="920" customFormat="false" ht="15" hidden="false" customHeight="false" outlineLevel="0" collapsed="false">
      <c r="A920" s="34"/>
      <c r="B920" s="35"/>
      <c r="C920" s="36" t="str">
        <f aca="false">IF(B920="","",DATE(YEAR(B920),MONTH(B920),1))</f>
        <v/>
      </c>
      <c r="D920" s="34"/>
      <c r="E920" s="34"/>
      <c r="F920" s="34"/>
      <c r="G920" s="34"/>
      <c r="H920" s="34"/>
      <c r="I920" s="34"/>
      <c r="J920" s="37"/>
      <c r="K920" s="34"/>
      <c r="L920" s="38" t="str">
        <f aca="false">IF(I920="","",I920*N(J920)*IF(K920="",1,K920))</f>
        <v/>
      </c>
      <c r="M920" s="34"/>
    </row>
    <row r="921" customFormat="false" ht="15" hidden="false" customHeight="false" outlineLevel="0" collapsed="false">
      <c r="A921" s="34"/>
      <c r="B921" s="35"/>
      <c r="C921" s="36" t="str">
        <f aca="false">IF(B921="","",DATE(YEAR(B921),MONTH(B921),1))</f>
        <v/>
      </c>
      <c r="D921" s="34"/>
      <c r="E921" s="34"/>
      <c r="F921" s="34"/>
      <c r="G921" s="34"/>
      <c r="H921" s="34"/>
      <c r="I921" s="34"/>
      <c r="J921" s="37"/>
      <c r="K921" s="34"/>
      <c r="L921" s="38" t="str">
        <f aca="false">IF(I921="","",I921*N(J921)*IF(K921="",1,K921))</f>
        <v/>
      </c>
      <c r="M921" s="34"/>
    </row>
    <row r="922" customFormat="false" ht="15" hidden="false" customHeight="false" outlineLevel="0" collapsed="false">
      <c r="A922" s="34"/>
      <c r="B922" s="35"/>
      <c r="C922" s="36" t="str">
        <f aca="false">IF(B922="","",DATE(YEAR(B922),MONTH(B922),1))</f>
        <v/>
      </c>
      <c r="D922" s="34"/>
      <c r="E922" s="34"/>
      <c r="F922" s="34"/>
      <c r="G922" s="34"/>
      <c r="H922" s="34"/>
      <c r="I922" s="34"/>
      <c r="J922" s="37"/>
      <c r="K922" s="34"/>
      <c r="L922" s="38" t="str">
        <f aca="false">IF(I922="","",I922*N(J922)*IF(K922="",1,K922))</f>
        <v/>
      </c>
      <c r="M922" s="34"/>
    </row>
    <row r="923" customFormat="false" ht="15" hidden="false" customHeight="false" outlineLevel="0" collapsed="false">
      <c r="A923" s="34"/>
      <c r="B923" s="35"/>
      <c r="C923" s="36" t="str">
        <f aca="false">IF(B923="","",DATE(YEAR(B923),MONTH(B923),1))</f>
        <v/>
      </c>
      <c r="D923" s="34"/>
      <c r="E923" s="34"/>
      <c r="F923" s="34"/>
      <c r="G923" s="34"/>
      <c r="H923" s="34"/>
      <c r="I923" s="34"/>
      <c r="J923" s="37"/>
      <c r="K923" s="34"/>
      <c r="L923" s="38" t="str">
        <f aca="false">IF(I923="","",I923*N(J923)*IF(K923="",1,K923))</f>
        <v/>
      </c>
      <c r="M923" s="34"/>
    </row>
    <row r="924" customFormat="false" ht="15" hidden="false" customHeight="false" outlineLevel="0" collapsed="false">
      <c r="A924" s="34"/>
      <c r="B924" s="35"/>
      <c r="C924" s="36" t="str">
        <f aca="false">IF(B924="","",DATE(YEAR(B924),MONTH(B924),1))</f>
        <v/>
      </c>
      <c r="D924" s="34"/>
      <c r="E924" s="34"/>
      <c r="F924" s="34"/>
      <c r="G924" s="34"/>
      <c r="H924" s="34"/>
      <c r="I924" s="34"/>
      <c r="J924" s="37"/>
      <c r="K924" s="34"/>
      <c r="L924" s="38" t="str">
        <f aca="false">IF(I924="","",I924*N(J924)*IF(K924="",1,K924))</f>
        <v/>
      </c>
      <c r="M924" s="34"/>
    </row>
    <row r="925" customFormat="false" ht="15" hidden="false" customHeight="false" outlineLevel="0" collapsed="false">
      <c r="A925" s="34"/>
      <c r="B925" s="35"/>
      <c r="C925" s="36" t="str">
        <f aca="false">IF(B925="","",DATE(YEAR(B925),MONTH(B925),1))</f>
        <v/>
      </c>
      <c r="D925" s="34"/>
      <c r="E925" s="34"/>
      <c r="F925" s="34"/>
      <c r="G925" s="34"/>
      <c r="H925" s="34"/>
      <c r="I925" s="34"/>
      <c r="J925" s="37"/>
      <c r="K925" s="34"/>
      <c r="L925" s="38" t="str">
        <f aca="false">IF(I925="","",I925*N(J925)*IF(K925="",1,K925))</f>
        <v/>
      </c>
      <c r="M925" s="34"/>
    </row>
    <row r="926" customFormat="false" ht="15" hidden="false" customHeight="false" outlineLevel="0" collapsed="false">
      <c r="A926" s="34"/>
      <c r="B926" s="35"/>
      <c r="C926" s="36" t="str">
        <f aca="false">IF(B926="","",DATE(YEAR(B926),MONTH(B926),1))</f>
        <v/>
      </c>
      <c r="D926" s="34"/>
      <c r="E926" s="34"/>
      <c r="F926" s="34"/>
      <c r="G926" s="34"/>
      <c r="H926" s="34"/>
      <c r="I926" s="34"/>
      <c r="J926" s="37"/>
      <c r="K926" s="34"/>
      <c r="L926" s="38" t="str">
        <f aca="false">IF(I926="","",I926*N(J926)*IF(K926="",1,K926))</f>
        <v/>
      </c>
      <c r="M926" s="34"/>
    </row>
    <row r="927" customFormat="false" ht="15" hidden="false" customHeight="false" outlineLevel="0" collapsed="false">
      <c r="A927" s="34"/>
      <c r="B927" s="35"/>
      <c r="C927" s="36" t="str">
        <f aca="false">IF(B927="","",DATE(YEAR(B927),MONTH(B927),1))</f>
        <v/>
      </c>
      <c r="D927" s="34"/>
      <c r="E927" s="34"/>
      <c r="F927" s="34"/>
      <c r="G927" s="34"/>
      <c r="H927" s="34"/>
      <c r="I927" s="34"/>
      <c r="J927" s="37"/>
      <c r="K927" s="34"/>
      <c r="L927" s="38" t="str">
        <f aca="false">IF(I927="","",I927*N(J927)*IF(K927="",1,K927))</f>
        <v/>
      </c>
      <c r="M927" s="34"/>
    </row>
    <row r="928" customFormat="false" ht="15" hidden="false" customHeight="false" outlineLevel="0" collapsed="false">
      <c r="A928" s="34"/>
      <c r="B928" s="35"/>
      <c r="C928" s="36" t="str">
        <f aca="false">IF(B928="","",DATE(YEAR(B928),MONTH(B928),1))</f>
        <v/>
      </c>
      <c r="D928" s="34"/>
      <c r="E928" s="34"/>
      <c r="F928" s="34"/>
      <c r="G928" s="34"/>
      <c r="H928" s="34"/>
      <c r="I928" s="34"/>
      <c r="J928" s="37"/>
      <c r="K928" s="34"/>
      <c r="L928" s="38" t="str">
        <f aca="false">IF(I928="","",I928*N(J928)*IF(K928="",1,K928))</f>
        <v/>
      </c>
      <c r="M928" s="34"/>
    </row>
    <row r="929" customFormat="false" ht="15" hidden="false" customHeight="false" outlineLevel="0" collapsed="false">
      <c r="A929" s="34"/>
      <c r="B929" s="35"/>
      <c r="C929" s="36" t="str">
        <f aca="false">IF(B929="","",DATE(YEAR(B929),MONTH(B929),1))</f>
        <v/>
      </c>
      <c r="D929" s="34"/>
      <c r="E929" s="34"/>
      <c r="F929" s="34"/>
      <c r="G929" s="34"/>
      <c r="H929" s="34"/>
      <c r="I929" s="34"/>
      <c r="J929" s="37"/>
      <c r="K929" s="34"/>
      <c r="L929" s="38" t="str">
        <f aca="false">IF(I929="","",I929*N(J929)*IF(K929="",1,K929))</f>
        <v/>
      </c>
      <c r="M929" s="34"/>
    </row>
    <row r="930" customFormat="false" ht="15" hidden="false" customHeight="false" outlineLevel="0" collapsed="false">
      <c r="A930" s="34"/>
      <c r="B930" s="35"/>
      <c r="C930" s="36" t="str">
        <f aca="false">IF(B930="","",DATE(YEAR(B930),MONTH(B930),1))</f>
        <v/>
      </c>
      <c r="D930" s="34"/>
      <c r="E930" s="34"/>
      <c r="F930" s="34"/>
      <c r="G930" s="34"/>
      <c r="H930" s="34"/>
      <c r="I930" s="34"/>
      <c r="J930" s="37"/>
      <c r="K930" s="34"/>
      <c r="L930" s="38" t="str">
        <f aca="false">IF(I930="","",I930*N(J930)*IF(K930="",1,K930))</f>
        <v/>
      </c>
      <c r="M930" s="34"/>
    </row>
    <row r="931" customFormat="false" ht="15" hidden="false" customHeight="false" outlineLevel="0" collapsed="false">
      <c r="A931" s="34"/>
      <c r="B931" s="35"/>
      <c r="C931" s="36" t="str">
        <f aca="false">IF(B931="","",DATE(YEAR(B931),MONTH(B931),1))</f>
        <v/>
      </c>
      <c r="D931" s="34"/>
      <c r="E931" s="34"/>
      <c r="F931" s="34"/>
      <c r="G931" s="34"/>
      <c r="H931" s="34"/>
      <c r="I931" s="34"/>
      <c r="J931" s="37"/>
      <c r="K931" s="34"/>
      <c r="L931" s="38" t="str">
        <f aca="false">IF(I931="","",I931*N(J931)*IF(K931="",1,K931))</f>
        <v/>
      </c>
      <c r="M931" s="34"/>
    </row>
    <row r="932" customFormat="false" ht="15" hidden="false" customHeight="false" outlineLevel="0" collapsed="false">
      <c r="A932" s="34"/>
      <c r="B932" s="35"/>
      <c r="C932" s="36" t="str">
        <f aca="false">IF(B932="","",DATE(YEAR(B932),MONTH(B932),1))</f>
        <v/>
      </c>
      <c r="D932" s="34"/>
      <c r="E932" s="34"/>
      <c r="F932" s="34"/>
      <c r="G932" s="34"/>
      <c r="H932" s="34"/>
      <c r="I932" s="34"/>
      <c r="J932" s="37"/>
      <c r="K932" s="34"/>
      <c r="L932" s="38" t="str">
        <f aca="false">IF(I932="","",I932*N(J932)*IF(K932="",1,K932))</f>
        <v/>
      </c>
      <c r="M932" s="34"/>
    </row>
    <row r="933" customFormat="false" ht="15" hidden="false" customHeight="false" outlineLevel="0" collapsed="false">
      <c r="A933" s="34"/>
      <c r="B933" s="35"/>
      <c r="C933" s="36" t="str">
        <f aca="false">IF(B933="","",DATE(YEAR(B933),MONTH(B933),1))</f>
        <v/>
      </c>
      <c r="D933" s="34"/>
      <c r="E933" s="34"/>
      <c r="F933" s="34"/>
      <c r="G933" s="34"/>
      <c r="H933" s="34"/>
      <c r="I933" s="34"/>
      <c r="J933" s="37"/>
      <c r="K933" s="34"/>
      <c r="L933" s="38" t="str">
        <f aca="false">IF(I933="","",I933*N(J933)*IF(K933="",1,K933))</f>
        <v/>
      </c>
      <c r="M933" s="34"/>
    </row>
    <row r="934" customFormat="false" ht="15" hidden="false" customHeight="false" outlineLevel="0" collapsed="false">
      <c r="A934" s="34"/>
      <c r="B934" s="35"/>
      <c r="C934" s="36" t="str">
        <f aca="false">IF(B934="","",DATE(YEAR(B934),MONTH(B934),1))</f>
        <v/>
      </c>
      <c r="D934" s="34"/>
      <c r="E934" s="34"/>
      <c r="F934" s="34"/>
      <c r="G934" s="34"/>
      <c r="H934" s="34"/>
      <c r="I934" s="34"/>
      <c r="J934" s="37"/>
      <c r="K934" s="34"/>
      <c r="L934" s="38" t="str">
        <f aca="false">IF(I934="","",I934*N(J934)*IF(K934="",1,K934))</f>
        <v/>
      </c>
      <c r="M934" s="34"/>
    </row>
    <row r="935" customFormat="false" ht="15" hidden="false" customHeight="false" outlineLevel="0" collapsed="false">
      <c r="A935" s="34"/>
      <c r="B935" s="35"/>
      <c r="C935" s="36" t="str">
        <f aca="false">IF(B935="","",DATE(YEAR(B935),MONTH(B935),1))</f>
        <v/>
      </c>
      <c r="D935" s="34"/>
      <c r="E935" s="34"/>
      <c r="F935" s="34"/>
      <c r="G935" s="34"/>
      <c r="H935" s="34"/>
      <c r="I935" s="34"/>
      <c r="J935" s="37"/>
      <c r="K935" s="34"/>
      <c r="L935" s="38" t="str">
        <f aca="false">IF(I935="","",I935*N(J935)*IF(K935="",1,K935))</f>
        <v/>
      </c>
      <c r="M935" s="34"/>
    </row>
    <row r="936" customFormat="false" ht="15" hidden="false" customHeight="false" outlineLevel="0" collapsed="false">
      <c r="A936" s="34"/>
      <c r="B936" s="35"/>
      <c r="C936" s="36" t="str">
        <f aca="false">IF(B936="","",DATE(YEAR(B936),MONTH(B936),1))</f>
        <v/>
      </c>
      <c r="D936" s="34"/>
      <c r="E936" s="34"/>
      <c r="F936" s="34"/>
      <c r="G936" s="34"/>
      <c r="H936" s="34"/>
      <c r="I936" s="34"/>
      <c r="J936" s="37"/>
      <c r="K936" s="34"/>
      <c r="L936" s="38" t="str">
        <f aca="false">IF(I936="","",I936*N(J936)*IF(K936="",1,K936))</f>
        <v/>
      </c>
      <c r="M936" s="34"/>
    </row>
    <row r="937" customFormat="false" ht="15" hidden="false" customHeight="false" outlineLevel="0" collapsed="false">
      <c r="A937" s="34"/>
      <c r="B937" s="35"/>
      <c r="C937" s="36" t="str">
        <f aca="false">IF(B937="","",DATE(YEAR(B937),MONTH(B937),1))</f>
        <v/>
      </c>
      <c r="D937" s="34"/>
      <c r="E937" s="34"/>
      <c r="F937" s="34"/>
      <c r="G937" s="34"/>
      <c r="H937" s="34"/>
      <c r="I937" s="34"/>
      <c r="J937" s="37"/>
      <c r="K937" s="34"/>
      <c r="L937" s="38" t="str">
        <f aca="false">IF(I937="","",I937*N(J937)*IF(K937="",1,K937))</f>
        <v/>
      </c>
      <c r="M937" s="34"/>
    </row>
    <row r="938" customFormat="false" ht="15" hidden="false" customHeight="false" outlineLevel="0" collapsed="false">
      <c r="A938" s="34"/>
      <c r="B938" s="35"/>
      <c r="C938" s="36" t="str">
        <f aca="false">IF(B938="","",DATE(YEAR(B938),MONTH(B938),1))</f>
        <v/>
      </c>
      <c r="D938" s="34"/>
      <c r="E938" s="34"/>
      <c r="F938" s="34"/>
      <c r="G938" s="34"/>
      <c r="H938" s="34"/>
      <c r="I938" s="34"/>
      <c r="J938" s="37"/>
      <c r="K938" s="34"/>
      <c r="L938" s="38" t="str">
        <f aca="false">IF(I938="","",I938*N(J938)*IF(K938="",1,K938))</f>
        <v/>
      </c>
      <c r="M938" s="34"/>
    </row>
    <row r="939" customFormat="false" ht="15" hidden="false" customHeight="false" outlineLevel="0" collapsed="false">
      <c r="A939" s="34"/>
      <c r="B939" s="35"/>
      <c r="C939" s="36" t="str">
        <f aca="false">IF(B939="","",DATE(YEAR(B939),MONTH(B939),1))</f>
        <v/>
      </c>
      <c r="D939" s="34"/>
      <c r="E939" s="34"/>
      <c r="F939" s="34"/>
      <c r="G939" s="34"/>
      <c r="H939" s="34"/>
      <c r="I939" s="34"/>
      <c r="J939" s="37"/>
      <c r="K939" s="34"/>
      <c r="L939" s="38" t="str">
        <f aca="false">IF(I939="","",I939*N(J939)*IF(K939="",1,K939))</f>
        <v/>
      </c>
      <c r="M939" s="34"/>
    </row>
    <row r="940" customFormat="false" ht="15" hidden="false" customHeight="false" outlineLevel="0" collapsed="false">
      <c r="A940" s="34"/>
      <c r="B940" s="35"/>
      <c r="C940" s="36" t="str">
        <f aca="false">IF(B940="","",DATE(YEAR(B940),MONTH(B940),1))</f>
        <v/>
      </c>
      <c r="D940" s="34"/>
      <c r="E940" s="34"/>
      <c r="F940" s="34"/>
      <c r="G940" s="34"/>
      <c r="H940" s="34"/>
      <c r="I940" s="34"/>
      <c r="J940" s="37"/>
      <c r="K940" s="34"/>
      <c r="L940" s="38" t="str">
        <f aca="false">IF(I940="","",I940*N(J940)*IF(K940="",1,K940))</f>
        <v/>
      </c>
      <c r="M940" s="34"/>
    </row>
    <row r="941" customFormat="false" ht="15" hidden="false" customHeight="false" outlineLevel="0" collapsed="false">
      <c r="A941" s="34"/>
      <c r="B941" s="35"/>
      <c r="C941" s="36" t="str">
        <f aca="false">IF(B941="","",DATE(YEAR(B941),MONTH(B941),1))</f>
        <v/>
      </c>
      <c r="D941" s="34"/>
      <c r="E941" s="34"/>
      <c r="F941" s="34"/>
      <c r="G941" s="34"/>
      <c r="H941" s="34"/>
      <c r="I941" s="34"/>
      <c r="J941" s="37"/>
      <c r="K941" s="34"/>
      <c r="L941" s="38" t="str">
        <f aca="false">IF(I941="","",I941*N(J941)*IF(K941="",1,K941))</f>
        <v/>
      </c>
      <c r="M941" s="34"/>
    </row>
    <row r="942" customFormat="false" ht="15" hidden="false" customHeight="false" outlineLevel="0" collapsed="false">
      <c r="A942" s="34"/>
      <c r="B942" s="35"/>
      <c r="C942" s="36" t="str">
        <f aca="false">IF(B942="","",DATE(YEAR(B942),MONTH(B942),1))</f>
        <v/>
      </c>
      <c r="D942" s="34"/>
      <c r="E942" s="34"/>
      <c r="F942" s="34"/>
      <c r="G942" s="34"/>
      <c r="H942" s="34"/>
      <c r="I942" s="34"/>
      <c r="J942" s="37"/>
      <c r="K942" s="34"/>
      <c r="L942" s="38" t="str">
        <f aca="false">IF(I942="","",I942*N(J942)*IF(K942="",1,K942))</f>
        <v/>
      </c>
      <c r="M942" s="34"/>
    </row>
    <row r="943" customFormat="false" ht="15" hidden="false" customHeight="false" outlineLevel="0" collapsed="false">
      <c r="A943" s="34"/>
      <c r="B943" s="35"/>
      <c r="C943" s="36" t="str">
        <f aca="false">IF(B943="","",DATE(YEAR(B943),MONTH(B943),1))</f>
        <v/>
      </c>
      <c r="D943" s="34"/>
      <c r="E943" s="34"/>
      <c r="F943" s="34"/>
      <c r="G943" s="34"/>
      <c r="H943" s="34"/>
      <c r="I943" s="34"/>
      <c r="J943" s="37"/>
      <c r="K943" s="34"/>
      <c r="L943" s="38" t="str">
        <f aca="false">IF(I943="","",I943*N(J943)*IF(K943="",1,K943))</f>
        <v/>
      </c>
      <c r="M943" s="34"/>
    </row>
    <row r="944" customFormat="false" ht="15" hidden="false" customHeight="false" outlineLevel="0" collapsed="false">
      <c r="A944" s="34"/>
      <c r="B944" s="35"/>
      <c r="C944" s="36" t="str">
        <f aca="false">IF(B944="","",DATE(YEAR(B944),MONTH(B944),1))</f>
        <v/>
      </c>
      <c r="D944" s="34"/>
      <c r="E944" s="34"/>
      <c r="F944" s="34"/>
      <c r="G944" s="34"/>
      <c r="H944" s="34"/>
      <c r="I944" s="34"/>
      <c r="J944" s="37"/>
      <c r="K944" s="34"/>
      <c r="L944" s="38" t="str">
        <f aca="false">IF(I944="","",I944*N(J944)*IF(K944="",1,K944))</f>
        <v/>
      </c>
      <c r="M944" s="34"/>
    </row>
    <row r="945" customFormat="false" ht="15" hidden="false" customHeight="false" outlineLevel="0" collapsed="false">
      <c r="A945" s="34"/>
      <c r="B945" s="35"/>
      <c r="C945" s="36" t="str">
        <f aca="false">IF(B945="","",DATE(YEAR(B945),MONTH(B945),1))</f>
        <v/>
      </c>
      <c r="D945" s="34"/>
      <c r="E945" s="34"/>
      <c r="F945" s="34"/>
      <c r="G945" s="34"/>
      <c r="H945" s="34"/>
      <c r="I945" s="34"/>
      <c r="J945" s="37"/>
      <c r="K945" s="34"/>
      <c r="L945" s="38" t="str">
        <f aca="false">IF(I945="","",I945*N(J945)*IF(K945="",1,K945))</f>
        <v/>
      </c>
      <c r="M945" s="34"/>
    </row>
    <row r="946" customFormat="false" ht="15" hidden="false" customHeight="false" outlineLevel="0" collapsed="false">
      <c r="A946" s="34"/>
      <c r="B946" s="35"/>
      <c r="C946" s="36" t="str">
        <f aca="false">IF(B946="","",DATE(YEAR(B946),MONTH(B946),1))</f>
        <v/>
      </c>
      <c r="D946" s="34"/>
      <c r="E946" s="34"/>
      <c r="F946" s="34"/>
      <c r="G946" s="34"/>
      <c r="H946" s="34"/>
      <c r="I946" s="34"/>
      <c r="J946" s="37"/>
      <c r="K946" s="34"/>
      <c r="L946" s="38" t="str">
        <f aca="false">IF(I946="","",I946*N(J946)*IF(K946="",1,K946))</f>
        <v/>
      </c>
      <c r="M946" s="34"/>
    </row>
    <row r="947" customFormat="false" ht="15" hidden="false" customHeight="false" outlineLevel="0" collapsed="false">
      <c r="A947" s="34"/>
      <c r="B947" s="35"/>
      <c r="C947" s="36" t="str">
        <f aca="false">IF(B947="","",DATE(YEAR(B947),MONTH(B947),1))</f>
        <v/>
      </c>
      <c r="D947" s="34"/>
      <c r="E947" s="34"/>
      <c r="F947" s="34"/>
      <c r="G947" s="34"/>
      <c r="H947" s="34"/>
      <c r="I947" s="34"/>
      <c r="J947" s="37"/>
      <c r="K947" s="34"/>
      <c r="L947" s="38" t="str">
        <f aca="false">IF(I947="","",I947*N(J947)*IF(K947="",1,K947))</f>
        <v/>
      </c>
      <c r="M947" s="34"/>
    </row>
    <row r="948" customFormat="false" ht="15" hidden="false" customHeight="false" outlineLevel="0" collapsed="false">
      <c r="A948" s="34"/>
      <c r="B948" s="35"/>
      <c r="C948" s="36" t="str">
        <f aca="false">IF(B948="","",DATE(YEAR(B948),MONTH(B948),1))</f>
        <v/>
      </c>
      <c r="D948" s="34"/>
      <c r="E948" s="34"/>
      <c r="F948" s="34"/>
      <c r="G948" s="34"/>
      <c r="H948" s="34"/>
      <c r="I948" s="34"/>
      <c r="J948" s="37"/>
      <c r="K948" s="34"/>
      <c r="L948" s="38" t="str">
        <f aca="false">IF(I948="","",I948*N(J948)*IF(K948="",1,K948))</f>
        <v/>
      </c>
      <c r="M948" s="34"/>
    </row>
    <row r="949" customFormat="false" ht="15" hidden="false" customHeight="false" outlineLevel="0" collapsed="false">
      <c r="A949" s="34"/>
      <c r="B949" s="35"/>
      <c r="C949" s="36" t="str">
        <f aca="false">IF(B949="","",DATE(YEAR(B949),MONTH(B949),1))</f>
        <v/>
      </c>
      <c r="D949" s="34"/>
      <c r="E949" s="34"/>
      <c r="F949" s="34"/>
      <c r="G949" s="34"/>
      <c r="H949" s="34"/>
      <c r="I949" s="34"/>
      <c r="J949" s="37"/>
      <c r="K949" s="34"/>
      <c r="L949" s="38" t="str">
        <f aca="false">IF(I949="","",I949*N(J949)*IF(K949="",1,K949))</f>
        <v/>
      </c>
      <c r="M949" s="34"/>
    </row>
    <row r="950" customFormat="false" ht="15" hidden="false" customHeight="false" outlineLevel="0" collapsed="false">
      <c r="A950" s="34"/>
      <c r="B950" s="35"/>
      <c r="C950" s="36" t="str">
        <f aca="false">IF(B950="","",DATE(YEAR(B950),MONTH(B950),1))</f>
        <v/>
      </c>
      <c r="D950" s="34"/>
      <c r="E950" s="34"/>
      <c r="F950" s="34"/>
      <c r="G950" s="34"/>
      <c r="H950" s="34"/>
      <c r="I950" s="34"/>
      <c r="J950" s="37"/>
      <c r="K950" s="34"/>
      <c r="L950" s="38" t="str">
        <f aca="false">IF(I950="","",I950*N(J950)*IF(K950="",1,K950))</f>
        <v/>
      </c>
      <c r="M950" s="34"/>
    </row>
    <row r="951" customFormat="false" ht="15" hidden="false" customHeight="false" outlineLevel="0" collapsed="false">
      <c r="A951" s="34"/>
      <c r="B951" s="35"/>
      <c r="C951" s="36" t="str">
        <f aca="false">IF(B951="","",DATE(YEAR(B951),MONTH(B951),1))</f>
        <v/>
      </c>
      <c r="D951" s="34"/>
      <c r="E951" s="34"/>
      <c r="F951" s="34"/>
      <c r="G951" s="34"/>
      <c r="H951" s="34"/>
      <c r="I951" s="34"/>
      <c r="J951" s="37"/>
      <c r="K951" s="34"/>
      <c r="L951" s="38" t="str">
        <f aca="false">IF(I951="","",I951*N(J951)*IF(K951="",1,K951))</f>
        <v/>
      </c>
      <c r="M951" s="34"/>
    </row>
    <row r="952" customFormat="false" ht="15" hidden="false" customHeight="false" outlineLevel="0" collapsed="false">
      <c r="A952" s="34"/>
      <c r="B952" s="35"/>
      <c r="C952" s="36" t="str">
        <f aca="false">IF(B952="","",DATE(YEAR(B952),MONTH(B952),1))</f>
        <v/>
      </c>
      <c r="D952" s="34"/>
      <c r="E952" s="34"/>
      <c r="F952" s="34"/>
      <c r="G952" s="34"/>
      <c r="H952" s="34"/>
      <c r="I952" s="34"/>
      <c r="J952" s="37"/>
      <c r="K952" s="34"/>
      <c r="L952" s="38" t="str">
        <f aca="false">IF(I952="","",I952*N(J952)*IF(K952="",1,K952))</f>
        <v/>
      </c>
      <c r="M952" s="34"/>
    </row>
    <row r="953" customFormat="false" ht="15" hidden="false" customHeight="false" outlineLevel="0" collapsed="false">
      <c r="A953" s="34"/>
      <c r="B953" s="35"/>
      <c r="C953" s="36" t="str">
        <f aca="false">IF(B953="","",DATE(YEAR(B953),MONTH(B953),1))</f>
        <v/>
      </c>
      <c r="D953" s="34"/>
      <c r="E953" s="34"/>
      <c r="F953" s="34"/>
      <c r="G953" s="34"/>
      <c r="H953" s="34"/>
      <c r="I953" s="34"/>
      <c r="J953" s="37"/>
      <c r="K953" s="34"/>
      <c r="L953" s="38" t="str">
        <f aca="false">IF(I953="","",I953*N(J953)*IF(K953="",1,K953))</f>
        <v/>
      </c>
      <c r="M953" s="34"/>
    </row>
    <row r="954" customFormat="false" ht="15" hidden="false" customHeight="false" outlineLevel="0" collapsed="false">
      <c r="A954" s="34"/>
      <c r="B954" s="35"/>
      <c r="C954" s="36" t="str">
        <f aca="false">IF(B954="","",DATE(YEAR(B954),MONTH(B954),1))</f>
        <v/>
      </c>
      <c r="D954" s="34"/>
      <c r="E954" s="34"/>
      <c r="F954" s="34"/>
      <c r="G954" s="34"/>
      <c r="H954" s="34"/>
      <c r="I954" s="34"/>
      <c r="J954" s="37"/>
      <c r="K954" s="34"/>
      <c r="L954" s="38" t="str">
        <f aca="false">IF(I954="","",I954*N(J954)*IF(K954="",1,K954))</f>
        <v/>
      </c>
      <c r="M954" s="34"/>
    </row>
    <row r="955" customFormat="false" ht="15" hidden="false" customHeight="false" outlineLevel="0" collapsed="false">
      <c r="A955" s="34"/>
      <c r="B955" s="35"/>
      <c r="C955" s="36" t="str">
        <f aca="false">IF(B955="","",DATE(YEAR(B955),MONTH(B955),1))</f>
        <v/>
      </c>
      <c r="D955" s="34"/>
      <c r="E955" s="34"/>
      <c r="F955" s="34"/>
      <c r="G955" s="34"/>
      <c r="H955" s="34"/>
      <c r="I955" s="34"/>
      <c r="J955" s="37"/>
      <c r="K955" s="34"/>
      <c r="L955" s="38" t="str">
        <f aca="false">IF(I955="","",I955*N(J955)*IF(K955="",1,K955))</f>
        <v/>
      </c>
      <c r="M955" s="34"/>
    </row>
    <row r="956" customFormat="false" ht="15" hidden="false" customHeight="false" outlineLevel="0" collapsed="false">
      <c r="A956" s="34"/>
      <c r="B956" s="35"/>
      <c r="C956" s="36" t="str">
        <f aca="false">IF(B956="","",DATE(YEAR(B956),MONTH(B956),1))</f>
        <v/>
      </c>
      <c r="D956" s="34"/>
      <c r="E956" s="34"/>
      <c r="F956" s="34"/>
      <c r="G956" s="34"/>
      <c r="H956" s="34"/>
      <c r="I956" s="34"/>
      <c r="J956" s="37"/>
      <c r="K956" s="34"/>
      <c r="L956" s="38" t="str">
        <f aca="false">IF(I956="","",I956*N(J956)*IF(K956="",1,K956))</f>
        <v/>
      </c>
      <c r="M956" s="34"/>
    </row>
    <row r="957" customFormat="false" ht="15" hidden="false" customHeight="false" outlineLevel="0" collapsed="false">
      <c r="A957" s="34"/>
      <c r="B957" s="35"/>
      <c r="C957" s="36" t="str">
        <f aca="false">IF(B957="","",DATE(YEAR(B957),MONTH(B957),1))</f>
        <v/>
      </c>
      <c r="D957" s="34"/>
      <c r="E957" s="34"/>
      <c r="F957" s="34"/>
      <c r="G957" s="34"/>
      <c r="H957" s="34"/>
      <c r="I957" s="34"/>
      <c r="J957" s="37"/>
      <c r="K957" s="34"/>
      <c r="L957" s="38" t="str">
        <f aca="false">IF(I957="","",I957*N(J957)*IF(K957="",1,K957))</f>
        <v/>
      </c>
      <c r="M957" s="34"/>
    </row>
    <row r="958" customFormat="false" ht="15" hidden="false" customHeight="false" outlineLevel="0" collapsed="false">
      <c r="A958" s="34"/>
      <c r="B958" s="35"/>
      <c r="C958" s="36" t="str">
        <f aca="false">IF(B958="","",DATE(YEAR(B958),MONTH(B958),1))</f>
        <v/>
      </c>
      <c r="D958" s="34"/>
      <c r="E958" s="34"/>
      <c r="F958" s="34"/>
      <c r="G958" s="34"/>
      <c r="H958" s="34"/>
      <c r="I958" s="34"/>
      <c r="J958" s="37"/>
      <c r="K958" s="34"/>
      <c r="L958" s="38" t="str">
        <f aca="false">IF(I958="","",I958*N(J958)*IF(K958="",1,K958))</f>
        <v/>
      </c>
      <c r="M958" s="34"/>
    </row>
    <row r="959" customFormat="false" ht="15" hidden="false" customHeight="false" outlineLevel="0" collapsed="false">
      <c r="A959" s="34"/>
      <c r="B959" s="35"/>
      <c r="C959" s="36" t="str">
        <f aca="false">IF(B959="","",DATE(YEAR(B959),MONTH(B959),1))</f>
        <v/>
      </c>
      <c r="D959" s="34"/>
      <c r="E959" s="34"/>
      <c r="F959" s="34"/>
      <c r="G959" s="34"/>
      <c r="H959" s="34"/>
      <c r="I959" s="34"/>
      <c r="J959" s="37"/>
      <c r="K959" s="34"/>
      <c r="L959" s="38" t="str">
        <f aca="false">IF(I959="","",I959*N(J959)*IF(K959="",1,K959))</f>
        <v/>
      </c>
      <c r="M959" s="34"/>
    </row>
    <row r="960" customFormat="false" ht="15" hidden="false" customHeight="false" outlineLevel="0" collapsed="false">
      <c r="A960" s="34"/>
      <c r="B960" s="35"/>
      <c r="C960" s="36" t="str">
        <f aca="false">IF(B960="","",DATE(YEAR(B960),MONTH(B960),1))</f>
        <v/>
      </c>
      <c r="D960" s="34"/>
      <c r="E960" s="34"/>
      <c r="F960" s="34"/>
      <c r="G960" s="34"/>
      <c r="H960" s="34"/>
      <c r="I960" s="34"/>
      <c r="J960" s="37"/>
      <c r="K960" s="34"/>
      <c r="L960" s="38" t="str">
        <f aca="false">IF(I960="","",I960*N(J960)*IF(K960="",1,K960))</f>
        <v/>
      </c>
      <c r="M960" s="34"/>
    </row>
    <row r="961" customFormat="false" ht="15" hidden="false" customHeight="false" outlineLevel="0" collapsed="false">
      <c r="A961" s="34"/>
      <c r="B961" s="35"/>
      <c r="C961" s="36" t="str">
        <f aca="false">IF(B961="","",DATE(YEAR(B961),MONTH(B961),1))</f>
        <v/>
      </c>
      <c r="D961" s="34"/>
      <c r="E961" s="34"/>
      <c r="F961" s="34"/>
      <c r="G961" s="34"/>
      <c r="H961" s="34"/>
      <c r="I961" s="34"/>
      <c r="J961" s="37"/>
      <c r="K961" s="34"/>
      <c r="L961" s="38" t="str">
        <f aca="false">IF(I961="","",I961*N(J961)*IF(K961="",1,K961))</f>
        <v/>
      </c>
      <c r="M961" s="34"/>
    </row>
    <row r="962" customFormat="false" ht="15" hidden="false" customHeight="false" outlineLevel="0" collapsed="false">
      <c r="A962" s="34"/>
      <c r="B962" s="35"/>
      <c r="C962" s="36" t="str">
        <f aca="false">IF(B962="","",DATE(YEAR(B962),MONTH(B962),1))</f>
        <v/>
      </c>
      <c r="D962" s="34"/>
      <c r="E962" s="34"/>
      <c r="F962" s="34"/>
      <c r="G962" s="34"/>
      <c r="H962" s="34"/>
      <c r="I962" s="34"/>
      <c r="J962" s="37"/>
      <c r="K962" s="34"/>
      <c r="L962" s="38" t="str">
        <f aca="false">IF(I962="","",I962*N(J962)*IF(K962="",1,K962))</f>
        <v/>
      </c>
      <c r="M962" s="34"/>
    </row>
    <row r="963" customFormat="false" ht="15" hidden="false" customHeight="false" outlineLevel="0" collapsed="false">
      <c r="A963" s="34"/>
      <c r="B963" s="35"/>
      <c r="C963" s="36" t="str">
        <f aca="false">IF(B963="","",DATE(YEAR(B963),MONTH(B963),1))</f>
        <v/>
      </c>
      <c r="D963" s="34"/>
      <c r="E963" s="34"/>
      <c r="F963" s="34"/>
      <c r="G963" s="34"/>
      <c r="H963" s="34"/>
      <c r="I963" s="34"/>
      <c r="J963" s="37"/>
      <c r="K963" s="34"/>
      <c r="L963" s="38" t="str">
        <f aca="false">IF(I963="","",I963*N(J963)*IF(K963="",1,K963))</f>
        <v/>
      </c>
      <c r="M963" s="34"/>
    </row>
    <row r="964" customFormat="false" ht="15" hidden="false" customHeight="false" outlineLevel="0" collapsed="false">
      <c r="A964" s="34"/>
      <c r="B964" s="35"/>
      <c r="C964" s="36" t="str">
        <f aca="false">IF(B964="","",DATE(YEAR(B964),MONTH(B964),1))</f>
        <v/>
      </c>
      <c r="D964" s="34"/>
      <c r="E964" s="34"/>
      <c r="F964" s="34"/>
      <c r="G964" s="34"/>
      <c r="H964" s="34"/>
      <c r="I964" s="34"/>
      <c r="J964" s="37"/>
      <c r="K964" s="34"/>
      <c r="L964" s="38" t="str">
        <f aca="false">IF(I964="","",I964*N(J964)*IF(K964="",1,K964))</f>
        <v/>
      </c>
      <c r="M964" s="34"/>
    </row>
    <row r="965" customFormat="false" ht="15" hidden="false" customHeight="false" outlineLevel="0" collapsed="false">
      <c r="A965" s="34"/>
      <c r="B965" s="35"/>
      <c r="C965" s="36" t="str">
        <f aca="false">IF(B965="","",DATE(YEAR(B965),MONTH(B965),1))</f>
        <v/>
      </c>
      <c r="D965" s="34"/>
      <c r="E965" s="34"/>
      <c r="F965" s="34"/>
      <c r="G965" s="34"/>
      <c r="H965" s="34"/>
      <c r="I965" s="34"/>
      <c r="J965" s="37"/>
      <c r="K965" s="34"/>
      <c r="L965" s="38" t="str">
        <f aca="false">IF(I965="","",I965*N(J965)*IF(K965="",1,K965))</f>
        <v/>
      </c>
      <c r="M965" s="34"/>
    </row>
    <row r="966" customFormat="false" ht="15" hidden="false" customHeight="false" outlineLevel="0" collapsed="false">
      <c r="A966" s="34"/>
      <c r="B966" s="35"/>
      <c r="C966" s="36" t="str">
        <f aca="false">IF(B966="","",DATE(YEAR(B966),MONTH(B966),1))</f>
        <v/>
      </c>
      <c r="D966" s="34"/>
      <c r="E966" s="34"/>
      <c r="F966" s="34"/>
      <c r="G966" s="34"/>
      <c r="H966" s="34"/>
      <c r="I966" s="34"/>
      <c r="J966" s="37"/>
      <c r="K966" s="34"/>
      <c r="L966" s="38" t="str">
        <f aca="false">IF(I966="","",I966*N(J966)*IF(K966="",1,K966))</f>
        <v/>
      </c>
      <c r="M966" s="34"/>
    </row>
    <row r="967" customFormat="false" ht="15" hidden="false" customHeight="false" outlineLevel="0" collapsed="false">
      <c r="A967" s="34"/>
      <c r="B967" s="35"/>
      <c r="C967" s="36" t="str">
        <f aca="false">IF(B967="","",DATE(YEAR(B967),MONTH(B967),1))</f>
        <v/>
      </c>
      <c r="D967" s="34"/>
      <c r="E967" s="34"/>
      <c r="F967" s="34"/>
      <c r="G967" s="34"/>
      <c r="H967" s="34"/>
      <c r="I967" s="34"/>
      <c r="J967" s="37"/>
      <c r="K967" s="34"/>
      <c r="L967" s="38" t="str">
        <f aca="false">IF(I967="","",I967*N(J967)*IF(K967="",1,K967))</f>
        <v/>
      </c>
      <c r="M967" s="34"/>
    </row>
    <row r="968" customFormat="false" ht="15" hidden="false" customHeight="false" outlineLevel="0" collapsed="false">
      <c r="A968" s="34"/>
      <c r="B968" s="35"/>
      <c r="C968" s="36" t="str">
        <f aca="false">IF(B968="","",DATE(YEAR(B968),MONTH(B968),1))</f>
        <v/>
      </c>
      <c r="D968" s="34"/>
      <c r="E968" s="34"/>
      <c r="F968" s="34"/>
      <c r="G968" s="34"/>
      <c r="H968" s="34"/>
      <c r="I968" s="34"/>
      <c r="J968" s="37"/>
      <c r="K968" s="34"/>
      <c r="L968" s="38" t="str">
        <f aca="false">IF(I968="","",I968*N(J968)*IF(K968="",1,K968))</f>
        <v/>
      </c>
      <c r="M968" s="34"/>
    </row>
    <row r="969" customFormat="false" ht="15" hidden="false" customHeight="false" outlineLevel="0" collapsed="false">
      <c r="A969" s="34"/>
      <c r="B969" s="35"/>
      <c r="C969" s="36" t="str">
        <f aca="false">IF(B969="","",DATE(YEAR(B969),MONTH(B969),1))</f>
        <v/>
      </c>
      <c r="D969" s="34"/>
      <c r="E969" s="34"/>
      <c r="F969" s="34"/>
      <c r="G969" s="34"/>
      <c r="H969" s="34"/>
      <c r="I969" s="34"/>
      <c r="J969" s="37"/>
      <c r="K969" s="34"/>
      <c r="L969" s="38" t="str">
        <f aca="false">IF(I969="","",I969*N(J969)*IF(K969="",1,K969))</f>
        <v/>
      </c>
      <c r="M969" s="34"/>
    </row>
    <row r="970" customFormat="false" ht="15" hidden="false" customHeight="false" outlineLevel="0" collapsed="false">
      <c r="A970" s="34"/>
      <c r="B970" s="35"/>
      <c r="C970" s="36" t="str">
        <f aca="false">IF(B970="","",DATE(YEAR(B970),MONTH(B970),1))</f>
        <v/>
      </c>
      <c r="D970" s="34"/>
      <c r="E970" s="34"/>
      <c r="F970" s="34"/>
      <c r="G970" s="34"/>
      <c r="H970" s="34"/>
      <c r="I970" s="34"/>
      <c r="J970" s="37"/>
      <c r="K970" s="34"/>
      <c r="L970" s="38" t="str">
        <f aca="false">IF(I970="","",I970*N(J970)*IF(K970="",1,K970))</f>
        <v/>
      </c>
      <c r="M970" s="34"/>
    </row>
    <row r="971" customFormat="false" ht="15" hidden="false" customHeight="false" outlineLevel="0" collapsed="false">
      <c r="A971" s="34"/>
      <c r="B971" s="35"/>
      <c r="C971" s="36" t="str">
        <f aca="false">IF(B971="","",DATE(YEAR(B971),MONTH(B971),1))</f>
        <v/>
      </c>
      <c r="D971" s="34"/>
      <c r="E971" s="34"/>
      <c r="F971" s="34"/>
      <c r="G971" s="34"/>
      <c r="H971" s="34"/>
      <c r="I971" s="34"/>
      <c r="J971" s="37"/>
      <c r="K971" s="34"/>
      <c r="L971" s="38" t="str">
        <f aca="false">IF(I971="","",I971*N(J971)*IF(K971="",1,K971))</f>
        <v/>
      </c>
      <c r="M971" s="34"/>
    </row>
    <row r="972" customFormat="false" ht="15" hidden="false" customHeight="false" outlineLevel="0" collapsed="false">
      <c r="A972" s="34"/>
      <c r="B972" s="35"/>
      <c r="C972" s="36" t="str">
        <f aca="false">IF(B972="","",DATE(YEAR(B972),MONTH(B972),1))</f>
        <v/>
      </c>
      <c r="D972" s="34"/>
      <c r="E972" s="34"/>
      <c r="F972" s="34"/>
      <c r="G972" s="34"/>
      <c r="H972" s="34"/>
      <c r="I972" s="34"/>
      <c r="J972" s="37"/>
      <c r="K972" s="34"/>
      <c r="L972" s="38" t="str">
        <f aca="false">IF(I972="","",I972*N(J972)*IF(K972="",1,K972))</f>
        <v/>
      </c>
      <c r="M972" s="34"/>
    </row>
    <row r="973" customFormat="false" ht="15" hidden="false" customHeight="false" outlineLevel="0" collapsed="false">
      <c r="A973" s="34"/>
      <c r="B973" s="35"/>
      <c r="C973" s="36" t="str">
        <f aca="false">IF(B973="","",DATE(YEAR(B973),MONTH(B973),1))</f>
        <v/>
      </c>
      <c r="D973" s="34"/>
      <c r="E973" s="34"/>
      <c r="F973" s="34"/>
      <c r="G973" s="34"/>
      <c r="H973" s="34"/>
      <c r="I973" s="34"/>
      <c r="J973" s="37"/>
      <c r="K973" s="34"/>
      <c r="L973" s="38" t="str">
        <f aca="false">IF(I973="","",I973*N(J973)*IF(K973="",1,K973))</f>
        <v/>
      </c>
      <c r="M973" s="34"/>
    </row>
    <row r="974" customFormat="false" ht="15" hidden="false" customHeight="false" outlineLevel="0" collapsed="false">
      <c r="A974" s="34"/>
      <c r="B974" s="35"/>
      <c r="C974" s="36" t="str">
        <f aca="false">IF(B974="","",DATE(YEAR(B974),MONTH(B974),1))</f>
        <v/>
      </c>
      <c r="D974" s="34"/>
      <c r="E974" s="34"/>
      <c r="F974" s="34"/>
      <c r="G974" s="34"/>
      <c r="H974" s="34"/>
      <c r="I974" s="34"/>
      <c r="J974" s="37"/>
      <c r="K974" s="34"/>
      <c r="L974" s="38" t="str">
        <f aca="false">IF(I974="","",I974*N(J974)*IF(K974="",1,K974))</f>
        <v/>
      </c>
      <c r="M974" s="34"/>
    </row>
    <row r="975" customFormat="false" ht="15" hidden="false" customHeight="false" outlineLevel="0" collapsed="false">
      <c r="A975" s="34"/>
      <c r="B975" s="35"/>
      <c r="C975" s="36" t="str">
        <f aca="false">IF(B975="","",DATE(YEAR(B975),MONTH(B975),1))</f>
        <v/>
      </c>
      <c r="D975" s="34"/>
      <c r="E975" s="34"/>
      <c r="F975" s="34"/>
      <c r="G975" s="34"/>
      <c r="H975" s="34"/>
      <c r="I975" s="34"/>
      <c r="J975" s="37"/>
      <c r="K975" s="34"/>
      <c r="L975" s="38" t="str">
        <f aca="false">IF(I975="","",I975*N(J975)*IF(K975="",1,K975))</f>
        <v/>
      </c>
      <c r="M975" s="34"/>
    </row>
    <row r="976" customFormat="false" ht="15" hidden="false" customHeight="false" outlineLevel="0" collapsed="false">
      <c r="A976" s="34"/>
      <c r="B976" s="35"/>
      <c r="C976" s="36" t="str">
        <f aca="false">IF(B976="","",DATE(YEAR(B976),MONTH(B976),1))</f>
        <v/>
      </c>
      <c r="D976" s="34"/>
      <c r="E976" s="34"/>
      <c r="F976" s="34"/>
      <c r="G976" s="34"/>
      <c r="H976" s="34"/>
      <c r="I976" s="34"/>
      <c r="J976" s="37"/>
      <c r="K976" s="34"/>
      <c r="L976" s="38" t="str">
        <f aca="false">IF(I976="","",I976*N(J976)*IF(K976="",1,K976))</f>
        <v/>
      </c>
      <c r="M976" s="34"/>
    </row>
    <row r="977" customFormat="false" ht="15" hidden="false" customHeight="false" outlineLevel="0" collapsed="false">
      <c r="A977" s="34"/>
      <c r="B977" s="35"/>
      <c r="C977" s="36" t="str">
        <f aca="false">IF(B977="","",DATE(YEAR(B977),MONTH(B977),1))</f>
        <v/>
      </c>
      <c r="D977" s="34"/>
      <c r="E977" s="34"/>
      <c r="F977" s="34"/>
      <c r="G977" s="34"/>
      <c r="H977" s="34"/>
      <c r="I977" s="34"/>
      <c r="J977" s="37"/>
      <c r="K977" s="34"/>
      <c r="L977" s="38" t="str">
        <f aca="false">IF(I977="","",I977*N(J977)*IF(K977="",1,K977))</f>
        <v/>
      </c>
      <c r="M977" s="34"/>
    </row>
    <row r="978" customFormat="false" ht="15" hidden="false" customHeight="false" outlineLevel="0" collapsed="false">
      <c r="A978" s="34"/>
      <c r="B978" s="35"/>
      <c r="C978" s="36" t="str">
        <f aca="false">IF(B978="","",DATE(YEAR(B978),MONTH(B978),1))</f>
        <v/>
      </c>
      <c r="D978" s="34"/>
      <c r="E978" s="34"/>
      <c r="F978" s="34"/>
      <c r="G978" s="34"/>
      <c r="H978" s="34"/>
      <c r="I978" s="34"/>
      <c r="J978" s="37"/>
      <c r="K978" s="34"/>
      <c r="L978" s="38" t="str">
        <f aca="false">IF(I978="","",I978*N(J978)*IF(K978="",1,K978))</f>
        <v/>
      </c>
      <c r="M978" s="34"/>
    </row>
    <row r="979" customFormat="false" ht="15" hidden="false" customHeight="false" outlineLevel="0" collapsed="false">
      <c r="A979" s="34"/>
      <c r="B979" s="35"/>
      <c r="C979" s="36" t="str">
        <f aca="false">IF(B979="","",DATE(YEAR(B979),MONTH(B979),1))</f>
        <v/>
      </c>
      <c r="D979" s="34"/>
      <c r="E979" s="34"/>
      <c r="F979" s="34"/>
      <c r="G979" s="34"/>
      <c r="H979" s="34"/>
      <c r="I979" s="34"/>
      <c r="J979" s="37"/>
      <c r="K979" s="34"/>
      <c r="L979" s="38" t="str">
        <f aca="false">IF(I979="","",I979*N(J979)*IF(K979="",1,K979))</f>
        <v/>
      </c>
      <c r="M979" s="34"/>
    </row>
    <row r="980" customFormat="false" ht="15" hidden="false" customHeight="false" outlineLevel="0" collapsed="false">
      <c r="A980" s="34"/>
      <c r="B980" s="35"/>
      <c r="C980" s="36" t="str">
        <f aca="false">IF(B980="","",DATE(YEAR(B980),MONTH(B980),1))</f>
        <v/>
      </c>
      <c r="D980" s="34"/>
      <c r="E980" s="34"/>
      <c r="F980" s="34"/>
      <c r="G980" s="34"/>
      <c r="H980" s="34"/>
      <c r="I980" s="34"/>
      <c r="J980" s="37"/>
      <c r="K980" s="34"/>
      <c r="L980" s="38" t="str">
        <f aca="false">IF(I980="","",I980*N(J980)*IF(K980="",1,K980))</f>
        <v/>
      </c>
      <c r="M980" s="34"/>
    </row>
    <row r="981" customFormat="false" ht="15" hidden="false" customHeight="false" outlineLevel="0" collapsed="false">
      <c r="A981" s="34"/>
      <c r="B981" s="35"/>
      <c r="C981" s="36" t="str">
        <f aca="false">IF(B981="","",DATE(YEAR(B981),MONTH(B981),1))</f>
        <v/>
      </c>
      <c r="D981" s="34"/>
      <c r="E981" s="34"/>
      <c r="F981" s="34"/>
      <c r="G981" s="34"/>
      <c r="H981" s="34"/>
      <c r="I981" s="34"/>
      <c r="J981" s="37"/>
      <c r="K981" s="34"/>
      <c r="L981" s="38" t="str">
        <f aca="false">IF(I981="","",I981*N(J981)*IF(K981="",1,K981))</f>
        <v/>
      </c>
      <c r="M981" s="34"/>
    </row>
    <row r="982" customFormat="false" ht="15" hidden="false" customHeight="false" outlineLevel="0" collapsed="false">
      <c r="A982" s="34"/>
      <c r="B982" s="35"/>
      <c r="C982" s="36" t="str">
        <f aca="false">IF(B982="","",DATE(YEAR(B982),MONTH(B982),1))</f>
        <v/>
      </c>
      <c r="D982" s="34"/>
      <c r="E982" s="34"/>
      <c r="F982" s="34"/>
      <c r="G982" s="34"/>
      <c r="H982" s="34"/>
      <c r="I982" s="34"/>
      <c r="J982" s="37"/>
      <c r="K982" s="34"/>
      <c r="L982" s="38" t="str">
        <f aca="false">IF(I982="","",I982*N(J982)*IF(K982="",1,K982))</f>
        <v/>
      </c>
      <c r="M982" s="34"/>
    </row>
    <row r="983" customFormat="false" ht="15" hidden="false" customHeight="false" outlineLevel="0" collapsed="false">
      <c r="A983" s="34"/>
      <c r="B983" s="35"/>
      <c r="C983" s="36" t="str">
        <f aca="false">IF(B983="","",DATE(YEAR(B983),MONTH(B983),1))</f>
        <v/>
      </c>
      <c r="D983" s="34"/>
      <c r="E983" s="34"/>
      <c r="F983" s="34"/>
      <c r="G983" s="34"/>
      <c r="H983" s="34"/>
      <c r="I983" s="34"/>
      <c r="J983" s="37"/>
      <c r="K983" s="34"/>
      <c r="L983" s="38" t="str">
        <f aca="false">IF(I983="","",I983*N(J983)*IF(K983="",1,K983))</f>
        <v/>
      </c>
      <c r="M983" s="34"/>
    </row>
    <row r="984" customFormat="false" ht="15" hidden="false" customHeight="false" outlineLevel="0" collapsed="false">
      <c r="A984" s="34"/>
      <c r="B984" s="35"/>
      <c r="C984" s="36" t="str">
        <f aca="false">IF(B984="","",DATE(YEAR(B984),MONTH(B984),1))</f>
        <v/>
      </c>
      <c r="D984" s="34"/>
      <c r="E984" s="34"/>
      <c r="F984" s="34"/>
      <c r="G984" s="34"/>
      <c r="H984" s="34"/>
      <c r="I984" s="34"/>
      <c r="J984" s="37"/>
      <c r="K984" s="34"/>
      <c r="L984" s="38" t="str">
        <f aca="false">IF(I984="","",I984*N(J984)*IF(K984="",1,K984))</f>
        <v/>
      </c>
      <c r="M984" s="34"/>
    </row>
    <row r="985" customFormat="false" ht="15" hidden="false" customHeight="false" outlineLevel="0" collapsed="false">
      <c r="A985" s="34"/>
      <c r="B985" s="35"/>
      <c r="C985" s="36" t="str">
        <f aca="false">IF(B985="","",DATE(YEAR(B985),MONTH(B985),1))</f>
        <v/>
      </c>
      <c r="D985" s="34"/>
      <c r="E985" s="34"/>
      <c r="F985" s="34"/>
      <c r="G985" s="34"/>
      <c r="H985" s="34"/>
      <c r="I985" s="34"/>
      <c r="J985" s="37"/>
      <c r="K985" s="34"/>
      <c r="L985" s="38" t="str">
        <f aca="false">IF(I985="","",I985*N(J985)*IF(K985="",1,K985))</f>
        <v/>
      </c>
      <c r="M985" s="34"/>
    </row>
    <row r="986" customFormat="false" ht="15" hidden="false" customHeight="false" outlineLevel="0" collapsed="false">
      <c r="A986" s="34"/>
      <c r="B986" s="35"/>
      <c r="C986" s="36" t="str">
        <f aca="false">IF(B986="","",DATE(YEAR(B986),MONTH(B986),1))</f>
        <v/>
      </c>
      <c r="D986" s="34"/>
      <c r="E986" s="34"/>
      <c r="F986" s="34"/>
      <c r="G986" s="34"/>
      <c r="H986" s="34"/>
      <c r="I986" s="34"/>
      <c r="J986" s="37"/>
      <c r="K986" s="34"/>
      <c r="L986" s="38" t="str">
        <f aca="false">IF(I986="","",I986*N(J986)*IF(K986="",1,K986))</f>
        <v/>
      </c>
      <c r="M986" s="34"/>
    </row>
    <row r="987" customFormat="false" ht="15" hidden="false" customHeight="false" outlineLevel="0" collapsed="false">
      <c r="A987" s="34"/>
      <c r="B987" s="35"/>
      <c r="C987" s="36" t="str">
        <f aca="false">IF(B987="","",DATE(YEAR(B987),MONTH(B987),1))</f>
        <v/>
      </c>
      <c r="D987" s="34"/>
      <c r="E987" s="34"/>
      <c r="F987" s="34"/>
      <c r="G987" s="34"/>
      <c r="H987" s="34"/>
      <c r="I987" s="34"/>
      <c r="J987" s="37"/>
      <c r="K987" s="34"/>
      <c r="L987" s="38" t="str">
        <f aca="false">IF(I987="","",I987*N(J987)*IF(K987="",1,K987))</f>
        <v/>
      </c>
      <c r="M987" s="34"/>
    </row>
    <row r="988" customFormat="false" ht="15" hidden="false" customHeight="false" outlineLevel="0" collapsed="false">
      <c r="A988" s="34"/>
      <c r="B988" s="35"/>
      <c r="C988" s="36" t="str">
        <f aca="false">IF(B988="","",DATE(YEAR(B988),MONTH(B988),1))</f>
        <v/>
      </c>
      <c r="D988" s="34"/>
      <c r="E988" s="34"/>
      <c r="F988" s="34"/>
      <c r="G988" s="34"/>
      <c r="H988" s="34"/>
      <c r="I988" s="34"/>
      <c r="J988" s="37"/>
      <c r="K988" s="34"/>
      <c r="L988" s="38" t="str">
        <f aca="false">IF(I988="","",I988*N(J988)*IF(K988="",1,K988))</f>
        <v/>
      </c>
      <c r="M988" s="34"/>
    </row>
    <row r="989" customFormat="false" ht="15" hidden="false" customHeight="false" outlineLevel="0" collapsed="false">
      <c r="A989" s="34"/>
      <c r="B989" s="35"/>
      <c r="C989" s="36" t="str">
        <f aca="false">IF(B989="","",DATE(YEAR(B989),MONTH(B989),1))</f>
        <v/>
      </c>
      <c r="D989" s="34"/>
      <c r="E989" s="34"/>
      <c r="F989" s="34"/>
      <c r="G989" s="34"/>
      <c r="H989" s="34"/>
      <c r="I989" s="34"/>
      <c r="J989" s="37"/>
      <c r="K989" s="34"/>
      <c r="L989" s="38" t="str">
        <f aca="false">IF(I989="","",I989*N(J989)*IF(K989="",1,K989))</f>
        <v/>
      </c>
      <c r="M989" s="34"/>
    </row>
    <row r="990" customFormat="false" ht="15" hidden="false" customHeight="false" outlineLevel="0" collapsed="false">
      <c r="A990" s="34"/>
      <c r="B990" s="35"/>
      <c r="C990" s="36" t="str">
        <f aca="false">IF(B990="","",DATE(YEAR(B990),MONTH(B990),1))</f>
        <v/>
      </c>
      <c r="D990" s="34"/>
      <c r="E990" s="34"/>
      <c r="F990" s="34"/>
      <c r="G990" s="34"/>
      <c r="H990" s="34"/>
      <c r="I990" s="34"/>
      <c r="J990" s="37"/>
      <c r="K990" s="34"/>
      <c r="L990" s="38" t="str">
        <f aca="false">IF(I990="","",I990*N(J990)*IF(K990="",1,K990))</f>
        <v/>
      </c>
      <c r="M990" s="34"/>
    </row>
    <row r="991" customFormat="false" ht="15" hidden="false" customHeight="false" outlineLevel="0" collapsed="false">
      <c r="A991" s="34"/>
      <c r="B991" s="35"/>
      <c r="C991" s="36" t="str">
        <f aca="false">IF(B991="","",DATE(YEAR(B991),MONTH(B991),1))</f>
        <v/>
      </c>
      <c r="D991" s="34"/>
      <c r="E991" s="34"/>
      <c r="F991" s="34"/>
      <c r="G991" s="34"/>
      <c r="H991" s="34"/>
      <c r="I991" s="34"/>
      <c r="J991" s="37"/>
      <c r="K991" s="34"/>
      <c r="L991" s="38" t="str">
        <f aca="false">IF(I991="","",I991*N(J991)*IF(K991="",1,K991))</f>
        <v/>
      </c>
      <c r="M991" s="34"/>
    </row>
    <row r="992" customFormat="false" ht="15" hidden="false" customHeight="false" outlineLevel="0" collapsed="false">
      <c r="A992" s="34"/>
      <c r="B992" s="35"/>
      <c r="C992" s="36" t="str">
        <f aca="false">IF(B992="","",DATE(YEAR(B992),MONTH(B992),1))</f>
        <v/>
      </c>
      <c r="D992" s="34"/>
      <c r="E992" s="34"/>
      <c r="F992" s="34"/>
      <c r="G992" s="34"/>
      <c r="H992" s="34"/>
      <c r="I992" s="34"/>
      <c r="J992" s="37"/>
      <c r="K992" s="34"/>
      <c r="L992" s="38" t="str">
        <f aca="false">IF(I992="","",I992*N(J992)*IF(K992="",1,K992))</f>
        <v/>
      </c>
      <c r="M992" s="34"/>
    </row>
    <row r="993" customFormat="false" ht="15" hidden="false" customHeight="false" outlineLevel="0" collapsed="false">
      <c r="A993" s="34"/>
      <c r="B993" s="35"/>
      <c r="C993" s="36" t="str">
        <f aca="false">IF(B993="","",DATE(YEAR(B993),MONTH(B993),1))</f>
        <v/>
      </c>
      <c r="D993" s="34"/>
      <c r="E993" s="34"/>
      <c r="F993" s="34"/>
      <c r="G993" s="34"/>
      <c r="H993" s="34"/>
      <c r="I993" s="34"/>
      <c r="J993" s="37"/>
      <c r="K993" s="34"/>
      <c r="L993" s="38" t="str">
        <f aca="false">IF(I993="","",I993*N(J993)*IF(K993="",1,K993))</f>
        <v/>
      </c>
      <c r="M993" s="34"/>
    </row>
    <row r="994" customFormat="false" ht="15" hidden="false" customHeight="false" outlineLevel="0" collapsed="false">
      <c r="A994" s="34"/>
      <c r="B994" s="35"/>
      <c r="C994" s="36" t="str">
        <f aca="false">IF(B994="","",DATE(YEAR(B994),MONTH(B994),1))</f>
        <v/>
      </c>
      <c r="D994" s="34"/>
      <c r="E994" s="34"/>
      <c r="F994" s="34"/>
      <c r="G994" s="34"/>
      <c r="H994" s="34"/>
      <c r="I994" s="34"/>
      <c r="J994" s="37"/>
      <c r="K994" s="34"/>
      <c r="L994" s="38" t="str">
        <f aca="false">IF(I994="","",I994*N(J994)*IF(K994="",1,K994))</f>
        <v/>
      </c>
      <c r="M994" s="34"/>
    </row>
    <row r="995" customFormat="false" ht="15" hidden="false" customHeight="false" outlineLevel="0" collapsed="false">
      <c r="A995" s="34"/>
      <c r="B995" s="35"/>
      <c r="C995" s="36" t="str">
        <f aca="false">IF(B995="","",DATE(YEAR(B995),MONTH(B995),1))</f>
        <v/>
      </c>
      <c r="D995" s="34"/>
      <c r="E995" s="34"/>
      <c r="F995" s="34"/>
      <c r="G995" s="34"/>
      <c r="H995" s="34"/>
      <c r="I995" s="34"/>
      <c r="J995" s="37"/>
      <c r="K995" s="34"/>
      <c r="L995" s="38" t="str">
        <f aca="false">IF(I995="","",I995*N(J995)*IF(K995="",1,K995))</f>
        <v/>
      </c>
      <c r="M995" s="34"/>
    </row>
    <row r="996" customFormat="false" ht="15" hidden="false" customHeight="false" outlineLevel="0" collapsed="false">
      <c r="A996" s="34"/>
      <c r="B996" s="35"/>
      <c r="C996" s="36" t="str">
        <f aca="false">IF(B996="","",DATE(YEAR(B996),MONTH(B996),1))</f>
        <v/>
      </c>
      <c r="D996" s="34"/>
      <c r="E996" s="34"/>
      <c r="F996" s="34"/>
      <c r="G996" s="34"/>
      <c r="H996" s="34"/>
      <c r="I996" s="34"/>
      <c r="J996" s="37"/>
      <c r="K996" s="34"/>
      <c r="L996" s="38" t="str">
        <f aca="false">IF(I996="","",I996*N(J996)*IF(K996="",1,K996))</f>
        <v/>
      </c>
      <c r="M996" s="34"/>
    </row>
    <row r="997" customFormat="false" ht="15" hidden="false" customHeight="false" outlineLevel="0" collapsed="false">
      <c r="A997" s="34"/>
      <c r="B997" s="35"/>
      <c r="C997" s="36" t="str">
        <f aca="false">IF(B997="","",DATE(YEAR(B997),MONTH(B997),1))</f>
        <v/>
      </c>
      <c r="D997" s="34"/>
      <c r="E997" s="34"/>
      <c r="F997" s="34"/>
      <c r="G997" s="34"/>
      <c r="H997" s="34"/>
      <c r="I997" s="34"/>
      <c r="J997" s="37"/>
      <c r="K997" s="34"/>
      <c r="L997" s="38" t="str">
        <f aca="false">IF(I997="","",I997*N(J997)*IF(K997="",1,K997))</f>
        <v/>
      </c>
      <c r="M997" s="34"/>
    </row>
    <row r="998" customFormat="false" ht="15" hidden="false" customHeight="false" outlineLevel="0" collapsed="false">
      <c r="A998" s="34"/>
      <c r="B998" s="35"/>
      <c r="C998" s="36" t="str">
        <f aca="false">IF(B998="","",DATE(YEAR(B998),MONTH(B998),1))</f>
        <v/>
      </c>
      <c r="D998" s="34"/>
      <c r="E998" s="34"/>
      <c r="F998" s="34"/>
      <c r="G998" s="34"/>
      <c r="H998" s="34"/>
      <c r="I998" s="34"/>
      <c r="J998" s="37"/>
      <c r="K998" s="34"/>
      <c r="L998" s="38" t="str">
        <f aca="false">IF(I998="","",I998*N(J998)*IF(K998="",1,K998))</f>
        <v/>
      </c>
      <c r="M998" s="34"/>
    </row>
    <row r="999" customFormat="false" ht="15" hidden="false" customHeight="false" outlineLevel="0" collapsed="false">
      <c r="A999" s="34"/>
      <c r="B999" s="35"/>
      <c r="C999" s="36" t="str">
        <f aca="false">IF(B999="","",DATE(YEAR(B999),MONTH(B999),1))</f>
        <v/>
      </c>
      <c r="D999" s="34"/>
      <c r="E999" s="34"/>
      <c r="F999" s="34"/>
      <c r="G999" s="34"/>
      <c r="H999" s="34"/>
      <c r="I999" s="34"/>
      <c r="J999" s="37"/>
      <c r="K999" s="34"/>
      <c r="L999" s="38" t="str">
        <f aca="false">IF(I999="","",I999*N(J999)*IF(K999="",1,K999))</f>
        <v/>
      </c>
      <c r="M999" s="34"/>
    </row>
    <row r="1000" customFormat="false" ht="15" hidden="false" customHeight="false" outlineLevel="0" collapsed="false">
      <c r="A1000" s="34"/>
      <c r="B1000" s="35"/>
      <c r="C1000" s="36" t="str">
        <f aca="false">IF(B1000="","",DATE(YEAR(B1000),MONTH(B1000),1))</f>
        <v/>
      </c>
      <c r="D1000" s="34"/>
      <c r="E1000" s="34"/>
      <c r="F1000" s="34"/>
      <c r="G1000" s="34"/>
      <c r="H1000" s="34"/>
      <c r="I1000" s="34"/>
      <c r="J1000" s="37"/>
      <c r="K1000" s="34"/>
      <c r="L1000" s="38" t="str">
        <f aca="false">IF(I1000="","",I1000*N(J1000)*IF(K1000="",1,K1000))</f>
        <v/>
      </c>
      <c r="M1000" s="34"/>
    </row>
    <row r="1001" customFormat="false" ht="15" hidden="false" customHeight="false" outlineLevel="0" collapsed="false">
      <c r="A1001" s="34"/>
      <c r="B1001" s="35"/>
      <c r="C1001" s="36" t="str">
        <f aca="false">IF(B1001="","",DATE(YEAR(B1001),MONTH(B1001),1))</f>
        <v/>
      </c>
      <c r="D1001" s="34"/>
      <c r="E1001" s="34"/>
      <c r="F1001" s="34"/>
      <c r="G1001" s="34"/>
      <c r="H1001" s="34"/>
      <c r="I1001" s="34"/>
      <c r="J1001" s="37"/>
      <c r="K1001" s="34"/>
      <c r="L1001" s="38" t="str">
        <f aca="false">IF(I1001="","",I1001*N(J1001)*IF(K1001="",1,K1001))</f>
        <v/>
      </c>
      <c r="M1001" s="34"/>
    </row>
    <row r="1002" customFormat="false" ht="15" hidden="false" customHeight="false" outlineLevel="0" collapsed="false">
      <c r="A1002" s="34"/>
      <c r="B1002" s="35"/>
      <c r="C1002" s="36" t="str">
        <f aca="false">IF(B1002="","",DATE(YEAR(B1002),MONTH(B1002),1))</f>
        <v/>
      </c>
      <c r="D1002" s="34"/>
      <c r="E1002" s="34"/>
      <c r="F1002" s="34"/>
      <c r="G1002" s="34"/>
      <c r="H1002" s="34"/>
      <c r="I1002" s="34"/>
      <c r="J1002" s="37"/>
      <c r="K1002" s="34"/>
      <c r="L1002" s="38" t="str">
        <f aca="false">IF(I1002="","",I1002*N(J1002)*IF(K1002="",1,K1002))</f>
        <v/>
      </c>
      <c r="M1002" s="34"/>
    </row>
    <row r="1003" customFormat="false" ht="15" hidden="false" customHeight="false" outlineLevel="0" collapsed="false">
      <c r="A1003" s="34"/>
      <c r="B1003" s="35"/>
      <c r="C1003" s="36" t="str">
        <f aca="false">IF(B1003="","",DATE(YEAR(B1003),MONTH(B1003),1))</f>
        <v/>
      </c>
      <c r="D1003" s="34"/>
      <c r="E1003" s="34"/>
      <c r="F1003" s="34"/>
      <c r="G1003" s="34"/>
      <c r="H1003" s="34"/>
      <c r="I1003" s="34"/>
      <c r="J1003" s="37"/>
      <c r="K1003" s="34"/>
      <c r="L1003" s="38" t="str">
        <f aca="false">IF(I1003="","",I1003*N(J1003)*IF(K1003="",1,K1003))</f>
        <v/>
      </c>
      <c r="M1003" s="34"/>
    </row>
    <row r="1004" customFormat="false" ht="15" hidden="false" customHeight="false" outlineLevel="0" collapsed="false">
      <c r="A1004" s="34"/>
      <c r="B1004" s="35"/>
      <c r="C1004" s="36" t="str">
        <f aca="false">IF(B1004="","",DATE(YEAR(B1004),MONTH(B1004),1))</f>
        <v/>
      </c>
      <c r="D1004" s="34"/>
      <c r="E1004" s="34"/>
      <c r="F1004" s="34"/>
      <c r="G1004" s="34"/>
      <c r="H1004" s="34"/>
      <c r="I1004" s="34"/>
      <c r="J1004" s="37"/>
      <c r="K1004" s="34"/>
      <c r="L1004" s="38" t="str">
        <f aca="false">IF(I1004="","",I1004*N(J1004)*IF(K1004="",1,K1004))</f>
        <v/>
      </c>
      <c r="M1004" s="34"/>
    </row>
  </sheetData>
  <autoFilter ref="A4:M1004"/>
  <conditionalFormatting sqref="M5:M1004">
    <cfRule type="expression" priority="2" aboveAverage="0" equalAverage="0" bottom="0" percent="0" rank="0" text="" dxfId="11">
      <formula>LEN(M5)&gt;0</formula>
    </cfRule>
  </conditionalFormatting>
  <conditionalFormatting sqref="A5:L1004">
    <cfRule type="expression" priority="3" aboveAverage="0" equalAverage="0" bottom="0" percent="0" rank="0" text="" dxfId="12">
      <formula>$D5="Trả lại"</formula>
    </cfRule>
  </conditionalFormatting>
  <dataValidations count="3">
    <dataValidation allowBlank="true" errorStyle="stop" operator="between" showDropDown="false" showErrorMessage="false" showInputMessage="false" sqref="A5:A1004" type="list">
      <formula1>'TỔNG HỢP'!$B$9:$B$20</formula1>
      <formula2>0</formula2>
    </dataValidation>
    <dataValidation allowBlank="true" errorStyle="stop" operator="between" showDropDown="false" showErrorMessage="false" showInputMessage="false" sqref="D5:D1004" type="list">
      <formula1>"Bán,Trả lại"</formula1>
      <formula2>0</formula2>
    </dataValidation>
    <dataValidation allowBlank="true" errorStyle="stop" operator="between" showDropDown="false" showErrorMessage="false" showInputMessage="false" sqref="F5:F1004" type="list">
      <formula1>"1L,5L,18L,Bao"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F4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28"/>
  </cols>
  <sheetData>
    <row r="1" customFormat="false" ht="19.7" hidden="false" customHeight="false" outlineLevel="0" collapsed="false">
      <c r="A1" s="1" t="s">
        <v>118</v>
      </c>
    </row>
    <row r="2" customFormat="false" ht="15" hidden="false" customHeight="false" outlineLevel="0" collapsed="false">
      <c r="A2" s="2" t="s">
        <v>119</v>
      </c>
    </row>
    <row r="4" customFormat="false" ht="33.75" hidden="false" customHeight="true" outlineLevel="0" collapsed="false">
      <c r="A4" s="11" t="s">
        <v>8</v>
      </c>
      <c r="B4" s="11" t="s">
        <v>120</v>
      </c>
      <c r="C4" s="11" t="s">
        <v>49</v>
      </c>
      <c r="D4" s="11" t="s">
        <v>121</v>
      </c>
      <c r="E4" s="11" t="s">
        <v>40</v>
      </c>
      <c r="F4" s="11" t="s">
        <v>122</v>
      </c>
    </row>
    <row r="5" customFormat="false" ht="15" hidden="false" customHeight="false" outlineLevel="0" collapsed="false">
      <c r="A5" s="34" t="s">
        <v>19</v>
      </c>
      <c r="B5" s="35" t="n">
        <v>46233</v>
      </c>
      <c r="C5" s="36" t="n">
        <f aca="false">IF(B5="","",DATE(YEAR(B5),MONTH(B5),1))</f>
        <v>46204</v>
      </c>
      <c r="D5" s="37" t="n">
        <v>30060000</v>
      </c>
      <c r="E5" s="34" t="s">
        <v>123</v>
      </c>
      <c r="F5" s="34" t="s">
        <v>124</v>
      </c>
    </row>
    <row r="6" customFormat="false" ht="15" hidden="false" customHeight="false" outlineLevel="0" collapsed="false">
      <c r="A6" s="34" t="s">
        <v>20</v>
      </c>
      <c r="B6" s="35" t="n">
        <v>46187</v>
      </c>
      <c r="C6" s="36" t="n">
        <f aca="false">IF(B6="","",DATE(YEAR(B6),MONTH(B6),1))</f>
        <v>46174</v>
      </c>
      <c r="D6" s="37" t="n">
        <v>750000</v>
      </c>
      <c r="E6" s="34" t="s">
        <v>125</v>
      </c>
      <c r="F6" s="34" t="s">
        <v>126</v>
      </c>
    </row>
    <row r="7" customFormat="false" ht="15" hidden="false" customHeight="false" outlineLevel="0" collapsed="false">
      <c r="A7" s="34" t="s">
        <v>20</v>
      </c>
      <c r="B7" s="35" t="n">
        <v>46194</v>
      </c>
      <c r="C7" s="36" t="n">
        <f aca="false">IF(B7="","",DATE(YEAR(B7),MONTH(B7),1))</f>
        <v>46174</v>
      </c>
      <c r="D7" s="37" t="n">
        <v>750000</v>
      </c>
      <c r="E7" s="34" t="s">
        <v>127</v>
      </c>
      <c r="F7" s="34" t="s">
        <v>126</v>
      </c>
    </row>
    <row r="8" customFormat="false" ht="15" hidden="false" customHeight="false" outlineLevel="0" collapsed="false">
      <c r="A8" s="34" t="s">
        <v>21</v>
      </c>
      <c r="B8" s="35" t="n">
        <v>46211</v>
      </c>
      <c r="C8" s="36" t="n">
        <f aca="false">IF(B8="","",DATE(YEAR(B8),MONTH(B8),1))</f>
        <v>46204</v>
      </c>
      <c r="D8" s="37" t="n">
        <v>9190000</v>
      </c>
      <c r="E8" s="34" t="s">
        <v>128</v>
      </c>
      <c r="F8" s="34" t="s">
        <v>124</v>
      </c>
    </row>
    <row r="9" customFormat="false" ht="15" hidden="false" customHeight="false" outlineLevel="0" collapsed="false">
      <c r="A9" s="34" t="s">
        <v>21</v>
      </c>
      <c r="B9" s="35" t="n">
        <v>46233</v>
      </c>
      <c r="C9" s="36" t="n">
        <f aca="false">IF(B9="","",DATE(YEAR(B9),MONTH(B9),1))</f>
        <v>46204</v>
      </c>
      <c r="D9" s="37" t="n">
        <v>6100000</v>
      </c>
      <c r="E9" s="34" t="s">
        <v>123</v>
      </c>
      <c r="F9" s="34" t="s">
        <v>124</v>
      </c>
    </row>
    <row r="10" customFormat="false" ht="15" hidden="false" customHeight="false" outlineLevel="0" collapsed="false">
      <c r="A10" s="34" t="s">
        <v>21</v>
      </c>
      <c r="B10" s="35" t="n">
        <v>46260</v>
      </c>
      <c r="C10" s="36" t="n">
        <f aca="false">IF(B10="","",DATE(YEAR(B10),MONTH(B10),1))</f>
        <v>46235</v>
      </c>
      <c r="D10" s="37" t="n">
        <v>33240000</v>
      </c>
      <c r="E10" s="34" t="s">
        <v>129</v>
      </c>
      <c r="F10" s="34" t="s">
        <v>130</v>
      </c>
    </row>
    <row r="11" customFormat="false" ht="15" hidden="false" customHeight="false" outlineLevel="0" collapsed="false">
      <c r="A11" s="34"/>
      <c r="B11" s="35"/>
      <c r="C11" s="36" t="str">
        <f aca="false">IF(B11="","",DATE(YEAR(B11),MONTH(B11),1))</f>
        <v/>
      </c>
      <c r="D11" s="37"/>
      <c r="E11" s="34"/>
      <c r="F11" s="34"/>
    </row>
    <row r="12" customFormat="false" ht="15" hidden="false" customHeight="false" outlineLevel="0" collapsed="false">
      <c r="A12" s="34"/>
      <c r="B12" s="35"/>
      <c r="C12" s="36" t="str">
        <f aca="false">IF(B12="","",DATE(YEAR(B12),MONTH(B12),1))</f>
        <v/>
      </c>
      <c r="D12" s="37"/>
      <c r="E12" s="34"/>
      <c r="F12" s="34"/>
    </row>
    <row r="13" customFormat="false" ht="15" hidden="false" customHeight="false" outlineLevel="0" collapsed="false">
      <c r="A13" s="34"/>
      <c r="B13" s="35"/>
      <c r="C13" s="36" t="str">
        <f aca="false">IF(B13="","",DATE(YEAR(B13),MONTH(B13),1))</f>
        <v/>
      </c>
      <c r="D13" s="37"/>
      <c r="E13" s="34"/>
      <c r="F13" s="34"/>
    </row>
    <row r="14" customFormat="false" ht="15" hidden="false" customHeight="false" outlineLevel="0" collapsed="false">
      <c r="A14" s="34"/>
      <c r="B14" s="35"/>
      <c r="C14" s="36" t="str">
        <f aca="false">IF(B14="","",DATE(YEAR(B14),MONTH(B14),1))</f>
        <v/>
      </c>
      <c r="D14" s="37"/>
      <c r="E14" s="34"/>
      <c r="F14" s="34"/>
    </row>
    <row r="15" customFormat="false" ht="15" hidden="false" customHeight="false" outlineLevel="0" collapsed="false">
      <c r="A15" s="34"/>
      <c r="B15" s="35"/>
      <c r="C15" s="36" t="str">
        <f aca="false">IF(B15="","",DATE(YEAR(B15),MONTH(B15),1))</f>
        <v/>
      </c>
      <c r="D15" s="37"/>
      <c r="E15" s="34"/>
      <c r="F15" s="34"/>
    </row>
    <row r="16" customFormat="false" ht="15" hidden="false" customHeight="false" outlineLevel="0" collapsed="false">
      <c r="A16" s="34"/>
      <c r="B16" s="35"/>
      <c r="C16" s="36" t="str">
        <f aca="false">IF(B16="","",DATE(YEAR(B16),MONTH(B16),1))</f>
        <v/>
      </c>
      <c r="D16" s="37"/>
      <c r="E16" s="34"/>
      <c r="F16" s="34"/>
    </row>
    <row r="17" customFormat="false" ht="15" hidden="false" customHeight="false" outlineLevel="0" collapsed="false">
      <c r="A17" s="34"/>
      <c r="B17" s="35"/>
      <c r="C17" s="36" t="str">
        <f aca="false">IF(B17="","",DATE(YEAR(B17),MONTH(B17),1))</f>
        <v/>
      </c>
      <c r="D17" s="37"/>
      <c r="E17" s="34"/>
      <c r="F17" s="34"/>
    </row>
    <row r="18" customFormat="false" ht="15" hidden="false" customHeight="false" outlineLevel="0" collapsed="false">
      <c r="A18" s="34"/>
      <c r="B18" s="35"/>
      <c r="C18" s="36" t="str">
        <f aca="false">IF(B18="","",DATE(YEAR(B18),MONTH(B18),1))</f>
        <v/>
      </c>
      <c r="D18" s="37"/>
      <c r="E18" s="34"/>
      <c r="F18" s="34"/>
    </row>
    <row r="19" customFormat="false" ht="15" hidden="false" customHeight="false" outlineLevel="0" collapsed="false">
      <c r="A19" s="34"/>
      <c r="B19" s="35"/>
      <c r="C19" s="36" t="str">
        <f aca="false">IF(B19="","",DATE(YEAR(B19),MONTH(B19),1))</f>
        <v/>
      </c>
      <c r="D19" s="37"/>
      <c r="E19" s="34"/>
      <c r="F19" s="34"/>
    </row>
    <row r="20" customFormat="false" ht="15" hidden="false" customHeight="false" outlineLevel="0" collapsed="false">
      <c r="A20" s="34"/>
      <c r="B20" s="35"/>
      <c r="C20" s="36" t="str">
        <f aca="false">IF(B20="","",DATE(YEAR(B20),MONTH(B20),1))</f>
        <v/>
      </c>
      <c r="D20" s="37"/>
      <c r="E20" s="34"/>
      <c r="F20" s="34"/>
    </row>
    <row r="21" customFormat="false" ht="15" hidden="false" customHeight="false" outlineLevel="0" collapsed="false">
      <c r="A21" s="34"/>
      <c r="B21" s="35"/>
      <c r="C21" s="36" t="str">
        <f aca="false">IF(B21="","",DATE(YEAR(B21),MONTH(B21),1))</f>
        <v/>
      </c>
      <c r="D21" s="37"/>
      <c r="E21" s="34"/>
      <c r="F21" s="34"/>
    </row>
    <row r="22" customFormat="false" ht="15" hidden="false" customHeight="false" outlineLevel="0" collapsed="false">
      <c r="A22" s="34"/>
      <c r="B22" s="35"/>
      <c r="C22" s="36" t="str">
        <f aca="false">IF(B22="","",DATE(YEAR(B22),MONTH(B22),1))</f>
        <v/>
      </c>
      <c r="D22" s="37"/>
      <c r="E22" s="34"/>
      <c r="F22" s="34"/>
    </row>
    <row r="23" customFormat="false" ht="15" hidden="false" customHeight="false" outlineLevel="0" collapsed="false">
      <c r="A23" s="34"/>
      <c r="B23" s="35"/>
      <c r="C23" s="36" t="str">
        <f aca="false">IF(B23="","",DATE(YEAR(B23),MONTH(B23),1))</f>
        <v/>
      </c>
      <c r="D23" s="37"/>
      <c r="E23" s="34"/>
      <c r="F23" s="34"/>
    </row>
    <row r="24" customFormat="false" ht="15" hidden="false" customHeight="false" outlineLevel="0" collapsed="false">
      <c r="A24" s="34"/>
      <c r="B24" s="35"/>
      <c r="C24" s="36" t="str">
        <f aca="false">IF(B24="","",DATE(YEAR(B24),MONTH(B24),1))</f>
        <v/>
      </c>
      <c r="D24" s="37"/>
      <c r="E24" s="34"/>
      <c r="F24" s="34"/>
    </row>
    <row r="25" customFormat="false" ht="15" hidden="false" customHeight="false" outlineLevel="0" collapsed="false">
      <c r="A25" s="34"/>
      <c r="B25" s="35"/>
      <c r="C25" s="36" t="str">
        <f aca="false">IF(B25="","",DATE(YEAR(B25),MONTH(B25),1))</f>
        <v/>
      </c>
      <c r="D25" s="37"/>
      <c r="E25" s="34"/>
      <c r="F25" s="34"/>
    </row>
    <row r="26" customFormat="false" ht="15" hidden="false" customHeight="false" outlineLevel="0" collapsed="false">
      <c r="A26" s="34"/>
      <c r="B26" s="35"/>
      <c r="C26" s="36" t="str">
        <f aca="false">IF(B26="","",DATE(YEAR(B26),MONTH(B26),1))</f>
        <v/>
      </c>
      <c r="D26" s="37"/>
      <c r="E26" s="34"/>
      <c r="F26" s="34"/>
    </row>
    <row r="27" customFormat="false" ht="15" hidden="false" customHeight="false" outlineLevel="0" collapsed="false">
      <c r="A27" s="34"/>
      <c r="B27" s="35"/>
      <c r="C27" s="36" t="str">
        <f aca="false">IF(B27="","",DATE(YEAR(B27),MONTH(B27),1))</f>
        <v/>
      </c>
      <c r="D27" s="37"/>
      <c r="E27" s="34"/>
      <c r="F27" s="34"/>
    </row>
    <row r="28" customFormat="false" ht="15" hidden="false" customHeight="false" outlineLevel="0" collapsed="false">
      <c r="A28" s="34"/>
      <c r="B28" s="35"/>
      <c r="C28" s="36" t="str">
        <f aca="false">IF(B28="","",DATE(YEAR(B28),MONTH(B28),1))</f>
        <v/>
      </c>
      <c r="D28" s="37"/>
      <c r="E28" s="34"/>
      <c r="F28" s="34"/>
    </row>
    <row r="29" customFormat="false" ht="15" hidden="false" customHeight="false" outlineLevel="0" collapsed="false">
      <c r="A29" s="34"/>
      <c r="B29" s="35"/>
      <c r="C29" s="36" t="str">
        <f aca="false">IF(B29="","",DATE(YEAR(B29),MONTH(B29),1))</f>
        <v/>
      </c>
      <c r="D29" s="37"/>
      <c r="E29" s="34"/>
      <c r="F29" s="34"/>
    </row>
    <row r="30" customFormat="false" ht="15" hidden="false" customHeight="false" outlineLevel="0" collapsed="false">
      <c r="A30" s="34"/>
      <c r="B30" s="35"/>
      <c r="C30" s="36" t="str">
        <f aca="false">IF(B30="","",DATE(YEAR(B30),MONTH(B30),1))</f>
        <v/>
      </c>
      <c r="D30" s="37"/>
      <c r="E30" s="34"/>
      <c r="F30" s="34"/>
    </row>
    <row r="31" customFormat="false" ht="15" hidden="false" customHeight="false" outlineLevel="0" collapsed="false">
      <c r="A31" s="34"/>
      <c r="B31" s="35"/>
      <c r="C31" s="36" t="str">
        <f aca="false">IF(B31="","",DATE(YEAR(B31),MONTH(B31),1))</f>
        <v/>
      </c>
      <c r="D31" s="37"/>
      <c r="E31" s="34"/>
      <c r="F31" s="34"/>
    </row>
    <row r="32" customFormat="false" ht="15" hidden="false" customHeight="false" outlineLevel="0" collapsed="false">
      <c r="A32" s="34"/>
      <c r="B32" s="35"/>
      <c r="C32" s="36" t="str">
        <f aca="false">IF(B32="","",DATE(YEAR(B32),MONTH(B32),1))</f>
        <v/>
      </c>
      <c r="D32" s="37"/>
      <c r="E32" s="34"/>
      <c r="F32" s="34"/>
    </row>
    <row r="33" customFormat="false" ht="15" hidden="false" customHeight="false" outlineLevel="0" collapsed="false">
      <c r="A33" s="34"/>
      <c r="B33" s="35"/>
      <c r="C33" s="36" t="str">
        <f aca="false">IF(B33="","",DATE(YEAR(B33),MONTH(B33),1))</f>
        <v/>
      </c>
      <c r="D33" s="37"/>
      <c r="E33" s="34"/>
      <c r="F33" s="34"/>
    </row>
    <row r="34" customFormat="false" ht="15" hidden="false" customHeight="false" outlineLevel="0" collapsed="false">
      <c r="A34" s="34"/>
      <c r="B34" s="35"/>
      <c r="C34" s="36" t="str">
        <f aca="false">IF(B34="","",DATE(YEAR(B34),MONTH(B34),1))</f>
        <v/>
      </c>
      <c r="D34" s="37"/>
      <c r="E34" s="34"/>
      <c r="F34" s="34"/>
    </row>
    <row r="35" customFormat="false" ht="15" hidden="false" customHeight="false" outlineLevel="0" collapsed="false">
      <c r="A35" s="34"/>
      <c r="B35" s="35"/>
      <c r="C35" s="36" t="str">
        <f aca="false">IF(B35="","",DATE(YEAR(B35),MONTH(B35),1))</f>
        <v/>
      </c>
      <c r="D35" s="37"/>
      <c r="E35" s="34"/>
      <c r="F35" s="34"/>
    </row>
    <row r="36" customFormat="false" ht="15" hidden="false" customHeight="false" outlineLevel="0" collapsed="false">
      <c r="A36" s="34"/>
      <c r="B36" s="35"/>
      <c r="C36" s="36" t="str">
        <f aca="false">IF(B36="","",DATE(YEAR(B36),MONTH(B36),1))</f>
        <v/>
      </c>
      <c r="D36" s="37"/>
      <c r="E36" s="34"/>
      <c r="F36" s="34"/>
    </row>
    <row r="37" customFormat="false" ht="15" hidden="false" customHeight="false" outlineLevel="0" collapsed="false">
      <c r="A37" s="34"/>
      <c r="B37" s="35"/>
      <c r="C37" s="36" t="str">
        <f aca="false">IF(B37="","",DATE(YEAR(B37),MONTH(B37),1))</f>
        <v/>
      </c>
      <c r="D37" s="37"/>
      <c r="E37" s="34"/>
      <c r="F37" s="34"/>
    </row>
    <row r="38" customFormat="false" ht="15" hidden="false" customHeight="false" outlineLevel="0" collapsed="false">
      <c r="A38" s="34"/>
      <c r="B38" s="35"/>
      <c r="C38" s="36" t="str">
        <f aca="false">IF(B38="","",DATE(YEAR(B38),MONTH(B38),1))</f>
        <v/>
      </c>
      <c r="D38" s="37"/>
      <c r="E38" s="34"/>
      <c r="F38" s="34"/>
    </row>
    <row r="39" customFormat="false" ht="15" hidden="false" customHeight="false" outlineLevel="0" collapsed="false">
      <c r="A39" s="34"/>
      <c r="B39" s="35"/>
      <c r="C39" s="36" t="str">
        <f aca="false">IF(B39="","",DATE(YEAR(B39),MONTH(B39),1))</f>
        <v/>
      </c>
      <c r="D39" s="37"/>
      <c r="E39" s="34"/>
      <c r="F39" s="34"/>
    </row>
    <row r="40" customFormat="false" ht="15" hidden="false" customHeight="false" outlineLevel="0" collapsed="false">
      <c r="A40" s="34"/>
      <c r="B40" s="35"/>
      <c r="C40" s="36" t="str">
        <f aca="false">IF(B40="","",DATE(YEAR(B40),MONTH(B40),1))</f>
        <v/>
      </c>
      <c r="D40" s="37"/>
      <c r="E40" s="34"/>
      <c r="F40" s="34"/>
    </row>
    <row r="41" customFormat="false" ht="15" hidden="false" customHeight="false" outlineLevel="0" collapsed="false">
      <c r="A41" s="34"/>
      <c r="B41" s="35"/>
      <c r="C41" s="36" t="str">
        <f aca="false">IF(B41="","",DATE(YEAR(B41),MONTH(B41),1))</f>
        <v/>
      </c>
      <c r="D41" s="37"/>
      <c r="E41" s="34"/>
      <c r="F41" s="34"/>
    </row>
    <row r="42" customFormat="false" ht="15" hidden="false" customHeight="false" outlineLevel="0" collapsed="false">
      <c r="A42" s="34"/>
      <c r="B42" s="35"/>
      <c r="C42" s="36" t="str">
        <f aca="false">IF(B42="","",DATE(YEAR(B42),MONTH(B42),1))</f>
        <v/>
      </c>
      <c r="D42" s="37"/>
      <c r="E42" s="34"/>
      <c r="F42" s="34"/>
    </row>
    <row r="43" customFormat="false" ht="15" hidden="false" customHeight="false" outlineLevel="0" collapsed="false">
      <c r="A43" s="34"/>
      <c r="B43" s="35"/>
      <c r="C43" s="36" t="str">
        <f aca="false">IF(B43="","",DATE(YEAR(B43),MONTH(B43),1))</f>
        <v/>
      </c>
      <c r="D43" s="37"/>
      <c r="E43" s="34"/>
      <c r="F43" s="34"/>
    </row>
    <row r="44" customFormat="false" ht="15" hidden="false" customHeight="false" outlineLevel="0" collapsed="false">
      <c r="A44" s="34"/>
      <c r="B44" s="35"/>
      <c r="C44" s="36" t="str">
        <f aca="false">IF(B44="","",DATE(YEAR(B44),MONTH(B44),1))</f>
        <v/>
      </c>
      <c r="D44" s="37"/>
      <c r="E44" s="34"/>
      <c r="F44" s="34"/>
    </row>
    <row r="45" customFormat="false" ht="15" hidden="false" customHeight="false" outlineLevel="0" collapsed="false">
      <c r="A45" s="34"/>
      <c r="B45" s="35"/>
      <c r="C45" s="36" t="str">
        <f aca="false">IF(B45="","",DATE(YEAR(B45),MONTH(B45),1))</f>
        <v/>
      </c>
      <c r="D45" s="37"/>
      <c r="E45" s="34"/>
      <c r="F45" s="34"/>
    </row>
    <row r="46" customFormat="false" ht="15" hidden="false" customHeight="false" outlineLevel="0" collapsed="false">
      <c r="A46" s="34"/>
      <c r="B46" s="35"/>
      <c r="C46" s="36" t="str">
        <f aca="false">IF(B46="","",DATE(YEAR(B46),MONTH(B46),1))</f>
        <v/>
      </c>
      <c r="D46" s="37"/>
      <c r="E46" s="34"/>
      <c r="F46" s="34"/>
    </row>
    <row r="47" customFormat="false" ht="15" hidden="false" customHeight="false" outlineLevel="0" collapsed="false">
      <c r="A47" s="34"/>
      <c r="B47" s="35"/>
      <c r="C47" s="36" t="str">
        <f aca="false">IF(B47="","",DATE(YEAR(B47),MONTH(B47),1))</f>
        <v/>
      </c>
      <c r="D47" s="37"/>
      <c r="E47" s="34"/>
      <c r="F47" s="34"/>
    </row>
    <row r="48" customFormat="false" ht="15" hidden="false" customHeight="false" outlineLevel="0" collapsed="false">
      <c r="A48" s="34"/>
      <c r="B48" s="35"/>
      <c r="C48" s="36" t="str">
        <f aca="false">IF(B48="","",DATE(YEAR(B48),MONTH(B48),1))</f>
        <v/>
      </c>
      <c r="D48" s="37"/>
      <c r="E48" s="34"/>
      <c r="F48" s="34"/>
    </row>
    <row r="49" customFormat="false" ht="15" hidden="false" customHeight="false" outlineLevel="0" collapsed="false">
      <c r="A49" s="34"/>
      <c r="B49" s="35"/>
      <c r="C49" s="36" t="str">
        <f aca="false">IF(B49="","",DATE(YEAR(B49),MONTH(B49),1))</f>
        <v/>
      </c>
      <c r="D49" s="37"/>
      <c r="E49" s="34"/>
      <c r="F49" s="34"/>
    </row>
    <row r="50" customFormat="false" ht="15" hidden="false" customHeight="false" outlineLevel="0" collapsed="false">
      <c r="A50" s="34"/>
      <c r="B50" s="35"/>
      <c r="C50" s="36" t="str">
        <f aca="false">IF(B50="","",DATE(YEAR(B50),MONTH(B50),1))</f>
        <v/>
      </c>
      <c r="D50" s="37"/>
      <c r="E50" s="34"/>
      <c r="F50" s="34"/>
    </row>
    <row r="51" customFormat="false" ht="15" hidden="false" customHeight="false" outlineLevel="0" collapsed="false">
      <c r="A51" s="34"/>
      <c r="B51" s="35"/>
      <c r="C51" s="36" t="str">
        <f aca="false">IF(B51="","",DATE(YEAR(B51),MONTH(B51),1))</f>
        <v/>
      </c>
      <c r="D51" s="37"/>
      <c r="E51" s="34"/>
      <c r="F51" s="34"/>
    </row>
    <row r="52" customFormat="false" ht="15" hidden="false" customHeight="false" outlineLevel="0" collapsed="false">
      <c r="A52" s="34"/>
      <c r="B52" s="35"/>
      <c r="C52" s="36" t="str">
        <f aca="false">IF(B52="","",DATE(YEAR(B52),MONTH(B52),1))</f>
        <v/>
      </c>
      <c r="D52" s="37"/>
      <c r="E52" s="34"/>
      <c r="F52" s="34"/>
    </row>
    <row r="53" customFormat="false" ht="15" hidden="false" customHeight="false" outlineLevel="0" collapsed="false">
      <c r="A53" s="34"/>
      <c r="B53" s="35"/>
      <c r="C53" s="36" t="str">
        <f aca="false">IF(B53="","",DATE(YEAR(B53),MONTH(B53),1))</f>
        <v/>
      </c>
      <c r="D53" s="37"/>
      <c r="E53" s="34"/>
      <c r="F53" s="34"/>
    </row>
    <row r="54" customFormat="false" ht="15" hidden="false" customHeight="false" outlineLevel="0" collapsed="false">
      <c r="A54" s="34"/>
      <c r="B54" s="35"/>
      <c r="C54" s="36" t="str">
        <f aca="false">IF(B54="","",DATE(YEAR(B54),MONTH(B54),1))</f>
        <v/>
      </c>
      <c r="D54" s="37"/>
      <c r="E54" s="34"/>
      <c r="F54" s="34"/>
    </row>
    <row r="55" customFormat="false" ht="15" hidden="false" customHeight="false" outlineLevel="0" collapsed="false">
      <c r="A55" s="34"/>
      <c r="B55" s="35"/>
      <c r="C55" s="36" t="str">
        <f aca="false">IF(B55="","",DATE(YEAR(B55),MONTH(B55),1))</f>
        <v/>
      </c>
      <c r="D55" s="37"/>
      <c r="E55" s="34"/>
      <c r="F55" s="34"/>
    </row>
    <row r="56" customFormat="false" ht="15" hidden="false" customHeight="false" outlineLevel="0" collapsed="false">
      <c r="A56" s="34"/>
      <c r="B56" s="35"/>
      <c r="C56" s="36" t="str">
        <f aca="false">IF(B56="","",DATE(YEAR(B56),MONTH(B56),1))</f>
        <v/>
      </c>
      <c r="D56" s="37"/>
      <c r="E56" s="34"/>
      <c r="F56" s="34"/>
    </row>
    <row r="57" customFormat="false" ht="15" hidden="false" customHeight="false" outlineLevel="0" collapsed="false">
      <c r="A57" s="34"/>
      <c r="B57" s="35"/>
      <c r="C57" s="36" t="str">
        <f aca="false">IF(B57="","",DATE(YEAR(B57),MONTH(B57),1))</f>
        <v/>
      </c>
      <c r="D57" s="37"/>
      <c r="E57" s="34"/>
      <c r="F57" s="34"/>
    </row>
    <row r="58" customFormat="false" ht="15" hidden="false" customHeight="false" outlineLevel="0" collapsed="false">
      <c r="A58" s="34"/>
      <c r="B58" s="35"/>
      <c r="C58" s="36" t="str">
        <f aca="false">IF(B58="","",DATE(YEAR(B58),MONTH(B58),1))</f>
        <v/>
      </c>
      <c r="D58" s="37"/>
      <c r="E58" s="34"/>
      <c r="F58" s="34"/>
    </row>
    <row r="59" customFormat="false" ht="15" hidden="false" customHeight="false" outlineLevel="0" collapsed="false">
      <c r="A59" s="34"/>
      <c r="B59" s="35"/>
      <c r="C59" s="36" t="str">
        <f aca="false">IF(B59="","",DATE(YEAR(B59),MONTH(B59),1))</f>
        <v/>
      </c>
      <c r="D59" s="37"/>
      <c r="E59" s="34"/>
      <c r="F59" s="34"/>
    </row>
    <row r="60" customFormat="false" ht="15" hidden="false" customHeight="false" outlineLevel="0" collapsed="false">
      <c r="A60" s="34"/>
      <c r="B60" s="35"/>
      <c r="C60" s="36" t="str">
        <f aca="false">IF(B60="","",DATE(YEAR(B60),MONTH(B60),1))</f>
        <v/>
      </c>
      <c r="D60" s="37"/>
      <c r="E60" s="34"/>
      <c r="F60" s="34"/>
    </row>
    <row r="61" customFormat="false" ht="15" hidden="false" customHeight="false" outlineLevel="0" collapsed="false">
      <c r="A61" s="34"/>
      <c r="B61" s="35"/>
      <c r="C61" s="36" t="str">
        <f aca="false">IF(B61="","",DATE(YEAR(B61),MONTH(B61),1))</f>
        <v/>
      </c>
      <c r="D61" s="37"/>
      <c r="E61" s="34"/>
      <c r="F61" s="34"/>
    </row>
    <row r="62" customFormat="false" ht="15" hidden="false" customHeight="false" outlineLevel="0" collapsed="false">
      <c r="A62" s="34"/>
      <c r="B62" s="35"/>
      <c r="C62" s="36" t="str">
        <f aca="false">IF(B62="","",DATE(YEAR(B62),MONTH(B62),1))</f>
        <v/>
      </c>
      <c r="D62" s="37"/>
      <c r="E62" s="34"/>
      <c r="F62" s="34"/>
    </row>
    <row r="63" customFormat="false" ht="15" hidden="false" customHeight="false" outlineLevel="0" collapsed="false">
      <c r="A63" s="34"/>
      <c r="B63" s="35"/>
      <c r="C63" s="36" t="str">
        <f aca="false">IF(B63="","",DATE(YEAR(B63),MONTH(B63),1))</f>
        <v/>
      </c>
      <c r="D63" s="37"/>
      <c r="E63" s="34"/>
      <c r="F63" s="34"/>
    </row>
    <row r="64" customFormat="false" ht="15" hidden="false" customHeight="false" outlineLevel="0" collapsed="false">
      <c r="A64" s="34"/>
      <c r="B64" s="35"/>
      <c r="C64" s="36" t="str">
        <f aca="false">IF(B64="","",DATE(YEAR(B64),MONTH(B64),1))</f>
        <v/>
      </c>
      <c r="D64" s="37"/>
      <c r="E64" s="34"/>
      <c r="F64" s="34"/>
    </row>
    <row r="65" customFormat="false" ht="15" hidden="false" customHeight="false" outlineLevel="0" collapsed="false">
      <c r="A65" s="34"/>
      <c r="B65" s="35"/>
      <c r="C65" s="36" t="str">
        <f aca="false">IF(B65="","",DATE(YEAR(B65),MONTH(B65),1))</f>
        <v/>
      </c>
      <c r="D65" s="37"/>
      <c r="E65" s="34"/>
      <c r="F65" s="34"/>
    </row>
    <row r="66" customFormat="false" ht="15" hidden="false" customHeight="false" outlineLevel="0" collapsed="false">
      <c r="A66" s="34"/>
      <c r="B66" s="35"/>
      <c r="C66" s="36" t="str">
        <f aca="false">IF(B66="","",DATE(YEAR(B66),MONTH(B66),1))</f>
        <v/>
      </c>
      <c r="D66" s="37"/>
      <c r="E66" s="34"/>
      <c r="F66" s="34"/>
    </row>
    <row r="67" customFormat="false" ht="15" hidden="false" customHeight="false" outlineLevel="0" collapsed="false">
      <c r="A67" s="34"/>
      <c r="B67" s="35"/>
      <c r="C67" s="36" t="str">
        <f aca="false">IF(B67="","",DATE(YEAR(B67),MONTH(B67),1))</f>
        <v/>
      </c>
      <c r="D67" s="37"/>
      <c r="E67" s="34"/>
      <c r="F67" s="34"/>
    </row>
    <row r="68" customFormat="false" ht="15" hidden="false" customHeight="false" outlineLevel="0" collapsed="false">
      <c r="A68" s="34"/>
      <c r="B68" s="35"/>
      <c r="C68" s="36" t="str">
        <f aca="false">IF(B68="","",DATE(YEAR(B68),MONTH(B68),1))</f>
        <v/>
      </c>
      <c r="D68" s="37"/>
      <c r="E68" s="34"/>
      <c r="F68" s="34"/>
    </row>
    <row r="69" customFormat="false" ht="15" hidden="false" customHeight="false" outlineLevel="0" collapsed="false">
      <c r="A69" s="34"/>
      <c r="B69" s="35"/>
      <c r="C69" s="36" t="str">
        <f aca="false">IF(B69="","",DATE(YEAR(B69),MONTH(B69),1))</f>
        <v/>
      </c>
      <c r="D69" s="37"/>
      <c r="E69" s="34"/>
      <c r="F69" s="34"/>
    </row>
    <row r="70" customFormat="false" ht="15" hidden="false" customHeight="false" outlineLevel="0" collapsed="false">
      <c r="A70" s="34"/>
      <c r="B70" s="35"/>
      <c r="C70" s="36" t="str">
        <f aca="false">IF(B70="","",DATE(YEAR(B70),MONTH(B70),1))</f>
        <v/>
      </c>
      <c r="D70" s="37"/>
      <c r="E70" s="34"/>
      <c r="F70" s="34"/>
    </row>
    <row r="71" customFormat="false" ht="15" hidden="false" customHeight="false" outlineLevel="0" collapsed="false">
      <c r="A71" s="34"/>
      <c r="B71" s="35"/>
      <c r="C71" s="36" t="str">
        <f aca="false">IF(B71="","",DATE(YEAR(B71),MONTH(B71),1))</f>
        <v/>
      </c>
      <c r="D71" s="37"/>
      <c r="E71" s="34"/>
      <c r="F71" s="34"/>
    </row>
    <row r="72" customFormat="false" ht="15" hidden="false" customHeight="false" outlineLevel="0" collapsed="false">
      <c r="A72" s="34"/>
      <c r="B72" s="35"/>
      <c r="C72" s="36" t="str">
        <f aca="false">IF(B72="","",DATE(YEAR(B72),MONTH(B72),1))</f>
        <v/>
      </c>
      <c r="D72" s="37"/>
      <c r="E72" s="34"/>
      <c r="F72" s="34"/>
    </row>
    <row r="73" customFormat="false" ht="15" hidden="false" customHeight="false" outlineLevel="0" collapsed="false">
      <c r="A73" s="34"/>
      <c r="B73" s="35"/>
      <c r="C73" s="36" t="str">
        <f aca="false">IF(B73="","",DATE(YEAR(B73),MONTH(B73),1))</f>
        <v/>
      </c>
      <c r="D73" s="37"/>
      <c r="E73" s="34"/>
      <c r="F73" s="34"/>
    </row>
    <row r="74" customFormat="false" ht="15" hidden="false" customHeight="false" outlineLevel="0" collapsed="false">
      <c r="A74" s="34"/>
      <c r="B74" s="35"/>
      <c r="C74" s="36" t="str">
        <f aca="false">IF(B74="","",DATE(YEAR(B74),MONTH(B74),1))</f>
        <v/>
      </c>
      <c r="D74" s="37"/>
      <c r="E74" s="34"/>
      <c r="F74" s="34"/>
    </row>
    <row r="75" customFormat="false" ht="15" hidden="false" customHeight="false" outlineLevel="0" collapsed="false">
      <c r="A75" s="34"/>
      <c r="B75" s="35"/>
      <c r="C75" s="36" t="str">
        <f aca="false">IF(B75="","",DATE(YEAR(B75),MONTH(B75),1))</f>
        <v/>
      </c>
      <c r="D75" s="37"/>
      <c r="E75" s="34"/>
      <c r="F75" s="34"/>
    </row>
    <row r="76" customFormat="false" ht="15" hidden="false" customHeight="false" outlineLevel="0" collapsed="false">
      <c r="A76" s="34"/>
      <c r="B76" s="35"/>
      <c r="C76" s="36" t="str">
        <f aca="false">IF(B76="","",DATE(YEAR(B76),MONTH(B76),1))</f>
        <v/>
      </c>
      <c r="D76" s="37"/>
      <c r="E76" s="34"/>
      <c r="F76" s="34"/>
    </row>
    <row r="77" customFormat="false" ht="15" hidden="false" customHeight="false" outlineLevel="0" collapsed="false">
      <c r="A77" s="34"/>
      <c r="B77" s="35"/>
      <c r="C77" s="36" t="str">
        <f aca="false">IF(B77="","",DATE(YEAR(B77),MONTH(B77),1))</f>
        <v/>
      </c>
      <c r="D77" s="37"/>
      <c r="E77" s="34"/>
      <c r="F77" s="34"/>
    </row>
    <row r="78" customFormat="false" ht="15" hidden="false" customHeight="false" outlineLevel="0" collapsed="false">
      <c r="A78" s="34"/>
      <c r="B78" s="35"/>
      <c r="C78" s="36" t="str">
        <f aca="false">IF(B78="","",DATE(YEAR(B78),MONTH(B78),1))</f>
        <v/>
      </c>
      <c r="D78" s="37"/>
      <c r="E78" s="34"/>
      <c r="F78" s="34"/>
    </row>
    <row r="79" customFormat="false" ht="15" hidden="false" customHeight="false" outlineLevel="0" collapsed="false">
      <c r="A79" s="34"/>
      <c r="B79" s="35"/>
      <c r="C79" s="36" t="str">
        <f aca="false">IF(B79="","",DATE(YEAR(B79),MONTH(B79),1))</f>
        <v/>
      </c>
      <c r="D79" s="37"/>
      <c r="E79" s="34"/>
      <c r="F79" s="34"/>
    </row>
    <row r="80" customFormat="false" ht="15" hidden="false" customHeight="false" outlineLevel="0" collapsed="false">
      <c r="A80" s="34"/>
      <c r="B80" s="35"/>
      <c r="C80" s="36" t="str">
        <f aca="false">IF(B80="","",DATE(YEAR(B80),MONTH(B80),1))</f>
        <v/>
      </c>
      <c r="D80" s="37"/>
      <c r="E80" s="34"/>
      <c r="F80" s="34"/>
    </row>
    <row r="81" customFormat="false" ht="15" hidden="false" customHeight="false" outlineLevel="0" collapsed="false">
      <c r="A81" s="34"/>
      <c r="B81" s="35"/>
      <c r="C81" s="36" t="str">
        <f aca="false">IF(B81="","",DATE(YEAR(B81),MONTH(B81),1))</f>
        <v/>
      </c>
      <c r="D81" s="37"/>
      <c r="E81" s="34"/>
      <c r="F81" s="34"/>
    </row>
    <row r="82" customFormat="false" ht="15" hidden="false" customHeight="false" outlineLevel="0" collapsed="false">
      <c r="A82" s="34"/>
      <c r="B82" s="35"/>
      <c r="C82" s="36" t="str">
        <f aca="false">IF(B82="","",DATE(YEAR(B82),MONTH(B82),1))</f>
        <v/>
      </c>
      <c r="D82" s="37"/>
      <c r="E82" s="34"/>
      <c r="F82" s="34"/>
    </row>
    <row r="83" customFormat="false" ht="15" hidden="false" customHeight="false" outlineLevel="0" collapsed="false">
      <c r="A83" s="34"/>
      <c r="B83" s="35"/>
      <c r="C83" s="36" t="str">
        <f aca="false">IF(B83="","",DATE(YEAR(B83),MONTH(B83),1))</f>
        <v/>
      </c>
      <c r="D83" s="37"/>
      <c r="E83" s="34"/>
      <c r="F83" s="34"/>
    </row>
    <row r="84" customFormat="false" ht="15" hidden="false" customHeight="false" outlineLevel="0" collapsed="false">
      <c r="A84" s="34"/>
      <c r="B84" s="35"/>
      <c r="C84" s="36" t="str">
        <f aca="false">IF(B84="","",DATE(YEAR(B84),MONTH(B84),1))</f>
        <v/>
      </c>
      <c r="D84" s="37"/>
      <c r="E84" s="34"/>
      <c r="F84" s="34"/>
    </row>
    <row r="85" customFormat="false" ht="15" hidden="false" customHeight="false" outlineLevel="0" collapsed="false">
      <c r="A85" s="34"/>
      <c r="B85" s="35"/>
      <c r="C85" s="36" t="str">
        <f aca="false">IF(B85="","",DATE(YEAR(B85),MONTH(B85),1))</f>
        <v/>
      </c>
      <c r="D85" s="37"/>
      <c r="E85" s="34"/>
      <c r="F85" s="34"/>
    </row>
    <row r="86" customFormat="false" ht="15" hidden="false" customHeight="false" outlineLevel="0" collapsed="false">
      <c r="A86" s="34"/>
      <c r="B86" s="35"/>
      <c r="C86" s="36" t="str">
        <f aca="false">IF(B86="","",DATE(YEAR(B86),MONTH(B86),1))</f>
        <v/>
      </c>
      <c r="D86" s="37"/>
      <c r="E86" s="34"/>
      <c r="F86" s="34"/>
    </row>
    <row r="87" customFormat="false" ht="15" hidden="false" customHeight="false" outlineLevel="0" collapsed="false">
      <c r="A87" s="34"/>
      <c r="B87" s="35"/>
      <c r="C87" s="36" t="str">
        <f aca="false">IF(B87="","",DATE(YEAR(B87),MONTH(B87),1))</f>
        <v/>
      </c>
      <c r="D87" s="37"/>
      <c r="E87" s="34"/>
      <c r="F87" s="34"/>
    </row>
    <row r="88" customFormat="false" ht="15" hidden="false" customHeight="false" outlineLevel="0" collapsed="false">
      <c r="A88" s="34"/>
      <c r="B88" s="35"/>
      <c r="C88" s="36" t="str">
        <f aca="false">IF(B88="","",DATE(YEAR(B88),MONTH(B88),1))</f>
        <v/>
      </c>
      <c r="D88" s="37"/>
      <c r="E88" s="34"/>
      <c r="F88" s="34"/>
    </row>
    <row r="89" customFormat="false" ht="15" hidden="false" customHeight="false" outlineLevel="0" collapsed="false">
      <c r="A89" s="34"/>
      <c r="B89" s="35"/>
      <c r="C89" s="36" t="str">
        <f aca="false">IF(B89="","",DATE(YEAR(B89),MONTH(B89),1))</f>
        <v/>
      </c>
      <c r="D89" s="37"/>
      <c r="E89" s="34"/>
      <c r="F89" s="34"/>
    </row>
    <row r="90" customFormat="false" ht="15" hidden="false" customHeight="false" outlineLevel="0" collapsed="false">
      <c r="A90" s="34"/>
      <c r="B90" s="35"/>
      <c r="C90" s="36" t="str">
        <f aca="false">IF(B90="","",DATE(YEAR(B90),MONTH(B90),1))</f>
        <v/>
      </c>
      <c r="D90" s="37"/>
      <c r="E90" s="34"/>
      <c r="F90" s="34"/>
    </row>
    <row r="91" customFormat="false" ht="15" hidden="false" customHeight="false" outlineLevel="0" collapsed="false">
      <c r="A91" s="34"/>
      <c r="B91" s="35"/>
      <c r="C91" s="36" t="str">
        <f aca="false">IF(B91="","",DATE(YEAR(B91),MONTH(B91),1))</f>
        <v/>
      </c>
      <c r="D91" s="37"/>
      <c r="E91" s="34"/>
      <c r="F91" s="34"/>
    </row>
    <row r="92" customFormat="false" ht="15" hidden="false" customHeight="false" outlineLevel="0" collapsed="false">
      <c r="A92" s="34"/>
      <c r="B92" s="35"/>
      <c r="C92" s="36" t="str">
        <f aca="false">IF(B92="","",DATE(YEAR(B92),MONTH(B92),1))</f>
        <v/>
      </c>
      <c r="D92" s="37"/>
      <c r="E92" s="34"/>
      <c r="F92" s="34"/>
    </row>
    <row r="93" customFormat="false" ht="15" hidden="false" customHeight="false" outlineLevel="0" collapsed="false">
      <c r="A93" s="34"/>
      <c r="B93" s="35"/>
      <c r="C93" s="36" t="str">
        <f aca="false">IF(B93="","",DATE(YEAR(B93),MONTH(B93),1))</f>
        <v/>
      </c>
      <c r="D93" s="37"/>
      <c r="E93" s="34"/>
      <c r="F93" s="34"/>
    </row>
    <row r="94" customFormat="false" ht="15" hidden="false" customHeight="false" outlineLevel="0" collapsed="false">
      <c r="A94" s="34"/>
      <c r="B94" s="35"/>
      <c r="C94" s="36" t="str">
        <f aca="false">IF(B94="","",DATE(YEAR(B94),MONTH(B94),1))</f>
        <v/>
      </c>
      <c r="D94" s="37"/>
      <c r="E94" s="34"/>
      <c r="F94" s="34"/>
    </row>
    <row r="95" customFormat="false" ht="15" hidden="false" customHeight="false" outlineLevel="0" collapsed="false">
      <c r="A95" s="34"/>
      <c r="B95" s="35"/>
      <c r="C95" s="36" t="str">
        <f aca="false">IF(B95="","",DATE(YEAR(B95),MONTH(B95),1))</f>
        <v/>
      </c>
      <c r="D95" s="37"/>
      <c r="E95" s="34"/>
      <c r="F95" s="34"/>
    </row>
    <row r="96" customFormat="false" ht="15" hidden="false" customHeight="false" outlineLevel="0" collapsed="false">
      <c r="A96" s="34"/>
      <c r="B96" s="35"/>
      <c r="C96" s="36" t="str">
        <f aca="false">IF(B96="","",DATE(YEAR(B96),MONTH(B96),1))</f>
        <v/>
      </c>
      <c r="D96" s="37"/>
      <c r="E96" s="34"/>
      <c r="F96" s="34"/>
    </row>
    <row r="97" customFormat="false" ht="15" hidden="false" customHeight="false" outlineLevel="0" collapsed="false">
      <c r="A97" s="34"/>
      <c r="B97" s="35"/>
      <c r="C97" s="36" t="str">
        <f aca="false">IF(B97="","",DATE(YEAR(B97),MONTH(B97),1))</f>
        <v/>
      </c>
      <c r="D97" s="37"/>
      <c r="E97" s="34"/>
      <c r="F97" s="34"/>
    </row>
    <row r="98" customFormat="false" ht="15" hidden="false" customHeight="false" outlineLevel="0" collapsed="false">
      <c r="A98" s="34"/>
      <c r="B98" s="35"/>
      <c r="C98" s="36" t="str">
        <f aca="false">IF(B98="","",DATE(YEAR(B98),MONTH(B98),1))</f>
        <v/>
      </c>
      <c r="D98" s="37"/>
      <c r="E98" s="34"/>
      <c r="F98" s="34"/>
    </row>
    <row r="99" customFormat="false" ht="15" hidden="false" customHeight="false" outlineLevel="0" collapsed="false">
      <c r="A99" s="34"/>
      <c r="B99" s="35"/>
      <c r="C99" s="36" t="str">
        <f aca="false">IF(B99="","",DATE(YEAR(B99),MONTH(B99),1))</f>
        <v/>
      </c>
      <c r="D99" s="37"/>
      <c r="E99" s="34"/>
      <c r="F99" s="34"/>
    </row>
    <row r="100" customFormat="false" ht="15" hidden="false" customHeight="false" outlineLevel="0" collapsed="false">
      <c r="A100" s="34"/>
      <c r="B100" s="35"/>
      <c r="C100" s="36" t="str">
        <f aca="false">IF(B100="","",DATE(YEAR(B100),MONTH(B100),1))</f>
        <v/>
      </c>
      <c r="D100" s="37"/>
      <c r="E100" s="34"/>
      <c r="F100" s="34"/>
    </row>
    <row r="101" customFormat="false" ht="15" hidden="false" customHeight="false" outlineLevel="0" collapsed="false">
      <c r="A101" s="34"/>
      <c r="B101" s="35"/>
      <c r="C101" s="36" t="str">
        <f aca="false">IF(B101="","",DATE(YEAR(B101),MONTH(B101),1))</f>
        <v/>
      </c>
      <c r="D101" s="37"/>
      <c r="E101" s="34"/>
      <c r="F101" s="34"/>
    </row>
    <row r="102" customFormat="false" ht="15" hidden="false" customHeight="false" outlineLevel="0" collapsed="false">
      <c r="A102" s="34"/>
      <c r="B102" s="35"/>
      <c r="C102" s="36" t="str">
        <f aca="false">IF(B102="","",DATE(YEAR(B102),MONTH(B102),1))</f>
        <v/>
      </c>
      <c r="D102" s="37"/>
      <c r="E102" s="34"/>
      <c r="F102" s="34"/>
    </row>
    <row r="103" customFormat="false" ht="15" hidden="false" customHeight="false" outlineLevel="0" collapsed="false">
      <c r="A103" s="34"/>
      <c r="B103" s="35"/>
      <c r="C103" s="36" t="str">
        <f aca="false">IF(B103="","",DATE(YEAR(B103),MONTH(B103),1))</f>
        <v/>
      </c>
      <c r="D103" s="37"/>
      <c r="E103" s="34"/>
      <c r="F103" s="34"/>
    </row>
    <row r="104" customFormat="false" ht="15" hidden="false" customHeight="false" outlineLevel="0" collapsed="false">
      <c r="A104" s="34"/>
      <c r="B104" s="35"/>
      <c r="C104" s="36" t="str">
        <f aca="false">IF(B104="","",DATE(YEAR(B104),MONTH(B104),1))</f>
        <v/>
      </c>
      <c r="D104" s="37"/>
      <c r="E104" s="34"/>
      <c r="F104" s="34"/>
    </row>
    <row r="105" customFormat="false" ht="15" hidden="false" customHeight="false" outlineLevel="0" collapsed="false">
      <c r="A105" s="34"/>
      <c r="B105" s="35"/>
      <c r="C105" s="36" t="str">
        <f aca="false">IF(B105="","",DATE(YEAR(B105),MONTH(B105),1))</f>
        <v/>
      </c>
      <c r="D105" s="37"/>
      <c r="E105" s="34"/>
      <c r="F105" s="34"/>
    </row>
    <row r="106" customFormat="false" ht="15" hidden="false" customHeight="false" outlineLevel="0" collapsed="false">
      <c r="A106" s="34"/>
      <c r="B106" s="35"/>
      <c r="C106" s="36" t="str">
        <f aca="false">IF(B106="","",DATE(YEAR(B106),MONTH(B106),1))</f>
        <v/>
      </c>
      <c r="D106" s="37"/>
      <c r="E106" s="34"/>
      <c r="F106" s="34"/>
    </row>
    <row r="107" customFormat="false" ht="15" hidden="false" customHeight="false" outlineLevel="0" collapsed="false">
      <c r="A107" s="34"/>
      <c r="B107" s="35"/>
      <c r="C107" s="36" t="str">
        <f aca="false">IF(B107="","",DATE(YEAR(B107),MONTH(B107),1))</f>
        <v/>
      </c>
      <c r="D107" s="37"/>
      <c r="E107" s="34"/>
      <c r="F107" s="34"/>
    </row>
    <row r="108" customFormat="false" ht="15" hidden="false" customHeight="false" outlineLevel="0" collapsed="false">
      <c r="A108" s="34"/>
      <c r="B108" s="35"/>
      <c r="C108" s="36" t="str">
        <f aca="false">IF(B108="","",DATE(YEAR(B108),MONTH(B108),1))</f>
        <v/>
      </c>
      <c r="D108" s="37"/>
      <c r="E108" s="34"/>
      <c r="F108" s="34"/>
    </row>
    <row r="109" customFormat="false" ht="15" hidden="false" customHeight="false" outlineLevel="0" collapsed="false">
      <c r="A109" s="34"/>
      <c r="B109" s="35"/>
      <c r="C109" s="36" t="str">
        <f aca="false">IF(B109="","",DATE(YEAR(B109),MONTH(B109),1))</f>
        <v/>
      </c>
      <c r="D109" s="37"/>
      <c r="E109" s="34"/>
      <c r="F109" s="34"/>
    </row>
    <row r="110" customFormat="false" ht="15" hidden="false" customHeight="false" outlineLevel="0" collapsed="false">
      <c r="A110" s="34"/>
      <c r="B110" s="35"/>
      <c r="C110" s="36" t="str">
        <f aca="false">IF(B110="","",DATE(YEAR(B110),MONTH(B110),1))</f>
        <v/>
      </c>
      <c r="D110" s="37"/>
      <c r="E110" s="34"/>
      <c r="F110" s="34"/>
    </row>
    <row r="111" customFormat="false" ht="15" hidden="false" customHeight="false" outlineLevel="0" collapsed="false">
      <c r="A111" s="34"/>
      <c r="B111" s="35"/>
      <c r="C111" s="36" t="str">
        <f aca="false">IF(B111="","",DATE(YEAR(B111),MONTH(B111),1))</f>
        <v/>
      </c>
      <c r="D111" s="37"/>
      <c r="E111" s="34"/>
      <c r="F111" s="34"/>
    </row>
    <row r="112" customFormat="false" ht="15" hidden="false" customHeight="false" outlineLevel="0" collapsed="false">
      <c r="A112" s="34"/>
      <c r="B112" s="35"/>
      <c r="C112" s="36" t="str">
        <f aca="false">IF(B112="","",DATE(YEAR(B112),MONTH(B112),1))</f>
        <v/>
      </c>
      <c r="D112" s="37"/>
      <c r="E112" s="34"/>
      <c r="F112" s="34"/>
    </row>
    <row r="113" customFormat="false" ht="15" hidden="false" customHeight="false" outlineLevel="0" collapsed="false">
      <c r="A113" s="34"/>
      <c r="B113" s="35"/>
      <c r="C113" s="36" t="str">
        <f aca="false">IF(B113="","",DATE(YEAR(B113),MONTH(B113),1))</f>
        <v/>
      </c>
      <c r="D113" s="37"/>
      <c r="E113" s="34"/>
      <c r="F113" s="34"/>
    </row>
    <row r="114" customFormat="false" ht="15" hidden="false" customHeight="false" outlineLevel="0" collapsed="false">
      <c r="A114" s="34"/>
      <c r="B114" s="35"/>
      <c r="C114" s="36" t="str">
        <f aca="false">IF(B114="","",DATE(YEAR(B114),MONTH(B114),1))</f>
        <v/>
      </c>
      <c r="D114" s="37"/>
      <c r="E114" s="34"/>
      <c r="F114" s="34"/>
    </row>
    <row r="115" customFormat="false" ht="15" hidden="false" customHeight="false" outlineLevel="0" collapsed="false">
      <c r="A115" s="34"/>
      <c r="B115" s="35"/>
      <c r="C115" s="36" t="str">
        <f aca="false">IF(B115="","",DATE(YEAR(B115),MONTH(B115),1))</f>
        <v/>
      </c>
      <c r="D115" s="37"/>
      <c r="E115" s="34"/>
      <c r="F115" s="34"/>
    </row>
    <row r="116" customFormat="false" ht="15" hidden="false" customHeight="false" outlineLevel="0" collapsed="false">
      <c r="A116" s="34"/>
      <c r="B116" s="35"/>
      <c r="C116" s="36" t="str">
        <f aca="false">IF(B116="","",DATE(YEAR(B116),MONTH(B116),1))</f>
        <v/>
      </c>
      <c r="D116" s="37"/>
      <c r="E116" s="34"/>
      <c r="F116" s="34"/>
    </row>
    <row r="117" customFormat="false" ht="15" hidden="false" customHeight="false" outlineLevel="0" collapsed="false">
      <c r="A117" s="34"/>
      <c r="B117" s="35"/>
      <c r="C117" s="36" t="str">
        <f aca="false">IF(B117="","",DATE(YEAR(B117),MONTH(B117),1))</f>
        <v/>
      </c>
      <c r="D117" s="37"/>
      <c r="E117" s="34"/>
      <c r="F117" s="34"/>
    </row>
    <row r="118" customFormat="false" ht="15" hidden="false" customHeight="false" outlineLevel="0" collapsed="false">
      <c r="A118" s="34"/>
      <c r="B118" s="35"/>
      <c r="C118" s="36" t="str">
        <f aca="false">IF(B118="","",DATE(YEAR(B118),MONTH(B118),1))</f>
        <v/>
      </c>
      <c r="D118" s="37"/>
      <c r="E118" s="34"/>
      <c r="F118" s="34"/>
    </row>
    <row r="119" customFormat="false" ht="15" hidden="false" customHeight="false" outlineLevel="0" collapsed="false">
      <c r="A119" s="34"/>
      <c r="B119" s="35"/>
      <c r="C119" s="36" t="str">
        <f aca="false">IF(B119="","",DATE(YEAR(B119),MONTH(B119),1))</f>
        <v/>
      </c>
      <c r="D119" s="37"/>
      <c r="E119" s="34"/>
      <c r="F119" s="34"/>
    </row>
    <row r="120" customFormat="false" ht="15" hidden="false" customHeight="false" outlineLevel="0" collapsed="false">
      <c r="A120" s="34"/>
      <c r="B120" s="35"/>
      <c r="C120" s="36" t="str">
        <f aca="false">IF(B120="","",DATE(YEAR(B120),MONTH(B120),1))</f>
        <v/>
      </c>
      <c r="D120" s="37"/>
      <c r="E120" s="34"/>
      <c r="F120" s="34"/>
    </row>
    <row r="121" customFormat="false" ht="15" hidden="false" customHeight="false" outlineLevel="0" collapsed="false">
      <c r="A121" s="34"/>
      <c r="B121" s="35"/>
      <c r="C121" s="36" t="str">
        <f aca="false">IF(B121="","",DATE(YEAR(B121),MONTH(B121),1))</f>
        <v/>
      </c>
      <c r="D121" s="37"/>
      <c r="E121" s="34"/>
      <c r="F121" s="34"/>
    </row>
    <row r="122" customFormat="false" ht="15" hidden="false" customHeight="false" outlineLevel="0" collapsed="false">
      <c r="A122" s="34"/>
      <c r="B122" s="35"/>
      <c r="C122" s="36" t="str">
        <f aca="false">IF(B122="","",DATE(YEAR(B122),MONTH(B122),1))</f>
        <v/>
      </c>
      <c r="D122" s="37"/>
      <c r="E122" s="34"/>
      <c r="F122" s="34"/>
    </row>
    <row r="123" customFormat="false" ht="15" hidden="false" customHeight="false" outlineLevel="0" collapsed="false">
      <c r="A123" s="34"/>
      <c r="B123" s="35"/>
      <c r="C123" s="36" t="str">
        <f aca="false">IF(B123="","",DATE(YEAR(B123),MONTH(B123),1))</f>
        <v/>
      </c>
      <c r="D123" s="37"/>
      <c r="E123" s="34"/>
      <c r="F123" s="34"/>
    </row>
    <row r="124" customFormat="false" ht="15" hidden="false" customHeight="false" outlineLevel="0" collapsed="false">
      <c r="A124" s="34"/>
      <c r="B124" s="35"/>
      <c r="C124" s="36" t="str">
        <f aca="false">IF(B124="","",DATE(YEAR(B124),MONTH(B124),1))</f>
        <v/>
      </c>
      <c r="D124" s="37"/>
      <c r="E124" s="34"/>
      <c r="F124" s="34"/>
    </row>
    <row r="125" customFormat="false" ht="15" hidden="false" customHeight="false" outlineLevel="0" collapsed="false">
      <c r="A125" s="34"/>
      <c r="B125" s="35"/>
      <c r="C125" s="36" t="str">
        <f aca="false">IF(B125="","",DATE(YEAR(B125),MONTH(B125),1))</f>
        <v/>
      </c>
      <c r="D125" s="37"/>
      <c r="E125" s="34"/>
      <c r="F125" s="34"/>
    </row>
    <row r="126" customFormat="false" ht="15" hidden="false" customHeight="false" outlineLevel="0" collapsed="false">
      <c r="A126" s="34"/>
      <c r="B126" s="35"/>
      <c r="C126" s="36" t="str">
        <f aca="false">IF(B126="","",DATE(YEAR(B126),MONTH(B126),1))</f>
        <v/>
      </c>
      <c r="D126" s="37"/>
      <c r="E126" s="34"/>
      <c r="F126" s="34"/>
    </row>
    <row r="127" customFormat="false" ht="15" hidden="false" customHeight="false" outlineLevel="0" collapsed="false">
      <c r="A127" s="34"/>
      <c r="B127" s="35"/>
      <c r="C127" s="36" t="str">
        <f aca="false">IF(B127="","",DATE(YEAR(B127),MONTH(B127),1))</f>
        <v/>
      </c>
      <c r="D127" s="37"/>
      <c r="E127" s="34"/>
      <c r="F127" s="34"/>
    </row>
    <row r="128" customFormat="false" ht="15" hidden="false" customHeight="false" outlineLevel="0" collapsed="false">
      <c r="A128" s="34"/>
      <c r="B128" s="35"/>
      <c r="C128" s="36" t="str">
        <f aca="false">IF(B128="","",DATE(YEAR(B128),MONTH(B128),1))</f>
        <v/>
      </c>
      <c r="D128" s="37"/>
      <c r="E128" s="34"/>
      <c r="F128" s="34"/>
    </row>
    <row r="129" customFormat="false" ht="15" hidden="false" customHeight="false" outlineLevel="0" collapsed="false">
      <c r="A129" s="34"/>
      <c r="B129" s="35"/>
      <c r="C129" s="36" t="str">
        <f aca="false">IF(B129="","",DATE(YEAR(B129),MONTH(B129),1))</f>
        <v/>
      </c>
      <c r="D129" s="37"/>
      <c r="E129" s="34"/>
      <c r="F129" s="34"/>
    </row>
    <row r="130" customFormat="false" ht="15" hidden="false" customHeight="false" outlineLevel="0" collapsed="false">
      <c r="A130" s="34"/>
      <c r="B130" s="35"/>
      <c r="C130" s="36" t="str">
        <f aca="false">IF(B130="","",DATE(YEAR(B130),MONTH(B130),1))</f>
        <v/>
      </c>
      <c r="D130" s="37"/>
      <c r="E130" s="34"/>
      <c r="F130" s="34"/>
    </row>
    <row r="131" customFormat="false" ht="15" hidden="false" customHeight="false" outlineLevel="0" collapsed="false">
      <c r="A131" s="34"/>
      <c r="B131" s="35"/>
      <c r="C131" s="36" t="str">
        <f aca="false">IF(B131="","",DATE(YEAR(B131),MONTH(B131),1))</f>
        <v/>
      </c>
      <c r="D131" s="37"/>
      <c r="E131" s="34"/>
      <c r="F131" s="34"/>
    </row>
    <row r="132" customFormat="false" ht="15" hidden="false" customHeight="false" outlineLevel="0" collapsed="false">
      <c r="A132" s="34"/>
      <c r="B132" s="35"/>
      <c r="C132" s="36" t="str">
        <f aca="false">IF(B132="","",DATE(YEAR(B132),MONTH(B132),1))</f>
        <v/>
      </c>
      <c r="D132" s="37"/>
      <c r="E132" s="34"/>
      <c r="F132" s="34"/>
    </row>
    <row r="133" customFormat="false" ht="15" hidden="false" customHeight="false" outlineLevel="0" collapsed="false">
      <c r="A133" s="34"/>
      <c r="B133" s="35"/>
      <c r="C133" s="36" t="str">
        <f aca="false">IF(B133="","",DATE(YEAR(B133),MONTH(B133),1))</f>
        <v/>
      </c>
      <c r="D133" s="37"/>
      <c r="E133" s="34"/>
      <c r="F133" s="34"/>
    </row>
    <row r="134" customFormat="false" ht="15" hidden="false" customHeight="false" outlineLevel="0" collapsed="false">
      <c r="A134" s="34"/>
      <c r="B134" s="35"/>
      <c r="C134" s="36" t="str">
        <f aca="false">IF(B134="","",DATE(YEAR(B134),MONTH(B134),1))</f>
        <v/>
      </c>
      <c r="D134" s="37"/>
      <c r="E134" s="34"/>
      <c r="F134" s="34"/>
    </row>
    <row r="135" customFormat="false" ht="15" hidden="false" customHeight="false" outlineLevel="0" collapsed="false">
      <c r="A135" s="34"/>
      <c r="B135" s="35"/>
      <c r="C135" s="36" t="str">
        <f aca="false">IF(B135="","",DATE(YEAR(B135),MONTH(B135),1))</f>
        <v/>
      </c>
      <c r="D135" s="37"/>
      <c r="E135" s="34"/>
      <c r="F135" s="34"/>
    </row>
    <row r="136" customFormat="false" ht="15" hidden="false" customHeight="false" outlineLevel="0" collapsed="false">
      <c r="A136" s="34"/>
      <c r="B136" s="35"/>
      <c r="C136" s="36" t="str">
        <f aca="false">IF(B136="","",DATE(YEAR(B136),MONTH(B136),1))</f>
        <v/>
      </c>
      <c r="D136" s="37"/>
      <c r="E136" s="34"/>
      <c r="F136" s="34"/>
    </row>
    <row r="137" customFormat="false" ht="15" hidden="false" customHeight="false" outlineLevel="0" collapsed="false">
      <c r="A137" s="34"/>
      <c r="B137" s="35"/>
      <c r="C137" s="36" t="str">
        <f aca="false">IF(B137="","",DATE(YEAR(B137),MONTH(B137),1))</f>
        <v/>
      </c>
      <c r="D137" s="37"/>
      <c r="E137" s="34"/>
      <c r="F137" s="34"/>
    </row>
    <row r="138" customFormat="false" ht="15" hidden="false" customHeight="false" outlineLevel="0" collapsed="false">
      <c r="A138" s="34"/>
      <c r="B138" s="35"/>
      <c r="C138" s="36" t="str">
        <f aca="false">IF(B138="","",DATE(YEAR(B138),MONTH(B138),1))</f>
        <v/>
      </c>
      <c r="D138" s="37"/>
      <c r="E138" s="34"/>
      <c r="F138" s="34"/>
    </row>
    <row r="139" customFormat="false" ht="15" hidden="false" customHeight="false" outlineLevel="0" collapsed="false">
      <c r="A139" s="34"/>
      <c r="B139" s="35"/>
      <c r="C139" s="36" t="str">
        <f aca="false">IF(B139="","",DATE(YEAR(B139),MONTH(B139),1))</f>
        <v/>
      </c>
      <c r="D139" s="37"/>
      <c r="E139" s="34"/>
      <c r="F139" s="34"/>
    </row>
    <row r="140" customFormat="false" ht="15" hidden="false" customHeight="false" outlineLevel="0" collapsed="false">
      <c r="A140" s="34"/>
      <c r="B140" s="35"/>
      <c r="C140" s="36" t="str">
        <f aca="false">IF(B140="","",DATE(YEAR(B140),MONTH(B140),1))</f>
        <v/>
      </c>
      <c r="D140" s="37"/>
      <c r="E140" s="34"/>
      <c r="F140" s="34"/>
    </row>
    <row r="141" customFormat="false" ht="15" hidden="false" customHeight="false" outlineLevel="0" collapsed="false">
      <c r="A141" s="34"/>
      <c r="B141" s="35"/>
      <c r="C141" s="36" t="str">
        <f aca="false">IF(B141="","",DATE(YEAR(B141),MONTH(B141),1))</f>
        <v/>
      </c>
      <c r="D141" s="37"/>
      <c r="E141" s="34"/>
      <c r="F141" s="34"/>
    </row>
    <row r="142" customFormat="false" ht="15" hidden="false" customHeight="false" outlineLevel="0" collapsed="false">
      <c r="A142" s="34"/>
      <c r="B142" s="35"/>
      <c r="C142" s="36" t="str">
        <f aca="false">IF(B142="","",DATE(YEAR(B142),MONTH(B142),1))</f>
        <v/>
      </c>
      <c r="D142" s="37"/>
      <c r="E142" s="34"/>
      <c r="F142" s="34"/>
    </row>
    <row r="143" customFormat="false" ht="15" hidden="false" customHeight="false" outlineLevel="0" collapsed="false">
      <c r="A143" s="34"/>
      <c r="B143" s="35"/>
      <c r="C143" s="36" t="str">
        <f aca="false">IF(B143="","",DATE(YEAR(B143),MONTH(B143),1))</f>
        <v/>
      </c>
      <c r="D143" s="37"/>
      <c r="E143" s="34"/>
      <c r="F143" s="34"/>
    </row>
    <row r="144" customFormat="false" ht="15" hidden="false" customHeight="false" outlineLevel="0" collapsed="false">
      <c r="A144" s="34"/>
      <c r="B144" s="35"/>
      <c r="C144" s="36" t="str">
        <f aca="false">IF(B144="","",DATE(YEAR(B144),MONTH(B144),1))</f>
        <v/>
      </c>
      <c r="D144" s="37"/>
      <c r="E144" s="34"/>
      <c r="F144" s="34"/>
    </row>
    <row r="145" customFormat="false" ht="15" hidden="false" customHeight="false" outlineLevel="0" collapsed="false">
      <c r="A145" s="34"/>
      <c r="B145" s="35"/>
      <c r="C145" s="36" t="str">
        <f aca="false">IF(B145="","",DATE(YEAR(B145),MONTH(B145),1))</f>
        <v/>
      </c>
      <c r="D145" s="37"/>
      <c r="E145" s="34"/>
      <c r="F145" s="34"/>
    </row>
    <row r="146" customFormat="false" ht="15" hidden="false" customHeight="false" outlineLevel="0" collapsed="false">
      <c r="A146" s="34"/>
      <c r="B146" s="35"/>
      <c r="C146" s="36" t="str">
        <f aca="false">IF(B146="","",DATE(YEAR(B146),MONTH(B146),1))</f>
        <v/>
      </c>
      <c r="D146" s="37"/>
      <c r="E146" s="34"/>
      <c r="F146" s="34"/>
    </row>
    <row r="147" customFormat="false" ht="15" hidden="false" customHeight="false" outlineLevel="0" collapsed="false">
      <c r="A147" s="34"/>
      <c r="B147" s="35"/>
      <c r="C147" s="36" t="str">
        <f aca="false">IF(B147="","",DATE(YEAR(B147),MONTH(B147),1))</f>
        <v/>
      </c>
      <c r="D147" s="37"/>
      <c r="E147" s="34"/>
      <c r="F147" s="34"/>
    </row>
    <row r="148" customFormat="false" ht="15" hidden="false" customHeight="false" outlineLevel="0" collapsed="false">
      <c r="A148" s="34"/>
      <c r="B148" s="35"/>
      <c r="C148" s="36" t="str">
        <f aca="false">IF(B148="","",DATE(YEAR(B148),MONTH(B148),1))</f>
        <v/>
      </c>
      <c r="D148" s="37"/>
      <c r="E148" s="34"/>
      <c r="F148" s="34"/>
    </row>
    <row r="149" customFormat="false" ht="15" hidden="false" customHeight="false" outlineLevel="0" collapsed="false">
      <c r="A149" s="34"/>
      <c r="B149" s="35"/>
      <c r="C149" s="36" t="str">
        <f aca="false">IF(B149="","",DATE(YEAR(B149),MONTH(B149),1))</f>
        <v/>
      </c>
      <c r="D149" s="37"/>
      <c r="E149" s="34"/>
      <c r="F149" s="34"/>
    </row>
    <row r="150" customFormat="false" ht="15" hidden="false" customHeight="false" outlineLevel="0" collapsed="false">
      <c r="A150" s="34"/>
      <c r="B150" s="35"/>
      <c r="C150" s="36" t="str">
        <f aca="false">IF(B150="","",DATE(YEAR(B150),MONTH(B150),1))</f>
        <v/>
      </c>
      <c r="D150" s="37"/>
      <c r="E150" s="34"/>
      <c r="F150" s="34"/>
    </row>
    <row r="151" customFormat="false" ht="15" hidden="false" customHeight="false" outlineLevel="0" collapsed="false">
      <c r="A151" s="34"/>
      <c r="B151" s="35"/>
      <c r="C151" s="36" t="str">
        <f aca="false">IF(B151="","",DATE(YEAR(B151),MONTH(B151),1))</f>
        <v/>
      </c>
      <c r="D151" s="37"/>
      <c r="E151" s="34"/>
      <c r="F151" s="34"/>
    </row>
    <row r="152" customFormat="false" ht="15" hidden="false" customHeight="false" outlineLevel="0" collapsed="false">
      <c r="A152" s="34"/>
      <c r="B152" s="35"/>
      <c r="C152" s="36" t="str">
        <f aca="false">IF(B152="","",DATE(YEAR(B152),MONTH(B152),1))</f>
        <v/>
      </c>
      <c r="D152" s="37"/>
      <c r="E152" s="34"/>
      <c r="F152" s="34"/>
    </row>
    <row r="153" customFormat="false" ht="15" hidden="false" customHeight="false" outlineLevel="0" collapsed="false">
      <c r="A153" s="34"/>
      <c r="B153" s="35"/>
      <c r="C153" s="36" t="str">
        <f aca="false">IF(B153="","",DATE(YEAR(B153),MONTH(B153),1))</f>
        <v/>
      </c>
      <c r="D153" s="37"/>
      <c r="E153" s="34"/>
      <c r="F153" s="34"/>
    </row>
    <row r="154" customFormat="false" ht="15" hidden="false" customHeight="false" outlineLevel="0" collapsed="false">
      <c r="A154" s="34"/>
      <c r="B154" s="35"/>
      <c r="C154" s="36" t="str">
        <f aca="false">IF(B154="","",DATE(YEAR(B154),MONTH(B154),1))</f>
        <v/>
      </c>
      <c r="D154" s="37"/>
      <c r="E154" s="34"/>
      <c r="F154" s="34"/>
    </row>
    <row r="155" customFormat="false" ht="15" hidden="false" customHeight="false" outlineLevel="0" collapsed="false">
      <c r="A155" s="34"/>
      <c r="B155" s="35"/>
      <c r="C155" s="36" t="str">
        <f aca="false">IF(B155="","",DATE(YEAR(B155),MONTH(B155),1))</f>
        <v/>
      </c>
      <c r="D155" s="37"/>
      <c r="E155" s="34"/>
      <c r="F155" s="34"/>
    </row>
    <row r="156" customFormat="false" ht="15" hidden="false" customHeight="false" outlineLevel="0" collapsed="false">
      <c r="A156" s="34"/>
      <c r="B156" s="35"/>
      <c r="C156" s="36" t="str">
        <f aca="false">IF(B156="","",DATE(YEAR(B156),MONTH(B156),1))</f>
        <v/>
      </c>
      <c r="D156" s="37"/>
      <c r="E156" s="34"/>
      <c r="F156" s="34"/>
    </row>
    <row r="157" customFormat="false" ht="15" hidden="false" customHeight="false" outlineLevel="0" collapsed="false">
      <c r="A157" s="34"/>
      <c r="B157" s="35"/>
      <c r="C157" s="36" t="str">
        <f aca="false">IF(B157="","",DATE(YEAR(B157),MONTH(B157),1))</f>
        <v/>
      </c>
      <c r="D157" s="37"/>
      <c r="E157" s="34"/>
      <c r="F157" s="34"/>
    </row>
    <row r="158" customFormat="false" ht="15" hidden="false" customHeight="false" outlineLevel="0" collapsed="false">
      <c r="A158" s="34"/>
      <c r="B158" s="35"/>
      <c r="C158" s="36" t="str">
        <f aca="false">IF(B158="","",DATE(YEAR(B158),MONTH(B158),1))</f>
        <v/>
      </c>
      <c r="D158" s="37"/>
      <c r="E158" s="34"/>
      <c r="F158" s="34"/>
    </row>
    <row r="159" customFormat="false" ht="15" hidden="false" customHeight="false" outlineLevel="0" collapsed="false">
      <c r="A159" s="34"/>
      <c r="B159" s="35"/>
      <c r="C159" s="36" t="str">
        <f aca="false">IF(B159="","",DATE(YEAR(B159),MONTH(B159),1))</f>
        <v/>
      </c>
      <c r="D159" s="37"/>
      <c r="E159" s="34"/>
      <c r="F159" s="34"/>
    </row>
    <row r="160" customFormat="false" ht="15" hidden="false" customHeight="false" outlineLevel="0" collapsed="false">
      <c r="A160" s="34"/>
      <c r="B160" s="35"/>
      <c r="C160" s="36" t="str">
        <f aca="false">IF(B160="","",DATE(YEAR(B160),MONTH(B160),1))</f>
        <v/>
      </c>
      <c r="D160" s="37"/>
      <c r="E160" s="34"/>
      <c r="F160" s="34"/>
    </row>
    <row r="161" customFormat="false" ht="15" hidden="false" customHeight="false" outlineLevel="0" collapsed="false">
      <c r="A161" s="34"/>
      <c r="B161" s="35"/>
      <c r="C161" s="36" t="str">
        <f aca="false">IF(B161="","",DATE(YEAR(B161),MONTH(B161),1))</f>
        <v/>
      </c>
      <c r="D161" s="37"/>
      <c r="E161" s="34"/>
      <c r="F161" s="34"/>
    </row>
    <row r="162" customFormat="false" ht="15" hidden="false" customHeight="false" outlineLevel="0" collapsed="false">
      <c r="A162" s="34"/>
      <c r="B162" s="35"/>
      <c r="C162" s="36" t="str">
        <f aca="false">IF(B162="","",DATE(YEAR(B162),MONTH(B162),1))</f>
        <v/>
      </c>
      <c r="D162" s="37"/>
      <c r="E162" s="34"/>
      <c r="F162" s="34"/>
    </row>
    <row r="163" customFormat="false" ht="15" hidden="false" customHeight="false" outlineLevel="0" collapsed="false">
      <c r="A163" s="34"/>
      <c r="B163" s="35"/>
      <c r="C163" s="36" t="str">
        <f aca="false">IF(B163="","",DATE(YEAR(B163),MONTH(B163),1))</f>
        <v/>
      </c>
      <c r="D163" s="37"/>
      <c r="E163" s="34"/>
      <c r="F163" s="34"/>
    </row>
    <row r="164" customFormat="false" ht="15" hidden="false" customHeight="false" outlineLevel="0" collapsed="false">
      <c r="A164" s="34"/>
      <c r="B164" s="35"/>
      <c r="C164" s="36" t="str">
        <f aca="false">IF(B164="","",DATE(YEAR(B164),MONTH(B164),1))</f>
        <v/>
      </c>
      <c r="D164" s="37"/>
      <c r="E164" s="34"/>
      <c r="F164" s="34"/>
    </row>
    <row r="165" customFormat="false" ht="15" hidden="false" customHeight="false" outlineLevel="0" collapsed="false">
      <c r="A165" s="34"/>
      <c r="B165" s="35"/>
      <c r="C165" s="36" t="str">
        <f aca="false">IF(B165="","",DATE(YEAR(B165),MONTH(B165),1))</f>
        <v/>
      </c>
      <c r="D165" s="37"/>
      <c r="E165" s="34"/>
      <c r="F165" s="34"/>
    </row>
    <row r="166" customFormat="false" ht="15" hidden="false" customHeight="false" outlineLevel="0" collapsed="false">
      <c r="A166" s="34"/>
      <c r="B166" s="35"/>
      <c r="C166" s="36" t="str">
        <f aca="false">IF(B166="","",DATE(YEAR(B166),MONTH(B166),1))</f>
        <v/>
      </c>
      <c r="D166" s="37"/>
      <c r="E166" s="34"/>
      <c r="F166" s="34"/>
    </row>
    <row r="167" customFormat="false" ht="15" hidden="false" customHeight="false" outlineLevel="0" collapsed="false">
      <c r="A167" s="34"/>
      <c r="B167" s="35"/>
      <c r="C167" s="36" t="str">
        <f aca="false">IF(B167="","",DATE(YEAR(B167),MONTH(B167),1))</f>
        <v/>
      </c>
      <c r="D167" s="37"/>
      <c r="E167" s="34"/>
      <c r="F167" s="34"/>
    </row>
    <row r="168" customFormat="false" ht="15" hidden="false" customHeight="false" outlineLevel="0" collapsed="false">
      <c r="A168" s="34"/>
      <c r="B168" s="35"/>
      <c r="C168" s="36" t="str">
        <f aca="false">IF(B168="","",DATE(YEAR(B168),MONTH(B168),1))</f>
        <v/>
      </c>
      <c r="D168" s="37"/>
      <c r="E168" s="34"/>
      <c r="F168" s="34"/>
    </row>
    <row r="169" customFormat="false" ht="15" hidden="false" customHeight="false" outlineLevel="0" collapsed="false">
      <c r="A169" s="34"/>
      <c r="B169" s="35"/>
      <c r="C169" s="36" t="str">
        <f aca="false">IF(B169="","",DATE(YEAR(B169),MONTH(B169),1))</f>
        <v/>
      </c>
      <c r="D169" s="37"/>
      <c r="E169" s="34"/>
      <c r="F169" s="34"/>
    </row>
    <row r="170" customFormat="false" ht="15" hidden="false" customHeight="false" outlineLevel="0" collapsed="false">
      <c r="A170" s="34"/>
      <c r="B170" s="35"/>
      <c r="C170" s="36" t="str">
        <f aca="false">IF(B170="","",DATE(YEAR(B170),MONTH(B170),1))</f>
        <v/>
      </c>
      <c r="D170" s="37"/>
      <c r="E170" s="34"/>
      <c r="F170" s="34"/>
    </row>
    <row r="171" customFormat="false" ht="15" hidden="false" customHeight="false" outlineLevel="0" collapsed="false">
      <c r="A171" s="34"/>
      <c r="B171" s="35"/>
      <c r="C171" s="36" t="str">
        <f aca="false">IF(B171="","",DATE(YEAR(B171),MONTH(B171),1))</f>
        <v/>
      </c>
      <c r="D171" s="37"/>
      <c r="E171" s="34"/>
      <c r="F171" s="34"/>
    </row>
    <row r="172" customFormat="false" ht="15" hidden="false" customHeight="false" outlineLevel="0" collapsed="false">
      <c r="A172" s="34"/>
      <c r="B172" s="35"/>
      <c r="C172" s="36" t="str">
        <f aca="false">IF(B172="","",DATE(YEAR(B172),MONTH(B172),1))</f>
        <v/>
      </c>
      <c r="D172" s="37"/>
      <c r="E172" s="34"/>
      <c r="F172" s="34"/>
    </row>
    <row r="173" customFormat="false" ht="15" hidden="false" customHeight="false" outlineLevel="0" collapsed="false">
      <c r="A173" s="34"/>
      <c r="B173" s="35"/>
      <c r="C173" s="36" t="str">
        <f aca="false">IF(B173="","",DATE(YEAR(B173),MONTH(B173),1))</f>
        <v/>
      </c>
      <c r="D173" s="37"/>
      <c r="E173" s="34"/>
      <c r="F173" s="34"/>
    </row>
    <row r="174" customFormat="false" ht="15" hidden="false" customHeight="false" outlineLevel="0" collapsed="false">
      <c r="A174" s="34"/>
      <c r="B174" s="35"/>
      <c r="C174" s="36" t="str">
        <f aca="false">IF(B174="","",DATE(YEAR(B174),MONTH(B174),1))</f>
        <v/>
      </c>
      <c r="D174" s="37"/>
      <c r="E174" s="34"/>
      <c r="F174" s="34"/>
    </row>
    <row r="175" customFormat="false" ht="15" hidden="false" customHeight="false" outlineLevel="0" collapsed="false">
      <c r="A175" s="34"/>
      <c r="B175" s="35"/>
      <c r="C175" s="36" t="str">
        <f aca="false">IF(B175="","",DATE(YEAR(B175),MONTH(B175),1))</f>
        <v/>
      </c>
      <c r="D175" s="37"/>
      <c r="E175" s="34"/>
      <c r="F175" s="34"/>
    </row>
    <row r="176" customFormat="false" ht="15" hidden="false" customHeight="false" outlineLevel="0" collapsed="false">
      <c r="A176" s="34"/>
      <c r="B176" s="35"/>
      <c r="C176" s="36" t="str">
        <f aca="false">IF(B176="","",DATE(YEAR(B176),MONTH(B176),1))</f>
        <v/>
      </c>
      <c r="D176" s="37"/>
      <c r="E176" s="34"/>
      <c r="F176" s="34"/>
    </row>
    <row r="177" customFormat="false" ht="15" hidden="false" customHeight="false" outlineLevel="0" collapsed="false">
      <c r="A177" s="34"/>
      <c r="B177" s="35"/>
      <c r="C177" s="36" t="str">
        <f aca="false">IF(B177="","",DATE(YEAR(B177),MONTH(B177),1))</f>
        <v/>
      </c>
      <c r="D177" s="37"/>
      <c r="E177" s="34"/>
      <c r="F177" s="34"/>
    </row>
    <row r="178" customFormat="false" ht="15" hidden="false" customHeight="false" outlineLevel="0" collapsed="false">
      <c r="A178" s="34"/>
      <c r="B178" s="35"/>
      <c r="C178" s="36" t="str">
        <f aca="false">IF(B178="","",DATE(YEAR(B178),MONTH(B178),1))</f>
        <v/>
      </c>
      <c r="D178" s="37"/>
      <c r="E178" s="34"/>
      <c r="F178" s="34"/>
    </row>
    <row r="179" customFormat="false" ht="15" hidden="false" customHeight="false" outlineLevel="0" collapsed="false">
      <c r="A179" s="34"/>
      <c r="B179" s="35"/>
      <c r="C179" s="36" t="str">
        <f aca="false">IF(B179="","",DATE(YEAR(B179),MONTH(B179),1))</f>
        <v/>
      </c>
      <c r="D179" s="37"/>
      <c r="E179" s="34"/>
      <c r="F179" s="34"/>
    </row>
    <row r="180" customFormat="false" ht="15" hidden="false" customHeight="false" outlineLevel="0" collapsed="false">
      <c r="A180" s="34"/>
      <c r="B180" s="35"/>
      <c r="C180" s="36" t="str">
        <f aca="false">IF(B180="","",DATE(YEAR(B180),MONTH(B180),1))</f>
        <v/>
      </c>
      <c r="D180" s="37"/>
      <c r="E180" s="34"/>
      <c r="F180" s="34"/>
    </row>
    <row r="181" customFormat="false" ht="15" hidden="false" customHeight="false" outlineLevel="0" collapsed="false">
      <c r="A181" s="34"/>
      <c r="B181" s="35"/>
      <c r="C181" s="36" t="str">
        <f aca="false">IF(B181="","",DATE(YEAR(B181),MONTH(B181),1))</f>
        <v/>
      </c>
      <c r="D181" s="37"/>
      <c r="E181" s="34"/>
      <c r="F181" s="34"/>
    </row>
    <row r="182" customFormat="false" ht="15" hidden="false" customHeight="false" outlineLevel="0" collapsed="false">
      <c r="A182" s="34"/>
      <c r="B182" s="35"/>
      <c r="C182" s="36" t="str">
        <f aca="false">IF(B182="","",DATE(YEAR(B182),MONTH(B182),1))</f>
        <v/>
      </c>
      <c r="D182" s="37"/>
      <c r="E182" s="34"/>
      <c r="F182" s="34"/>
    </row>
    <row r="183" customFormat="false" ht="15" hidden="false" customHeight="false" outlineLevel="0" collapsed="false">
      <c r="A183" s="34"/>
      <c r="B183" s="35"/>
      <c r="C183" s="36" t="str">
        <f aca="false">IF(B183="","",DATE(YEAR(B183),MONTH(B183),1))</f>
        <v/>
      </c>
      <c r="D183" s="37"/>
      <c r="E183" s="34"/>
      <c r="F183" s="34"/>
    </row>
    <row r="184" customFormat="false" ht="15" hidden="false" customHeight="false" outlineLevel="0" collapsed="false">
      <c r="A184" s="34"/>
      <c r="B184" s="35"/>
      <c r="C184" s="36" t="str">
        <f aca="false">IF(B184="","",DATE(YEAR(B184),MONTH(B184),1))</f>
        <v/>
      </c>
      <c r="D184" s="37"/>
      <c r="E184" s="34"/>
      <c r="F184" s="34"/>
    </row>
    <row r="185" customFormat="false" ht="15" hidden="false" customHeight="false" outlineLevel="0" collapsed="false">
      <c r="A185" s="34"/>
      <c r="B185" s="35"/>
      <c r="C185" s="36" t="str">
        <f aca="false">IF(B185="","",DATE(YEAR(B185),MONTH(B185),1))</f>
        <v/>
      </c>
      <c r="D185" s="37"/>
      <c r="E185" s="34"/>
      <c r="F185" s="34"/>
    </row>
    <row r="186" customFormat="false" ht="15" hidden="false" customHeight="false" outlineLevel="0" collapsed="false">
      <c r="A186" s="34"/>
      <c r="B186" s="35"/>
      <c r="C186" s="36" t="str">
        <f aca="false">IF(B186="","",DATE(YEAR(B186),MONTH(B186),1))</f>
        <v/>
      </c>
      <c r="D186" s="37"/>
      <c r="E186" s="34"/>
      <c r="F186" s="34"/>
    </row>
    <row r="187" customFormat="false" ht="15" hidden="false" customHeight="false" outlineLevel="0" collapsed="false">
      <c r="A187" s="34"/>
      <c r="B187" s="35"/>
      <c r="C187" s="36" t="str">
        <f aca="false">IF(B187="","",DATE(YEAR(B187),MONTH(B187),1))</f>
        <v/>
      </c>
      <c r="D187" s="37"/>
      <c r="E187" s="34"/>
      <c r="F187" s="34"/>
    </row>
    <row r="188" customFormat="false" ht="15" hidden="false" customHeight="false" outlineLevel="0" collapsed="false">
      <c r="A188" s="34"/>
      <c r="B188" s="35"/>
      <c r="C188" s="36" t="str">
        <f aca="false">IF(B188="","",DATE(YEAR(B188),MONTH(B188),1))</f>
        <v/>
      </c>
      <c r="D188" s="37"/>
      <c r="E188" s="34"/>
      <c r="F188" s="34"/>
    </row>
    <row r="189" customFormat="false" ht="15" hidden="false" customHeight="false" outlineLevel="0" collapsed="false">
      <c r="A189" s="34"/>
      <c r="B189" s="35"/>
      <c r="C189" s="36" t="str">
        <f aca="false">IF(B189="","",DATE(YEAR(B189),MONTH(B189),1))</f>
        <v/>
      </c>
      <c r="D189" s="37"/>
      <c r="E189" s="34"/>
      <c r="F189" s="34"/>
    </row>
    <row r="190" customFormat="false" ht="15" hidden="false" customHeight="false" outlineLevel="0" collapsed="false">
      <c r="A190" s="34"/>
      <c r="B190" s="35"/>
      <c r="C190" s="36" t="str">
        <f aca="false">IF(B190="","",DATE(YEAR(B190),MONTH(B190),1))</f>
        <v/>
      </c>
      <c r="D190" s="37"/>
      <c r="E190" s="34"/>
      <c r="F190" s="34"/>
    </row>
    <row r="191" customFormat="false" ht="15" hidden="false" customHeight="false" outlineLevel="0" collapsed="false">
      <c r="A191" s="34"/>
      <c r="B191" s="35"/>
      <c r="C191" s="36" t="str">
        <f aca="false">IF(B191="","",DATE(YEAR(B191),MONTH(B191),1))</f>
        <v/>
      </c>
      <c r="D191" s="37"/>
      <c r="E191" s="34"/>
      <c r="F191" s="34"/>
    </row>
    <row r="192" customFormat="false" ht="15" hidden="false" customHeight="false" outlineLevel="0" collapsed="false">
      <c r="A192" s="34"/>
      <c r="B192" s="35"/>
      <c r="C192" s="36" t="str">
        <f aca="false">IF(B192="","",DATE(YEAR(B192),MONTH(B192),1))</f>
        <v/>
      </c>
      <c r="D192" s="37"/>
      <c r="E192" s="34"/>
      <c r="F192" s="34"/>
    </row>
    <row r="193" customFormat="false" ht="15" hidden="false" customHeight="false" outlineLevel="0" collapsed="false">
      <c r="A193" s="34"/>
      <c r="B193" s="35"/>
      <c r="C193" s="36" t="str">
        <f aca="false">IF(B193="","",DATE(YEAR(B193),MONTH(B193),1))</f>
        <v/>
      </c>
      <c r="D193" s="37"/>
      <c r="E193" s="34"/>
      <c r="F193" s="34"/>
    </row>
    <row r="194" customFormat="false" ht="15" hidden="false" customHeight="false" outlineLevel="0" collapsed="false">
      <c r="A194" s="34"/>
      <c r="B194" s="35"/>
      <c r="C194" s="36" t="str">
        <f aca="false">IF(B194="","",DATE(YEAR(B194),MONTH(B194),1))</f>
        <v/>
      </c>
      <c r="D194" s="37"/>
      <c r="E194" s="34"/>
      <c r="F194" s="34"/>
    </row>
    <row r="195" customFormat="false" ht="15" hidden="false" customHeight="false" outlineLevel="0" collapsed="false">
      <c r="A195" s="34"/>
      <c r="B195" s="35"/>
      <c r="C195" s="36" t="str">
        <f aca="false">IF(B195="","",DATE(YEAR(B195),MONTH(B195),1))</f>
        <v/>
      </c>
      <c r="D195" s="37"/>
      <c r="E195" s="34"/>
      <c r="F195" s="34"/>
    </row>
    <row r="196" customFormat="false" ht="15" hidden="false" customHeight="false" outlineLevel="0" collapsed="false">
      <c r="A196" s="34"/>
      <c r="B196" s="35"/>
      <c r="C196" s="36" t="str">
        <f aca="false">IF(B196="","",DATE(YEAR(B196),MONTH(B196),1))</f>
        <v/>
      </c>
      <c r="D196" s="37"/>
      <c r="E196" s="34"/>
      <c r="F196" s="34"/>
    </row>
    <row r="197" customFormat="false" ht="15" hidden="false" customHeight="false" outlineLevel="0" collapsed="false">
      <c r="A197" s="34"/>
      <c r="B197" s="35"/>
      <c r="C197" s="36" t="str">
        <f aca="false">IF(B197="","",DATE(YEAR(B197),MONTH(B197),1))</f>
        <v/>
      </c>
      <c r="D197" s="37"/>
      <c r="E197" s="34"/>
      <c r="F197" s="34"/>
    </row>
    <row r="198" customFormat="false" ht="15" hidden="false" customHeight="false" outlineLevel="0" collapsed="false">
      <c r="A198" s="34"/>
      <c r="B198" s="35"/>
      <c r="C198" s="36" t="str">
        <f aca="false">IF(B198="","",DATE(YEAR(B198),MONTH(B198),1))</f>
        <v/>
      </c>
      <c r="D198" s="37"/>
      <c r="E198" s="34"/>
      <c r="F198" s="34"/>
    </row>
    <row r="199" customFormat="false" ht="15" hidden="false" customHeight="false" outlineLevel="0" collapsed="false">
      <c r="A199" s="34"/>
      <c r="B199" s="35"/>
      <c r="C199" s="36" t="str">
        <f aca="false">IF(B199="","",DATE(YEAR(B199),MONTH(B199),1))</f>
        <v/>
      </c>
      <c r="D199" s="37"/>
      <c r="E199" s="34"/>
      <c r="F199" s="34"/>
    </row>
    <row r="200" customFormat="false" ht="15" hidden="false" customHeight="false" outlineLevel="0" collapsed="false">
      <c r="A200" s="34"/>
      <c r="B200" s="35"/>
      <c r="C200" s="36" t="str">
        <f aca="false">IF(B200="","",DATE(YEAR(B200),MONTH(B200),1))</f>
        <v/>
      </c>
      <c r="D200" s="37"/>
      <c r="E200" s="34"/>
      <c r="F200" s="34"/>
    </row>
    <row r="201" customFormat="false" ht="15" hidden="false" customHeight="false" outlineLevel="0" collapsed="false">
      <c r="A201" s="34"/>
      <c r="B201" s="35"/>
      <c r="C201" s="36" t="str">
        <f aca="false">IF(B201="","",DATE(YEAR(B201),MONTH(B201),1))</f>
        <v/>
      </c>
      <c r="D201" s="37"/>
      <c r="E201" s="34"/>
      <c r="F201" s="34"/>
    </row>
    <row r="202" customFormat="false" ht="15" hidden="false" customHeight="false" outlineLevel="0" collapsed="false">
      <c r="A202" s="34"/>
      <c r="B202" s="35"/>
      <c r="C202" s="36" t="str">
        <f aca="false">IF(B202="","",DATE(YEAR(B202),MONTH(B202),1))</f>
        <v/>
      </c>
      <c r="D202" s="37"/>
      <c r="E202" s="34"/>
      <c r="F202" s="34"/>
    </row>
    <row r="203" customFormat="false" ht="15" hidden="false" customHeight="false" outlineLevel="0" collapsed="false">
      <c r="A203" s="34"/>
      <c r="B203" s="35"/>
      <c r="C203" s="36" t="str">
        <f aca="false">IF(B203="","",DATE(YEAR(B203),MONTH(B203),1))</f>
        <v/>
      </c>
      <c r="D203" s="37"/>
      <c r="E203" s="34"/>
      <c r="F203" s="34"/>
    </row>
    <row r="204" customFormat="false" ht="15" hidden="false" customHeight="false" outlineLevel="0" collapsed="false">
      <c r="A204" s="34"/>
      <c r="B204" s="35"/>
      <c r="C204" s="36" t="str">
        <f aca="false">IF(B204="","",DATE(YEAR(B204),MONTH(B204),1))</f>
        <v/>
      </c>
      <c r="D204" s="37"/>
      <c r="E204" s="34"/>
      <c r="F204" s="34"/>
    </row>
    <row r="205" customFormat="false" ht="15" hidden="false" customHeight="false" outlineLevel="0" collapsed="false">
      <c r="A205" s="34"/>
      <c r="B205" s="35"/>
      <c r="C205" s="36" t="str">
        <f aca="false">IF(B205="","",DATE(YEAR(B205),MONTH(B205),1))</f>
        <v/>
      </c>
      <c r="D205" s="37"/>
      <c r="E205" s="34"/>
      <c r="F205" s="34"/>
    </row>
    <row r="206" customFormat="false" ht="15" hidden="false" customHeight="false" outlineLevel="0" collapsed="false">
      <c r="A206" s="34"/>
      <c r="B206" s="35"/>
      <c r="C206" s="36" t="str">
        <f aca="false">IF(B206="","",DATE(YEAR(B206),MONTH(B206),1))</f>
        <v/>
      </c>
      <c r="D206" s="37"/>
      <c r="E206" s="34"/>
      <c r="F206" s="34"/>
    </row>
    <row r="207" customFormat="false" ht="15" hidden="false" customHeight="false" outlineLevel="0" collapsed="false">
      <c r="A207" s="34"/>
      <c r="B207" s="35"/>
      <c r="C207" s="36" t="str">
        <f aca="false">IF(B207="","",DATE(YEAR(B207),MONTH(B207),1))</f>
        <v/>
      </c>
      <c r="D207" s="37"/>
      <c r="E207" s="34"/>
      <c r="F207" s="34"/>
    </row>
    <row r="208" customFormat="false" ht="15" hidden="false" customHeight="false" outlineLevel="0" collapsed="false">
      <c r="A208" s="34"/>
      <c r="B208" s="35"/>
      <c r="C208" s="36" t="str">
        <f aca="false">IF(B208="","",DATE(YEAR(B208),MONTH(B208),1))</f>
        <v/>
      </c>
      <c r="D208" s="37"/>
      <c r="E208" s="34"/>
      <c r="F208" s="34"/>
    </row>
    <row r="209" customFormat="false" ht="15" hidden="false" customHeight="false" outlineLevel="0" collapsed="false">
      <c r="A209" s="34"/>
      <c r="B209" s="35"/>
      <c r="C209" s="36" t="str">
        <f aca="false">IF(B209="","",DATE(YEAR(B209),MONTH(B209),1))</f>
        <v/>
      </c>
      <c r="D209" s="37"/>
      <c r="E209" s="34"/>
      <c r="F209" s="34"/>
    </row>
    <row r="210" customFormat="false" ht="15" hidden="false" customHeight="false" outlineLevel="0" collapsed="false">
      <c r="A210" s="34"/>
      <c r="B210" s="35"/>
      <c r="C210" s="36" t="str">
        <f aca="false">IF(B210="","",DATE(YEAR(B210),MONTH(B210),1))</f>
        <v/>
      </c>
      <c r="D210" s="37"/>
      <c r="E210" s="34"/>
      <c r="F210" s="34"/>
    </row>
    <row r="211" customFormat="false" ht="15" hidden="false" customHeight="false" outlineLevel="0" collapsed="false">
      <c r="A211" s="34"/>
      <c r="B211" s="35"/>
      <c r="C211" s="36" t="str">
        <f aca="false">IF(B211="","",DATE(YEAR(B211),MONTH(B211),1))</f>
        <v/>
      </c>
      <c r="D211" s="37"/>
      <c r="E211" s="34"/>
      <c r="F211" s="34"/>
    </row>
    <row r="212" customFormat="false" ht="15" hidden="false" customHeight="false" outlineLevel="0" collapsed="false">
      <c r="A212" s="34"/>
      <c r="B212" s="35"/>
      <c r="C212" s="36" t="str">
        <f aca="false">IF(B212="","",DATE(YEAR(B212),MONTH(B212),1))</f>
        <v/>
      </c>
      <c r="D212" s="37"/>
      <c r="E212" s="34"/>
      <c r="F212" s="34"/>
    </row>
    <row r="213" customFormat="false" ht="15" hidden="false" customHeight="false" outlineLevel="0" collapsed="false">
      <c r="A213" s="34"/>
      <c r="B213" s="35"/>
      <c r="C213" s="36" t="str">
        <f aca="false">IF(B213="","",DATE(YEAR(B213),MONTH(B213),1))</f>
        <v/>
      </c>
      <c r="D213" s="37"/>
      <c r="E213" s="34"/>
      <c r="F213" s="34"/>
    </row>
    <row r="214" customFormat="false" ht="15" hidden="false" customHeight="false" outlineLevel="0" collapsed="false">
      <c r="A214" s="34"/>
      <c r="B214" s="35"/>
      <c r="C214" s="36" t="str">
        <f aca="false">IF(B214="","",DATE(YEAR(B214),MONTH(B214),1))</f>
        <v/>
      </c>
      <c r="D214" s="37"/>
      <c r="E214" s="34"/>
      <c r="F214" s="34"/>
    </row>
    <row r="215" customFormat="false" ht="15" hidden="false" customHeight="false" outlineLevel="0" collapsed="false">
      <c r="A215" s="34"/>
      <c r="B215" s="35"/>
      <c r="C215" s="36" t="str">
        <f aca="false">IF(B215="","",DATE(YEAR(B215),MONTH(B215),1))</f>
        <v/>
      </c>
      <c r="D215" s="37"/>
      <c r="E215" s="34"/>
      <c r="F215" s="34"/>
    </row>
    <row r="216" customFormat="false" ht="15" hidden="false" customHeight="false" outlineLevel="0" collapsed="false">
      <c r="A216" s="34"/>
      <c r="B216" s="35"/>
      <c r="C216" s="36" t="str">
        <f aca="false">IF(B216="","",DATE(YEAR(B216),MONTH(B216),1))</f>
        <v/>
      </c>
      <c r="D216" s="37"/>
      <c r="E216" s="34"/>
      <c r="F216" s="34"/>
    </row>
    <row r="217" customFormat="false" ht="15" hidden="false" customHeight="false" outlineLevel="0" collapsed="false">
      <c r="A217" s="34"/>
      <c r="B217" s="35"/>
      <c r="C217" s="36" t="str">
        <f aca="false">IF(B217="","",DATE(YEAR(B217),MONTH(B217),1))</f>
        <v/>
      </c>
      <c r="D217" s="37"/>
      <c r="E217" s="34"/>
      <c r="F217" s="34"/>
    </row>
    <row r="218" customFormat="false" ht="15" hidden="false" customHeight="false" outlineLevel="0" collapsed="false">
      <c r="A218" s="34"/>
      <c r="B218" s="35"/>
      <c r="C218" s="36" t="str">
        <f aca="false">IF(B218="","",DATE(YEAR(B218),MONTH(B218),1))</f>
        <v/>
      </c>
      <c r="D218" s="37"/>
      <c r="E218" s="34"/>
      <c r="F218" s="34"/>
    </row>
    <row r="219" customFormat="false" ht="15" hidden="false" customHeight="false" outlineLevel="0" collapsed="false">
      <c r="A219" s="34"/>
      <c r="B219" s="35"/>
      <c r="C219" s="36" t="str">
        <f aca="false">IF(B219="","",DATE(YEAR(B219),MONTH(B219),1))</f>
        <v/>
      </c>
      <c r="D219" s="37"/>
      <c r="E219" s="34"/>
      <c r="F219" s="34"/>
    </row>
    <row r="220" customFormat="false" ht="15" hidden="false" customHeight="false" outlineLevel="0" collapsed="false">
      <c r="A220" s="34"/>
      <c r="B220" s="35"/>
      <c r="C220" s="36" t="str">
        <f aca="false">IF(B220="","",DATE(YEAR(B220),MONTH(B220),1))</f>
        <v/>
      </c>
      <c r="D220" s="37"/>
      <c r="E220" s="34"/>
      <c r="F220" s="34"/>
    </row>
    <row r="221" customFormat="false" ht="15" hidden="false" customHeight="false" outlineLevel="0" collapsed="false">
      <c r="A221" s="34"/>
      <c r="B221" s="35"/>
      <c r="C221" s="36" t="str">
        <f aca="false">IF(B221="","",DATE(YEAR(B221),MONTH(B221),1))</f>
        <v/>
      </c>
      <c r="D221" s="37"/>
      <c r="E221" s="34"/>
      <c r="F221" s="34"/>
    </row>
    <row r="222" customFormat="false" ht="15" hidden="false" customHeight="false" outlineLevel="0" collapsed="false">
      <c r="A222" s="34"/>
      <c r="B222" s="35"/>
      <c r="C222" s="36" t="str">
        <f aca="false">IF(B222="","",DATE(YEAR(B222),MONTH(B222),1))</f>
        <v/>
      </c>
      <c r="D222" s="37"/>
      <c r="E222" s="34"/>
      <c r="F222" s="34"/>
    </row>
    <row r="223" customFormat="false" ht="15" hidden="false" customHeight="false" outlineLevel="0" collapsed="false">
      <c r="A223" s="34"/>
      <c r="B223" s="35"/>
      <c r="C223" s="36" t="str">
        <f aca="false">IF(B223="","",DATE(YEAR(B223),MONTH(B223),1))</f>
        <v/>
      </c>
      <c r="D223" s="37"/>
      <c r="E223" s="34"/>
      <c r="F223" s="34"/>
    </row>
    <row r="224" customFormat="false" ht="15" hidden="false" customHeight="false" outlineLevel="0" collapsed="false">
      <c r="A224" s="34"/>
      <c r="B224" s="35"/>
      <c r="C224" s="36" t="str">
        <f aca="false">IF(B224="","",DATE(YEAR(B224),MONTH(B224),1))</f>
        <v/>
      </c>
      <c r="D224" s="37"/>
      <c r="E224" s="34"/>
      <c r="F224" s="34"/>
    </row>
    <row r="225" customFormat="false" ht="15" hidden="false" customHeight="false" outlineLevel="0" collapsed="false">
      <c r="A225" s="34"/>
      <c r="B225" s="35"/>
      <c r="C225" s="36" t="str">
        <f aca="false">IF(B225="","",DATE(YEAR(B225),MONTH(B225),1))</f>
        <v/>
      </c>
      <c r="D225" s="37"/>
      <c r="E225" s="34"/>
      <c r="F225" s="34"/>
    </row>
    <row r="226" customFormat="false" ht="15" hidden="false" customHeight="false" outlineLevel="0" collapsed="false">
      <c r="A226" s="34"/>
      <c r="B226" s="35"/>
      <c r="C226" s="36" t="str">
        <f aca="false">IF(B226="","",DATE(YEAR(B226),MONTH(B226),1))</f>
        <v/>
      </c>
      <c r="D226" s="37"/>
      <c r="E226" s="34"/>
      <c r="F226" s="34"/>
    </row>
    <row r="227" customFormat="false" ht="15" hidden="false" customHeight="false" outlineLevel="0" collapsed="false">
      <c r="A227" s="34"/>
      <c r="B227" s="35"/>
      <c r="C227" s="36" t="str">
        <f aca="false">IF(B227="","",DATE(YEAR(B227),MONTH(B227),1))</f>
        <v/>
      </c>
      <c r="D227" s="37"/>
      <c r="E227" s="34"/>
      <c r="F227" s="34"/>
    </row>
    <row r="228" customFormat="false" ht="15" hidden="false" customHeight="false" outlineLevel="0" collapsed="false">
      <c r="A228" s="34"/>
      <c r="B228" s="35"/>
      <c r="C228" s="36" t="str">
        <f aca="false">IF(B228="","",DATE(YEAR(B228),MONTH(B228),1))</f>
        <v/>
      </c>
      <c r="D228" s="37"/>
      <c r="E228" s="34"/>
      <c r="F228" s="34"/>
    </row>
    <row r="229" customFormat="false" ht="15" hidden="false" customHeight="false" outlineLevel="0" collapsed="false">
      <c r="A229" s="34"/>
      <c r="B229" s="35"/>
      <c r="C229" s="36" t="str">
        <f aca="false">IF(B229="","",DATE(YEAR(B229),MONTH(B229),1))</f>
        <v/>
      </c>
      <c r="D229" s="37"/>
      <c r="E229" s="34"/>
      <c r="F229" s="34"/>
    </row>
    <row r="230" customFormat="false" ht="15" hidden="false" customHeight="false" outlineLevel="0" collapsed="false">
      <c r="A230" s="34"/>
      <c r="B230" s="35"/>
      <c r="C230" s="36" t="str">
        <f aca="false">IF(B230="","",DATE(YEAR(B230),MONTH(B230),1))</f>
        <v/>
      </c>
      <c r="D230" s="37"/>
      <c r="E230" s="34"/>
      <c r="F230" s="34"/>
    </row>
    <row r="231" customFormat="false" ht="15" hidden="false" customHeight="false" outlineLevel="0" collapsed="false">
      <c r="A231" s="34"/>
      <c r="B231" s="35"/>
      <c r="C231" s="36" t="str">
        <f aca="false">IF(B231="","",DATE(YEAR(B231),MONTH(B231),1))</f>
        <v/>
      </c>
      <c r="D231" s="37"/>
      <c r="E231" s="34"/>
      <c r="F231" s="34"/>
    </row>
    <row r="232" customFormat="false" ht="15" hidden="false" customHeight="false" outlineLevel="0" collapsed="false">
      <c r="A232" s="34"/>
      <c r="B232" s="35"/>
      <c r="C232" s="36" t="str">
        <f aca="false">IF(B232="","",DATE(YEAR(B232),MONTH(B232),1))</f>
        <v/>
      </c>
      <c r="D232" s="37"/>
      <c r="E232" s="34"/>
      <c r="F232" s="34"/>
    </row>
    <row r="233" customFormat="false" ht="15" hidden="false" customHeight="false" outlineLevel="0" collapsed="false">
      <c r="A233" s="34"/>
      <c r="B233" s="35"/>
      <c r="C233" s="36" t="str">
        <f aca="false">IF(B233="","",DATE(YEAR(B233),MONTH(B233),1))</f>
        <v/>
      </c>
      <c r="D233" s="37"/>
      <c r="E233" s="34"/>
      <c r="F233" s="34"/>
    </row>
    <row r="234" customFormat="false" ht="15" hidden="false" customHeight="false" outlineLevel="0" collapsed="false">
      <c r="A234" s="34"/>
      <c r="B234" s="35"/>
      <c r="C234" s="36" t="str">
        <f aca="false">IF(B234="","",DATE(YEAR(B234),MONTH(B234),1))</f>
        <v/>
      </c>
      <c r="D234" s="37"/>
      <c r="E234" s="34"/>
      <c r="F234" s="34"/>
    </row>
    <row r="235" customFormat="false" ht="15" hidden="false" customHeight="false" outlineLevel="0" collapsed="false">
      <c r="A235" s="34"/>
      <c r="B235" s="35"/>
      <c r="C235" s="36" t="str">
        <f aca="false">IF(B235="","",DATE(YEAR(B235),MONTH(B235),1))</f>
        <v/>
      </c>
      <c r="D235" s="37"/>
      <c r="E235" s="34"/>
      <c r="F235" s="34"/>
    </row>
    <row r="236" customFormat="false" ht="15" hidden="false" customHeight="false" outlineLevel="0" collapsed="false">
      <c r="A236" s="34"/>
      <c r="B236" s="35"/>
      <c r="C236" s="36" t="str">
        <f aca="false">IF(B236="","",DATE(YEAR(B236),MONTH(B236),1))</f>
        <v/>
      </c>
      <c r="D236" s="37"/>
      <c r="E236" s="34"/>
      <c r="F236" s="34"/>
    </row>
    <row r="237" customFormat="false" ht="15" hidden="false" customHeight="false" outlineLevel="0" collapsed="false">
      <c r="A237" s="34"/>
      <c r="B237" s="35"/>
      <c r="C237" s="36" t="str">
        <f aca="false">IF(B237="","",DATE(YEAR(B237),MONTH(B237),1))</f>
        <v/>
      </c>
      <c r="D237" s="37"/>
      <c r="E237" s="34"/>
      <c r="F237" s="34"/>
    </row>
    <row r="238" customFormat="false" ht="15" hidden="false" customHeight="false" outlineLevel="0" collapsed="false">
      <c r="A238" s="34"/>
      <c r="B238" s="35"/>
      <c r="C238" s="36" t="str">
        <f aca="false">IF(B238="","",DATE(YEAR(B238),MONTH(B238),1))</f>
        <v/>
      </c>
      <c r="D238" s="37"/>
      <c r="E238" s="34"/>
      <c r="F238" s="34"/>
    </row>
    <row r="239" customFormat="false" ht="15" hidden="false" customHeight="false" outlineLevel="0" collapsed="false">
      <c r="A239" s="34"/>
      <c r="B239" s="35"/>
      <c r="C239" s="36" t="str">
        <f aca="false">IF(B239="","",DATE(YEAR(B239),MONTH(B239),1))</f>
        <v/>
      </c>
      <c r="D239" s="37"/>
      <c r="E239" s="34"/>
      <c r="F239" s="34"/>
    </row>
    <row r="240" customFormat="false" ht="15" hidden="false" customHeight="false" outlineLevel="0" collapsed="false">
      <c r="A240" s="34"/>
      <c r="B240" s="35"/>
      <c r="C240" s="36" t="str">
        <f aca="false">IF(B240="","",DATE(YEAR(B240),MONTH(B240),1))</f>
        <v/>
      </c>
      <c r="D240" s="37"/>
      <c r="E240" s="34"/>
      <c r="F240" s="34"/>
    </row>
    <row r="241" customFormat="false" ht="15" hidden="false" customHeight="false" outlineLevel="0" collapsed="false">
      <c r="A241" s="34"/>
      <c r="B241" s="35"/>
      <c r="C241" s="36" t="str">
        <f aca="false">IF(B241="","",DATE(YEAR(B241),MONTH(B241),1))</f>
        <v/>
      </c>
      <c r="D241" s="37"/>
      <c r="E241" s="34"/>
      <c r="F241" s="34"/>
    </row>
    <row r="242" customFormat="false" ht="15" hidden="false" customHeight="false" outlineLevel="0" collapsed="false">
      <c r="A242" s="34"/>
      <c r="B242" s="35"/>
      <c r="C242" s="36" t="str">
        <f aca="false">IF(B242="","",DATE(YEAR(B242),MONTH(B242),1))</f>
        <v/>
      </c>
      <c r="D242" s="37"/>
      <c r="E242" s="34"/>
      <c r="F242" s="34"/>
    </row>
    <row r="243" customFormat="false" ht="15" hidden="false" customHeight="false" outlineLevel="0" collapsed="false">
      <c r="A243" s="34"/>
      <c r="B243" s="35"/>
      <c r="C243" s="36" t="str">
        <f aca="false">IF(B243="","",DATE(YEAR(B243),MONTH(B243),1))</f>
        <v/>
      </c>
      <c r="D243" s="37"/>
      <c r="E243" s="34"/>
      <c r="F243" s="34"/>
    </row>
    <row r="244" customFormat="false" ht="15" hidden="false" customHeight="false" outlineLevel="0" collapsed="false">
      <c r="A244" s="34"/>
      <c r="B244" s="35"/>
      <c r="C244" s="36" t="str">
        <f aca="false">IF(B244="","",DATE(YEAR(B244),MONTH(B244),1))</f>
        <v/>
      </c>
      <c r="D244" s="37"/>
      <c r="E244" s="34"/>
      <c r="F244" s="34"/>
    </row>
    <row r="245" customFormat="false" ht="15" hidden="false" customHeight="false" outlineLevel="0" collapsed="false">
      <c r="A245" s="34"/>
      <c r="B245" s="35"/>
      <c r="C245" s="36" t="str">
        <f aca="false">IF(B245="","",DATE(YEAR(B245),MONTH(B245),1))</f>
        <v/>
      </c>
      <c r="D245" s="37"/>
      <c r="E245" s="34"/>
      <c r="F245" s="34"/>
    </row>
    <row r="246" customFormat="false" ht="15" hidden="false" customHeight="false" outlineLevel="0" collapsed="false">
      <c r="A246" s="34"/>
      <c r="B246" s="35"/>
      <c r="C246" s="36" t="str">
        <f aca="false">IF(B246="","",DATE(YEAR(B246),MONTH(B246),1))</f>
        <v/>
      </c>
      <c r="D246" s="37"/>
      <c r="E246" s="34"/>
      <c r="F246" s="34"/>
    </row>
    <row r="247" customFormat="false" ht="15" hidden="false" customHeight="false" outlineLevel="0" collapsed="false">
      <c r="A247" s="34"/>
      <c r="B247" s="35"/>
      <c r="C247" s="36" t="str">
        <f aca="false">IF(B247="","",DATE(YEAR(B247),MONTH(B247),1))</f>
        <v/>
      </c>
      <c r="D247" s="37"/>
      <c r="E247" s="34"/>
      <c r="F247" s="34"/>
    </row>
    <row r="248" customFormat="false" ht="15" hidden="false" customHeight="false" outlineLevel="0" collapsed="false">
      <c r="A248" s="34"/>
      <c r="B248" s="35"/>
      <c r="C248" s="36" t="str">
        <f aca="false">IF(B248="","",DATE(YEAR(B248),MONTH(B248),1))</f>
        <v/>
      </c>
      <c r="D248" s="37"/>
      <c r="E248" s="34"/>
      <c r="F248" s="34"/>
    </row>
    <row r="249" customFormat="false" ht="15" hidden="false" customHeight="false" outlineLevel="0" collapsed="false">
      <c r="A249" s="34"/>
      <c r="B249" s="35"/>
      <c r="C249" s="36" t="str">
        <f aca="false">IF(B249="","",DATE(YEAR(B249),MONTH(B249),1))</f>
        <v/>
      </c>
      <c r="D249" s="37"/>
      <c r="E249" s="34"/>
      <c r="F249" s="34"/>
    </row>
    <row r="250" customFormat="false" ht="15" hidden="false" customHeight="false" outlineLevel="0" collapsed="false">
      <c r="A250" s="34"/>
      <c r="B250" s="35"/>
      <c r="C250" s="36" t="str">
        <f aca="false">IF(B250="","",DATE(YEAR(B250),MONTH(B250),1))</f>
        <v/>
      </c>
      <c r="D250" s="37"/>
      <c r="E250" s="34"/>
      <c r="F250" s="34"/>
    </row>
    <row r="251" customFormat="false" ht="15" hidden="false" customHeight="false" outlineLevel="0" collapsed="false">
      <c r="A251" s="34"/>
      <c r="B251" s="35"/>
      <c r="C251" s="36" t="str">
        <f aca="false">IF(B251="","",DATE(YEAR(B251),MONTH(B251),1))</f>
        <v/>
      </c>
      <c r="D251" s="37"/>
      <c r="E251" s="34"/>
      <c r="F251" s="34"/>
    </row>
    <row r="252" customFormat="false" ht="15" hidden="false" customHeight="false" outlineLevel="0" collapsed="false">
      <c r="A252" s="34"/>
      <c r="B252" s="35"/>
      <c r="C252" s="36" t="str">
        <f aca="false">IF(B252="","",DATE(YEAR(B252),MONTH(B252),1))</f>
        <v/>
      </c>
      <c r="D252" s="37"/>
      <c r="E252" s="34"/>
      <c r="F252" s="34"/>
    </row>
    <row r="253" customFormat="false" ht="15" hidden="false" customHeight="false" outlineLevel="0" collapsed="false">
      <c r="A253" s="34"/>
      <c r="B253" s="35"/>
      <c r="C253" s="36" t="str">
        <f aca="false">IF(B253="","",DATE(YEAR(B253),MONTH(B253),1))</f>
        <v/>
      </c>
      <c r="D253" s="37"/>
      <c r="E253" s="34"/>
      <c r="F253" s="34"/>
    </row>
    <row r="254" customFormat="false" ht="15" hidden="false" customHeight="false" outlineLevel="0" collapsed="false">
      <c r="A254" s="34"/>
      <c r="B254" s="35"/>
      <c r="C254" s="36" t="str">
        <f aca="false">IF(B254="","",DATE(YEAR(B254),MONTH(B254),1))</f>
        <v/>
      </c>
      <c r="D254" s="37"/>
      <c r="E254" s="34"/>
      <c r="F254" s="34"/>
    </row>
    <row r="255" customFormat="false" ht="15" hidden="false" customHeight="false" outlineLevel="0" collapsed="false">
      <c r="A255" s="34"/>
      <c r="B255" s="35"/>
      <c r="C255" s="36" t="str">
        <f aca="false">IF(B255="","",DATE(YEAR(B255),MONTH(B255),1))</f>
        <v/>
      </c>
      <c r="D255" s="37"/>
      <c r="E255" s="34"/>
      <c r="F255" s="34"/>
    </row>
    <row r="256" customFormat="false" ht="15" hidden="false" customHeight="false" outlineLevel="0" collapsed="false">
      <c r="A256" s="34"/>
      <c r="B256" s="35"/>
      <c r="C256" s="36" t="str">
        <f aca="false">IF(B256="","",DATE(YEAR(B256),MONTH(B256),1))</f>
        <v/>
      </c>
      <c r="D256" s="37"/>
      <c r="E256" s="34"/>
      <c r="F256" s="34"/>
    </row>
    <row r="257" customFormat="false" ht="15" hidden="false" customHeight="false" outlineLevel="0" collapsed="false">
      <c r="A257" s="34"/>
      <c r="B257" s="35"/>
      <c r="C257" s="36" t="str">
        <f aca="false">IF(B257="","",DATE(YEAR(B257),MONTH(B257),1))</f>
        <v/>
      </c>
      <c r="D257" s="37"/>
      <c r="E257" s="34"/>
      <c r="F257" s="34"/>
    </row>
    <row r="258" customFormat="false" ht="15" hidden="false" customHeight="false" outlineLevel="0" collapsed="false">
      <c r="A258" s="34"/>
      <c r="B258" s="35"/>
      <c r="C258" s="36" t="str">
        <f aca="false">IF(B258="","",DATE(YEAR(B258),MONTH(B258),1))</f>
        <v/>
      </c>
      <c r="D258" s="37"/>
      <c r="E258" s="34"/>
      <c r="F258" s="34"/>
    </row>
    <row r="259" customFormat="false" ht="15" hidden="false" customHeight="false" outlineLevel="0" collapsed="false">
      <c r="A259" s="34"/>
      <c r="B259" s="35"/>
      <c r="C259" s="36" t="str">
        <f aca="false">IF(B259="","",DATE(YEAR(B259),MONTH(B259),1))</f>
        <v/>
      </c>
      <c r="D259" s="37"/>
      <c r="E259" s="34"/>
      <c r="F259" s="34"/>
    </row>
    <row r="260" customFormat="false" ht="15" hidden="false" customHeight="false" outlineLevel="0" collapsed="false">
      <c r="A260" s="34"/>
      <c r="B260" s="35"/>
      <c r="C260" s="36" t="str">
        <f aca="false">IF(B260="","",DATE(YEAR(B260),MONTH(B260),1))</f>
        <v/>
      </c>
      <c r="D260" s="37"/>
      <c r="E260" s="34"/>
      <c r="F260" s="34"/>
    </row>
    <row r="261" customFormat="false" ht="15" hidden="false" customHeight="false" outlineLevel="0" collapsed="false">
      <c r="A261" s="34"/>
      <c r="B261" s="35"/>
      <c r="C261" s="36" t="str">
        <f aca="false">IF(B261="","",DATE(YEAR(B261),MONTH(B261),1))</f>
        <v/>
      </c>
      <c r="D261" s="37"/>
      <c r="E261" s="34"/>
      <c r="F261" s="34"/>
    </row>
    <row r="262" customFormat="false" ht="15" hidden="false" customHeight="false" outlineLevel="0" collapsed="false">
      <c r="A262" s="34"/>
      <c r="B262" s="35"/>
      <c r="C262" s="36" t="str">
        <f aca="false">IF(B262="","",DATE(YEAR(B262),MONTH(B262),1))</f>
        <v/>
      </c>
      <c r="D262" s="37"/>
      <c r="E262" s="34"/>
      <c r="F262" s="34"/>
    </row>
    <row r="263" customFormat="false" ht="15" hidden="false" customHeight="false" outlineLevel="0" collapsed="false">
      <c r="A263" s="34"/>
      <c r="B263" s="35"/>
      <c r="C263" s="36" t="str">
        <f aca="false">IF(B263="","",DATE(YEAR(B263),MONTH(B263),1))</f>
        <v/>
      </c>
      <c r="D263" s="37"/>
      <c r="E263" s="34"/>
      <c r="F263" s="34"/>
    </row>
    <row r="264" customFormat="false" ht="15" hidden="false" customHeight="false" outlineLevel="0" collapsed="false">
      <c r="A264" s="34"/>
      <c r="B264" s="35"/>
      <c r="C264" s="36" t="str">
        <f aca="false">IF(B264="","",DATE(YEAR(B264),MONTH(B264),1))</f>
        <v/>
      </c>
      <c r="D264" s="37"/>
      <c r="E264" s="34"/>
      <c r="F264" s="34"/>
    </row>
    <row r="265" customFormat="false" ht="15" hidden="false" customHeight="false" outlineLevel="0" collapsed="false">
      <c r="A265" s="34"/>
      <c r="B265" s="35"/>
      <c r="C265" s="36" t="str">
        <f aca="false">IF(B265="","",DATE(YEAR(B265),MONTH(B265),1))</f>
        <v/>
      </c>
      <c r="D265" s="37"/>
      <c r="E265" s="34"/>
      <c r="F265" s="34"/>
    </row>
    <row r="266" customFormat="false" ht="15" hidden="false" customHeight="false" outlineLevel="0" collapsed="false">
      <c r="A266" s="34"/>
      <c r="B266" s="35"/>
      <c r="C266" s="36" t="str">
        <f aca="false">IF(B266="","",DATE(YEAR(B266),MONTH(B266),1))</f>
        <v/>
      </c>
      <c r="D266" s="37"/>
      <c r="E266" s="34"/>
      <c r="F266" s="34"/>
    </row>
    <row r="267" customFormat="false" ht="15" hidden="false" customHeight="false" outlineLevel="0" collapsed="false">
      <c r="A267" s="34"/>
      <c r="B267" s="35"/>
      <c r="C267" s="36" t="str">
        <f aca="false">IF(B267="","",DATE(YEAR(B267),MONTH(B267),1))</f>
        <v/>
      </c>
      <c r="D267" s="37"/>
      <c r="E267" s="34"/>
      <c r="F267" s="34"/>
    </row>
    <row r="268" customFormat="false" ht="15" hidden="false" customHeight="false" outlineLevel="0" collapsed="false">
      <c r="A268" s="34"/>
      <c r="B268" s="35"/>
      <c r="C268" s="36" t="str">
        <f aca="false">IF(B268="","",DATE(YEAR(B268),MONTH(B268),1))</f>
        <v/>
      </c>
      <c r="D268" s="37"/>
      <c r="E268" s="34"/>
      <c r="F268" s="34"/>
    </row>
    <row r="269" customFormat="false" ht="15" hidden="false" customHeight="false" outlineLevel="0" collapsed="false">
      <c r="A269" s="34"/>
      <c r="B269" s="35"/>
      <c r="C269" s="36" t="str">
        <f aca="false">IF(B269="","",DATE(YEAR(B269),MONTH(B269),1))</f>
        <v/>
      </c>
      <c r="D269" s="37"/>
      <c r="E269" s="34"/>
      <c r="F269" s="34"/>
    </row>
    <row r="270" customFormat="false" ht="15" hidden="false" customHeight="false" outlineLevel="0" collapsed="false">
      <c r="A270" s="34"/>
      <c r="B270" s="35"/>
      <c r="C270" s="36" t="str">
        <f aca="false">IF(B270="","",DATE(YEAR(B270),MONTH(B270),1))</f>
        <v/>
      </c>
      <c r="D270" s="37"/>
      <c r="E270" s="34"/>
      <c r="F270" s="34"/>
    </row>
    <row r="271" customFormat="false" ht="15" hidden="false" customHeight="false" outlineLevel="0" collapsed="false">
      <c r="A271" s="34"/>
      <c r="B271" s="35"/>
      <c r="C271" s="36" t="str">
        <f aca="false">IF(B271="","",DATE(YEAR(B271),MONTH(B271),1))</f>
        <v/>
      </c>
      <c r="D271" s="37"/>
      <c r="E271" s="34"/>
      <c r="F271" s="34"/>
    </row>
    <row r="272" customFormat="false" ht="15" hidden="false" customHeight="false" outlineLevel="0" collapsed="false">
      <c r="A272" s="34"/>
      <c r="B272" s="35"/>
      <c r="C272" s="36" t="str">
        <f aca="false">IF(B272="","",DATE(YEAR(B272),MONTH(B272),1))</f>
        <v/>
      </c>
      <c r="D272" s="37"/>
      <c r="E272" s="34"/>
      <c r="F272" s="34"/>
    </row>
    <row r="273" customFormat="false" ht="15" hidden="false" customHeight="false" outlineLevel="0" collapsed="false">
      <c r="A273" s="34"/>
      <c r="B273" s="35"/>
      <c r="C273" s="36" t="str">
        <f aca="false">IF(B273="","",DATE(YEAR(B273),MONTH(B273),1))</f>
        <v/>
      </c>
      <c r="D273" s="37"/>
      <c r="E273" s="34"/>
      <c r="F273" s="34"/>
    </row>
    <row r="274" customFormat="false" ht="15" hidden="false" customHeight="false" outlineLevel="0" collapsed="false">
      <c r="A274" s="34"/>
      <c r="B274" s="35"/>
      <c r="C274" s="36" t="str">
        <f aca="false">IF(B274="","",DATE(YEAR(B274),MONTH(B274),1))</f>
        <v/>
      </c>
      <c r="D274" s="37"/>
      <c r="E274" s="34"/>
      <c r="F274" s="34"/>
    </row>
    <row r="275" customFormat="false" ht="15" hidden="false" customHeight="false" outlineLevel="0" collapsed="false">
      <c r="A275" s="34"/>
      <c r="B275" s="35"/>
      <c r="C275" s="36" t="str">
        <f aca="false">IF(B275="","",DATE(YEAR(B275),MONTH(B275),1))</f>
        <v/>
      </c>
      <c r="D275" s="37"/>
      <c r="E275" s="34"/>
      <c r="F275" s="34"/>
    </row>
    <row r="276" customFormat="false" ht="15" hidden="false" customHeight="false" outlineLevel="0" collapsed="false">
      <c r="A276" s="34"/>
      <c r="B276" s="35"/>
      <c r="C276" s="36" t="str">
        <f aca="false">IF(B276="","",DATE(YEAR(B276),MONTH(B276),1))</f>
        <v/>
      </c>
      <c r="D276" s="37"/>
      <c r="E276" s="34"/>
      <c r="F276" s="34"/>
    </row>
    <row r="277" customFormat="false" ht="15" hidden="false" customHeight="false" outlineLevel="0" collapsed="false">
      <c r="A277" s="34"/>
      <c r="B277" s="35"/>
      <c r="C277" s="36" t="str">
        <f aca="false">IF(B277="","",DATE(YEAR(B277),MONTH(B277),1))</f>
        <v/>
      </c>
      <c r="D277" s="37"/>
      <c r="E277" s="34"/>
      <c r="F277" s="34"/>
    </row>
    <row r="278" customFormat="false" ht="15" hidden="false" customHeight="false" outlineLevel="0" collapsed="false">
      <c r="A278" s="34"/>
      <c r="B278" s="35"/>
      <c r="C278" s="36" t="str">
        <f aca="false">IF(B278="","",DATE(YEAR(B278),MONTH(B278),1))</f>
        <v/>
      </c>
      <c r="D278" s="37"/>
      <c r="E278" s="34"/>
      <c r="F278" s="34"/>
    </row>
    <row r="279" customFormat="false" ht="15" hidden="false" customHeight="false" outlineLevel="0" collapsed="false">
      <c r="A279" s="34"/>
      <c r="B279" s="35"/>
      <c r="C279" s="36" t="str">
        <f aca="false">IF(B279="","",DATE(YEAR(B279),MONTH(B279),1))</f>
        <v/>
      </c>
      <c r="D279" s="37"/>
      <c r="E279" s="34"/>
      <c r="F279" s="34"/>
    </row>
    <row r="280" customFormat="false" ht="15" hidden="false" customHeight="false" outlineLevel="0" collapsed="false">
      <c r="A280" s="34"/>
      <c r="B280" s="35"/>
      <c r="C280" s="36" t="str">
        <f aca="false">IF(B280="","",DATE(YEAR(B280),MONTH(B280),1))</f>
        <v/>
      </c>
      <c r="D280" s="37"/>
      <c r="E280" s="34"/>
      <c r="F280" s="34"/>
    </row>
    <row r="281" customFormat="false" ht="15" hidden="false" customHeight="false" outlineLevel="0" collapsed="false">
      <c r="A281" s="34"/>
      <c r="B281" s="35"/>
      <c r="C281" s="36" t="str">
        <f aca="false">IF(B281="","",DATE(YEAR(B281),MONTH(B281),1))</f>
        <v/>
      </c>
      <c r="D281" s="37"/>
      <c r="E281" s="34"/>
      <c r="F281" s="34"/>
    </row>
    <row r="282" customFormat="false" ht="15" hidden="false" customHeight="false" outlineLevel="0" collapsed="false">
      <c r="A282" s="34"/>
      <c r="B282" s="35"/>
      <c r="C282" s="36" t="str">
        <f aca="false">IF(B282="","",DATE(YEAR(B282),MONTH(B282),1))</f>
        <v/>
      </c>
      <c r="D282" s="37"/>
      <c r="E282" s="34"/>
      <c r="F282" s="34"/>
    </row>
    <row r="283" customFormat="false" ht="15" hidden="false" customHeight="false" outlineLevel="0" collapsed="false">
      <c r="A283" s="34"/>
      <c r="B283" s="35"/>
      <c r="C283" s="36" t="str">
        <f aca="false">IF(B283="","",DATE(YEAR(B283),MONTH(B283),1))</f>
        <v/>
      </c>
      <c r="D283" s="37"/>
      <c r="E283" s="34"/>
      <c r="F283" s="34"/>
    </row>
    <row r="284" customFormat="false" ht="15" hidden="false" customHeight="false" outlineLevel="0" collapsed="false">
      <c r="A284" s="34"/>
      <c r="B284" s="35"/>
      <c r="C284" s="36" t="str">
        <f aca="false">IF(B284="","",DATE(YEAR(B284),MONTH(B284),1))</f>
        <v/>
      </c>
      <c r="D284" s="37"/>
      <c r="E284" s="34"/>
      <c r="F284" s="34"/>
    </row>
    <row r="285" customFormat="false" ht="15" hidden="false" customHeight="false" outlineLevel="0" collapsed="false">
      <c r="A285" s="34"/>
      <c r="B285" s="35"/>
      <c r="C285" s="36" t="str">
        <f aca="false">IF(B285="","",DATE(YEAR(B285),MONTH(B285),1))</f>
        <v/>
      </c>
      <c r="D285" s="37"/>
      <c r="E285" s="34"/>
      <c r="F285" s="34"/>
    </row>
    <row r="286" customFormat="false" ht="15" hidden="false" customHeight="false" outlineLevel="0" collapsed="false">
      <c r="A286" s="34"/>
      <c r="B286" s="35"/>
      <c r="C286" s="36" t="str">
        <f aca="false">IF(B286="","",DATE(YEAR(B286),MONTH(B286),1))</f>
        <v/>
      </c>
      <c r="D286" s="37"/>
      <c r="E286" s="34"/>
      <c r="F286" s="34"/>
    </row>
    <row r="287" customFormat="false" ht="15" hidden="false" customHeight="false" outlineLevel="0" collapsed="false">
      <c r="A287" s="34"/>
      <c r="B287" s="35"/>
      <c r="C287" s="36" t="str">
        <f aca="false">IF(B287="","",DATE(YEAR(B287),MONTH(B287),1))</f>
        <v/>
      </c>
      <c r="D287" s="37"/>
      <c r="E287" s="34"/>
      <c r="F287" s="34"/>
    </row>
    <row r="288" customFormat="false" ht="15" hidden="false" customHeight="false" outlineLevel="0" collapsed="false">
      <c r="A288" s="34"/>
      <c r="B288" s="35"/>
      <c r="C288" s="36" t="str">
        <f aca="false">IF(B288="","",DATE(YEAR(B288),MONTH(B288),1))</f>
        <v/>
      </c>
      <c r="D288" s="37"/>
      <c r="E288" s="34"/>
      <c r="F288" s="34"/>
    </row>
    <row r="289" customFormat="false" ht="15" hidden="false" customHeight="false" outlineLevel="0" collapsed="false">
      <c r="A289" s="34"/>
      <c r="B289" s="35"/>
      <c r="C289" s="36" t="str">
        <f aca="false">IF(B289="","",DATE(YEAR(B289),MONTH(B289),1))</f>
        <v/>
      </c>
      <c r="D289" s="37"/>
      <c r="E289" s="34"/>
      <c r="F289" s="34"/>
    </row>
    <row r="290" customFormat="false" ht="15" hidden="false" customHeight="false" outlineLevel="0" collapsed="false">
      <c r="A290" s="34"/>
      <c r="B290" s="35"/>
      <c r="C290" s="36" t="str">
        <f aca="false">IF(B290="","",DATE(YEAR(B290),MONTH(B290),1))</f>
        <v/>
      </c>
      <c r="D290" s="37"/>
      <c r="E290" s="34"/>
      <c r="F290" s="34"/>
    </row>
    <row r="291" customFormat="false" ht="15" hidden="false" customHeight="false" outlineLevel="0" collapsed="false">
      <c r="A291" s="34"/>
      <c r="B291" s="35"/>
      <c r="C291" s="36" t="str">
        <f aca="false">IF(B291="","",DATE(YEAR(B291),MONTH(B291),1))</f>
        <v/>
      </c>
      <c r="D291" s="37"/>
      <c r="E291" s="34"/>
      <c r="F291" s="34"/>
    </row>
    <row r="292" customFormat="false" ht="15" hidden="false" customHeight="false" outlineLevel="0" collapsed="false">
      <c r="A292" s="34"/>
      <c r="B292" s="35"/>
      <c r="C292" s="36" t="str">
        <f aca="false">IF(B292="","",DATE(YEAR(B292),MONTH(B292),1))</f>
        <v/>
      </c>
      <c r="D292" s="37"/>
      <c r="E292" s="34"/>
      <c r="F292" s="34"/>
    </row>
    <row r="293" customFormat="false" ht="15" hidden="false" customHeight="false" outlineLevel="0" collapsed="false">
      <c r="A293" s="34"/>
      <c r="B293" s="35"/>
      <c r="C293" s="36" t="str">
        <f aca="false">IF(B293="","",DATE(YEAR(B293),MONTH(B293),1))</f>
        <v/>
      </c>
      <c r="D293" s="37"/>
      <c r="E293" s="34"/>
      <c r="F293" s="34"/>
    </row>
    <row r="294" customFormat="false" ht="15" hidden="false" customHeight="false" outlineLevel="0" collapsed="false">
      <c r="A294" s="34"/>
      <c r="B294" s="35"/>
      <c r="C294" s="36" t="str">
        <f aca="false">IF(B294="","",DATE(YEAR(B294),MONTH(B294),1))</f>
        <v/>
      </c>
      <c r="D294" s="37"/>
      <c r="E294" s="34"/>
      <c r="F294" s="34"/>
    </row>
    <row r="295" customFormat="false" ht="15" hidden="false" customHeight="false" outlineLevel="0" collapsed="false">
      <c r="A295" s="34"/>
      <c r="B295" s="35"/>
      <c r="C295" s="36" t="str">
        <f aca="false">IF(B295="","",DATE(YEAR(B295),MONTH(B295),1))</f>
        <v/>
      </c>
      <c r="D295" s="37"/>
      <c r="E295" s="34"/>
      <c r="F295" s="34"/>
    </row>
    <row r="296" customFormat="false" ht="15" hidden="false" customHeight="false" outlineLevel="0" collapsed="false">
      <c r="A296" s="34"/>
      <c r="B296" s="35"/>
      <c r="C296" s="36" t="str">
        <f aca="false">IF(B296="","",DATE(YEAR(B296),MONTH(B296),1))</f>
        <v/>
      </c>
      <c r="D296" s="37"/>
      <c r="E296" s="34"/>
      <c r="F296" s="34"/>
    </row>
    <row r="297" customFormat="false" ht="15" hidden="false" customHeight="false" outlineLevel="0" collapsed="false">
      <c r="A297" s="34"/>
      <c r="B297" s="35"/>
      <c r="C297" s="36" t="str">
        <f aca="false">IF(B297="","",DATE(YEAR(B297),MONTH(B297),1))</f>
        <v/>
      </c>
      <c r="D297" s="37"/>
      <c r="E297" s="34"/>
      <c r="F297" s="34"/>
    </row>
    <row r="298" customFormat="false" ht="15" hidden="false" customHeight="false" outlineLevel="0" collapsed="false">
      <c r="A298" s="34"/>
      <c r="B298" s="35"/>
      <c r="C298" s="36" t="str">
        <f aca="false">IF(B298="","",DATE(YEAR(B298),MONTH(B298),1))</f>
        <v/>
      </c>
      <c r="D298" s="37"/>
      <c r="E298" s="34"/>
      <c r="F298" s="34"/>
    </row>
    <row r="299" customFormat="false" ht="15" hidden="false" customHeight="false" outlineLevel="0" collapsed="false">
      <c r="A299" s="34"/>
      <c r="B299" s="35"/>
      <c r="C299" s="36" t="str">
        <f aca="false">IF(B299="","",DATE(YEAR(B299),MONTH(B299),1))</f>
        <v/>
      </c>
      <c r="D299" s="37"/>
      <c r="E299" s="34"/>
      <c r="F299" s="34"/>
    </row>
    <row r="300" customFormat="false" ht="15" hidden="false" customHeight="false" outlineLevel="0" collapsed="false">
      <c r="A300" s="34"/>
      <c r="B300" s="35"/>
      <c r="C300" s="36" t="str">
        <f aca="false">IF(B300="","",DATE(YEAR(B300),MONTH(B300),1))</f>
        <v/>
      </c>
      <c r="D300" s="37"/>
      <c r="E300" s="34"/>
      <c r="F300" s="34"/>
    </row>
    <row r="301" customFormat="false" ht="15" hidden="false" customHeight="false" outlineLevel="0" collapsed="false">
      <c r="A301" s="34"/>
      <c r="B301" s="35"/>
      <c r="C301" s="36" t="str">
        <f aca="false">IF(B301="","",DATE(YEAR(B301),MONTH(B301),1))</f>
        <v/>
      </c>
      <c r="D301" s="37"/>
      <c r="E301" s="34"/>
      <c r="F301" s="34"/>
    </row>
    <row r="302" customFormat="false" ht="15" hidden="false" customHeight="false" outlineLevel="0" collapsed="false">
      <c r="A302" s="34"/>
      <c r="B302" s="35"/>
      <c r="C302" s="36" t="str">
        <f aca="false">IF(B302="","",DATE(YEAR(B302),MONTH(B302),1))</f>
        <v/>
      </c>
      <c r="D302" s="37"/>
      <c r="E302" s="34"/>
      <c r="F302" s="34"/>
    </row>
    <row r="303" customFormat="false" ht="15" hidden="false" customHeight="false" outlineLevel="0" collapsed="false">
      <c r="A303" s="34"/>
      <c r="B303" s="35"/>
      <c r="C303" s="36" t="str">
        <f aca="false">IF(B303="","",DATE(YEAR(B303),MONTH(B303),1))</f>
        <v/>
      </c>
      <c r="D303" s="37"/>
      <c r="E303" s="34"/>
      <c r="F303" s="34"/>
    </row>
    <row r="304" customFormat="false" ht="15" hidden="false" customHeight="false" outlineLevel="0" collapsed="false">
      <c r="A304" s="34"/>
      <c r="B304" s="35"/>
      <c r="C304" s="36" t="str">
        <f aca="false">IF(B304="","",DATE(YEAR(B304),MONTH(B304),1))</f>
        <v/>
      </c>
      <c r="D304" s="37"/>
      <c r="E304" s="34"/>
      <c r="F304" s="34"/>
    </row>
    <row r="305" customFormat="false" ht="15" hidden="false" customHeight="false" outlineLevel="0" collapsed="false">
      <c r="A305" s="34"/>
      <c r="B305" s="35"/>
      <c r="C305" s="36" t="str">
        <f aca="false">IF(B305="","",DATE(YEAR(B305),MONTH(B305),1))</f>
        <v/>
      </c>
      <c r="D305" s="37"/>
      <c r="E305" s="34"/>
      <c r="F305" s="34"/>
    </row>
    <row r="306" customFormat="false" ht="15" hidden="false" customHeight="false" outlineLevel="0" collapsed="false">
      <c r="A306" s="34"/>
      <c r="B306" s="35"/>
      <c r="C306" s="36" t="str">
        <f aca="false">IF(B306="","",DATE(YEAR(B306),MONTH(B306),1))</f>
        <v/>
      </c>
      <c r="D306" s="37"/>
      <c r="E306" s="34"/>
      <c r="F306" s="34"/>
    </row>
    <row r="307" customFormat="false" ht="15" hidden="false" customHeight="false" outlineLevel="0" collapsed="false">
      <c r="A307" s="34"/>
      <c r="B307" s="35"/>
      <c r="C307" s="36" t="str">
        <f aca="false">IF(B307="","",DATE(YEAR(B307),MONTH(B307),1))</f>
        <v/>
      </c>
      <c r="D307" s="37"/>
      <c r="E307" s="34"/>
      <c r="F307" s="34"/>
    </row>
    <row r="308" customFormat="false" ht="15" hidden="false" customHeight="false" outlineLevel="0" collapsed="false">
      <c r="A308" s="34"/>
      <c r="B308" s="35"/>
      <c r="C308" s="36" t="str">
        <f aca="false">IF(B308="","",DATE(YEAR(B308),MONTH(B308),1))</f>
        <v/>
      </c>
      <c r="D308" s="37"/>
      <c r="E308" s="34"/>
      <c r="F308" s="34"/>
    </row>
    <row r="309" customFormat="false" ht="15" hidden="false" customHeight="false" outlineLevel="0" collapsed="false">
      <c r="A309" s="34"/>
      <c r="B309" s="35"/>
      <c r="C309" s="36" t="str">
        <f aca="false">IF(B309="","",DATE(YEAR(B309),MONTH(B309),1))</f>
        <v/>
      </c>
      <c r="D309" s="37"/>
      <c r="E309" s="34"/>
      <c r="F309" s="34"/>
    </row>
    <row r="310" customFormat="false" ht="15" hidden="false" customHeight="false" outlineLevel="0" collapsed="false">
      <c r="A310" s="34"/>
      <c r="B310" s="35"/>
      <c r="C310" s="36" t="str">
        <f aca="false">IF(B310="","",DATE(YEAR(B310),MONTH(B310),1))</f>
        <v/>
      </c>
      <c r="D310" s="37"/>
      <c r="E310" s="34"/>
      <c r="F310" s="34"/>
    </row>
    <row r="311" customFormat="false" ht="15" hidden="false" customHeight="false" outlineLevel="0" collapsed="false">
      <c r="A311" s="34"/>
      <c r="B311" s="35"/>
      <c r="C311" s="36" t="str">
        <f aca="false">IF(B311="","",DATE(YEAR(B311),MONTH(B311),1))</f>
        <v/>
      </c>
      <c r="D311" s="37"/>
      <c r="E311" s="34"/>
      <c r="F311" s="34"/>
    </row>
    <row r="312" customFormat="false" ht="15" hidden="false" customHeight="false" outlineLevel="0" collapsed="false">
      <c r="A312" s="34"/>
      <c r="B312" s="35"/>
      <c r="C312" s="36" t="str">
        <f aca="false">IF(B312="","",DATE(YEAR(B312),MONTH(B312),1))</f>
        <v/>
      </c>
      <c r="D312" s="37"/>
      <c r="E312" s="34"/>
      <c r="F312" s="34"/>
    </row>
    <row r="313" customFormat="false" ht="15" hidden="false" customHeight="false" outlineLevel="0" collapsed="false">
      <c r="A313" s="34"/>
      <c r="B313" s="35"/>
      <c r="C313" s="36" t="str">
        <f aca="false">IF(B313="","",DATE(YEAR(B313),MONTH(B313),1))</f>
        <v/>
      </c>
      <c r="D313" s="37"/>
      <c r="E313" s="34"/>
      <c r="F313" s="34"/>
    </row>
    <row r="314" customFormat="false" ht="15" hidden="false" customHeight="false" outlineLevel="0" collapsed="false">
      <c r="A314" s="34"/>
      <c r="B314" s="35"/>
      <c r="C314" s="36" t="str">
        <f aca="false">IF(B314="","",DATE(YEAR(B314),MONTH(B314),1))</f>
        <v/>
      </c>
      <c r="D314" s="37"/>
      <c r="E314" s="34"/>
      <c r="F314" s="34"/>
    </row>
    <row r="315" customFormat="false" ht="15" hidden="false" customHeight="false" outlineLevel="0" collapsed="false">
      <c r="A315" s="34"/>
      <c r="B315" s="35"/>
      <c r="C315" s="36" t="str">
        <f aca="false">IF(B315="","",DATE(YEAR(B315),MONTH(B315),1))</f>
        <v/>
      </c>
      <c r="D315" s="37"/>
      <c r="E315" s="34"/>
      <c r="F315" s="34"/>
    </row>
    <row r="316" customFormat="false" ht="15" hidden="false" customHeight="false" outlineLevel="0" collapsed="false">
      <c r="A316" s="34"/>
      <c r="B316" s="35"/>
      <c r="C316" s="36" t="str">
        <f aca="false">IF(B316="","",DATE(YEAR(B316),MONTH(B316),1))</f>
        <v/>
      </c>
      <c r="D316" s="37"/>
      <c r="E316" s="34"/>
      <c r="F316" s="34"/>
    </row>
    <row r="317" customFormat="false" ht="15" hidden="false" customHeight="false" outlineLevel="0" collapsed="false">
      <c r="A317" s="34"/>
      <c r="B317" s="35"/>
      <c r="C317" s="36" t="str">
        <f aca="false">IF(B317="","",DATE(YEAR(B317),MONTH(B317),1))</f>
        <v/>
      </c>
      <c r="D317" s="37"/>
      <c r="E317" s="34"/>
      <c r="F317" s="34"/>
    </row>
    <row r="318" customFormat="false" ht="15" hidden="false" customHeight="false" outlineLevel="0" collapsed="false">
      <c r="A318" s="34"/>
      <c r="B318" s="35"/>
      <c r="C318" s="36" t="str">
        <f aca="false">IF(B318="","",DATE(YEAR(B318),MONTH(B318),1))</f>
        <v/>
      </c>
      <c r="D318" s="37"/>
      <c r="E318" s="34"/>
      <c r="F318" s="34"/>
    </row>
    <row r="319" customFormat="false" ht="15" hidden="false" customHeight="false" outlineLevel="0" collapsed="false">
      <c r="A319" s="34"/>
      <c r="B319" s="35"/>
      <c r="C319" s="36" t="str">
        <f aca="false">IF(B319="","",DATE(YEAR(B319),MONTH(B319),1))</f>
        <v/>
      </c>
      <c r="D319" s="37"/>
      <c r="E319" s="34"/>
      <c r="F319" s="34"/>
    </row>
    <row r="320" customFormat="false" ht="15" hidden="false" customHeight="false" outlineLevel="0" collapsed="false">
      <c r="A320" s="34"/>
      <c r="B320" s="35"/>
      <c r="C320" s="36" t="str">
        <f aca="false">IF(B320="","",DATE(YEAR(B320),MONTH(B320),1))</f>
        <v/>
      </c>
      <c r="D320" s="37"/>
      <c r="E320" s="34"/>
      <c r="F320" s="34"/>
    </row>
    <row r="321" customFormat="false" ht="15" hidden="false" customHeight="false" outlineLevel="0" collapsed="false">
      <c r="A321" s="34"/>
      <c r="B321" s="35"/>
      <c r="C321" s="36" t="str">
        <f aca="false">IF(B321="","",DATE(YEAR(B321),MONTH(B321),1))</f>
        <v/>
      </c>
      <c r="D321" s="37"/>
      <c r="E321" s="34"/>
      <c r="F321" s="34"/>
    </row>
    <row r="322" customFormat="false" ht="15" hidden="false" customHeight="false" outlineLevel="0" collapsed="false">
      <c r="A322" s="34"/>
      <c r="B322" s="35"/>
      <c r="C322" s="36" t="str">
        <f aca="false">IF(B322="","",DATE(YEAR(B322),MONTH(B322),1))</f>
        <v/>
      </c>
      <c r="D322" s="37"/>
      <c r="E322" s="34"/>
      <c r="F322" s="34"/>
    </row>
    <row r="323" customFormat="false" ht="15" hidden="false" customHeight="false" outlineLevel="0" collapsed="false">
      <c r="A323" s="34"/>
      <c r="B323" s="35"/>
      <c r="C323" s="36" t="str">
        <f aca="false">IF(B323="","",DATE(YEAR(B323),MONTH(B323),1))</f>
        <v/>
      </c>
      <c r="D323" s="37"/>
      <c r="E323" s="34"/>
      <c r="F323" s="34"/>
    </row>
    <row r="324" customFormat="false" ht="15" hidden="false" customHeight="false" outlineLevel="0" collapsed="false">
      <c r="A324" s="34"/>
      <c r="B324" s="35"/>
      <c r="C324" s="36" t="str">
        <f aca="false">IF(B324="","",DATE(YEAR(B324),MONTH(B324),1))</f>
        <v/>
      </c>
      <c r="D324" s="37"/>
      <c r="E324" s="34"/>
      <c r="F324" s="34"/>
    </row>
    <row r="325" customFormat="false" ht="15" hidden="false" customHeight="false" outlineLevel="0" collapsed="false">
      <c r="A325" s="34"/>
      <c r="B325" s="35"/>
      <c r="C325" s="36" t="str">
        <f aca="false">IF(B325="","",DATE(YEAR(B325),MONTH(B325),1))</f>
        <v/>
      </c>
      <c r="D325" s="37"/>
      <c r="E325" s="34"/>
      <c r="F325" s="34"/>
    </row>
    <row r="326" customFormat="false" ht="15" hidden="false" customHeight="false" outlineLevel="0" collapsed="false">
      <c r="A326" s="34"/>
      <c r="B326" s="35"/>
      <c r="C326" s="36" t="str">
        <f aca="false">IF(B326="","",DATE(YEAR(B326),MONTH(B326),1))</f>
        <v/>
      </c>
      <c r="D326" s="37"/>
      <c r="E326" s="34"/>
      <c r="F326" s="34"/>
    </row>
    <row r="327" customFormat="false" ht="15" hidden="false" customHeight="false" outlineLevel="0" collapsed="false">
      <c r="A327" s="34"/>
      <c r="B327" s="35"/>
      <c r="C327" s="36" t="str">
        <f aca="false">IF(B327="","",DATE(YEAR(B327),MONTH(B327),1))</f>
        <v/>
      </c>
      <c r="D327" s="37"/>
      <c r="E327" s="34"/>
      <c r="F327" s="34"/>
    </row>
    <row r="328" customFormat="false" ht="15" hidden="false" customHeight="false" outlineLevel="0" collapsed="false">
      <c r="A328" s="34"/>
      <c r="B328" s="35"/>
      <c r="C328" s="36" t="str">
        <f aca="false">IF(B328="","",DATE(YEAR(B328),MONTH(B328),1))</f>
        <v/>
      </c>
      <c r="D328" s="37"/>
      <c r="E328" s="34"/>
      <c r="F328" s="34"/>
    </row>
    <row r="329" customFormat="false" ht="15" hidden="false" customHeight="false" outlineLevel="0" collapsed="false">
      <c r="A329" s="34"/>
      <c r="B329" s="35"/>
      <c r="C329" s="36" t="str">
        <f aca="false">IF(B329="","",DATE(YEAR(B329),MONTH(B329),1))</f>
        <v/>
      </c>
      <c r="D329" s="37"/>
      <c r="E329" s="34"/>
      <c r="F329" s="34"/>
    </row>
    <row r="330" customFormat="false" ht="15" hidden="false" customHeight="false" outlineLevel="0" collapsed="false">
      <c r="A330" s="34"/>
      <c r="B330" s="35"/>
      <c r="C330" s="36" t="str">
        <f aca="false">IF(B330="","",DATE(YEAR(B330),MONTH(B330),1))</f>
        <v/>
      </c>
      <c r="D330" s="37"/>
      <c r="E330" s="34"/>
      <c r="F330" s="34"/>
    </row>
    <row r="331" customFormat="false" ht="15" hidden="false" customHeight="false" outlineLevel="0" collapsed="false">
      <c r="A331" s="34"/>
      <c r="B331" s="35"/>
      <c r="C331" s="36" t="str">
        <f aca="false">IF(B331="","",DATE(YEAR(B331),MONTH(B331),1))</f>
        <v/>
      </c>
      <c r="D331" s="37"/>
      <c r="E331" s="34"/>
      <c r="F331" s="34"/>
    </row>
    <row r="332" customFormat="false" ht="15" hidden="false" customHeight="false" outlineLevel="0" collapsed="false">
      <c r="A332" s="34"/>
      <c r="B332" s="35"/>
      <c r="C332" s="36" t="str">
        <f aca="false">IF(B332="","",DATE(YEAR(B332),MONTH(B332),1))</f>
        <v/>
      </c>
      <c r="D332" s="37"/>
      <c r="E332" s="34"/>
      <c r="F332" s="34"/>
    </row>
    <row r="333" customFormat="false" ht="15" hidden="false" customHeight="false" outlineLevel="0" collapsed="false">
      <c r="A333" s="34"/>
      <c r="B333" s="35"/>
      <c r="C333" s="36" t="str">
        <f aca="false">IF(B333="","",DATE(YEAR(B333),MONTH(B333),1))</f>
        <v/>
      </c>
      <c r="D333" s="37"/>
      <c r="E333" s="34"/>
      <c r="F333" s="34"/>
    </row>
    <row r="334" customFormat="false" ht="15" hidden="false" customHeight="false" outlineLevel="0" collapsed="false">
      <c r="A334" s="34"/>
      <c r="B334" s="35"/>
      <c r="C334" s="36" t="str">
        <f aca="false">IF(B334="","",DATE(YEAR(B334),MONTH(B334),1))</f>
        <v/>
      </c>
      <c r="D334" s="37"/>
      <c r="E334" s="34"/>
      <c r="F334" s="34"/>
    </row>
    <row r="335" customFormat="false" ht="15" hidden="false" customHeight="false" outlineLevel="0" collapsed="false">
      <c r="A335" s="34"/>
      <c r="B335" s="35"/>
      <c r="C335" s="36" t="str">
        <f aca="false">IF(B335="","",DATE(YEAR(B335),MONTH(B335),1))</f>
        <v/>
      </c>
      <c r="D335" s="37"/>
      <c r="E335" s="34"/>
      <c r="F335" s="34"/>
    </row>
    <row r="336" customFormat="false" ht="15" hidden="false" customHeight="false" outlineLevel="0" collapsed="false">
      <c r="A336" s="34"/>
      <c r="B336" s="35"/>
      <c r="C336" s="36" t="str">
        <f aca="false">IF(B336="","",DATE(YEAR(B336),MONTH(B336),1))</f>
        <v/>
      </c>
      <c r="D336" s="37"/>
      <c r="E336" s="34"/>
      <c r="F336" s="34"/>
    </row>
    <row r="337" customFormat="false" ht="15" hidden="false" customHeight="false" outlineLevel="0" collapsed="false">
      <c r="A337" s="34"/>
      <c r="B337" s="35"/>
      <c r="C337" s="36" t="str">
        <f aca="false">IF(B337="","",DATE(YEAR(B337),MONTH(B337),1))</f>
        <v/>
      </c>
      <c r="D337" s="37"/>
      <c r="E337" s="34"/>
      <c r="F337" s="34"/>
    </row>
    <row r="338" customFormat="false" ht="15" hidden="false" customHeight="false" outlineLevel="0" collapsed="false">
      <c r="A338" s="34"/>
      <c r="B338" s="35"/>
      <c r="C338" s="36" t="str">
        <f aca="false">IF(B338="","",DATE(YEAR(B338),MONTH(B338),1))</f>
        <v/>
      </c>
      <c r="D338" s="37"/>
      <c r="E338" s="34"/>
      <c r="F338" s="34"/>
    </row>
    <row r="339" customFormat="false" ht="15" hidden="false" customHeight="false" outlineLevel="0" collapsed="false">
      <c r="A339" s="34"/>
      <c r="B339" s="35"/>
      <c r="C339" s="36" t="str">
        <f aca="false">IF(B339="","",DATE(YEAR(B339),MONTH(B339),1))</f>
        <v/>
      </c>
      <c r="D339" s="37"/>
      <c r="E339" s="34"/>
      <c r="F339" s="34"/>
    </row>
    <row r="340" customFormat="false" ht="15" hidden="false" customHeight="false" outlineLevel="0" collapsed="false">
      <c r="A340" s="34"/>
      <c r="B340" s="35"/>
      <c r="C340" s="36" t="str">
        <f aca="false">IF(B340="","",DATE(YEAR(B340),MONTH(B340),1))</f>
        <v/>
      </c>
      <c r="D340" s="37"/>
      <c r="E340" s="34"/>
      <c r="F340" s="34"/>
    </row>
    <row r="341" customFormat="false" ht="15" hidden="false" customHeight="false" outlineLevel="0" collapsed="false">
      <c r="A341" s="34"/>
      <c r="B341" s="35"/>
      <c r="C341" s="36" t="str">
        <f aca="false">IF(B341="","",DATE(YEAR(B341),MONTH(B341),1))</f>
        <v/>
      </c>
      <c r="D341" s="37"/>
      <c r="E341" s="34"/>
      <c r="F341" s="34"/>
    </row>
    <row r="342" customFormat="false" ht="15" hidden="false" customHeight="false" outlineLevel="0" collapsed="false">
      <c r="A342" s="34"/>
      <c r="B342" s="35"/>
      <c r="C342" s="36" t="str">
        <f aca="false">IF(B342="","",DATE(YEAR(B342),MONTH(B342),1))</f>
        <v/>
      </c>
      <c r="D342" s="37"/>
      <c r="E342" s="34"/>
      <c r="F342" s="34"/>
    </row>
    <row r="343" customFormat="false" ht="15" hidden="false" customHeight="false" outlineLevel="0" collapsed="false">
      <c r="A343" s="34"/>
      <c r="B343" s="35"/>
      <c r="C343" s="36" t="str">
        <f aca="false">IF(B343="","",DATE(YEAR(B343),MONTH(B343),1))</f>
        <v/>
      </c>
      <c r="D343" s="37"/>
      <c r="E343" s="34"/>
      <c r="F343" s="34"/>
    </row>
    <row r="344" customFormat="false" ht="15" hidden="false" customHeight="false" outlineLevel="0" collapsed="false">
      <c r="A344" s="34"/>
      <c r="B344" s="35"/>
      <c r="C344" s="36" t="str">
        <f aca="false">IF(B344="","",DATE(YEAR(B344),MONTH(B344),1))</f>
        <v/>
      </c>
      <c r="D344" s="37"/>
      <c r="E344" s="34"/>
      <c r="F344" s="34"/>
    </row>
    <row r="345" customFormat="false" ht="15" hidden="false" customHeight="false" outlineLevel="0" collapsed="false">
      <c r="A345" s="34"/>
      <c r="B345" s="35"/>
      <c r="C345" s="36" t="str">
        <f aca="false">IF(B345="","",DATE(YEAR(B345),MONTH(B345),1))</f>
        <v/>
      </c>
      <c r="D345" s="37"/>
      <c r="E345" s="34"/>
      <c r="F345" s="34"/>
    </row>
    <row r="346" customFormat="false" ht="15" hidden="false" customHeight="false" outlineLevel="0" collapsed="false">
      <c r="A346" s="34"/>
      <c r="B346" s="35"/>
      <c r="C346" s="36" t="str">
        <f aca="false">IF(B346="","",DATE(YEAR(B346),MONTH(B346),1))</f>
        <v/>
      </c>
      <c r="D346" s="37"/>
      <c r="E346" s="34"/>
      <c r="F346" s="34"/>
    </row>
    <row r="347" customFormat="false" ht="15" hidden="false" customHeight="false" outlineLevel="0" collapsed="false">
      <c r="A347" s="34"/>
      <c r="B347" s="35"/>
      <c r="C347" s="36" t="str">
        <f aca="false">IF(B347="","",DATE(YEAR(B347),MONTH(B347),1))</f>
        <v/>
      </c>
      <c r="D347" s="37"/>
      <c r="E347" s="34"/>
      <c r="F347" s="34"/>
    </row>
    <row r="348" customFormat="false" ht="15" hidden="false" customHeight="false" outlineLevel="0" collapsed="false">
      <c r="A348" s="34"/>
      <c r="B348" s="35"/>
      <c r="C348" s="36" t="str">
        <f aca="false">IF(B348="","",DATE(YEAR(B348),MONTH(B348),1))</f>
        <v/>
      </c>
      <c r="D348" s="37"/>
      <c r="E348" s="34"/>
      <c r="F348" s="34"/>
    </row>
    <row r="349" customFormat="false" ht="15" hidden="false" customHeight="false" outlineLevel="0" collapsed="false">
      <c r="A349" s="34"/>
      <c r="B349" s="35"/>
      <c r="C349" s="36" t="str">
        <f aca="false">IF(B349="","",DATE(YEAR(B349),MONTH(B349),1))</f>
        <v/>
      </c>
      <c r="D349" s="37"/>
      <c r="E349" s="34"/>
      <c r="F349" s="34"/>
    </row>
    <row r="350" customFormat="false" ht="15" hidden="false" customHeight="false" outlineLevel="0" collapsed="false">
      <c r="A350" s="34"/>
      <c r="B350" s="35"/>
      <c r="C350" s="36" t="str">
        <f aca="false">IF(B350="","",DATE(YEAR(B350),MONTH(B350),1))</f>
        <v/>
      </c>
      <c r="D350" s="37"/>
      <c r="E350" s="34"/>
      <c r="F350" s="34"/>
    </row>
    <row r="351" customFormat="false" ht="15" hidden="false" customHeight="false" outlineLevel="0" collapsed="false">
      <c r="A351" s="34"/>
      <c r="B351" s="35"/>
      <c r="C351" s="36" t="str">
        <f aca="false">IF(B351="","",DATE(YEAR(B351),MONTH(B351),1))</f>
        <v/>
      </c>
      <c r="D351" s="37"/>
      <c r="E351" s="34"/>
      <c r="F351" s="34"/>
    </row>
    <row r="352" customFormat="false" ht="15" hidden="false" customHeight="false" outlineLevel="0" collapsed="false">
      <c r="A352" s="34"/>
      <c r="B352" s="35"/>
      <c r="C352" s="36" t="str">
        <f aca="false">IF(B352="","",DATE(YEAR(B352),MONTH(B352),1))</f>
        <v/>
      </c>
      <c r="D352" s="37"/>
      <c r="E352" s="34"/>
      <c r="F352" s="34"/>
    </row>
    <row r="353" customFormat="false" ht="15" hidden="false" customHeight="false" outlineLevel="0" collapsed="false">
      <c r="A353" s="34"/>
      <c r="B353" s="35"/>
      <c r="C353" s="36" t="str">
        <f aca="false">IF(B353="","",DATE(YEAR(B353),MONTH(B353),1))</f>
        <v/>
      </c>
      <c r="D353" s="37"/>
      <c r="E353" s="34"/>
      <c r="F353" s="34"/>
    </row>
    <row r="354" customFormat="false" ht="15" hidden="false" customHeight="false" outlineLevel="0" collapsed="false">
      <c r="A354" s="34"/>
      <c r="B354" s="35"/>
      <c r="C354" s="36" t="str">
        <f aca="false">IF(B354="","",DATE(YEAR(B354),MONTH(B354),1))</f>
        <v/>
      </c>
      <c r="D354" s="37"/>
      <c r="E354" s="34"/>
      <c r="F354" s="34"/>
    </row>
    <row r="355" customFormat="false" ht="15" hidden="false" customHeight="false" outlineLevel="0" collapsed="false">
      <c r="A355" s="34"/>
      <c r="B355" s="35"/>
      <c r="C355" s="36" t="str">
        <f aca="false">IF(B355="","",DATE(YEAR(B355),MONTH(B355),1))</f>
        <v/>
      </c>
      <c r="D355" s="37"/>
      <c r="E355" s="34"/>
      <c r="F355" s="34"/>
    </row>
    <row r="356" customFormat="false" ht="15" hidden="false" customHeight="false" outlineLevel="0" collapsed="false">
      <c r="A356" s="34"/>
      <c r="B356" s="35"/>
      <c r="C356" s="36" t="str">
        <f aca="false">IF(B356="","",DATE(YEAR(B356),MONTH(B356),1))</f>
        <v/>
      </c>
      <c r="D356" s="37"/>
      <c r="E356" s="34"/>
      <c r="F356" s="34"/>
    </row>
    <row r="357" customFormat="false" ht="15" hidden="false" customHeight="false" outlineLevel="0" collapsed="false">
      <c r="A357" s="34"/>
      <c r="B357" s="35"/>
      <c r="C357" s="36" t="str">
        <f aca="false">IF(B357="","",DATE(YEAR(B357),MONTH(B357),1))</f>
        <v/>
      </c>
      <c r="D357" s="37"/>
      <c r="E357" s="34"/>
      <c r="F357" s="34"/>
    </row>
    <row r="358" customFormat="false" ht="15" hidden="false" customHeight="false" outlineLevel="0" collapsed="false">
      <c r="A358" s="34"/>
      <c r="B358" s="35"/>
      <c r="C358" s="36" t="str">
        <f aca="false">IF(B358="","",DATE(YEAR(B358),MONTH(B358),1))</f>
        <v/>
      </c>
      <c r="D358" s="37"/>
      <c r="E358" s="34"/>
      <c r="F358" s="34"/>
    </row>
    <row r="359" customFormat="false" ht="15" hidden="false" customHeight="false" outlineLevel="0" collapsed="false">
      <c r="A359" s="34"/>
      <c r="B359" s="35"/>
      <c r="C359" s="36" t="str">
        <f aca="false">IF(B359="","",DATE(YEAR(B359),MONTH(B359),1))</f>
        <v/>
      </c>
      <c r="D359" s="37"/>
      <c r="E359" s="34"/>
      <c r="F359" s="34"/>
    </row>
    <row r="360" customFormat="false" ht="15" hidden="false" customHeight="false" outlineLevel="0" collapsed="false">
      <c r="A360" s="34"/>
      <c r="B360" s="35"/>
      <c r="C360" s="36" t="str">
        <f aca="false">IF(B360="","",DATE(YEAR(B360),MONTH(B360),1))</f>
        <v/>
      </c>
      <c r="D360" s="37"/>
      <c r="E360" s="34"/>
      <c r="F360" s="34"/>
    </row>
    <row r="361" customFormat="false" ht="15" hidden="false" customHeight="false" outlineLevel="0" collapsed="false">
      <c r="A361" s="34"/>
      <c r="B361" s="35"/>
      <c r="C361" s="36" t="str">
        <f aca="false">IF(B361="","",DATE(YEAR(B361),MONTH(B361),1))</f>
        <v/>
      </c>
      <c r="D361" s="37"/>
      <c r="E361" s="34"/>
      <c r="F361" s="34"/>
    </row>
    <row r="362" customFormat="false" ht="15" hidden="false" customHeight="false" outlineLevel="0" collapsed="false">
      <c r="A362" s="34"/>
      <c r="B362" s="35"/>
      <c r="C362" s="36" t="str">
        <f aca="false">IF(B362="","",DATE(YEAR(B362),MONTH(B362),1))</f>
        <v/>
      </c>
      <c r="D362" s="37"/>
      <c r="E362" s="34"/>
      <c r="F362" s="34"/>
    </row>
    <row r="363" customFormat="false" ht="15" hidden="false" customHeight="false" outlineLevel="0" collapsed="false">
      <c r="A363" s="34"/>
      <c r="B363" s="35"/>
      <c r="C363" s="36" t="str">
        <f aca="false">IF(B363="","",DATE(YEAR(B363),MONTH(B363),1))</f>
        <v/>
      </c>
      <c r="D363" s="37"/>
      <c r="E363" s="34"/>
      <c r="F363" s="34"/>
    </row>
    <row r="364" customFormat="false" ht="15" hidden="false" customHeight="false" outlineLevel="0" collapsed="false">
      <c r="A364" s="34"/>
      <c r="B364" s="35"/>
      <c r="C364" s="36" t="str">
        <f aca="false">IF(B364="","",DATE(YEAR(B364),MONTH(B364),1))</f>
        <v/>
      </c>
      <c r="D364" s="37"/>
      <c r="E364" s="34"/>
      <c r="F364" s="34"/>
    </row>
    <row r="365" customFormat="false" ht="15" hidden="false" customHeight="false" outlineLevel="0" collapsed="false">
      <c r="A365" s="34"/>
      <c r="B365" s="35"/>
      <c r="C365" s="36" t="str">
        <f aca="false">IF(B365="","",DATE(YEAR(B365),MONTH(B365),1))</f>
        <v/>
      </c>
      <c r="D365" s="37"/>
      <c r="E365" s="34"/>
      <c r="F365" s="34"/>
    </row>
    <row r="366" customFormat="false" ht="15" hidden="false" customHeight="false" outlineLevel="0" collapsed="false">
      <c r="A366" s="34"/>
      <c r="B366" s="35"/>
      <c r="C366" s="36" t="str">
        <f aca="false">IF(B366="","",DATE(YEAR(B366),MONTH(B366),1))</f>
        <v/>
      </c>
      <c r="D366" s="37"/>
      <c r="E366" s="34"/>
      <c r="F366" s="34"/>
    </row>
    <row r="367" customFormat="false" ht="15" hidden="false" customHeight="false" outlineLevel="0" collapsed="false">
      <c r="A367" s="34"/>
      <c r="B367" s="35"/>
      <c r="C367" s="36" t="str">
        <f aca="false">IF(B367="","",DATE(YEAR(B367),MONTH(B367),1))</f>
        <v/>
      </c>
      <c r="D367" s="37"/>
      <c r="E367" s="34"/>
      <c r="F367" s="34"/>
    </row>
    <row r="368" customFormat="false" ht="15" hidden="false" customHeight="false" outlineLevel="0" collapsed="false">
      <c r="A368" s="34"/>
      <c r="B368" s="35"/>
      <c r="C368" s="36" t="str">
        <f aca="false">IF(B368="","",DATE(YEAR(B368),MONTH(B368),1))</f>
        <v/>
      </c>
      <c r="D368" s="37"/>
      <c r="E368" s="34"/>
      <c r="F368" s="34"/>
    </row>
    <row r="369" customFormat="false" ht="15" hidden="false" customHeight="false" outlineLevel="0" collapsed="false">
      <c r="A369" s="34"/>
      <c r="B369" s="35"/>
      <c r="C369" s="36" t="str">
        <f aca="false">IF(B369="","",DATE(YEAR(B369),MONTH(B369),1))</f>
        <v/>
      </c>
      <c r="D369" s="37"/>
      <c r="E369" s="34"/>
      <c r="F369" s="34"/>
    </row>
    <row r="370" customFormat="false" ht="15" hidden="false" customHeight="false" outlineLevel="0" collapsed="false">
      <c r="A370" s="34"/>
      <c r="B370" s="35"/>
      <c r="C370" s="36" t="str">
        <f aca="false">IF(B370="","",DATE(YEAR(B370),MONTH(B370),1))</f>
        <v/>
      </c>
      <c r="D370" s="37"/>
      <c r="E370" s="34"/>
      <c r="F370" s="34"/>
    </row>
    <row r="371" customFormat="false" ht="15" hidden="false" customHeight="false" outlineLevel="0" collapsed="false">
      <c r="A371" s="34"/>
      <c r="B371" s="35"/>
      <c r="C371" s="36" t="str">
        <f aca="false">IF(B371="","",DATE(YEAR(B371),MONTH(B371),1))</f>
        <v/>
      </c>
      <c r="D371" s="37"/>
      <c r="E371" s="34"/>
      <c r="F371" s="34"/>
    </row>
    <row r="372" customFormat="false" ht="15" hidden="false" customHeight="false" outlineLevel="0" collapsed="false">
      <c r="A372" s="34"/>
      <c r="B372" s="35"/>
      <c r="C372" s="36" t="str">
        <f aca="false">IF(B372="","",DATE(YEAR(B372),MONTH(B372),1))</f>
        <v/>
      </c>
      <c r="D372" s="37"/>
      <c r="E372" s="34"/>
      <c r="F372" s="34"/>
    </row>
    <row r="373" customFormat="false" ht="15" hidden="false" customHeight="false" outlineLevel="0" collapsed="false">
      <c r="A373" s="34"/>
      <c r="B373" s="35"/>
      <c r="C373" s="36" t="str">
        <f aca="false">IF(B373="","",DATE(YEAR(B373),MONTH(B373),1))</f>
        <v/>
      </c>
      <c r="D373" s="37"/>
      <c r="E373" s="34"/>
      <c r="F373" s="34"/>
    </row>
    <row r="374" customFormat="false" ht="15" hidden="false" customHeight="false" outlineLevel="0" collapsed="false">
      <c r="A374" s="34"/>
      <c r="B374" s="35"/>
      <c r="C374" s="36" t="str">
        <f aca="false">IF(B374="","",DATE(YEAR(B374),MONTH(B374),1))</f>
        <v/>
      </c>
      <c r="D374" s="37"/>
      <c r="E374" s="34"/>
      <c r="F374" s="34"/>
    </row>
    <row r="375" customFormat="false" ht="15" hidden="false" customHeight="false" outlineLevel="0" collapsed="false">
      <c r="A375" s="34"/>
      <c r="B375" s="35"/>
      <c r="C375" s="36" t="str">
        <f aca="false">IF(B375="","",DATE(YEAR(B375),MONTH(B375),1))</f>
        <v/>
      </c>
      <c r="D375" s="37"/>
      <c r="E375" s="34"/>
      <c r="F375" s="34"/>
    </row>
    <row r="376" customFormat="false" ht="15" hidden="false" customHeight="false" outlineLevel="0" collapsed="false">
      <c r="A376" s="34"/>
      <c r="B376" s="35"/>
      <c r="C376" s="36" t="str">
        <f aca="false">IF(B376="","",DATE(YEAR(B376),MONTH(B376),1))</f>
        <v/>
      </c>
      <c r="D376" s="37"/>
      <c r="E376" s="34"/>
      <c r="F376" s="34"/>
    </row>
    <row r="377" customFormat="false" ht="15" hidden="false" customHeight="false" outlineLevel="0" collapsed="false">
      <c r="A377" s="34"/>
      <c r="B377" s="35"/>
      <c r="C377" s="36" t="str">
        <f aca="false">IF(B377="","",DATE(YEAR(B377),MONTH(B377),1))</f>
        <v/>
      </c>
      <c r="D377" s="37"/>
      <c r="E377" s="34"/>
      <c r="F377" s="34"/>
    </row>
    <row r="378" customFormat="false" ht="15" hidden="false" customHeight="false" outlineLevel="0" collapsed="false">
      <c r="A378" s="34"/>
      <c r="B378" s="35"/>
      <c r="C378" s="36" t="str">
        <f aca="false">IF(B378="","",DATE(YEAR(B378),MONTH(B378),1))</f>
        <v/>
      </c>
      <c r="D378" s="37"/>
      <c r="E378" s="34"/>
      <c r="F378" s="34"/>
    </row>
    <row r="379" customFormat="false" ht="15" hidden="false" customHeight="false" outlineLevel="0" collapsed="false">
      <c r="A379" s="34"/>
      <c r="B379" s="35"/>
      <c r="C379" s="36" t="str">
        <f aca="false">IF(B379="","",DATE(YEAR(B379),MONTH(B379),1))</f>
        <v/>
      </c>
      <c r="D379" s="37"/>
      <c r="E379" s="34"/>
      <c r="F379" s="34"/>
    </row>
    <row r="380" customFormat="false" ht="15" hidden="false" customHeight="false" outlineLevel="0" collapsed="false">
      <c r="A380" s="34"/>
      <c r="B380" s="35"/>
      <c r="C380" s="36" t="str">
        <f aca="false">IF(B380="","",DATE(YEAR(B380),MONTH(B380),1))</f>
        <v/>
      </c>
      <c r="D380" s="37"/>
      <c r="E380" s="34"/>
      <c r="F380" s="34"/>
    </row>
    <row r="381" customFormat="false" ht="15" hidden="false" customHeight="false" outlineLevel="0" collapsed="false">
      <c r="A381" s="34"/>
      <c r="B381" s="35"/>
      <c r="C381" s="36" t="str">
        <f aca="false">IF(B381="","",DATE(YEAR(B381),MONTH(B381),1))</f>
        <v/>
      </c>
      <c r="D381" s="37"/>
      <c r="E381" s="34"/>
      <c r="F381" s="34"/>
    </row>
    <row r="382" customFormat="false" ht="15" hidden="false" customHeight="false" outlineLevel="0" collapsed="false">
      <c r="A382" s="34"/>
      <c r="B382" s="35"/>
      <c r="C382" s="36" t="str">
        <f aca="false">IF(B382="","",DATE(YEAR(B382),MONTH(B382),1))</f>
        <v/>
      </c>
      <c r="D382" s="37"/>
      <c r="E382" s="34"/>
      <c r="F382" s="34"/>
    </row>
    <row r="383" customFormat="false" ht="15" hidden="false" customHeight="false" outlineLevel="0" collapsed="false">
      <c r="A383" s="34"/>
      <c r="B383" s="35"/>
      <c r="C383" s="36" t="str">
        <f aca="false">IF(B383="","",DATE(YEAR(B383),MONTH(B383),1))</f>
        <v/>
      </c>
      <c r="D383" s="37"/>
      <c r="E383" s="34"/>
      <c r="F383" s="34"/>
    </row>
    <row r="384" customFormat="false" ht="15" hidden="false" customHeight="false" outlineLevel="0" collapsed="false">
      <c r="A384" s="34"/>
      <c r="B384" s="35"/>
      <c r="C384" s="36" t="str">
        <f aca="false">IF(B384="","",DATE(YEAR(B384),MONTH(B384),1))</f>
        <v/>
      </c>
      <c r="D384" s="37"/>
      <c r="E384" s="34"/>
      <c r="F384" s="34"/>
    </row>
    <row r="385" customFormat="false" ht="15" hidden="false" customHeight="false" outlineLevel="0" collapsed="false">
      <c r="A385" s="34"/>
      <c r="B385" s="35"/>
      <c r="C385" s="36" t="str">
        <f aca="false">IF(B385="","",DATE(YEAR(B385),MONTH(B385),1))</f>
        <v/>
      </c>
      <c r="D385" s="37"/>
      <c r="E385" s="34"/>
      <c r="F385" s="34"/>
    </row>
    <row r="386" customFormat="false" ht="15" hidden="false" customHeight="false" outlineLevel="0" collapsed="false">
      <c r="A386" s="34"/>
      <c r="B386" s="35"/>
      <c r="C386" s="36" t="str">
        <f aca="false">IF(B386="","",DATE(YEAR(B386),MONTH(B386),1))</f>
        <v/>
      </c>
      <c r="D386" s="37"/>
      <c r="E386" s="34"/>
      <c r="F386" s="34"/>
    </row>
    <row r="387" customFormat="false" ht="15" hidden="false" customHeight="false" outlineLevel="0" collapsed="false">
      <c r="A387" s="34"/>
      <c r="B387" s="35"/>
      <c r="C387" s="36" t="str">
        <f aca="false">IF(B387="","",DATE(YEAR(B387),MONTH(B387),1))</f>
        <v/>
      </c>
      <c r="D387" s="37"/>
      <c r="E387" s="34"/>
      <c r="F387" s="34"/>
    </row>
    <row r="388" customFormat="false" ht="15" hidden="false" customHeight="false" outlineLevel="0" collapsed="false">
      <c r="A388" s="34"/>
      <c r="B388" s="35"/>
      <c r="C388" s="36" t="str">
        <f aca="false">IF(B388="","",DATE(YEAR(B388),MONTH(B388),1))</f>
        <v/>
      </c>
      <c r="D388" s="37"/>
      <c r="E388" s="34"/>
      <c r="F388" s="34"/>
    </row>
    <row r="389" customFormat="false" ht="15" hidden="false" customHeight="false" outlineLevel="0" collapsed="false">
      <c r="A389" s="34"/>
      <c r="B389" s="35"/>
      <c r="C389" s="36" t="str">
        <f aca="false">IF(B389="","",DATE(YEAR(B389),MONTH(B389),1))</f>
        <v/>
      </c>
      <c r="D389" s="37"/>
      <c r="E389" s="34"/>
      <c r="F389" s="34"/>
    </row>
    <row r="390" customFormat="false" ht="15" hidden="false" customHeight="false" outlineLevel="0" collapsed="false">
      <c r="A390" s="34"/>
      <c r="B390" s="35"/>
      <c r="C390" s="36" t="str">
        <f aca="false">IF(B390="","",DATE(YEAR(B390),MONTH(B390),1))</f>
        <v/>
      </c>
      <c r="D390" s="37"/>
      <c r="E390" s="34"/>
      <c r="F390" s="34"/>
    </row>
    <row r="391" customFormat="false" ht="15" hidden="false" customHeight="false" outlineLevel="0" collapsed="false">
      <c r="A391" s="34"/>
      <c r="B391" s="35"/>
      <c r="C391" s="36" t="str">
        <f aca="false">IF(B391="","",DATE(YEAR(B391),MONTH(B391),1))</f>
        <v/>
      </c>
      <c r="D391" s="37"/>
      <c r="E391" s="34"/>
      <c r="F391" s="34"/>
    </row>
    <row r="392" customFormat="false" ht="15" hidden="false" customHeight="false" outlineLevel="0" collapsed="false">
      <c r="A392" s="34"/>
      <c r="B392" s="35"/>
      <c r="C392" s="36" t="str">
        <f aca="false">IF(B392="","",DATE(YEAR(B392),MONTH(B392),1))</f>
        <v/>
      </c>
      <c r="D392" s="37"/>
      <c r="E392" s="34"/>
      <c r="F392" s="34"/>
    </row>
    <row r="393" customFormat="false" ht="15" hidden="false" customHeight="false" outlineLevel="0" collapsed="false">
      <c r="A393" s="34"/>
      <c r="B393" s="35"/>
      <c r="C393" s="36" t="str">
        <f aca="false">IF(B393="","",DATE(YEAR(B393),MONTH(B393),1))</f>
        <v/>
      </c>
      <c r="D393" s="37"/>
      <c r="E393" s="34"/>
      <c r="F393" s="34"/>
    </row>
    <row r="394" customFormat="false" ht="15" hidden="false" customHeight="false" outlineLevel="0" collapsed="false">
      <c r="A394" s="34"/>
      <c r="B394" s="35"/>
      <c r="C394" s="36" t="str">
        <f aca="false">IF(B394="","",DATE(YEAR(B394),MONTH(B394),1))</f>
        <v/>
      </c>
      <c r="D394" s="37"/>
      <c r="E394" s="34"/>
      <c r="F394" s="34"/>
    </row>
    <row r="395" customFormat="false" ht="15" hidden="false" customHeight="false" outlineLevel="0" collapsed="false">
      <c r="A395" s="34"/>
      <c r="B395" s="35"/>
      <c r="C395" s="36" t="str">
        <f aca="false">IF(B395="","",DATE(YEAR(B395),MONTH(B395),1))</f>
        <v/>
      </c>
      <c r="D395" s="37"/>
      <c r="E395" s="34"/>
      <c r="F395" s="34"/>
    </row>
    <row r="396" customFormat="false" ht="15" hidden="false" customHeight="false" outlineLevel="0" collapsed="false">
      <c r="A396" s="34"/>
      <c r="B396" s="35"/>
      <c r="C396" s="36" t="str">
        <f aca="false">IF(B396="","",DATE(YEAR(B396),MONTH(B396),1))</f>
        <v/>
      </c>
      <c r="D396" s="37"/>
      <c r="E396" s="34"/>
      <c r="F396" s="34"/>
    </row>
    <row r="397" customFormat="false" ht="15" hidden="false" customHeight="false" outlineLevel="0" collapsed="false">
      <c r="A397" s="34"/>
      <c r="B397" s="35"/>
      <c r="C397" s="36" t="str">
        <f aca="false">IF(B397="","",DATE(YEAR(B397),MONTH(B397),1))</f>
        <v/>
      </c>
      <c r="D397" s="37"/>
      <c r="E397" s="34"/>
      <c r="F397" s="34"/>
    </row>
    <row r="398" customFormat="false" ht="15" hidden="false" customHeight="false" outlineLevel="0" collapsed="false">
      <c r="A398" s="34"/>
      <c r="B398" s="35"/>
      <c r="C398" s="36" t="str">
        <f aca="false">IF(B398="","",DATE(YEAR(B398),MONTH(B398),1))</f>
        <v/>
      </c>
      <c r="D398" s="37"/>
      <c r="E398" s="34"/>
      <c r="F398" s="34"/>
    </row>
    <row r="399" customFormat="false" ht="15" hidden="false" customHeight="false" outlineLevel="0" collapsed="false">
      <c r="A399" s="34"/>
      <c r="B399" s="35"/>
      <c r="C399" s="36" t="str">
        <f aca="false">IF(B399="","",DATE(YEAR(B399),MONTH(B399),1))</f>
        <v/>
      </c>
      <c r="D399" s="37"/>
      <c r="E399" s="34"/>
      <c r="F399" s="34"/>
    </row>
    <row r="400" customFormat="false" ht="15" hidden="false" customHeight="false" outlineLevel="0" collapsed="false">
      <c r="A400" s="34"/>
      <c r="B400" s="35"/>
      <c r="C400" s="36" t="str">
        <f aca="false">IF(B400="","",DATE(YEAR(B400),MONTH(B400),1))</f>
        <v/>
      </c>
      <c r="D400" s="37"/>
      <c r="E400" s="34"/>
      <c r="F400" s="34"/>
    </row>
    <row r="401" customFormat="false" ht="15" hidden="false" customHeight="false" outlineLevel="0" collapsed="false">
      <c r="A401" s="34"/>
      <c r="B401" s="35"/>
      <c r="C401" s="36" t="str">
        <f aca="false">IF(B401="","",DATE(YEAR(B401),MONTH(B401),1))</f>
        <v/>
      </c>
      <c r="D401" s="37"/>
      <c r="E401" s="34"/>
      <c r="F401" s="34"/>
    </row>
    <row r="402" customFormat="false" ht="15" hidden="false" customHeight="false" outlineLevel="0" collapsed="false">
      <c r="A402" s="34"/>
      <c r="B402" s="35"/>
      <c r="C402" s="36" t="str">
        <f aca="false">IF(B402="","",DATE(YEAR(B402),MONTH(B402),1))</f>
        <v/>
      </c>
      <c r="D402" s="37"/>
      <c r="E402" s="34"/>
      <c r="F402" s="34"/>
    </row>
    <row r="403" customFormat="false" ht="15" hidden="false" customHeight="false" outlineLevel="0" collapsed="false">
      <c r="A403" s="34"/>
      <c r="B403" s="35"/>
      <c r="C403" s="36" t="str">
        <f aca="false">IF(B403="","",DATE(YEAR(B403),MONTH(B403),1))</f>
        <v/>
      </c>
      <c r="D403" s="37"/>
      <c r="E403" s="34"/>
      <c r="F403" s="34"/>
    </row>
    <row r="404" customFormat="false" ht="15" hidden="false" customHeight="false" outlineLevel="0" collapsed="false">
      <c r="A404" s="34"/>
      <c r="B404" s="35"/>
      <c r="C404" s="36" t="str">
        <f aca="false">IF(B404="","",DATE(YEAR(B404),MONTH(B404),1))</f>
        <v/>
      </c>
      <c r="D404" s="37"/>
      <c r="E404" s="34"/>
      <c r="F404" s="34"/>
    </row>
  </sheetData>
  <dataValidations count="1">
    <dataValidation allowBlank="true" errorStyle="stop" operator="between" showDropDown="false" showErrorMessage="false" showInputMessage="false" sqref="A5:A404" type="list">
      <formula1>'TỔNG HỢP'!$B$9:$B$20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00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131</v>
      </c>
    </row>
    <row r="2" customFormat="false" ht="15" hidden="false" customHeight="false" outlineLevel="0" collapsed="false">
      <c r="A2" s="2" t="s">
        <v>132</v>
      </c>
    </row>
    <row r="4" customFormat="false" ht="27.75" hidden="false" customHeight="true" outlineLevel="0" collapsed="false">
      <c r="A4" s="11" t="s">
        <v>133</v>
      </c>
      <c r="B4" s="11" t="s">
        <v>134</v>
      </c>
      <c r="C4" s="11" t="s">
        <v>135</v>
      </c>
      <c r="D4" s="11" t="s">
        <v>136</v>
      </c>
    </row>
    <row r="5" customFormat="false" ht="23.85" hidden="false" customHeight="false" outlineLevel="0" collapsed="false">
      <c r="A5" s="40" t="n">
        <v>1</v>
      </c>
      <c r="B5" s="41" t="s">
        <v>137</v>
      </c>
      <c r="C5" s="40" t="s">
        <v>138</v>
      </c>
      <c r="D5" s="42" t="s">
        <v>139</v>
      </c>
    </row>
    <row r="6" customFormat="false" ht="35.05" hidden="false" customHeight="false" outlineLevel="0" collapsed="false">
      <c r="A6" s="40" t="n">
        <v>2</v>
      </c>
      <c r="B6" s="41" t="s">
        <v>140</v>
      </c>
      <c r="C6" s="40" t="s">
        <v>141</v>
      </c>
      <c r="D6" s="43" t="s">
        <v>142</v>
      </c>
    </row>
    <row r="7" customFormat="false" ht="23.85" hidden="false" customHeight="false" outlineLevel="0" collapsed="false">
      <c r="A7" s="40" t="n">
        <v>3</v>
      </c>
      <c r="B7" s="41" t="s">
        <v>143</v>
      </c>
      <c r="C7" s="40" t="s">
        <v>144</v>
      </c>
      <c r="D7" s="44" t="s">
        <v>18</v>
      </c>
    </row>
    <row r="8" customFormat="false" ht="15" hidden="false" customHeight="false" outlineLevel="0" collapsed="false">
      <c r="A8" s="40" t="n">
        <v>4</v>
      </c>
      <c r="B8" s="41" t="s">
        <v>145</v>
      </c>
      <c r="C8" s="40" t="s">
        <v>146</v>
      </c>
      <c r="D8" s="44" t="s">
        <v>147</v>
      </c>
    </row>
    <row r="9" customFormat="false" ht="23.85" hidden="false" customHeight="false" outlineLevel="0" collapsed="false">
      <c r="A9" s="40" t="n">
        <v>5</v>
      </c>
      <c r="B9" s="41" t="s">
        <v>148</v>
      </c>
      <c r="C9" s="40" t="s">
        <v>149</v>
      </c>
      <c r="D9" s="43" t="s">
        <v>150</v>
      </c>
    </row>
    <row r="10" customFormat="false" ht="15" hidden="false" customHeight="false" outlineLevel="0" collapsed="false">
      <c r="A10" s="40" t="n">
        <v>6</v>
      </c>
      <c r="B10" s="41" t="s">
        <v>151</v>
      </c>
      <c r="C10" s="40" t="s">
        <v>152</v>
      </c>
      <c r="D10" s="44" t="s">
        <v>18</v>
      </c>
    </row>
    <row r="11" customFormat="false" ht="15" hidden="false" customHeight="false" outlineLevel="0" collapsed="false">
      <c r="A11" s="40" t="n">
        <v>7</v>
      </c>
      <c r="B11" s="41" t="s">
        <v>153</v>
      </c>
      <c r="C11" s="40" t="s">
        <v>154</v>
      </c>
      <c r="D11" s="44" t="s">
        <v>18</v>
      </c>
    </row>
    <row r="12" customFormat="false" ht="15" hidden="false" customHeight="false" outlineLevel="0" collapsed="false">
      <c r="A12" s="40" t="n">
        <v>8</v>
      </c>
      <c r="B12" s="41" t="s">
        <v>155</v>
      </c>
      <c r="C12" s="40" t="s">
        <v>156</v>
      </c>
      <c r="D12" s="44" t="s">
        <v>18</v>
      </c>
    </row>
    <row r="13" customFormat="false" ht="15" hidden="false" customHeight="false" outlineLevel="0" collapsed="false">
      <c r="A13" s="40" t="n">
        <v>9</v>
      </c>
      <c r="B13" s="41" t="s">
        <v>157</v>
      </c>
      <c r="C13" s="40" t="s">
        <v>158</v>
      </c>
      <c r="D13" s="44" t="s">
        <v>18</v>
      </c>
    </row>
    <row r="15" customFormat="false" ht="15" hidden="false" customHeight="false" outlineLevel="0" collapsed="false">
      <c r="B15" s="22" t="s">
        <v>159</v>
      </c>
      <c r="C15" s="45" t="n">
        <f aca="false">SUMIF('SỔ CÔNG NỢ'!$N$5:$N$51,"&gt;0")-SUMIF('SỔ CÔNG NỢ'!$N$5:$N$51,"&lt;0")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9.7" hidden="false" customHeight="false" outlineLevel="0" collapsed="false">
      <c r="A1" s="1" t="s">
        <v>160</v>
      </c>
    </row>
    <row r="2" customFormat="false" ht="15" hidden="false" customHeight="false" outlineLevel="0" collapsed="false">
      <c r="A2" s="2" t="s">
        <v>161</v>
      </c>
    </row>
    <row r="4" customFormat="false" ht="37.5" hidden="false" customHeight="true" outlineLevel="0" collapsed="false">
      <c r="A4" s="46" t="s">
        <v>162</v>
      </c>
    </row>
    <row r="5" customFormat="false" ht="37.5" hidden="false" customHeight="true" outlineLevel="0" collapsed="false">
      <c r="A5" s="46" t="s">
        <v>163</v>
      </c>
    </row>
    <row r="6" customFormat="false" ht="37.5" hidden="false" customHeight="true" outlineLevel="0" collapsed="false">
      <c r="A6" s="46" t="s">
        <v>164</v>
      </c>
    </row>
    <row r="7" customFormat="false" ht="37.5" hidden="false" customHeight="true" outlineLevel="0" collapsed="false">
      <c r="A7" s="46" t="s">
        <v>165</v>
      </c>
    </row>
    <row r="8" customFormat="false" ht="37.5" hidden="false" customHeight="true" outlineLevel="0" collapsed="false">
      <c r="A8" s="46" t="s">
        <v>166</v>
      </c>
    </row>
    <row r="9" customFormat="false" ht="37.5" hidden="false" customHeight="true" outlineLevel="0" collapsed="false">
      <c r="A9" s="46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2026-10-08T16:34:09Z</dcterms:created>
  <dc:creator>openpyxl</dc:creator>
  <dc:description/>
  <dc:language>en-US</dc:language>
  <cp:lastModifiedBy/>
  <dcterms:modified xsi:type="dcterms:W3CDTF">2026-10-08T16:34:11Z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