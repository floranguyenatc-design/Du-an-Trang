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SỔ CÔNG NỢ" sheetId="2" state="visible" r:id="rId4"/>
    <sheet name="THANH TOÁN" sheetId="3" state="visible" r:id="rId5"/>
    <sheet name="KIỂM TRA" sheetId="4" state="visible" r:id="rId6"/>
    <sheet name="HƯỚNG DẪ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<sst xmlns="http://schemas.openxmlformats.org/spreadsheetml/2006/main" count="356" uniqueCount="144">
  <si>
    <t xml:space="preserve">TỔNG HỢP CÔNG NỢ CÁC CỬA HÀNG</t>
  </si>
  <si>
    <t xml:space="preserve">Số dương = cửa hàng còn nợ công ty; số âm (đỏ) = công ty đang nợ lại cửa hàng. "Theo biên bản" là số đã ghi trên biên bản gửi khách; "Tính lại" là số em tự cộng trừ lại từ các khoản trên biên bản.</t>
  </si>
  <si>
    <t xml:space="preserve">CỬA HÀNG CÒN NỢ (theo biên bản)</t>
  </si>
  <si>
    <t xml:space="preserve">CÔNG TY NỢ LẠI CỬA HÀNG (theo BB)</t>
  </si>
  <si>
    <t xml:space="preserve">NỢ RÒNG THEO BIÊN BẢN</t>
  </si>
  <si>
    <t xml:space="preserve">NỢ RÒNG TÍNH LẠI</t>
  </si>
  <si>
    <t xml:space="preserve">SỐ BIÊN BẢN CÓ CHÊNH LỆCH</t>
  </si>
  <si>
    <t xml:space="preserve">▶ CÔNG NỢ TỪNG CỬA HÀNG (sắp theo số nợ giảm dần)</t>
  </si>
  <si>
    <t xml:space="preserve">STT</t>
  </si>
  <si>
    <t xml:space="preserve">Cửa hàng</t>
  </si>
  <si>
    <t xml:space="preserve">Biên bản
gần nhất</t>
  </si>
  <si>
    <t xml:space="preserve">NỢ THEO
BIÊN BẢN</t>
  </si>
  <si>
    <t xml:space="preserve">Nợ
tính lại</t>
  </si>
  <si>
    <t xml:space="preserve">Chênh lệch</t>
  </si>
  <si>
    <t xml:space="preserve">Tình trạng</t>
  </si>
  <si>
    <t xml:space="preserve">Phát sinh
sau CK (cộng dồn)</t>
  </si>
  <si>
    <t xml:space="preserve">Hàng trả lại
sau CK</t>
  </si>
  <si>
    <t xml:space="preserve">Đã thanh toán
(cộng dồn)</t>
  </si>
  <si>
    <t xml:space="preserve">Lưu ý</t>
  </si>
  <si>
    <t xml:space="preserve">Thông Lan (Thiệu Vân)</t>
  </si>
  <si>
    <t xml:space="preserve">Tuân Thuận</t>
  </si>
  <si>
    <t xml:space="preserve">Anh Hưng (giao anh Hải, TP)</t>
  </si>
  <si>
    <t xml:space="preserve">Nghị Hậu</t>
  </si>
  <si>
    <t xml:space="preserve">Hà Liên</t>
  </si>
  <si>
    <t xml:space="preserve">Chinh Ưng (Đông Lĩnh)</t>
  </si>
  <si>
    <t xml:space="preserve">Cường Hà</t>
  </si>
  <si>
    <t xml:space="preserve">Toàn Lanh</t>
  </si>
  <si>
    <t xml:space="preserve">Chị Thu (Rừng Thông)</t>
  </si>
  <si>
    <t xml:space="preserve">Anh Hùng (TP)</t>
  </si>
  <si>
    <t xml:space="preserve">Tìm Mai (Hoàng Châu)</t>
  </si>
  <si>
    <t xml:space="preserve">Tuấn Thanh</t>
  </si>
  <si>
    <t xml:space="preserve">Trần Văn Chung (Thiệu Tân)</t>
  </si>
  <si>
    <t xml:space="preserve">Chú Giáp (Thiệu Thành)</t>
  </si>
  <si>
    <t xml:space="preserve">Anh Giang (Đông Thanh)</t>
  </si>
  <si>
    <t xml:space="preserve">Hiền Xuân</t>
  </si>
  <si>
    <t xml:space="preserve">Văn Thiệu Dương</t>
  </si>
  <si>
    <t xml:space="preserve">Hòa Hiệp</t>
  </si>
  <si>
    <t xml:space="preserve">Anh Duẩn (Lĩnh Lộc)</t>
  </si>
  <si>
    <t xml:space="preserve">Cô Khoa (Nông Cống)</t>
  </si>
  <si>
    <t xml:space="preserve">Công Thành</t>
  </si>
  <si>
    <t xml:space="preserve">Quân Sen</t>
  </si>
  <si>
    <t xml:space="preserve">Anh Việt (Thiệu Vân)</t>
  </si>
  <si>
    <t xml:space="preserve">TỔNG (nợ ròng)</t>
  </si>
  <si>
    <t xml:space="preserve">Tháng bắt đầu của các bảng theo tháng bên dưới:</t>
  </si>
  <si>
    <t xml:space="preserve">▶ NỢ CUỐI KỲ THEO BIÊN BẢN – THEO THÁNG (số âm = công ty nợ lại)</t>
  </si>
  <si>
    <t xml:space="preserve">TỔNG</t>
  </si>
  <si>
    <t xml:space="preserve">▶ PHÁT SINH SAU CHIẾT KHẤU – THEO THÁNG</t>
  </si>
  <si>
    <t xml:space="preserve">▶ ĐÃ THANH TOÁN – THEO THÁNG</t>
  </si>
  <si>
    <t xml:space="preserve">SỔ CÔNG NỢ THEO KHÁCH – THEO THÁNG</t>
  </si>
  <si>
    <t xml:space="preserve">Số dương = khách còn nợ công ty; số âm (đỏ) = công ty nợ lại khách. Cột vàng = số ghi trên biên bản; cột xanh dương = tự tính lại để đối chiếu.</t>
  </si>
  <si>
    <t xml:space="preserve">Khách hàng</t>
  </si>
  <si>
    <t xml:space="preserve">Tháng</t>
  </si>
  <si>
    <t xml:space="preserve">Nợ đầu kỳ
(theo biên bản)</t>
  </si>
  <si>
    <t xml:space="preserve">Phát sinh
(giá gốc)</t>
  </si>
  <si>
    <t xml:space="preserve">Tiền
chiết khấu</t>
  </si>
  <si>
    <t xml:space="preserve">% chiết
khấu</t>
  </si>
  <si>
    <t xml:space="preserve">Phát sinh
sau CK</t>
  </si>
  <si>
    <t xml:space="preserve">Hàng trả lại
(giá gốc)</t>
  </si>
  <si>
    <t xml:space="preserve">CK hàng
trả lại</t>
  </si>
  <si>
    <t xml:space="preserve">Khách đã
thanh toán</t>
  </si>
  <si>
    <t xml:space="preserve">Nợ đầu kỳ
(tính lại)</t>
  </si>
  <si>
    <t xml:space="preserve">NỢ CUỐI KỲ
(TÍNH LẠI)</t>
  </si>
  <si>
    <t xml:space="preserve">Nợ cuối kỳ
(theo biên bản)</t>
  </si>
  <si>
    <t xml:space="preserve">Chênh lệch
(BB − tính lại)</t>
  </si>
  <si>
    <t xml:space="preserve">Ghi chú / vấn đề phát hiện</t>
  </si>
  <si>
    <t xml:space="preserve">62%</t>
  </si>
  <si>
    <t xml:space="preserve">Biên bản ghi "Tổng nợ phải thanh toán" 5.091.440 = đúng số TIỀN CHIẾT KHẤU, trong khi phát sinh sau chiết khấu là 3.120.560 → biên bản ghi nợ dư 1.970.880.</t>
  </si>
  <si>
    <t xml:space="preserve">45-20%</t>
  </si>
  <si>
    <t xml:space="preserve">60%</t>
  </si>
  <si>
    <t xml:space="preserve">63%</t>
  </si>
  <si>
    <t xml:space="preserve">Biên bản trừ tiền chiết khấu của hàng trả lại (7.689.780) thay vì giá trị sau chiết khấu (4.516.220) → nợ ghi thấp hơn 3.173.560.</t>
  </si>
  <si>
    <t xml:space="preserve">65%</t>
  </si>
  <si>
    <t xml:space="preserve">Biên bản ghi 16.634.000 là "Phát sinh hàng nhập lại" (hàng trả lại ngày 16/07) nhưng lại CỘNG vào nợ (1.707.190 + 5.821.900 = 7.529.090). Hàng trả lại phải TRỪ nợ.</t>
  </si>
  <si>
    <t xml:space="preserve">Toàn bộ hàng trên biên bản là hàng khách trả lại (17/06). Ngày 30/07 công ty trả lại khách 1.450.000 (tính là thanh toán âm).</t>
  </si>
  <si>
    <t xml:space="preserve">Biên bản ghi tiêu đề "Tháng 8" nhưng hàng xuất ngày 10/09 → xếp vào tháng 9.</t>
  </si>
  <si>
    <t xml:space="preserve">Khoản thanh toán 17.100.000 ghi "ngày 23/06" đã được trừ ở biên bản tháng 6 – nghi bị tính lặp lại. Tính lại: không trừ lần 2 (cần chị xác nhận).</t>
  </si>
  <si>
    <t xml:space="preserve">Hệ quả của tháng 7: nợ đầu kỳ tính lại (32.256.999) khác nợ đầu kỳ ghi trên biên bản (15.156.999).</t>
  </si>
  <si>
    <t xml:space="preserve">Biên bản lấy nợ đầu kỳ 15.156.999 (số cuối tháng 7, bỏ qua tháng 8) và trừ lại khoản 19.000.000 ngày 18/08 đã trừ ở tháng 8. Tính lại: lấy đầu kỳ = cuối tháng 8, không trừ lần 2 (cần chị xác nhận).</t>
  </si>
  <si>
    <t xml:space="preserve">Khách (A Việt) đã trả trước 10.000.000 ngày 28/06 → công ty còn nợ lại 9.538.000.</t>
  </si>
  <si>
    <t xml:space="preserve">NHẬT KÝ THANH TOÁN</t>
  </si>
  <si>
    <t xml:space="preserve">Mỗi lần khách trả tiền (hoặc công ty trả lại khách – ghi số âm) ghi 1 dòng. Cột "Tính vào nợ" = Không khi khoản đó nghi bị ghi trùng.</t>
  </si>
  <si>
    <t xml:space="preserve">Kỳ biên bản
(tháng)</t>
  </si>
  <si>
    <t xml:space="preserve">Ngày thanh toán</t>
  </si>
  <si>
    <t xml:space="preserve">Số tiền (VNĐ)</t>
  </si>
  <si>
    <t xml:space="preserve">Tính vào nợ?</t>
  </si>
  <si>
    <t xml:space="preserve">Ghi chú</t>
  </si>
  <si>
    <t xml:space="preserve">Có</t>
  </si>
  <si>
    <t xml:space="preserve">Ngày 30 tháng 06 CH Thanh toán</t>
  </si>
  <si>
    <t xml:space="preserve">Ngày 30 tháng 07 trả lại Cô Khoa số tiền là: [trả lại] (công ty trả lại khách → ghi âm)</t>
  </si>
  <si>
    <t xml:space="preserve">Ngày 29 tháng 07 CH Thanh toán</t>
  </si>
  <si>
    <t xml:space="preserve">Ngày 25 tháng 08 CH Thanh toán</t>
  </si>
  <si>
    <t xml:space="preserve">Ngày 30 tháng 07 CH Thanh toán</t>
  </si>
  <si>
    <t xml:space="preserve">Ngày 08 tháng 07 CH Thanh toán</t>
  </si>
  <si>
    <t xml:space="preserve">Ngày 26 tháng 08 CH Thanh toán</t>
  </si>
  <si>
    <t xml:space="preserve">CH đã tt ngày 14/06</t>
  </si>
  <si>
    <t xml:space="preserve">CH đã tt ngày 21/6</t>
  </si>
  <si>
    <t xml:space="preserve">CH đã tt ngày 17/06</t>
  </si>
  <si>
    <t xml:space="preserve">CH đã tt ngày 23/06/2026</t>
  </si>
  <si>
    <t xml:space="preserve">Không</t>
  </si>
  <si>
    <t xml:space="preserve">Ngày 23 tháng 06 CH Quân sen Thanh toán – nghi trùng với khoản đã trừ ở kỳ trước</t>
  </si>
  <si>
    <t xml:space="preserve">Ngày 18 tháng 08 CH Quân sen Thanh toán</t>
  </si>
  <si>
    <t xml:space="preserve">Ngày 18 tháng 08 CH Quân sen Thanh toán – nghi trùng với khoản đã trừ ở kỳ trước</t>
  </si>
  <si>
    <t xml:space="preserve">CH đã tt ngày 28/06</t>
  </si>
  <si>
    <t xml:space="preserve">CH đã tt ngày 01/07</t>
  </si>
  <si>
    <t xml:space="preserve">CH đã tt ngày 30/07</t>
  </si>
  <si>
    <t xml:space="preserve">Ngày 23 tháng 07 năm 2026 CH Thanh toán</t>
  </si>
  <si>
    <t xml:space="preserve">Ngày 06 tháng 09 CH Tuân Thuận Thanh toán</t>
  </si>
  <si>
    <t xml:space="preserve">Ngày 09 tháng 09 CH Tuân Thuận Thanh toán</t>
  </si>
  <si>
    <t xml:space="preserve">Ngày 15 tháng 09 CH Tuân Thuận Thanh toán</t>
  </si>
  <si>
    <t xml:space="preserve">Ngày 20 tháng 09 CH Tuân Thuận Thanh toán</t>
  </si>
  <si>
    <t xml:space="preserve">Ngày 23 tháng 09 CH Tuân Thuận Thanh toán</t>
  </si>
  <si>
    <t xml:space="preserve">A Việt đã thanh toán ngày 28/06</t>
  </si>
  <si>
    <t xml:space="preserve">CÁC ĐIỂM CẦN CHỊ XÁC NHẬN</t>
  </si>
  <si>
    <t xml:space="preserve">Em dựng lại sổ từ 47 biên bản (23 cửa hàng, tháng 6–9/2026) rồi cộng trừ lại từng biên bản để đối chiếu với số ghi trên biên bản.</t>
  </si>
  <si>
    <t xml:space="preserve">#</t>
  </si>
  <si>
    <t xml:space="preserve">Vấn đề</t>
  </si>
  <si>
    <t xml:space="preserve">Số tiền chênh</t>
  </si>
  <si>
    <t xml:space="preserve">Mức độ</t>
  </si>
  <si>
    <t xml:space="preserve">Tất cả cửa hàng</t>
  </si>
  <si>
    <t xml:space="preserve">Đối chiếu: 40/46 biên bản cộng trừ lại khớp đúng số cuối kỳ ghi trên biên bản; 6 biên bản lệch (xem các dòng "Cần xác nhận").</t>
  </si>
  <si>
    <t xml:space="preserve">OK</t>
  </si>
  <si>
    <t xml:space="preserve">Cần xác nhận</t>
  </si>
  <si>
    <t xml:space="preserve">Anh Duẩn (Lĩnh Lộc), Chị Thu (Rừng Thông), Cô Khoa (Nông Cống), Hòa Hiệp, Nghị Hậu, Anh Việt (Thiệu Vân), Văn Thiệu Dương</t>
  </si>
  <si>
    <t xml:space="preserve">Biên bản mới nhất là tháng 6; chưa có tháng 7–9. Nợ hiện tại của các cửa hàng này có thể đã thay đổi – chị gửi thêm biên bản em cập nhật.</t>
  </si>
  <si>
    <t xml:space="preserve">Cần bổ sung</t>
  </si>
  <si>
    <t xml:space="preserve">Anh Giang (Đông Thanh), Anh Hưng (giao anh Hải, TP)</t>
  </si>
  <si>
    <t xml:space="preserve">Biên bản mới nhất là tháng 8; chưa có tháng 9. Nợ hiện tại của các cửa hàng này có thể đã thay đổi – chị gửi thêm biên bản em cập nhật.</t>
  </si>
  <si>
    <t xml:space="preserve">Chú Giáp (Thiệu Thành), Hiền Xuân, Toàn Lanh, Trần Văn Chung (Thiệu Tân), Tìm Mai (Hoàng Châu)</t>
  </si>
  <si>
    <t xml:space="preserve">Biên bản mới nhất là tháng 7; chưa có tháng 8–9. Nợ hiện tại của các cửa hàng này có thể đã thay đổi – chị gửi thêm biên bản em cập nhật.</t>
  </si>
  <si>
    <t xml:space="preserve">Tiêu đề biên bản ghi "Tháng 7" nhưng là biên bản tháng 9.</t>
  </si>
  <si>
    <t xml:space="preserve">Sửa biên bản</t>
  </si>
  <si>
    <t xml:space="preserve">Tiêu đề biên bản ghi "Tháng 5" nhưng là biên bản tháng 6.</t>
  </si>
  <si>
    <t xml:space="preserve">Tiêu đề biên bản ghi "Tháng 8" nhưng là biên bản tháng 9.</t>
  </si>
  <si>
    <t xml:space="preserve">Thiếu biên bản tháng 8 (nếu tháng đó không phát sinh thì bỏ qua).</t>
  </si>
  <si>
    <t xml:space="preserve">Thiếu biên bản tháng 7 (nếu tháng đó không phát sinh thì bỏ qua).</t>
  </si>
  <si>
    <t xml:space="preserve">Tổng các dòng hàng (32,772,000) khác "Tổng phát sinh" ghi trên biên bản (31,659,000).</t>
  </si>
  <si>
    <t xml:space="preserve">Tổng các dòng hàng (191,404,350) khác "Tổng phát sinh" ghi trên biên bản (189,315,350).</t>
  </si>
  <si>
    <t xml:space="preserve">HƯỚNG DẪN SỬ DỤNG</t>
  </si>
  <si>
    <t xml:space="preserve">Mỗi tháng: ghi thanh toán, thêm 1 dòng ở SỔ CÔNG NỢ cho mỗi cửa hàng có biên bản, TỔNG HỢP tự cập nhật.</t>
  </si>
  <si>
    <t xml:space="preserve">1. THANH TOÁN: mỗi lần cửa hàng trả tiền ghi 1 dòng (Cửa hàng, Kỳ biên bản = ngày mùng 1 của tháng biên bản, Số tiền, Tính vào nợ = Có).</t>
  </si>
  <si>
    <t xml:space="preserve">2. SỔ CÔNG NỢ: sang tháng mới, gõ vào dòng vàng trống: Cửa hàng + Tháng (vd 01/10/2026) + Nợ đầu kỳ ghi trên biên bản + Phát sinh (giá gốc) + Tiền chiết khấu + % chiết khấu; hàng khách trả lại thì điền thêm 2 cột hàng trả lại. Cột thanh toán, nợ đầu kỳ tính lại, nợ cuối kỳ tính lại tự chạy.</t>
  </si>
  <si>
    <t xml:space="preserve">3. Điền "Nợ cuối kỳ (theo biên bản)" ghi trên biên bản để file tự so sánh – cột Chênh lệch khác 0 sẽ tô đỏ.</t>
  </si>
  <si>
    <t xml:space="preserve">4. TỔNG HỢP: nợ từng cửa hàng theo biên bản gần nhất và theo số tính lại, 3 bảng theo tháng. Cửa hàng mới: gõ tên vào ô vàng trống cột "Cửa hàng".</t>
  </si>
  <si>
    <t xml:space="preserve">5. Chữ XANH / ô vàng = chị nhập. Chữ đen / ô xám = công thức, đừng xóa. Số dương = cửa hàng nợ công ty, số âm = công ty nợ lại.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</si>
</sst>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đ&quot;"/>
    <numFmt numFmtId="166" formatCode="0"/>
    <numFmt numFmtId="167" formatCode="General"/>
    <numFmt numFmtId="168" formatCode="mm/yyyy"/>
    <numFmt numFmtId="169" formatCode="#,##0;[RED]\-#,##0;\-"/>
    <numFmt numFmtId="170" formatCode="\Tm/yyyy"/>
    <numFmt numFmtId="171" formatCode="#,##0,,&quot;tr&quot;"/>
    <numFmt numFmtId="172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5"/>
      <color rgb="FFC00000"/>
      <name val="Arial"/>
      <family val="0"/>
      <charset val="1"/>
    </font>
    <font>
      <b val="true"/>
      <sz val="15"/>
      <color rgb="FF7030A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5"/>
      <color rgb="FFBF8F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7030A0"/>
        <bgColor rgb="FF993366"/>
      </patternFill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DE9D9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9E1F2"/>
      </patternFill>
    </fill>
    <fill>
      <patternFill patternType="solid">
        <fgColor rgb="FFFDE9D9"/>
        <bgColor rgb="FFFFF2CC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030A0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1F2"/>
      <rgbColor rgb="FFFDE9D9"/>
      <rgbColor rgb="FFE4DFEC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 cửa hàng nợ nhiều nhất (theo biên bản, VNĐ)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HỢP'!$B$9:$B$18</c:f>
              <c:strCache>
                <c:ptCount val="10"/>
                <c:pt idx="0">
                  <c:v>Thông Lan (Thiệu Vân)</c:v>
                </c:pt>
                <c:pt idx="1">
                  <c:v>Tuân Thuận</c:v>
                </c:pt>
                <c:pt idx="2">
                  <c:v>Anh Hưng (giao anh Hải, TP)</c:v>
                </c:pt>
                <c:pt idx="3">
                  <c:v>Nghị Hậu</c:v>
                </c:pt>
                <c:pt idx="4">
                  <c:v>Hà Liên</c:v>
                </c:pt>
                <c:pt idx="5">
                  <c:v>Chinh Ưng (Đông Lĩnh)</c:v>
                </c:pt>
                <c:pt idx="6">
                  <c:v>Cường Hà</c:v>
                </c:pt>
                <c:pt idx="7">
                  <c:v>Toàn Lanh</c:v>
                </c:pt>
                <c:pt idx="8">
                  <c:v>Chị Thu (Rừng Thông)</c:v>
                </c:pt>
                <c:pt idx="9">
                  <c:v>Anh Hùng (TP)</c:v>
                </c:pt>
              </c:strCache>
            </c:strRef>
          </c:cat>
          <c:val>
            <c:numRef>
              <c:f>'TỔNG HỢP'!$D$9:$D$18</c:f>
              <c:numCache>
                <c:formatCode>#,##0;[RED]\-#,##0;\-</c:formatCode>
                <c:ptCount val="10"/>
                <c:pt idx="0">
                  <c:v>61451055</c:v>
                </c:pt>
                <c:pt idx="1">
                  <c:v>47835892</c:v>
                </c:pt>
                <c:pt idx="2">
                  <c:v>46455786</c:v>
                </c:pt>
                <c:pt idx="3">
                  <c:v>33448535</c:v>
                </c:pt>
                <c:pt idx="4">
                  <c:v>33078350</c:v>
                </c:pt>
                <c:pt idx="5">
                  <c:v>29985920</c:v>
                </c:pt>
                <c:pt idx="6">
                  <c:v>21149210</c:v>
                </c:pt>
                <c:pt idx="7">
                  <c:v>18143025</c:v>
                </c:pt>
                <c:pt idx="8">
                  <c:v>17142020</c:v>
                </c:pt>
                <c:pt idx="9">
                  <c:v>15821145</c:v>
                </c:pt>
              </c:numCache>
            </c:numRef>
          </c:val>
        </c:ser>
        <c:gapWidth val="150"/>
        <c:overlap val="0"/>
        <c:axId val="70818978"/>
        <c:axId val="15884752"/>
      </c:barChart>
      <c:catAx>
        <c:axId val="7081897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84752"/>
        <c:crosses val="autoZero"/>
        <c:auto val="1"/>
        <c:lblAlgn val="ctr"/>
        <c:lblOffset val="100"/>
        <c:noMultiLvlLbl val="0"/>
      </c:catAx>
      <c:valAx>
        <c:axId val="15884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189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131040</xdr:rowOff>
    </xdr:from>
    <xdr:to>
      <xdr:col>20</xdr:col>
      <xdr:colOff>507600</xdr:colOff>
      <xdr:row>15</xdr:row>
      <xdr:rowOff>151200</xdr:rowOff>
    </xdr:to>
    <xdr:graphicFrame>
      <xdr:nvGraphicFramePr>
        <xdr:cNvPr id="0" name="Chart 1"/>
        <xdr:cNvGraphicFramePr/>
      </xdr:nvGraphicFramePr>
      <xdr:xfrm>
        <a:off x="15836400" y="571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1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5"/>
      <c r="H4" s="5" t="s">
        <v>5</v>
      </c>
      <c r="I4" s="5"/>
      <c r="J4" s="6" t="s">
        <v>6</v>
      </c>
      <c r="K4" s="6"/>
    </row>
    <row r="5" customFormat="false" ht="33.75" hidden="false" customHeight="true" outlineLevel="0" collapsed="false">
      <c r="A5" s="7" t="n">
        <f aca="false">SUMIF(D9:D38,"&gt;0")</f>
        <v>375377145</v>
      </c>
      <c r="B5" s="7"/>
      <c r="C5" s="8" t="n">
        <f aca="false">-SUMIF(D9:D38,"&lt;0")</f>
        <v>14093922</v>
      </c>
      <c r="D5" s="8"/>
      <c r="E5" s="9" t="n">
        <f aca="false">SUM(D9:D38)</f>
        <v>361283223</v>
      </c>
      <c r="F5" s="9"/>
      <c r="G5" s="9"/>
      <c r="H5" s="9" t="n">
        <f aca="false">SUM(E9:E38)</f>
        <v>374657066.5</v>
      </c>
      <c r="I5" s="9"/>
      <c r="J5" s="10" t="n">
        <f aca="false">COUNTIF('SỔ CÔNG NỢ'!$O$5:$O$111,"&gt;1")+COUNTIF('SỔ CÔNG NỢ'!$O$5:$O$111,"&lt;-1")</f>
        <v>6</v>
      </c>
      <c r="K5" s="10"/>
    </row>
    <row r="7" customFormat="false" ht="15" hidden="false" customHeight="false" outlineLevel="0" collapsed="false">
      <c r="A7" s="11" t="s">
        <v>7</v>
      </c>
    </row>
    <row r="8" customFormat="false" ht="42" hidden="false" customHeight="true" outlineLevel="0" collapsed="false">
      <c r="A8" s="12" t="s">
        <v>8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</row>
    <row r="9" customFormat="false" ht="15" hidden="false" customHeight="false" outlineLevel="0" collapsed="false">
      <c r="A9" s="13" t="n">
        <f aca="false">IF($B9="","",ROW()-8)</f>
        <v>1</v>
      </c>
      <c r="B9" s="14" t="s">
        <v>19</v>
      </c>
      <c r="C9" s="15" t="n">
        <f aca="false">IF($B9="","",_xlfn.MAXIFS('SỔ CÔNG NỢ'!$B$5:$B$111,'SỔ CÔNG NỢ'!$A$5:$A$111,$B9))</f>
        <v>46266</v>
      </c>
      <c r="D9" s="16" t="n">
        <f aca="false">IF($B9="","",SUMIFS('SỔ CÔNG NỢ'!$N$5:$N$111,'SỔ CÔNG NỢ'!$A$5:$A$111,$B9,'SỔ CÔNG NỢ'!$B$5:$B$111,$C9))</f>
        <v>61451055</v>
      </c>
      <c r="E9" s="17" t="n">
        <f aca="false">IF($B9="","",SUMIFS('SỔ CÔNG NỢ'!$M$5:$M$111,'SỔ CÔNG NỢ'!$A$5:$A$111,$B9,'SỔ CÔNG NỢ'!$B$5:$B$111,$C9))</f>
        <v>61451055</v>
      </c>
      <c r="F9" s="17" t="n">
        <f aca="false">IF($B9="","",D9-E9)</f>
        <v>0</v>
      </c>
      <c r="G9" s="18" t="str">
        <f aca="false">IF($B9="","",IF(D9&gt;0,"Còn nợ",IF(D9&lt;0,"Công ty nợ lại","Hết nợ")))</f>
        <v>Còn nợ</v>
      </c>
      <c r="H9" s="17" t="n">
        <f aca="false">IF($B9="","",SUMIFS('SỔ CÔNG NỢ'!$G$5:$G$111,'SỔ CÔNG NỢ'!$A$5:$A$111,$B9))</f>
        <v>2624650</v>
      </c>
      <c r="I9" s="17" t="n">
        <f aca="false">IF($B9="","",SUMIFS('SỔ CÔNG NỢ'!$J$5:$J$111,'SỔ CÔNG NỢ'!$A$5:$A$111,$B9))</f>
        <v>0</v>
      </c>
      <c r="J9" s="17" t="n">
        <f aca="false">IF($B9="","",SUMIFS('SỔ CÔNG NỢ'!$K$5:$K$111,'SỔ CÔNG NỢ'!$A$5:$A$111,$B9))</f>
        <v>0</v>
      </c>
      <c r="K9" s="19" t="str">
        <f aca="false">IF($B9="","",IF(ABS(F9)&gt;1,"⚠ Biên bản lệch số tính lại – xem SỔ CÔNG NỢ. ","")&amp;IF(C9&lt;MAX('SỔ CÔNG NỢ'!$B$5:$B$111),"⚠ Chưa có biên bản sau "&amp;TEXT(C9,"mm/yyyy"),""))</f>
        <v/>
      </c>
    </row>
    <row r="10" customFormat="false" ht="15" hidden="false" customHeight="false" outlineLevel="0" collapsed="false">
      <c r="A10" s="13" t="n">
        <f aca="false">IF($B10="","",ROW()-8)</f>
        <v>2</v>
      </c>
      <c r="B10" s="14" t="s">
        <v>20</v>
      </c>
      <c r="C10" s="15" t="n">
        <f aca="false">IF($B10="","",_xlfn.MAXIFS('SỔ CÔNG NỢ'!$B$5:$B$111,'SỔ CÔNG NỢ'!$A$5:$A$111,$B10))</f>
        <v>46266</v>
      </c>
      <c r="D10" s="16" t="n">
        <f aca="false">IF($B10="","",SUMIFS('SỔ CÔNG NỢ'!$N$5:$N$111,'SỔ CÔNG NỢ'!$A$5:$A$111,$B10,'SỔ CÔNG NỢ'!$B$5:$B$111,$C10))</f>
        <v>47835892</v>
      </c>
      <c r="E10" s="17" t="n">
        <f aca="false">IF($B10="","",SUMIFS('SỔ CÔNG NỢ'!$M$5:$M$111,'SỔ CÔNG NỢ'!$A$5:$A$111,$B10,'SỔ CÔNG NỢ'!$B$5:$B$111,$C10))</f>
        <v>47835892</v>
      </c>
      <c r="F10" s="17" t="n">
        <f aca="false">IF($B10="","",D10-E10)</f>
        <v>0</v>
      </c>
      <c r="G10" s="18" t="str">
        <f aca="false">IF($B10="","",IF(D10&gt;0,"Còn nợ",IF(D10&lt;0,"Công ty nợ lại","Hết nợ")))</f>
        <v>Còn nợ</v>
      </c>
      <c r="H10" s="17" t="n">
        <f aca="false">IF($B10="","",SUMIFS('SỔ CÔNG NỢ'!$G$5:$G$111,'SỔ CÔNG NỢ'!$A$5:$A$111,$B10))</f>
        <v>191760280</v>
      </c>
      <c r="I10" s="17" t="n">
        <f aca="false">IF($B10="","",SUMIFS('SỔ CÔNG NỢ'!$J$5:$J$111,'SỔ CÔNG NỢ'!$A$5:$A$111,$B10))</f>
        <v>0</v>
      </c>
      <c r="J10" s="17" t="n">
        <f aca="false">IF($B10="","",SUMIFS('SỔ CÔNG NỢ'!$K$5:$K$111,'SỔ CÔNG NỢ'!$A$5:$A$111,$B10))</f>
        <v>108935000</v>
      </c>
      <c r="K10" s="19" t="str">
        <f aca="false">IF($B10="","",IF(ABS(F10)&gt;1,"⚠ Biên bản lệch số tính lại – xem SỔ CÔNG NỢ. ","")&amp;IF(C10&lt;MAX('SỔ CÔNG NỢ'!$B$5:$B$111),"⚠ Chưa có biên bản sau "&amp;TEXT(C10,"mm/yyyy"),""))</f>
        <v/>
      </c>
    </row>
    <row r="11" customFormat="false" ht="15" hidden="false" customHeight="false" outlineLevel="0" collapsed="false">
      <c r="A11" s="13" t="n">
        <f aca="false">IF($B11="","",ROW()-8)</f>
        <v>3</v>
      </c>
      <c r="B11" s="14" t="s">
        <v>21</v>
      </c>
      <c r="C11" s="15" t="n">
        <f aca="false">IF($B11="","",_xlfn.MAXIFS('SỔ CÔNG NỢ'!$B$5:$B$111,'SỔ CÔNG NỢ'!$A$5:$A$111,$B11))</f>
        <v>46235</v>
      </c>
      <c r="D11" s="16" t="n">
        <f aca="false">IF($B11="","",SUMIFS('SỔ CÔNG NỢ'!$N$5:$N$111,'SỔ CÔNG NỢ'!$A$5:$A$111,$B11,'SỔ CÔNG NỢ'!$B$5:$B$111,$C11))</f>
        <v>46455786</v>
      </c>
      <c r="E11" s="17" t="n">
        <f aca="false">IF($B11="","",SUMIFS('SỔ CÔNG NỢ'!$M$5:$M$111,'SỔ CÔNG NỢ'!$A$5:$A$111,$B11,'SỔ CÔNG NỢ'!$B$5:$B$111,$C11))</f>
        <v>46455786</v>
      </c>
      <c r="F11" s="17" t="n">
        <f aca="false">IF($B11="","",D11-E11)</f>
        <v>0</v>
      </c>
      <c r="G11" s="18" t="str">
        <f aca="false">IF($B11="","",IF(D11&gt;0,"Còn nợ",IF(D11&lt;0,"Công ty nợ lại","Hết nợ")))</f>
        <v>Còn nợ</v>
      </c>
      <c r="H11" s="17" t="n">
        <f aca="false">IF($B11="","",SUMIFS('SỔ CÔNG NỢ'!$G$5:$G$111,'SỔ CÔNG NỢ'!$A$5:$A$111,$B11))</f>
        <v>45925964</v>
      </c>
      <c r="I11" s="17" t="n">
        <f aca="false">IF($B11="","",SUMIFS('SỔ CÔNG NỢ'!$J$5:$J$111,'SỔ CÔNG NỢ'!$A$5:$A$111,$B11))</f>
        <v>0</v>
      </c>
      <c r="J11" s="17" t="n">
        <f aca="false">IF($B11="","",SUMIFS('SỔ CÔNG NỢ'!$K$5:$K$111,'SỔ CÔNG NỢ'!$A$5:$A$111,$B11))</f>
        <v>0</v>
      </c>
      <c r="K11" s="19" t="str">
        <f aca="false">IF($B11="","",IF(ABS(F11)&gt;1,"⚠ Biên bản lệch số tính lại – xem SỔ CÔNG NỢ. ","")&amp;IF(C11&lt;MAX('SỔ CÔNG NỢ'!$B$5:$B$111),"⚠ Chưa có biên bản sau "&amp;TEXT(C11,"mm/yyyy"),""))</f>
        <v>⚠ Chưa có biên bản sau 08/2026</v>
      </c>
    </row>
    <row r="12" customFormat="false" ht="15" hidden="false" customHeight="false" outlineLevel="0" collapsed="false">
      <c r="A12" s="13" t="n">
        <f aca="false">IF($B12="","",ROW()-8)</f>
        <v>4</v>
      </c>
      <c r="B12" s="14" t="s">
        <v>22</v>
      </c>
      <c r="C12" s="15" t="n">
        <f aca="false">IF($B12="","",_xlfn.MAXIFS('SỔ CÔNG NỢ'!$B$5:$B$111,'SỔ CÔNG NỢ'!$A$5:$A$111,$B12))</f>
        <v>46174</v>
      </c>
      <c r="D12" s="16" t="n">
        <f aca="false">IF($B12="","",SUMIFS('SỔ CÔNG NỢ'!$N$5:$N$111,'SỔ CÔNG NỢ'!$A$5:$A$111,$B12,'SỔ CÔNG NỢ'!$B$5:$B$111,$C12))</f>
        <v>33448535</v>
      </c>
      <c r="E12" s="17" t="n">
        <f aca="false">IF($B12="","",SUMIFS('SỔ CÔNG NỢ'!$M$5:$M$111,'SỔ CÔNG NỢ'!$A$5:$A$111,$B12,'SỔ CÔNG NỢ'!$B$5:$B$111,$C12))</f>
        <v>33448535</v>
      </c>
      <c r="F12" s="17" t="n">
        <f aca="false">IF($B12="","",D12-E12)</f>
        <v>0</v>
      </c>
      <c r="G12" s="18" t="str">
        <f aca="false">IF($B12="","",IF(D12&gt;0,"Còn nợ",IF(D12&lt;0,"Công ty nợ lại","Hết nợ")))</f>
        <v>Còn nợ</v>
      </c>
      <c r="H12" s="17" t="n">
        <f aca="false">IF($B12="","",SUMIFS('SỔ CÔNG NỢ'!$G$5:$G$111,'SỔ CÔNG NỢ'!$A$5:$A$111,$B12))</f>
        <v>27770535</v>
      </c>
      <c r="I12" s="17" t="n">
        <f aca="false">IF($B12="","",SUMIFS('SỔ CÔNG NỢ'!$J$5:$J$111,'SỔ CÔNG NỢ'!$A$5:$A$111,$B12))</f>
        <v>0</v>
      </c>
      <c r="J12" s="17" t="n">
        <f aca="false">IF($B12="","",SUMIFS('SỔ CÔNG NỢ'!$K$5:$K$111,'SỔ CÔNG NỢ'!$A$5:$A$111,$B12))</f>
        <v>28000000</v>
      </c>
      <c r="K12" s="19" t="str">
        <f aca="false">IF($B12="","",IF(ABS(F12)&gt;1,"⚠ Biên bản lệch số tính lại – xem SỔ CÔNG NỢ. ","")&amp;IF(C12&lt;MAX('SỔ CÔNG NỢ'!$B$5:$B$111),"⚠ Chưa có biên bản sau "&amp;TEXT(C12,"mm/yyyy"),""))</f>
        <v>⚠ Chưa có biên bản sau 06/2026</v>
      </c>
    </row>
    <row r="13" customFormat="false" ht="15" hidden="false" customHeight="false" outlineLevel="0" collapsed="false">
      <c r="A13" s="13" t="n">
        <f aca="false">IF($B13="","",ROW()-8)</f>
        <v>5</v>
      </c>
      <c r="B13" s="14" t="s">
        <v>23</v>
      </c>
      <c r="C13" s="15" t="n">
        <f aca="false">IF($B13="","",_xlfn.MAXIFS('SỔ CÔNG NỢ'!$B$5:$B$111,'SỔ CÔNG NỢ'!$A$5:$A$111,$B13))</f>
        <v>46266</v>
      </c>
      <c r="D13" s="16" t="n">
        <f aca="false">IF($B13="","",SUMIFS('SỔ CÔNG NỢ'!$N$5:$N$111,'SỔ CÔNG NỢ'!$A$5:$A$111,$B13,'SỔ CÔNG NỢ'!$B$5:$B$111,$C13))</f>
        <v>33078350</v>
      </c>
      <c r="E13" s="17" t="n">
        <f aca="false">IF($B13="","",SUMIFS('SỔ CÔNG NỢ'!$M$5:$M$111,'SỔ CÔNG NỢ'!$A$5:$A$111,$B13,'SỔ CÔNG NỢ'!$B$5:$B$111,$C13))</f>
        <v>33078350</v>
      </c>
      <c r="F13" s="17" t="n">
        <f aca="false">IF($B13="","",D13-E13)</f>
        <v>0</v>
      </c>
      <c r="G13" s="18" t="str">
        <f aca="false">IF($B13="","",IF(D13&gt;0,"Còn nợ",IF(D13&lt;0,"Công ty nợ lại","Hết nợ")))</f>
        <v>Còn nợ</v>
      </c>
      <c r="H13" s="17" t="n">
        <f aca="false">IF($B13="","",SUMIFS('SỔ CÔNG NỢ'!$G$5:$G$111,'SỔ CÔNG NỢ'!$A$5:$A$111,$B13))</f>
        <v>80718200</v>
      </c>
      <c r="I13" s="17" t="n">
        <f aca="false">IF($B13="","",SUMIFS('SỔ CÔNG NỢ'!$J$5:$J$111,'SỔ CÔNG NỢ'!$A$5:$A$111,$B13))</f>
        <v>0</v>
      </c>
      <c r="J13" s="17" t="n">
        <f aca="false">IF($B13="","",SUMIFS('SỔ CÔNG NỢ'!$K$5:$K$111,'SỔ CÔNG NỢ'!$A$5:$A$111,$B13))</f>
        <v>48530000</v>
      </c>
      <c r="K13" s="19" t="str">
        <f aca="false">IF($B13="","",IF(ABS(F13)&gt;1,"⚠ Biên bản lệch số tính lại – xem SỔ CÔNG NỢ. ","")&amp;IF(C13&lt;MAX('SỔ CÔNG NỢ'!$B$5:$B$111),"⚠ Chưa có biên bản sau "&amp;TEXT(C13,"mm/yyyy"),""))</f>
        <v/>
      </c>
    </row>
    <row r="14" customFormat="false" ht="15" hidden="false" customHeight="false" outlineLevel="0" collapsed="false">
      <c r="A14" s="13" t="n">
        <f aca="false">IF($B14="","",ROW()-8)</f>
        <v>6</v>
      </c>
      <c r="B14" s="14" t="s">
        <v>24</v>
      </c>
      <c r="C14" s="15" t="n">
        <f aca="false">IF($B14="","",_xlfn.MAXIFS('SỔ CÔNG NỢ'!$B$5:$B$111,'SỔ CÔNG NỢ'!$A$5:$A$111,$B14))</f>
        <v>46266</v>
      </c>
      <c r="D14" s="16" t="n">
        <f aca="false">IF($B14="","",SUMIFS('SỔ CÔNG NỢ'!$N$5:$N$111,'SỔ CÔNG NỢ'!$A$5:$A$111,$B14,'SỔ CÔNG NỢ'!$B$5:$B$111,$C14))</f>
        <v>29985920</v>
      </c>
      <c r="E14" s="17" t="n">
        <f aca="false">IF($B14="","",SUMIFS('SỔ CÔNG NỢ'!$M$5:$M$111,'SỔ CÔNG NỢ'!$A$5:$A$111,$B14,'SỔ CÔNG NỢ'!$B$5:$B$111,$C14))</f>
        <v>29985920</v>
      </c>
      <c r="F14" s="17" t="n">
        <f aca="false">IF($B14="","",D14-E14)</f>
        <v>0</v>
      </c>
      <c r="G14" s="18" t="str">
        <f aca="false">IF($B14="","",IF(D14&gt;0,"Còn nợ",IF(D14&lt;0,"Công ty nợ lại","Hết nợ")))</f>
        <v>Còn nợ</v>
      </c>
      <c r="H14" s="17" t="n">
        <f aca="false">IF($B14="","",SUMIFS('SỔ CÔNG NỢ'!$G$5:$G$111,'SỔ CÔNG NỢ'!$A$5:$A$111,$B14))</f>
        <v>23061840</v>
      </c>
      <c r="I14" s="17" t="n">
        <f aca="false">IF($B14="","",SUMIFS('SỔ CÔNG NỢ'!$J$5:$J$111,'SỔ CÔNG NỢ'!$A$5:$A$111,$B14))</f>
        <v>2532720</v>
      </c>
      <c r="J14" s="17" t="n">
        <f aca="false">IF($B14="","",SUMIFS('SỔ CÔNG NỢ'!$K$5:$K$111,'SỔ CÔNG NỢ'!$A$5:$A$111,$B14))</f>
        <v>0</v>
      </c>
      <c r="K14" s="19" t="str">
        <f aca="false">IF($B14="","",IF(ABS(F14)&gt;1,"⚠ Biên bản lệch số tính lại – xem SỔ CÔNG NỢ. ","")&amp;IF(C14&lt;MAX('SỔ CÔNG NỢ'!$B$5:$B$111),"⚠ Chưa có biên bản sau "&amp;TEXT(C14,"mm/yyyy"),""))</f>
        <v/>
      </c>
    </row>
    <row r="15" customFormat="false" ht="15" hidden="false" customHeight="false" outlineLevel="0" collapsed="false">
      <c r="A15" s="13" t="n">
        <f aca="false">IF($B15="","",ROW()-8)</f>
        <v>7</v>
      </c>
      <c r="B15" s="14" t="s">
        <v>25</v>
      </c>
      <c r="C15" s="15" t="n">
        <f aca="false">IF($B15="","",_xlfn.MAXIFS('SỔ CÔNG NỢ'!$B$5:$B$111,'SỔ CÔNG NỢ'!$A$5:$A$111,$B15))</f>
        <v>46266</v>
      </c>
      <c r="D15" s="16" t="n">
        <f aca="false">IF($B15="","",SUMIFS('SỔ CÔNG NỢ'!$N$5:$N$111,'SỔ CÔNG NỢ'!$A$5:$A$111,$B15,'SỔ CÔNG NỢ'!$B$5:$B$111,$C15))</f>
        <v>21149210</v>
      </c>
      <c r="E15" s="17" t="n">
        <f aca="false">IF($B15="","",SUMIFS('SỔ CÔNG NỢ'!$M$5:$M$111,'SỔ CÔNG NỢ'!$A$5:$A$111,$B15,'SỔ CÔNG NỢ'!$B$5:$B$111,$C15))</f>
        <v>21149210</v>
      </c>
      <c r="F15" s="17" t="n">
        <f aca="false">IF($B15="","",D15-E15)</f>
        <v>0</v>
      </c>
      <c r="G15" s="18" t="str">
        <f aca="false">IF($B15="","",IF(D15&gt;0,"Còn nợ",IF(D15&lt;0,"Công ty nợ lại","Hết nợ")))</f>
        <v>Còn nợ</v>
      </c>
      <c r="H15" s="17" t="n">
        <f aca="false">IF($B15="","",SUMIFS('SỔ CÔNG NỢ'!$G$5:$G$111,'SỔ CÔNG NỢ'!$A$5:$A$111,$B15))</f>
        <v>144851200</v>
      </c>
      <c r="I15" s="17" t="n">
        <f aca="false">IF($B15="","",SUMIFS('SỔ CÔNG NỢ'!$J$5:$J$111,'SỔ CÔNG NỢ'!$A$5:$A$111,$B15))</f>
        <v>0</v>
      </c>
      <c r="J15" s="17" t="n">
        <f aca="false">IF($B15="","",SUMIFS('SỔ CÔNG NỢ'!$K$5:$K$111,'SỔ CÔNG NỢ'!$A$5:$A$111,$B15))</f>
        <v>30000000</v>
      </c>
      <c r="K15" s="19" t="str">
        <f aca="false">IF($B15="","",IF(ABS(F15)&gt;1,"⚠ Biên bản lệch số tính lại – xem SỔ CÔNG NỢ. ","")&amp;IF(C15&lt;MAX('SỔ CÔNG NỢ'!$B$5:$B$111),"⚠ Chưa có biên bản sau "&amp;TEXT(C15,"mm/yyyy"),""))</f>
        <v/>
      </c>
    </row>
    <row r="16" customFormat="false" ht="15" hidden="false" customHeight="false" outlineLevel="0" collapsed="false">
      <c r="A16" s="13" t="n">
        <f aca="false">IF($B16="","",ROW()-8)</f>
        <v>8</v>
      </c>
      <c r="B16" s="14" t="s">
        <v>26</v>
      </c>
      <c r="C16" s="15" t="n">
        <f aca="false">IF($B16="","",_xlfn.MAXIFS('SỔ CÔNG NỢ'!$B$5:$B$111,'SỔ CÔNG NỢ'!$A$5:$A$111,$B16))</f>
        <v>46204</v>
      </c>
      <c r="D16" s="16" t="n">
        <f aca="false">IF($B16="","",SUMIFS('SỔ CÔNG NỢ'!$N$5:$N$111,'SỔ CÔNG NỢ'!$A$5:$A$111,$B16,'SỔ CÔNG NỢ'!$B$5:$B$111,$C16))</f>
        <v>18143025</v>
      </c>
      <c r="E16" s="17" t="n">
        <f aca="false">IF($B16="","",SUMIFS('SỔ CÔNG NỢ'!$M$5:$M$111,'SỔ CÔNG NỢ'!$A$5:$A$111,$B16,'SỔ CÔNG NỢ'!$B$5:$B$111,$C16))</f>
        <v>18143025</v>
      </c>
      <c r="F16" s="17" t="n">
        <f aca="false">IF($B16="","",D16-E16)</f>
        <v>0</v>
      </c>
      <c r="G16" s="18" t="str">
        <f aca="false">IF($B16="","",IF(D16&gt;0,"Còn nợ",IF(D16&lt;0,"Công ty nợ lại","Hết nợ")))</f>
        <v>Còn nợ</v>
      </c>
      <c r="H16" s="17" t="n">
        <f aca="false">IF($B16="","",SUMIFS('SỔ CÔNG NỢ'!$G$5:$G$111,'SỔ CÔNG NỢ'!$A$5:$A$111,$B16))</f>
        <v>77893825</v>
      </c>
      <c r="I16" s="17" t="n">
        <f aca="false">IF($B16="","",SUMIFS('SỔ CÔNG NỢ'!$J$5:$J$111,'SỔ CÔNG NỢ'!$A$5:$A$111,$B16))</f>
        <v>5950800</v>
      </c>
      <c r="J16" s="17" t="n">
        <f aca="false">IF($B16="","",SUMIFS('SỔ CÔNG NỢ'!$K$5:$K$111,'SỔ CÔNG NỢ'!$A$5:$A$111,$B16))</f>
        <v>53800000</v>
      </c>
      <c r="K16" s="19" t="str">
        <f aca="false">IF($B16="","",IF(ABS(F16)&gt;1,"⚠ Biên bản lệch số tính lại – xem SỔ CÔNG NỢ. ","")&amp;IF(C16&lt;MAX('SỔ CÔNG NỢ'!$B$5:$B$111),"⚠ Chưa có biên bản sau "&amp;TEXT(C16,"mm/yyyy"),""))</f>
        <v>⚠ Chưa có biên bản sau 07/2026</v>
      </c>
    </row>
    <row r="17" customFormat="false" ht="15" hidden="false" customHeight="false" outlineLevel="0" collapsed="false">
      <c r="A17" s="13" t="n">
        <f aca="false">IF($B17="","",ROW()-8)</f>
        <v>9</v>
      </c>
      <c r="B17" s="14" t="s">
        <v>27</v>
      </c>
      <c r="C17" s="15" t="n">
        <f aca="false">IF($B17="","",_xlfn.MAXIFS('SỔ CÔNG NỢ'!$B$5:$B$111,'SỔ CÔNG NỢ'!$A$5:$A$111,$B17))</f>
        <v>46174</v>
      </c>
      <c r="D17" s="16" t="n">
        <f aca="false">IF($B17="","",SUMIFS('SỔ CÔNG NỢ'!$N$5:$N$111,'SỔ CÔNG NỢ'!$A$5:$A$111,$B17,'SỔ CÔNG NỢ'!$B$5:$B$111,$C17))</f>
        <v>17142020</v>
      </c>
      <c r="E17" s="17" t="n">
        <f aca="false">IF($B17="","",SUMIFS('SỔ CÔNG NỢ'!$M$5:$M$111,'SỔ CÔNG NỢ'!$A$5:$A$111,$B17,'SỔ CÔNG NỢ'!$B$5:$B$111,$C17))</f>
        <v>17142020</v>
      </c>
      <c r="F17" s="17" t="n">
        <f aca="false">IF($B17="","",D17-E17)</f>
        <v>0</v>
      </c>
      <c r="G17" s="18" t="str">
        <f aca="false">IF($B17="","",IF(D17&gt;0,"Còn nợ",IF(D17&lt;0,"Công ty nợ lại","Hết nợ")))</f>
        <v>Còn nợ</v>
      </c>
      <c r="H17" s="17" t="n">
        <f aca="false">IF($B17="","",SUMIFS('SỔ CÔNG NỢ'!$G$5:$G$111,'SỔ CÔNG NỢ'!$A$5:$A$111,$B17))</f>
        <v>17142020</v>
      </c>
      <c r="I17" s="17" t="n">
        <f aca="false">IF($B17="","",SUMIFS('SỔ CÔNG NỢ'!$J$5:$J$111,'SỔ CÔNG NỢ'!$A$5:$A$111,$B17))</f>
        <v>0</v>
      </c>
      <c r="J17" s="17" t="n">
        <f aca="false">IF($B17="","",SUMIFS('SỔ CÔNG NỢ'!$K$5:$K$111,'SỔ CÔNG NỢ'!$A$5:$A$111,$B17))</f>
        <v>0</v>
      </c>
      <c r="K17" s="19" t="str">
        <f aca="false">IF($B17="","",IF(ABS(F17)&gt;1,"⚠ Biên bản lệch số tính lại – xem SỔ CÔNG NỢ. ","")&amp;IF(C17&lt;MAX('SỔ CÔNG NỢ'!$B$5:$B$111),"⚠ Chưa có biên bản sau "&amp;TEXT(C17,"mm/yyyy"),""))</f>
        <v>⚠ Chưa có biên bản sau 06/2026</v>
      </c>
    </row>
    <row r="18" customFormat="false" ht="15" hidden="false" customHeight="false" outlineLevel="0" collapsed="false">
      <c r="A18" s="13" t="n">
        <f aca="false">IF($B18="","",ROW()-8)</f>
        <v>10</v>
      </c>
      <c r="B18" s="14" t="s">
        <v>28</v>
      </c>
      <c r="C18" s="15" t="n">
        <f aca="false">IF($B18="","",_xlfn.MAXIFS('SỔ CÔNG NỢ'!$B$5:$B$111,'SỔ CÔNG NỢ'!$A$5:$A$111,$B18))</f>
        <v>46266</v>
      </c>
      <c r="D18" s="16" t="n">
        <f aca="false">IF($B18="","",SUMIFS('SỔ CÔNG NỢ'!$N$5:$N$111,'SỔ CÔNG NỢ'!$A$5:$A$111,$B18,'SỔ CÔNG NỢ'!$B$5:$B$111,$C18))</f>
        <v>15821145</v>
      </c>
      <c r="E18" s="17" t="n">
        <f aca="false">IF($B18="","",SUMIFS('SỔ CÔNG NỢ'!$M$5:$M$111,'SỔ CÔNG NỢ'!$A$5:$A$111,$B18,'SỔ CÔNG NỢ'!$B$5:$B$111,$C18))</f>
        <v>15821145</v>
      </c>
      <c r="F18" s="17" t="n">
        <f aca="false">IF($B18="","",D18-E18)</f>
        <v>0</v>
      </c>
      <c r="G18" s="18" t="str">
        <f aca="false">IF($B18="","",IF(D18&gt;0,"Còn nợ",IF(D18&lt;0,"Công ty nợ lại","Hết nợ")))</f>
        <v>Còn nợ</v>
      </c>
      <c r="H18" s="17" t="n">
        <f aca="false">IF($B18="","",SUMIFS('SỔ CÔNG NỢ'!$G$5:$G$111,'SỔ CÔNG NỢ'!$A$5:$A$111,$B18))</f>
        <v>15820464</v>
      </c>
      <c r="I18" s="17" t="n">
        <f aca="false">IF($B18="","",SUMIFS('SỔ CÔNG NỢ'!$J$5:$J$111,'SỔ CÔNG NỢ'!$A$5:$A$111,$B18))</f>
        <v>0</v>
      </c>
      <c r="J18" s="17" t="n">
        <f aca="false">IF($B18="","",SUMIFS('SỔ CÔNG NỢ'!$K$5:$K$111,'SỔ CÔNG NỢ'!$A$5:$A$111,$B18))</f>
        <v>0</v>
      </c>
      <c r="K18" s="19" t="str">
        <f aca="false">IF($B18="","",IF(ABS(F18)&gt;1,"⚠ Biên bản lệch số tính lại – xem SỔ CÔNG NỢ. ","")&amp;IF(C18&lt;MAX('SỔ CÔNG NỢ'!$B$5:$B$111),"⚠ Chưa có biên bản sau "&amp;TEXT(C18,"mm/yyyy"),""))</f>
        <v/>
      </c>
    </row>
    <row r="19" customFormat="false" ht="15" hidden="false" customHeight="false" outlineLevel="0" collapsed="false">
      <c r="A19" s="13" t="n">
        <f aca="false">IF($B19="","",ROW()-8)</f>
        <v>11</v>
      </c>
      <c r="B19" s="14" t="s">
        <v>29</v>
      </c>
      <c r="C19" s="15" t="n">
        <f aca="false">IF($B19="","",_xlfn.MAXIFS('SỔ CÔNG NỢ'!$B$5:$B$111,'SỔ CÔNG NỢ'!$A$5:$A$111,$B19))</f>
        <v>46204</v>
      </c>
      <c r="D19" s="16" t="n">
        <f aca="false">IF($B19="","",SUMIFS('SỔ CÔNG NỢ'!$N$5:$N$111,'SỔ CÔNG NỢ'!$A$5:$A$111,$B19,'SỔ CÔNG NỢ'!$B$5:$B$111,$C19))</f>
        <v>14318800</v>
      </c>
      <c r="E19" s="17" t="n">
        <f aca="false">IF($B19="","",SUMIFS('SỔ CÔNG NỢ'!$M$5:$M$111,'SỔ CÔNG NỢ'!$A$5:$A$111,$B19,'SỔ CÔNG NỢ'!$B$5:$B$111,$C19))</f>
        <v>14318800</v>
      </c>
      <c r="F19" s="17" t="n">
        <f aca="false">IF($B19="","",D19-E19)</f>
        <v>0</v>
      </c>
      <c r="G19" s="18" t="str">
        <f aca="false">IF($B19="","",IF(D19&gt;0,"Còn nợ",IF(D19&lt;0,"Công ty nợ lại","Hết nợ")))</f>
        <v>Còn nợ</v>
      </c>
      <c r="H19" s="17" t="n">
        <f aca="false">IF($B19="","",SUMIFS('SỔ CÔNG NỢ'!$G$5:$G$111,'SỔ CÔNG NỢ'!$A$5:$A$111,$B19))</f>
        <v>14318800</v>
      </c>
      <c r="I19" s="17" t="n">
        <f aca="false">IF($B19="","",SUMIFS('SỔ CÔNG NỢ'!$J$5:$J$111,'SỔ CÔNG NỢ'!$A$5:$A$111,$B19))</f>
        <v>0</v>
      </c>
      <c r="J19" s="17" t="n">
        <f aca="false">IF($B19="","",SUMIFS('SỔ CÔNG NỢ'!$K$5:$K$111,'SỔ CÔNG NỢ'!$A$5:$A$111,$B19))</f>
        <v>0</v>
      </c>
      <c r="K19" s="19" t="str">
        <f aca="false">IF($B19="","",IF(ABS(F19)&gt;1,"⚠ Biên bản lệch số tính lại – xem SỔ CÔNG NỢ. ","")&amp;IF(C19&lt;MAX('SỔ CÔNG NỢ'!$B$5:$B$111),"⚠ Chưa có biên bản sau "&amp;TEXT(C19,"mm/yyyy"),""))</f>
        <v>⚠ Chưa có biên bản sau 07/2026</v>
      </c>
    </row>
    <row r="20" customFormat="false" ht="15" hidden="false" customHeight="false" outlineLevel="0" collapsed="false">
      <c r="A20" s="13" t="n">
        <f aca="false">IF($B20="","",ROW()-8)</f>
        <v>12</v>
      </c>
      <c r="B20" s="14" t="s">
        <v>30</v>
      </c>
      <c r="C20" s="15" t="n">
        <f aca="false">IF($B20="","",_xlfn.MAXIFS('SỔ CÔNG NỢ'!$B$5:$B$111,'SỔ CÔNG NỢ'!$A$5:$A$111,$B20))</f>
        <v>46266</v>
      </c>
      <c r="D20" s="16" t="n">
        <f aca="false">IF($B20="","",SUMIFS('SỔ CÔNG NỢ'!$N$5:$N$111,'SỔ CÔNG NỢ'!$A$5:$A$111,$B20,'SỔ CÔNG NỢ'!$B$5:$B$111,$C20))</f>
        <v>13171665</v>
      </c>
      <c r="E20" s="17" t="n">
        <f aca="false">IF($B20="","",SUMIFS('SỔ CÔNG NỢ'!$M$5:$M$111,'SỔ CÔNG NỢ'!$A$5:$A$111,$B20,'SỔ CÔNG NỢ'!$B$5:$B$111,$C20))</f>
        <v>13171665</v>
      </c>
      <c r="F20" s="17" t="n">
        <f aca="false">IF($B20="","",D20-E20)</f>
        <v>0</v>
      </c>
      <c r="G20" s="18" t="str">
        <f aca="false">IF($B20="","",IF(D20&gt;0,"Còn nợ",IF(D20&lt;0,"Công ty nợ lại","Hết nợ")))</f>
        <v>Còn nợ</v>
      </c>
      <c r="H20" s="17" t="n">
        <f aca="false">IF($B20="","",SUMIFS('SỔ CÔNG NỢ'!$G$5:$G$111,'SỔ CÔNG NỢ'!$A$5:$A$111,$B20))</f>
        <v>13172400</v>
      </c>
      <c r="I20" s="17" t="n">
        <f aca="false">IF($B20="","",SUMIFS('SỔ CÔNG NỢ'!$J$5:$J$111,'SỔ CÔNG NỢ'!$A$5:$A$111,$B20))</f>
        <v>0</v>
      </c>
      <c r="J20" s="17" t="n">
        <f aca="false">IF($B20="","",SUMIFS('SỔ CÔNG NỢ'!$K$5:$K$111,'SỔ CÔNG NỢ'!$A$5:$A$111,$B20))</f>
        <v>0</v>
      </c>
      <c r="K20" s="19" t="str">
        <f aca="false">IF($B20="","",IF(ABS(F20)&gt;1,"⚠ Biên bản lệch số tính lại – xem SỔ CÔNG NỢ. ","")&amp;IF(C20&lt;MAX('SỔ CÔNG NỢ'!$B$5:$B$111),"⚠ Chưa có biên bản sau "&amp;TEXT(C20,"mm/yyyy"),""))</f>
        <v/>
      </c>
    </row>
    <row r="21" customFormat="false" ht="15" hidden="false" customHeight="false" outlineLevel="0" collapsed="false">
      <c r="A21" s="13" t="n">
        <f aca="false">IF($B21="","",ROW()-8)</f>
        <v>13</v>
      </c>
      <c r="B21" s="14" t="s">
        <v>31</v>
      </c>
      <c r="C21" s="15" t="n">
        <f aca="false">IF($B21="","",_xlfn.MAXIFS('SỔ CÔNG NỢ'!$B$5:$B$111,'SỔ CÔNG NỢ'!$A$5:$A$111,$B21))</f>
        <v>46204</v>
      </c>
      <c r="D21" s="16" t="n">
        <f aca="false">IF($B21="","",SUMIFS('SỔ CÔNG NỢ'!$N$5:$N$111,'SỔ CÔNG NỢ'!$A$5:$A$111,$B21,'SỔ CÔNG NỢ'!$B$5:$B$111,$C21))</f>
        <v>10634579</v>
      </c>
      <c r="E21" s="17" t="n">
        <f aca="false">IF($B21="","",SUMIFS('SỔ CÔNG NỢ'!$M$5:$M$111,'SỔ CÔNG NỢ'!$A$5:$A$111,$B21,'SỔ CÔNG NỢ'!$B$5:$B$111,$C21))</f>
        <v>10634579</v>
      </c>
      <c r="F21" s="17" t="n">
        <f aca="false">IF($B21="","",D21-E21)</f>
        <v>0</v>
      </c>
      <c r="G21" s="18" t="str">
        <f aca="false">IF($B21="","",IF(D21&gt;0,"Còn nợ",IF(D21&lt;0,"Công ty nợ lại","Hết nợ")))</f>
        <v>Còn nợ</v>
      </c>
      <c r="H21" s="17" t="n">
        <f aca="false">IF($B21="","",SUMIFS('SỔ CÔNG NỢ'!$G$5:$G$111,'SỔ CÔNG NỢ'!$A$5:$A$111,$B21))</f>
        <v>47255919</v>
      </c>
      <c r="I21" s="17" t="n">
        <f aca="false">IF($B21="","",SUMIFS('SỔ CÔNG NỢ'!$J$5:$J$111,'SỔ CÔNG NỢ'!$A$5:$A$111,$B21))</f>
        <v>1621340</v>
      </c>
      <c r="J21" s="17" t="n">
        <f aca="false">IF($B21="","",SUMIFS('SỔ CÔNG NỢ'!$K$5:$K$111,'SỔ CÔNG NỢ'!$A$5:$A$111,$B21))</f>
        <v>0</v>
      </c>
      <c r="K21" s="19" t="str">
        <f aca="false">IF($B21="","",IF(ABS(F21)&gt;1,"⚠ Biên bản lệch số tính lại – xem SỔ CÔNG NỢ. ","")&amp;IF(C21&lt;MAX('SỔ CÔNG NỢ'!$B$5:$B$111),"⚠ Chưa có biên bản sau "&amp;TEXT(C21,"mm/yyyy"),""))</f>
        <v>⚠ Chưa có biên bản sau 07/2026</v>
      </c>
    </row>
    <row r="22" customFormat="false" ht="15" hidden="false" customHeight="false" outlineLevel="0" collapsed="false">
      <c r="A22" s="13" t="n">
        <f aca="false">IF($B22="","",ROW()-8)</f>
        <v>14</v>
      </c>
      <c r="B22" s="14" t="s">
        <v>32</v>
      </c>
      <c r="C22" s="15" t="n">
        <f aca="false">IF($B22="","",_xlfn.MAXIFS('SỔ CÔNG NỢ'!$B$5:$B$111,'SỔ CÔNG NỢ'!$A$5:$A$111,$B22))</f>
        <v>46204</v>
      </c>
      <c r="D22" s="16" t="n">
        <f aca="false">IF($B22="","",SUMIFS('SỔ CÔNG NỢ'!$N$5:$N$111,'SỔ CÔNG NỢ'!$A$5:$A$111,$B22,'SỔ CÔNG NỢ'!$B$5:$B$111,$C22))</f>
        <v>7529090</v>
      </c>
      <c r="E22" s="17" t="n">
        <f aca="false">IF($B22="","",SUMIFS('SỔ CÔNG NỢ'!$M$5:$M$111,'SỔ CÔNG NỢ'!$A$5:$A$111,$B22,'SỔ CÔNG NỢ'!$B$5:$B$111,$C22))</f>
        <v>-941150</v>
      </c>
      <c r="F22" s="17" t="n">
        <f aca="false">IF($B22="","",D22-E22)</f>
        <v>8470240</v>
      </c>
      <c r="G22" s="18" t="str">
        <f aca="false">IF($B22="","",IF(D22&gt;0,"Còn nợ",IF(D22&lt;0,"Công ty nợ lại","Hết nợ")))</f>
        <v>Còn nợ</v>
      </c>
      <c r="H22" s="17" t="n">
        <f aca="false">IF($B22="","",SUMIFS('SỔ CÔNG NỢ'!$G$5:$G$111,'SỔ CÔNG NỢ'!$A$5:$A$111,$B22))</f>
        <v>9370620</v>
      </c>
      <c r="I22" s="17" t="n">
        <f aca="false">IF($B22="","",SUMIFS('SỔ CÔNG NỢ'!$J$5:$J$111,'SỔ CÔNG NỢ'!$A$5:$A$111,$B22))</f>
        <v>10338120</v>
      </c>
      <c r="J22" s="17" t="n">
        <f aca="false">IF($B22="","",SUMIFS('SỔ CÔNG NỢ'!$K$5:$K$111,'SỔ CÔNG NỢ'!$A$5:$A$111,$B22))</f>
        <v>6400000</v>
      </c>
      <c r="K22" s="19" t="str">
        <f aca="false">IF($B22="","",IF(ABS(F22)&gt;1,"⚠ Biên bản lệch số tính lại – xem SỔ CÔNG NỢ. ","")&amp;IF(C22&lt;MAX('SỔ CÔNG NỢ'!$B$5:$B$111),"⚠ Chưa có biên bản sau "&amp;TEXT(C22,"mm/yyyy"),""))</f>
        <v>⚠ Biên bản lệch số tính lại – xem SỔ CÔNG NỢ. ⚠ Chưa có biên bản sau 07/2026</v>
      </c>
    </row>
    <row r="23" customFormat="false" ht="15" hidden="false" customHeight="false" outlineLevel="0" collapsed="false">
      <c r="A23" s="13" t="n">
        <f aca="false">IF($B23="","",ROW()-8)</f>
        <v>15</v>
      </c>
      <c r="B23" s="14" t="s">
        <v>33</v>
      </c>
      <c r="C23" s="15" t="n">
        <f aca="false">IF($B23="","",_xlfn.MAXIFS('SỔ CÔNG NỢ'!$B$5:$B$111,'SỔ CÔNG NỢ'!$A$5:$A$111,$B23))</f>
        <v>46235</v>
      </c>
      <c r="D23" s="16" t="n">
        <f aca="false">IF($B23="","",SUMIFS('SỔ CÔNG NỢ'!$N$5:$N$111,'SỔ CÔNG NỢ'!$A$5:$A$111,$B23,'SỔ CÔNG NỢ'!$B$5:$B$111,$C23))</f>
        <v>5091440</v>
      </c>
      <c r="E23" s="17" t="n">
        <f aca="false">IF($B23="","",SUMIFS('SỔ CÔNG NỢ'!$M$5:$M$111,'SỔ CÔNG NỢ'!$A$5:$A$111,$B23,'SỔ CÔNG NỢ'!$B$5:$B$111,$C23))</f>
        <v>3120560</v>
      </c>
      <c r="F23" s="17" t="n">
        <f aca="false">IF($B23="","",D23-E23)</f>
        <v>1970880</v>
      </c>
      <c r="G23" s="18" t="str">
        <f aca="false">IF($B23="","",IF(D23&gt;0,"Còn nợ",IF(D23&lt;0,"Công ty nợ lại","Hết nợ")))</f>
        <v>Còn nợ</v>
      </c>
      <c r="H23" s="17" t="n">
        <f aca="false">IF($B23="","",SUMIFS('SỔ CÔNG NỢ'!$G$5:$G$111,'SỔ CÔNG NỢ'!$A$5:$A$111,$B23))</f>
        <v>3120560</v>
      </c>
      <c r="I23" s="17" t="n">
        <f aca="false">IF($B23="","",SUMIFS('SỔ CÔNG NỢ'!$J$5:$J$111,'SỔ CÔNG NỢ'!$A$5:$A$111,$B23))</f>
        <v>0</v>
      </c>
      <c r="J23" s="17" t="n">
        <f aca="false">IF($B23="","",SUMIFS('SỔ CÔNG NỢ'!$K$5:$K$111,'SỔ CÔNG NỢ'!$A$5:$A$111,$B23))</f>
        <v>0</v>
      </c>
      <c r="K23" s="19" t="str">
        <f aca="false">IF($B23="","",IF(ABS(F23)&gt;1,"⚠ Biên bản lệch số tính lại – xem SỔ CÔNG NỢ. ","")&amp;IF(C23&lt;MAX('SỔ CÔNG NỢ'!$B$5:$B$111),"⚠ Chưa có biên bản sau "&amp;TEXT(C23,"mm/yyyy"),""))</f>
        <v>⚠ Biên bản lệch số tính lại – xem SỔ CÔNG NỢ. ⚠ Chưa có biên bản sau 08/2026</v>
      </c>
    </row>
    <row r="24" customFormat="false" ht="15" hidden="false" customHeight="false" outlineLevel="0" collapsed="false">
      <c r="A24" s="13" t="n">
        <f aca="false">IF($B24="","",ROW()-8)</f>
        <v>16</v>
      </c>
      <c r="B24" s="14" t="s">
        <v>34</v>
      </c>
      <c r="C24" s="15" t="n">
        <f aca="false">IF($B24="","",_xlfn.MAXIFS('SỔ CÔNG NỢ'!$B$5:$B$111,'SỔ CÔNG NỢ'!$A$5:$A$111,$B24))</f>
        <v>46204</v>
      </c>
      <c r="D24" s="16" t="n">
        <f aca="false">IF($B24="","",SUMIFS('SỔ CÔNG NỢ'!$N$5:$N$111,'SỔ CÔNG NỢ'!$A$5:$A$111,$B24,'SỔ CÔNG NỢ'!$B$5:$B$111,$C24))</f>
        <v>120633</v>
      </c>
      <c r="E24" s="17" t="n">
        <f aca="false">IF($B24="","",SUMIFS('SỔ CÔNG NỢ'!$M$5:$M$111,'SỔ CÔNG NỢ'!$A$5:$A$111,$B24,'SỔ CÔNG NỢ'!$B$5:$B$111,$C24))</f>
        <v>120633</v>
      </c>
      <c r="F24" s="17" t="n">
        <f aca="false">IF($B24="","",D24-E24)</f>
        <v>0</v>
      </c>
      <c r="G24" s="18" t="str">
        <f aca="false">IF($B24="","",IF(D24&gt;0,"Còn nợ",IF(D24&lt;0,"Công ty nợ lại","Hết nợ")))</f>
        <v>Còn nợ</v>
      </c>
      <c r="H24" s="17" t="n">
        <f aca="false">IF($B24="","",SUMIFS('SỔ CÔNG NỢ'!$G$5:$G$111,'SỔ CÔNG NỢ'!$A$5:$A$111,$B24))</f>
        <v>31863893</v>
      </c>
      <c r="I24" s="17" t="n">
        <f aca="false">IF($B24="","",SUMIFS('SỔ CÔNG NỢ'!$J$5:$J$111,'SỔ CÔNG NỢ'!$A$5:$A$111,$B24))</f>
        <v>1746860</v>
      </c>
      <c r="J24" s="17" t="n">
        <f aca="false">IF($B24="","",SUMIFS('SỔ CÔNG NỢ'!$K$5:$K$111,'SỔ CÔNG NỢ'!$A$5:$A$111,$B24))</f>
        <v>30060000</v>
      </c>
      <c r="K24" s="19" t="str">
        <f aca="false">IF($B24="","",IF(ABS(F24)&gt;1,"⚠ Biên bản lệch số tính lại – xem SỔ CÔNG NỢ. ","")&amp;IF(C24&lt;MAX('SỔ CÔNG NỢ'!$B$5:$B$111),"⚠ Chưa có biên bản sau "&amp;TEXT(C24,"mm/yyyy"),""))</f>
        <v>⚠ Chưa có biên bản sau 07/2026</v>
      </c>
    </row>
    <row r="25" customFormat="false" ht="15" hidden="false" customHeight="false" outlineLevel="0" collapsed="false">
      <c r="A25" s="13" t="n">
        <f aca="false">IF($B25="","",ROW()-8)</f>
        <v>17</v>
      </c>
      <c r="B25" s="14" t="s">
        <v>35</v>
      </c>
      <c r="C25" s="15" t="n">
        <f aca="false">IF($B25="","",_xlfn.MAXIFS('SỔ CÔNG NỢ'!$B$5:$B$111,'SỔ CÔNG NỢ'!$A$5:$A$111,$B25))</f>
        <v>46174</v>
      </c>
      <c r="D25" s="16" t="n">
        <f aca="false">IF($B25="","",SUMIFS('SỔ CÔNG NỢ'!$N$5:$N$111,'SỔ CÔNG NỢ'!$A$5:$A$111,$B25,'SỔ CÔNG NỢ'!$B$5:$B$111,$C25))</f>
        <v>0</v>
      </c>
      <c r="E25" s="17" t="n">
        <f aca="false">IF($B25="","",SUMIFS('SỔ CÔNG NỢ'!$M$5:$M$111,'SỔ CÔNG NỢ'!$A$5:$A$111,$B25,'SỔ CÔNG NỢ'!$B$5:$B$111,$C25))</f>
        <v>0</v>
      </c>
      <c r="F25" s="17" t="n">
        <f aca="false">IF($B25="","",D25-E25)</f>
        <v>0</v>
      </c>
      <c r="G25" s="18" t="str">
        <f aca="false">IF($B25="","",IF(D25&gt;0,"Còn nợ",IF(D25&lt;0,"Công ty nợ lại","Hết nợ")))</f>
        <v>Hết nợ</v>
      </c>
      <c r="H25" s="17" t="n">
        <f aca="false">IF($B25="","",SUMIFS('SỔ CÔNG NỢ'!$G$5:$G$111,'SỔ CÔNG NỢ'!$A$5:$A$111,$B25))</f>
        <v>979440</v>
      </c>
      <c r="I25" s="17" t="n">
        <f aca="false">IF($B25="","",SUMIFS('SỔ CÔNG NỢ'!$J$5:$J$111,'SỔ CÔNG NỢ'!$A$5:$A$111,$B25))</f>
        <v>0</v>
      </c>
      <c r="J25" s="17" t="n">
        <f aca="false">IF($B25="","",SUMIFS('SỔ CÔNG NỢ'!$K$5:$K$111,'SỔ CÔNG NỢ'!$A$5:$A$111,$B25))</f>
        <v>979440</v>
      </c>
      <c r="K25" s="19" t="str">
        <f aca="false">IF($B25="","",IF(ABS(F25)&gt;1,"⚠ Biên bản lệch số tính lại – xem SỔ CÔNG NỢ. ","")&amp;IF(C25&lt;MAX('SỔ CÔNG NỢ'!$B$5:$B$111),"⚠ Chưa có biên bản sau "&amp;TEXT(C25,"mm/yyyy"),""))</f>
        <v>⚠ Chưa có biên bản sau 06/2026</v>
      </c>
    </row>
    <row r="26" customFormat="false" ht="15" hidden="false" customHeight="false" outlineLevel="0" collapsed="false">
      <c r="A26" s="13" t="n">
        <f aca="false">IF($B26="","",ROW()-8)</f>
        <v>18</v>
      </c>
      <c r="B26" s="14" t="s">
        <v>36</v>
      </c>
      <c r="C26" s="15" t="n">
        <f aca="false">IF($B26="","",_xlfn.MAXIFS('SỔ CÔNG NỢ'!$B$5:$B$111,'SỔ CÔNG NỢ'!$A$5:$A$111,$B26))</f>
        <v>46174</v>
      </c>
      <c r="D26" s="16" t="n">
        <f aca="false">IF($B26="","",SUMIFS('SỔ CÔNG NỢ'!$N$5:$N$111,'SỔ CÔNG NỢ'!$A$5:$A$111,$B26,'SỔ CÔNG NỢ'!$B$5:$B$111,$C26))</f>
        <v>-112500</v>
      </c>
      <c r="E26" s="17" t="n">
        <f aca="false">IF($B26="","",SUMIFS('SỔ CÔNG NỢ'!$M$5:$M$111,'SỔ CÔNG NỢ'!$A$5:$A$111,$B26,'SỔ CÔNG NỢ'!$B$5:$B$111,$C26))</f>
        <v>-112500</v>
      </c>
      <c r="F26" s="17" t="n">
        <f aca="false">IF($B26="","",D26-E26)</f>
        <v>0</v>
      </c>
      <c r="G26" s="18" t="str">
        <f aca="false">IF($B26="","",IF(D26&gt;0,"Còn nợ",IF(D26&lt;0,"Công ty nợ lại","Hết nợ")))</f>
        <v>Công ty nợ lại</v>
      </c>
      <c r="H26" s="17" t="n">
        <f aca="false">IF($B26="","",SUMIFS('SỔ CÔNG NỢ'!$G$5:$G$111,'SỔ CÔNG NỢ'!$A$5:$A$111,$B26))</f>
        <v>1387500</v>
      </c>
      <c r="I26" s="17" t="n">
        <f aca="false">IF($B26="","",SUMIFS('SỔ CÔNG NỢ'!$J$5:$J$111,'SỔ CÔNG NỢ'!$A$5:$A$111,$B26))</f>
        <v>0</v>
      </c>
      <c r="J26" s="17" t="n">
        <f aca="false">IF($B26="","",SUMIFS('SỔ CÔNG NỢ'!$K$5:$K$111,'SỔ CÔNG NỢ'!$A$5:$A$111,$B26))</f>
        <v>1500000</v>
      </c>
      <c r="K26" s="19" t="str">
        <f aca="false">IF($B26="","",IF(ABS(F26)&gt;1,"⚠ Biên bản lệch số tính lại – xem SỔ CÔNG NỢ. ","")&amp;IF(C26&lt;MAX('SỔ CÔNG NỢ'!$B$5:$B$111),"⚠ Chưa có biên bản sau "&amp;TEXT(C26,"mm/yyyy"),""))</f>
        <v>⚠ Chưa có biên bản sau 06/2026</v>
      </c>
    </row>
    <row r="27" customFormat="false" ht="15" hidden="false" customHeight="false" outlineLevel="0" collapsed="false">
      <c r="A27" s="13" t="n">
        <f aca="false">IF($B27="","",ROW()-8)</f>
        <v>19</v>
      </c>
      <c r="B27" s="14" t="s">
        <v>37</v>
      </c>
      <c r="C27" s="15" t="n">
        <f aca="false">IF($B27="","",_xlfn.MAXIFS('SỔ CÔNG NỢ'!$B$5:$B$111,'SỔ CÔNG NỢ'!$A$5:$A$111,$B27))</f>
        <v>46174</v>
      </c>
      <c r="D27" s="16" t="n">
        <f aca="false">IF($B27="","",SUMIFS('SỔ CÔNG NỢ'!$N$5:$N$111,'SỔ CÔNG NỢ'!$A$5:$A$111,$B27,'SỔ CÔNG NỢ'!$B$5:$B$111,$C27))</f>
        <v>-342760</v>
      </c>
      <c r="E27" s="17" t="n">
        <f aca="false">IF($B27="","",SUMIFS('SỔ CÔNG NỢ'!$M$5:$M$111,'SỔ CÔNG NỢ'!$A$5:$A$111,$B27,'SỔ CÔNG NỢ'!$B$5:$B$111,$C27))</f>
        <v>-342760</v>
      </c>
      <c r="F27" s="17" t="n">
        <f aca="false">IF($B27="","",D27-E27)</f>
        <v>0</v>
      </c>
      <c r="G27" s="18" t="str">
        <f aca="false">IF($B27="","",IF(D27&gt;0,"Còn nợ",IF(D27&lt;0,"Công ty nợ lại","Hết nợ")))</f>
        <v>Công ty nợ lại</v>
      </c>
      <c r="H27" s="17" t="n">
        <f aca="false">IF($B27="","",SUMIFS('SỔ CÔNG NỢ'!$G$5:$G$111,'SỔ CÔNG NỢ'!$A$5:$A$111,$B27))</f>
        <v>636680</v>
      </c>
      <c r="I27" s="17" t="n">
        <f aca="false">IF($B27="","",SUMIFS('SỔ CÔNG NỢ'!$J$5:$J$111,'SỔ CÔNG NỢ'!$A$5:$A$111,$B27))</f>
        <v>0</v>
      </c>
      <c r="J27" s="17" t="n">
        <f aca="false">IF($B27="","",SUMIFS('SỔ CÔNG NỢ'!$K$5:$K$111,'SỔ CÔNG NỢ'!$A$5:$A$111,$B27))</f>
        <v>979440</v>
      </c>
      <c r="K27" s="19" t="str">
        <f aca="false">IF($B27="","",IF(ABS(F27)&gt;1,"⚠ Biên bản lệch số tính lại – xem SỔ CÔNG NỢ. ","")&amp;IF(C27&lt;MAX('SỔ CÔNG NỢ'!$B$5:$B$111),"⚠ Chưa có biên bản sau "&amp;TEXT(C27,"mm/yyyy"),""))</f>
        <v>⚠ Chưa có biên bản sau 06/2026</v>
      </c>
    </row>
    <row r="28" customFormat="false" ht="15" hidden="false" customHeight="false" outlineLevel="0" collapsed="false">
      <c r="A28" s="13" t="n">
        <f aca="false">IF($B28="","",ROW()-8)</f>
        <v>20</v>
      </c>
      <c r="B28" s="14" t="s">
        <v>38</v>
      </c>
      <c r="C28" s="15" t="n">
        <f aca="false">IF($B28="","",_xlfn.MAXIFS('SỔ CÔNG NỢ'!$B$5:$B$111,'SỔ CÔNG NỢ'!$A$5:$A$111,$B28))</f>
        <v>46174</v>
      </c>
      <c r="D28" s="16" t="n">
        <f aca="false">IF($B28="","",SUMIFS('SỔ CÔNG NỢ'!$N$5:$N$111,'SỔ CÔNG NỢ'!$A$5:$A$111,$B28,'SỔ CÔNG NỢ'!$B$5:$B$111,$C28))</f>
        <v>-588320</v>
      </c>
      <c r="E28" s="17" t="n">
        <f aca="false">IF($B28="","",SUMIFS('SỔ CÔNG NỢ'!$M$5:$M$111,'SỔ CÔNG NỢ'!$A$5:$A$111,$B28,'SỔ CÔNG NỢ'!$B$5:$B$111,$C28))</f>
        <v>-588320</v>
      </c>
      <c r="F28" s="17" t="n">
        <f aca="false">IF($B28="","",D28-E28)</f>
        <v>0</v>
      </c>
      <c r="G28" s="18" t="str">
        <f aca="false">IF($B28="","",IF(D28&gt;0,"Còn nợ",IF(D28&lt;0,"Công ty nợ lại","Hết nợ")))</f>
        <v>Công ty nợ lại</v>
      </c>
      <c r="H28" s="17" t="n">
        <f aca="false">IF($B28="","",SUMIFS('SỔ CÔNG NỢ'!$G$5:$G$111,'SỔ CÔNG NỢ'!$A$5:$A$111,$B28))</f>
        <v>0</v>
      </c>
      <c r="I28" s="17" t="n">
        <f aca="false">IF($B28="","",SUMIFS('SỔ CÔNG NỢ'!$J$5:$J$111,'SỔ CÔNG NỢ'!$A$5:$A$111,$B28))</f>
        <v>2038320</v>
      </c>
      <c r="J28" s="17" t="n">
        <f aca="false">IF($B28="","",SUMIFS('SỔ CÔNG NỢ'!$K$5:$K$111,'SỔ CÔNG NỢ'!$A$5:$A$111,$B28))</f>
        <v>-1450000</v>
      </c>
      <c r="K28" s="19" t="str">
        <f aca="false">IF($B28="","",IF(ABS(F28)&gt;1,"⚠ Biên bản lệch số tính lại – xem SỔ CÔNG NỢ. ","")&amp;IF(C28&lt;MAX('SỔ CÔNG NỢ'!$B$5:$B$111),"⚠ Chưa có biên bản sau "&amp;TEXT(C28,"mm/yyyy"),""))</f>
        <v>⚠ Chưa có biên bản sau 06/2026</v>
      </c>
    </row>
    <row r="29" customFormat="false" ht="15" hidden="false" customHeight="false" outlineLevel="0" collapsed="false">
      <c r="A29" s="13" t="n">
        <f aca="false">IF($B29="","",ROW()-8)</f>
        <v>21</v>
      </c>
      <c r="B29" s="14" t="s">
        <v>39</v>
      </c>
      <c r="C29" s="15" t="n">
        <f aca="false">IF($B29="","",_xlfn.MAXIFS('SỔ CÔNG NỢ'!$B$5:$B$111,'SỔ CÔNG NỢ'!$A$5:$A$111,$B29))</f>
        <v>46266</v>
      </c>
      <c r="D29" s="16" t="n">
        <f aca="false">IF($B29="","",SUMIFS('SỔ CÔNG NỢ'!$N$5:$N$111,'SỔ CÔNG NỢ'!$A$5:$A$111,$B29,'SỔ CÔNG NỢ'!$B$5:$B$111,$C29))</f>
        <v>-849900</v>
      </c>
      <c r="E29" s="17" t="n">
        <f aca="false">IF($B29="","",SUMIFS('SỔ CÔNG NỢ'!$M$5:$M$111,'SỔ CÔNG NỢ'!$A$5:$A$111,$B29,'SỔ CÔNG NỢ'!$B$5:$B$111,$C29))</f>
        <v>-849900</v>
      </c>
      <c r="F29" s="17" t="n">
        <f aca="false">IF($B29="","",D29-E29)</f>
        <v>0</v>
      </c>
      <c r="G29" s="18" t="str">
        <f aca="false">IF($B29="","",IF(D29&gt;0,"Còn nợ",IF(D29&lt;0,"Công ty nợ lại","Hết nợ")))</f>
        <v>Công ty nợ lại</v>
      </c>
      <c r="H29" s="17" t="n">
        <f aca="false">IF($B29="","",SUMIFS('SỔ CÔNG NỢ'!$G$5:$G$111,'SỔ CÔNG NỢ'!$A$5:$A$111,$B29))</f>
        <v>27750100</v>
      </c>
      <c r="I29" s="17" t="n">
        <f aca="false">IF($B29="","",SUMIFS('SỔ CÔNG NỢ'!$J$5:$J$111,'SỔ CÔNG NỢ'!$A$5:$A$111,$B29))</f>
        <v>0</v>
      </c>
      <c r="J29" s="17" t="n">
        <f aca="false">IF($B29="","",SUMIFS('SỔ CÔNG NỢ'!$K$5:$K$111,'SỔ CÔNG NỢ'!$A$5:$A$111,$B29))</f>
        <v>28600000</v>
      </c>
      <c r="K29" s="19" t="str">
        <f aca="false">IF($B29="","",IF(ABS(F29)&gt;1,"⚠ Biên bản lệch số tính lại – xem SỔ CÔNG NỢ. ","")&amp;IF(C29&lt;MAX('SỔ CÔNG NỢ'!$B$5:$B$111),"⚠ Chưa có biên bản sau "&amp;TEXT(C29,"mm/yyyy"),""))</f>
        <v/>
      </c>
    </row>
    <row r="30" customFormat="false" ht="15" hidden="false" customHeight="false" outlineLevel="0" collapsed="false">
      <c r="A30" s="13" t="n">
        <f aca="false">IF($B30="","",ROW()-8)</f>
        <v>22</v>
      </c>
      <c r="B30" s="14" t="s">
        <v>40</v>
      </c>
      <c r="C30" s="15" t="n">
        <f aca="false">IF($B30="","",_xlfn.MAXIFS('SỔ CÔNG NỢ'!$B$5:$B$111,'SỔ CÔNG NỢ'!$A$5:$A$111,$B30))</f>
        <v>46266</v>
      </c>
      <c r="D30" s="16" t="n">
        <f aca="false">IF($B30="","",SUMIFS('SỔ CÔNG NỢ'!$N$5:$N$111,'SỔ CÔNG NỢ'!$A$5:$A$111,$B30,'SỔ CÔNG NỢ'!$B$5:$B$111,$C30))</f>
        <v>-2662442</v>
      </c>
      <c r="E30" s="17" t="n">
        <f aca="false">IF($B30="","",SUMIFS('SỔ CÔNG NỢ'!$M$5:$M$111,'SỔ CÔNG NỢ'!$A$5:$A$111,$B30,'SỔ CÔNG NỢ'!$B$5:$B$111,$C30))</f>
        <v>21152521.5</v>
      </c>
      <c r="F30" s="17" t="n">
        <f aca="false">IF($B30="","",D30-E30)</f>
        <v>-23814963.5</v>
      </c>
      <c r="G30" s="18" t="str">
        <f aca="false">IF($B30="","",IF(D30&gt;0,"Còn nợ",IF(D30&lt;0,"Công ty nợ lại","Hết nợ")))</f>
        <v>Công ty nợ lại</v>
      </c>
      <c r="H30" s="17" t="n">
        <f aca="false">IF($B30="","",SUMIFS('SỔ CÔNG NỢ'!$G$5:$G$111,'SỔ CÔNG NỢ'!$A$5:$A$111,$B30))</f>
        <v>45564815.5</v>
      </c>
      <c r="I30" s="17" t="n">
        <f aca="false">IF($B30="","",SUMIFS('SỔ CÔNG NỢ'!$J$5:$J$111,'SỔ CÔNG NỢ'!$A$5:$A$111,$B30))</f>
        <v>0</v>
      </c>
      <c r="J30" s="17" t="n">
        <f aca="false">IF($B30="","",SUMIFS('SỔ CÔNG NỢ'!$K$5:$K$111,'SỔ CÔNG NỢ'!$A$5:$A$111,$B30))</f>
        <v>36100000</v>
      </c>
      <c r="K30" s="19" t="str">
        <f aca="false">IF($B30="","",IF(ABS(F30)&gt;1,"⚠ Biên bản lệch số tính lại – xem SỔ CÔNG NỢ. ","")&amp;IF(C30&lt;MAX('SỔ CÔNG NỢ'!$B$5:$B$111),"⚠ Chưa có biên bản sau "&amp;TEXT(C30,"mm/yyyy"),""))</f>
        <v>⚠ Biên bản lệch số tính lại – xem SỔ CÔNG NỢ. </v>
      </c>
    </row>
    <row r="31" customFormat="false" ht="15" hidden="false" customHeight="false" outlineLevel="0" collapsed="false">
      <c r="A31" s="13" t="n">
        <f aca="false">IF($B31="","",ROW()-8)</f>
        <v>23</v>
      </c>
      <c r="B31" s="14" t="s">
        <v>41</v>
      </c>
      <c r="C31" s="15" t="n">
        <f aca="false">IF($B31="","",_xlfn.MAXIFS('SỔ CÔNG NỢ'!$B$5:$B$111,'SỔ CÔNG NỢ'!$A$5:$A$111,$B31))</f>
        <v>46174</v>
      </c>
      <c r="D31" s="16" t="n">
        <f aca="false">IF($B31="","",SUMIFS('SỔ CÔNG NỢ'!$N$5:$N$111,'SỔ CÔNG NỢ'!$A$5:$A$111,$B31,'SỔ CÔNG NỢ'!$B$5:$B$111,$C31))</f>
        <v>-9538000</v>
      </c>
      <c r="E31" s="17" t="n">
        <f aca="false">IF($B31="","",SUMIFS('SỔ CÔNG NỢ'!$M$5:$M$111,'SỔ CÔNG NỢ'!$A$5:$A$111,$B31,'SỔ CÔNG NỢ'!$B$5:$B$111,$C31))</f>
        <v>-9538000</v>
      </c>
      <c r="F31" s="17" t="n">
        <f aca="false">IF($B31="","",D31-E31)</f>
        <v>0</v>
      </c>
      <c r="G31" s="18" t="str">
        <f aca="false">IF($B31="","",IF(D31&gt;0,"Còn nợ",IF(D31&lt;0,"Công ty nợ lại","Hết nợ")))</f>
        <v>Công ty nợ lại</v>
      </c>
      <c r="H31" s="17" t="n">
        <f aca="false">IF($B31="","",SUMIFS('SỔ CÔNG NỢ'!$G$5:$G$111,'SỔ CÔNG NỢ'!$A$5:$A$111,$B31))</f>
        <v>462000</v>
      </c>
      <c r="I31" s="17" t="n">
        <f aca="false">IF($B31="","",SUMIFS('SỔ CÔNG NỢ'!$J$5:$J$111,'SỔ CÔNG NỢ'!$A$5:$A$111,$B31))</f>
        <v>0</v>
      </c>
      <c r="J31" s="17" t="n">
        <f aca="false">IF($B31="","",SUMIFS('SỔ CÔNG NỢ'!$K$5:$K$111,'SỔ CÔNG NỢ'!$A$5:$A$111,$B31))</f>
        <v>10000000</v>
      </c>
      <c r="K31" s="19" t="str">
        <f aca="false">IF($B31="","",IF(ABS(F31)&gt;1,"⚠ Biên bản lệch số tính lại – xem SỔ CÔNG NỢ. ","")&amp;IF(C31&lt;MAX('SỔ CÔNG NỢ'!$B$5:$B$111),"⚠ Chưa có biên bản sau "&amp;TEXT(C31,"mm/yyyy"),""))</f>
        <v>⚠ Chưa có biên bản sau 06/2026</v>
      </c>
    </row>
    <row r="32" customFormat="false" ht="15" hidden="false" customHeight="false" outlineLevel="0" collapsed="false">
      <c r="A32" s="13" t="str">
        <f aca="false">IF($B32="","",ROW()-8)</f>
        <v/>
      </c>
      <c r="B32" s="20"/>
      <c r="C32" s="15" t="str">
        <f aca="false">IF($B32="","",_xlfn.MAXIFS('SỔ CÔNG NỢ'!$B$5:$B$111,'SỔ CÔNG NỢ'!$A$5:$A$111,$B32))</f>
        <v/>
      </c>
      <c r="D32" s="16" t="str">
        <f aca="false">IF($B32="","",SUMIFS('SỔ CÔNG NỢ'!$N$5:$N$111,'SỔ CÔNG NỢ'!$A$5:$A$111,$B32,'SỔ CÔNG NỢ'!$B$5:$B$111,$C32))</f>
        <v/>
      </c>
      <c r="E32" s="17" t="str">
        <f aca="false">IF($B32="","",SUMIFS('SỔ CÔNG NỢ'!$M$5:$M$111,'SỔ CÔNG NỢ'!$A$5:$A$111,$B32,'SỔ CÔNG NỢ'!$B$5:$B$111,$C32))</f>
        <v/>
      </c>
      <c r="F32" s="17" t="str">
        <f aca="false">IF($B32="","",D32-E32)</f>
        <v/>
      </c>
      <c r="G32" s="18" t="str">
        <f aca="false">IF($B32="","",IF(D32&gt;0,"Còn nợ",IF(D32&lt;0,"Công ty nợ lại","Hết nợ")))</f>
        <v/>
      </c>
      <c r="H32" s="17" t="str">
        <f aca="false">IF($B32="","",SUMIFS('SỔ CÔNG NỢ'!$G$5:$G$111,'SỔ CÔNG NỢ'!$A$5:$A$111,$B32))</f>
        <v/>
      </c>
      <c r="I32" s="17" t="str">
        <f aca="false">IF($B32="","",SUMIFS('SỔ CÔNG NỢ'!$J$5:$J$111,'SỔ CÔNG NỢ'!$A$5:$A$111,$B32))</f>
        <v/>
      </c>
      <c r="J32" s="17" t="str">
        <f aca="false">IF($B32="","",SUMIFS('SỔ CÔNG NỢ'!$K$5:$K$111,'SỔ CÔNG NỢ'!$A$5:$A$111,$B32))</f>
        <v/>
      </c>
      <c r="K32" s="19" t="str">
        <f aca="false">IF($B32="","",IF(ABS(F32)&gt;1,"⚠ Biên bản lệch số tính lại – xem SỔ CÔNG NỢ. ","")&amp;IF(C32&lt;MAX('SỔ CÔNG NỢ'!$B$5:$B$111),"⚠ Chưa có biên bản sau "&amp;TEXT(C32,"mm/yyyy"),""))</f>
        <v/>
      </c>
    </row>
    <row r="33" customFormat="false" ht="15" hidden="false" customHeight="false" outlineLevel="0" collapsed="false">
      <c r="A33" s="13" t="str">
        <f aca="false">IF($B33="","",ROW()-8)</f>
        <v/>
      </c>
      <c r="B33" s="20"/>
      <c r="C33" s="15" t="str">
        <f aca="false">IF($B33="","",_xlfn.MAXIFS('SỔ CÔNG NỢ'!$B$5:$B$111,'SỔ CÔNG NỢ'!$A$5:$A$111,$B33))</f>
        <v/>
      </c>
      <c r="D33" s="16" t="str">
        <f aca="false">IF($B33="","",SUMIFS('SỔ CÔNG NỢ'!$N$5:$N$111,'SỔ CÔNG NỢ'!$A$5:$A$111,$B33,'SỔ CÔNG NỢ'!$B$5:$B$111,$C33))</f>
        <v/>
      </c>
      <c r="E33" s="17" t="str">
        <f aca="false">IF($B33="","",SUMIFS('SỔ CÔNG NỢ'!$M$5:$M$111,'SỔ CÔNG NỢ'!$A$5:$A$111,$B33,'SỔ CÔNG NỢ'!$B$5:$B$111,$C33))</f>
        <v/>
      </c>
      <c r="F33" s="17" t="str">
        <f aca="false">IF($B33="","",D33-E33)</f>
        <v/>
      </c>
      <c r="G33" s="18" t="str">
        <f aca="false">IF($B33="","",IF(D33&gt;0,"Còn nợ",IF(D33&lt;0,"Công ty nợ lại","Hết nợ")))</f>
        <v/>
      </c>
      <c r="H33" s="17" t="str">
        <f aca="false">IF($B33="","",SUMIFS('SỔ CÔNG NỢ'!$G$5:$G$111,'SỔ CÔNG NỢ'!$A$5:$A$111,$B33))</f>
        <v/>
      </c>
      <c r="I33" s="17" t="str">
        <f aca="false">IF($B33="","",SUMIFS('SỔ CÔNG NỢ'!$J$5:$J$111,'SỔ CÔNG NỢ'!$A$5:$A$111,$B33))</f>
        <v/>
      </c>
      <c r="J33" s="17" t="str">
        <f aca="false">IF($B33="","",SUMIFS('SỔ CÔNG NỢ'!$K$5:$K$111,'SỔ CÔNG NỢ'!$A$5:$A$111,$B33))</f>
        <v/>
      </c>
      <c r="K33" s="19" t="str">
        <f aca="false">IF($B33="","",IF(ABS(F33)&gt;1,"⚠ Biên bản lệch số tính lại – xem SỔ CÔNG NỢ. ","")&amp;IF(C33&lt;MAX('SỔ CÔNG NỢ'!$B$5:$B$111),"⚠ Chưa có biên bản sau "&amp;TEXT(C33,"mm/yyyy"),""))</f>
        <v/>
      </c>
    </row>
    <row r="34" customFormat="false" ht="15" hidden="false" customHeight="false" outlineLevel="0" collapsed="false">
      <c r="A34" s="13" t="str">
        <f aca="false">IF($B34="","",ROW()-8)</f>
        <v/>
      </c>
      <c r="B34" s="20"/>
      <c r="C34" s="15" t="str">
        <f aca="false">IF($B34="","",_xlfn.MAXIFS('SỔ CÔNG NỢ'!$B$5:$B$111,'SỔ CÔNG NỢ'!$A$5:$A$111,$B34))</f>
        <v/>
      </c>
      <c r="D34" s="16" t="str">
        <f aca="false">IF($B34="","",SUMIFS('SỔ CÔNG NỢ'!$N$5:$N$111,'SỔ CÔNG NỢ'!$A$5:$A$111,$B34,'SỔ CÔNG NỢ'!$B$5:$B$111,$C34))</f>
        <v/>
      </c>
      <c r="E34" s="17" t="str">
        <f aca="false">IF($B34="","",SUMIFS('SỔ CÔNG NỢ'!$M$5:$M$111,'SỔ CÔNG NỢ'!$A$5:$A$111,$B34,'SỔ CÔNG NỢ'!$B$5:$B$111,$C34))</f>
        <v/>
      </c>
      <c r="F34" s="17" t="str">
        <f aca="false">IF($B34="","",D34-E34)</f>
        <v/>
      </c>
      <c r="G34" s="18" t="str">
        <f aca="false">IF($B34="","",IF(D34&gt;0,"Còn nợ",IF(D34&lt;0,"Công ty nợ lại","Hết nợ")))</f>
        <v/>
      </c>
      <c r="H34" s="17" t="str">
        <f aca="false">IF($B34="","",SUMIFS('SỔ CÔNG NỢ'!$G$5:$G$111,'SỔ CÔNG NỢ'!$A$5:$A$111,$B34))</f>
        <v/>
      </c>
      <c r="I34" s="17" t="str">
        <f aca="false">IF($B34="","",SUMIFS('SỔ CÔNG NỢ'!$J$5:$J$111,'SỔ CÔNG NỢ'!$A$5:$A$111,$B34))</f>
        <v/>
      </c>
      <c r="J34" s="17" t="str">
        <f aca="false">IF($B34="","",SUMIFS('SỔ CÔNG NỢ'!$K$5:$K$111,'SỔ CÔNG NỢ'!$A$5:$A$111,$B34))</f>
        <v/>
      </c>
      <c r="K34" s="19" t="str">
        <f aca="false">IF($B34="","",IF(ABS(F34)&gt;1,"⚠ Biên bản lệch số tính lại – xem SỔ CÔNG NỢ. ","")&amp;IF(C34&lt;MAX('SỔ CÔNG NỢ'!$B$5:$B$111),"⚠ Chưa có biên bản sau "&amp;TEXT(C34,"mm/yyyy"),""))</f>
        <v/>
      </c>
    </row>
    <row r="35" customFormat="false" ht="15" hidden="false" customHeight="false" outlineLevel="0" collapsed="false">
      <c r="A35" s="13" t="str">
        <f aca="false">IF($B35="","",ROW()-8)</f>
        <v/>
      </c>
      <c r="B35" s="20"/>
      <c r="C35" s="15" t="str">
        <f aca="false">IF($B35="","",_xlfn.MAXIFS('SỔ CÔNG NỢ'!$B$5:$B$111,'SỔ CÔNG NỢ'!$A$5:$A$111,$B35))</f>
        <v/>
      </c>
      <c r="D35" s="16" t="str">
        <f aca="false">IF($B35="","",SUMIFS('SỔ CÔNG NỢ'!$N$5:$N$111,'SỔ CÔNG NỢ'!$A$5:$A$111,$B35,'SỔ CÔNG NỢ'!$B$5:$B$111,$C35))</f>
        <v/>
      </c>
      <c r="E35" s="17" t="str">
        <f aca="false">IF($B35="","",SUMIFS('SỔ CÔNG NỢ'!$M$5:$M$111,'SỔ CÔNG NỢ'!$A$5:$A$111,$B35,'SỔ CÔNG NỢ'!$B$5:$B$111,$C35))</f>
        <v/>
      </c>
      <c r="F35" s="17" t="str">
        <f aca="false">IF($B35="","",D35-E35)</f>
        <v/>
      </c>
      <c r="G35" s="18" t="str">
        <f aca="false">IF($B35="","",IF(D35&gt;0,"Còn nợ",IF(D35&lt;0,"Công ty nợ lại","Hết nợ")))</f>
        <v/>
      </c>
      <c r="H35" s="17" t="str">
        <f aca="false">IF($B35="","",SUMIFS('SỔ CÔNG NỢ'!$G$5:$G$111,'SỔ CÔNG NỢ'!$A$5:$A$111,$B35))</f>
        <v/>
      </c>
      <c r="I35" s="17" t="str">
        <f aca="false">IF($B35="","",SUMIFS('SỔ CÔNG NỢ'!$J$5:$J$111,'SỔ CÔNG NỢ'!$A$5:$A$111,$B35))</f>
        <v/>
      </c>
      <c r="J35" s="17" t="str">
        <f aca="false">IF($B35="","",SUMIFS('SỔ CÔNG NỢ'!$K$5:$K$111,'SỔ CÔNG NỢ'!$A$5:$A$111,$B35))</f>
        <v/>
      </c>
      <c r="K35" s="19" t="str">
        <f aca="false">IF($B35="","",IF(ABS(F35)&gt;1,"⚠ Biên bản lệch số tính lại – xem SỔ CÔNG NỢ. ","")&amp;IF(C35&lt;MAX('SỔ CÔNG NỢ'!$B$5:$B$111),"⚠ Chưa có biên bản sau "&amp;TEXT(C35,"mm/yyyy"),""))</f>
        <v/>
      </c>
    </row>
    <row r="36" customFormat="false" ht="15" hidden="false" customHeight="false" outlineLevel="0" collapsed="false">
      <c r="A36" s="13" t="str">
        <f aca="false">IF($B36="","",ROW()-8)</f>
        <v/>
      </c>
      <c r="B36" s="20"/>
      <c r="C36" s="15" t="str">
        <f aca="false">IF($B36="","",_xlfn.MAXIFS('SỔ CÔNG NỢ'!$B$5:$B$111,'SỔ CÔNG NỢ'!$A$5:$A$111,$B36))</f>
        <v/>
      </c>
      <c r="D36" s="16" t="str">
        <f aca="false">IF($B36="","",SUMIFS('SỔ CÔNG NỢ'!$N$5:$N$111,'SỔ CÔNG NỢ'!$A$5:$A$111,$B36,'SỔ CÔNG NỢ'!$B$5:$B$111,$C36))</f>
        <v/>
      </c>
      <c r="E36" s="17" t="str">
        <f aca="false">IF($B36="","",SUMIFS('SỔ CÔNG NỢ'!$M$5:$M$111,'SỔ CÔNG NỢ'!$A$5:$A$111,$B36,'SỔ CÔNG NỢ'!$B$5:$B$111,$C36))</f>
        <v/>
      </c>
      <c r="F36" s="17" t="str">
        <f aca="false">IF($B36="","",D36-E36)</f>
        <v/>
      </c>
      <c r="G36" s="18" t="str">
        <f aca="false">IF($B36="","",IF(D36&gt;0,"Còn nợ",IF(D36&lt;0,"Công ty nợ lại","Hết nợ")))</f>
        <v/>
      </c>
      <c r="H36" s="17" t="str">
        <f aca="false">IF($B36="","",SUMIFS('SỔ CÔNG NỢ'!$G$5:$G$111,'SỔ CÔNG NỢ'!$A$5:$A$111,$B36))</f>
        <v/>
      </c>
      <c r="I36" s="17" t="str">
        <f aca="false">IF($B36="","",SUMIFS('SỔ CÔNG NỢ'!$J$5:$J$111,'SỔ CÔNG NỢ'!$A$5:$A$111,$B36))</f>
        <v/>
      </c>
      <c r="J36" s="17" t="str">
        <f aca="false">IF($B36="","",SUMIFS('SỔ CÔNG NỢ'!$K$5:$K$111,'SỔ CÔNG NỢ'!$A$5:$A$111,$B36))</f>
        <v/>
      </c>
      <c r="K36" s="19" t="str">
        <f aca="false">IF($B36="","",IF(ABS(F36)&gt;1,"⚠ Biên bản lệch số tính lại – xem SỔ CÔNG NỢ. ","")&amp;IF(C36&lt;MAX('SỔ CÔNG NỢ'!$B$5:$B$111),"⚠ Chưa có biên bản sau "&amp;TEXT(C36,"mm/yyyy"),""))</f>
        <v/>
      </c>
    </row>
    <row r="37" customFormat="false" ht="15" hidden="false" customHeight="false" outlineLevel="0" collapsed="false">
      <c r="A37" s="13" t="str">
        <f aca="false">IF($B37="","",ROW()-8)</f>
        <v/>
      </c>
      <c r="B37" s="20"/>
      <c r="C37" s="15" t="str">
        <f aca="false">IF($B37="","",_xlfn.MAXIFS('SỔ CÔNG NỢ'!$B$5:$B$111,'SỔ CÔNG NỢ'!$A$5:$A$111,$B37))</f>
        <v/>
      </c>
      <c r="D37" s="16" t="str">
        <f aca="false">IF($B37="","",SUMIFS('SỔ CÔNG NỢ'!$N$5:$N$111,'SỔ CÔNG NỢ'!$A$5:$A$111,$B37,'SỔ CÔNG NỢ'!$B$5:$B$111,$C37))</f>
        <v/>
      </c>
      <c r="E37" s="17" t="str">
        <f aca="false">IF($B37="","",SUMIFS('SỔ CÔNG NỢ'!$M$5:$M$111,'SỔ CÔNG NỢ'!$A$5:$A$111,$B37,'SỔ CÔNG NỢ'!$B$5:$B$111,$C37))</f>
        <v/>
      </c>
      <c r="F37" s="17" t="str">
        <f aca="false">IF($B37="","",D37-E37)</f>
        <v/>
      </c>
      <c r="G37" s="18" t="str">
        <f aca="false">IF($B37="","",IF(D37&gt;0,"Còn nợ",IF(D37&lt;0,"Công ty nợ lại","Hết nợ")))</f>
        <v/>
      </c>
      <c r="H37" s="17" t="str">
        <f aca="false">IF($B37="","",SUMIFS('SỔ CÔNG NỢ'!$G$5:$G$111,'SỔ CÔNG NỢ'!$A$5:$A$111,$B37))</f>
        <v/>
      </c>
      <c r="I37" s="17" t="str">
        <f aca="false">IF($B37="","",SUMIFS('SỔ CÔNG NỢ'!$J$5:$J$111,'SỔ CÔNG NỢ'!$A$5:$A$111,$B37))</f>
        <v/>
      </c>
      <c r="J37" s="17" t="str">
        <f aca="false">IF($B37="","",SUMIFS('SỔ CÔNG NỢ'!$K$5:$K$111,'SỔ CÔNG NỢ'!$A$5:$A$111,$B37))</f>
        <v/>
      </c>
      <c r="K37" s="19" t="str">
        <f aca="false">IF($B37="","",IF(ABS(F37)&gt;1,"⚠ Biên bản lệch số tính lại – xem SỔ CÔNG NỢ. ","")&amp;IF(C37&lt;MAX('SỔ CÔNG NỢ'!$B$5:$B$111),"⚠ Chưa có biên bản sau "&amp;TEXT(C37,"mm/yyyy"),""))</f>
        <v/>
      </c>
    </row>
    <row r="38" customFormat="false" ht="15" hidden="false" customHeight="false" outlineLevel="0" collapsed="false">
      <c r="A38" s="13" t="str">
        <f aca="false">IF($B38="","",ROW()-8)</f>
        <v/>
      </c>
      <c r="B38" s="20"/>
      <c r="C38" s="15" t="str">
        <f aca="false">IF($B38="","",_xlfn.MAXIFS('SỔ CÔNG NỢ'!$B$5:$B$111,'SỔ CÔNG NỢ'!$A$5:$A$111,$B38))</f>
        <v/>
      </c>
      <c r="D38" s="16" t="str">
        <f aca="false">IF($B38="","",SUMIFS('SỔ CÔNG NỢ'!$N$5:$N$111,'SỔ CÔNG NỢ'!$A$5:$A$111,$B38,'SỔ CÔNG NỢ'!$B$5:$B$111,$C38))</f>
        <v/>
      </c>
      <c r="E38" s="17" t="str">
        <f aca="false">IF($B38="","",SUMIFS('SỔ CÔNG NỢ'!$M$5:$M$111,'SỔ CÔNG NỢ'!$A$5:$A$111,$B38,'SỔ CÔNG NỢ'!$B$5:$B$111,$C38))</f>
        <v/>
      </c>
      <c r="F38" s="17" t="str">
        <f aca="false">IF($B38="","",D38-E38)</f>
        <v/>
      </c>
      <c r="G38" s="18" t="str">
        <f aca="false">IF($B38="","",IF(D38&gt;0,"Còn nợ",IF(D38&lt;0,"Công ty nợ lại","Hết nợ")))</f>
        <v/>
      </c>
      <c r="H38" s="17" t="str">
        <f aca="false">IF($B38="","",SUMIFS('SỔ CÔNG NỢ'!$G$5:$G$111,'SỔ CÔNG NỢ'!$A$5:$A$111,$B38))</f>
        <v/>
      </c>
      <c r="I38" s="17" t="str">
        <f aca="false">IF($B38="","",SUMIFS('SỔ CÔNG NỢ'!$J$5:$J$111,'SỔ CÔNG NỢ'!$A$5:$A$111,$B38))</f>
        <v/>
      </c>
      <c r="J38" s="17" t="str">
        <f aca="false">IF($B38="","",SUMIFS('SỔ CÔNG NỢ'!$K$5:$K$111,'SỔ CÔNG NỢ'!$A$5:$A$111,$B38))</f>
        <v/>
      </c>
      <c r="K38" s="19" t="str">
        <f aca="false">IF($B38="","",IF(ABS(F38)&gt;1,"⚠ Biên bản lệch số tính lại – xem SỔ CÔNG NỢ. ","")&amp;IF(C38&lt;MAX('SỔ CÔNG NỢ'!$B$5:$B$111),"⚠ Chưa có biên bản sau "&amp;TEXT(C38,"mm/yyyy"),""))</f>
        <v/>
      </c>
    </row>
    <row r="39" customFormat="false" ht="15" hidden="false" customHeight="false" outlineLevel="0" collapsed="false">
      <c r="A39" s="21"/>
      <c r="B39" s="21" t="s">
        <v>42</v>
      </c>
      <c r="C39" s="21"/>
      <c r="D39" s="22" t="n">
        <f aca="false">SUM(D9:D38)</f>
        <v>361283223</v>
      </c>
      <c r="E39" s="22" t="n">
        <f aca="false">SUM(E9:E38)</f>
        <v>374657066.5</v>
      </c>
      <c r="F39" s="22" t="n">
        <f aca="false">SUM(F9:F38)</f>
        <v>-13373843.5</v>
      </c>
      <c r="G39" s="21"/>
      <c r="H39" s="22" t="n">
        <f aca="false">SUM(H9:H38)</f>
        <v>823451705.5</v>
      </c>
      <c r="I39" s="22" t="n">
        <f aca="false">SUM(I9:I38)</f>
        <v>24228160</v>
      </c>
      <c r="J39" s="22" t="n">
        <f aca="false">SUM(J9:J38)</f>
        <v>382433880</v>
      </c>
      <c r="K39" s="21"/>
    </row>
    <row r="41" customFormat="false" ht="15" hidden="false" customHeight="false" outlineLevel="0" collapsed="false">
      <c r="A41" s="23" t="s">
        <v>43</v>
      </c>
    </row>
    <row r="42" customFormat="false" ht="15" hidden="false" customHeight="false" outlineLevel="0" collapsed="false">
      <c r="C42" s="24" t="n">
        <v>46174</v>
      </c>
    </row>
    <row r="44" customFormat="false" ht="15" hidden="false" customHeight="false" outlineLevel="0" collapsed="false">
      <c r="A44" s="11" t="s">
        <v>44</v>
      </c>
    </row>
    <row r="45" customFormat="false" ht="27.75" hidden="false" customHeight="true" outlineLevel="0" collapsed="false">
      <c r="A45" s="12"/>
      <c r="B45" s="12" t="s">
        <v>9</v>
      </c>
      <c r="C45" s="25" t="n">
        <f aca="false">$C$42</f>
        <v>46174</v>
      </c>
      <c r="D45" s="25" t="n">
        <f aca="false">EDATE(C45,1)</f>
        <v>46204</v>
      </c>
      <c r="E45" s="25" t="n">
        <f aca="false">EDATE(D45,1)</f>
        <v>46235</v>
      </c>
      <c r="F45" s="25" t="n">
        <f aca="false">EDATE(E45,1)</f>
        <v>46266</v>
      </c>
      <c r="G45" s="25" t="n">
        <f aca="false">EDATE(F45,1)</f>
        <v>46296</v>
      </c>
      <c r="H45" s="25" t="n">
        <f aca="false">EDATE(G45,1)</f>
        <v>46327</v>
      </c>
    </row>
    <row r="46" customFormat="false" ht="15" hidden="false" customHeight="false" outlineLevel="0" collapsed="false">
      <c r="A46" s="26"/>
      <c r="B46" s="26" t="str">
        <f aca="false">IF($B9="","",$B9)</f>
        <v>Thông Lan (Thiệu Vân)</v>
      </c>
      <c r="C46" s="27" t="str">
        <f aca="false">IF($B46="","",IF(COUNTIFS('SỔ CÔNG NỢ'!$A$5:$A$111,$B46,'SỔ CÔNG NỢ'!$B$5:$B$111,C$45)=0,"",SUMIFS('SỔ CÔNG NỢ'!$N$5:$N$111,'SỔ CÔNG NỢ'!$A$5:$A$111,$B46,'SỔ CÔNG NỢ'!$B$5:$B$111,C$45)))</f>
        <v/>
      </c>
      <c r="D46" s="27" t="n">
        <f aca="false">IF($B46="","",IF(COUNTIFS('SỔ CÔNG NỢ'!$A$5:$A$111,$B46,'SỔ CÔNG NỢ'!$B$5:$B$111,D$45)=0,"",SUMIFS('SỔ CÔNG NỢ'!$N$5:$N$111,'SỔ CÔNG NỢ'!$A$5:$A$111,$B46,'SỔ CÔNG NỢ'!$B$5:$B$111,D$45)))</f>
        <v>60982405</v>
      </c>
      <c r="E46" s="27" t="str">
        <f aca="false">IF($B46="","",IF(COUNTIFS('SỔ CÔNG NỢ'!$A$5:$A$111,$B46,'SỔ CÔNG NỢ'!$B$5:$B$111,E$45)=0,"",SUMIFS('SỔ CÔNG NỢ'!$N$5:$N$111,'SỔ CÔNG NỢ'!$A$5:$A$111,$B46,'SỔ CÔNG NỢ'!$B$5:$B$111,E$45)))</f>
        <v/>
      </c>
      <c r="F46" s="27" t="n">
        <f aca="false">IF($B46="","",IF(COUNTIFS('SỔ CÔNG NỢ'!$A$5:$A$111,$B46,'SỔ CÔNG NỢ'!$B$5:$B$111,F$45)=0,"",SUMIFS('SỔ CÔNG NỢ'!$N$5:$N$111,'SỔ CÔNG NỢ'!$A$5:$A$111,$B46,'SỔ CÔNG NỢ'!$B$5:$B$111,F$45)))</f>
        <v>61451055</v>
      </c>
      <c r="G46" s="27" t="str">
        <f aca="false">IF($B46="","",IF(COUNTIFS('SỔ CÔNG NỢ'!$A$5:$A$111,$B46,'SỔ CÔNG NỢ'!$B$5:$B$111,G$45)=0,"",SUMIFS('SỔ CÔNG NỢ'!$N$5:$N$111,'SỔ CÔNG NỢ'!$A$5:$A$111,$B46,'SỔ CÔNG NỢ'!$B$5:$B$111,G$45)))</f>
        <v/>
      </c>
      <c r="H46" s="27" t="str">
        <f aca="false">IF($B46="","",IF(COUNTIFS('SỔ CÔNG NỢ'!$A$5:$A$111,$B46,'SỔ CÔNG NỢ'!$B$5:$B$111,H$45)=0,"",SUMIFS('SỔ CÔNG NỢ'!$N$5:$N$111,'SỔ CÔNG NỢ'!$A$5:$A$111,$B46,'SỔ CÔNG NỢ'!$B$5:$B$111,H$45)))</f>
        <v/>
      </c>
    </row>
    <row r="47" customFormat="false" ht="15" hidden="false" customHeight="false" outlineLevel="0" collapsed="false">
      <c r="A47" s="26"/>
      <c r="B47" s="26" t="str">
        <f aca="false">IF($B10="","",$B10)</f>
        <v>Tuân Thuận</v>
      </c>
      <c r="C47" s="27" t="n">
        <f aca="false">IF($B47="","",IF(COUNTIFS('SỔ CÔNG NỢ'!$A$5:$A$111,$B47,'SỔ CÔNG NỢ'!$B$5:$B$111,C$45)=0,"",SUMIFS('SỔ CÔNG NỢ'!$N$5:$N$111,'SỔ CÔNG NỢ'!$A$5:$A$111,$B47,'SỔ CÔNG NỢ'!$B$5:$B$111,C$45)))</f>
        <v>1632852</v>
      </c>
      <c r="D47" s="27" t="n">
        <f aca="false">IF($B47="","",IF(COUNTIFS('SỔ CÔNG NỢ'!$A$5:$A$111,$B47,'SỔ CÔNG NỢ'!$B$5:$B$111,D$45)=0,"",SUMIFS('SỔ CÔNG NỢ'!$N$5:$N$111,'SỔ CÔNG NỢ'!$A$5:$A$111,$B47,'SỔ CÔNG NỢ'!$B$5:$B$111,D$45)))</f>
        <v>-14149408</v>
      </c>
      <c r="E47" s="27" t="n">
        <f aca="false">IF($B47="","",IF(COUNTIFS('SỔ CÔNG NỢ'!$A$5:$A$111,$B47,'SỔ CÔNG NỢ'!$B$5:$B$111,E$45)=0,"",SUMIFS('SỔ CÔNG NỢ'!$N$5:$N$111,'SỔ CÔNG NỢ'!$A$5:$A$111,$B47,'SỔ CÔNG NỢ'!$B$5:$B$111,E$45)))</f>
        <v>41354652</v>
      </c>
      <c r="F47" s="27" t="n">
        <f aca="false">IF($B47="","",IF(COUNTIFS('SỔ CÔNG NỢ'!$A$5:$A$111,$B47,'SỔ CÔNG NỢ'!$B$5:$B$111,F$45)=0,"",SUMIFS('SỔ CÔNG NỢ'!$N$5:$N$111,'SỔ CÔNG NỢ'!$A$5:$A$111,$B47,'SỔ CÔNG NỢ'!$B$5:$B$111,F$45)))</f>
        <v>47835892</v>
      </c>
      <c r="G47" s="27" t="str">
        <f aca="false">IF($B47="","",IF(COUNTIFS('SỔ CÔNG NỢ'!$A$5:$A$111,$B47,'SỔ CÔNG NỢ'!$B$5:$B$111,G$45)=0,"",SUMIFS('SỔ CÔNG NỢ'!$N$5:$N$111,'SỔ CÔNG NỢ'!$A$5:$A$111,$B47,'SỔ CÔNG NỢ'!$B$5:$B$111,G$45)))</f>
        <v/>
      </c>
      <c r="H47" s="27" t="str">
        <f aca="false">IF($B47="","",IF(COUNTIFS('SỔ CÔNG NỢ'!$A$5:$A$111,$B47,'SỔ CÔNG NỢ'!$B$5:$B$111,H$45)=0,"",SUMIFS('SỔ CÔNG NỢ'!$N$5:$N$111,'SỔ CÔNG NỢ'!$A$5:$A$111,$B47,'SỔ CÔNG NỢ'!$B$5:$B$111,H$45)))</f>
        <v/>
      </c>
    </row>
    <row r="48" customFormat="false" ht="15" hidden="false" customHeight="false" outlineLevel="0" collapsed="false">
      <c r="A48" s="26"/>
      <c r="B48" s="26" t="str">
        <f aca="false">IF($B11="","",$B11)</f>
        <v>Anh Hưng (giao anh Hải, TP)</v>
      </c>
      <c r="C48" s="27" t="n">
        <f aca="false">IF($B48="","",IF(COUNTIFS('SỔ CÔNG NỢ'!$A$5:$A$111,$B48,'SỔ CÔNG NỢ'!$B$5:$B$111,C$45)=0,"",SUMIFS('SỔ CÔNG NỢ'!$N$5:$N$111,'SỔ CÔNG NỢ'!$A$5:$A$111,$B48,'SỔ CÔNG NỢ'!$B$5:$B$111,C$45)))</f>
        <v>45122746</v>
      </c>
      <c r="D48" s="27" t="str">
        <f aca="false">IF($B48="","",IF(COUNTIFS('SỔ CÔNG NỢ'!$A$5:$A$111,$B48,'SỔ CÔNG NỢ'!$B$5:$B$111,D$45)=0,"",SUMIFS('SỔ CÔNG NỢ'!$N$5:$N$111,'SỔ CÔNG NỢ'!$A$5:$A$111,$B48,'SỔ CÔNG NỢ'!$B$5:$B$111,D$45)))</f>
        <v/>
      </c>
      <c r="E48" s="27" t="n">
        <f aca="false">IF($B48="","",IF(COUNTIFS('SỔ CÔNG NỢ'!$A$5:$A$111,$B48,'SỔ CÔNG NỢ'!$B$5:$B$111,E$45)=0,"",SUMIFS('SỔ CÔNG NỢ'!$N$5:$N$111,'SỔ CÔNG NỢ'!$A$5:$A$111,$B48,'SỔ CÔNG NỢ'!$B$5:$B$111,E$45)))</f>
        <v>46455786</v>
      </c>
      <c r="F48" s="27" t="str">
        <f aca="false">IF($B48="","",IF(COUNTIFS('SỔ CÔNG NỢ'!$A$5:$A$111,$B48,'SỔ CÔNG NỢ'!$B$5:$B$111,F$45)=0,"",SUMIFS('SỔ CÔNG NỢ'!$N$5:$N$111,'SỔ CÔNG NỢ'!$A$5:$A$111,$B48,'SỔ CÔNG NỢ'!$B$5:$B$111,F$45)))</f>
        <v/>
      </c>
      <c r="G48" s="27" t="str">
        <f aca="false">IF($B48="","",IF(COUNTIFS('SỔ CÔNG NỢ'!$A$5:$A$111,$B48,'SỔ CÔNG NỢ'!$B$5:$B$111,G$45)=0,"",SUMIFS('SỔ CÔNG NỢ'!$N$5:$N$111,'SỔ CÔNG NỢ'!$A$5:$A$111,$B48,'SỔ CÔNG NỢ'!$B$5:$B$111,G$45)))</f>
        <v/>
      </c>
      <c r="H48" s="27" t="str">
        <f aca="false">IF($B48="","",IF(COUNTIFS('SỔ CÔNG NỢ'!$A$5:$A$111,$B48,'SỔ CÔNG NỢ'!$B$5:$B$111,H$45)=0,"",SUMIFS('SỔ CÔNG NỢ'!$N$5:$N$111,'SỔ CÔNG NỢ'!$A$5:$A$111,$B48,'SỔ CÔNG NỢ'!$B$5:$B$111,H$45)))</f>
        <v/>
      </c>
    </row>
    <row r="49" customFormat="false" ht="15" hidden="false" customHeight="false" outlineLevel="0" collapsed="false">
      <c r="A49" s="26"/>
      <c r="B49" s="26" t="str">
        <f aca="false">IF($B12="","",$B12)</f>
        <v>Nghị Hậu</v>
      </c>
      <c r="C49" s="27" t="n">
        <f aca="false">IF($B49="","",IF(COUNTIFS('SỔ CÔNG NỢ'!$A$5:$A$111,$B49,'SỔ CÔNG NỢ'!$B$5:$B$111,C$45)=0,"",SUMIFS('SỔ CÔNG NỢ'!$N$5:$N$111,'SỔ CÔNG NỢ'!$A$5:$A$111,$B49,'SỔ CÔNG NỢ'!$B$5:$B$111,C$45)))</f>
        <v>33448535</v>
      </c>
      <c r="D49" s="27" t="str">
        <f aca="false">IF($B49="","",IF(COUNTIFS('SỔ CÔNG NỢ'!$A$5:$A$111,$B49,'SỔ CÔNG NỢ'!$B$5:$B$111,D$45)=0,"",SUMIFS('SỔ CÔNG NỢ'!$N$5:$N$111,'SỔ CÔNG NỢ'!$A$5:$A$111,$B49,'SỔ CÔNG NỢ'!$B$5:$B$111,D$45)))</f>
        <v/>
      </c>
      <c r="E49" s="27" t="str">
        <f aca="false">IF($B49="","",IF(COUNTIFS('SỔ CÔNG NỢ'!$A$5:$A$111,$B49,'SỔ CÔNG NỢ'!$B$5:$B$111,E$45)=0,"",SUMIFS('SỔ CÔNG NỢ'!$N$5:$N$111,'SỔ CÔNG NỢ'!$A$5:$A$111,$B49,'SỔ CÔNG NỢ'!$B$5:$B$111,E$45)))</f>
        <v/>
      </c>
      <c r="F49" s="27" t="str">
        <f aca="false">IF($B49="","",IF(COUNTIFS('SỔ CÔNG NỢ'!$A$5:$A$111,$B49,'SỔ CÔNG NỢ'!$B$5:$B$111,F$45)=0,"",SUMIFS('SỔ CÔNG NỢ'!$N$5:$N$111,'SỔ CÔNG NỢ'!$A$5:$A$111,$B49,'SỔ CÔNG NỢ'!$B$5:$B$111,F$45)))</f>
        <v/>
      </c>
      <c r="G49" s="27" t="str">
        <f aca="false">IF($B49="","",IF(COUNTIFS('SỔ CÔNG NỢ'!$A$5:$A$111,$B49,'SỔ CÔNG NỢ'!$B$5:$B$111,G$45)=0,"",SUMIFS('SỔ CÔNG NỢ'!$N$5:$N$111,'SỔ CÔNG NỢ'!$A$5:$A$111,$B49,'SỔ CÔNG NỢ'!$B$5:$B$111,G$45)))</f>
        <v/>
      </c>
      <c r="H49" s="27" t="str">
        <f aca="false">IF($B49="","",IF(COUNTIFS('SỔ CÔNG NỢ'!$A$5:$A$111,$B49,'SỔ CÔNG NỢ'!$B$5:$B$111,H$45)=0,"",SUMIFS('SỔ CÔNG NỢ'!$N$5:$N$111,'SỔ CÔNG NỢ'!$A$5:$A$111,$B49,'SỔ CÔNG NỢ'!$B$5:$B$111,H$45)))</f>
        <v/>
      </c>
    </row>
    <row r="50" customFormat="false" ht="15" hidden="false" customHeight="false" outlineLevel="0" collapsed="false">
      <c r="A50" s="26"/>
      <c r="B50" s="26" t="str">
        <f aca="false">IF($B13="","",$B13)</f>
        <v>Hà Liên</v>
      </c>
      <c r="C50" s="27" t="n">
        <f aca="false">IF($B50="","",IF(COUNTIFS('SỔ CÔNG NỢ'!$A$5:$A$111,$B50,'SỔ CÔNG NỢ'!$B$5:$B$111,C$45)=0,"",SUMIFS('SỔ CÔNG NỢ'!$N$5:$N$111,'SỔ CÔNG NỢ'!$A$5:$A$111,$B50,'SỔ CÔNG NỢ'!$B$5:$B$111,C$45)))</f>
        <v>10078550</v>
      </c>
      <c r="D50" s="27" t="n">
        <f aca="false">IF($B50="","",IF(COUNTIFS('SỔ CÔNG NỢ'!$A$5:$A$111,$B50,'SỔ CÔNG NỢ'!$B$5:$B$111,D$45)=0,"",SUMIFS('SỔ CÔNG NỢ'!$N$5:$N$111,'SỔ CÔNG NỢ'!$A$5:$A$111,$B50,'SỔ CÔNG NỢ'!$B$5:$B$111,D$45)))</f>
        <v>10478590</v>
      </c>
      <c r="E50" s="27" t="n">
        <f aca="false">IF($B50="","",IF(COUNTIFS('SỔ CÔNG NỢ'!$A$5:$A$111,$B50,'SỔ CÔNG NỢ'!$B$5:$B$111,E$45)=0,"",SUMIFS('SỔ CÔNG NỢ'!$N$5:$N$111,'SỔ CÔNG NỢ'!$A$5:$A$111,$B50,'SỔ CÔNG NỢ'!$B$5:$B$111,E$45)))</f>
        <v>-7095410</v>
      </c>
      <c r="F50" s="27" t="n">
        <f aca="false">IF($B50="","",IF(COUNTIFS('SỔ CÔNG NỢ'!$A$5:$A$111,$B50,'SỔ CÔNG NỢ'!$B$5:$B$111,F$45)=0,"",SUMIFS('SỔ CÔNG NỢ'!$N$5:$N$111,'SỔ CÔNG NỢ'!$A$5:$A$111,$B50,'SỔ CÔNG NỢ'!$B$5:$B$111,F$45)))</f>
        <v>33078350</v>
      </c>
      <c r="G50" s="27" t="str">
        <f aca="false">IF($B50="","",IF(COUNTIFS('SỔ CÔNG NỢ'!$A$5:$A$111,$B50,'SỔ CÔNG NỢ'!$B$5:$B$111,G$45)=0,"",SUMIFS('SỔ CÔNG NỢ'!$N$5:$N$111,'SỔ CÔNG NỢ'!$A$5:$A$111,$B50,'SỔ CÔNG NỢ'!$B$5:$B$111,G$45)))</f>
        <v/>
      </c>
      <c r="H50" s="27" t="str">
        <f aca="false">IF($B50="","",IF(COUNTIFS('SỔ CÔNG NỢ'!$A$5:$A$111,$B50,'SỔ CÔNG NỢ'!$B$5:$B$111,H$45)=0,"",SUMIFS('SỔ CÔNG NỢ'!$N$5:$N$111,'SỔ CÔNG NỢ'!$A$5:$A$111,$B50,'SỔ CÔNG NỢ'!$B$5:$B$111,H$45)))</f>
        <v/>
      </c>
    </row>
    <row r="51" customFormat="false" ht="15" hidden="false" customHeight="false" outlineLevel="0" collapsed="false">
      <c r="A51" s="26"/>
      <c r="B51" s="26" t="str">
        <f aca="false">IF($B14="","",$B14)</f>
        <v>Chinh Ưng (Đông Lĩnh)</v>
      </c>
      <c r="C51" s="27" t="n">
        <f aca="false">IF($B51="","",IF(COUNTIFS('SỔ CÔNG NỢ'!$A$5:$A$111,$B51,'SỔ CÔNG NỢ'!$B$5:$B$111,C$45)=0,"",SUMIFS('SỔ CÔNG NỢ'!$N$5:$N$111,'SỔ CÔNG NỢ'!$A$5:$A$111,$B51,'SỔ CÔNG NỢ'!$B$5:$B$111,C$45)))</f>
        <v>19587680</v>
      </c>
      <c r="D51" s="27" t="n">
        <f aca="false">IF($B51="","",IF(COUNTIFS('SỔ CÔNG NỢ'!$A$5:$A$111,$B51,'SỔ CÔNG NỢ'!$B$5:$B$111,D$45)=0,"",SUMIFS('SỔ CÔNG NỢ'!$N$5:$N$111,'SỔ CÔNG NỢ'!$A$5:$A$111,$B51,'SỔ CÔNG NỢ'!$B$5:$B$111,D$45)))</f>
        <v>22792080</v>
      </c>
      <c r="E51" s="27" t="str">
        <f aca="false">IF($B51="","",IF(COUNTIFS('SỔ CÔNG NỢ'!$A$5:$A$111,$B51,'SỔ CÔNG NỢ'!$B$5:$B$111,E$45)=0,"",SUMIFS('SỔ CÔNG NỢ'!$N$5:$N$111,'SỔ CÔNG NỢ'!$A$5:$A$111,$B51,'SỔ CÔNG NỢ'!$B$5:$B$111,E$45)))</f>
        <v/>
      </c>
      <c r="F51" s="27" t="n">
        <f aca="false">IF($B51="","",IF(COUNTIFS('SỔ CÔNG NỢ'!$A$5:$A$111,$B51,'SỔ CÔNG NỢ'!$B$5:$B$111,F$45)=0,"",SUMIFS('SỔ CÔNG NỢ'!$N$5:$N$111,'SỔ CÔNG NỢ'!$A$5:$A$111,$B51,'SỔ CÔNG NỢ'!$B$5:$B$111,F$45)))</f>
        <v>29985920</v>
      </c>
      <c r="G51" s="27" t="str">
        <f aca="false">IF($B51="","",IF(COUNTIFS('SỔ CÔNG NỢ'!$A$5:$A$111,$B51,'SỔ CÔNG NỢ'!$B$5:$B$111,G$45)=0,"",SUMIFS('SỔ CÔNG NỢ'!$N$5:$N$111,'SỔ CÔNG NỢ'!$A$5:$A$111,$B51,'SỔ CÔNG NỢ'!$B$5:$B$111,G$45)))</f>
        <v/>
      </c>
      <c r="H51" s="27" t="str">
        <f aca="false">IF($B51="","",IF(COUNTIFS('SỔ CÔNG NỢ'!$A$5:$A$111,$B51,'SỔ CÔNG NỢ'!$B$5:$B$111,H$45)=0,"",SUMIFS('SỔ CÔNG NỢ'!$N$5:$N$111,'SỔ CÔNG NỢ'!$A$5:$A$111,$B51,'SỔ CÔNG NỢ'!$B$5:$B$111,H$45)))</f>
        <v/>
      </c>
    </row>
    <row r="52" customFormat="false" ht="15" hidden="false" customHeight="false" outlineLevel="0" collapsed="false">
      <c r="A52" s="26"/>
      <c r="B52" s="26" t="str">
        <f aca="false">IF($B15="","",$B15)</f>
        <v>Cường Hà</v>
      </c>
      <c r="C52" s="27" t="n">
        <f aca="false">IF($B52="","",IF(COUNTIFS('SỔ CÔNG NỢ'!$A$5:$A$111,$B52,'SỔ CÔNG NỢ'!$B$5:$B$111,C$45)=0,"",SUMIFS('SỔ CÔNG NỢ'!$N$5:$N$111,'SỔ CÔNG NỢ'!$A$5:$A$111,$B52,'SỔ CÔNG NỢ'!$B$5:$B$111,C$45)))</f>
        <v>-49231650</v>
      </c>
      <c r="D52" s="27" t="n">
        <f aca="false">IF($B52="","",IF(COUNTIFS('SỔ CÔNG NỢ'!$A$5:$A$111,$B52,'SỔ CÔNG NỢ'!$B$5:$B$111,D$45)=0,"",SUMIFS('SỔ CÔNG NỢ'!$N$5:$N$111,'SỔ CÔNG NỢ'!$A$5:$A$111,$B52,'SỔ CÔNG NỢ'!$B$5:$B$111,D$45)))</f>
        <v>-41238850</v>
      </c>
      <c r="E52" s="27" t="n">
        <f aca="false">IF($B52="","",IF(COUNTIFS('SỔ CÔNG NỢ'!$A$5:$A$111,$B52,'SỔ CÔNG NỢ'!$B$5:$B$111,E$45)=0,"",SUMIFS('SỔ CÔNG NỢ'!$N$5:$N$111,'SỔ CÔNG NỢ'!$A$5:$A$111,$B52,'SỔ CÔNG NỢ'!$B$5:$B$111,E$45)))</f>
        <v>4487290</v>
      </c>
      <c r="F52" s="27" t="n">
        <f aca="false">IF($B52="","",IF(COUNTIFS('SỔ CÔNG NỢ'!$A$5:$A$111,$B52,'SỔ CÔNG NỢ'!$B$5:$B$111,F$45)=0,"",SUMIFS('SỔ CÔNG NỢ'!$N$5:$N$111,'SỔ CÔNG NỢ'!$A$5:$A$111,$B52,'SỔ CÔNG NỢ'!$B$5:$B$111,F$45)))</f>
        <v>21149210</v>
      </c>
      <c r="G52" s="27" t="str">
        <f aca="false">IF($B52="","",IF(COUNTIFS('SỔ CÔNG NỢ'!$A$5:$A$111,$B52,'SỔ CÔNG NỢ'!$B$5:$B$111,G$45)=0,"",SUMIFS('SỔ CÔNG NỢ'!$N$5:$N$111,'SỔ CÔNG NỢ'!$A$5:$A$111,$B52,'SỔ CÔNG NỢ'!$B$5:$B$111,G$45)))</f>
        <v/>
      </c>
      <c r="H52" s="27" t="str">
        <f aca="false">IF($B52="","",IF(COUNTIFS('SỔ CÔNG NỢ'!$A$5:$A$111,$B52,'SỔ CÔNG NỢ'!$B$5:$B$111,H$45)=0,"",SUMIFS('SỔ CÔNG NỢ'!$N$5:$N$111,'SỔ CÔNG NỢ'!$A$5:$A$111,$B52,'SỔ CÔNG NỢ'!$B$5:$B$111,H$45)))</f>
        <v/>
      </c>
    </row>
    <row r="53" customFormat="false" ht="15" hidden="false" customHeight="false" outlineLevel="0" collapsed="false">
      <c r="A53" s="26"/>
      <c r="B53" s="26" t="str">
        <f aca="false">IF($B16="","",$B16)</f>
        <v>Toàn Lanh</v>
      </c>
      <c r="C53" s="27" t="n">
        <f aca="false">IF($B53="","",IF(COUNTIFS('SỔ CÔNG NỢ'!$A$5:$A$111,$B53,'SỔ CÔNG NỢ'!$B$5:$B$111,C$45)=0,"",SUMIFS('SỔ CÔNG NỢ'!$N$5:$N$111,'SỔ CÔNG NỢ'!$A$5:$A$111,$B53,'SỔ CÔNG NỢ'!$B$5:$B$111,C$45)))</f>
        <v>13520077</v>
      </c>
      <c r="D53" s="27" t="n">
        <f aca="false">IF($B53="","",IF(COUNTIFS('SỔ CÔNG NỢ'!$A$5:$A$111,$B53,'SỔ CÔNG NỢ'!$B$5:$B$111,D$45)=0,"",SUMIFS('SỔ CÔNG NỢ'!$N$5:$N$111,'SỔ CÔNG NỢ'!$A$5:$A$111,$B53,'SỔ CÔNG NỢ'!$B$5:$B$111,D$45)))</f>
        <v>18143025</v>
      </c>
      <c r="E53" s="27" t="str">
        <f aca="false">IF($B53="","",IF(COUNTIFS('SỔ CÔNG NỢ'!$A$5:$A$111,$B53,'SỔ CÔNG NỢ'!$B$5:$B$111,E$45)=0,"",SUMIFS('SỔ CÔNG NỢ'!$N$5:$N$111,'SỔ CÔNG NỢ'!$A$5:$A$111,$B53,'SỔ CÔNG NỢ'!$B$5:$B$111,E$45)))</f>
        <v/>
      </c>
      <c r="F53" s="27" t="str">
        <f aca="false">IF($B53="","",IF(COUNTIFS('SỔ CÔNG NỢ'!$A$5:$A$111,$B53,'SỔ CÔNG NỢ'!$B$5:$B$111,F$45)=0,"",SUMIFS('SỔ CÔNG NỢ'!$N$5:$N$111,'SỔ CÔNG NỢ'!$A$5:$A$111,$B53,'SỔ CÔNG NỢ'!$B$5:$B$111,F$45)))</f>
        <v/>
      </c>
      <c r="G53" s="27" t="str">
        <f aca="false">IF($B53="","",IF(COUNTIFS('SỔ CÔNG NỢ'!$A$5:$A$111,$B53,'SỔ CÔNG NỢ'!$B$5:$B$111,G$45)=0,"",SUMIFS('SỔ CÔNG NỢ'!$N$5:$N$111,'SỔ CÔNG NỢ'!$A$5:$A$111,$B53,'SỔ CÔNG NỢ'!$B$5:$B$111,G$45)))</f>
        <v/>
      </c>
      <c r="H53" s="27" t="str">
        <f aca="false">IF($B53="","",IF(COUNTIFS('SỔ CÔNG NỢ'!$A$5:$A$111,$B53,'SỔ CÔNG NỢ'!$B$5:$B$111,H$45)=0,"",SUMIFS('SỔ CÔNG NỢ'!$N$5:$N$111,'SỔ CÔNG NỢ'!$A$5:$A$111,$B53,'SỔ CÔNG NỢ'!$B$5:$B$111,H$45)))</f>
        <v/>
      </c>
    </row>
    <row r="54" customFormat="false" ht="15" hidden="false" customHeight="false" outlineLevel="0" collapsed="false">
      <c r="A54" s="26"/>
      <c r="B54" s="26" t="str">
        <f aca="false">IF($B17="","",$B17)</f>
        <v>Chị Thu (Rừng Thông)</v>
      </c>
      <c r="C54" s="27" t="n">
        <f aca="false">IF($B54="","",IF(COUNTIFS('SỔ CÔNG NỢ'!$A$5:$A$111,$B54,'SỔ CÔNG NỢ'!$B$5:$B$111,C$45)=0,"",SUMIFS('SỔ CÔNG NỢ'!$N$5:$N$111,'SỔ CÔNG NỢ'!$A$5:$A$111,$B54,'SỔ CÔNG NỢ'!$B$5:$B$111,C$45)))</f>
        <v>17142020</v>
      </c>
      <c r="D54" s="27" t="str">
        <f aca="false">IF($B54="","",IF(COUNTIFS('SỔ CÔNG NỢ'!$A$5:$A$111,$B54,'SỔ CÔNG NỢ'!$B$5:$B$111,D$45)=0,"",SUMIFS('SỔ CÔNG NỢ'!$N$5:$N$111,'SỔ CÔNG NỢ'!$A$5:$A$111,$B54,'SỔ CÔNG NỢ'!$B$5:$B$111,D$45)))</f>
        <v/>
      </c>
      <c r="E54" s="27" t="str">
        <f aca="false">IF($B54="","",IF(COUNTIFS('SỔ CÔNG NỢ'!$A$5:$A$111,$B54,'SỔ CÔNG NỢ'!$B$5:$B$111,E$45)=0,"",SUMIFS('SỔ CÔNG NỢ'!$N$5:$N$111,'SỔ CÔNG NỢ'!$A$5:$A$111,$B54,'SỔ CÔNG NỢ'!$B$5:$B$111,E$45)))</f>
        <v/>
      </c>
      <c r="F54" s="27" t="str">
        <f aca="false">IF($B54="","",IF(COUNTIFS('SỔ CÔNG NỢ'!$A$5:$A$111,$B54,'SỔ CÔNG NỢ'!$B$5:$B$111,F$45)=0,"",SUMIFS('SỔ CÔNG NỢ'!$N$5:$N$111,'SỔ CÔNG NỢ'!$A$5:$A$111,$B54,'SỔ CÔNG NỢ'!$B$5:$B$111,F$45)))</f>
        <v/>
      </c>
      <c r="G54" s="27" t="str">
        <f aca="false">IF($B54="","",IF(COUNTIFS('SỔ CÔNG NỢ'!$A$5:$A$111,$B54,'SỔ CÔNG NỢ'!$B$5:$B$111,G$45)=0,"",SUMIFS('SỔ CÔNG NỢ'!$N$5:$N$111,'SỔ CÔNG NỢ'!$A$5:$A$111,$B54,'SỔ CÔNG NỢ'!$B$5:$B$111,G$45)))</f>
        <v/>
      </c>
      <c r="H54" s="27" t="str">
        <f aca="false">IF($B54="","",IF(COUNTIFS('SỔ CÔNG NỢ'!$A$5:$A$111,$B54,'SỔ CÔNG NỢ'!$B$5:$B$111,H$45)=0,"",SUMIFS('SỔ CÔNG NỢ'!$N$5:$N$111,'SỔ CÔNG NỢ'!$A$5:$A$111,$B54,'SỔ CÔNG NỢ'!$B$5:$B$111,H$45)))</f>
        <v/>
      </c>
    </row>
    <row r="55" customFormat="false" ht="15" hidden="false" customHeight="false" outlineLevel="0" collapsed="false">
      <c r="A55" s="26"/>
      <c r="B55" s="26" t="str">
        <f aca="false">IF($B18="","",$B18)</f>
        <v>Anh Hùng (TP)</v>
      </c>
      <c r="C55" s="27" t="n">
        <f aca="false">IF($B55="","",IF(COUNTIFS('SỔ CÔNG NỢ'!$A$5:$A$111,$B55,'SỔ CÔNG NỢ'!$B$5:$B$111,C$45)=0,"",SUMIFS('SỔ CÔNG NỢ'!$N$5:$N$111,'SỔ CÔNG NỢ'!$A$5:$A$111,$B55,'SỔ CÔNG NỢ'!$B$5:$B$111,C$45)))</f>
        <v>12000625</v>
      </c>
      <c r="D55" s="27" t="n">
        <f aca="false">IF($B55="","",IF(COUNTIFS('SỔ CÔNG NỢ'!$A$5:$A$111,$B55,'SỔ CÔNG NỢ'!$B$5:$B$111,D$45)=0,"",SUMIFS('SỔ CÔNG NỢ'!$N$5:$N$111,'SỔ CÔNG NỢ'!$A$5:$A$111,$B55,'SỔ CÔNG NỢ'!$B$5:$B$111,D$45)))</f>
        <v>12156045</v>
      </c>
      <c r="E55" s="27" t="str">
        <f aca="false">IF($B55="","",IF(COUNTIFS('SỔ CÔNG NỢ'!$A$5:$A$111,$B55,'SỔ CÔNG NỢ'!$B$5:$B$111,E$45)=0,"",SUMIFS('SỔ CÔNG NỢ'!$N$5:$N$111,'SỔ CÔNG NỢ'!$A$5:$A$111,$B55,'SỔ CÔNG NỢ'!$B$5:$B$111,E$45)))</f>
        <v/>
      </c>
      <c r="F55" s="27" t="n">
        <f aca="false">IF($B55="","",IF(COUNTIFS('SỔ CÔNG NỢ'!$A$5:$A$111,$B55,'SỔ CÔNG NỢ'!$B$5:$B$111,F$45)=0,"",SUMIFS('SỔ CÔNG NỢ'!$N$5:$N$111,'SỔ CÔNG NỢ'!$A$5:$A$111,$B55,'SỔ CÔNG NỢ'!$B$5:$B$111,F$45)))</f>
        <v>15821145</v>
      </c>
      <c r="G55" s="27" t="str">
        <f aca="false">IF($B55="","",IF(COUNTIFS('SỔ CÔNG NỢ'!$A$5:$A$111,$B55,'SỔ CÔNG NỢ'!$B$5:$B$111,G$45)=0,"",SUMIFS('SỔ CÔNG NỢ'!$N$5:$N$111,'SỔ CÔNG NỢ'!$A$5:$A$111,$B55,'SỔ CÔNG NỢ'!$B$5:$B$111,G$45)))</f>
        <v/>
      </c>
      <c r="H55" s="27" t="str">
        <f aca="false">IF($B55="","",IF(COUNTIFS('SỔ CÔNG NỢ'!$A$5:$A$111,$B55,'SỔ CÔNG NỢ'!$B$5:$B$111,H$45)=0,"",SUMIFS('SỔ CÔNG NỢ'!$N$5:$N$111,'SỔ CÔNG NỢ'!$A$5:$A$111,$B55,'SỔ CÔNG NỢ'!$B$5:$B$111,H$45)))</f>
        <v/>
      </c>
    </row>
    <row r="56" customFormat="false" ht="15" hidden="false" customHeight="false" outlineLevel="0" collapsed="false">
      <c r="A56" s="26"/>
      <c r="B56" s="26" t="str">
        <f aca="false">IF($B19="","",$B19)</f>
        <v>Tìm Mai (Hoàng Châu)</v>
      </c>
      <c r="C56" s="27" t="str">
        <f aca="false">IF($B56="","",IF(COUNTIFS('SỔ CÔNG NỢ'!$A$5:$A$111,$B56,'SỔ CÔNG NỢ'!$B$5:$B$111,C$45)=0,"",SUMIFS('SỔ CÔNG NỢ'!$N$5:$N$111,'SỔ CÔNG NỢ'!$A$5:$A$111,$B56,'SỔ CÔNG NỢ'!$B$5:$B$111,C$45)))</f>
        <v/>
      </c>
      <c r="D56" s="27" t="n">
        <f aca="false">IF($B56="","",IF(COUNTIFS('SỔ CÔNG NỢ'!$A$5:$A$111,$B56,'SỔ CÔNG NỢ'!$B$5:$B$111,D$45)=0,"",SUMIFS('SỔ CÔNG NỢ'!$N$5:$N$111,'SỔ CÔNG NỢ'!$A$5:$A$111,$B56,'SỔ CÔNG NỢ'!$B$5:$B$111,D$45)))</f>
        <v>14318800</v>
      </c>
      <c r="E56" s="27" t="str">
        <f aca="false">IF($B56="","",IF(COUNTIFS('SỔ CÔNG NỢ'!$A$5:$A$111,$B56,'SỔ CÔNG NỢ'!$B$5:$B$111,E$45)=0,"",SUMIFS('SỔ CÔNG NỢ'!$N$5:$N$111,'SỔ CÔNG NỢ'!$A$5:$A$111,$B56,'SỔ CÔNG NỢ'!$B$5:$B$111,E$45)))</f>
        <v/>
      </c>
      <c r="F56" s="27" t="str">
        <f aca="false">IF($B56="","",IF(COUNTIFS('SỔ CÔNG NỢ'!$A$5:$A$111,$B56,'SỔ CÔNG NỢ'!$B$5:$B$111,F$45)=0,"",SUMIFS('SỔ CÔNG NỢ'!$N$5:$N$111,'SỔ CÔNG NỢ'!$A$5:$A$111,$B56,'SỔ CÔNG NỢ'!$B$5:$B$111,F$45)))</f>
        <v/>
      </c>
      <c r="G56" s="27" t="str">
        <f aca="false">IF($B56="","",IF(COUNTIFS('SỔ CÔNG NỢ'!$A$5:$A$111,$B56,'SỔ CÔNG NỢ'!$B$5:$B$111,G$45)=0,"",SUMIFS('SỔ CÔNG NỢ'!$N$5:$N$111,'SỔ CÔNG NỢ'!$A$5:$A$111,$B56,'SỔ CÔNG NỢ'!$B$5:$B$111,G$45)))</f>
        <v/>
      </c>
      <c r="H56" s="27" t="str">
        <f aca="false">IF($B56="","",IF(COUNTIFS('SỔ CÔNG NỢ'!$A$5:$A$111,$B56,'SỔ CÔNG NỢ'!$B$5:$B$111,H$45)=0,"",SUMIFS('SỔ CÔNG NỢ'!$N$5:$N$111,'SỔ CÔNG NỢ'!$A$5:$A$111,$B56,'SỔ CÔNG NỢ'!$B$5:$B$111,H$45)))</f>
        <v/>
      </c>
    </row>
    <row r="57" customFormat="false" ht="15" hidden="false" customHeight="false" outlineLevel="0" collapsed="false">
      <c r="A57" s="26"/>
      <c r="B57" s="26" t="str">
        <f aca="false">IF($B20="","",$B20)</f>
        <v>Tuấn Thanh</v>
      </c>
      <c r="C57" s="27" t="str">
        <f aca="false">IF($B57="","",IF(COUNTIFS('SỔ CÔNG NỢ'!$A$5:$A$111,$B57,'SỔ CÔNG NỢ'!$B$5:$B$111,C$45)=0,"",SUMIFS('SỔ CÔNG NỢ'!$N$5:$N$111,'SỔ CÔNG NỢ'!$A$5:$A$111,$B57,'SỔ CÔNG NỢ'!$B$5:$B$111,C$45)))</f>
        <v/>
      </c>
      <c r="D57" s="27" t="str">
        <f aca="false">IF($B57="","",IF(COUNTIFS('SỔ CÔNG NỢ'!$A$5:$A$111,$B57,'SỔ CÔNG NỢ'!$B$5:$B$111,D$45)=0,"",SUMIFS('SỔ CÔNG NỢ'!$N$5:$N$111,'SỔ CÔNG NỢ'!$A$5:$A$111,$B57,'SỔ CÔNG NỢ'!$B$5:$B$111,D$45)))</f>
        <v/>
      </c>
      <c r="E57" s="27" t="str">
        <f aca="false">IF($B57="","",IF(COUNTIFS('SỔ CÔNG NỢ'!$A$5:$A$111,$B57,'SỔ CÔNG NỢ'!$B$5:$B$111,E$45)=0,"",SUMIFS('SỔ CÔNG NỢ'!$N$5:$N$111,'SỔ CÔNG NỢ'!$A$5:$A$111,$B57,'SỔ CÔNG NỢ'!$B$5:$B$111,E$45)))</f>
        <v/>
      </c>
      <c r="F57" s="27" t="n">
        <f aca="false">IF($B57="","",IF(COUNTIFS('SỔ CÔNG NỢ'!$A$5:$A$111,$B57,'SỔ CÔNG NỢ'!$B$5:$B$111,F$45)=0,"",SUMIFS('SỔ CÔNG NỢ'!$N$5:$N$111,'SỔ CÔNG NỢ'!$A$5:$A$111,$B57,'SỔ CÔNG NỢ'!$B$5:$B$111,F$45)))</f>
        <v>13171665</v>
      </c>
      <c r="G57" s="27" t="str">
        <f aca="false">IF($B57="","",IF(COUNTIFS('SỔ CÔNG NỢ'!$A$5:$A$111,$B57,'SỔ CÔNG NỢ'!$B$5:$B$111,G$45)=0,"",SUMIFS('SỔ CÔNG NỢ'!$N$5:$N$111,'SỔ CÔNG NỢ'!$A$5:$A$111,$B57,'SỔ CÔNG NỢ'!$B$5:$B$111,G$45)))</f>
        <v/>
      </c>
      <c r="H57" s="27" t="str">
        <f aca="false">IF($B57="","",IF(COUNTIFS('SỔ CÔNG NỢ'!$A$5:$A$111,$B57,'SỔ CÔNG NỢ'!$B$5:$B$111,H$45)=0,"",SUMIFS('SỔ CÔNG NỢ'!$N$5:$N$111,'SỔ CÔNG NỢ'!$A$5:$A$111,$B57,'SỔ CÔNG NỢ'!$B$5:$B$111,H$45)))</f>
        <v/>
      </c>
    </row>
    <row r="58" customFormat="false" ht="15" hidden="false" customHeight="false" outlineLevel="0" collapsed="false">
      <c r="A58" s="26"/>
      <c r="B58" s="26" t="str">
        <f aca="false">IF($B21="","",$B21)</f>
        <v>Trần Văn Chung (Thiệu Tân)</v>
      </c>
      <c r="C58" s="27" t="n">
        <f aca="false">IF($B58="","",IF(COUNTIFS('SỔ CÔNG NỢ'!$A$5:$A$111,$B58,'SỔ CÔNG NỢ'!$B$5:$B$111,C$45)=0,"",SUMIFS('SỔ CÔNG NỢ'!$N$5:$N$111,'SỔ CÔNG NỢ'!$A$5:$A$111,$B58,'SỔ CÔNG NỢ'!$B$5:$B$111,C$45)))</f>
        <v>10004469</v>
      </c>
      <c r="D58" s="27" t="n">
        <f aca="false">IF($B58="","",IF(COUNTIFS('SỔ CÔNG NỢ'!$A$5:$A$111,$B58,'SỔ CÔNG NỢ'!$B$5:$B$111,D$45)=0,"",SUMIFS('SỔ CÔNG NỢ'!$N$5:$N$111,'SỔ CÔNG NỢ'!$A$5:$A$111,$B58,'SỔ CÔNG NỢ'!$B$5:$B$111,D$45)))</f>
        <v>10634579</v>
      </c>
      <c r="E58" s="27" t="str">
        <f aca="false">IF($B58="","",IF(COUNTIFS('SỔ CÔNG NỢ'!$A$5:$A$111,$B58,'SỔ CÔNG NỢ'!$B$5:$B$111,E$45)=0,"",SUMIFS('SỔ CÔNG NỢ'!$N$5:$N$111,'SỔ CÔNG NỢ'!$A$5:$A$111,$B58,'SỔ CÔNG NỢ'!$B$5:$B$111,E$45)))</f>
        <v/>
      </c>
      <c r="F58" s="27" t="str">
        <f aca="false">IF($B58="","",IF(COUNTIFS('SỔ CÔNG NỢ'!$A$5:$A$111,$B58,'SỔ CÔNG NỢ'!$B$5:$B$111,F$45)=0,"",SUMIFS('SỔ CÔNG NỢ'!$N$5:$N$111,'SỔ CÔNG NỢ'!$A$5:$A$111,$B58,'SỔ CÔNG NỢ'!$B$5:$B$111,F$45)))</f>
        <v/>
      </c>
      <c r="G58" s="27" t="str">
        <f aca="false">IF($B58="","",IF(COUNTIFS('SỔ CÔNG NỢ'!$A$5:$A$111,$B58,'SỔ CÔNG NỢ'!$B$5:$B$111,G$45)=0,"",SUMIFS('SỔ CÔNG NỢ'!$N$5:$N$111,'SỔ CÔNG NỢ'!$A$5:$A$111,$B58,'SỔ CÔNG NỢ'!$B$5:$B$111,G$45)))</f>
        <v/>
      </c>
      <c r="H58" s="27" t="str">
        <f aca="false">IF($B58="","",IF(COUNTIFS('SỔ CÔNG NỢ'!$A$5:$A$111,$B58,'SỔ CÔNG NỢ'!$B$5:$B$111,H$45)=0,"",SUMIFS('SỔ CÔNG NỢ'!$N$5:$N$111,'SỔ CÔNG NỢ'!$A$5:$A$111,$B58,'SỔ CÔNG NỢ'!$B$5:$B$111,H$45)))</f>
        <v/>
      </c>
    </row>
    <row r="59" customFormat="false" ht="15" hidden="false" customHeight="false" outlineLevel="0" collapsed="false">
      <c r="A59" s="26"/>
      <c r="B59" s="26" t="str">
        <f aca="false">IF($B22="","",$B22)</f>
        <v>Chú Giáp (Thiệu Thành)</v>
      </c>
      <c r="C59" s="27" t="n">
        <f aca="false">IF($B59="","",IF(COUNTIFS('SỔ CÔNG NỢ'!$A$5:$A$111,$B59,'SỔ CÔNG NỢ'!$B$5:$B$111,C$45)=0,"",SUMIFS('SỔ CÔNG NỢ'!$N$5:$N$111,'SỔ CÔNG NỢ'!$A$5:$A$111,$B59,'SỔ CÔNG NỢ'!$B$5:$B$111,C$45)))</f>
        <v>1707190</v>
      </c>
      <c r="D59" s="27" t="n">
        <f aca="false">IF($B59="","",IF(COUNTIFS('SỔ CÔNG NỢ'!$A$5:$A$111,$B59,'SỔ CÔNG NỢ'!$B$5:$B$111,D$45)=0,"",SUMIFS('SỔ CÔNG NỢ'!$N$5:$N$111,'SỔ CÔNG NỢ'!$A$5:$A$111,$B59,'SỔ CÔNG NỢ'!$B$5:$B$111,D$45)))</f>
        <v>7529090</v>
      </c>
      <c r="E59" s="27" t="str">
        <f aca="false">IF($B59="","",IF(COUNTIFS('SỔ CÔNG NỢ'!$A$5:$A$111,$B59,'SỔ CÔNG NỢ'!$B$5:$B$111,E$45)=0,"",SUMIFS('SỔ CÔNG NỢ'!$N$5:$N$111,'SỔ CÔNG NỢ'!$A$5:$A$111,$B59,'SỔ CÔNG NỢ'!$B$5:$B$111,E$45)))</f>
        <v/>
      </c>
      <c r="F59" s="27" t="str">
        <f aca="false">IF($B59="","",IF(COUNTIFS('SỔ CÔNG NỢ'!$A$5:$A$111,$B59,'SỔ CÔNG NỢ'!$B$5:$B$111,F$45)=0,"",SUMIFS('SỔ CÔNG NỢ'!$N$5:$N$111,'SỔ CÔNG NỢ'!$A$5:$A$111,$B59,'SỔ CÔNG NỢ'!$B$5:$B$111,F$45)))</f>
        <v/>
      </c>
      <c r="G59" s="27" t="str">
        <f aca="false">IF($B59="","",IF(COUNTIFS('SỔ CÔNG NỢ'!$A$5:$A$111,$B59,'SỔ CÔNG NỢ'!$B$5:$B$111,G$45)=0,"",SUMIFS('SỔ CÔNG NỢ'!$N$5:$N$111,'SỔ CÔNG NỢ'!$A$5:$A$111,$B59,'SỔ CÔNG NỢ'!$B$5:$B$111,G$45)))</f>
        <v/>
      </c>
      <c r="H59" s="27" t="str">
        <f aca="false">IF($B59="","",IF(COUNTIFS('SỔ CÔNG NỢ'!$A$5:$A$111,$B59,'SỔ CÔNG NỢ'!$B$5:$B$111,H$45)=0,"",SUMIFS('SỔ CÔNG NỢ'!$N$5:$N$111,'SỔ CÔNG NỢ'!$A$5:$A$111,$B59,'SỔ CÔNG NỢ'!$B$5:$B$111,H$45)))</f>
        <v/>
      </c>
    </row>
    <row r="60" customFormat="false" ht="15" hidden="false" customHeight="false" outlineLevel="0" collapsed="false">
      <c r="A60" s="26"/>
      <c r="B60" s="26" t="str">
        <f aca="false">IF($B23="","",$B23)</f>
        <v>Anh Giang (Đông Thanh)</v>
      </c>
      <c r="C60" s="27" t="str">
        <f aca="false">IF($B60="","",IF(COUNTIFS('SỔ CÔNG NỢ'!$A$5:$A$111,$B60,'SỔ CÔNG NỢ'!$B$5:$B$111,C$45)=0,"",SUMIFS('SỔ CÔNG NỢ'!$N$5:$N$111,'SỔ CÔNG NỢ'!$A$5:$A$111,$B60,'SỔ CÔNG NỢ'!$B$5:$B$111,C$45)))</f>
        <v/>
      </c>
      <c r="D60" s="27" t="str">
        <f aca="false">IF($B60="","",IF(COUNTIFS('SỔ CÔNG NỢ'!$A$5:$A$111,$B60,'SỔ CÔNG NỢ'!$B$5:$B$111,D$45)=0,"",SUMIFS('SỔ CÔNG NỢ'!$N$5:$N$111,'SỔ CÔNG NỢ'!$A$5:$A$111,$B60,'SỔ CÔNG NỢ'!$B$5:$B$111,D$45)))</f>
        <v/>
      </c>
      <c r="E60" s="27" t="n">
        <f aca="false">IF($B60="","",IF(COUNTIFS('SỔ CÔNG NỢ'!$A$5:$A$111,$B60,'SỔ CÔNG NỢ'!$B$5:$B$111,E$45)=0,"",SUMIFS('SỔ CÔNG NỢ'!$N$5:$N$111,'SỔ CÔNG NỢ'!$A$5:$A$111,$B60,'SỔ CÔNG NỢ'!$B$5:$B$111,E$45)))</f>
        <v>5091440</v>
      </c>
      <c r="F60" s="27" t="str">
        <f aca="false">IF($B60="","",IF(COUNTIFS('SỔ CÔNG NỢ'!$A$5:$A$111,$B60,'SỔ CÔNG NỢ'!$B$5:$B$111,F$45)=0,"",SUMIFS('SỔ CÔNG NỢ'!$N$5:$N$111,'SỔ CÔNG NỢ'!$A$5:$A$111,$B60,'SỔ CÔNG NỢ'!$B$5:$B$111,F$45)))</f>
        <v/>
      </c>
      <c r="G60" s="27" t="str">
        <f aca="false">IF($B60="","",IF(COUNTIFS('SỔ CÔNG NỢ'!$A$5:$A$111,$B60,'SỔ CÔNG NỢ'!$B$5:$B$111,G$45)=0,"",SUMIFS('SỔ CÔNG NỢ'!$N$5:$N$111,'SỔ CÔNG NỢ'!$A$5:$A$111,$B60,'SỔ CÔNG NỢ'!$B$5:$B$111,G$45)))</f>
        <v/>
      </c>
      <c r="H60" s="27" t="str">
        <f aca="false">IF($B60="","",IF(COUNTIFS('SỔ CÔNG NỢ'!$A$5:$A$111,$B60,'SỔ CÔNG NỢ'!$B$5:$B$111,H$45)=0,"",SUMIFS('SỔ CÔNG NỢ'!$N$5:$N$111,'SỔ CÔNG NỢ'!$A$5:$A$111,$B60,'SỔ CÔNG NỢ'!$B$5:$B$111,H$45)))</f>
        <v/>
      </c>
    </row>
    <row r="61" customFormat="false" ht="15" hidden="false" customHeight="false" outlineLevel="0" collapsed="false">
      <c r="A61" s="26"/>
      <c r="B61" s="26" t="str">
        <f aca="false">IF($B24="","",$B24)</f>
        <v>Hiền Xuân</v>
      </c>
      <c r="C61" s="27" t="str">
        <f aca="false">IF($B61="","",IF(COUNTIFS('SỔ CÔNG NỢ'!$A$5:$A$111,$B61,'SỔ CÔNG NỢ'!$B$5:$B$111,C$45)=0,"",SUMIFS('SỔ CÔNG NỢ'!$N$5:$N$111,'SỔ CÔNG NỢ'!$A$5:$A$111,$B61,'SỔ CÔNG NỢ'!$B$5:$B$111,C$45)))</f>
        <v/>
      </c>
      <c r="D61" s="27" t="n">
        <f aca="false">IF($B61="","",IF(COUNTIFS('SỔ CÔNG NỢ'!$A$5:$A$111,$B61,'SỔ CÔNG NỢ'!$B$5:$B$111,D$45)=0,"",SUMIFS('SỔ CÔNG NỢ'!$N$5:$N$111,'SỔ CÔNG NỢ'!$A$5:$A$111,$B61,'SỔ CÔNG NỢ'!$B$5:$B$111,D$45)))</f>
        <v>120633</v>
      </c>
      <c r="E61" s="27" t="str">
        <f aca="false">IF($B61="","",IF(COUNTIFS('SỔ CÔNG NỢ'!$A$5:$A$111,$B61,'SỔ CÔNG NỢ'!$B$5:$B$111,E$45)=0,"",SUMIFS('SỔ CÔNG NỢ'!$N$5:$N$111,'SỔ CÔNG NỢ'!$A$5:$A$111,$B61,'SỔ CÔNG NỢ'!$B$5:$B$111,E$45)))</f>
        <v/>
      </c>
      <c r="F61" s="27" t="str">
        <f aca="false">IF($B61="","",IF(COUNTIFS('SỔ CÔNG NỢ'!$A$5:$A$111,$B61,'SỔ CÔNG NỢ'!$B$5:$B$111,F$45)=0,"",SUMIFS('SỔ CÔNG NỢ'!$N$5:$N$111,'SỔ CÔNG NỢ'!$A$5:$A$111,$B61,'SỔ CÔNG NỢ'!$B$5:$B$111,F$45)))</f>
        <v/>
      </c>
      <c r="G61" s="27" t="str">
        <f aca="false">IF($B61="","",IF(COUNTIFS('SỔ CÔNG NỢ'!$A$5:$A$111,$B61,'SỔ CÔNG NỢ'!$B$5:$B$111,G$45)=0,"",SUMIFS('SỔ CÔNG NỢ'!$N$5:$N$111,'SỔ CÔNG NỢ'!$A$5:$A$111,$B61,'SỔ CÔNG NỢ'!$B$5:$B$111,G$45)))</f>
        <v/>
      </c>
      <c r="H61" s="27" t="str">
        <f aca="false">IF($B61="","",IF(COUNTIFS('SỔ CÔNG NỢ'!$A$5:$A$111,$B61,'SỔ CÔNG NỢ'!$B$5:$B$111,H$45)=0,"",SUMIFS('SỔ CÔNG NỢ'!$N$5:$N$111,'SỔ CÔNG NỢ'!$A$5:$A$111,$B61,'SỔ CÔNG NỢ'!$B$5:$B$111,H$45)))</f>
        <v/>
      </c>
    </row>
    <row r="62" customFormat="false" ht="15" hidden="false" customHeight="false" outlineLevel="0" collapsed="false">
      <c r="A62" s="26"/>
      <c r="B62" s="26" t="str">
        <f aca="false">IF($B25="","",$B25)</f>
        <v>Văn Thiệu Dương</v>
      </c>
      <c r="C62" s="27" t="n">
        <f aca="false">IF($B62="","",IF(COUNTIFS('SỔ CÔNG NỢ'!$A$5:$A$111,$B62,'SỔ CÔNG NỢ'!$B$5:$B$111,C$45)=0,"",SUMIFS('SỔ CÔNG NỢ'!$N$5:$N$111,'SỔ CÔNG NỢ'!$A$5:$A$111,$B62,'SỔ CÔNG NỢ'!$B$5:$B$111,C$45)))</f>
        <v>0</v>
      </c>
      <c r="D62" s="27" t="str">
        <f aca="false">IF($B62="","",IF(COUNTIFS('SỔ CÔNG NỢ'!$A$5:$A$111,$B62,'SỔ CÔNG NỢ'!$B$5:$B$111,D$45)=0,"",SUMIFS('SỔ CÔNG NỢ'!$N$5:$N$111,'SỔ CÔNG NỢ'!$A$5:$A$111,$B62,'SỔ CÔNG NỢ'!$B$5:$B$111,D$45)))</f>
        <v/>
      </c>
      <c r="E62" s="27" t="str">
        <f aca="false">IF($B62="","",IF(COUNTIFS('SỔ CÔNG NỢ'!$A$5:$A$111,$B62,'SỔ CÔNG NỢ'!$B$5:$B$111,E$45)=0,"",SUMIFS('SỔ CÔNG NỢ'!$N$5:$N$111,'SỔ CÔNG NỢ'!$A$5:$A$111,$B62,'SỔ CÔNG NỢ'!$B$5:$B$111,E$45)))</f>
        <v/>
      </c>
      <c r="F62" s="27" t="str">
        <f aca="false">IF($B62="","",IF(COUNTIFS('SỔ CÔNG NỢ'!$A$5:$A$111,$B62,'SỔ CÔNG NỢ'!$B$5:$B$111,F$45)=0,"",SUMIFS('SỔ CÔNG NỢ'!$N$5:$N$111,'SỔ CÔNG NỢ'!$A$5:$A$111,$B62,'SỔ CÔNG NỢ'!$B$5:$B$111,F$45)))</f>
        <v/>
      </c>
      <c r="G62" s="27" t="str">
        <f aca="false">IF($B62="","",IF(COUNTIFS('SỔ CÔNG NỢ'!$A$5:$A$111,$B62,'SỔ CÔNG NỢ'!$B$5:$B$111,G$45)=0,"",SUMIFS('SỔ CÔNG NỢ'!$N$5:$N$111,'SỔ CÔNG NỢ'!$A$5:$A$111,$B62,'SỔ CÔNG NỢ'!$B$5:$B$111,G$45)))</f>
        <v/>
      </c>
      <c r="H62" s="27" t="str">
        <f aca="false">IF($B62="","",IF(COUNTIFS('SỔ CÔNG NỢ'!$A$5:$A$111,$B62,'SỔ CÔNG NỢ'!$B$5:$B$111,H$45)=0,"",SUMIFS('SỔ CÔNG NỢ'!$N$5:$N$111,'SỔ CÔNG NỢ'!$A$5:$A$111,$B62,'SỔ CÔNG NỢ'!$B$5:$B$111,H$45)))</f>
        <v/>
      </c>
    </row>
    <row r="63" customFormat="false" ht="15" hidden="false" customHeight="false" outlineLevel="0" collapsed="false">
      <c r="A63" s="26"/>
      <c r="B63" s="26" t="str">
        <f aca="false">IF($B26="","",$B26)</f>
        <v>Hòa Hiệp</v>
      </c>
      <c r="C63" s="27" t="n">
        <f aca="false">IF($B63="","",IF(COUNTIFS('SỔ CÔNG NỢ'!$A$5:$A$111,$B63,'SỔ CÔNG NỢ'!$B$5:$B$111,C$45)=0,"",SUMIFS('SỔ CÔNG NỢ'!$N$5:$N$111,'SỔ CÔNG NỢ'!$A$5:$A$111,$B63,'SỔ CÔNG NỢ'!$B$5:$B$111,C$45)))</f>
        <v>-112500</v>
      </c>
      <c r="D63" s="27" t="str">
        <f aca="false">IF($B63="","",IF(COUNTIFS('SỔ CÔNG NỢ'!$A$5:$A$111,$B63,'SỔ CÔNG NỢ'!$B$5:$B$111,D$45)=0,"",SUMIFS('SỔ CÔNG NỢ'!$N$5:$N$111,'SỔ CÔNG NỢ'!$A$5:$A$111,$B63,'SỔ CÔNG NỢ'!$B$5:$B$111,D$45)))</f>
        <v/>
      </c>
      <c r="E63" s="27" t="str">
        <f aca="false">IF($B63="","",IF(COUNTIFS('SỔ CÔNG NỢ'!$A$5:$A$111,$B63,'SỔ CÔNG NỢ'!$B$5:$B$111,E$45)=0,"",SUMIFS('SỔ CÔNG NỢ'!$N$5:$N$111,'SỔ CÔNG NỢ'!$A$5:$A$111,$B63,'SỔ CÔNG NỢ'!$B$5:$B$111,E$45)))</f>
        <v/>
      </c>
      <c r="F63" s="27" t="str">
        <f aca="false">IF($B63="","",IF(COUNTIFS('SỔ CÔNG NỢ'!$A$5:$A$111,$B63,'SỔ CÔNG NỢ'!$B$5:$B$111,F$45)=0,"",SUMIFS('SỔ CÔNG NỢ'!$N$5:$N$111,'SỔ CÔNG NỢ'!$A$5:$A$111,$B63,'SỔ CÔNG NỢ'!$B$5:$B$111,F$45)))</f>
        <v/>
      </c>
      <c r="G63" s="27" t="str">
        <f aca="false">IF($B63="","",IF(COUNTIFS('SỔ CÔNG NỢ'!$A$5:$A$111,$B63,'SỔ CÔNG NỢ'!$B$5:$B$111,G$45)=0,"",SUMIFS('SỔ CÔNG NỢ'!$N$5:$N$111,'SỔ CÔNG NỢ'!$A$5:$A$111,$B63,'SỔ CÔNG NỢ'!$B$5:$B$111,G$45)))</f>
        <v/>
      </c>
      <c r="H63" s="27" t="str">
        <f aca="false">IF($B63="","",IF(COUNTIFS('SỔ CÔNG NỢ'!$A$5:$A$111,$B63,'SỔ CÔNG NỢ'!$B$5:$B$111,H$45)=0,"",SUMIFS('SỔ CÔNG NỢ'!$N$5:$N$111,'SỔ CÔNG NỢ'!$A$5:$A$111,$B63,'SỔ CÔNG NỢ'!$B$5:$B$111,H$45)))</f>
        <v/>
      </c>
    </row>
    <row r="64" customFormat="false" ht="15" hidden="false" customHeight="false" outlineLevel="0" collapsed="false">
      <c r="A64" s="26"/>
      <c r="B64" s="26" t="str">
        <f aca="false">IF($B27="","",$B27)</f>
        <v>Anh Duẩn (Lĩnh Lộc)</v>
      </c>
      <c r="C64" s="27" t="n">
        <f aca="false">IF($B64="","",IF(COUNTIFS('SỔ CÔNG NỢ'!$A$5:$A$111,$B64,'SỔ CÔNG NỢ'!$B$5:$B$111,C$45)=0,"",SUMIFS('SỔ CÔNG NỢ'!$N$5:$N$111,'SỔ CÔNG NỢ'!$A$5:$A$111,$B64,'SỔ CÔNG NỢ'!$B$5:$B$111,C$45)))</f>
        <v>-342760</v>
      </c>
      <c r="D64" s="27" t="str">
        <f aca="false">IF($B64="","",IF(COUNTIFS('SỔ CÔNG NỢ'!$A$5:$A$111,$B64,'SỔ CÔNG NỢ'!$B$5:$B$111,D$45)=0,"",SUMIFS('SỔ CÔNG NỢ'!$N$5:$N$111,'SỔ CÔNG NỢ'!$A$5:$A$111,$B64,'SỔ CÔNG NỢ'!$B$5:$B$111,D$45)))</f>
        <v/>
      </c>
      <c r="E64" s="27" t="str">
        <f aca="false">IF($B64="","",IF(COUNTIFS('SỔ CÔNG NỢ'!$A$5:$A$111,$B64,'SỔ CÔNG NỢ'!$B$5:$B$111,E$45)=0,"",SUMIFS('SỔ CÔNG NỢ'!$N$5:$N$111,'SỔ CÔNG NỢ'!$A$5:$A$111,$B64,'SỔ CÔNG NỢ'!$B$5:$B$111,E$45)))</f>
        <v/>
      </c>
      <c r="F64" s="27" t="str">
        <f aca="false">IF($B64="","",IF(COUNTIFS('SỔ CÔNG NỢ'!$A$5:$A$111,$B64,'SỔ CÔNG NỢ'!$B$5:$B$111,F$45)=0,"",SUMIFS('SỔ CÔNG NỢ'!$N$5:$N$111,'SỔ CÔNG NỢ'!$A$5:$A$111,$B64,'SỔ CÔNG NỢ'!$B$5:$B$111,F$45)))</f>
        <v/>
      </c>
      <c r="G64" s="27" t="str">
        <f aca="false">IF($B64="","",IF(COUNTIFS('SỔ CÔNG NỢ'!$A$5:$A$111,$B64,'SỔ CÔNG NỢ'!$B$5:$B$111,G$45)=0,"",SUMIFS('SỔ CÔNG NỢ'!$N$5:$N$111,'SỔ CÔNG NỢ'!$A$5:$A$111,$B64,'SỔ CÔNG NỢ'!$B$5:$B$111,G$45)))</f>
        <v/>
      </c>
      <c r="H64" s="27" t="str">
        <f aca="false">IF($B64="","",IF(COUNTIFS('SỔ CÔNG NỢ'!$A$5:$A$111,$B64,'SỔ CÔNG NỢ'!$B$5:$B$111,H$45)=0,"",SUMIFS('SỔ CÔNG NỢ'!$N$5:$N$111,'SỔ CÔNG NỢ'!$A$5:$A$111,$B64,'SỔ CÔNG NỢ'!$B$5:$B$111,H$45)))</f>
        <v/>
      </c>
    </row>
    <row r="65" customFormat="false" ht="15" hidden="false" customHeight="false" outlineLevel="0" collapsed="false">
      <c r="A65" s="26"/>
      <c r="B65" s="26" t="str">
        <f aca="false">IF($B28="","",$B28)</f>
        <v>Cô Khoa (Nông Cống)</v>
      </c>
      <c r="C65" s="27" t="n">
        <f aca="false">IF($B65="","",IF(COUNTIFS('SỔ CÔNG NỢ'!$A$5:$A$111,$B65,'SỔ CÔNG NỢ'!$B$5:$B$111,C$45)=0,"",SUMIFS('SỔ CÔNG NỢ'!$N$5:$N$111,'SỔ CÔNG NỢ'!$A$5:$A$111,$B65,'SỔ CÔNG NỢ'!$B$5:$B$111,C$45)))</f>
        <v>-588320</v>
      </c>
      <c r="D65" s="27" t="str">
        <f aca="false">IF($B65="","",IF(COUNTIFS('SỔ CÔNG NỢ'!$A$5:$A$111,$B65,'SỔ CÔNG NỢ'!$B$5:$B$111,D$45)=0,"",SUMIFS('SỔ CÔNG NỢ'!$N$5:$N$111,'SỔ CÔNG NỢ'!$A$5:$A$111,$B65,'SỔ CÔNG NỢ'!$B$5:$B$111,D$45)))</f>
        <v/>
      </c>
      <c r="E65" s="27" t="str">
        <f aca="false">IF($B65="","",IF(COUNTIFS('SỔ CÔNG NỢ'!$A$5:$A$111,$B65,'SỔ CÔNG NỢ'!$B$5:$B$111,E$45)=0,"",SUMIFS('SỔ CÔNG NỢ'!$N$5:$N$111,'SỔ CÔNG NỢ'!$A$5:$A$111,$B65,'SỔ CÔNG NỢ'!$B$5:$B$111,E$45)))</f>
        <v/>
      </c>
      <c r="F65" s="27" t="str">
        <f aca="false">IF($B65="","",IF(COUNTIFS('SỔ CÔNG NỢ'!$A$5:$A$111,$B65,'SỔ CÔNG NỢ'!$B$5:$B$111,F$45)=0,"",SUMIFS('SỔ CÔNG NỢ'!$N$5:$N$111,'SỔ CÔNG NỢ'!$A$5:$A$111,$B65,'SỔ CÔNG NỢ'!$B$5:$B$111,F$45)))</f>
        <v/>
      </c>
      <c r="G65" s="27" t="str">
        <f aca="false">IF($B65="","",IF(COUNTIFS('SỔ CÔNG NỢ'!$A$5:$A$111,$B65,'SỔ CÔNG NỢ'!$B$5:$B$111,G$45)=0,"",SUMIFS('SỔ CÔNG NỢ'!$N$5:$N$111,'SỔ CÔNG NỢ'!$A$5:$A$111,$B65,'SỔ CÔNG NỢ'!$B$5:$B$111,G$45)))</f>
        <v/>
      </c>
      <c r="H65" s="27" t="str">
        <f aca="false">IF($B65="","",IF(COUNTIFS('SỔ CÔNG NỢ'!$A$5:$A$111,$B65,'SỔ CÔNG NỢ'!$B$5:$B$111,H$45)=0,"",SUMIFS('SỔ CÔNG NỢ'!$N$5:$N$111,'SỔ CÔNG NỢ'!$A$5:$A$111,$B65,'SỔ CÔNG NỢ'!$B$5:$B$111,H$45)))</f>
        <v/>
      </c>
    </row>
    <row r="66" customFormat="false" ht="15" hidden="false" customHeight="false" outlineLevel="0" collapsed="false">
      <c r="A66" s="26"/>
      <c r="B66" s="26" t="str">
        <f aca="false">IF($B29="","",$B29)</f>
        <v>Công Thành</v>
      </c>
      <c r="C66" s="27" t="n">
        <f aca="false">IF($B66="","",IF(COUNTIFS('SỔ CÔNG NỢ'!$A$5:$A$111,$B66,'SỔ CÔNG NỢ'!$B$5:$B$111,C$45)=0,"",SUMIFS('SỔ CÔNG NỢ'!$N$5:$N$111,'SỔ CÔNG NỢ'!$A$5:$A$111,$B66,'SỔ CÔNG NỢ'!$B$5:$B$111,C$45)))</f>
        <v>22109500</v>
      </c>
      <c r="D66" s="27" t="n">
        <f aca="false">IF($B66="","",IF(COUNTIFS('SỔ CÔNG NỢ'!$A$5:$A$111,$B66,'SỔ CÔNG NỢ'!$B$5:$B$111,D$45)=0,"",SUMIFS('SỔ CÔNG NỢ'!$N$5:$N$111,'SỔ CÔNG NỢ'!$A$5:$A$111,$B66,'SỔ CÔNG NỢ'!$B$5:$B$111,D$45)))</f>
        <v>-1291600</v>
      </c>
      <c r="E66" s="27" t="str">
        <f aca="false">IF($B66="","",IF(COUNTIFS('SỔ CÔNG NỢ'!$A$5:$A$111,$B66,'SỔ CÔNG NỢ'!$B$5:$B$111,E$45)=0,"",SUMIFS('SỔ CÔNG NỢ'!$N$5:$N$111,'SỔ CÔNG NỢ'!$A$5:$A$111,$B66,'SỔ CÔNG NỢ'!$B$5:$B$111,E$45)))</f>
        <v/>
      </c>
      <c r="F66" s="27" t="n">
        <f aca="false">IF($B66="","",IF(COUNTIFS('SỔ CÔNG NỢ'!$A$5:$A$111,$B66,'SỔ CÔNG NỢ'!$B$5:$B$111,F$45)=0,"",SUMIFS('SỔ CÔNG NỢ'!$N$5:$N$111,'SỔ CÔNG NỢ'!$A$5:$A$111,$B66,'SỔ CÔNG NỢ'!$B$5:$B$111,F$45)))</f>
        <v>-849900</v>
      </c>
      <c r="G66" s="27" t="str">
        <f aca="false">IF($B66="","",IF(COUNTIFS('SỔ CÔNG NỢ'!$A$5:$A$111,$B66,'SỔ CÔNG NỢ'!$B$5:$B$111,G$45)=0,"",SUMIFS('SỔ CÔNG NỢ'!$N$5:$N$111,'SỔ CÔNG NỢ'!$A$5:$A$111,$B66,'SỔ CÔNG NỢ'!$B$5:$B$111,G$45)))</f>
        <v/>
      </c>
      <c r="H66" s="27" t="str">
        <f aca="false">IF($B66="","",IF(COUNTIFS('SỔ CÔNG NỢ'!$A$5:$A$111,$B66,'SỔ CÔNG NỢ'!$B$5:$B$111,H$45)=0,"",SUMIFS('SỔ CÔNG NỢ'!$N$5:$N$111,'SỔ CÔNG NỢ'!$A$5:$A$111,$B66,'SỔ CÔNG NỢ'!$B$5:$B$111,H$45)))</f>
        <v/>
      </c>
    </row>
    <row r="67" customFormat="false" ht="15" hidden="false" customHeight="false" outlineLevel="0" collapsed="false">
      <c r="A67" s="26"/>
      <c r="B67" s="26" t="str">
        <f aca="false">IF($B30="","",$B30)</f>
        <v>Quân Sen</v>
      </c>
      <c r="C67" s="27" t="n">
        <f aca="false">IF($B67="","",IF(COUNTIFS('SỔ CÔNG NỢ'!$A$5:$A$111,$B67,'SỔ CÔNG NỢ'!$B$5:$B$111,C$45)=0,"",SUMIFS('SỔ CÔNG NỢ'!$N$5:$N$111,'SỔ CÔNG NỢ'!$A$5:$A$111,$B67,'SỔ CÔNG NỢ'!$B$5:$B$111,C$45)))</f>
        <v>12824599</v>
      </c>
      <c r="D67" s="27" t="n">
        <f aca="false">IF($B67="","",IF(COUNTIFS('SỔ CÔNG NỢ'!$A$5:$A$111,$B67,'SỔ CÔNG NỢ'!$B$5:$B$111,D$45)=0,"",SUMIFS('SỔ CÔNG NỢ'!$N$5:$N$111,'SỔ CÔNG NỢ'!$A$5:$A$111,$B67,'SỔ CÔNG NỢ'!$B$5:$B$111,D$45)))</f>
        <v>15156999</v>
      </c>
      <c r="E67" s="27" t="n">
        <f aca="false">IF($B67="","",IF(COUNTIFS('SỔ CÔNG NỢ'!$A$5:$A$111,$B67,'SỔ CÔNG NỢ'!$B$5:$B$111,E$45)=0,"",SUMIFS('SỔ CÔNG NỢ'!$N$5:$N$111,'SỔ CÔNG NỢ'!$A$5:$A$111,$B67,'SỔ CÔNG NỢ'!$B$5:$B$111,E$45)))</f>
        <v>2871962.5</v>
      </c>
      <c r="F67" s="27" t="n">
        <f aca="false">IF($B67="","",IF(COUNTIFS('SỔ CÔNG NỢ'!$A$5:$A$111,$B67,'SỔ CÔNG NỢ'!$B$5:$B$111,F$45)=0,"",SUMIFS('SỔ CÔNG NỢ'!$N$5:$N$111,'SỔ CÔNG NỢ'!$A$5:$A$111,$B67,'SỔ CÔNG NỢ'!$B$5:$B$111,F$45)))</f>
        <v>-2662442</v>
      </c>
      <c r="G67" s="27" t="str">
        <f aca="false">IF($B67="","",IF(COUNTIFS('SỔ CÔNG NỢ'!$A$5:$A$111,$B67,'SỔ CÔNG NỢ'!$B$5:$B$111,G$45)=0,"",SUMIFS('SỔ CÔNG NỢ'!$N$5:$N$111,'SỔ CÔNG NỢ'!$A$5:$A$111,$B67,'SỔ CÔNG NỢ'!$B$5:$B$111,G$45)))</f>
        <v/>
      </c>
      <c r="H67" s="27" t="str">
        <f aca="false">IF($B67="","",IF(COUNTIFS('SỔ CÔNG NỢ'!$A$5:$A$111,$B67,'SỔ CÔNG NỢ'!$B$5:$B$111,H$45)=0,"",SUMIFS('SỔ CÔNG NỢ'!$N$5:$N$111,'SỔ CÔNG NỢ'!$A$5:$A$111,$B67,'SỔ CÔNG NỢ'!$B$5:$B$111,H$45)))</f>
        <v/>
      </c>
    </row>
    <row r="68" customFormat="false" ht="15" hidden="false" customHeight="false" outlineLevel="0" collapsed="false">
      <c r="A68" s="26"/>
      <c r="B68" s="26" t="str">
        <f aca="false">IF($B31="","",$B31)</f>
        <v>Anh Việt (Thiệu Vân)</v>
      </c>
      <c r="C68" s="27" t="n">
        <f aca="false">IF($B68="","",IF(COUNTIFS('SỔ CÔNG NỢ'!$A$5:$A$111,$B68,'SỔ CÔNG NỢ'!$B$5:$B$111,C$45)=0,"",SUMIFS('SỔ CÔNG NỢ'!$N$5:$N$111,'SỔ CÔNG NỢ'!$A$5:$A$111,$B68,'SỔ CÔNG NỢ'!$B$5:$B$111,C$45)))</f>
        <v>-9538000</v>
      </c>
      <c r="D68" s="27" t="str">
        <f aca="false">IF($B68="","",IF(COUNTIFS('SỔ CÔNG NỢ'!$A$5:$A$111,$B68,'SỔ CÔNG NỢ'!$B$5:$B$111,D$45)=0,"",SUMIFS('SỔ CÔNG NỢ'!$N$5:$N$111,'SỔ CÔNG NỢ'!$A$5:$A$111,$B68,'SỔ CÔNG NỢ'!$B$5:$B$111,D$45)))</f>
        <v/>
      </c>
      <c r="E68" s="27" t="str">
        <f aca="false">IF($B68="","",IF(COUNTIFS('SỔ CÔNG NỢ'!$A$5:$A$111,$B68,'SỔ CÔNG NỢ'!$B$5:$B$111,E$45)=0,"",SUMIFS('SỔ CÔNG NỢ'!$N$5:$N$111,'SỔ CÔNG NỢ'!$A$5:$A$111,$B68,'SỔ CÔNG NỢ'!$B$5:$B$111,E$45)))</f>
        <v/>
      </c>
      <c r="F68" s="27" t="str">
        <f aca="false">IF($B68="","",IF(COUNTIFS('SỔ CÔNG NỢ'!$A$5:$A$111,$B68,'SỔ CÔNG NỢ'!$B$5:$B$111,F$45)=0,"",SUMIFS('SỔ CÔNG NỢ'!$N$5:$N$111,'SỔ CÔNG NỢ'!$A$5:$A$111,$B68,'SỔ CÔNG NỢ'!$B$5:$B$111,F$45)))</f>
        <v/>
      </c>
      <c r="G68" s="27" t="str">
        <f aca="false">IF($B68="","",IF(COUNTIFS('SỔ CÔNG NỢ'!$A$5:$A$111,$B68,'SỔ CÔNG NỢ'!$B$5:$B$111,G$45)=0,"",SUMIFS('SỔ CÔNG NỢ'!$N$5:$N$111,'SỔ CÔNG NỢ'!$A$5:$A$111,$B68,'SỔ CÔNG NỢ'!$B$5:$B$111,G$45)))</f>
        <v/>
      </c>
      <c r="H68" s="27" t="str">
        <f aca="false">IF($B68="","",IF(COUNTIFS('SỔ CÔNG NỢ'!$A$5:$A$111,$B68,'SỔ CÔNG NỢ'!$B$5:$B$111,H$45)=0,"",SUMIFS('SỔ CÔNG NỢ'!$N$5:$N$111,'SỔ CÔNG NỢ'!$A$5:$A$111,$B68,'SỔ CÔNG NỢ'!$B$5:$B$111,H$45)))</f>
        <v/>
      </c>
    </row>
    <row r="69" customFormat="false" ht="15" hidden="false" customHeight="false" outlineLevel="0" collapsed="false">
      <c r="A69" s="26"/>
      <c r="B69" s="26" t="str">
        <f aca="false">IF($B32="","",$B32)</f>
        <v/>
      </c>
      <c r="C69" s="27" t="str">
        <f aca="false">IF($B69="","",IF(COUNTIFS('SỔ CÔNG NỢ'!$A$5:$A$111,$B69,'SỔ CÔNG NỢ'!$B$5:$B$111,C$45)=0,"",SUMIFS('SỔ CÔNG NỢ'!$N$5:$N$111,'SỔ CÔNG NỢ'!$A$5:$A$111,$B69,'SỔ CÔNG NỢ'!$B$5:$B$111,C$45)))</f>
        <v/>
      </c>
      <c r="D69" s="27" t="str">
        <f aca="false">IF($B69="","",IF(COUNTIFS('SỔ CÔNG NỢ'!$A$5:$A$111,$B69,'SỔ CÔNG NỢ'!$B$5:$B$111,D$45)=0,"",SUMIFS('SỔ CÔNG NỢ'!$N$5:$N$111,'SỔ CÔNG NỢ'!$A$5:$A$111,$B69,'SỔ CÔNG NỢ'!$B$5:$B$111,D$45)))</f>
        <v/>
      </c>
      <c r="E69" s="27" t="str">
        <f aca="false">IF($B69="","",IF(COUNTIFS('SỔ CÔNG NỢ'!$A$5:$A$111,$B69,'SỔ CÔNG NỢ'!$B$5:$B$111,E$45)=0,"",SUMIFS('SỔ CÔNG NỢ'!$N$5:$N$111,'SỔ CÔNG NỢ'!$A$5:$A$111,$B69,'SỔ CÔNG NỢ'!$B$5:$B$111,E$45)))</f>
        <v/>
      </c>
      <c r="F69" s="27" t="str">
        <f aca="false">IF($B69="","",IF(COUNTIFS('SỔ CÔNG NỢ'!$A$5:$A$111,$B69,'SỔ CÔNG NỢ'!$B$5:$B$111,F$45)=0,"",SUMIFS('SỔ CÔNG NỢ'!$N$5:$N$111,'SỔ CÔNG NỢ'!$A$5:$A$111,$B69,'SỔ CÔNG NỢ'!$B$5:$B$111,F$45)))</f>
        <v/>
      </c>
      <c r="G69" s="27" t="str">
        <f aca="false">IF($B69="","",IF(COUNTIFS('SỔ CÔNG NỢ'!$A$5:$A$111,$B69,'SỔ CÔNG NỢ'!$B$5:$B$111,G$45)=0,"",SUMIFS('SỔ CÔNG NỢ'!$N$5:$N$111,'SỔ CÔNG NỢ'!$A$5:$A$111,$B69,'SỔ CÔNG NỢ'!$B$5:$B$111,G$45)))</f>
        <v/>
      </c>
      <c r="H69" s="27" t="str">
        <f aca="false">IF($B69="","",IF(COUNTIFS('SỔ CÔNG NỢ'!$A$5:$A$111,$B69,'SỔ CÔNG NỢ'!$B$5:$B$111,H$45)=0,"",SUMIFS('SỔ CÔNG NỢ'!$N$5:$N$111,'SỔ CÔNG NỢ'!$A$5:$A$111,$B69,'SỔ CÔNG NỢ'!$B$5:$B$111,H$45)))</f>
        <v/>
      </c>
    </row>
    <row r="70" customFormat="false" ht="15" hidden="false" customHeight="false" outlineLevel="0" collapsed="false">
      <c r="A70" s="26"/>
      <c r="B70" s="26" t="str">
        <f aca="false">IF($B33="","",$B33)</f>
        <v/>
      </c>
      <c r="C70" s="27" t="str">
        <f aca="false">IF($B70="","",IF(COUNTIFS('SỔ CÔNG NỢ'!$A$5:$A$111,$B70,'SỔ CÔNG NỢ'!$B$5:$B$111,C$45)=0,"",SUMIFS('SỔ CÔNG NỢ'!$N$5:$N$111,'SỔ CÔNG NỢ'!$A$5:$A$111,$B70,'SỔ CÔNG NỢ'!$B$5:$B$111,C$45)))</f>
        <v/>
      </c>
      <c r="D70" s="27" t="str">
        <f aca="false">IF($B70="","",IF(COUNTIFS('SỔ CÔNG NỢ'!$A$5:$A$111,$B70,'SỔ CÔNG NỢ'!$B$5:$B$111,D$45)=0,"",SUMIFS('SỔ CÔNG NỢ'!$N$5:$N$111,'SỔ CÔNG NỢ'!$A$5:$A$111,$B70,'SỔ CÔNG NỢ'!$B$5:$B$111,D$45)))</f>
        <v/>
      </c>
      <c r="E70" s="27" t="str">
        <f aca="false">IF($B70="","",IF(COUNTIFS('SỔ CÔNG NỢ'!$A$5:$A$111,$B70,'SỔ CÔNG NỢ'!$B$5:$B$111,E$45)=0,"",SUMIFS('SỔ CÔNG NỢ'!$N$5:$N$111,'SỔ CÔNG NỢ'!$A$5:$A$111,$B70,'SỔ CÔNG NỢ'!$B$5:$B$111,E$45)))</f>
        <v/>
      </c>
      <c r="F70" s="27" t="str">
        <f aca="false">IF($B70="","",IF(COUNTIFS('SỔ CÔNG NỢ'!$A$5:$A$111,$B70,'SỔ CÔNG NỢ'!$B$5:$B$111,F$45)=0,"",SUMIFS('SỔ CÔNG NỢ'!$N$5:$N$111,'SỔ CÔNG NỢ'!$A$5:$A$111,$B70,'SỔ CÔNG NỢ'!$B$5:$B$111,F$45)))</f>
        <v/>
      </c>
      <c r="G70" s="27" t="str">
        <f aca="false">IF($B70="","",IF(COUNTIFS('SỔ CÔNG NỢ'!$A$5:$A$111,$B70,'SỔ CÔNG NỢ'!$B$5:$B$111,G$45)=0,"",SUMIFS('SỔ CÔNG NỢ'!$N$5:$N$111,'SỔ CÔNG NỢ'!$A$5:$A$111,$B70,'SỔ CÔNG NỢ'!$B$5:$B$111,G$45)))</f>
        <v/>
      </c>
      <c r="H70" s="27" t="str">
        <f aca="false">IF($B70="","",IF(COUNTIFS('SỔ CÔNG NỢ'!$A$5:$A$111,$B70,'SỔ CÔNG NỢ'!$B$5:$B$111,H$45)=0,"",SUMIFS('SỔ CÔNG NỢ'!$N$5:$N$111,'SỔ CÔNG NỢ'!$A$5:$A$111,$B70,'SỔ CÔNG NỢ'!$B$5:$B$111,H$45)))</f>
        <v/>
      </c>
    </row>
    <row r="71" customFormat="false" ht="15" hidden="false" customHeight="false" outlineLevel="0" collapsed="false">
      <c r="A71" s="26"/>
      <c r="B71" s="26" t="str">
        <f aca="false">IF($B34="","",$B34)</f>
        <v/>
      </c>
      <c r="C71" s="27" t="str">
        <f aca="false">IF($B71="","",IF(COUNTIFS('SỔ CÔNG NỢ'!$A$5:$A$111,$B71,'SỔ CÔNG NỢ'!$B$5:$B$111,C$45)=0,"",SUMIFS('SỔ CÔNG NỢ'!$N$5:$N$111,'SỔ CÔNG NỢ'!$A$5:$A$111,$B71,'SỔ CÔNG NỢ'!$B$5:$B$111,C$45)))</f>
        <v/>
      </c>
      <c r="D71" s="27" t="str">
        <f aca="false">IF($B71="","",IF(COUNTIFS('SỔ CÔNG NỢ'!$A$5:$A$111,$B71,'SỔ CÔNG NỢ'!$B$5:$B$111,D$45)=0,"",SUMIFS('SỔ CÔNG NỢ'!$N$5:$N$111,'SỔ CÔNG NỢ'!$A$5:$A$111,$B71,'SỔ CÔNG NỢ'!$B$5:$B$111,D$45)))</f>
        <v/>
      </c>
      <c r="E71" s="27" t="str">
        <f aca="false">IF($B71="","",IF(COUNTIFS('SỔ CÔNG NỢ'!$A$5:$A$111,$B71,'SỔ CÔNG NỢ'!$B$5:$B$111,E$45)=0,"",SUMIFS('SỔ CÔNG NỢ'!$N$5:$N$111,'SỔ CÔNG NỢ'!$A$5:$A$111,$B71,'SỔ CÔNG NỢ'!$B$5:$B$111,E$45)))</f>
        <v/>
      </c>
      <c r="F71" s="27" t="str">
        <f aca="false">IF($B71="","",IF(COUNTIFS('SỔ CÔNG NỢ'!$A$5:$A$111,$B71,'SỔ CÔNG NỢ'!$B$5:$B$111,F$45)=0,"",SUMIFS('SỔ CÔNG NỢ'!$N$5:$N$111,'SỔ CÔNG NỢ'!$A$5:$A$111,$B71,'SỔ CÔNG NỢ'!$B$5:$B$111,F$45)))</f>
        <v/>
      </c>
      <c r="G71" s="27" t="str">
        <f aca="false">IF($B71="","",IF(COUNTIFS('SỔ CÔNG NỢ'!$A$5:$A$111,$B71,'SỔ CÔNG NỢ'!$B$5:$B$111,G$45)=0,"",SUMIFS('SỔ CÔNG NỢ'!$N$5:$N$111,'SỔ CÔNG NỢ'!$A$5:$A$111,$B71,'SỔ CÔNG NỢ'!$B$5:$B$111,G$45)))</f>
        <v/>
      </c>
      <c r="H71" s="27" t="str">
        <f aca="false">IF($B71="","",IF(COUNTIFS('SỔ CÔNG NỢ'!$A$5:$A$111,$B71,'SỔ CÔNG NỢ'!$B$5:$B$111,H$45)=0,"",SUMIFS('SỔ CÔNG NỢ'!$N$5:$N$111,'SỔ CÔNG NỢ'!$A$5:$A$111,$B71,'SỔ CÔNG NỢ'!$B$5:$B$111,H$45)))</f>
        <v/>
      </c>
    </row>
    <row r="72" customFormat="false" ht="15" hidden="false" customHeight="false" outlineLevel="0" collapsed="false">
      <c r="A72" s="26"/>
      <c r="B72" s="26" t="str">
        <f aca="false">IF($B35="","",$B35)</f>
        <v/>
      </c>
      <c r="C72" s="27" t="str">
        <f aca="false">IF($B72="","",IF(COUNTIFS('SỔ CÔNG NỢ'!$A$5:$A$111,$B72,'SỔ CÔNG NỢ'!$B$5:$B$111,C$45)=0,"",SUMIFS('SỔ CÔNG NỢ'!$N$5:$N$111,'SỔ CÔNG NỢ'!$A$5:$A$111,$B72,'SỔ CÔNG NỢ'!$B$5:$B$111,C$45)))</f>
        <v/>
      </c>
      <c r="D72" s="27" t="str">
        <f aca="false">IF($B72="","",IF(COUNTIFS('SỔ CÔNG NỢ'!$A$5:$A$111,$B72,'SỔ CÔNG NỢ'!$B$5:$B$111,D$45)=0,"",SUMIFS('SỔ CÔNG NỢ'!$N$5:$N$111,'SỔ CÔNG NỢ'!$A$5:$A$111,$B72,'SỔ CÔNG NỢ'!$B$5:$B$111,D$45)))</f>
        <v/>
      </c>
      <c r="E72" s="27" t="str">
        <f aca="false">IF($B72="","",IF(COUNTIFS('SỔ CÔNG NỢ'!$A$5:$A$111,$B72,'SỔ CÔNG NỢ'!$B$5:$B$111,E$45)=0,"",SUMIFS('SỔ CÔNG NỢ'!$N$5:$N$111,'SỔ CÔNG NỢ'!$A$5:$A$111,$B72,'SỔ CÔNG NỢ'!$B$5:$B$111,E$45)))</f>
        <v/>
      </c>
      <c r="F72" s="27" t="str">
        <f aca="false">IF($B72="","",IF(COUNTIFS('SỔ CÔNG NỢ'!$A$5:$A$111,$B72,'SỔ CÔNG NỢ'!$B$5:$B$111,F$45)=0,"",SUMIFS('SỔ CÔNG NỢ'!$N$5:$N$111,'SỔ CÔNG NỢ'!$A$5:$A$111,$B72,'SỔ CÔNG NỢ'!$B$5:$B$111,F$45)))</f>
        <v/>
      </c>
      <c r="G72" s="27" t="str">
        <f aca="false">IF($B72="","",IF(COUNTIFS('SỔ CÔNG NỢ'!$A$5:$A$111,$B72,'SỔ CÔNG NỢ'!$B$5:$B$111,G$45)=0,"",SUMIFS('SỔ CÔNG NỢ'!$N$5:$N$111,'SỔ CÔNG NỢ'!$A$5:$A$111,$B72,'SỔ CÔNG NỢ'!$B$5:$B$111,G$45)))</f>
        <v/>
      </c>
      <c r="H72" s="27" t="str">
        <f aca="false">IF($B72="","",IF(COUNTIFS('SỔ CÔNG NỢ'!$A$5:$A$111,$B72,'SỔ CÔNG NỢ'!$B$5:$B$111,H$45)=0,"",SUMIFS('SỔ CÔNG NỢ'!$N$5:$N$111,'SỔ CÔNG NỢ'!$A$5:$A$111,$B72,'SỔ CÔNG NỢ'!$B$5:$B$111,H$45)))</f>
        <v/>
      </c>
    </row>
    <row r="73" customFormat="false" ht="15" hidden="false" customHeight="false" outlineLevel="0" collapsed="false">
      <c r="A73" s="26"/>
      <c r="B73" s="26" t="str">
        <f aca="false">IF($B36="","",$B36)</f>
        <v/>
      </c>
      <c r="C73" s="27" t="str">
        <f aca="false">IF($B73="","",IF(COUNTIFS('SỔ CÔNG NỢ'!$A$5:$A$111,$B73,'SỔ CÔNG NỢ'!$B$5:$B$111,C$45)=0,"",SUMIFS('SỔ CÔNG NỢ'!$N$5:$N$111,'SỔ CÔNG NỢ'!$A$5:$A$111,$B73,'SỔ CÔNG NỢ'!$B$5:$B$111,C$45)))</f>
        <v/>
      </c>
      <c r="D73" s="27" t="str">
        <f aca="false">IF($B73="","",IF(COUNTIFS('SỔ CÔNG NỢ'!$A$5:$A$111,$B73,'SỔ CÔNG NỢ'!$B$5:$B$111,D$45)=0,"",SUMIFS('SỔ CÔNG NỢ'!$N$5:$N$111,'SỔ CÔNG NỢ'!$A$5:$A$111,$B73,'SỔ CÔNG NỢ'!$B$5:$B$111,D$45)))</f>
        <v/>
      </c>
      <c r="E73" s="27" t="str">
        <f aca="false">IF($B73="","",IF(COUNTIFS('SỔ CÔNG NỢ'!$A$5:$A$111,$B73,'SỔ CÔNG NỢ'!$B$5:$B$111,E$45)=0,"",SUMIFS('SỔ CÔNG NỢ'!$N$5:$N$111,'SỔ CÔNG NỢ'!$A$5:$A$111,$B73,'SỔ CÔNG NỢ'!$B$5:$B$111,E$45)))</f>
        <v/>
      </c>
      <c r="F73" s="27" t="str">
        <f aca="false">IF($B73="","",IF(COUNTIFS('SỔ CÔNG NỢ'!$A$5:$A$111,$B73,'SỔ CÔNG NỢ'!$B$5:$B$111,F$45)=0,"",SUMIFS('SỔ CÔNG NỢ'!$N$5:$N$111,'SỔ CÔNG NỢ'!$A$5:$A$111,$B73,'SỔ CÔNG NỢ'!$B$5:$B$111,F$45)))</f>
        <v/>
      </c>
      <c r="G73" s="27" t="str">
        <f aca="false">IF($B73="","",IF(COUNTIFS('SỔ CÔNG NỢ'!$A$5:$A$111,$B73,'SỔ CÔNG NỢ'!$B$5:$B$111,G$45)=0,"",SUMIFS('SỔ CÔNG NỢ'!$N$5:$N$111,'SỔ CÔNG NỢ'!$A$5:$A$111,$B73,'SỔ CÔNG NỢ'!$B$5:$B$111,G$45)))</f>
        <v/>
      </c>
      <c r="H73" s="27" t="str">
        <f aca="false">IF($B73="","",IF(COUNTIFS('SỔ CÔNG NỢ'!$A$5:$A$111,$B73,'SỔ CÔNG NỢ'!$B$5:$B$111,H$45)=0,"",SUMIFS('SỔ CÔNG NỢ'!$N$5:$N$111,'SỔ CÔNG NỢ'!$A$5:$A$111,$B73,'SỔ CÔNG NỢ'!$B$5:$B$111,H$45)))</f>
        <v/>
      </c>
    </row>
    <row r="74" customFormat="false" ht="15" hidden="false" customHeight="false" outlineLevel="0" collapsed="false">
      <c r="A74" s="26"/>
      <c r="B74" s="26" t="str">
        <f aca="false">IF($B37="","",$B37)</f>
        <v/>
      </c>
      <c r="C74" s="27" t="str">
        <f aca="false">IF($B74="","",IF(COUNTIFS('SỔ CÔNG NỢ'!$A$5:$A$111,$B74,'SỔ CÔNG NỢ'!$B$5:$B$111,C$45)=0,"",SUMIFS('SỔ CÔNG NỢ'!$N$5:$N$111,'SỔ CÔNG NỢ'!$A$5:$A$111,$B74,'SỔ CÔNG NỢ'!$B$5:$B$111,C$45)))</f>
        <v/>
      </c>
      <c r="D74" s="27" t="str">
        <f aca="false">IF($B74="","",IF(COUNTIFS('SỔ CÔNG NỢ'!$A$5:$A$111,$B74,'SỔ CÔNG NỢ'!$B$5:$B$111,D$45)=0,"",SUMIFS('SỔ CÔNG NỢ'!$N$5:$N$111,'SỔ CÔNG NỢ'!$A$5:$A$111,$B74,'SỔ CÔNG NỢ'!$B$5:$B$111,D$45)))</f>
        <v/>
      </c>
      <c r="E74" s="27" t="str">
        <f aca="false">IF($B74="","",IF(COUNTIFS('SỔ CÔNG NỢ'!$A$5:$A$111,$B74,'SỔ CÔNG NỢ'!$B$5:$B$111,E$45)=0,"",SUMIFS('SỔ CÔNG NỢ'!$N$5:$N$111,'SỔ CÔNG NỢ'!$A$5:$A$111,$B74,'SỔ CÔNG NỢ'!$B$5:$B$111,E$45)))</f>
        <v/>
      </c>
      <c r="F74" s="27" t="str">
        <f aca="false">IF($B74="","",IF(COUNTIFS('SỔ CÔNG NỢ'!$A$5:$A$111,$B74,'SỔ CÔNG NỢ'!$B$5:$B$111,F$45)=0,"",SUMIFS('SỔ CÔNG NỢ'!$N$5:$N$111,'SỔ CÔNG NỢ'!$A$5:$A$111,$B74,'SỔ CÔNG NỢ'!$B$5:$B$111,F$45)))</f>
        <v/>
      </c>
      <c r="G74" s="27" t="str">
        <f aca="false">IF($B74="","",IF(COUNTIFS('SỔ CÔNG NỢ'!$A$5:$A$111,$B74,'SỔ CÔNG NỢ'!$B$5:$B$111,G$45)=0,"",SUMIFS('SỔ CÔNG NỢ'!$N$5:$N$111,'SỔ CÔNG NỢ'!$A$5:$A$111,$B74,'SỔ CÔNG NỢ'!$B$5:$B$111,G$45)))</f>
        <v/>
      </c>
      <c r="H74" s="27" t="str">
        <f aca="false">IF($B74="","",IF(COUNTIFS('SỔ CÔNG NỢ'!$A$5:$A$111,$B74,'SỔ CÔNG NỢ'!$B$5:$B$111,H$45)=0,"",SUMIFS('SỔ CÔNG NỢ'!$N$5:$N$111,'SỔ CÔNG NỢ'!$A$5:$A$111,$B74,'SỔ CÔNG NỢ'!$B$5:$B$111,H$45)))</f>
        <v/>
      </c>
    </row>
    <row r="75" customFormat="false" ht="15" hidden="false" customHeight="false" outlineLevel="0" collapsed="false">
      <c r="A75" s="26"/>
      <c r="B75" s="26" t="str">
        <f aca="false">IF($B38="","",$B38)</f>
        <v/>
      </c>
      <c r="C75" s="27" t="str">
        <f aca="false">IF($B75="","",IF(COUNTIFS('SỔ CÔNG NỢ'!$A$5:$A$111,$B75,'SỔ CÔNG NỢ'!$B$5:$B$111,C$45)=0,"",SUMIFS('SỔ CÔNG NỢ'!$N$5:$N$111,'SỔ CÔNG NỢ'!$A$5:$A$111,$B75,'SỔ CÔNG NỢ'!$B$5:$B$111,C$45)))</f>
        <v/>
      </c>
      <c r="D75" s="27" t="str">
        <f aca="false">IF($B75="","",IF(COUNTIFS('SỔ CÔNG NỢ'!$A$5:$A$111,$B75,'SỔ CÔNG NỢ'!$B$5:$B$111,D$45)=0,"",SUMIFS('SỔ CÔNG NỢ'!$N$5:$N$111,'SỔ CÔNG NỢ'!$A$5:$A$111,$B75,'SỔ CÔNG NỢ'!$B$5:$B$111,D$45)))</f>
        <v/>
      </c>
      <c r="E75" s="27" t="str">
        <f aca="false">IF($B75="","",IF(COUNTIFS('SỔ CÔNG NỢ'!$A$5:$A$111,$B75,'SỔ CÔNG NỢ'!$B$5:$B$111,E$45)=0,"",SUMIFS('SỔ CÔNG NỢ'!$N$5:$N$111,'SỔ CÔNG NỢ'!$A$5:$A$111,$B75,'SỔ CÔNG NỢ'!$B$5:$B$111,E$45)))</f>
        <v/>
      </c>
      <c r="F75" s="27" t="str">
        <f aca="false">IF($B75="","",IF(COUNTIFS('SỔ CÔNG NỢ'!$A$5:$A$111,$B75,'SỔ CÔNG NỢ'!$B$5:$B$111,F$45)=0,"",SUMIFS('SỔ CÔNG NỢ'!$N$5:$N$111,'SỔ CÔNG NỢ'!$A$5:$A$111,$B75,'SỔ CÔNG NỢ'!$B$5:$B$111,F$45)))</f>
        <v/>
      </c>
      <c r="G75" s="27" t="str">
        <f aca="false">IF($B75="","",IF(COUNTIFS('SỔ CÔNG NỢ'!$A$5:$A$111,$B75,'SỔ CÔNG NỢ'!$B$5:$B$111,G$45)=0,"",SUMIFS('SỔ CÔNG NỢ'!$N$5:$N$111,'SỔ CÔNG NỢ'!$A$5:$A$111,$B75,'SỔ CÔNG NỢ'!$B$5:$B$111,G$45)))</f>
        <v/>
      </c>
      <c r="H75" s="27" t="str">
        <f aca="false">IF($B75="","",IF(COUNTIFS('SỔ CÔNG NỢ'!$A$5:$A$111,$B75,'SỔ CÔNG NỢ'!$B$5:$B$111,H$45)=0,"",SUMIFS('SỔ CÔNG NỢ'!$N$5:$N$111,'SỔ CÔNG NỢ'!$A$5:$A$111,$B75,'SỔ CÔNG NỢ'!$B$5:$B$111,H$45)))</f>
        <v/>
      </c>
    </row>
    <row r="76" customFormat="false" ht="15" hidden="false" customHeight="false" outlineLevel="0" collapsed="false">
      <c r="A76" s="28"/>
      <c r="B76" s="28" t="s">
        <v>45</v>
      </c>
      <c r="C76" s="29" t="n">
        <f aca="false">SUM(C46:C75)</f>
        <v>139365613</v>
      </c>
      <c r="D76" s="29" t="n">
        <f aca="false">SUM(D46:D75)</f>
        <v>115632388</v>
      </c>
      <c r="E76" s="29" t="n">
        <f aca="false">SUM(E46:E75)</f>
        <v>93165720.5</v>
      </c>
      <c r="F76" s="29" t="n">
        <f aca="false">SUM(F46:F75)</f>
        <v>218980895</v>
      </c>
      <c r="G76" s="29" t="n">
        <f aca="false">SUM(G46:G75)</f>
        <v>0</v>
      </c>
      <c r="H76" s="29" t="n">
        <f aca="false">SUM(H46:H75)</f>
        <v>0</v>
      </c>
    </row>
    <row r="79" customFormat="false" ht="15" hidden="false" customHeight="false" outlineLevel="0" collapsed="false">
      <c r="A79" s="11" t="s">
        <v>46</v>
      </c>
    </row>
    <row r="80" customFormat="false" ht="27.75" hidden="false" customHeight="true" outlineLevel="0" collapsed="false">
      <c r="A80" s="12"/>
      <c r="B80" s="12" t="s">
        <v>9</v>
      </c>
      <c r="C80" s="25" t="n">
        <f aca="false">$C$42</f>
        <v>46174</v>
      </c>
      <c r="D80" s="25" t="n">
        <f aca="false">EDATE(C80,1)</f>
        <v>46204</v>
      </c>
      <c r="E80" s="25" t="n">
        <f aca="false">EDATE(D80,1)</f>
        <v>46235</v>
      </c>
      <c r="F80" s="25" t="n">
        <f aca="false">EDATE(E80,1)</f>
        <v>46266</v>
      </c>
      <c r="G80" s="25" t="n">
        <f aca="false">EDATE(F80,1)</f>
        <v>46296</v>
      </c>
      <c r="H80" s="25" t="n">
        <f aca="false">EDATE(G80,1)</f>
        <v>46327</v>
      </c>
    </row>
    <row r="81" customFormat="false" ht="15" hidden="false" customHeight="false" outlineLevel="0" collapsed="false">
      <c r="A81" s="26"/>
      <c r="B81" s="26" t="str">
        <f aca="false">IF($B9="","",$B9)</f>
        <v>Thông Lan (Thiệu Vân)</v>
      </c>
      <c r="C81" s="27" t="str">
        <f aca="false">IF($B81="","",IF(COUNTIFS('SỔ CÔNG NỢ'!$A$5:$A$111,$B81,'SỔ CÔNG NỢ'!$B$5:$B$111,C$80)=0,"",SUMIFS('SỔ CÔNG NỢ'!$G$5:$G$111,'SỔ CÔNG NỢ'!$A$5:$A$111,$B81,'SỔ CÔNG NỢ'!$B$5:$B$111,C$80)))</f>
        <v/>
      </c>
      <c r="D81" s="27" t="n">
        <f aca="false">IF($B81="","",IF(COUNTIFS('SỔ CÔNG NỢ'!$A$5:$A$111,$B81,'SỔ CÔNG NỢ'!$B$5:$B$111,D$80)=0,"",SUMIFS('SỔ CÔNG NỢ'!$G$5:$G$111,'SỔ CÔNG NỢ'!$A$5:$A$111,$B81,'SỔ CÔNG NỢ'!$B$5:$B$111,D$80)))</f>
        <v>2156000</v>
      </c>
      <c r="E81" s="27" t="str">
        <f aca="false">IF($B81="","",IF(COUNTIFS('SỔ CÔNG NỢ'!$A$5:$A$111,$B81,'SỔ CÔNG NỢ'!$B$5:$B$111,E$80)=0,"",SUMIFS('SỔ CÔNG NỢ'!$G$5:$G$111,'SỔ CÔNG NỢ'!$A$5:$A$111,$B81,'SỔ CÔNG NỢ'!$B$5:$B$111,E$80)))</f>
        <v/>
      </c>
      <c r="F81" s="27" t="n">
        <f aca="false">IF($B81="","",IF(COUNTIFS('SỔ CÔNG NỢ'!$A$5:$A$111,$B81,'SỔ CÔNG NỢ'!$B$5:$B$111,F$80)=0,"",SUMIFS('SỔ CÔNG NỢ'!$G$5:$G$111,'SỔ CÔNG NỢ'!$A$5:$A$111,$B81,'SỔ CÔNG NỢ'!$B$5:$B$111,F$80)))</f>
        <v>468650</v>
      </c>
      <c r="G81" s="27" t="str">
        <f aca="false">IF($B81="","",IF(COUNTIFS('SỔ CÔNG NỢ'!$A$5:$A$111,$B81,'SỔ CÔNG NỢ'!$B$5:$B$111,G$80)=0,"",SUMIFS('SỔ CÔNG NỢ'!$G$5:$G$111,'SỔ CÔNG NỢ'!$A$5:$A$111,$B81,'SỔ CÔNG NỢ'!$B$5:$B$111,G$80)))</f>
        <v/>
      </c>
      <c r="H81" s="27" t="str">
        <f aca="false">IF($B81="","",IF(COUNTIFS('SỔ CÔNG NỢ'!$A$5:$A$111,$B81,'SỔ CÔNG NỢ'!$B$5:$B$111,H$80)=0,"",SUMIFS('SỔ CÔNG NỢ'!$G$5:$G$111,'SỔ CÔNG NỢ'!$A$5:$A$111,$B81,'SỔ CÔNG NỢ'!$B$5:$B$111,H$80)))</f>
        <v/>
      </c>
    </row>
    <row r="82" customFormat="false" ht="15" hidden="false" customHeight="false" outlineLevel="0" collapsed="false">
      <c r="A82" s="26"/>
      <c r="B82" s="26" t="str">
        <f aca="false">IF($B10="","",$B10)</f>
        <v>Tuân Thuận</v>
      </c>
      <c r="C82" s="27" t="n">
        <f aca="false">IF($B82="","",IF(COUNTIFS('SỔ CÔNG NỢ'!$A$5:$A$111,$B82,'SỔ CÔNG NỢ'!$B$5:$B$111,C$80)=0,"",SUMIFS('SỔ CÔNG NỢ'!$G$5:$G$111,'SỔ CÔNG NỢ'!$A$5:$A$111,$B82,'SỔ CÔNG NỢ'!$B$5:$B$111,C$80)))</f>
        <v>36622240</v>
      </c>
      <c r="D82" s="27" t="n">
        <f aca="false">IF($B82="","",IF(COUNTIFS('SỔ CÔNG NỢ'!$A$5:$A$111,$B82,'SỔ CÔNG NỢ'!$B$5:$B$111,D$80)=0,"",SUMIFS('SỔ CÔNG NỢ'!$G$5:$G$111,'SỔ CÔNG NỢ'!$A$5:$A$111,$B82,'SỔ CÔNG NỢ'!$B$5:$B$111,D$80)))</f>
        <v>34217740</v>
      </c>
      <c r="E82" s="27" t="n">
        <f aca="false">IF($B82="","",IF(COUNTIFS('SỔ CÔNG NỢ'!$A$5:$A$111,$B82,'SỔ CÔNG NỢ'!$B$5:$B$111,E$80)=0,"",SUMIFS('SỔ CÔNG NỢ'!$G$5:$G$111,'SỔ CÔNG NỢ'!$A$5:$A$111,$B82,'SỔ CÔNG NỢ'!$B$5:$B$111,E$80)))</f>
        <v>55504060</v>
      </c>
      <c r="F82" s="27" t="n">
        <f aca="false">IF($B82="","",IF(COUNTIFS('SỔ CÔNG NỢ'!$A$5:$A$111,$B82,'SỔ CÔNG NỢ'!$B$5:$B$111,F$80)=0,"",SUMIFS('SỔ CÔNG NỢ'!$G$5:$G$111,'SỔ CÔNG NỢ'!$A$5:$A$111,$B82,'SỔ CÔNG NỢ'!$B$5:$B$111,F$80)))</f>
        <v>65416240</v>
      </c>
      <c r="G82" s="27" t="str">
        <f aca="false">IF($B82="","",IF(COUNTIFS('SỔ CÔNG NỢ'!$A$5:$A$111,$B82,'SỔ CÔNG NỢ'!$B$5:$B$111,G$80)=0,"",SUMIFS('SỔ CÔNG NỢ'!$G$5:$G$111,'SỔ CÔNG NỢ'!$A$5:$A$111,$B82,'SỔ CÔNG NỢ'!$B$5:$B$111,G$80)))</f>
        <v/>
      </c>
      <c r="H82" s="27" t="str">
        <f aca="false">IF($B82="","",IF(COUNTIFS('SỔ CÔNG NỢ'!$A$5:$A$111,$B82,'SỔ CÔNG NỢ'!$B$5:$B$111,H$80)=0,"",SUMIFS('SỔ CÔNG NỢ'!$G$5:$G$111,'SỔ CÔNG NỢ'!$A$5:$A$111,$B82,'SỔ CÔNG NỢ'!$B$5:$B$111,H$80)))</f>
        <v/>
      </c>
    </row>
    <row r="83" customFormat="false" ht="15" hidden="false" customHeight="false" outlineLevel="0" collapsed="false">
      <c r="A83" s="26"/>
      <c r="B83" s="26" t="str">
        <f aca="false">IF($B11="","",$B11)</f>
        <v>Anh Hưng (giao anh Hải, TP)</v>
      </c>
      <c r="C83" s="27" t="n">
        <f aca="false">IF($B83="","",IF(COUNTIFS('SỔ CÔNG NỢ'!$A$5:$A$111,$B83,'SỔ CÔNG NỢ'!$B$5:$B$111,C$80)=0,"",SUMIFS('SỔ CÔNG NỢ'!$G$5:$G$111,'SỔ CÔNG NỢ'!$A$5:$A$111,$B83,'SỔ CÔNG NỢ'!$B$5:$B$111,C$80)))</f>
        <v>44592924</v>
      </c>
      <c r="D83" s="27" t="str">
        <f aca="false">IF($B83="","",IF(COUNTIFS('SỔ CÔNG NỢ'!$A$5:$A$111,$B83,'SỔ CÔNG NỢ'!$B$5:$B$111,D$80)=0,"",SUMIFS('SỔ CÔNG NỢ'!$G$5:$G$111,'SỔ CÔNG NỢ'!$A$5:$A$111,$B83,'SỔ CÔNG NỢ'!$B$5:$B$111,D$80)))</f>
        <v/>
      </c>
      <c r="E83" s="27" t="n">
        <f aca="false">IF($B83="","",IF(COUNTIFS('SỔ CÔNG NỢ'!$A$5:$A$111,$B83,'SỔ CÔNG NỢ'!$B$5:$B$111,E$80)=0,"",SUMIFS('SỔ CÔNG NỢ'!$G$5:$G$111,'SỔ CÔNG NỢ'!$A$5:$A$111,$B83,'SỔ CÔNG NỢ'!$B$5:$B$111,E$80)))</f>
        <v>1333040</v>
      </c>
      <c r="F83" s="27" t="str">
        <f aca="false">IF($B83="","",IF(COUNTIFS('SỔ CÔNG NỢ'!$A$5:$A$111,$B83,'SỔ CÔNG NỢ'!$B$5:$B$111,F$80)=0,"",SUMIFS('SỔ CÔNG NỢ'!$G$5:$G$111,'SỔ CÔNG NỢ'!$A$5:$A$111,$B83,'SỔ CÔNG NỢ'!$B$5:$B$111,F$80)))</f>
        <v/>
      </c>
      <c r="G83" s="27" t="str">
        <f aca="false">IF($B83="","",IF(COUNTIFS('SỔ CÔNG NỢ'!$A$5:$A$111,$B83,'SỔ CÔNG NỢ'!$B$5:$B$111,G$80)=0,"",SUMIFS('SỔ CÔNG NỢ'!$G$5:$G$111,'SỔ CÔNG NỢ'!$A$5:$A$111,$B83,'SỔ CÔNG NỢ'!$B$5:$B$111,G$80)))</f>
        <v/>
      </c>
      <c r="H83" s="27" t="str">
        <f aca="false">IF($B83="","",IF(COUNTIFS('SỔ CÔNG NỢ'!$A$5:$A$111,$B83,'SỔ CÔNG NỢ'!$B$5:$B$111,H$80)=0,"",SUMIFS('SỔ CÔNG NỢ'!$G$5:$G$111,'SỔ CÔNG NỢ'!$A$5:$A$111,$B83,'SỔ CÔNG NỢ'!$B$5:$B$111,H$80)))</f>
        <v/>
      </c>
    </row>
    <row r="84" customFormat="false" ht="15" hidden="false" customHeight="false" outlineLevel="0" collapsed="false">
      <c r="A84" s="26"/>
      <c r="B84" s="26" t="str">
        <f aca="false">IF($B12="","",$B12)</f>
        <v>Nghị Hậu</v>
      </c>
      <c r="C84" s="27" t="n">
        <f aca="false">IF($B84="","",IF(COUNTIFS('SỔ CÔNG NỢ'!$A$5:$A$111,$B84,'SỔ CÔNG NỢ'!$B$5:$B$111,C$80)=0,"",SUMIFS('SỔ CÔNG NỢ'!$G$5:$G$111,'SỔ CÔNG NỢ'!$A$5:$A$111,$B84,'SỔ CÔNG NỢ'!$B$5:$B$111,C$80)))</f>
        <v>27770535</v>
      </c>
      <c r="D84" s="27" t="str">
        <f aca="false">IF($B84="","",IF(COUNTIFS('SỔ CÔNG NỢ'!$A$5:$A$111,$B84,'SỔ CÔNG NỢ'!$B$5:$B$111,D$80)=0,"",SUMIFS('SỔ CÔNG NỢ'!$G$5:$G$111,'SỔ CÔNG NỢ'!$A$5:$A$111,$B84,'SỔ CÔNG NỢ'!$B$5:$B$111,D$80)))</f>
        <v/>
      </c>
      <c r="E84" s="27" t="str">
        <f aca="false">IF($B84="","",IF(COUNTIFS('SỔ CÔNG NỢ'!$A$5:$A$111,$B84,'SỔ CÔNG NỢ'!$B$5:$B$111,E$80)=0,"",SUMIFS('SỔ CÔNG NỢ'!$G$5:$G$111,'SỔ CÔNG NỢ'!$A$5:$A$111,$B84,'SỔ CÔNG NỢ'!$B$5:$B$111,E$80)))</f>
        <v/>
      </c>
      <c r="F84" s="27" t="str">
        <f aca="false">IF($B84="","",IF(COUNTIFS('SỔ CÔNG NỢ'!$A$5:$A$111,$B84,'SỔ CÔNG NỢ'!$B$5:$B$111,F$80)=0,"",SUMIFS('SỔ CÔNG NỢ'!$G$5:$G$111,'SỔ CÔNG NỢ'!$A$5:$A$111,$B84,'SỔ CÔNG NỢ'!$B$5:$B$111,F$80)))</f>
        <v/>
      </c>
      <c r="G84" s="27" t="str">
        <f aca="false">IF($B84="","",IF(COUNTIFS('SỔ CÔNG NỢ'!$A$5:$A$111,$B84,'SỔ CÔNG NỢ'!$B$5:$B$111,G$80)=0,"",SUMIFS('SỔ CÔNG NỢ'!$G$5:$G$111,'SỔ CÔNG NỢ'!$A$5:$A$111,$B84,'SỔ CÔNG NỢ'!$B$5:$B$111,G$80)))</f>
        <v/>
      </c>
      <c r="H84" s="27" t="str">
        <f aca="false">IF($B84="","",IF(COUNTIFS('SỔ CÔNG NỢ'!$A$5:$A$111,$B84,'SỔ CÔNG NỢ'!$B$5:$B$111,H$80)=0,"",SUMIFS('SỔ CÔNG NỢ'!$G$5:$G$111,'SỔ CÔNG NỢ'!$A$5:$A$111,$B84,'SỔ CÔNG NỢ'!$B$5:$B$111,H$80)))</f>
        <v/>
      </c>
    </row>
    <row r="85" customFormat="false" ht="15" hidden="false" customHeight="false" outlineLevel="0" collapsed="false">
      <c r="A85" s="26"/>
      <c r="B85" s="26" t="str">
        <f aca="false">IF($B13="","",$B13)</f>
        <v>Hà Liên</v>
      </c>
      <c r="C85" s="27" t="n">
        <f aca="false">IF($B85="","",IF(COUNTIFS('SỔ CÔNG NỢ'!$A$5:$A$111,$B85,'SỔ CÔNG NỢ'!$B$5:$B$111,C$80)=0,"",SUMIFS('SỔ CÔNG NỢ'!$G$5:$G$111,'SỔ CÔNG NỢ'!$A$5:$A$111,$B85,'SỔ CÔNG NỢ'!$B$5:$B$111,C$80)))</f>
        <v>9188400</v>
      </c>
      <c r="D85" s="27" t="n">
        <f aca="false">IF($B85="","",IF(COUNTIFS('SỔ CÔNG NỢ'!$A$5:$A$111,$B85,'SỔ CÔNG NỢ'!$B$5:$B$111,D$80)=0,"",SUMIFS('SỔ CÔNG NỢ'!$G$5:$G$111,'SỔ CÔNG NỢ'!$A$5:$A$111,$B85,'SỔ CÔNG NỢ'!$B$5:$B$111,D$80)))</f>
        <v>15690040</v>
      </c>
      <c r="E85" s="27" t="n">
        <f aca="false">IF($B85="","",IF(COUNTIFS('SỔ CÔNG NỢ'!$A$5:$A$111,$B85,'SỔ CÔNG NỢ'!$B$5:$B$111,E$80)=0,"",SUMIFS('SỔ CÔNG NỢ'!$G$5:$G$111,'SỔ CÔNG NỢ'!$A$5:$A$111,$B85,'SỔ CÔNG NỢ'!$B$5:$B$111,E$80)))</f>
        <v>15666000</v>
      </c>
      <c r="F85" s="27" t="n">
        <f aca="false">IF($B85="","",IF(COUNTIFS('SỔ CÔNG NỢ'!$A$5:$A$111,$B85,'SỔ CÔNG NỢ'!$B$5:$B$111,F$80)=0,"",SUMIFS('SỔ CÔNG NỢ'!$G$5:$G$111,'SỔ CÔNG NỢ'!$A$5:$A$111,$B85,'SỔ CÔNG NỢ'!$B$5:$B$111,F$80)))</f>
        <v>40173760</v>
      </c>
      <c r="G85" s="27" t="str">
        <f aca="false">IF($B85="","",IF(COUNTIFS('SỔ CÔNG NỢ'!$A$5:$A$111,$B85,'SỔ CÔNG NỢ'!$B$5:$B$111,G$80)=0,"",SUMIFS('SỔ CÔNG NỢ'!$G$5:$G$111,'SỔ CÔNG NỢ'!$A$5:$A$111,$B85,'SỔ CÔNG NỢ'!$B$5:$B$111,G$80)))</f>
        <v/>
      </c>
      <c r="H85" s="27" t="str">
        <f aca="false">IF($B85="","",IF(COUNTIFS('SỔ CÔNG NỢ'!$A$5:$A$111,$B85,'SỔ CÔNG NỢ'!$B$5:$B$111,H$80)=0,"",SUMIFS('SỔ CÔNG NỢ'!$G$5:$G$111,'SỔ CÔNG NỢ'!$A$5:$A$111,$B85,'SỔ CÔNG NỢ'!$B$5:$B$111,H$80)))</f>
        <v/>
      </c>
    </row>
    <row r="86" customFormat="false" ht="15" hidden="false" customHeight="false" outlineLevel="0" collapsed="false">
      <c r="A86" s="26"/>
      <c r="B86" s="26" t="str">
        <f aca="false">IF($B14="","",$B14)</f>
        <v>Chinh Ưng (Đông Lĩnh)</v>
      </c>
      <c r="C86" s="27" t="n">
        <f aca="false">IF($B86="","",IF(COUNTIFS('SỔ CÔNG NỢ'!$A$5:$A$111,$B86,'SỔ CÔNG NỢ'!$B$5:$B$111,C$80)=0,"",SUMIFS('SỔ CÔNG NỢ'!$G$5:$G$111,'SỔ CÔNG NỢ'!$A$5:$A$111,$B86,'SỔ CÔNG NỢ'!$B$5:$B$111,C$80)))</f>
        <v>12663600</v>
      </c>
      <c r="D86" s="27" t="n">
        <f aca="false">IF($B86="","",IF(COUNTIFS('SỔ CÔNG NỢ'!$A$5:$A$111,$B86,'SỔ CÔNG NỢ'!$B$5:$B$111,D$80)=0,"",SUMIFS('SỔ CÔNG NỢ'!$G$5:$G$111,'SỔ CÔNG NỢ'!$A$5:$A$111,$B86,'SỔ CÔNG NỢ'!$B$5:$B$111,D$80)))</f>
        <v>3204400</v>
      </c>
      <c r="E86" s="27" t="str">
        <f aca="false">IF($B86="","",IF(COUNTIFS('SỔ CÔNG NỢ'!$A$5:$A$111,$B86,'SỔ CÔNG NỢ'!$B$5:$B$111,E$80)=0,"",SUMIFS('SỔ CÔNG NỢ'!$G$5:$G$111,'SỔ CÔNG NỢ'!$A$5:$A$111,$B86,'SỔ CÔNG NỢ'!$B$5:$B$111,E$80)))</f>
        <v/>
      </c>
      <c r="F86" s="27" t="n">
        <f aca="false">IF($B86="","",IF(COUNTIFS('SỔ CÔNG NỢ'!$A$5:$A$111,$B86,'SỔ CÔNG NỢ'!$B$5:$B$111,F$80)=0,"",SUMIFS('SỔ CÔNG NỢ'!$G$5:$G$111,'SỔ CÔNG NỢ'!$A$5:$A$111,$B86,'SỔ CÔNG NỢ'!$B$5:$B$111,F$80)))</f>
        <v>7193840</v>
      </c>
      <c r="G86" s="27" t="str">
        <f aca="false">IF($B86="","",IF(COUNTIFS('SỔ CÔNG NỢ'!$A$5:$A$111,$B86,'SỔ CÔNG NỢ'!$B$5:$B$111,G$80)=0,"",SUMIFS('SỔ CÔNG NỢ'!$G$5:$G$111,'SỔ CÔNG NỢ'!$A$5:$A$111,$B86,'SỔ CÔNG NỢ'!$B$5:$B$111,G$80)))</f>
        <v/>
      </c>
      <c r="H86" s="27" t="str">
        <f aca="false">IF($B86="","",IF(COUNTIFS('SỔ CÔNG NỢ'!$A$5:$A$111,$B86,'SỔ CÔNG NỢ'!$B$5:$B$111,H$80)=0,"",SUMIFS('SỔ CÔNG NỢ'!$G$5:$G$111,'SỔ CÔNG NỢ'!$A$5:$A$111,$B86,'SỔ CÔNG NỢ'!$B$5:$B$111,H$80)))</f>
        <v/>
      </c>
    </row>
    <row r="87" customFormat="false" ht="15" hidden="false" customHeight="false" outlineLevel="0" collapsed="false">
      <c r="A87" s="26"/>
      <c r="B87" s="26" t="str">
        <f aca="false">IF($B15="","",$B15)</f>
        <v>Cường Hà</v>
      </c>
      <c r="C87" s="27" t="n">
        <f aca="false">IF($B87="","",IF(COUNTIFS('SỔ CÔNG NỢ'!$A$5:$A$111,$B87,'SỔ CÔNG NỢ'!$B$5:$B$111,C$80)=0,"",SUMIFS('SỔ CÔNG NỢ'!$G$5:$G$111,'SỔ CÔNG NỢ'!$A$5:$A$111,$B87,'SỔ CÔNG NỢ'!$B$5:$B$111,C$80)))</f>
        <v>44470340</v>
      </c>
      <c r="D87" s="27" t="n">
        <f aca="false">IF($B87="","",IF(COUNTIFS('SỔ CÔNG NỢ'!$A$5:$A$111,$B87,'SỔ CÔNG NỢ'!$B$5:$B$111,D$80)=0,"",SUMIFS('SỔ CÔNG NỢ'!$G$5:$G$111,'SỔ CÔNG NỢ'!$A$5:$A$111,$B87,'SỔ CÔNG NỢ'!$B$5:$B$111,D$80)))</f>
        <v>7992800</v>
      </c>
      <c r="E87" s="27" t="n">
        <f aca="false">IF($B87="","",IF(COUNTIFS('SỔ CÔNG NỢ'!$A$5:$A$111,$B87,'SỔ CÔNG NỢ'!$B$5:$B$111,E$80)=0,"",SUMIFS('SỔ CÔNG NỢ'!$G$5:$G$111,'SỔ CÔNG NỢ'!$A$5:$A$111,$B87,'SỔ CÔNG NỢ'!$B$5:$B$111,E$80)))</f>
        <v>75726140</v>
      </c>
      <c r="F87" s="27" t="n">
        <f aca="false">IF($B87="","",IF(COUNTIFS('SỔ CÔNG NỢ'!$A$5:$A$111,$B87,'SỔ CÔNG NỢ'!$B$5:$B$111,F$80)=0,"",SUMIFS('SỔ CÔNG NỢ'!$G$5:$G$111,'SỔ CÔNG NỢ'!$A$5:$A$111,$B87,'SỔ CÔNG NỢ'!$B$5:$B$111,F$80)))</f>
        <v>16661920</v>
      </c>
      <c r="G87" s="27" t="str">
        <f aca="false">IF($B87="","",IF(COUNTIFS('SỔ CÔNG NỢ'!$A$5:$A$111,$B87,'SỔ CÔNG NỢ'!$B$5:$B$111,G$80)=0,"",SUMIFS('SỔ CÔNG NỢ'!$G$5:$G$111,'SỔ CÔNG NỢ'!$A$5:$A$111,$B87,'SỔ CÔNG NỢ'!$B$5:$B$111,G$80)))</f>
        <v/>
      </c>
      <c r="H87" s="27" t="str">
        <f aca="false">IF($B87="","",IF(COUNTIFS('SỔ CÔNG NỢ'!$A$5:$A$111,$B87,'SỔ CÔNG NỢ'!$B$5:$B$111,H$80)=0,"",SUMIFS('SỔ CÔNG NỢ'!$G$5:$G$111,'SỔ CÔNG NỢ'!$A$5:$A$111,$B87,'SỔ CÔNG NỢ'!$B$5:$B$111,H$80)))</f>
        <v/>
      </c>
    </row>
    <row r="88" customFormat="false" ht="15" hidden="false" customHeight="false" outlineLevel="0" collapsed="false">
      <c r="A88" s="26"/>
      <c r="B88" s="26" t="str">
        <f aca="false">IF($B16="","",$B16)</f>
        <v>Toàn Lanh</v>
      </c>
      <c r="C88" s="27" t="n">
        <f aca="false">IF($B88="","",IF(COUNTIFS('SỔ CÔNG NỢ'!$A$5:$A$111,$B88,'SỔ CÔNG NỢ'!$B$5:$B$111,C$80)=0,"",SUMIFS('SỔ CÔNG NỢ'!$G$5:$G$111,'SỔ CÔNG NỢ'!$A$5:$A$111,$B88,'SỔ CÔNG NỢ'!$B$5:$B$111,C$80)))</f>
        <v>23020077</v>
      </c>
      <c r="D88" s="27" t="n">
        <f aca="false">IF($B88="","",IF(COUNTIFS('SỔ CÔNG NỢ'!$A$5:$A$111,$B88,'SỔ CÔNG NỢ'!$B$5:$B$111,D$80)=0,"",SUMIFS('SỔ CÔNG NỢ'!$G$5:$G$111,'SỔ CÔNG NỢ'!$A$5:$A$111,$B88,'SỔ CÔNG NỢ'!$B$5:$B$111,D$80)))</f>
        <v>54873748</v>
      </c>
      <c r="E88" s="27" t="str">
        <f aca="false">IF($B88="","",IF(COUNTIFS('SỔ CÔNG NỢ'!$A$5:$A$111,$B88,'SỔ CÔNG NỢ'!$B$5:$B$111,E$80)=0,"",SUMIFS('SỔ CÔNG NỢ'!$G$5:$G$111,'SỔ CÔNG NỢ'!$A$5:$A$111,$B88,'SỔ CÔNG NỢ'!$B$5:$B$111,E$80)))</f>
        <v/>
      </c>
      <c r="F88" s="27" t="str">
        <f aca="false">IF($B88="","",IF(COUNTIFS('SỔ CÔNG NỢ'!$A$5:$A$111,$B88,'SỔ CÔNG NỢ'!$B$5:$B$111,F$80)=0,"",SUMIFS('SỔ CÔNG NỢ'!$G$5:$G$111,'SỔ CÔNG NỢ'!$A$5:$A$111,$B88,'SỔ CÔNG NỢ'!$B$5:$B$111,F$80)))</f>
        <v/>
      </c>
      <c r="G88" s="27" t="str">
        <f aca="false">IF($B88="","",IF(COUNTIFS('SỔ CÔNG NỢ'!$A$5:$A$111,$B88,'SỔ CÔNG NỢ'!$B$5:$B$111,G$80)=0,"",SUMIFS('SỔ CÔNG NỢ'!$G$5:$G$111,'SỔ CÔNG NỢ'!$A$5:$A$111,$B88,'SỔ CÔNG NỢ'!$B$5:$B$111,G$80)))</f>
        <v/>
      </c>
      <c r="H88" s="27" t="str">
        <f aca="false">IF($B88="","",IF(COUNTIFS('SỔ CÔNG NỢ'!$A$5:$A$111,$B88,'SỔ CÔNG NỢ'!$B$5:$B$111,H$80)=0,"",SUMIFS('SỔ CÔNG NỢ'!$G$5:$G$111,'SỔ CÔNG NỢ'!$A$5:$A$111,$B88,'SỔ CÔNG NỢ'!$B$5:$B$111,H$80)))</f>
        <v/>
      </c>
    </row>
    <row r="89" customFormat="false" ht="15" hidden="false" customHeight="false" outlineLevel="0" collapsed="false">
      <c r="A89" s="26"/>
      <c r="B89" s="26" t="str">
        <f aca="false">IF($B17="","",$B17)</f>
        <v>Chị Thu (Rừng Thông)</v>
      </c>
      <c r="C89" s="27" t="n">
        <f aca="false">IF($B89="","",IF(COUNTIFS('SỔ CÔNG NỢ'!$A$5:$A$111,$B89,'SỔ CÔNG NỢ'!$B$5:$B$111,C$80)=0,"",SUMIFS('SỔ CÔNG NỢ'!$G$5:$G$111,'SỔ CÔNG NỢ'!$A$5:$A$111,$B89,'SỔ CÔNG NỢ'!$B$5:$B$111,C$80)))</f>
        <v>17142020</v>
      </c>
      <c r="D89" s="27" t="str">
        <f aca="false">IF($B89="","",IF(COUNTIFS('SỔ CÔNG NỢ'!$A$5:$A$111,$B89,'SỔ CÔNG NỢ'!$B$5:$B$111,D$80)=0,"",SUMIFS('SỔ CÔNG NỢ'!$G$5:$G$111,'SỔ CÔNG NỢ'!$A$5:$A$111,$B89,'SỔ CÔNG NỢ'!$B$5:$B$111,D$80)))</f>
        <v/>
      </c>
      <c r="E89" s="27" t="str">
        <f aca="false">IF($B89="","",IF(COUNTIFS('SỔ CÔNG NỢ'!$A$5:$A$111,$B89,'SỔ CÔNG NỢ'!$B$5:$B$111,E$80)=0,"",SUMIFS('SỔ CÔNG NỢ'!$G$5:$G$111,'SỔ CÔNG NỢ'!$A$5:$A$111,$B89,'SỔ CÔNG NỢ'!$B$5:$B$111,E$80)))</f>
        <v/>
      </c>
      <c r="F89" s="27" t="str">
        <f aca="false">IF($B89="","",IF(COUNTIFS('SỔ CÔNG NỢ'!$A$5:$A$111,$B89,'SỔ CÔNG NỢ'!$B$5:$B$111,F$80)=0,"",SUMIFS('SỔ CÔNG NỢ'!$G$5:$G$111,'SỔ CÔNG NỢ'!$A$5:$A$111,$B89,'SỔ CÔNG NỢ'!$B$5:$B$111,F$80)))</f>
        <v/>
      </c>
      <c r="G89" s="27" t="str">
        <f aca="false">IF($B89="","",IF(COUNTIFS('SỔ CÔNG NỢ'!$A$5:$A$111,$B89,'SỔ CÔNG NỢ'!$B$5:$B$111,G$80)=0,"",SUMIFS('SỔ CÔNG NỢ'!$G$5:$G$111,'SỔ CÔNG NỢ'!$A$5:$A$111,$B89,'SỔ CÔNG NỢ'!$B$5:$B$111,G$80)))</f>
        <v/>
      </c>
      <c r="H89" s="27" t="str">
        <f aca="false">IF($B89="","",IF(COUNTIFS('SỔ CÔNG NỢ'!$A$5:$A$111,$B89,'SỔ CÔNG NỢ'!$B$5:$B$111,H$80)=0,"",SUMIFS('SỔ CÔNG NỢ'!$G$5:$G$111,'SỔ CÔNG NỢ'!$A$5:$A$111,$B89,'SỔ CÔNG NỢ'!$B$5:$B$111,H$80)))</f>
        <v/>
      </c>
    </row>
    <row r="90" customFormat="false" ht="15" hidden="false" customHeight="false" outlineLevel="0" collapsed="false">
      <c r="A90" s="26"/>
      <c r="B90" s="26" t="str">
        <f aca="false">IF($B18="","",$B18)</f>
        <v>Anh Hùng (TP)</v>
      </c>
      <c r="C90" s="27" t="n">
        <f aca="false">IF($B90="","",IF(COUNTIFS('SỔ CÔNG NỢ'!$A$5:$A$111,$B90,'SỔ CÔNG NỢ'!$B$5:$B$111,C$80)=0,"",SUMIFS('SỔ CÔNG NỢ'!$G$5:$G$111,'SỔ CÔNG NỢ'!$A$5:$A$111,$B90,'SỔ CÔNG NỢ'!$B$5:$B$111,C$80)))</f>
        <v>11999944</v>
      </c>
      <c r="D90" s="27" t="n">
        <f aca="false">IF($B90="","",IF(COUNTIFS('SỔ CÔNG NỢ'!$A$5:$A$111,$B90,'SỔ CÔNG NỢ'!$B$5:$B$111,D$80)=0,"",SUMIFS('SỔ CÔNG NỢ'!$G$5:$G$111,'SỔ CÔNG NỢ'!$A$5:$A$111,$B90,'SỔ CÔNG NỢ'!$B$5:$B$111,D$80)))</f>
        <v>155420</v>
      </c>
      <c r="E90" s="27" t="str">
        <f aca="false">IF($B90="","",IF(COUNTIFS('SỔ CÔNG NỢ'!$A$5:$A$111,$B90,'SỔ CÔNG NỢ'!$B$5:$B$111,E$80)=0,"",SUMIFS('SỔ CÔNG NỢ'!$G$5:$G$111,'SỔ CÔNG NỢ'!$A$5:$A$111,$B90,'SỔ CÔNG NỢ'!$B$5:$B$111,E$80)))</f>
        <v/>
      </c>
      <c r="F90" s="27" t="n">
        <f aca="false">IF($B90="","",IF(COUNTIFS('SỔ CÔNG NỢ'!$A$5:$A$111,$B90,'SỔ CÔNG NỢ'!$B$5:$B$111,F$80)=0,"",SUMIFS('SỔ CÔNG NỢ'!$G$5:$G$111,'SỔ CÔNG NỢ'!$A$5:$A$111,$B90,'SỔ CÔNG NỢ'!$B$5:$B$111,F$80)))</f>
        <v>3665100</v>
      </c>
      <c r="G90" s="27" t="str">
        <f aca="false">IF($B90="","",IF(COUNTIFS('SỔ CÔNG NỢ'!$A$5:$A$111,$B90,'SỔ CÔNG NỢ'!$B$5:$B$111,G$80)=0,"",SUMIFS('SỔ CÔNG NỢ'!$G$5:$G$111,'SỔ CÔNG NỢ'!$A$5:$A$111,$B90,'SỔ CÔNG NỢ'!$B$5:$B$111,G$80)))</f>
        <v/>
      </c>
      <c r="H90" s="27" t="str">
        <f aca="false">IF($B90="","",IF(COUNTIFS('SỔ CÔNG NỢ'!$A$5:$A$111,$B90,'SỔ CÔNG NỢ'!$B$5:$B$111,H$80)=0,"",SUMIFS('SỔ CÔNG NỢ'!$G$5:$G$111,'SỔ CÔNG NỢ'!$A$5:$A$111,$B90,'SỔ CÔNG NỢ'!$B$5:$B$111,H$80)))</f>
        <v/>
      </c>
    </row>
    <row r="91" customFormat="false" ht="15" hidden="false" customHeight="false" outlineLevel="0" collapsed="false">
      <c r="A91" s="26"/>
      <c r="B91" s="26" t="str">
        <f aca="false">IF($B19="","",$B19)</f>
        <v>Tìm Mai (Hoàng Châu)</v>
      </c>
      <c r="C91" s="27" t="str">
        <f aca="false">IF($B91="","",IF(COUNTIFS('SỔ CÔNG NỢ'!$A$5:$A$111,$B91,'SỔ CÔNG NỢ'!$B$5:$B$111,C$80)=0,"",SUMIFS('SỔ CÔNG NỢ'!$G$5:$G$111,'SỔ CÔNG NỢ'!$A$5:$A$111,$B91,'SỔ CÔNG NỢ'!$B$5:$B$111,C$80)))</f>
        <v/>
      </c>
      <c r="D91" s="27" t="n">
        <f aca="false">IF($B91="","",IF(COUNTIFS('SỔ CÔNG NỢ'!$A$5:$A$111,$B91,'SỔ CÔNG NỢ'!$B$5:$B$111,D$80)=0,"",SUMIFS('SỔ CÔNG NỢ'!$G$5:$G$111,'SỔ CÔNG NỢ'!$A$5:$A$111,$B91,'SỔ CÔNG NỢ'!$B$5:$B$111,D$80)))</f>
        <v>14318800</v>
      </c>
      <c r="E91" s="27" t="str">
        <f aca="false">IF($B91="","",IF(COUNTIFS('SỔ CÔNG NỢ'!$A$5:$A$111,$B91,'SỔ CÔNG NỢ'!$B$5:$B$111,E$80)=0,"",SUMIFS('SỔ CÔNG NỢ'!$G$5:$G$111,'SỔ CÔNG NỢ'!$A$5:$A$111,$B91,'SỔ CÔNG NỢ'!$B$5:$B$111,E$80)))</f>
        <v/>
      </c>
      <c r="F91" s="27" t="str">
        <f aca="false">IF($B91="","",IF(COUNTIFS('SỔ CÔNG NỢ'!$A$5:$A$111,$B91,'SỔ CÔNG NỢ'!$B$5:$B$111,F$80)=0,"",SUMIFS('SỔ CÔNG NỢ'!$G$5:$G$111,'SỔ CÔNG NỢ'!$A$5:$A$111,$B91,'SỔ CÔNG NỢ'!$B$5:$B$111,F$80)))</f>
        <v/>
      </c>
      <c r="G91" s="27" t="str">
        <f aca="false">IF($B91="","",IF(COUNTIFS('SỔ CÔNG NỢ'!$A$5:$A$111,$B91,'SỔ CÔNG NỢ'!$B$5:$B$111,G$80)=0,"",SUMIFS('SỔ CÔNG NỢ'!$G$5:$G$111,'SỔ CÔNG NỢ'!$A$5:$A$111,$B91,'SỔ CÔNG NỢ'!$B$5:$B$111,G$80)))</f>
        <v/>
      </c>
      <c r="H91" s="27" t="str">
        <f aca="false">IF($B91="","",IF(COUNTIFS('SỔ CÔNG NỢ'!$A$5:$A$111,$B91,'SỔ CÔNG NỢ'!$B$5:$B$111,H$80)=0,"",SUMIFS('SỔ CÔNG NỢ'!$G$5:$G$111,'SỔ CÔNG NỢ'!$A$5:$A$111,$B91,'SỔ CÔNG NỢ'!$B$5:$B$111,H$80)))</f>
        <v/>
      </c>
    </row>
    <row r="92" customFormat="false" ht="15" hidden="false" customHeight="false" outlineLevel="0" collapsed="false">
      <c r="A92" s="26"/>
      <c r="B92" s="26" t="str">
        <f aca="false">IF($B20="","",$B20)</f>
        <v>Tuấn Thanh</v>
      </c>
      <c r="C92" s="27" t="str">
        <f aca="false">IF($B92="","",IF(COUNTIFS('SỔ CÔNG NỢ'!$A$5:$A$111,$B92,'SỔ CÔNG NỢ'!$B$5:$B$111,C$80)=0,"",SUMIFS('SỔ CÔNG NỢ'!$G$5:$G$111,'SỔ CÔNG NỢ'!$A$5:$A$111,$B92,'SỔ CÔNG NỢ'!$B$5:$B$111,C$80)))</f>
        <v/>
      </c>
      <c r="D92" s="27" t="str">
        <f aca="false">IF($B92="","",IF(COUNTIFS('SỔ CÔNG NỢ'!$A$5:$A$111,$B92,'SỔ CÔNG NỢ'!$B$5:$B$111,D$80)=0,"",SUMIFS('SỔ CÔNG NỢ'!$G$5:$G$111,'SỔ CÔNG NỢ'!$A$5:$A$111,$B92,'SỔ CÔNG NỢ'!$B$5:$B$111,D$80)))</f>
        <v/>
      </c>
      <c r="E92" s="27" t="str">
        <f aca="false">IF($B92="","",IF(COUNTIFS('SỔ CÔNG NỢ'!$A$5:$A$111,$B92,'SỔ CÔNG NỢ'!$B$5:$B$111,E$80)=0,"",SUMIFS('SỔ CÔNG NỢ'!$G$5:$G$111,'SỔ CÔNG NỢ'!$A$5:$A$111,$B92,'SỔ CÔNG NỢ'!$B$5:$B$111,E$80)))</f>
        <v/>
      </c>
      <c r="F92" s="27" t="n">
        <f aca="false">IF($B92="","",IF(COUNTIFS('SỔ CÔNG NỢ'!$A$5:$A$111,$B92,'SỔ CÔNG NỢ'!$B$5:$B$111,F$80)=0,"",SUMIFS('SỔ CÔNG NỢ'!$G$5:$G$111,'SỔ CÔNG NỢ'!$A$5:$A$111,$B92,'SỔ CÔNG NỢ'!$B$5:$B$111,F$80)))</f>
        <v>13172400</v>
      </c>
      <c r="G92" s="27" t="str">
        <f aca="false">IF($B92="","",IF(COUNTIFS('SỔ CÔNG NỢ'!$A$5:$A$111,$B92,'SỔ CÔNG NỢ'!$B$5:$B$111,G$80)=0,"",SUMIFS('SỔ CÔNG NỢ'!$G$5:$G$111,'SỔ CÔNG NỢ'!$A$5:$A$111,$B92,'SỔ CÔNG NỢ'!$B$5:$B$111,G$80)))</f>
        <v/>
      </c>
      <c r="H92" s="27" t="str">
        <f aca="false">IF($B92="","",IF(COUNTIFS('SỔ CÔNG NỢ'!$A$5:$A$111,$B92,'SỔ CÔNG NỢ'!$B$5:$B$111,H$80)=0,"",SUMIFS('SỔ CÔNG NỢ'!$G$5:$G$111,'SỔ CÔNG NỢ'!$A$5:$A$111,$B92,'SỔ CÔNG NỢ'!$B$5:$B$111,H$80)))</f>
        <v/>
      </c>
    </row>
    <row r="93" customFormat="false" ht="15" hidden="false" customHeight="false" outlineLevel="0" collapsed="false">
      <c r="A93" s="26"/>
      <c r="B93" s="26" t="str">
        <f aca="false">IF($B21="","",$B21)</f>
        <v>Trần Văn Chung (Thiệu Tân)</v>
      </c>
      <c r="C93" s="27" t="n">
        <f aca="false">IF($B93="","",IF(COUNTIFS('SỔ CÔNG NỢ'!$A$5:$A$111,$B93,'SỔ CÔNG NỢ'!$B$5:$B$111,C$80)=0,"",SUMIFS('SỔ CÔNG NỢ'!$G$5:$G$111,'SỔ CÔNG NỢ'!$A$5:$A$111,$B93,'SỔ CÔNG NỢ'!$B$5:$B$111,C$80)))</f>
        <v>46625809</v>
      </c>
      <c r="D93" s="27" t="n">
        <f aca="false">IF($B93="","",IF(COUNTIFS('SỔ CÔNG NỢ'!$A$5:$A$111,$B93,'SỔ CÔNG NỢ'!$B$5:$B$111,D$80)=0,"",SUMIFS('SỔ CÔNG NỢ'!$G$5:$G$111,'SỔ CÔNG NỢ'!$A$5:$A$111,$B93,'SỔ CÔNG NỢ'!$B$5:$B$111,D$80)))</f>
        <v>630110</v>
      </c>
      <c r="E93" s="27" t="str">
        <f aca="false">IF($B93="","",IF(COUNTIFS('SỔ CÔNG NỢ'!$A$5:$A$111,$B93,'SỔ CÔNG NỢ'!$B$5:$B$111,E$80)=0,"",SUMIFS('SỔ CÔNG NỢ'!$G$5:$G$111,'SỔ CÔNG NỢ'!$A$5:$A$111,$B93,'SỔ CÔNG NỢ'!$B$5:$B$111,E$80)))</f>
        <v/>
      </c>
      <c r="F93" s="27" t="str">
        <f aca="false">IF($B93="","",IF(COUNTIFS('SỔ CÔNG NỢ'!$A$5:$A$111,$B93,'SỔ CÔNG NỢ'!$B$5:$B$111,F$80)=0,"",SUMIFS('SỔ CÔNG NỢ'!$G$5:$G$111,'SỔ CÔNG NỢ'!$A$5:$A$111,$B93,'SỔ CÔNG NỢ'!$B$5:$B$111,F$80)))</f>
        <v/>
      </c>
      <c r="G93" s="27" t="str">
        <f aca="false">IF($B93="","",IF(COUNTIFS('SỔ CÔNG NỢ'!$A$5:$A$111,$B93,'SỔ CÔNG NỢ'!$B$5:$B$111,G$80)=0,"",SUMIFS('SỔ CÔNG NỢ'!$G$5:$G$111,'SỔ CÔNG NỢ'!$A$5:$A$111,$B93,'SỔ CÔNG NỢ'!$B$5:$B$111,G$80)))</f>
        <v/>
      </c>
      <c r="H93" s="27" t="str">
        <f aca="false">IF($B93="","",IF(COUNTIFS('SỔ CÔNG NỢ'!$A$5:$A$111,$B93,'SỔ CÔNG NỢ'!$B$5:$B$111,H$80)=0,"",SUMIFS('SỔ CÔNG NỢ'!$G$5:$G$111,'SỔ CÔNG NỢ'!$A$5:$A$111,$B93,'SỔ CÔNG NỢ'!$B$5:$B$111,H$80)))</f>
        <v/>
      </c>
    </row>
    <row r="94" customFormat="false" ht="15" hidden="false" customHeight="false" outlineLevel="0" collapsed="false">
      <c r="A94" s="26"/>
      <c r="B94" s="26" t="str">
        <f aca="false">IF($B22="","",$B22)</f>
        <v>Chú Giáp (Thiệu Thành)</v>
      </c>
      <c r="C94" s="27" t="n">
        <f aca="false">IF($B94="","",IF(COUNTIFS('SỔ CÔNG NỢ'!$A$5:$A$111,$B94,'SỔ CÔNG NỢ'!$B$5:$B$111,C$80)=0,"",SUMIFS('SỔ CÔNG NỢ'!$G$5:$G$111,'SỔ CÔNG NỢ'!$A$5:$A$111,$B94,'SỔ CÔNG NỢ'!$B$5:$B$111,C$80)))</f>
        <v>9370620</v>
      </c>
      <c r="D94" s="27" t="n">
        <f aca="false">IF($B94="","",IF(COUNTIFS('SỔ CÔNG NỢ'!$A$5:$A$111,$B94,'SỔ CÔNG NỢ'!$B$5:$B$111,D$80)=0,"",SUMIFS('SỔ CÔNG NỢ'!$G$5:$G$111,'SỔ CÔNG NỢ'!$A$5:$A$111,$B94,'SỔ CÔNG NỢ'!$B$5:$B$111,D$80)))</f>
        <v>0</v>
      </c>
      <c r="E94" s="27" t="str">
        <f aca="false">IF($B94="","",IF(COUNTIFS('SỔ CÔNG NỢ'!$A$5:$A$111,$B94,'SỔ CÔNG NỢ'!$B$5:$B$111,E$80)=0,"",SUMIFS('SỔ CÔNG NỢ'!$G$5:$G$111,'SỔ CÔNG NỢ'!$A$5:$A$111,$B94,'SỔ CÔNG NỢ'!$B$5:$B$111,E$80)))</f>
        <v/>
      </c>
      <c r="F94" s="27" t="str">
        <f aca="false">IF($B94="","",IF(COUNTIFS('SỔ CÔNG NỢ'!$A$5:$A$111,$B94,'SỔ CÔNG NỢ'!$B$5:$B$111,F$80)=0,"",SUMIFS('SỔ CÔNG NỢ'!$G$5:$G$111,'SỔ CÔNG NỢ'!$A$5:$A$111,$B94,'SỔ CÔNG NỢ'!$B$5:$B$111,F$80)))</f>
        <v/>
      </c>
      <c r="G94" s="27" t="str">
        <f aca="false">IF($B94="","",IF(COUNTIFS('SỔ CÔNG NỢ'!$A$5:$A$111,$B94,'SỔ CÔNG NỢ'!$B$5:$B$111,G$80)=0,"",SUMIFS('SỔ CÔNG NỢ'!$G$5:$G$111,'SỔ CÔNG NỢ'!$A$5:$A$111,$B94,'SỔ CÔNG NỢ'!$B$5:$B$111,G$80)))</f>
        <v/>
      </c>
      <c r="H94" s="27" t="str">
        <f aca="false">IF($B94="","",IF(COUNTIFS('SỔ CÔNG NỢ'!$A$5:$A$111,$B94,'SỔ CÔNG NỢ'!$B$5:$B$111,H$80)=0,"",SUMIFS('SỔ CÔNG NỢ'!$G$5:$G$111,'SỔ CÔNG NỢ'!$A$5:$A$111,$B94,'SỔ CÔNG NỢ'!$B$5:$B$111,H$80)))</f>
        <v/>
      </c>
    </row>
    <row r="95" customFormat="false" ht="15" hidden="false" customHeight="false" outlineLevel="0" collapsed="false">
      <c r="A95" s="26"/>
      <c r="B95" s="26" t="str">
        <f aca="false">IF($B23="","",$B23)</f>
        <v>Anh Giang (Đông Thanh)</v>
      </c>
      <c r="C95" s="27" t="str">
        <f aca="false">IF($B95="","",IF(COUNTIFS('SỔ CÔNG NỢ'!$A$5:$A$111,$B95,'SỔ CÔNG NỢ'!$B$5:$B$111,C$80)=0,"",SUMIFS('SỔ CÔNG NỢ'!$G$5:$G$111,'SỔ CÔNG NỢ'!$A$5:$A$111,$B95,'SỔ CÔNG NỢ'!$B$5:$B$111,C$80)))</f>
        <v/>
      </c>
      <c r="D95" s="27" t="str">
        <f aca="false">IF($B95="","",IF(COUNTIFS('SỔ CÔNG NỢ'!$A$5:$A$111,$B95,'SỔ CÔNG NỢ'!$B$5:$B$111,D$80)=0,"",SUMIFS('SỔ CÔNG NỢ'!$G$5:$G$111,'SỔ CÔNG NỢ'!$A$5:$A$111,$B95,'SỔ CÔNG NỢ'!$B$5:$B$111,D$80)))</f>
        <v/>
      </c>
      <c r="E95" s="27" t="n">
        <f aca="false">IF($B95="","",IF(COUNTIFS('SỔ CÔNG NỢ'!$A$5:$A$111,$B95,'SỔ CÔNG NỢ'!$B$5:$B$111,E$80)=0,"",SUMIFS('SỔ CÔNG NỢ'!$G$5:$G$111,'SỔ CÔNG NỢ'!$A$5:$A$111,$B95,'SỔ CÔNG NỢ'!$B$5:$B$111,E$80)))</f>
        <v>3120560</v>
      </c>
      <c r="F95" s="27" t="str">
        <f aca="false">IF($B95="","",IF(COUNTIFS('SỔ CÔNG NỢ'!$A$5:$A$111,$B95,'SỔ CÔNG NỢ'!$B$5:$B$111,F$80)=0,"",SUMIFS('SỔ CÔNG NỢ'!$G$5:$G$111,'SỔ CÔNG NỢ'!$A$5:$A$111,$B95,'SỔ CÔNG NỢ'!$B$5:$B$111,F$80)))</f>
        <v/>
      </c>
      <c r="G95" s="27" t="str">
        <f aca="false">IF($B95="","",IF(COUNTIFS('SỔ CÔNG NỢ'!$A$5:$A$111,$B95,'SỔ CÔNG NỢ'!$B$5:$B$111,G$80)=0,"",SUMIFS('SỔ CÔNG NỢ'!$G$5:$G$111,'SỔ CÔNG NỢ'!$A$5:$A$111,$B95,'SỔ CÔNG NỢ'!$B$5:$B$111,G$80)))</f>
        <v/>
      </c>
      <c r="H95" s="27" t="str">
        <f aca="false">IF($B95="","",IF(COUNTIFS('SỔ CÔNG NỢ'!$A$5:$A$111,$B95,'SỔ CÔNG NỢ'!$B$5:$B$111,H$80)=0,"",SUMIFS('SỔ CÔNG NỢ'!$G$5:$G$111,'SỔ CÔNG NỢ'!$A$5:$A$111,$B95,'SỔ CÔNG NỢ'!$B$5:$B$111,H$80)))</f>
        <v/>
      </c>
    </row>
    <row r="96" customFormat="false" ht="15" hidden="false" customHeight="false" outlineLevel="0" collapsed="false">
      <c r="A96" s="26"/>
      <c r="B96" s="26" t="str">
        <f aca="false">IF($B24="","",$B24)</f>
        <v>Hiền Xuân</v>
      </c>
      <c r="C96" s="27" t="str">
        <f aca="false">IF($B96="","",IF(COUNTIFS('SỔ CÔNG NỢ'!$A$5:$A$111,$B96,'SỔ CÔNG NỢ'!$B$5:$B$111,C$80)=0,"",SUMIFS('SỔ CÔNG NỢ'!$G$5:$G$111,'SỔ CÔNG NỢ'!$A$5:$A$111,$B96,'SỔ CÔNG NỢ'!$B$5:$B$111,C$80)))</f>
        <v/>
      </c>
      <c r="D96" s="27" t="n">
        <f aca="false">IF($B96="","",IF(COUNTIFS('SỔ CÔNG NỢ'!$A$5:$A$111,$B96,'SỔ CÔNG NỢ'!$B$5:$B$111,D$80)=0,"",SUMIFS('SỔ CÔNG NỢ'!$G$5:$G$111,'SỔ CÔNG NỢ'!$A$5:$A$111,$B96,'SỔ CÔNG NỢ'!$B$5:$B$111,D$80)))</f>
        <v>31863893</v>
      </c>
      <c r="E96" s="27" t="str">
        <f aca="false">IF($B96="","",IF(COUNTIFS('SỔ CÔNG NỢ'!$A$5:$A$111,$B96,'SỔ CÔNG NỢ'!$B$5:$B$111,E$80)=0,"",SUMIFS('SỔ CÔNG NỢ'!$G$5:$G$111,'SỔ CÔNG NỢ'!$A$5:$A$111,$B96,'SỔ CÔNG NỢ'!$B$5:$B$111,E$80)))</f>
        <v/>
      </c>
      <c r="F96" s="27" t="str">
        <f aca="false">IF($B96="","",IF(COUNTIFS('SỔ CÔNG NỢ'!$A$5:$A$111,$B96,'SỔ CÔNG NỢ'!$B$5:$B$111,F$80)=0,"",SUMIFS('SỔ CÔNG NỢ'!$G$5:$G$111,'SỔ CÔNG NỢ'!$A$5:$A$111,$B96,'SỔ CÔNG NỢ'!$B$5:$B$111,F$80)))</f>
        <v/>
      </c>
      <c r="G96" s="27" t="str">
        <f aca="false">IF($B96="","",IF(COUNTIFS('SỔ CÔNG NỢ'!$A$5:$A$111,$B96,'SỔ CÔNG NỢ'!$B$5:$B$111,G$80)=0,"",SUMIFS('SỔ CÔNG NỢ'!$G$5:$G$111,'SỔ CÔNG NỢ'!$A$5:$A$111,$B96,'SỔ CÔNG NỢ'!$B$5:$B$111,G$80)))</f>
        <v/>
      </c>
      <c r="H96" s="27" t="str">
        <f aca="false">IF($B96="","",IF(COUNTIFS('SỔ CÔNG NỢ'!$A$5:$A$111,$B96,'SỔ CÔNG NỢ'!$B$5:$B$111,H$80)=0,"",SUMIFS('SỔ CÔNG NỢ'!$G$5:$G$111,'SỔ CÔNG NỢ'!$A$5:$A$111,$B96,'SỔ CÔNG NỢ'!$B$5:$B$111,H$80)))</f>
        <v/>
      </c>
    </row>
    <row r="97" customFormat="false" ht="15" hidden="false" customHeight="false" outlineLevel="0" collapsed="false">
      <c r="A97" s="26"/>
      <c r="B97" s="26" t="str">
        <f aca="false">IF($B25="","",$B25)</f>
        <v>Văn Thiệu Dương</v>
      </c>
      <c r="C97" s="27" t="n">
        <f aca="false">IF($B97="","",IF(COUNTIFS('SỔ CÔNG NỢ'!$A$5:$A$111,$B97,'SỔ CÔNG NỢ'!$B$5:$B$111,C$80)=0,"",SUMIFS('SỔ CÔNG NỢ'!$G$5:$G$111,'SỔ CÔNG NỢ'!$A$5:$A$111,$B97,'SỔ CÔNG NỢ'!$B$5:$B$111,C$80)))</f>
        <v>979440</v>
      </c>
      <c r="D97" s="27" t="str">
        <f aca="false">IF($B97="","",IF(COUNTIFS('SỔ CÔNG NỢ'!$A$5:$A$111,$B97,'SỔ CÔNG NỢ'!$B$5:$B$111,D$80)=0,"",SUMIFS('SỔ CÔNG NỢ'!$G$5:$G$111,'SỔ CÔNG NỢ'!$A$5:$A$111,$B97,'SỔ CÔNG NỢ'!$B$5:$B$111,D$80)))</f>
        <v/>
      </c>
      <c r="E97" s="27" t="str">
        <f aca="false">IF($B97="","",IF(COUNTIFS('SỔ CÔNG NỢ'!$A$5:$A$111,$B97,'SỔ CÔNG NỢ'!$B$5:$B$111,E$80)=0,"",SUMIFS('SỔ CÔNG NỢ'!$G$5:$G$111,'SỔ CÔNG NỢ'!$A$5:$A$111,$B97,'SỔ CÔNG NỢ'!$B$5:$B$111,E$80)))</f>
        <v/>
      </c>
      <c r="F97" s="27" t="str">
        <f aca="false">IF($B97="","",IF(COUNTIFS('SỔ CÔNG NỢ'!$A$5:$A$111,$B97,'SỔ CÔNG NỢ'!$B$5:$B$111,F$80)=0,"",SUMIFS('SỔ CÔNG NỢ'!$G$5:$G$111,'SỔ CÔNG NỢ'!$A$5:$A$111,$B97,'SỔ CÔNG NỢ'!$B$5:$B$111,F$80)))</f>
        <v/>
      </c>
      <c r="G97" s="27" t="str">
        <f aca="false">IF($B97="","",IF(COUNTIFS('SỔ CÔNG NỢ'!$A$5:$A$111,$B97,'SỔ CÔNG NỢ'!$B$5:$B$111,G$80)=0,"",SUMIFS('SỔ CÔNG NỢ'!$G$5:$G$111,'SỔ CÔNG NỢ'!$A$5:$A$111,$B97,'SỔ CÔNG NỢ'!$B$5:$B$111,G$80)))</f>
        <v/>
      </c>
      <c r="H97" s="27" t="str">
        <f aca="false">IF($B97="","",IF(COUNTIFS('SỔ CÔNG NỢ'!$A$5:$A$111,$B97,'SỔ CÔNG NỢ'!$B$5:$B$111,H$80)=0,"",SUMIFS('SỔ CÔNG NỢ'!$G$5:$G$111,'SỔ CÔNG NỢ'!$A$5:$A$111,$B97,'SỔ CÔNG NỢ'!$B$5:$B$111,H$80)))</f>
        <v/>
      </c>
    </row>
    <row r="98" customFormat="false" ht="15" hidden="false" customHeight="false" outlineLevel="0" collapsed="false">
      <c r="A98" s="26"/>
      <c r="B98" s="26" t="str">
        <f aca="false">IF($B26="","",$B26)</f>
        <v>Hòa Hiệp</v>
      </c>
      <c r="C98" s="27" t="n">
        <f aca="false">IF($B98="","",IF(COUNTIFS('SỔ CÔNG NỢ'!$A$5:$A$111,$B98,'SỔ CÔNG NỢ'!$B$5:$B$111,C$80)=0,"",SUMIFS('SỔ CÔNG NỢ'!$G$5:$G$111,'SỔ CÔNG NỢ'!$A$5:$A$111,$B98,'SỔ CÔNG NỢ'!$B$5:$B$111,C$80)))</f>
        <v>1387500</v>
      </c>
      <c r="D98" s="27" t="str">
        <f aca="false">IF($B98="","",IF(COUNTIFS('SỔ CÔNG NỢ'!$A$5:$A$111,$B98,'SỔ CÔNG NỢ'!$B$5:$B$111,D$80)=0,"",SUMIFS('SỔ CÔNG NỢ'!$G$5:$G$111,'SỔ CÔNG NỢ'!$A$5:$A$111,$B98,'SỔ CÔNG NỢ'!$B$5:$B$111,D$80)))</f>
        <v/>
      </c>
      <c r="E98" s="27" t="str">
        <f aca="false">IF($B98="","",IF(COUNTIFS('SỔ CÔNG NỢ'!$A$5:$A$111,$B98,'SỔ CÔNG NỢ'!$B$5:$B$111,E$80)=0,"",SUMIFS('SỔ CÔNG NỢ'!$G$5:$G$111,'SỔ CÔNG NỢ'!$A$5:$A$111,$B98,'SỔ CÔNG NỢ'!$B$5:$B$111,E$80)))</f>
        <v/>
      </c>
      <c r="F98" s="27" t="str">
        <f aca="false">IF($B98="","",IF(COUNTIFS('SỔ CÔNG NỢ'!$A$5:$A$111,$B98,'SỔ CÔNG NỢ'!$B$5:$B$111,F$80)=0,"",SUMIFS('SỔ CÔNG NỢ'!$G$5:$G$111,'SỔ CÔNG NỢ'!$A$5:$A$111,$B98,'SỔ CÔNG NỢ'!$B$5:$B$111,F$80)))</f>
        <v/>
      </c>
      <c r="G98" s="27" t="str">
        <f aca="false">IF($B98="","",IF(COUNTIFS('SỔ CÔNG NỢ'!$A$5:$A$111,$B98,'SỔ CÔNG NỢ'!$B$5:$B$111,G$80)=0,"",SUMIFS('SỔ CÔNG NỢ'!$G$5:$G$111,'SỔ CÔNG NỢ'!$A$5:$A$111,$B98,'SỔ CÔNG NỢ'!$B$5:$B$111,G$80)))</f>
        <v/>
      </c>
      <c r="H98" s="27" t="str">
        <f aca="false">IF($B98="","",IF(COUNTIFS('SỔ CÔNG NỢ'!$A$5:$A$111,$B98,'SỔ CÔNG NỢ'!$B$5:$B$111,H$80)=0,"",SUMIFS('SỔ CÔNG NỢ'!$G$5:$G$111,'SỔ CÔNG NỢ'!$A$5:$A$111,$B98,'SỔ CÔNG NỢ'!$B$5:$B$111,H$80)))</f>
        <v/>
      </c>
    </row>
    <row r="99" customFormat="false" ht="15" hidden="false" customHeight="false" outlineLevel="0" collapsed="false">
      <c r="A99" s="26"/>
      <c r="B99" s="26" t="str">
        <f aca="false">IF($B27="","",$B27)</f>
        <v>Anh Duẩn (Lĩnh Lộc)</v>
      </c>
      <c r="C99" s="27" t="n">
        <f aca="false">IF($B99="","",IF(COUNTIFS('SỔ CÔNG NỢ'!$A$5:$A$111,$B99,'SỔ CÔNG NỢ'!$B$5:$B$111,C$80)=0,"",SUMIFS('SỔ CÔNG NỢ'!$G$5:$G$111,'SỔ CÔNG NỢ'!$A$5:$A$111,$B99,'SỔ CÔNG NỢ'!$B$5:$B$111,C$80)))</f>
        <v>636680</v>
      </c>
      <c r="D99" s="27" t="str">
        <f aca="false">IF($B99="","",IF(COUNTIFS('SỔ CÔNG NỢ'!$A$5:$A$111,$B99,'SỔ CÔNG NỢ'!$B$5:$B$111,D$80)=0,"",SUMIFS('SỔ CÔNG NỢ'!$G$5:$G$111,'SỔ CÔNG NỢ'!$A$5:$A$111,$B99,'SỔ CÔNG NỢ'!$B$5:$B$111,D$80)))</f>
        <v/>
      </c>
      <c r="E99" s="27" t="str">
        <f aca="false">IF($B99="","",IF(COUNTIFS('SỔ CÔNG NỢ'!$A$5:$A$111,$B99,'SỔ CÔNG NỢ'!$B$5:$B$111,E$80)=0,"",SUMIFS('SỔ CÔNG NỢ'!$G$5:$G$111,'SỔ CÔNG NỢ'!$A$5:$A$111,$B99,'SỔ CÔNG NỢ'!$B$5:$B$111,E$80)))</f>
        <v/>
      </c>
      <c r="F99" s="27" t="str">
        <f aca="false">IF($B99="","",IF(COUNTIFS('SỔ CÔNG NỢ'!$A$5:$A$111,$B99,'SỔ CÔNG NỢ'!$B$5:$B$111,F$80)=0,"",SUMIFS('SỔ CÔNG NỢ'!$G$5:$G$111,'SỔ CÔNG NỢ'!$A$5:$A$111,$B99,'SỔ CÔNG NỢ'!$B$5:$B$111,F$80)))</f>
        <v/>
      </c>
      <c r="G99" s="27" t="str">
        <f aca="false">IF($B99="","",IF(COUNTIFS('SỔ CÔNG NỢ'!$A$5:$A$111,$B99,'SỔ CÔNG NỢ'!$B$5:$B$111,G$80)=0,"",SUMIFS('SỔ CÔNG NỢ'!$G$5:$G$111,'SỔ CÔNG NỢ'!$A$5:$A$111,$B99,'SỔ CÔNG NỢ'!$B$5:$B$111,G$80)))</f>
        <v/>
      </c>
      <c r="H99" s="27" t="str">
        <f aca="false">IF($B99="","",IF(COUNTIFS('SỔ CÔNG NỢ'!$A$5:$A$111,$B99,'SỔ CÔNG NỢ'!$B$5:$B$111,H$80)=0,"",SUMIFS('SỔ CÔNG NỢ'!$G$5:$G$111,'SỔ CÔNG NỢ'!$A$5:$A$111,$B99,'SỔ CÔNG NỢ'!$B$5:$B$111,H$80)))</f>
        <v/>
      </c>
    </row>
    <row r="100" customFormat="false" ht="15" hidden="false" customHeight="false" outlineLevel="0" collapsed="false">
      <c r="A100" s="26"/>
      <c r="B100" s="26" t="str">
        <f aca="false">IF($B28="","",$B28)</f>
        <v>Cô Khoa (Nông Cống)</v>
      </c>
      <c r="C100" s="27" t="n">
        <f aca="false">IF($B100="","",IF(COUNTIFS('SỔ CÔNG NỢ'!$A$5:$A$111,$B100,'SỔ CÔNG NỢ'!$B$5:$B$111,C$80)=0,"",SUMIFS('SỔ CÔNG NỢ'!$G$5:$G$111,'SỔ CÔNG NỢ'!$A$5:$A$111,$B100,'SỔ CÔNG NỢ'!$B$5:$B$111,C$80)))</f>
        <v>0</v>
      </c>
      <c r="D100" s="27" t="str">
        <f aca="false">IF($B100="","",IF(COUNTIFS('SỔ CÔNG NỢ'!$A$5:$A$111,$B100,'SỔ CÔNG NỢ'!$B$5:$B$111,D$80)=0,"",SUMIFS('SỔ CÔNG NỢ'!$G$5:$G$111,'SỔ CÔNG NỢ'!$A$5:$A$111,$B100,'SỔ CÔNG NỢ'!$B$5:$B$111,D$80)))</f>
        <v/>
      </c>
      <c r="E100" s="27" t="str">
        <f aca="false">IF($B100="","",IF(COUNTIFS('SỔ CÔNG NỢ'!$A$5:$A$111,$B100,'SỔ CÔNG NỢ'!$B$5:$B$111,E$80)=0,"",SUMIFS('SỔ CÔNG NỢ'!$G$5:$G$111,'SỔ CÔNG NỢ'!$A$5:$A$111,$B100,'SỔ CÔNG NỢ'!$B$5:$B$111,E$80)))</f>
        <v/>
      </c>
      <c r="F100" s="27" t="str">
        <f aca="false">IF($B100="","",IF(COUNTIFS('SỔ CÔNG NỢ'!$A$5:$A$111,$B100,'SỔ CÔNG NỢ'!$B$5:$B$111,F$80)=0,"",SUMIFS('SỔ CÔNG NỢ'!$G$5:$G$111,'SỔ CÔNG NỢ'!$A$5:$A$111,$B100,'SỔ CÔNG NỢ'!$B$5:$B$111,F$80)))</f>
        <v/>
      </c>
      <c r="G100" s="27" t="str">
        <f aca="false">IF($B100="","",IF(COUNTIFS('SỔ CÔNG NỢ'!$A$5:$A$111,$B100,'SỔ CÔNG NỢ'!$B$5:$B$111,G$80)=0,"",SUMIFS('SỔ CÔNG NỢ'!$G$5:$G$111,'SỔ CÔNG NỢ'!$A$5:$A$111,$B100,'SỔ CÔNG NỢ'!$B$5:$B$111,G$80)))</f>
        <v/>
      </c>
      <c r="H100" s="27" t="str">
        <f aca="false">IF($B100="","",IF(COUNTIFS('SỔ CÔNG NỢ'!$A$5:$A$111,$B100,'SỔ CÔNG NỢ'!$B$5:$B$111,H$80)=0,"",SUMIFS('SỔ CÔNG NỢ'!$G$5:$G$111,'SỔ CÔNG NỢ'!$A$5:$A$111,$B100,'SỔ CÔNG NỢ'!$B$5:$B$111,H$80)))</f>
        <v/>
      </c>
    </row>
    <row r="101" customFormat="false" ht="15" hidden="false" customHeight="false" outlineLevel="0" collapsed="false">
      <c r="A101" s="26"/>
      <c r="B101" s="26" t="str">
        <f aca="false">IF($B29="","",$B29)</f>
        <v>Công Thành</v>
      </c>
      <c r="C101" s="27" t="n">
        <f aca="false">IF($B101="","",IF(COUNTIFS('SỔ CÔNG NỢ'!$A$5:$A$111,$B101,'SỔ CÔNG NỢ'!$B$5:$B$111,C$80)=0,"",SUMIFS('SỔ CÔNG NỢ'!$G$5:$G$111,'SỔ CÔNG NỢ'!$A$5:$A$111,$B101,'SỔ CÔNG NỢ'!$B$5:$B$111,C$80)))</f>
        <v>22109500</v>
      </c>
      <c r="D101" s="27" t="n">
        <f aca="false">IF($B101="","",IF(COUNTIFS('SỔ CÔNG NỢ'!$A$5:$A$111,$B101,'SỔ CÔNG NỢ'!$B$5:$B$111,D$80)=0,"",SUMIFS('SỔ CÔNG NỢ'!$G$5:$G$111,'SỔ CÔNG NỢ'!$A$5:$A$111,$B101,'SỔ CÔNG NỢ'!$B$5:$B$111,D$80)))</f>
        <v>5198900</v>
      </c>
      <c r="E101" s="27" t="str">
        <f aca="false">IF($B101="","",IF(COUNTIFS('SỔ CÔNG NỢ'!$A$5:$A$111,$B101,'SỔ CÔNG NỢ'!$B$5:$B$111,E$80)=0,"",SUMIFS('SỔ CÔNG NỢ'!$G$5:$G$111,'SỔ CÔNG NỢ'!$A$5:$A$111,$B101,'SỔ CÔNG NỢ'!$B$5:$B$111,E$80)))</f>
        <v/>
      </c>
      <c r="F101" s="27" t="n">
        <f aca="false">IF($B101="","",IF(COUNTIFS('SỔ CÔNG NỢ'!$A$5:$A$111,$B101,'SỔ CÔNG NỢ'!$B$5:$B$111,F$80)=0,"",SUMIFS('SỔ CÔNG NỢ'!$G$5:$G$111,'SỔ CÔNG NỢ'!$A$5:$A$111,$B101,'SỔ CÔNG NỢ'!$B$5:$B$111,F$80)))</f>
        <v>441700</v>
      </c>
      <c r="G101" s="27" t="str">
        <f aca="false">IF($B101="","",IF(COUNTIFS('SỔ CÔNG NỢ'!$A$5:$A$111,$B101,'SỔ CÔNG NỢ'!$B$5:$B$111,G$80)=0,"",SUMIFS('SỔ CÔNG NỢ'!$G$5:$G$111,'SỔ CÔNG NỢ'!$A$5:$A$111,$B101,'SỔ CÔNG NỢ'!$B$5:$B$111,G$80)))</f>
        <v/>
      </c>
      <c r="H101" s="27" t="str">
        <f aca="false">IF($B101="","",IF(COUNTIFS('SỔ CÔNG NỢ'!$A$5:$A$111,$B101,'SỔ CÔNG NỢ'!$B$5:$B$111,H$80)=0,"",SUMIFS('SỔ CÔNG NỢ'!$G$5:$G$111,'SỔ CÔNG NỢ'!$A$5:$A$111,$B101,'SỔ CÔNG NỢ'!$B$5:$B$111,H$80)))</f>
        <v/>
      </c>
    </row>
    <row r="102" customFormat="false" ht="15" hidden="false" customHeight="false" outlineLevel="0" collapsed="false">
      <c r="A102" s="26"/>
      <c r="B102" s="26" t="str">
        <f aca="false">IF($B30="","",$B30)</f>
        <v>Quân Sen</v>
      </c>
      <c r="C102" s="27" t="n">
        <f aca="false">IF($B102="","",IF(COUNTIFS('SỔ CÔNG NỢ'!$A$5:$A$111,$B102,'SỔ CÔNG NỢ'!$B$5:$B$111,C$80)=0,"",SUMIFS('SỔ CÔNG NỢ'!$G$5:$G$111,'SỔ CÔNG NỢ'!$A$5:$A$111,$B102,'SỔ CÔNG NỢ'!$B$5:$B$111,C$80)))</f>
        <v>18236893</v>
      </c>
      <c r="D102" s="27" t="n">
        <f aca="false">IF($B102="","",IF(COUNTIFS('SỔ CÔNG NỢ'!$A$5:$A$111,$B102,'SỔ CÔNG NỢ'!$B$5:$B$111,D$80)=0,"",SUMIFS('SỔ CÔNG NỢ'!$G$5:$G$111,'SỔ CÔNG NỢ'!$A$5:$A$111,$B102,'SỔ CÔNG NỢ'!$B$5:$B$111,D$80)))</f>
        <v>19432400</v>
      </c>
      <c r="E102" s="27" t="n">
        <f aca="false">IF($B102="","",IF(COUNTIFS('SỔ CÔNG NỢ'!$A$5:$A$111,$B102,'SỔ CÔNG NỢ'!$B$5:$B$111,E$80)=0,"",SUMIFS('SỔ CÔNG NỢ'!$G$5:$G$111,'SỔ CÔNG NỢ'!$A$5:$A$111,$B102,'SỔ CÔNG NỢ'!$B$5:$B$111,E$80)))</f>
        <v>6714963.5</v>
      </c>
      <c r="F102" s="27" t="n">
        <f aca="false">IF($B102="","",IF(COUNTIFS('SỔ CÔNG NỢ'!$A$5:$A$111,$B102,'SỔ CÔNG NỢ'!$B$5:$B$111,F$80)=0,"",SUMIFS('SỔ CÔNG NỢ'!$G$5:$G$111,'SỔ CÔNG NỢ'!$A$5:$A$111,$B102,'SỔ CÔNG NỢ'!$B$5:$B$111,F$80)))</f>
        <v>1180559</v>
      </c>
      <c r="G102" s="27" t="str">
        <f aca="false">IF($B102="","",IF(COUNTIFS('SỔ CÔNG NỢ'!$A$5:$A$111,$B102,'SỔ CÔNG NỢ'!$B$5:$B$111,G$80)=0,"",SUMIFS('SỔ CÔNG NỢ'!$G$5:$G$111,'SỔ CÔNG NỢ'!$A$5:$A$111,$B102,'SỔ CÔNG NỢ'!$B$5:$B$111,G$80)))</f>
        <v/>
      </c>
      <c r="H102" s="27" t="str">
        <f aca="false">IF($B102="","",IF(COUNTIFS('SỔ CÔNG NỢ'!$A$5:$A$111,$B102,'SỔ CÔNG NỢ'!$B$5:$B$111,H$80)=0,"",SUMIFS('SỔ CÔNG NỢ'!$G$5:$G$111,'SỔ CÔNG NỢ'!$A$5:$A$111,$B102,'SỔ CÔNG NỢ'!$B$5:$B$111,H$80)))</f>
        <v/>
      </c>
    </row>
    <row r="103" customFormat="false" ht="15" hidden="false" customHeight="false" outlineLevel="0" collapsed="false">
      <c r="A103" s="26"/>
      <c r="B103" s="26" t="str">
        <f aca="false">IF($B31="","",$B31)</f>
        <v>Anh Việt (Thiệu Vân)</v>
      </c>
      <c r="C103" s="27" t="n">
        <f aca="false">IF($B103="","",IF(COUNTIFS('SỔ CÔNG NỢ'!$A$5:$A$111,$B103,'SỔ CÔNG NỢ'!$B$5:$B$111,C$80)=0,"",SUMIFS('SỔ CÔNG NỢ'!$G$5:$G$111,'SỔ CÔNG NỢ'!$A$5:$A$111,$B103,'SỔ CÔNG NỢ'!$B$5:$B$111,C$80)))</f>
        <v>462000</v>
      </c>
      <c r="D103" s="27" t="str">
        <f aca="false">IF($B103="","",IF(COUNTIFS('SỔ CÔNG NỢ'!$A$5:$A$111,$B103,'SỔ CÔNG NỢ'!$B$5:$B$111,D$80)=0,"",SUMIFS('SỔ CÔNG NỢ'!$G$5:$G$111,'SỔ CÔNG NỢ'!$A$5:$A$111,$B103,'SỔ CÔNG NỢ'!$B$5:$B$111,D$80)))</f>
        <v/>
      </c>
      <c r="E103" s="27" t="str">
        <f aca="false">IF($B103="","",IF(COUNTIFS('SỔ CÔNG NỢ'!$A$5:$A$111,$B103,'SỔ CÔNG NỢ'!$B$5:$B$111,E$80)=0,"",SUMIFS('SỔ CÔNG NỢ'!$G$5:$G$111,'SỔ CÔNG NỢ'!$A$5:$A$111,$B103,'SỔ CÔNG NỢ'!$B$5:$B$111,E$80)))</f>
        <v/>
      </c>
      <c r="F103" s="27" t="str">
        <f aca="false">IF($B103="","",IF(COUNTIFS('SỔ CÔNG NỢ'!$A$5:$A$111,$B103,'SỔ CÔNG NỢ'!$B$5:$B$111,F$80)=0,"",SUMIFS('SỔ CÔNG NỢ'!$G$5:$G$111,'SỔ CÔNG NỢ'!$A$5:$A$111,$B103,'SỔ CÔNG NỢ'!$B$5:$B$111,F$80)))</f>
        <v/>
      </c>
      <c r="G103" s="27" t="str">
        <f aca="false">IF($B103="","",IF(COUNTIFS('SỔ CÔNG NỢ'!$A$5:$A$111,$B103,'SỔ CÔNG NỢ'!$B$5:$B$111,G$80)=0,"",SUMIFS('SỔ CÔNG NỢ'!$G$5:$G$111,'SỔ CÔNG NỢ'!$A$5:$A$111,$B103,'SỔ CÔNG NỢ'!$B$5:$B$111,G$80)))</f>
        <v/>
      </c>
      <c r="H103" s="27" t="str">
        <f aca="false">IF($B103="","",IF(COUNTIFS('SỔ CÔNG NỢ'!$A$5:$A$111,$B103,'SỔ CÔNG NỢ'!$B$5:$B$111,H$80)=0,"",SUMIFS('SỔ CÔNG NỢ'!$G$5:$G$111,'SỔ CÔNG NỢ'!$A$5:$A$111,$B103,'SỔ CÔNG NỢ'!$B$5:$B$111,H$80)))</f>
        <v/>
      </c>
    </row>
    <row r="104" customFormat="false" ht="15" hidden="false" customHeight="false" outlineLevel="0" collapsed="false">
      <c r="A104" s="26"/>
      <c r="B104" s="26" t="str">
        <f aca="false">IF($B32="","",$B32)</f>
        <v/>
      </c>
      <c r="C104" s="27" t="str">
        <f aca="false">IF($B104="","",IF(COUNTIFS('SỔ CÔNG NỢ'!$A$5:$A$111,$B104,'SỔ CÔNG NỢ'!$B$5:$B$111,C$80)=0,"",SUMIFS('SỔ CÔNG NỢ'!$G$5:$G$111,'SỔ CÔNG NỢ'!$A$5:$A$111,$B104,'SỔ CÔNG NỢ'!$B$5:$B$111,C$80)))</f>
        <v/>
      </c>
      <c r="D104" s="27" t="str">
        <f aca="false">IF($B104="","",IF(COUNTIFS('SỔ CÔNG NỢ'!$A$5:$A$111,$B104,'SỔ CÔNG NỢ'!$B$5:$B$111,D$80)=0,"",SUMIFS('SỔ CÔNG NỢ'!$G$5:$G$111,'SỔ CÔNG NỢ'!$A$5:$A$111,$B104,'SỔ CÔNG NỢ'!$B$5:$B$111,D$80)))</f>
        <v/>
      </c>
      <c r="E104" s="27" t="str">
        <f aca="false">IF($B104="","",IF(COUNTIFS('SỔ CÔNG NỢ'!$A$5:$A$111,$B104,'SỔ CÔNG NỢ'!$B$5:$B$111,E$80)=0,"",SUMIFS('SỔ CÔNG NỢ'!$G$5:$G$111,'SỔ CÔNG NỢ'!$A$5:$A$111,$B104,'SỔ CÔNG NỢ'!$B$5:$B$111,E$80)))</f>
        <v/>
      </c>
      <c r="F104" s="27" t="str">
        <f aca="false">IF($B104="","",IF(COUNTIFS('SỔ CÔNG NỢ'!$A$5:$A$111,$B104,'SỔ CÔNG NỢ'!$B$5:$B$111,F$80)=0,"",SUMIFS('SỔ CÔNG NỢ'!$G$5:$G$111,'SỔ CÔNG NỢ'!$A$5:$A$111,$B104,'SỔ CÔNG NỢ'!$B$5:$B$111,F$80)))</f>
        <v/>
      </c>
      <c r="G104" s="27" t="str">
        <f aca="false">IF($B104="","",IF(COUNTIFS('SỔ CÔNG NỢ'!$A$5:$A$111,$B104,'SỔ CÔNG NỢ'!$B$5:$B$111,G$80)=0,"",SUMIFS('SỔ CÔNG NỢ'!$G$5:$G$111,'SỔ CÔNG NỢ'!$A$5:$A$111,$B104,'SỔ CÔNG NỢ'!$B$5:$B$111,G$80)))</f>
        <v/>
      </c>
      <c r="H104" s="27" t="str">
        <f aca="false">IF($B104="","",IF(COUNTIFS('SỔ CÔNG NỢ'!$A$5:$A$111,$B104,'SỔ CÔNG NỢ'!$B$5:$B$111,H$80)=0,"",SUMIFS('SỔ CÔNG NỢ'!$G$5:$G$111,'SỔ CÔNG NỢ'!$A$5:$A$111,$B104,'SỔ CÔNG NỢ'!$B$5:$B$111,H$80)))</f>
        <v/>
      </c>
    </row>
    <row r="105" customFormat="false" ht="15" hidden="false" customHeight="false" outlineLevel="0" collapsed="false">
      <c r="A105" s="26"/>
      <c r="B105" s="26" t="str">
        <f aca="false">IF($B33="","",$B33)</f>
        <v/>
      </c>
      <c r="C105" s="27" t="str">
        <f aca="false">IF($B105="","",IF(COUNTIFS('SỔ CÔNG NỢ'!$A$5:$A$111,$B105,'SỔ CÔNG NỢ'!$B$5:$B$111,C$80)=0,"",SUMIFS('SỔ CÔNG NỢ'!$G$5:$G$111,'SỔ CÔNG NỢ'!$A$5:$A$111,$B105,'SỔ CÔNG NỢ'!$B$5:$B$111,C$80)))</f>
        <v/>
      </c>
      <c r="D105" s="27" t="str">
        <f aca="false">IF($B105="","",IF(COUNTIFS('SỔ CÔNG NỢ'!$A$5:$A$111,$B105,'SỔ CÔNG NỢ'!$B$5:$B$111,D$80)=0,"",SUMIFS('SỔ CÔNG NỢ'!$G$5:$G$111,'SỔ CÔNG NỢ'!$A$5:$A$111,$B105,'SỔ CÔNG NỢ'!$B$5:$B$111,D$80)))</f>
        <v/>
      </c>
      <c r="E105" s="27" t="str">
        <f aca="false">IF($B105="","",IF(COUNTIFS('SỔ CÔNG NỢ'!$A$5:$A$111,$B105,'SỔ CÔNG NỢ'!$B$5:$B$111,E$80)=0,"",SUMIFS('SỔ CÔNG NỢ'!$G$5:$G$111,'SỔ CÔNG NỢ'!$A$5:$A$111,$B105,'SỔ CÔNG NỢ'!$B$5:$B$111,E$80)))</f>
        <v/>
      </c>
      <c r="F105" s="27" t="str">
        <f aca="false">IF($B105="","",IF(COUNTIFS('SỔ CÔNG NỢ'!$A$5:$A$111,$B105,'SỔ CÔNG NỢ'!$B$5:$B$111,F$80)=0,"",SUMIFS('SỔ CÔNG NỢ'!$G$5:$G$111,'SỔ CÔNG NỢ'!$A$5:$A$111,$B105,'SỔ CÔNG NỢ'!$B$5:$B$111,F$80)))</f>
        <v/>
      </c>
      <c r="G105" s="27" t="str">
        <f aca="false">IF($B105="","",IF(COUNTIFS('SỔ CÔNG NỢ'!$A$5:$A$111,$B105,'SỔ CÔNG NỢ'!$B$5:$B$111,G$80)=0,"",SUMIFS('SỔ CÔNG NỢ'!$G$5:$G$111,'SỔ CÔNG NỢ'!$A$5:$A$111,$B105,'SỔ CÔNG NỢ'!$B$5:$B$111,G$80)))</f>
        <v/>
      </c>
      <c r="H105" s="27" t="str">
        <f aca="false">IF($B105="","",IF(COUNTIFS('SỔ CÔNG NỢ'!$A$5:$A$111,$B105,'SỔ CÔNG NỢ'!$B$5:$B$111,H$80)=0,"",SUMIFS('SỔ CÔNG NỢ'!$G$5:$G$111,'SỔ CÔNG NỢ'!$A$5:$A$111,$B105,'SỔ CÔNG NỢ'!$B$5:$B$111,H$80)))</f>
        <v/>
      </c>
    </row>
    <row r="106" customFormat="false" ht="15" hidden="false" customHeight="false" outlineLevel="0" collapsed="false">
      <c r="A106" s="26"/>
      <c r="B106" s="26" t="str">
        <f aca="false">IF($B34="","",$B34)</f>
        <v/>
      </c>
      <c r="C106" s="27" t="str">
        <f aca="false">IF($B106="","",IF(COUNTIFS('SỔ CÔNG NỢ'!$A$5:$A$111,$B106,'SỔ CÔNG NỢ'!$B$5:$B$111,C$80)=0,"",SUMIFS('SỔ CÔNG NỢ'!$G$5:$G$111,'SỔ CÔNG NỢ'!$A$5:$A$111,$B106,'SỔ CÔNG NỢ'!$B$5:$B$111,C$80)))</f>
        <v/>
      </c>
      <c r="D106" s="27" t="str">
        <f aca="false">IF($B106="","",IF(COUNTIFS('SỔ CÔNG NỢ'!$A$5:$A$111,$B106,'SỔ CÔNG NỢ'!$B$5:$B$111,D$80)=0,"",SUMIFS('SỔ CÔNG NỢ'!$G$5:$G$111,'SỔ CÔNG NỢ'!$A$5:$A$111,$B106,'SỔ CÔNG NỢ'!$B$5:$B$111,D$80)))</f>
        <v/>
      </c>
      <c r="E106" s="27" t="str">
        <f aca="false">IF($B106="","",IF(COUNTIFS('SỔ CÔNG NỢ'!$A$5:$A$111,$B106,'SỔ CÔNG NỢ'!$B$5:$B$111,E$80)=0,"",SUMIFS('SỔ CÔNG NỢ'!$G$5:$G$111,'SỔ CÔNG NỢ'!$A$5:$A$111,$B106,'SỔ CÔNG NỢ'!$B$5:$B$111,E$80)))</f>
        <v/>
      </c>
      <c r="F106" s="27" t="str">
        <f aca="false">IF($B106="","",IF(COUNTIFS('SỔ CÔNG NỢ'!$A$5:$A$111,$B106,'SỔ CÔNG NỢ'!$B$5:$B$111,F$80)=0,"",SUMIFS('SỔ CÔNG NỢ'!$G$5:$G$111,'SỔ CÔNG NỢ'!$A$5:$A$111,$B106,'SỔ CÔNG NỢ'!$B$5:$B$111,F$80)))</f>
        <v/>
      </c>
      <c r="G106" s="27" t="str">
        <f aca="false">IF($B106="","",IF(COUNTIFS('SỔ CÔNG NỢ'!$A$5:$A$111,$B106,'SỔ CÔNG NỢ'!$B$5:$B$111,G$80)=0,"",SUMIFS('SỔ CÔNG NỢ'!$G$5:$G$111,'SỔ CÔNG NỢ'!$A$5:$A$111,$B106,'SỔ CÔNG NỢ'!$B$5:$B$111,G$80)))</f>
        <v/>
      </c>
      <c r="H106" s="27" t="str">
        <f aca="false">IF($B106="","",IF(COUNTIFS('SỔ CÔNG NỢ'!$A$5:$A$111,$B106,'SỔ CÔNG NỢ'!$B$5:$B$111,H$80)=0,"",SUMIFS('SỔ CÔNG NỢ'!$G$5:$G$111,'SỔ CÔNG NỢ'!$A$5:$A$111,$B106,'SỔ CÔNG NỢ'!$B$5:$B$111,H$80)))</f>
        <v/>
      </c>
    </row>
    <row r="107" customFormat="false" ht="15" hidden="false" customHeight="false" outlineLevel="0" collapsed="false">
      <c r="A107" s="26"/>
      <c r="B107" s="26" t="str">
        <f aca="false">IF($B35="","",$B35)</f>
        <v/>
      </c>
      <c r="C107" s="27" t="str">
        <f aca="false">IF($B107="","",IF(COUNTIFS('SỔ CÔNG NỢ'!$A$5:$A$111,$B107,'SỔ CÔNG NỢ'!$B$5:$B$111,C$80)=0,"",SUMIFS('SỔ CÔNG NỢ'!$G$5:$G$111,'SỔ CÔNG NỢ'!$A$5:$A$111,$B107,'SỔ CÔNG NỢ'!$B$5:$B$111,C$80)))</f>
        <v/>
      </c>
      <c r="D107" s="27" t="str">
        <f aca="false">IF($B107="","",IF(COUNTIFS('SỔ CÔNG NỢ'!$A$5:$A$111,$B107,'SỔ CÔNG NỢ'!$B$5:$B$111,D$80)=0,"",SUMIFS('SỔ CÔNG NỢ'!$G$5:$G$111,'SỔ CÔNG NỢ'!$A$5:$A$111,$B107,'SỔ CÔNG NỢ'!$B$5:$B$111,D$80)))</f>
        <v/>
      </c>
      <c r="E107" s="27" t="str">
        <f aca="false">IF($B107="","",IF(COUNTIFS('SỔ CÔNG NỢ'!$A$5:$A$111,$B107,'SỔ CÔNG NỢ'!$B$5:$B$111,E$80)=0,"",SUMIFS('SỔ CÔNG NỢ'!$G$5:$G$111,'SỔ CÔNG NỢ'!$A$5:$A$111,$B107,'SỔ CÔNG NỢ'!$B$5:$B$111,E$80)))</f>
        <v/>
      </c>
      <c r="F107" s="27" t="str">
        <f aca="false">IF($B107="","",IF(COUNTIFS('SỔ CÔNG NỢ'!$A$5:$A$111,$B107,'SỔ CÔNG NỢ'!$B$5:$B$111,F$80)=0,"",SUMIFS('SỔ CÔNG NỢ'!$G$5:$G$111,'SỔ CÔNG NỢ'!$A$5:$A$111,$B107,'SỔ CÔNG NỢ'!$B$5:$B$111,F$80)))</f>
        <v/>
      </c>
      <c r="G107" s="27" t="str">
        <f aca="false">IF($B107="","",IF(COUNTIFS('SỔ CÔNG NỢ'!$A$5:$A$111,$B107,'SỔ CÔNG NỢ'!$B$5:$B$111,G$80)=0,"",SUMIFS('SỔ CÔNG NỢ'!$G$5:$G$111,'SỔ CÔNG NỢ'!$A$5:$A$111,$B107,'SỔ CÔNG NỢ'!$B$5:$B$111,G$80)))</f>
        <v/>
      </c>
      <c r="H107" s="27" t="str">
        <f aca="false">IF($B107="","",IF(COUNTIFS('SỔ CÔNG NỢ'!$A$5:$A$111,$B107,'SỔ CÔNG NỢ'!$B$5:$B$111,H$80)=0,"",SUMIFS('SỔ CÔNG NỢ'!$G$5:$G$111,'SỔ CÔNG NỢ'!$A$5:$A$111,$B107,'SỔ CÔNG NỢ'!$B$5:$B$111,H$80)))</f>
        <v/>
      </c>
    </row>
    <row r="108" customFormat="false" ht="15" hidden="false" customHeight="false" outlineLevel="0" collapsed="false">
      <c r="A108" s="26"/>
      <c r="B108" s="26" t="str">
        <f aca="false">IF($B36="","",$B36)</f>
        <v/>
      </c>
      <c r="C108" s="27" t="str">
        <f aca="false">IF($B108="","",IF(COUNTIFS('SỔ CÔNG NỢ'!$A$5:$A$111,$B108,'SỔ CÔNG NỢ'!$B$5:$B$111,C$80)=0,"",SUMIFS('SỔ CÔNG NỢ'!$G$5:$G$111,'SỔ CÔNG NỢ'!$A$5:$A$111,$B108,'SỔ CÔNG NỢ'!$B$5:$B$111,C$80)))</f>
        <v/>
      </c>
      <c r="D108" s="27" t="str">
        <f aca="false">IF($B108="","",IF(COUNTIFS('SỔ CÔNG NỢ'!$A$5:$A$111,$B108,'SỔ CÔNG NỢ'!$B$5:$B$111,D$80)=0,"",SUMIFS('SỔ CÔNG NỢ'!$G$5:$G$111,'SỔ CÔNG NỢ'!$A$5:$A$111,$B108,'SỔ CÔNG NỢ'!$B$5:$B$111,D$80)))</f>
        <v/>
      </c>
      <c r="E108" s="27" t="str">
        <f aca="false">IF($B108="","",IF(COUNTIFS('SỔ CÔNG NỢ'!$A$5:$A$111,$B108,'SỔ CÔNG NỢ'!$B$5:$B$111,E$80)=0,"",SUMIFS('SỔ CÔNG NỢ'!$G$5:$G$111,'SỔ CÔNG NỢ'!$A$5:$A$111,$B108,'SỔ CÔNG NỢ'!$B$5:$B$111,E$80)))</f>
        <v/>
      </c>
      <c r="F108" s="27" t="str">
        <f aca="false">IF($B108="","",IF(COUNTIFS('SỔ CÔNG NỢ'!$A$5:$A$111,$B108,'SỔ CÔNG NỢ'!$B$5:$B$111,F$80)=0,"",SUMIFS('SỔ CÔNG NỢ'!$G$5:$G$111,'SỔ CÔNG NỢ'!$A$5:$A$111,$B108,'SỔ CÔNG NỢ'!$B$5:$B$111,F$80)))</f>
        <v/>
      </c>
      <c r="G108" s="27" t="str">
        <f aca="false">IF($B108="","",IF(COUNTIFS('SỔ CÔNG NỢ'!$A$5:$A$111,$B108,'SỔ CÔNG NỢ'!$B$5:$B$111,G$80)=0,"",SUMIFS('SỔ CÔNG NỢ'!$G$5:$G$111,'SỔ CÔNG NỢ'!$A$5:$A$111,$B108,'SỔ CÔNG NỢ'!$B$5:$B$111,G$80)))</f>
        <v/>
      </c>
      <c r="H108" s="27" t="str">
        <f aca="false">IF($B108="","",IF(COUNTIFS('SỔ CÔNG NỢ'!$A$5:$A$111,$B108,'SỔ CÔNG NỢ'!$B$5:$B$111,H$80)=0,"",SUMIFS('SỔ CÔNG NỢ'!$G$5:$G$111,'SỔ CÔNG NỢ'!$A$5:$A$111,$B108,'SỔ CÔNG NỢ'!$B$5:$B$111,H$80)))</f>
        <v/>
      </c>
    </row>
    <row r="109" customFormat="false" ht="15" hidden="false" customHeight="false" outlineLevel="0" collapsed="false">
      <c r="A109" s="26"/>
      <c r="B109" s="26" t="str">
        <f aca="false">IF($B37="","",$B37)</f>
        <v/>
      </c>
      <c r="C109" s="27" t="str">
        <f aca="false">IF($B109="","",IF(COUNTIFS('SỔ CÔNG NỢ'!$A$5:$A$111,$B109,'SỔ CÔNG NỢ'!$B$5:$B$111,C$80)=0,"",SUMIFS('SỔ CÔNG NỢ'!$G$5:$G$111,'SỔ CÔNG NỢ'!$A$5:$A$111,$B109,'SỔ CÔNG NỢ'!$B$5:$B$111,C$80)))</f>
        <v/>
      </c>
      <c r="D109" s="27" t="str">
        <f aca="false">IF($B109="","",IF(COUNTIFS('SỔ CÔNG NỢ'!$A$5:$A$111,$B109,'SỔ CÔNG NỢ'!$B$5:$B$111,D$80)=0,"",SUMIFS('SỔ CÔNG NỢ'!$G$5:$G$111,'SỔ CÔNG NỢ'!$A$5:$A$111,$B109,'SỔ CÔNG NỢ'!$B$5:$B$111,D$80)))</f>
        <v/>
      </c>
      <c r="E109" s="27" t="str">
        <f aca="false">IF($B109="","",IF(COUNTIFS('SỔ CÔNG NỢ'!$A$5:$A$111,$B109,'SỔ CÔNG NỢ'!$B$5:$B$111,E$80)=0,"",SUMIFS('SỔ CÔNG NỢ'!$G$5:$G$111,'SỔ CÔNG NỢ'!$A$5:$A$111,$B109,'SỔ CÔNG NỢ'!$B$5:$B$111,E$80)))</f>
        <v/>
      </c>
      <c r="F109" s="27" t="str">
        <f aca="false">IF($B109="","",IF(COUNTIFS('SỔ CÔNG NỢ'!$A$5:$A$111,$B109,'SỔ CÔNG NỢ'!$B$5:$B$111,F$80)=0,"",SUMIFS('SỔ CÔNG NỢ'!$G$5:$G$111,'SỔ CÔNG NỢ'!$A$5:$A$111,$B109,'SỔ CÔNG NỢ'!$B$5:$B$111,F$80)))</f>
        <v/>
      </c>
      <c r="G109" s="27" t="str">
        <f aca="false">IF($B109="","",IF(COUNTIFS('SỔ CÔNG NỢ'!$A$5:$A$111,$B109,'SỔ CÔNG NỢ'!$B$5:$B$111,G$80)=0,"",SUMIFS('SỔ CÔNG NỢ'!$G$5:$G$111,'SỔ CÔNG NỢ'!$A$5:$A$111,$B109,'SỔ CÔNG NỢ'!$B$5:$B$111,G$80)))</f>
        <v/>
      </c>
      <c r="H109" s="27" t="str">
        <f aca="false">IF($B109="","",IF(COUNTIFS('SỔ CÔNG NỢ'!$A$5:$A$111,$B109,'SỔ CÔNG NỢ'!$B$5:$B$111,H$80)=0,"",SUMIFS('SỔ CÔNG NỢ'!$G$5:$G$111,'SỔ CÔNG NỢ'!$A$5:$A$111,$B109,'SỔ CÔNG NỢ'!$B$5:$B$111,H$80)))</f>
        <v/>
      </c>
    </row>
    <row r="110" customFormat="false" ht="15" hidden="false" customHeight="false" outlineLevel="0" collapsed="false">
      <c r="A110" s="26"/>
      <c r="B110" s="26" t="str">
        <f aca="false">IF($B38="","",$B38)</f>
        <v/>
      </c>
      <c r="C110" s="27" t="str">
        <f aca="false">IF($B110="","",IF(COUNTIFS('SỔ CÔNG NỢ'!$A$5:$A$111,$B110,'SỔ CÔNG NỢ'!$B$5:$B$111,C$80)=0,"",SUMIFS('SỔ CÔNG NỢ'!$G$5:$G$111,'SỔ CÔNG NỢ'!$A$5:$A$111,$B110,'SỔ CÔNG NỢ'!$B$5:$B$111,C$80)))</f>
        <v/>
      </c>
      <c r="D110" s="27" t="str">
        <f aca="false">IF($B110="","",IF(COUNTIFS('SỔ CÔNG NỢ'!$A$5:$A$111,$B110,'SỔ CÔNG NỢ'!$B$5:$B$111,D$80)=0,"",SUMIFS('SỔ CÔNG NỢ'!$G$5:$G$111,'SỔ CÔNG NỢ'!$A$5:$A$111,$B110,'SỔ CÔNG NỢ'!$B$5:$B$111,D$80)))</f>
        <v/>
      </c>
      <c r="E110" s="27" t="str">
        <f aca="false">IF($B110="","",IF(COUNTIFS('SỔ CÔNG NỢ'!$A$5:$A$111,$B110,'SỔ CÔNG NỢ'!$B$5:$B$111,E$80)=0,"",SUMIFS('SỔ CÔNG NỢ'!$G$5:$G$111,'SỔ CÔNG NỢ'!$A$5:$A$111,$B110,'SỔ CÔNG NỢ'!$B$5:$B$111,E$80)))</f>
        <v/>
      </c>
      <c r="F110" s="27" t="str">
        <f aca="false">IF($B110="","",IF(COUNTIFS('SỔ CÔNG NỢ'!$A$5:$A$111,$B110,'SỔ CÔNG NỢ'!$B$5:$B$111,F$80)=0,"",SUMIFS('SỔ CÔNG NỢ'!$G$5:$G$111,'SỔ CÔNG NỢ'!$A$5:$A$111,$B110,'SỔ CÔNG NỢ'!$B$5:$B$111,F$80)))</f>
        <v/>
      </c>
      <c r="G110" s="27" t="str">
        <f aca="false">IF($B110="","",IF(COUNTIFS('SỔ CÔNG NỢ'!$A$5:$A$111,$B110,'SỔ CÔNG NỢ'!$B$5:$B$111,G$80)=0,"",SUMIFS('SỔ CÔNG NỢ'!$G$5:$G$111,'SỔ CÔNG NỢ'!$A$5:$A$111,$B110,'SỔ CÔNG NỢ'!$B$5:$B$111,G$80)))</f>
        <v/>
      </c>
      <c r="H110" s="27" t="str">
        <f aca="false">IF($B110="","",IF(COUNTIFS('SỔ CÔNG NỢ'!$A$5:$A$111,$B110,'SỔ CÔNG NỢ'!$B$5:$B$111,H$80)=0,"",SUMIFS('SỔ CÔNG NỢ'!$G$5:$G$111,'SỔ CÔNG NỢ'!$A$5:$A$111,$B110,'SỔ CÔNG NỢ'!$B$5:$B$111,H$80)))</f>
        <v/>
      </c>
    </row>
    <row r="111" customFormat="false" ht="15" hidden="false" customHeight="false" outlineLevel="0" collapsed="false">
      <c r="A111" s="28"/>
      <c r="B111" s="28" t="s">
        <v>45</v>
      </c>
      <c r="C111" s="29" t="n">
        <f aca="false">SUM(C81:C110)</f>
        <v>327278522</v>
      </c>
      <c r="D111" s="29" t="n">
        <f aca="false">SUM(D81:D110)</f>
        <v>189734251</v>
      </c>
      <c r="E111" s="29" t="n">
        <f aca="false">SUM(E81:E110)</f>
        <v>158064763.5</v>
      </c>
      <c r="F111" s="29" t="n">
        <f aca="false">SUM(F81:F110)</f>
        <v>148374169</v>
      </c>
      <c r="G111" s="29" t="n">
        <f aca="false">SUM(G81:G110)</f>
        <v>0</v>
      </c>
      <c r="H111" s="29" t="n">
        <f aca="false">SUM(H81:H110)</f>
        <v>0</v>
      </c>
    </row>
    <row r="114" customFormat="false" ht="15" hidden="false" customHeight="false" outlineLevel="0" collapsed="false">
      <c r="A114" s="11" t="s">
        <v>47</v>
      </c>
    </row>
    <row r="115" customFormat="false" ht="27.75" hidden="false" customHeight="true" outlineLevel="0" collapsed="false">
      <c r="A115" s="12"/>
      <c r="B115" s="12" t="s">
        <v>9</v>
      </c>
      <c r="C115" s="25" t="n">
        <f aca="false">$C$42</f>
        <v>46174</v>
      </c>
      <c r="D115" s="25" t="n">
        <f aca="false">EDATE(C115,1)</f>
        <v>46204</v>
      </c>
      <c r="E115" s="25" t="n">
        <f aca="false">EDATE(D115,1)</f>
        <v>46235</v>
      </c>
      <c r="F115" s="25" t="n">
        <f aca="false">EDATE(E115,1)</f>
        <v>46266</v>
      </c>
      <c r="G115" s="25" t="n">
        <f aca="false">EDATE(F115,1)</f>
        <v>46296</v>
      </c>
      <c r="H115" s="25" t="n">
        <f aca="false">EDATE(G115,1)</f>
        <v>46327</v>
      </c>
    </row>
    <row r="116" customFormat="false" ht="15" hidden="false" customHeight="false" outlineLevel="0" collapsed="false">
      <c r="A116" s="26"/>
      <c r="B116" s="26" t="str">
        <f aca="false">IF($B9="","",$B9)</f>
        <v>Thông Lan (Thiệu Vân)</v>
      </c>
      <c r="C116" s="27" t="str">
        <f aca="false">IF($B116="","",IF(COUNTIFS('SỔ CÔNG NỢ'!$A$5:$A$111,$B116,'SỔ CÔNG NỢ'!$B$5:$B$111,C$115)=0,"",SUMIFS('SỔ CÔNG NỢ'!$K$5:$K$111,'SỔ CÔNG NỢ'!$A$5:$A$111,$B116,'SỔ CÔNG NỢ'!$B$5:$B$111,C$115)))</f>
        <v/>
      </c>
      <c r="D116" s="27" t="n">
        <f aca="false">IF($B116="","",IF(COUNTIFS('SỔ CÔNG NỢ'!$A$5:$A$111,$B116,'SỔ CÔNG NỢ'!$B$5:$B$111,D$115)=0,"",SUMIFS('SỔ CÔNG NỢ'!$K$5:$K$111,'SỔ CÔNG NỢ'!$A$5:$A$111,$B116,'SỔ CÔNG NỢ'!$B$5:$B$111,D$115)))</f>
        <v>0</v>
      </c>
      <c r="E116" s="27" t="str">
        <f aca="false">IF($B116="","",IF(COUNTIFS('SỔ CÔNG NỢ'!$A$5:$A$111,$B116,'SỔ CÔNG NỢ'!$B$5:$B$111,E$115)=0,"",SUMIFS('SỔ CÔNG NỢ'!$K$5:$K$111,'SỔ CÔNG NỢ'!$A$5:$A$111,$B116,'SỔ CÔNG NỢ'!$B$5:$B$111,E$115)))</f>
        <v/>
      </c>
      <c r="F116" s="27" t="n">
        <f aca="false">IF($B116="","",IF(COUNTIFS('SỔ CÔNG NỢ'!$A$5:$A$111,$B116,'SỔ CÔNG NỢ'!$B$5:$B$111,F$115)=0,"",SUMIFS('SỔ CÔNG NỢ'!$K$5:$K$111,'SỔ CÔNG NỢ'!$A$5:$A$111,$B116,'SỔ CÔNG NỢ'!$B$5:$B$111,F$115)))</f>
        <v>0</v>
      </c>
      <c r="G116" s="27" t="str">
        <f aca="false">IF($B116="","",IF(COUNTIFS('SỔ CÔNG NỢ'!$A$5:$A$111,$B116,'SỔ CÔNG NỢ'!$B$5:$B$111,G$115)=0,"",SUMIFS('SỔ CÔNG NỢ'!$K$5:$K$111,'SỔ CÔNG NỢ'!$A$5:$A$111,$B116,'SỔ CÔNG NỢ'!$B$5:$B$111,G$115)))</f>
        <v/>
      </c>
      <c r="H116" s="27" t="str">
        <f aca="false">IF($B116="","",IF(COUNTIFS('SỔ CÔNG NỢ'!$A$5:$A$111,$B116,'SỔ CÔNG NỢ'!$B$5:$B$111,H$115)=0,"",SUMIFS('SỔ CÔNG NỢ'!$K$5:$K$111,'SỔ CÔNG NỢ'!$A$5:$A$111,$B116,'SỔ CÔNG NỢ'!$B$5:$B$111,H$115)))</f>
        <v/>
      </c>
    </row>
    <row r="117" customFormat="false" ht="15" hidden="false" customHeight="false" outlineLevel="0" collapsed="false">
      <c r="A117" s="26"/>
      <c r="B117" s="26" t="str">
        <f aca="false">IF($B10="","",$B10)</f>
        <v>Tuân Thuận</v>
      </c>
      <c r="C117" s="27" t="n">
        <f aca="false">IF($B117="","",IF(COUNTIFS('SỔ CÔNG NỢ'!$A$5:$A$111,$B117,'SỔ CÔNG NỢ'!$B$5:$B$111,C$115)=0,"",SUMIFS('SỔ CÔNG NỢ'!$K$5:$K$111,'SỔ CÔNG NỢ'!$A$5:$A$111,$B117,'SỔ CÔNG NỢ'!$B$5:$B$111,C$115)))</f>
        <v>0</v>
      </c>
      <c r="D117" s="27" t="n">
        <f aca="false">IF($B117="","",IF(COUNTIFS('SỔ CÔNG NỢ'!$A$5:$A$111,$B117,'SỔ CÔNG NỢ'!$B$5:$B$111,D$115)=0,"",SUMIFS('SỔ CÔNG NỢ'!$K$5:$K$111,'SỔ CÔNG NỢ'!$A$5:$A$111,$B117,'SỔ CÔNG NỢ'!$B$5:$B$111,D$115)))</f>
        <v>50000000</v>
      </c>
      <c r="E117" s="27" t="n">
        <f aca="false">IF($B117="","",IF(COUNTIFS('SỔ CÔNG NỢ'!$A$5:$A$111,$B117,'SỔ CÔNG NỢ'!$B$5:$B$111,E$115)=0,"",SUMIFS('SỔ CÔNG NỢ'!$K$5:$K$111,'SỔ CÔNG NỢ'!$A$5:$A$111,$B117,'SỔ CÔNG NỢ'!$B$5:$B$111,E$115)))</f>
        <v>0</v>
      </c>
      <c r="F117" s="27" t="n">
        <f aca="false">IF($B117="","",IF(COUNTIFS('SỔ CÔNG NỢ'!$A$5:$A$111,$B117,'SỔ CÔNG NỢ'!$B$5:$B$111,F$115)=0,"",SUMIFS('SỔ CÔNG NỢ'!$K$5:$K$111,'SỔ CÔNG NỢ'!$A$5:$A$111,$B117,'SỔ CÔNG NỢ'!$B$5:$B$111,F$115)))</f>
        <v>58935000</v>
      </c>
      <c r="G117" s="27" t="str">
        <f aca="false">IF($B117="","",IF(COUNTIFS('SỔ CÔNG NỢ'!$A$5:$A$111,$B117,'SỔ CÔNG NỢ'!$B$5:$B$111,G$115)=0,"",SUMIFS('SỔ CÔNG NỢ'!$K$5:$K$111,'SỔ CÔNG NỢ'!$A$5:$A$111,$B117,'SỔ CÔNG NỢ'!$B$5:$B$111,G$115)))</f>
        <v/>
      </c>
      <c r="H117" s="27" t="str">
        <f aca="false">IF($B117="","",IF(COUNTIFS('SỔ CÔNG NỢ'!$A$5:$A$111,$B117,'SỔ CÔNG NỢ'!$B$5:$B$111,H$115)=0,"",SUMIFS('SỔ CÔNG NỢ'!$K$5:$K$111,'SỔ CÔNG NỢ'!$A$5:$A$111,$B117,'SỔ CÔNG NỢ'!$B$5:$B$111,H$115)))</f>
        <v/>
      </c>
    </row>
    <row r="118" customFormat="false" ht="15" hidden="false" customHeight="false" outlineLevel="0" collapsed="false">
      <c r="A118" s="26"/>
      <c r="B118" s="26" t="str">
        <f aca="false">IF($B11="","",$B11)</f>
        <v>Anh Hưng (giao anh Hải, TP)</v>
      </c>
      <c r="C118" s="27" t="n">
        <f aca="false">IF($B118="","",IF(COUNTIFS('SỔ CÔNG NỢ'!$A$5:$A$111,$B118,'SỔ CÔNG NỢ'!$B$5:$B$111,C$115)=0,"",SUMIFS('SỔ CÔNG NỢ'!$K$5:$K$111,'SỔ CÔNG NỢ'!$A$5:$A$111,$B118,'SỔ CÔNG NỢ'!$B$5:$B$111,C$115)))</f>
        <v>0</v>
      </c>
      <c r="D118" s="27" t="str">
        <f aca="false">IF($B118="","",IF(COUNTIFS('SỔ CÔNG NỢ'!$A$5:$A$111,$B118,'SỔ CÔNG NỢ'!$B$5:$B$111,D$115)=0,"",SUMIFS('SỔ CÔNG NỢ'!$K$5:$K$111,'SỔ CÔNG NỢ'!$A$5:$A$111,$B118,'SỔ CÔNG NỢ'!$B$5:$B$111,D$115)))</f>
        <v/>
      </c>
      <c r="E118" s="27" t="n">
        <f aca="false">IF($B118="","",IF(COUNTIFS('SỔ CÔNG NỢ'!$A$5:$A$111,$B118,'SỔ CÔNG NỢ'!$B$5:$B$111,E$115)=0,"",SUMIFS('SỔ CÔNG NỢ'!$K$5:$K$111,'SỔ CÔNG NỢ'!$A$5:$A$111,$B118,'SỔ CÔNG NỢ'!$B$5:$B$111,E$115)))</f>
        <v>0</v>
      </c>
      <c r="F118" s="27" t="str">
        <f aca="false">IF($B118="","",IF(COUNTIFS('SỔ CÔNG NỢ'!$A$5:$A$111,$B118,'SỔ CÔNG NỢ'!$B$5:$B$111,F$115)=0,"",SUMIFS('SỔ CÔNG NỢ'!$K$5:$K$111,'SỔ CÔNG NỢ'!$A$5:$A$111,$B118,'SỔ CÔNG NỢ'!$B$5:$B$111,F$115)))</f>
        <v/>
      </c>
      <c r="G118" s="27" t="str">
        <f aca="false">IF($B118="","",IF(COUNTIFS('SỔ CÔNG NỢ'!$A$5:$A$111,$B118,'SỔ CÔNG NỢ'!$B$5:$B$111,G$115)=0,"",SUMIFS('SỔ CÔNG NỢ'!$K$5:$K$111,'SỔ CÔNG NỢ'!$A$5:$A$111,$B118,'SỔ CÔNG NỢ'!$B$5:$B$111,G$115)))</f>
        <v/>
      </c>
      <c r="H118" s="27" t="str">
        <f aca="false">IF($B118="","",IF(COUNTIFS('SỔ CÔNG NỢ'!$A$5:$A$111,$B118,'SỔ CÔNG NỢ'!$B$5:$B$111,H$115)=0,"",SUMIFS('SỔ CÔNG NỢ'!$K$5:$K$111,'SỔ CÔNG NỢ'!$A$5:$A$111,$B118,'SỔ CÔNG NỢ'!$B$5:$B$111,H$115)))</f>
        <v/>
      </c>
    </row>
    <row r="119" customFormat="false" ht="15" hidden="false" customHeight="false" outlineLevel="0" collapsed="false">
      <c r="A119" s="26"/>
      <c r="B119" s="26" t="str">
        <f aca="false">IF($B12="","",$B12)</f>
        <v>Nghị Hậu</v>
      </c>
      <c r="C119" s="27" t="n">
        <f aca="false">IF($B119="","",IF(COUNTIFS('SỔ CÔNG NỢ'!$A$5:$A$111,$B119,'SỔ CÔNG NỢ'!$B$5:$B$111,C$115)=0,"",SUMIFS('SỔ CÔNG NỢ'!$K$5:$K$111,'SỔ CÔNG NỢ'!$A$5:$A$111,$B119,'SỔ CÔNG NỢ'!$B$5:$B$111,C$115)))</f>
        <v>28000000</v>
      </c>
      <c r="D119" s="27" t="str">
        <f aca="false">IF($B119="","",IF(COUNTIFS('SỔ CÔNG NỢ'!$A$5:$A$111,$B119,'SỔ CÔNG NỢ'!$B$5:$B$111,D$115)=0,"",SUMIFS('SỔ CÔNG NỢ'!$K$5:$K$111,'SỔ CÔNG NỢ'!$A$5:$A$111,$B119,'SỔ CÔNG NỢ'!$B$5:$B$111,D$115)))</f>
        <v/>
      </c>
      <c r="E119" s="27" t="str">
        <f aca="false">IF($B119="","",IF(COUNTIFS('SỔ CÔNG NỢ'!$A$5:$A$111,$B119,'SỔ CÔNG NỢ'!$B$5:$B$111,E$115)=0,"",SUMIFS('SỔ CÔNG NỢ'!$K$5:$K$111,'SỔ CÔNG NỢ'!$A$5:$A$111,$B119,'SỔ CÔNG NỢ'!$B$5:$B$111,E$115)))</f>
        <v/>
      </c>
      <c r="F119" s="27" t="str">
        <f aca="false">IF($B119="","",IF(COUNTIFS('SỔ CÔNG NỢ'!$A$5:$A$111,$B119,'SỔ CÔNG NỢ'!$B$5:$B$111,F$115)=0,"",SUMIFS('SỔ CÔNG NỢ'!$K$5:$K$111,'SỔ CÔNG NỢ'!$A$5:$A$111,$B119,'SỔ CÔNG NỢ'!$B$5:$B$111,F$115)))</f>
        <v/>
      </c>
      <c r="G119" s="27" t="str">
        <f aca="false">IF($B119="","",IF(COUNTIFS('SỔ CÔNG NỢ'!$A$5:$A$111,$B119,'SỔ CÔNG NỢ'!$B$5:$B$111,G$115)=0,"",SUMIFS('SỔ CÔNG NỢ'!$K$5:$K$111,'SỔ CÔNG NỢ'!$A$5:$A$111,$B119,'SỔ CÔNG NỢ'!$B$5:$B$111,G$115)))</f>
        <v/>
      </c>
      <c r="H119" s="27" t="str">
        <f aca="false">IF($B119="","",IF(COUNTIFS('SỔ CÔNG NỢ'!$A$5:$A$111,$B119,'SỔ CÔNG NỢ'!$B$5:$B$111,H$115)=0,"",SUMIFS('SỔ CÔNG NỢ'!$K$5:$K$111,'SỔ CÔNG NỢ'!$A$5:$A$111,$B119,'SỔ CÔNG NỢ'!$B$5:$B$111,H$115)))</f>
        <v/>
      </c>
    </row>
    <row r="120" customFormat="false" ht="15" hidden="false" customHeight="false" outlineLevel="0" collapsed="false">
      <c r="A120" s="26"/>
      <c r="B120" s="26" t="str">
        <f aca="false">IF($B13="","",$B13)</f>
        <v>Hà Liên</v>
      </c>
      <c r="C120" s="27" t="n">
        <f aca="false">IF($B120="","",IF(COUNTIFS('SỔ CÔNG NỢ'!$A$5:$A$111,$B120,'SỔ CÔNG NỢ'!$B$5:$B$111,C$115)=0,"",SUMIFS('SỔ CÔNG NỢ'!$K$5:$K$111,'SỔ CÔNG NỢ'!$A$5:$A$111,$B120,'SỔ CÔNG NỢ'!$B$5:$B$111,C$115)))</f>
        <v>0</v>
      </c>
      <c r="D120" s="27" t="n">
        <f aca="false">IF($B120="","",IF(COUNTIFS('SỔ CÔNG NỢ'!$A$5:$A$111,$B120,'SỔ CÔNG NỢ'!$B$5:$B$111,D$115)=0,"",SUMIFS('SỔ CÔNG NỢ'!$K$5:$K$111,'SỔ CÔNG NỢ'!$A$5:$A$111,$B120,'SỔ CÔNG NỢ'!$B$5:$B$111,D$115)))</f>
        <v>15290000</v>
      </c>
      <c r="E120" s="27" t="n">
        <f aca="false">IF($B120="","",IF(COUNTIFS('SỔ CÔNG NỢ'!$A$5:$A$111,$B120,'SỔ CÔNG NỢ'!$B$5:$B$111,E$115)=0,"",SUMIFS('SỔ CÔNG NỢ'!$K$5:$K$111,'SỔ CÔNG NỢ'!$A$5:$A$111,$B120,'SỔ CÔNG NỢ'!$B$5:$B$111,E$115)))</f>
        <v>33240000</v>
      </c>
      <c r="F120" s="27" t="n">
        <f aca="false">IF($B120="","",IF(COUNTIFS('SỔ CÔNG NỢ'!$A$5:$A$111,$B120,'SỔ CÔNG NỢ'!$B$5:$B$111,F$115)=0,"",SUMIFS('SỔ CÔNG NỢ'!$K$5:$K$111,'SỔ CÔNG NỢ'!$A$5:$A$111,$B120,'SỔ CÔNG NỢ'!$B$5:$B$111,F$115)))</f>
        <v>0</v>
      </c>
      <c r="G120" s="27" t="str">
        <f aca="false">IF($B120="","",IF(COUNTIFS('SỔ CÔNG NỢ'!$A$5:$A$111,$B120,'SỔ CÔNG NỢ'!$B$5:$B$111,G$115)=0,"",SUMIFS('SỔ CÔNG NỢ'!$K$5:$K$111,'SỔ CÔNG NỢ'!$A$5:$A$111,$B120,'SỔ CÔNG NỢ'!$B$5:$B$111,G$115)))</f>
        <v/>
      </c>
      <c r="H120" s="27" t="str">
        <f aca="false">IF($B120="","",IF(COUNTIFS('SỔ CÔNG NỢ'!$A$5:$A$111,$B120,'SỔ CÔNG NỢ'!$B$5:$B$111,H$115)=0,"",SUMIFS('SỔ CÔNG NỢ'!$K$5:$K$111,'SỔ CÔNG NỢ'!$A$5:$A$111,$B120,'SỔ CÔNG NỢ'!$B$5:$B$111,H$115)))</f>
        <v/>
      </c>
    </row>
    <row r="121" customFormat="false" ht="15" hidden="false" customHeight="false" outlineLevel="0" collapsed="false">
      <c r="A121" s="26"/>
      <c r="B121" s="26" t="str">
        <f aca="false">IF($B14="","",$B14)</f>
        <v>Chinh Ưng (Đông Lĩnh)</v>
      </c>
      <c r="C121" s="27" t="n">
        <f aca="false">IF($B121="","",IF(COUNTIFS('SỔ CÔNG NỢ'!$A$5:$A$111,$B121,'SỔ CÔNG NỢ'!$B$5:$B$111,C$115)=0,"",SUMIFS('SỔ CÔNG NỢ'!$K$5:$K$111,'SỔ CÔNG NỢ'!$A$5:$A$111,$B121,'SỔ CÔNG NỢ'!$B$5:$B$111,C$115)))</f>
        <v>0</v>
      </c>
      <c r="D121" s="27" t="n">
        <f aca="false">IF($B121="","",IF(COUNTIFS('SỔ CÔNG NỢ'!$A$5:$A$111,$B121,'SỔ CÔNG NỢ'!$B$5:$B$111,D$115)=0,"",SUMIFS('SỔ CÔNG NỢ'!$K$5:$K$111,'SỔ CÔNG NỢ'!$A$5:$A$111,$B121,'SỔ CÔNG NỢ'!$B$5:$B$111,D$115)))</f>
        <v>0</v>
      </c>
      <c r="E121" s="27" t="str">
        <f aca="false">IF($B121="","",IF(COUNTIFS('SỔ CÔNG NỢ'!$A$5:$A$111,$B121,'SỔ CÔNG NỢ'!$B$5:$B$111,E$115)=0,"",SUMIFS('SỔ CÔNG NỢ'!$K$5:$K$111,'SỔ CÔNG NỢ'!$A$5:$A$111,$B121,'SỔ CÔNG NỢ'!$B$5:$B$111,E$115)))</f>
        <v/>
      </c>
      <c r="F121" s="27" t="n">
        <f aca="false">IF($B121="","",IF(COUNTIFS('SỔ CÔNG NỢ'!$A$5:$A$111,$B121,'SỔ CÔNG NỢ'!$B$5:$B$111,F$115)=0,"",SUMIFS('SỔ CÔNG NỢ'!$K$5:$K$111,'SỔ CÔNG NỢ'!$A$5:$A$111,$B121,'SỔ CÔNG NỢ'!$B$5:$B$111,F$115)))</f>
        <v>0</v>
      </c>
      <c r="G121" s="27" t="str">
        <f aca="false">IF($B121="","",IF(COUNTIFS('SỔ CÔNG NỢ'!$A$5:$A$111,$B121,'SỔ CÔNG NỢ'!$B$5:$B$111,G$115)=0,"",SUMIFS('SỔ CÔNG NỢ'!$K$5:$K$111,'SỔ CÔNG NỢ'!$A$5:$A$111,$B121,'SỔ CÔNG NỢ'!$B$5:$B$111,G$115)))</f>
        <v/>
      </c>
      <c r="H121" s="27" t="str">
        <f aca="false">IF($B121="","",IF(COUNTIFS('SỔ CÔNG NỢ'!$A$5:$A$111,$B121,'SỔ CÔNG NỢ'!$B$5:$B$111,H$115)=0,"",SUMIFS('SỔ CÔNG NỢ'!$K$5:$K$111,'SỔ CÔNG NỢ'!$A$5:$A$111,$B121,'SỔ CÔNG NỢ'!$B$5:$B$111,H$115)))</f>
        <v/>
      </c>
    </row>
    <row r="122" customFormat="false" ht="15" hidden="false" customHeight="false" outlineLevel="0" collapsed="false">
      <c r="A122" s="26"/>
      <c r="B122" s="26" t="str">
        <f aca="false">IF($B15="","",$B15)</f>
        <v>Cường Hà</v>
      </c>
      <c r="C122" s="27" t="n">
        <f aca="false">IF($B122="","",IF(COUNTIFS('SỔ CÔNG NỢ'!$A$5:$A$111,$B122,'SỔ CÔNG NỢ'!$B$5:$B$111,C$115)=0,"",SUMIFS('SỔ CÔNG NỢ'!$K$5:$K$111,'SỔ CÔNG NỢ'!$A$5:$A$111,$B122,'SỔ CÔNG NỢ'!$B$5:$B$111,C$115)))</f>
        <v>0</v>
      </c>
      <c r="D122" s="27" t="n">
        <f aca="false">IF($B122="","",IF(COUNTIFS('SỔ CÔNG NỢ'!$A$5:$A$111,$B122,'SỔ CÔNG NỢ'!$B$5:$B$111,D$115)=0,"",SUMIFS('SỔ CÔNG NỢ'!$K$5:$K$111,'SỔ CÔNG NỢ'!$A$5:$A$111,$B122,'SỔ CÔNG NỢ'!$B$5:$B$111,D$115)))</f>
        <v>0</v>
      </c>
      <c r="E122" s="27" t="n">
        <f aca="false">IF($B122="","",IF(COUNTIFS('SỔ CÔNG NỢ'!$A$5:$A$111,$B122,'SỔ CÔNG NỢ'!$B$5:$B$111,E$115)=0,"",SUMIFS('SỔ CÔNG NỢ'!$K$5:$K$111,'SỔ CÔNG NỢ'!$A$5:$A$111,$B122,'SỔ CÔNG NỢ'!$B$5:$B$111,E$115)))</f>
        <v>30000000</v>
      </c>
      <c r="F122" s="27" t="n">
        <f aca="false">IF($B122="","",IF(COUNTIFS('SỔ CÔNG NỢ'!$A$5:$A$111,$B122,'SỔ CÔNG NỢ'!$B$5:$B$111,F$115)=0,"",SUMIFS('SỔ CÔNG NỢ'!$K$5:$K$111,'SỔ CÔNG NỢ'!$A$5:$A$111,$B122,'SỔ CÔNG NỢ'!$B$5:$B$111,F$115)))</f>
        <v>0</v>
      </c>
      <c r="G122" s="27" t="str">
        <f aca="false">IF($B122="","",IF(COUNTIFS('SỔ CÔNG NỢ'!$A$5:$A$111,$B122,'SỔ CÔNG NỢ'!$B$5:$B$111,G$115)=0,"",SUMIFS('SỔ CÔNG NỢ'!$K$5:$K$111,'SỔ CÔNG NỢ'!$A$5:$A$111,$B122,'SỔ CÔNG NỢ'!$B$5:$B$111,G$115)))</f>
        <v/>
      </c>
      <c r="H122" s="27" t="str">
        <f aca="false">IF($B122="","",IF(COUNTIFS('SỔ CÔNG NỢ'!$A$5:$A$111,$B122,'SỔ CÔNG NỢ'!$B$5:$B$111,H$115)=0,"",SUMIFS('SỔ CÔNG NỢ'!$K$5:$K$111,'SỔ CÔNG NỢ'!$A$5:$A$111,$B122,'SỔ CÔNG NỢ'!$B$5:$B$111,H$115)))</f>
        <v/>
      </c>
    </row>
    <row r="123" customFormat="false" ht="15" hidden="false" customHeight="false" outlineLevel="0" collapsed="false">
      <c r="A123" s="26"/>
      <c r="B123" s="26" t="str">
        <f aca="false">IF($B16="","",$B16)</f>
        <v>Toàn Lanh</v>
      </c>
      <c r="C123" s="27" t="n">
        <f aca="false">IF($B123="","",IF(COUNTIFS('SỔ CÔNG NỢ'!$A$5:$A$111,$B123,'SỔ CÔNG NỢ'!$B$5:$B$111,C$115)=0,"",SUMIFS('SỔ CÔNG NỢ'!$K$5:$K$111,'SỔ CÔNG NỢ'!$A$5:$A$111,$B123,'SỔ CÔNG NỢ'!$B$5:$B$111,C$115)))</f>
        <v>9500000</v>
      </c>
      <c r="D123" s="27" t="n">
        <f aca="false">IF($B123="","",IF(COUNTIFS('SỔ CÔNG NỢ'!$A$5:$A$111,$B123,'SỔ CÔNG NỢ'!$B$5:$B$111,D$115)=0,"",SUMIFS('SỔ CÔNG NỢ'!$K$5:$K$111,'SỔ CÔNG NỢ'!$A$5:$A$111,$B123,'SỔ CÔNG NỢ'!$B$5:$B$111,D$115)))</f>
        <v>44300000</v>
      </c>
      <c r="E123" s="27" t="str">
        <f aca="false">IF($B123="","",IF(COUNTIFS('SỔ CÔNG NỢ'!$A$5:$A$111,$B123,'SỔ CÔNG NỢ'!$B$5:$B$111,E$115)=0,"",SUMIFS('SỔ CÔNG NỢ'!$K$5:$K$111,'SỔ CÔNG NỢ'!$A$5:$A$111,$B123,'SỔ CÔNG NỢ'!$B$5:$B$111,E$115)))</f>
        <v/>
      </c>
      <c r="F123" s="27" t="str">
        <f aca="false">IF($B123="","",IF(COUNTIFS('SỔ CÔNG NỢ'!$A$5:$A$111,$B123,'SỔ CÔNG NỢ'!$B$5:$B$111,F$115)=0,"",SUMIFS('SỔ CÔNG NỢ'!$K$5:$K$111,'SỔ CÔNG NỢ'!$A$5:$A$111,$B123,'SỔ CÔNG NỢ'!$B$5:$B$111,F$115)))</f>
        <v/>
      </c>
      <c r="G123" s="27" t="str">
        <f aca="false">IF($B123="","",IF(COUNTIFS('SỔ CÔNG NỢ'!$A$5:$A$111,$B123,'SỔ CÔNG NỢ'!$B$5:$B$111,G$115)=0,"",SUMIFS('SỔ CÔNG NỢ'!$K$5:$K$111,'SỔ CÔNG NỢ'!$A$5:$A$111,$B123,'SỔ CÔNG NỢ'!$B$5:$B$111,G$115)))</f>
        <v/>
      </c>
      <c r="H123" s="27" t="str">
        <f aca="false">IF($B123="","",IF(COUNTIFS('SỔ CÔNG NỢ'!$A$5:$A$111,$B123,'SỔ CÔNG NỢ'!$B$5:$B$111,H$115)=0,"",SUMIFS('SỔ CÔNG NỢ'!$K$5:$K$111,'SỔ CÔNG NỢ'!$A$5:$A$111,$B123,'SỔ CÔNG NỢ'!$B$5:$B$111,H$115)))</f>
        <v/>
      </c>
    </row>
    <row r="124" customFormat="false" ht="15" hidden="false" customHeight="false" outlineLevel="0" collapsed="false">
      <c r="A124" s="26"/>
      <c r="B124" s="26" t="str">
        <f aca="false">IF($B17="","",$B17)</f>
        <v>Chị Thu (Rừng Thông)</v>
      </c>
      <c r="C124" s="27" t="n">
        <f aca="false">IF($B124="","",IF(COUNTIFS('SỔ CÔNG NỢ'!$A$5:$A$111,$B124,'SỔ CÔNG NỢ'!$B$5:$B$111,C$115)=0,"",SUMIFS('SỔ CÔNG NỢ'!$K$5:$K$111,'SỔ CÔNG NỢ'!$A$5:$A$111,$B124,'SỔ CÔNG NỢ'!$B$5:$B$111,C$115)))</f>
        <v>0</v>
      </c>
      <c r="D124" s="27" t="str">
        <f aca="false">IF($B124="","",IF(COUNTIFS('SỔ CÔNG NỢ'!$A$5:$A$111,$B124,'SỔ CÔNG NỢ'!$B$5:$B$111,D$115)=0,"",SUMIFS('SỔ CÔNG NỢ'!$K$5:$K$111,'SỔ CÔNG NỢ'!$A$5:$A$111,$B124,'SỔ CÔNG NỢ'!$B$5:$B$111,D$115)))</f>
        <v/>
      </c>
      <c r="E124" s="27" t="str">
        <f aca="false">IF($B124="","",IF(COUNTIFS('SỔ CÔNG NỢ'!$A$5:$A$111,$B124,'SỔ CÔNG NỢ'!$B$5:$B$111,E$115)=0,"",SUMIFS('SỔ CÔNG NỢ'!$K$5:$K$111,'SỔ CÔNG NỢ'!$A$5:$A$111,$B124,'SỔ CÔNG NỢ'!$B$5:$B$111,E$115)))</f>
        <v/>
      </c>
      <c r="F124" s="27" t="str">
        <f aca="false">IF($B124="","",IF(COUNTIFS('SỔ CÔNG NỢ'!$A$5:$A$111,$B124,'SỔ CÔNG NỢ'!$B$5:$B$111,F$115)=0,"",SUMIFS('SỔ CÔNG NỢ'!$K$5:$K$111,'SỔ CÔNG NỢ'!$A$5:$A$111,$B124,'SỔ CÔNG NỢ'!$B$5:$B$111,F$115)))</f>
        <v/>
      </c>
      <c r="G124" s="27" t="str">
        <f aca="false">IF($B124="","",IF(COUNTIFS('SỔ CÔNG NỢ'!$A$5:$A$111,$B124,'SỔ CÔNG NỢ'!$B$5:$B$111,G$115)=0,"",SUMIFS('SỔ CÔNG NỢ'!$K$5:$K$111,'SỔ CÔNG NỢ'!$A$5:$A$111,$B124,'SỔ CÔNG NỢ'!$B$5:$B$111,G$115)))</f>
        <v/>
      </c>
      <c r="H124" s="27" t="str">
        <f aca="false">IF($B124="","",IF(COUNTIFS('SỔ CÔNG NỢ'!$A$5:$A$111,$B124,'SỔ CÔNG NỢ'!$B$5:$B$111,H$115)=0,"",SUMIFS('SỔ CÔNG NỢ'!$K$5:$K$111,'SỔ CÔNG NỢ'!$A$5:$A$111,$B124,'SỔ CÔNG NỢ'!$B$5:$B$111,H$115)))</f>
        <v/>
      </c>
    </row>
    <row r="125" customFormat="false" ht="15" hidden="false" customHeight="false" outlineLevel="0" collapsed="false">
      <c r="A125" s="26"/>
      <c r="B125" s="26" t="str">
        <f aca="false">IF($B18="","",$B18)</f>
        <v>Anh Hùng (TP)</v>
      </c>
      <c r="C125" s="27" t="n">
        <f aca="false">IF($B125="","",IF(COUNTIFS('SỔ CÔNG NỢ'!$A$5:$A$111,$B125,'SỔ CÔNG NỢ'!$B$5:$B$111,C$115)=0,"",SUMIFS('SỔ CÔNG NỢ'!$K$5:$K$111,'SỔ CÔNG NỢ'!$A$5:$A$111,$B125,'SỔ CÔNG NỢ'!$B$5:$B$111,C$115)))</f>
        <v>0</v>
      </c>
      <c r="D125" s="27" t="n">
        <f aca="false">IF($B125="","",IF(COUNTIFS('SỔ CÔNG NỢ'!$A$5:$A$111,$B125,'SỔ CÔNG NỢ'!$B$5:$B$111,D$115)=0,"",SUMIFS('SỔ CÔNG NỢ'!$K$5:$K$111,'SỔ CÔNG NỢ'!$A$5:$A$111,$B125,'SỔ CÔNG NỢ'!$B$5:$B$111,D$115)))</f>
        <v>0</v>
      </c>
      <c r="E125" s="27" t="str">
        <f aca="false">IF($B125="","",IF(COUNTIFS('SỔ CÔNG NỢ'!$A$5:$A$111,$B125,'SỔ CÔNG NỢ'!$B$5:$B$111,E$115)=0,"",SUMIFS('SỔ CÔNG NỢ'!$K$5:$K$111,'SỔ CÔNG NỢ'!$A$5:$A$111,$B125,'SỔ CÔNG NỢ'!$B$5:$B$111,E$115)))</f>
        <v/>
      </c>
      <c r="F125" s="27" t="n">
        <f aca="false">IF($B125="","",IF(COUNTIFS('SỔ CÔNG NỢ'!$A$5:$A$111,$B125,'SỔ CÔNG NỢ'!$B$5:$B$111,F$115)=0,"",SUMIFS('SỔ CÔNG NỢ'!$K$5:$K$111,'SỔ CÔNG NỢ'!$A$5:$A$111,$B125,'SỔ CÔNG NỢ'!$B$5:$B$111,F$115)))</f>
        <v>0</v>
      </c>
      <c r="G125" s="27" t="str">
        <f aca="false">IF($B125="","",IF(COUNTIFS('SỔ CÔNG NỢ'!$A$5:$A$111,$B125,'SỔ CÔNG NỢ'!$B$5:$B$111,G$115)=0,"",SUMIFS('SỔ CÔNG NỢ'!$K$5:$K$111,'SỔ CÔNG NỢ'!$A$5:$A$111,$B125,'SỔ CÔNG NỢ'!$B$5:$B$111,G$115)))</f>
        <v/>
      </c>
      <c r="H125" s="27" t="str">
        <f aca="false">IF($B125="","",IF(COUNTIFS('SỔ CÔNG NỢ'!$A$5:$A$111,$B125,'SỔ CÔNG NỢ'!$B$5:$B$111,H$115)=0,"",SUMIFS('SỔ CÔNG NỢ'!$K$5:$K$111,'SỔ CÔNG NỢ'!$A$5:$A$111,$B125,'SỔ CÔNG NỢ'!$B$5:$B$111,H$115)))</f>
        <v/>
      </c>
    </row>
    <row r="126" customFormat="false" ht="15" hidden="false" customHeight="false" outlineLevel="0" collapsed="false">
      <c r="A126" s="26"/>
      <c r="B126" s="26" t="str">
        <f aca="false">IF($B19="","",$B19)</f>
        <v>Tìm Mai (Hoàng Châu)</v>
      </c>
      <c r="C126" s="27" t="str">
        <f aca="false">IF($B126="","",IF(COUNTIFS('SỔ CÔNG NỢ'!$A$5:$A$111,$B126,'SỔ CÔNG NỢ'!$B$5:$B$111,C$115)=0,"",SUMIFS('SỔ CÔNG NỢ'!$K$5:$K$111,'SỔ CÔNG NỢ'!$A$5:$A$111,$B126,'SỔ CÔNG NỢ'!$B$5:$B$111,C$115)))</f>
        <v/>
      </c>
      <c r="D126" s="27" t="n">
        <f aca="false">IF($B126="","",IF(COUNTIFS('SỔ CÔNG NỢ'!$A$5:$A$111,$B126,'SỔ CÔNG NỢ'!$B$5:$B$111,D$115)=0,"",SUMIFS('SỔ CÔNG NỢ'!$K$5:$K$111,'SỔ CÔNG NỢ'!$A$5:$A$111,$B126,'SỔ CÔNG NỢ'!$B$5:$B$111,D$115)))</f>
        <v>0</v>
      </c>
      <c r="E126" s="27" t="str">
        <f aca="false">IF($B126="","",IF(COUNTIFS('SỔ CÔNG NỢ'!$A$5:$A$111,$B126,'SỔ CÔNG NỢ'!$B$5:$B$111,E$115)=0,"",SUMIFS('SỔ CÔNG NỢ'!$K$5:$K$111,'SỔ CÔNG NỢ'!$A$5:$A$111,$B126,'SỔ CÔNG NỢ'!$B$5:$B$111,E$115)))</f>
        <v/>
      </c>
      <c r="F126" s="27" t="str">
        <f aca="false">IF($B126="","",IF(COUNTIFS('SỔ CÔNG NỢ'!$A$5:$A$111,$B126,'SỔ CÔNG NỢ'!$B$5:$B$111,F$115)=0,"",SUMIFS('SỔ CÔNG NỢ'!$K$5:$K$111,'SỔ CÔNG NỢ'!$A$5:$A$111,$B126,'SỔ CÔNG NỢ'!$B$5:$B$111,F$115)))</f>
        <v/>
      </c>
      <c r="G126" s="27" t="str">
        <f aca="false">IF($B126="","",IF(COUNTIFS('SỔ CÔNG NỢ'!$A$5:$A$111,$B126,'SỔ CÔNG NỢ'!$B$5:$B$111,G$115)=0,"",SUMIFS('SỔ CÔNG NỢ'!$K$5:$K$111,'SỔ CÔNG NỢ'!$A$5:$A$111,$B126,'SỔ CÔNG NỢ'!$B$5:$B$111,G$115)))</f>
        <v/>
      </c>
      <c r="H126" s="27" t="str">
        <f aca="false">IF($B126="","",IF(COUNTIFS('SỔ CÔNG NỢ'!$A$5:$A$111,$B126,'SỔ CÔNG NỢ'!$B$5:$B$111,H$115)=0,"",SUMIFS('SỔ CÔNG NỢ'!$K$5:$K$111,'SỔ CÔNG NỢ'!$A$5:$A$111,$B126,'SỔ CÔNG NỢ'!$B$5:$B$111,H$115)))</f>
        <v/>
      </c>
    </row>
    <row r="127" customFormat="false" ht="15" hidden="false" customHeight="false" outlineLevel="0" collapsed="false">
      <c r="A127" s="26"/>
      <c r="B127" s="26" t="str">
        <f aca="false">IF($B20="","",$B20)</f>
        <v>Tuấn Thanh</v>
      </c>
      <c r="C127" s="27" t="str">
        <f aca="false">IF($B127="","",IF(COUNTIFS('SỔ CÔNG NỢ'!$A$5:$A$111,$B127,'SỔ CÔNG NỢ'!$B$5:$B$111,C$115)=0,"",SUMIFS('SỔ CÔNG NỢ'!$K$5:$K$111,'SỔ CÔNG NỢ'!$A$5:$A$111,$B127,'SỔ CÔNG NỢ'!$B$5:$B$111,C$115)))</f>
        <v/>
      </c>
      <c r="D127" s="27" t="str">
        <f aca="false">IF($B127="","",IF(COUNTIFS('SỔ CÔNG NỢ'!$A$5:$A$111,$B127,'SỔ CÔNG NỢ'!$B$5:$B$111,D$115)=0,"",SUMIFS('SỔ CÔNG NỢ'!$K$5:$K$111,'SỔ CÔNG NỢ'!$A$5:$A$111,$B127,'SỔ CÔNG NỢ'!$B$5:$B$111,D$115)))</f>
        <v/>
      </c>
      <c r="E127" s="27" t="str">
        <f aca="false">IF($B127="","",IF(COUNTIFS('SỔ CÔNG NỢ'!$A$5:$A$111,$B127,'SỔ CÔNG NỢ'!$B$5:$B$111,E$115)=0,"",SUMIFS('SỔ CÔNG NỢ'!$K$5:$K$111,'SỔ CÔNG NỢ'!$A$5:$A$111,$B127,'SỔ CÔNG NỢ'!$B$5:$B$111,E$115)))</f>
        <v/>
      </c>
      <c r="F127" s="27" t="n">
        <f aca="false">IF($B127="","",IF(COUNTIFS('SỔ CÔNG NỢ'!$A$5:$A$111,$B127,'SỔ CÔNG NỢ'!$B$5:$B$111,F$115)=0,"",SUMIFS('SỔ CÔNG NỢ'!$K$5:$K$111,'SỔ CÔNG NỢ'!$A$5:$A$111,$B127,'SỔ CÔNG NỢ'!$B$5:$B$111,F$115)))</f>
        <v>0</v>
      </c>
      <c r="G127" s="27" t="str">
        <f aca="false">IF($B127="","",IF(COUNTIFS('SỔ CÔNG NỢ'!$A$5:$A$111,$B127,'SỔ CÔNG NỢ'!$B$5:$B$111,G$115)=0,"",SUMIFS('SỔ CÔNG NỢ'!$K$5:$K$111,'SỔ CÔNG NỢ'!$A$5:$A$111,$B127,'SỔ CÔNG NỢ'!$B$5:$B$111,G$115)))</f>
        <v/>
      </c>
      <c r="H127" s="27" t="str">
        <f aca="false">IF($B127="","",IF(COUNTIFS('SỔ CÔNG NỢ'!$A$5:$A$111,$B127,'SỔ CÔNG NỢ'!$B$5:$B$111,H$115)=0,"",SUMIFS('SỔ CÔNG NỢ'!$K$5:$K$111,'SỔ CÔNG NỢ'!$A$5:$A$111,$B127,'SỔ CÔNG NỢ'!$B$5:$B$111,H$115)))</f>
        <v/>
      </c>
    </row>
    <row r="128" customFormat="false" ht="15" hidden="false" customHeight="false" outlineLevel="0" collapsed="false">
      <c r="A128" s="26"/>
      <c r="B128" s="26" t="str">
        <f aca="false">IF($B21="","",$B21)</f>
        <v>Trần Văn Chung (Thiệu Tân)</v>
      </c>
      <c r="C128" s="27" t="n">
        <f aca="false">IF($B128="","",IF(COUNTIFS('SỔ CÔNG NỢ'!$A$5:$A$111,$B128,'SỔ CÔNG NỢ'!$B$5:$B$111,C$115)=0,"",SUMIFS('SỔ CÔNG NỢ'!$K$5:$K$111,'SỔ CÔNG NỢ'!$A$5:$A$111,$B128,'SỔ CÔNG NỢ'!$B$5:$B$111,C$115)))</f>
        <v>0</v>
      </c>
      <c r="D128" s="27" t="n">
        <f aca="false">IF($B128="","",IF(COUNTIFS('SỔ CÔNG NỢ'!$A$5:$A$111,$B128,'SỔ CÔNG NỢ'!$B$5:$B$111,D$115)=0,"",SUMIFS('SỔ CÔNG NỢ'!$K$5:$K$111,'SỔ CÔNG NỢ'!$A$5:$A$111,$B128,'SỔ CÔNG NỢ'!$B$5:$B$111,D$115)))</f>
        <v>0</v>
      </c>
      <c r="E128" s="27" t="str">
        <f aca="false">IF($B128="","",IF(COUNTIFS('SỔ CÔNG NỢ'!$A$5:$A$111,$B128,'SỔ CÔNG NỢ'!$B$5:$B$111,E$115)=0,"",SUMIFS('SỔ CÔNG NỢ'!$K$5:$K$111,'SỔ CÔNG NỢ'!$A$5:$A$111,$B128,'SỔ CÔNG NỢ'!$B$5:$B$111,E$115)))</f>
        <v/>
      </c>
      <c r="F128" s="27" t="str">
        <f aca="false">IF($B128="","",IF(COUNTIFS('SỔ CÔNG NỢ'!$A$5:$A$111,$B128,'SỔ CÔNG NỢ'!$B$5:$B$111,F$115)=0,"",SUMIFS('SỔ CÔNG NỢ'!$K$5:$K$111,'SỔ CÔNG NỢ'!$A$5:$A$111,$B128,'SỔ CÔNG NỢ'!$B$5:$B$111,F$115)))</f>
        <v/>
      </c>
      <c r="G128" s="27" t="str">
        <f aca="false">IF($B128="","",IF(COUNTIFS('SỔ CÔNG NỢ'!$A$5:$A$111,$B128,'SỔ CÔNG NỢ'!$B$5:$B$111,G$115)=0,"",SUMIFS('SỔ CÔNG NỢ'!$K$5:$K$111,'SỔ CÔNG NỢ'!$A$5:$A$111,$B128,'SỔ CÔNG NỢ'!$B$5:$B$111,G$115)))</f>
        <v/>
      </c>
      <c r="H128" s="27" t="str">
        <f aca="false">IF($B128="","",IF(COUNTIFS('SỔ CÔNG NỢ'!$A$5:$A$111,$B128,'SỔ CÔNG NỢ'!$B$5:$B$111,H$115)=0,"",SUMIFS('SỔ CÔNG NỢ'!$K$5:$K$111,'SỔ CÔNG NỢ'!$A$5:$A$111,$B128,'SỔ CÔNG NỢ'!$B$5:$B$111,H$115)))</f>
        <v/>
      </c>
    </row>
    <row r="129" customFormat="false" ht="15" hidden="false" customHeight="false" outlineLevel="0" collapsed="false">
      <c r="A129" s="26"/>
      <c r="B129" s="26" t="str">
        <f aca="false">IF($B22="","",$B22)</f>
        <v>Chú Giáp (Thiệu Thành)</v>
      </c>
      <c r="C129" s="27" t="n">
        <f aca="false">IF($B129="","",IF(COUNTIFS('SỔ CÔNG NỢ'!$A$5:$A$111,$B129,'SỔ CÔNG NỢ'!$B$5:$B$111,C$115)=0,"",SUMIFS('SỔ CÔNG NỢ'!$K$5:$K$111,'SỔ CÔNG NỢ'!$A$5:$A$111,$B129,'SỔ CÔNG NỢ'!$B$5:$B$111,C$115)))</f>
        <v>6400000</v>
      </c>
      <c r="D129" s="27" t="n">
        <f aca="false">IF($B129="","",IF(COUNTIFS('SỔ CÔNG NỢ'!$A$5:$A$111,$B129,'SỔ CÔNG NỢ'!$B$5:$B$111,D$115)=0,"",SUMIFS('SỔ CÔNG NỢ'!$K$5:$K$111,'SỔ CÔNG NỢ'!$A$5:$A$111,$B129,'SỔ CÔNG NỢ'!$B$5:$B$111,D$115)))</f>
        <v>0</v>
      </c>
      <c r="E129" s="27" t="str">
        <f aca="false">IF($B129="","",IF(COUNTIFS('SỔ CÔNG NỢ'!$A$5:$A$111,$B129,'SỔ CÔNG NỢ'!$B$5:$B$111,E$115)=0,"",SUMIFS('SỔ CÔNG NỢ'!$K$5:$K$111,'SỔ CÔNG NỢ'!$A$5:$A$111,$B129,'SỔ CÔNG NỢ'!$B$5:$B$111,E$115)))</f>
        <v/>
      </c>
      <c r="F129" s="27" t="str">
        <f aca="false">IF($B129="","",IF(COUNTIFS('SỔ CÔNG NỢ'!$A$5:$A$111,$B129,'SỔ CÔNG NỢ'!$B$5:$B$111,F$115)=0,"",SUMIFS('SỔ CÔNG NỢ'!$K$5:$K$111,'SỔ CÔNG NỢ'!$A$5:$A$111,$B129,'SỔ CÔNG NỢ'!$B$5:$B$111,F$115)))</f>
        <v/>
      </c>
      <c r="G129" s="27" t="str">
        <f aca="false">IF($B129="","",IF(COUNTIFS('SỔ CÔNG NỢ'!$A$5:$A$111,$B129,'SỔ CÔNG NỢ'!$B$5:$B$111,G$115)=0,"",SUMIFS('SỔ CÔNG NỢ'!$K$5:$K$111,'SỔ CÔNG NỢ'!$A$5:$A$111,$B129,'SỔ CÔNG NỢ'!$B$5:$B$111,G$115)))</f>
        <v/>
      </c>
      <c r="H129" s="27" t="str">
        <f aca="false">IF($B129="","",IF(COUNTIFS('SỔ CÔNG NỢ'!$A$5:$A$111,$B129,'SỔ CÔNG NỢ'!$B$5:$B$111,H$115)=0,"",SUMIFS('SỔ CÔNG NỢ'!$K$5:$K$111,'SỔ CÔNG NỢ'!$A$5:$A$111,$B129,'SỔ CÔNG NỢ'!$B$5:$B$111,H$115)))</f>
        <v/>
      </c>
    </row>
    <row r="130" customFormat="false" ht="15" hidden="false" customHeight="false" outlineLevel="0" collapsed="false">
      <c r="A130" s="26"/>
      <c r="B130" s="26" t="str">
        <f aca="false">IF($B23="","",$B23)</f>
        <v>Anh Giang (Đông Thanh)</v>
      </c>
      <c r="C130" s="27" t="str">
        <f aca="false">IF($B130="","",IF(COUNTIFS('SỔ CÔNG NỢ'!$A$5:$A$111,$B130,'SỔ CÔNG NỢ'!$B$5:$B$111,C$115)=0,"",SUMIFS('SỔ CÔNG NỢ'!$K$5:$K$111,'SỔ CÔNG NỢ'!$A$5:$A$111,$B130,'SỔ CÔNG NỢ'!$B$5:$B$111,C$115)))</f>
        <v/>
      </c>
      <c r="D130" s="27" t="str">
        <f aca="false">IF($B130="","",IF(COUNTIFS('SỔ CÔNG NỢ'!$A$5:$A$111,$B130,'SỔ CÔNG NỢ'!$B$5:$B$111,D$115)=0,"",SUMIFS('SỔ CÔNG NỢ'!$K$5:$K$111,'SỔ CÔNG NỢ'!$A$5:$A$111,$B130,'SỔ CÔNG NỢ'!$B$5:$B$111,D$115)))</f>
        <v/>
      </c>
      <c r="E130" s="27" t="n">
        <f aca="false">IF($B130="","",IF(COUNTIFS('SỔ CÔNG NỢ'!$A$5:$A$111,$B130,'SỔ CÔNG NỢ'!$B$5:$B$111,E$115)=0,"",SUMIFS('SỔ CÔNG NỢ'!$K$5:$K$111,'SỔ CÔNG NỢ'!$A$5:$A$111,$B130,'SỔ CÔNG NỢ'!$B$5:$B$111,E$115)))</f>
        <v>0</v>
      </c>
      <c r="F130" s="27" t="str">
        <f aca="false">IF($B130="","",IF(COUNTIFS('SỔ CÔNG NỢ'!$A$5:$A$111,$B130,'SỔ CÔNG NỢ'!$B$5:$B$111,F$115)=0,"",SUMIFS('SỔ CÔNG NỢ'!$K$5:$K$111,'SỔ CÔNG NỢ'!$A$5:$A$111,$B130,'SỔ CÔNG NỢ'!$B$5:$B$111,F$115)))</f>
        <v/>
      </c>
      <c r="G130" s="27" t="str">
        <f aca="false">IF($B130="","",IF(COUNTIFS('SỔ CÔNG NỢ'!$A$5:$A$111,$B130,'SỔ CÔNG NỢ'!$B$5:$B$111,G$115)=0,"",SUMIFS('SỔ CÔNG NỢ'!$K$5:$K$111,'SỔ CÔNG NỢ'!$A$5:$A$111,$B130,'SỔ CÔNG NỢ'!$B$5:$B$111,G$115)))</f>
        <v/>
      </c>
      <c r="H130" s="27" t="str">
        <f aca="false">IF($B130="","",IF(COUNTIFS('SỔ CÔNG NỢ'!$A$5:$A$111,$B130,'SỔ CÔNG NỢ'!$B$5:$B$111,H$115)=0,"",SUMIFS('SỔ CÔNG NỢ'!$K$5:$K$111,'SỔ CÔNG NỢ'!$A$5:$A$111,$B130,'SỔ CÔNG NỢ'!$B$5:$B$111,H$115)))</f>
        <v/>
      </c>
    </row>
    <row r="131" customFormat="false" ht="15" hidden="false" customHeight="false" outlineLevel="0" collapsed="false">
      <c r="A131" s="26"/>
      <c r="B131" s="26" t="str">
        <f aca="false">IF($B24="","",$B24)</f>
        <v>Hiền Xuân</v>
      </c>
      <c r="C131" s="27" t="str">
        <f aca="false">IF($B131="","",IF(COUNTIFS('SỔ CÔNG NỢ'!$A$5:$A$111,$B131,'SỔ CÔNG NỢ'!$B$5:$B$111,C$115)=0,"",SUMIFS('SỔ CÔNG NỢ'!$K$5:$K$111,'SỔ CÔNG NỢ'!$A$5:$A$111,$B131,'SỔ CÔNG NỢ'!$B$5:$B$111,C$115)))</f>
        <v/>
      </c>
      <c r="D131" s="27" t="n">
        <f aca="false">IF($B131="","",IF(COUNTIFS('SỔ CÔNG NỢ'!$A$5:$A$111,$B131,'SỔ CÔNG NỢ'!$B$5:$B$111,D$115)=0,"",SUMIFS('SỔ CÔNG NỢ'!$K$5:$K$111,'SỔ CÔNG NỢ'!$A$5:$A$111,$B131,'SỔ CÔNG NỢ'!$B$5:$B$111,D$115)))</f>
        <v>30060000</v>
      </c>
      <c r="E131" s="27" t="str">
        <f aca="false">IF($B131="","",IF(COUNTIFS('SỔ CÔNG NỢ'!$A$5:$A$111,$B131,'SỔ CÔNG NỢ'!$B$5:$B$111,E$115)=0,"",SUMIFS('SỔ CÔNG NỢ'!$K$5:$K$111,'SỔ CÔNG NỢ'!$A$5:$A$111,$B131,'SỔ CÔNG NỢ'!$B$5:$B$111,E$115)))</f>
        <v/>
      </c>
      <c r="F131" s="27" t="str">
        <f aca="false">IF($B131="","",IF(COUNTIFS('SỔ CÔNG NỢ'!$A$5:$A$111,$B131,'SỔ CÔNG NỢ'!$B$5:$B$111,F$115)=0,"",SUMIFS('SỔ CÔNG NỢ'!$K$5:$K$111,'SỔ CÔNG NỢ'!$A$5:$A$111,$B131,'SỔ CÔNG NỢ'!$B$5:$B$111,F$115)))</f>
        <v/>
      </c>
      <c r="G131" s="27" t="str">
        <f aca="false">IF($B131="","",IF(COUNTIFS('SỔ CÔNG NỢ'!$A$5:$A$111,$B131,'SỔ CÔNG NỢ'!$B$5:$B$111,G$115)=0,"",SUMIFS('SỔ CÔNG NỢ'!$K$5:$K$111,'SỔ CÔNG NỢ'!$A$5:$A$111,$B131,'SỔ CÔNG NỢ'!$B$5:$B$111,G$115)))</f>
        <v/>
      </c>
      <c r="H131" s="27" t="str">
        <f aca="false">IF($B131="","",IF(COUNTIFS('SỔ CÔNG NỢ'!$A$5:$A$111,$B131,'SỔ CÔNG NỢ'!$B$5:$B$111,H$115)=0,"",SUMIFS('SỔ CÔNG NỢ'!$K$5:$K$111,'SỔ CÔNG NỢ'!$A$5:$A$111,$B131,'SỔ CÔNG NỢ'!$B$5:$B$111,H$115)))</f>
        <v/>
      </c>
    </row>
    <row r="132" customFormat="false" ht="15" hidden="false" customHeight="false" outlineLevel="0" collapsed="false">
      <c r="A132" s="26"/>
      <c r="B132" s="26" t="str">
        <f aca="false">IF($B25="","",$B25)</f>
        <v>Văn Thiệu Dương</v>
      </c>
      <c r="C132" s="27" t="n">
        <f aca="false">IF($B132="","",IF(COUNTIFS('SỔ CÔNG NỢ'!$A$5:$A$111,$B132,'SỔ CÔNG NỢ'!$B$5:$B$111,C$115)=0,"",SUMIFS('SỔ CÔNG NỢ'!$K$5:$K$111,'SỔ CÔNG NỢ'!$A$5:$A$111,$B132,'SỔ CÔNG NỢ'!$B$5:$B$111,C$115)))</f>
        <v>979440</v>
      </c>
      <c r="D132" s="27" t="str">
        <f aca="false">IF($B132="","",IF(COUNTIFS('SỔ CÔNG NỢ'!$A$5:$A$111,$B132,'SỔ CÔNG NỢ'!$B$5:$B$111,D$115)=0,"",SUMIFS('SỔ CÔNG NỢ'!$K$5:$K$111,'SỔ CÔNG NỢ'!$A$5:$A$111,$B132,'SỔ CÔNG NỢ'!$B$5:$B$111,D$115)))</f>
        <v/>
      </c>
      <c r="E132" s="27" t="str">
        <f aca="false">IF($B132="","",IF(COUNTIFS('SỔ CÔNG NỢ'!$A$5:$A$111,$B132,'SỔ CÔNG NỢ'!$B$5:$B$111,E$115)=0,"",SUMIFS('SỔ CÔNG NỢ'!$K$5:$K$111,'SỔ CÔNG NỢ'!$A$5:$A$111,$B132,'SỔ CÔNG NỢ'!$B$5:$B$111,E$115)))</f>
        <v/>
      </c>
      <c r="F132" s="27" t="str">
        <f aca="false">IF($B132="","",IF(COUNTIFS('SỔ CÔNG NỢ'!$A$5:$A$111,$B132,'SỔ CÔNG NỢ'!$B$5:$B$111,F$115)=0,"",SUMIFS('SỔ CÔNG NỢ'!$K$5:$K$111,'SỔ CÔNG NỢ'!$A$5:$A$111,$B132,'SỔ CÔNG NỢ'!$B$5:$B$111,F$115)))</f>
        <v/>
      </c>
      <c r="G132" s="27" t="str">
        <f aca="false">IF($B132="","",IF(COUNTIFS('SỔ CÔNG NỢ'!$A$5:$A$111,$B132,'SỔ CÔNG NỢ'!$B$5:$B$111,G$115)=0,"",SUMIFS('SỔ CÔNG NỢ'!$K$5:$K$111,'SỔ CÔNG NỢ'!$A$5:$A$111,$B132,'SỔ CÔNG NỢ'!$B$5:$B$111,G$115)))</f>
        <v/>
      </c>
      <c r="H132" s="27" t="str">
        <f aca="false">IF($B132="","",IF(COUNTIFS('SỔ CÔNG NỢ'!$A$5:$A$111,$B132,'SỔ CÔNG NỢ'!$B$5:$B$111,H$115)=0,"",SUMIFS('SỔ CÔNG NỢ'!$K$5:$K$111,'SỔ CÔNG NỢ'!$A$5:$A$111,$B132,'SỔ CÔNG NỢ'!$B$5:$B$111,H$115)))</f>
        <v/>
      </c>
    </row>
    <row r="133" customFormat="false" ht="15" hidden="false" customHeight="false" outlineLevel="0" collapsed="false">
      <c r="A133" s="26"/>
      <c r="B133" s="26" t="str">
        <f aca="false">IF($B26="","",$B26)</f>
        <v>Hòa Hiệp</v>
      </c>
      <c r="C133" s="27" t="n">
        <f aca="false">IF($B133="","",IF(COUNTIFS('SỔ CÔNG NỢ'!$A$5:$A$111,$B133,'SỔ CÔNG NỢ'!$B$5:$B$111,C$115)=0,"",SUMIFS('SỔ CÔNG NỢ'!$K$5:$K$111,'SỔ CÔNG NỢ'!$A$5:$A$111,$B133,'SỔ CÔNG NỢ'!$B$5:$B$111,C$115)))</f>
        <v>1500000</v>
      </c>
      <c r="D133" s="27" t="str">
        <f aca="false">IF($B133="","",IF(COUNTIFS('SỔ CÔNG NỢ'!$A$5:$A$111,$B133,'SỔ CÔNG NỢ'!$B$5:$B$111,D$115)=0,"",SUMIFS('SỔ CÔNG NỢ'!$K$5:$K$111,'SỔ CÔNG NỢ'!$A$5:$A$111,$B133,'SỔ CÔNG NỢ'!$B$5:$B$111,D$115)))</f>
        <v/>
      </c>
      <c r="E133" s="27" t="str">
        <f aca="false">IF($B133="","",IF(COUNTIFS('SỔ CÔNG NỢ'!$A$5:$A$111,$B133,'SỔ CÔNG NỢ'!$B$5:$B$111,E$115)=0,"",SUMIFS('SỔ CÔNG NỢ'!$K$5:$K$111,'SỔ CÔNG NỢ'!$A$5:$A$111,$B133,'SỔ CÔNG NỢ'!$B$5:$B$111,E$115)))</f>
        <v/>
      </c>
      <c r="F133" s="27" t="str">
        <f aca="false">IF($B133="","",IF(COUNTIFS('SỔ CÔNG NỢ'!$A$5:$A$111,$B133,'SỔ CÔNG NỢ'!$B$5:$B$111,F$115)=0,"",SUMIFS('SỔ CÔNG NỢ'!$K$5:$K$111,'SỔ CÔNG NỢ'!$A$5:$A$111,$B133,'SỔ CÔNG NỢ'!$B$5:$B$111,F$115)))</f>
        <v/>
      </c>
      <c r="G133" s="27" t="str">
        <f aca="false">IF($B133="","",IF(COUNTIFS('SỔ CÔNG NỢ'!$A$5:$A$111,$B133,'SỔ CÔNG NỢ'!$B$5:$B$111,G$115)=0,"",SUMIFS('SỔ CÔNG NỢ'!$K$5:$K$111,'SỔ CÔNG NỢ'!$A$5:$A$111,$B133,'SỔ CÔNG NỢ'!$B$5:$B$111,G$115)))</f>
        <v/>
      </c>
      <c r="H133" s="27" t="str">
        <f aca="false">IF($B133="","",IF(COUNTIFS('SỔ CÔNG NỢ'!$A$5:$A$111,$B133,'SỔ CÔNG NỢ'!$B$5:$B$111,H$115)=0,"",SUMIFS('SỔ CÔNG NỢ'!$K$5:$K$111,'SỔ CÔNG NỢ'!$A$5:$A$111,$B133,'SỔ CÔNG NỢ'!$B$5:$B$111,H$115)))</f>
        <v/>
      </c>
    </row>
    <row r="134" customFormat="false" ht="15" hidden="false" customHeight="false" outlineLevel="0" collapsed="false">
      <c r="A134" s="26"/>
      <c r="B134" s="26" t="str">
        <f aca="false">IF($B27="","",$B27)</f>
        <v>Anh Duẩn (Lĩnh Lộc)</v>
      </c>
      <c r="C134" s="27" t="n">
        <f aca="false">IF($B134="","",IF(COUNTIFS('SỔ CÔNG NỢ'!$A$5:$A$111,$B134,'SỔ CÔNG NỢ'!$B$5:$B$111,C$115)=0,"",SUMIFS('SỔ CÔNG NỢ'!$K$5:$K$111,'SỔ CÔNG NỢ'!$A$5:$A$111,$B134,'SỔ CÔNG NỢ'!$B$5:$B$111,C$115)))</f>
        <v>979440</v>
      </c>
      <c r="D134" s="27" t="str">
        <f aca="false">IF($B134="","",IF(COUNTIFS('SỔ CÔNG NỢ'!$A$5:$A$111,$B134,'SỔ CÔNG NỢ'!$B$5:$B$111,D$115)=0,"",SUMIFS('SỔ CÔNG NỢ'!$K$5:$K$111,'SỔ CÔNG NỢ'!$A$5:$A$111,$B134,'SỔ CÔNG NỢ'!$B$5:$B$111,D$115)))</f>
        <v/>
      </c>
      <c r="E134" s="27" t="str">
        <f aca="false">IF($B134="","",IF(COUNTIFS('SỔ CÔNG NỢ'!$A$5:$A$111,$B134,'SỔ CÔNG NỢ'!$B$5:$B$111,E$115)=0,"",SUMIFS('SỔ CÔNG NỢ'!$K$5:$K$111,'SỔ CÔNG NỢ'!$A$5:$A$111,$B134,'SỔ CÔNG NỢ'!$B$5:$B$111,E$115)))</f>
        <v/>
      </c>
      <c r="F134" s="27" t="str">
        <f aca="false">IF($B134="","",IF(COUNTIFS('SỔ CÔNG NỢ'!$A$5:$A$111,$B134,'SỔ CÔNG NỢ'!$B$5:$B$111,F$115)=0,"",SUMIFS('SỔ CÔNG NỢ'!$K$5:$K$111,'SỔ CÔNG NỢ'!$A$5:$A$111,$B134,'SỔ CÔNG NỢ'!$B$5:$B$111,F$115)))</f>
        <v/>
      </c>
      <c r="G134" s="27" t="str">
        <f aca="false">IF($B134="","",IF(COUNTIFS('SỔ CÔNG NỢ'!$A$5:$A$111,$B134,'SỔ CÔNG NỢ'!$B$5:$B$111,G$115)=0,"",SUMIFS('SỔ CÔNG NỢ'!$K$5:$K$111,'SỔ CÔNG NỢ'!$A$5:$A$111,$B134,'SỔ CÔNG NỢ'!$B$5:$B$111,G$115)))</f>
        <v/>
      </c>
      <c r="H134" s="27" t="str">
        <f aca="false">IF($B134="","",IF(COUNTIFS('SỔ CÔNG NỢ'!$A$5:$A$111,$B134,'SỔ CÔNG NỢ'!$B$5:$B$111,H$115)=0,"",SUMIFS('SỔ CÔNG NỢ'!$K$5:$K$111,'SỔ CÔNG NỢ'!$A$5:$A$111,$B134,'SỔ CÔNG NỢ'!$B$5:$B$111,H$115)))</f>
        <v/>
      </c>
    </row>
    <row r="135" customFormat="false" ht="15" hidden="false" customHeight="false" outlineLevel="0" collapsed="false">
      <c r="A135" s="26"/>
      <c r="B135" s="26" t="str">
        <f aca="false">IF($B28="","",$B28)</f>
        <v>Cô Khoa (Nông Cống)</v>
      </c>
      <c r="C135" s="27" t="n">
        <f aca="false">IF($B135="","",IF(COUNTIFS('SỔ CÔNG NỢ'!$A$5:$A$111,$B135,'SỔ CÔNG NỢ'!$B$5:$B$111,C$115)=0,"",SUMIFS('SỔ CÔNG NỢ'!$K$5:$K$111,'SỔ CÔNG NỢ'!$A$5:$A$111,$B135,'SỔ CÔNG NỢ'!$B$5:$B$111,C$115)))</f>
        <v>-1450000</v>
      </c>
      <c r="D135" s="27" t="str">
        <f aca="false">IF($B135="","",IF(COUNTIFS('SỔ CÔNG NỢ'!$A$5:$A$111,$B135,'SỔ CÔNG NỢ'!$B$5:$B$111,D$115)=0,"",SUMIFS('SỔ CÔNG NỢ'!$K$5:$K$111,'SỔ CÔNG NỢ'!$A$5:$A$111,$B135,'SỔ CÔNG NỢ'!$B$5:$B$111,D$115)))</f>
        <v/>
      </c>
      <c r="E135" s="27" t="str">
        <f aca="false">IF($B135="","",IF(COUNTIFS('SỔ CÔNG NỢ'!$A$5:$A$111,$B135,'SỔ CÔNG NỢ'!$B$5:$B$111,E$115)=0,"",SUMIFS('SỔ CÔNG NỢ'!$K$5:$K$111,'SỔ CÔNG NỢ'!$A$5:$A$111,$B135,'SỔ CÔNG NỢ'!$B$5:$B$111,E$115)))</f>
        <v/>
      </c>
      <c r="F135" s="27" t="str">
        <f aca="false">IF($B135="","",IF(COUNTIFS('SỔ CÔNG NỢ'!$A$5:$A$111,$B135,'SỔ CÔNG NỢ'!$B$5:$B$111,F$115)=0,"",SUMIFS('SỔ CÔNG NỢ'!$K$5:$K$111,'SỔ CÔNG NỢ'!$A$5:$A$111,$B135,'SỔ CÔNG NỢ'!$B$5:$B$111,F$115)))</f>
        <v/>
      </c>
      <c r="G135" s="27" t="str">
        <f aca="false">IF($B135="","",IF(COUNTIFS('SỔ CÔNG NỢ'!$A$5:$A$111,$B135,'SỔ CÔNG NỢ'!$B$5:$B$111,G$115)=0,"",SUMIFS('SỔ CÔNG NỢ'!$K$5:$K$111,'SỔ CÔNG NỢ'!$A$5:$A$111,$B135,'SỔ CÔNG NỢ'!$B$5:$B$111,G$115)))</f>
        <v/>
      </c>
      <c r="H135" s="27" t="str">
        <f aca="false">IF($B135="","",IF(COUNTIFS('SỔ CÔNG NỢ'!$A$5:$A$111,$B135,'SỔ CÔNG NỢ'!$B$5:$B$111,H$115)=0,"",SUMIFS('SỔ CÔNG NỢ'!$K$5:$K$111,'SỔ CÔNG NỢ'!$A$5:$A$111,$B135,'SỔ CÔNG NỢ'!$B$5:$B$111,H$115)))</f>
        <v/>
      </c>
    </row>
    <row r="136" customFormat="false" ht="15" hidden="false" customHeight="false" outlineLevel="0" collapsed="false">
      <c r="A136" s="26"/>
      <c r="B136" s="26" t="str">
        <f aca="false">IF($B29="","",$B29)</f>
        <v>Công Thành</v>
      </c>
      <c r="C136" s="27" t="n">
        <f aca="false">IF($B136="","",IF(COUNTIFS('SỔ CÔNG NỢ'!$A$5:$A$111,$B136,'SỔ CÔNG NỢ'!$B$5:$B$111,C$115)=0,"",SUMIFS('SỔ CÔNG NỢ'!$K$5:$K$111,'SỔ CÔNG NỢ'!$A$5:$A$111,$B136,'SỔ CÔNG NỢ'!$B$5:$B$111,C$115)))</f>
        <v>0</v>
      </c>
      <c r="D136" s="27" t="n">
        <f aca="false">IF($B136="","",IF(COUNTIFS('SỔ CÔNG NỢ'!$A$5:$A$111,$B136,'SỔ CÔNG NỢ'!$B$5:$B$111,D$115)=0,"",SUMIFS('SỔ CÔNG NỢ'!$K$5:$K$111,'SỔ CÔNG NỢ'!$A$5:$A$111,$B136,'SỔ CÔNG NỢ'!$B$5:$B$111,D$115)))</f>
        <v>28600000</v>
      </c>
      <c r="E136" s="27" t="str">
        <f aca="false">IF($B136="","",IF(COUNTIFS('SỔ CÔNG NỢ'!$A$5:$A$111,$B136,'SỔ CÔNG NỢ'!$B$5:$B$111,E$115)=0,"",SUMIFS('SỔ CÔNG NỢ'!$K$5:$K$111,'SỔ CÔNG NỢ'!$A$5:$A$111,$B136,'SỔ CÔNG NỢ'!$B$5:$B$111,E$115)))</f>
        <v/>
      </c>
      <c r="F136" s="27" t="n">
        <f aca="false">IF($B136="","",IF(COUNTIFS('SỔ CÔNG NỢ'!$A$5:$A$111,$B136,'SỔ CÔNG NỢ'!$B$5:$B$111,F$115)=0,"",SUMIFS('SỔ CÔNG NỢ'!$K$5:$K$111,'SỔ CÔNG NỢ'!$A$5:$A$111,$B136,'SỔ CÔNG NỢ'!$B$5:$B$111,F$115)))</f>
        <v>0</v>
      </c>
      <c r="G136" s="27" t="str">
        <f aca="false">IF($B136="","",IF(COUNTIFS('SỔ CÔNG NỢ'!$A$5:$A$111,$B136,'SỔ CÔNG NỢ'!$B$5:$B$111,G$115)=0,"",SUMIFS('SỔ CÔNG NỢ'!$K$5:$K$111,'SỔ CÔNG NỢ'!$A$5:$A$111,$B136,'SỔ CÔNG NỢ'!$B$5:$B$111,G$115)))</f>
        <v/>
      </c>
      <c r="H136" s="27" t="str">
        <f aca="false">IF($B136="","",IF(COUNTIFS('SỔ CÔNG NỢ'!$A$5:$A$111,$B136,'SỔ CÔNG NỢ'!$B$5:$B$111,H$115)=0,"",SUMIFS('SỔ CÔNG NỢ'!$K$5:$K$111,'SỔ CÔNG NỢ'!$A$5:$A$111,$B136,'SỔ CÔNG NỢ'!$B$5:$B$111,H$115)))</f>
        <v/>
      </c>
    </row>
    <row r="137" customFormat="false" ht="15" hidden="false" customHeight="false" outlineLevel="0" collapsed="false">
      <c r="A137" s="26"/>
      <c r="B137" s="26" t="str">
        <f aca="false">IF($B30="","",$B30)</f>
        <v>Quân Sen</v>
      </c>
      <c r="C137" s="27" t="n">
        <f aca="false">IF($B137="","",IF(COUNTIFS('SỔ CÔNG NỢ'!$A$5:$A$111,$B137,'SỔ CÔNG NỢ'!$B$5:$B$111,C$115)=0,"",SUMIFS('SỔ CÔNG NỢ'!$K$5:$K$111,'SỔ CÔNG NỢ'!$A$5:$A$111,$B137,'SỔ CÔNG NỢ'!$B$5:$B$111,C$115)))</f>
        <v>17100000</v>
      </c>
      <c r="D137" s="27" t="n">
        <f aca="false">IF($B137="","",IF(COUNTIFS('SỔ CÔNG NỢ'!$A$5:$A$111,$B137,'SỔ CÔNG NỢ'!$B$5:$B$111,D$115)=0,"",SUMIFS('SỔ CÔNG NỢ'!$K$5:$K$111,'SỔ CÔNG NỢ'!$A$5:$A$111,$B137,'SỔ CÔNG NỢ'!$B$5:$B$111,D$115)))</f>
        <v>0</v>
      </c>
      <c r="E137" s="27" t="n">
        <f aca="false">IF($B137="","",IF(COUNTIFS('SỔ CÔNG NỢ'!$A$5:$A$111,$B137,'SỔ CÔNG NỢ'!$B$5:$B$111,E$115)=0,"",SUMIFS('SỔ CÔNG NỢ'!$K$5:$K$111,'SỔ CÔNG NỢ'!$A$5:$A$111,$B137,'SỔ CÔNG NỢ'!$B$5:$B$111,E$115)))</f>
        <v>19000000</v>
      </c>
      <c r="F137" s="27" t="n">
        <f aca="false">IF($B137="","",IF(COUNTIFS('SỔ CÔNG NỢ'!$A$5:$A$111,$B137,'SỔ CÔNG NỢ'!$B$5:$B$111,F$115)=0,"",SUMIFS('SỔ CÔNG NỢ'!$K$5:$K$111,'SỔ CÔNG NỢ'!$A$5:$A$111,$B137,'SỔ CÔNG NỢ'!$B$5:$B$111,F$115)))</f>
        <v>0</v>
      </c>
      <c r="G137" s="27" t="str">
        <f aca="false">IF($B137="","",IF(COUNTIFS('SỔ CÔNG NỢ'!$A$5:$A$111,$B137,'SỔ CÔNG NỢ'!$B$5:$B$111,G$115)=0,"",SUMIFS('SỔ CÔNG NỢ'!$K$5:$K$111,'SỔ CÔNG NỢ'!$A$5:$A$111,$B137,'SỔ CÔNG NỢ'!$B$5:$B$111,G$115)))</f>
        <v/>
      </c>
      <c r="H137" s="27" t="str">
        <f aca="false">IF($B137="","",IF(COUNTIFS('SỔ CÔNG NỢ'!$A$5:$A$111,$B137,'SỔ CÔNG NỢ'!$B$5:$B$111,H$115)=0,"",SUMIFS('SỔ CÔNG NỢ'!$K$5:$K$111,'SỔ CÔNG NỢ'!$A$5:$A$111,$B137,'SỔ CÔNG NỢ'!$B$5:$B$111,H$115)))</f>
        <v/>
      </c>
    </row>
    <row r="138" customFormat="false" ht="15" hidden="false" customHeight="false" outlineLevel="0" collapsed="false">
      <c r="A138" s="26"/>
      <c r="B138" s="26" t="str">
        <f aca="false">IF($B31="","",$B31)</f>
        <v>Anh Việt (Thiệu Vân)</v>
      </c>
      <c r="C138" s="27" t="n">
        <f aca="false">IF($B138="","",IF(COUNTIFS('SỔ CÔNG NỢ'!$A$5:$A$111,$B138,'SỔ CÔNG NỢ'!$B$5:$B$111,C$115)=0,"",SUMIFS('SỔ CÔNG NỢ'!$K$5:$K$111,'SỔ CÔNG NỢ'!$A$5:$A$111,$B138,'SỔ CÔNG NỢ'!$B$5:$B$111,C$115)))</f>
        <v>10000000</v>
      </c>
      <c r="D138" s="27" t="str">
        <f aca="false">IF($B138="","",IF(COUNTIFS('SỔ CÔNG NỢ'!$A$5:$A$111,$B138,'SỔ CÔNG NỢ'!$B$5:$B$111,D$115)=0,"",SUMIFS('SỔ CÔNG NỢ'!$K$5:$K$111,'SỔ CÔNG NỢ'!$A$5:$A$111,$B138,'SỔ CÔNG NỢ'!$B$5:$B$111,D$115)))</f>
        <v/>
      </c>
      <c r="E138" s="27" t="str">
        <f aca="false">IF($B138="","",IF(COUNTIFS('SỔ CÔNG NỢ'!$A$5:$A$111,$B138,'SỔ CÔNG NỢ'!$B$5:$B$111,E$115)=0,"",SUMIFS('SỔ CÔNG NỢ'!$K$5:$K$111,'SỔ CÔNG NỢ'!$A$5:$A$111,$B138,'SỔ CÔNG NỢ'!$B$5:$B$111,E$115)))</f>
        <v/>
      </c>
      <c r="F138" s="27" t="str">
        <f aca="false">IF($B138="","",IF(COUNTIFS('SỔ CÔNG NỢ'!$A$5:$A$111,$B138,'SỔ CÔNG NỢ'!$B$5:$B$111,F$115)=0,"",SUMIFS('SỔ CÔNG NỢ'!$K$5:$K$111,'SỔ CÔNG NỢ'!$A$5:$A$111,$B138,'SỔ CÔNG NỢ'!$B$5:$B$111,F$115)))</f>
        <v/>
      </c>
      <c r="G138" s="27" t="str">
        <f aca="false">IF($B138="","",IF(COUNTIFS('SỔ CÔNG NỢ'!$A$5:$A$111,$B138,'SỔ CÔNG NỢ'!$B$5:$B$111,G$115)=0,"",SUMIFS('SỔ CÔNG NỢ'!$K$5:$K$111,'SỔ CÔNG NỢ'!$A$5:$A$111,$B138,'SỔ CÔNG NỢ'!$B$5:$B$111,G$115)))</f>
        <v/>
      </c>
      <c r="H138" s="27" t="str">
        <f aca="false">IF($B138="","",IF(COUNTIFS('SỔ CÔNG NỢ'!$A$5:$A$111,$B138,'SỔ CÔNG NỢ'!$B$5:$B$111,H$115)=0,"",SUMIFS('SỔ CÔNG NỢ'!$K$5:$K$111,'SỔ CÔNG NỢ'!$A$5:$A$111,$B138,'SỔ CÔNG NỢ'!$B$5:$B$111,H$115)))</f>
        <v/>
      </c>
    </row>
    <row r="139" customFormat="false" ht="15" hidden="false" customHeight="false" outlineLevel="0" collapsed="false">
      <c r="A139" s="26"/>
      <c r="B139" s="26" t="str">
        <f aca="false">IF($B32="","",$B32)</f>
        <v/>
      </c>
      <c r="C139" s="27" t="str">
        <f aca="false">IF($B139="","",IF(COUNTIFS('SỔ CÔNG NỢ'!$A$5:$A$111,$B139,'SỔ CÔNG NỢ'!$B$5:$B$111,C$115)=0,"",SUMIFS('SỔ CÔNG NỢ'!$K$5:$K$111,'SỔ CÔNG NỢ'!$A$5:$A$111,$B139,'SỔ CÔNG NỢ'!$B$5:$B$111,C$115)))</f>
        <v/>
      </c>
      <c r="D139" s="27" t="str">
        <f aca="false">IF($B139="","",IF(COUNTIFS('SỔ CÔNG NỢ'!$A$5:$A$111,$B139,'SỔ CÔNG NỢ'!$B$5:$B$111,D$115)=0,"",SUMIFS('SỔ CÔNG NỢ'!$K$5:$K$111,'SỔ CÔNG NỢ'!$A$5:$A$111,$B139,'SỔ CÔNG NỢ'!$B$5:$B$111,D$115)))</f>
        <v/>
      </c>
      <c r="E139" s="27" t="str">
        <f aca="false">IF($B139="","",IF(COUNTIFS('SỔ CÔNG NỢ'!$A$5:$A$111,$B139,'SỔ CÔNG NỢ'!$B$5:$B$111,E$115)=0,"",SUMIFS('SỔ CÔNG NỢ'!$K$5:$K$111,'SỔ CÔNG NỢ'!$A$5:$A$111,$B139,'SỔ CÔNG NỢ'!$B$5:$B$111,E$115)))</f>
        <v/>
      </c>
      <c r="F139" s="27" t="str">
        <f aca="false">IF($B139="","",IF(COUNTIFS('SỔ CÔNG NỢ'!$A$5:$A$111,$B139,'SỔ CÔNG NỢ'!$B$5:$B$111,F$115)=0,"",SUMIFS('SỔ CÔNG NỢ'!$K$5:$K$111,'SỔ CÔNG NỢ'!$A$5:$A$111,$B139,'SỔ CÔNG NỢ'!$B$5:$B$111,F$115)))</f>
        <v/>
      </c>
      <c r="G139" s="27" t="str">
        <f aca="false">IF($B139="","",IF(COUNTIFS('SỔ CÔNG NỢ'!$A$5:$A$111,$B139,'SỔ CÔNG NỢ'!$B$5:$B$111,G$115)=0,"",SUMIFS('SỔ CÔNG NỢ'!$K$5:$K$111,'SỔ CÔNG NỢ'!$A$5:$A$111,$B139,'SỔ CÔNG NỢ'!$B$5:$B$111,G$115)))</f>
        <v/>
      </c>
      <c r="H139" s="27" t="str">
        <f aca="false">IF($B139="","",IF(COUNTIFS('SỔ CÔNG NỢ'!$A$5:$A$111,$B139,'SỔ CÔNG NỢ'!$B$5:$B$111,H$115)=0,"",SUMIFS('SỔ CÔNG NỢ'!$K$5:$K$111,'SỔ CÔNG NỢ'!$A$5:$A$111,$B139,'SỔ CÔNG NỢ'!$B$5:$B$111,H$115)))</f>
        <v/>
      </c>
    </row>
    <row r="140" customFormat="false" ht="15" hidden="false" customHeight="false" outlineLevel="0" collapsed="false">
      <c r="A140" s="26"/>
      <c r="B140" s="26" t="str">
        <f aca="false">IF($B33="","",$B33)</f>
        <v/>
      </c>
      <c r="C140" s="27" t="str">
        <f aca="false">IF($B140="","",IF(COUNTIFS('SỔ CÔNG NỢ'!$A$5:$A$111,$B140,'SỔ CÔNG NỢ'!$B$5:$B$111,C$115)=0,"",SUMIFS('SỔ CÔNG NỢ'!$K$5:$K$111,'SỔ CÔNG NỢ'!$A$5:$A$111,$B140,'SỔ CÔNG NỢ'!$B$5:$B$111,C$115)))</f>
        <v/>
      </c>
      <c r="D140" s="27" t="str">
        <f aca="false">IF($B140="","",IF(COUNTIFS('SỔ CÔNG NỢ'!$A$5:$A$111,$B140,'SỔ CÔNG NỢ'!$B$5:$B$111,D$115)=0,"",SUMIFS('SỔ CÔNG NỢ'!$K$5:$K$111,'SỔ CÔNG NỢ'!$A$5:$A$111,$B140,'SỔ CÔNG NỢ'!$B$5:$B$111,D$115)))</f>
        <v/>
      </c>
      <c r="E140" s="27" t="str">
        <f aca="false">IF($B140="","",IF(COUNTIFS('SỔ CÔNG NỢ'!$A$5:$A$111,$B140,'SỔ CÔNG NỢ'!$B$5:$B$111,E$115)=0,"",SUMIFS('SỔ CÔNG NỢ'!$K$5:$K$111,'SỔ CÔNG NỢ'!$A$5:$A$111,$B140,'SỔ CÔNG NỢ'!$B$5:$B$111,E$115)))</f>
        <v/>
      </c>
      <c r="F140" s="27" t="str">
        <f aca="false">IF($B140="","",IF(COUNTIFS('SỔ CÔNG NỢ'!$A$5:$A$111,$B140,'SỔ CÔNG NỢ'!$B$5:$B$111,F$115)=0,"",SUMIFS('SỔ CÔNG NỢ'!$K$5:$K$111,'SỔ CÔNG NỢ'!$A$5:$A$111,$B140,'SỔ CÔNG NỢ'!$B$5:$B$111,F$115)))</f>
        <v/>
      </c>
      <c r="G140" s="27" t="str">
        <f aca="false">IF($B140="","",IF(COUNTIFS('SỔ CÔNG NỢ'!$A$5:$A$111,$B140,'SỔ CÔNG NỢ'!$B$5:$B$111,G$115)=0,"",SUMIFS('SỔ CÔNG NỢ'!$K$5:$K$111,'SỔ CÔNG NỢ'!$A$5:$A$111,$B140,'SỔ CÔNG NỢ'!$B$5:$B$111,G$115)))</f>
        <v/>
      </c>
      <c r="H140" s="27" t="str">
        <f aca="false">IF($B140="","",IF(COUNTIFS('SỔ CÔNG NỢ'!$A$5:$A$111,$B140,'SỔ CÔNG NỢ'!$B$5:$B$111,H$115)=0,"",SUMIFS('SỔ CÔNG NỢ'!$K$5:$K$111,'SỔ CÔNG NỢ'!$A$5:$A$111,$B140,'SỔ CÔNG NỢ'!$B$5:$B$111,H$115)))</f>
        <v/>
      </c>
    </row>
    <row r="141" customFormat="false" ht="15" hidden="false" customHeight="false" outlineLevel="0" collapsed="false">
      <c r="A141" s="26"/>
      <c r="B141" s="26" t="str">
        <f aca="false">IF($B34="","",$B34)</f>
        <v/>
      </c>
      <c r="C141" s="27" t="str">
        <f aca="false">IF($B141="","",IF(COUNTIFS('SỔ CÔNG NỢ'!$A$5:$A$111,$B141,'SỔ CÔNG NỢ'!$B$5:$B$111,C$115)=0,"",SUMIFS('SỔ CÔNG NỢ'!$K$5:$K$111,'SỔ CÔNG NỢ'!$A$5:$A$111,$B141,'SỔ CÔNG NỢ'!$B$5:$B$111,C$115)))</f>
        <v/>
      </c>
      <c r="D141" s="27" t="str">
        <f aca="false">IF($B141="","",IF(COUNTIFS('SỔ CÔNG NỢ'!$A$5:$A$111,$B141,'SỔ CÔNG NỢ'!$B$5:$B$111,D$115)=0,"",SUMIFS('SỔ CÔNG NỢ'!$K$5:$K$111,'SỔ CÔNG NỢ'!$A$5:$A$111,$B141,'SỔ CÔNG NỢ'!$B$5:$B$111,D$115)))</f>
        <v/>
      </c>
      <c r="E141" s="27" t="str">
        <f aca="false">IF($B141="","",IF(COUNTIFS('SỔ CÔNG NỢ'!$A$5:$A$111,$B141,'SỔ CÔNG NỢ'!$B$5:$B$111,E$115)=0,"",SUMIFS('SỔ CÔNG NỢ'!$K$5:$K$111,'SỔ CÔNG NỢ'!$A$5:$A$111,$B141,'SỔ CÔNG NỢ'!$B$5:$B$111,E$115)))</f>
        <v/>
      </c>
      <c r="F141" s="27" t="str">
        <f aca="false">IF($B141="","",IF(COUNTIFS('SỔ CÔNG NỢ'!$A$5:$A$111,$B141,'SỔ CÔNG NỢ'!$B$5:$B$111,F$115)=0,"",SUMIFS('SỔ CÔNG NỢ'!$K$5:$K$111,'SỔ CÔNG NỢ'!$A$5:$A$111,$B141,'SỔ CÔNG NỢ'!$B$5:$B$111,F$115)))</f>
        <v/>
      </c>
      <c r="G141" s="27" t="str">
        <f aca="false">IF($B141="","",IF(COUNTIFS('SỔ CÔNG NỢ'!$A$5:$A$111,$B141,'SỔ CÔNG NỢ'!$B$5:$B$111,G$115)=0,"",SUMIFS('SỔ CÔNG NỢ'!$K$5:$K$111,'SỔ CÔNG NỢ'!$A$5:$A$111,$B141,'SỔ CÔNG NỢ'!$B$5:$B$111,G$115)))</f>
        <v/>
      </c>
      <c r="H141" s="27" t="str">
        <f aca="false">IF($B141="","",IF(COUNTIFS('SỔ CÔNG NỢ'!$A$5:$A$111,$B141,'SỔ CÔNG NỢ'!$B$5:$B$111,H$115)=0,"",SUMIFS('SỔ CÔNG NỢ'!$K$5:$K$111,'SỔ CÔNG NỢ'!$A$5:$A$111,$B141,'SỔ CÔNG NỢ'!$B$5:$B$111,H$115)))</f>
        <v/>
      </c>
    </row>
    <row r="142" customFormat="false" ht="15" hidden="false" customHeight="false" outlineLevel="0" collapsed="false">
      <c r="A142" s="26"/>
      <c r="B142" s="26" t="str">
        <f aca="false">IF($B35="","",$B35)</f>
        <v/>
      </c>
      <c r="C142" s="27" t="str">
        <f aca="false">IF($B142="","",IF(COUNTIFS('SỔ CÔNG NỢ'!$A$5:$A$111,$B142,'SỔ CÔNG NỢ'!$B$5:$B$111,C$115)=0,"",SUMIFS('SỔ CÔNG NỢ'!$K$5:$K$111,'SỔ CÔNG NỢ'!$A$5:$A$111,$B142,'SỔ CÔNG NỢ'!$B$5:$B$111,C$115)))</f>
        <v/>
      </c>
      <c r="D142" s="27" t="str">
        <f aca="false">IF($B142="","",IF(COUNTIFS('SỔ CÔNG NỢ'!$A$5:$A$111,$B142,'SỔ CÔNG NỢ'!$B$5:$B$111,D$115)=0,"",SUMIFS('SỔ CÔNG NỢ'!$K$5:$K$111,'SỔ CÔNG NỢ'!$A$5:$A$111,$B142,'SỔ CÔNG NỢ'!$B$5:$B$111,D$115)))</f>
        <v/>
      </c>
      <c r="E142" s="27" t="str">
        <f aca="false">IF($B142="","",IF(COUNTIFS('SỔ CÔNG NỢ'!$A$5:$A$111,$B142,'SỔ CÔNG NỢ'!$B$5:$B$111,E$115)=0,"",SUMIFS('SỔ CÔNG NỢ'!$K$5:$K$111,'SỔ CÔNG NỢ'!$A$5:$A$111,$B142,'SỔ CÔNG NỢ'!$B$5:$B$111,E$115)))</f>
        <v/>
      </c>
      <c r="F142" s="27" t="str">
        <f aca="false">IF($B142="","",IF(COUNTIFS('SỔ CÔNG NỢ'!$A$5:$A$111,$B142,'SỔ CÔNG NỢ'!$B$5:$B$111,F$115)=0,"",SUMIFS('SỔ CÔNG NỢ'!$K$5:$K$111,'SỔ CÔNG NỢ'!$A$5:$A$111,$B142,'SỔ CÔNG NỢ'!$B$5:$B$111,F$115)))</f>
        <v/>
      </c>
      <c r="G142" s="27" t="str">
        <f aca="false">IF($B142="","",IF(COUNTIFS('SỔ CÔNG NỢ'!$A$5:$A$111,$B142,'SỔ CÔNG NỢ'!$B$5:$B$111,G$115)=0,"",SUMIFS('SỔ CÔNG NỢ'!$K$5:$K$111,'SỔ CÔNG NỢ'!$A$5:$A$111,$B142,'SỔ CÔNG NỢ'!$B$5:$B$111,G$115)))</f>
        <v/>
      </c>
      <c r="H142" s="27" t="str">
        <f aca="false">IF($B142="","",IF(COUNTIFS('SỔ CÔNG NỢ'!$A$5:$A$111,$B142,'SỔ CÔNG NỢ'!$B$5:$B$111,H$115)=0,"",SUMIFS('SỔ CÔNG NỢ'!$K$5:$K$111,'SỔ CÔNG NỢ'!$A$5:$A$111,$B142,'SỔ CÔNG NỢ'!$B$5:$B$111,H$115)))</f>
        <v/>
      </c>
    </row>
    <row r="143" customFormat="false" ht="15" hidden="false" customHeight="false" outlineLevel="0" collapsed="false">
      <c r="A143" s="26"/>
      <c r="B143" s="26" t="str">
        <f aca="false">IF($B36="","",$B36)</f>
        <v/>
      </c>
      <c r="C143" s="27" t="str">
        <f aca="false">IF($B143="","",IF(COUNTIFS('SỔ CÔNG NỢ'!$A$5:$A$111,$B143,'SỔ CÔNG NỢ'!$B$5:$B$111,C$115)=0,"",SUMIFS('SỔ CÔNG NỢ'!$K$5:$K$111,'SỔ CÔNG NỢ'!$A$5:$A$111,$B143,'SỔ CÔNG NỢ'!$B$5:$B$111,C$115)))</f>
        <v/>
      </c>
      <c r="D143" s="27" t="str">
        <f aca="false">IF($B143="","",IF(COUNTIFS('SỔ CÔNG NỢ'!$A$5:$A$111,$B143,'SỔ CÔNG NỢ'!$B$5:$B$111,D$115)=0,"",SUMIFS('SỔ CÔNG NỢ'!$K$5:$K$111,'SỔ CÔNG NỢ'!$A$5:$A$111,$B143,'SỔ CÔNG NỢ'!$B$5:$B$111,D$115)))</f>
        <v/>
      </c>
      <c r="E143" s="27" t="str">
        <f aca="false">IF($B143="","",IF(COUNTIFS('SỔ CÔNG NỢ'!$A$5:$A$111,$B143,'SỔ CÔNG NỢ'!$B$5:$B$111,E$115)=0,"",SUMIFS('SỔ CÔNG NỢ'!$K$5:$K$111,'SỔ CÔNG NỢ'!$A$5:$A$111,$B143,'SỔ CÔNG NỢ'!$B$5:$B$111,E$115)))</f>
        <v/>
      </c>
      <c r="F143" s="27" t="str">
        <f aca="false">IF($B143="","",IF(COUNTIFS('SỔ CÔNG NỢ'!$A$5:$A$111,$B143,'SỔ CÔNG NỢ'!$B$5:$B$111,F$115)=0,"",SUMIFS('SỔ CÔNG NỢ'!$K$5:$K$111,'SỔ CÔNG NỢ'!$A$5:$A$111,$B143,'SỔ CÔNG NỢ'!$B$5:$B$111,F$115)))</f>
        <v/>
      </c>
      <c r="G143" s="27" t="str">
        <f aca="false">IF($B143="","",IF(COUNTIFS('SỔ CÔNG NỢ'!$A$5:$A$111,$B143,'SỔ CÔNG NỢ'!$B$5:$B$111,G$115)=0,"",SUMIFS('SỔ CÔNG NỢ'!$K$5:$K$111,'SỔ CÔNG NỢ'!$A$5:$A$111,$B143,'SỔ CÔNG NỢ'!$B$5:$B$111,G$115)))</f>
        <v/>
      </c>
      <c r="H143" s="27" t="str">
        <f aca="false">IF($B143="","",IF(COUNTIFS('SỔ CÔNG NỢ'!$A$5:$A$111,$B143,'SỔ CÔNG NỢ'!$B$5:$B$111,H$115)=0,"",SUMIFS('SỔ CÔNG NỢ'!$K$5:$K$111,'SỔ CÔNG NỢ'!$A$5:$A$111,$B143,'SỔ CÔNG NỢ'!$B$5:$B$111,H$115)))</f>
        <v/>
      </c>
    </row>
    <row r="144" customFormat="false" ht="15" hidden="false" customHeight="false" outlineLevel="0" collapsed="false">
      <c r="A144" s="26"/>
      <c r="B144" s="26" t="str">
        <f aca="false">IF($B37="","",$B37)</f>
        <v/>
      </c>
      <c r="C144" s="27" t="str">
        <f aca="false">IF($B144="","",IF(COUNTIFS('SỔ CÔNG NỢ'!$A$5:$A$111,$B144,'SỔ CÔNG NỢ'!$B$5:$B$111,C$115)=0,"",SUMIFS('SỔ CÔNG NỢ'!$K$5:$K$111,'SỔ CÔNG NỢ'!$A$5:$A$111,$B144,'SỔ CÔNG NỢ'!$B$5:$B$111,C$115)))</f>
        <v/>
      </c>
      <c r="D144" s="27" t="str">
        <f aca="false">IF($B144="","",IF(COUNTIFS('SỔ CÔNG NỢ'!$A$5:$A$111,$B144,'SỔ CÔNG NỢ'!$B$5:$B$111,D$115)=0,"",SUMIFS('SỔ CÔNG NỢ'!$K$5:$K$111,'SỔ CÔNG NỢ'!$A$5:$A$111,$B144,'SỔ CÔNG NỢ'!$B$5:$B$111,D$115)))</f>
        <v/>
      </c>
      <c r="E144" s="27" t="str">
        <f aca="false">IF($B144="","",IF(COUNTIFS('SỔ CÔNG NỢ'!$A$5:$A$111,$B144,'SỔ CÔNG NỢ'!$B$5:$B$111,E$115)=0,"",SUMIFS('SỔ CÔNG NỢ'!$K$5:$K$111,'SỔ CÔNG NỢ'!$A$5:$A$111,$B144,'SỔ CÔNG NỢ'!$B$5:$B$111,E$115)))</f>
        <v/>
      </c>
      <c r="F144" s="27" t="str">
        <f aca="false">IF($B144="","",IF(COUNTIFS('SỔ CÔNG NỢ'!$A$5:$A$111,$B144,'SỔ CÔNG NỢ'!$B$5:$B$111,F$115)=0,"",SUMIFS('SỔ CÔNG NỢ'!$K$5:$K$111,'SỔ CÔNG NỢ'!$A$5:$A$111,$B144,'SỔ CÔNG NỢ'!$B$5:$B$111,F$115)))</f>
        <v/>
      </c>
      <c r="G144" s="27" t="str">
        <f aca="false">IF($B144="","",IF(COUNTIFS('SỔ CÔNG NỢ'!$A$5:$A$111,$B144,'SỔ CÔNG NỢ'!$B$5:$B$111,G$115)=0,"",SUMIFS('SỔ CÔNG NỢ'!$K$5:$K$111,'SỔ CÔNG NỢ'!$A$5:$A$111,$B144,'SỔ CÔNG NỢ'!$B$5:$B$111,G$115)))</f>
        <v/>
      </c>
      <c r="H144" s="27" t="str">
        <f aca="false">IF($B144="","",IF(COUNTIFS('SỔ CÔNG NỢ'!$A$5:$A$111,$B144,'SỔ CÔNG NỢ'!$B$5:$B$111,H$115)=0,"",SUMIFS('SỔ CÔNG NỢ'!$K$5:$K$111,'SỔ CÔNG NỢ'!$A$5:$A$111,$B144,'SỔ CÔNG NỢ'!$B$5:$B$111,H$115)))</f>
        <v/>
      </c>
    </row>
    <row r="145" customFormat="false" ht="15" hidden="false" customHeight="false" outlineLevel="0" collapsed="false">
      <c r="A145" s="26"/>
      <c r="B145" s="26" t="str">
        <f aca="false">IF($B38="","",$B38)</f>
        <v/>
      </c>
      <c r="C145" s="27" t="str">
        <f aca="false">IF($B145="","",IF(COUNTIFS('SỔ CÔNG NỢ'!$A$5:$A$111,$B145,'SỔ CÔNG NỢ'!$B$5:$B$111,C$115)=0,"",SUMIFS('SỔ CÔNG NỢ'!$K$5:$K$111,'SỔ CÔNG NỢ'!$A$5:$A$111,$B145,'SỔ CÔNG NỢ'!$B$5:$B$111,C$115)))</f>
        <v/>
      </c>
      <c r="D145" s="27" t="str">
        <f aca="false">IF($B145="","",IF(COUNTIFS('SỔ CÔNG NỢ'!$A$5:$A$111,$B145,'SỔ CÔNG NỢ'!$B$5:$B$111,D$115)=0,"",SUMIFS('SỔ CÔNG NỢ'!$K$5:$K$111,'SỔ CÔNG NỢ'!$A$5:$A$111,$B145,'SỔ CÔNG NỢ'!$B$5:$B$111,D$115)))</f>
        <v/>
      </c>
      <c r="E145" s="27" t="str">
        <f aca="false">IF($B145="","",IF(COUNTIFS('SỔ CÔNG NỢ'!$A$5:$A$111,$B145,'SỔ CÔNG NỢ'!$B$5:$B$111,E$115)=0,"",SUMIFS('SỔ CÔNG NỢ'!$K$5:$K$111,'SỔ CÔNG NỢ'!$A$5:$A$111,$B145,'SỔ CÔNG NỢ'!$B$5:$B$111,E$115)))</f>
        <v/>
      </c>
      <c r="F145" s="27" t="str">
        <f aca="false">IF($B145="","",IF(COUNTIFS('SỔ CÔNG NỢ'!$A$5:$A$111,$B145,'SỔ CÔNG NỢ'!$B$5:$B$111,F$115)=0,"",SUMIFS('SỔ CÔNG NỢ'!$K$5:$K$111,'SỔ CÔNG NỢ'!$A$5:$A$111,$B145,'SỔ CÔNG NỢ'!$B$5:$B$111,F$115)))</f>
        <v/>
      </c>
      <c r="G145" s="27" t="str">
        <f aca="false">IF($B145="","",IF(COUNTIFS('SỔ CÔNG NỢ'!$A$5:$A$111,$B145,'SỔ CÔNG NỢ'!$B$5:$B$111,G$115)=0,"",SUMIFS('SỔ CÔNG NỢ'!$K$5:$K$111,'SỔ CÔNG NỢ'!$A$5:$A$111,$B145,'SỔ CÔNG NỢ'!$B$5:$B$111,G$115)))</f>
        <v/>
      </c>
      <c r="H145" s="27" t="str">
        <f aca="false">IF($B145="","",IF(COUNTIFS('SỔ CÔNG NỢ'!$A$5:$A$111,$B145,'SỔ CÔNG NỢ'!$B$5:$B$111,H$115)=0,"",SUMIFS('SỔ CÔNG NỢ'!$K$5:$K$111,'SỔ CÔNG NỢ'!$A$5:$A$111,$B145,'SỔ CÔNG NỢ'!$B$5:$B$111,H$115)))</f>
        <v/>
      </c>
    </row>
    <row r="146" customFormat="false" ht="15" hidden="false" customHeight="false" outlineLevel="0" collapsed="false">
      <c r="A146" s="28"/>
      <c r="B146" s="28" t="s">
        <v>45</v>
      </c>
      <c r="C146" s="29" t="n">
        <f aca="false">SUM(C116:C145)</f>
        <v>73008880</v>
      </c>
      <c r="D146" s="29" t="n">
        <f aca="false">SUM(D116:D145)</f>
        <v>168250000</v>
      </c>
      <c r="E146" s="29" t="n">
        <f aca="false">SUM(E116:E145)</f>
        <v>82240000</v>
      </c>
      <c r="F146" s="29" t="n">
        <f aca="false">SUM(F116:F145)</f>
        <v>58935000</v>
      </c>
      <c r="G146" s="29" t="n">
        <f aca="false">SUM(G116:G145)</f>
        <v>0</v>
      </c>
      <c r="H146" s="29" t="n">
        <f aca="false">SUM(H116:H145)</f>
        <v>0</v>
      </c>
    </row>
  </sheetData>
  <mergeCells count="10">
    <mergeCell ref="A4:B4"/>
    <mergeCell ref="C4:D4"/>
    <mergeCell ref="E4:G4"/>
    <mergeCell ref="H4:I4"/>
    <mergeCell ref="J4:K4"/>
    <mergeCell ref="A5:B5"/>
    <mergeCell ref="C5:D5"/>
    <mergeCell ref="E5:G5"/>
    <mergeCell ref="H5:I5"/>
    <mergeCell ref="J5:K5"/>
  </mergeCells>
  <conditionalFormatting sqref="G9:G38">
    <cfRule type="expression" priority="2" aboveAverage="0" equalAverage="0" bottom="0" percent="0" rank="0" text="" dxfId="0">
      <formula>G9="Còn nợ"</formula>
    </cfRule>
    <cfRule type="expression" priority="3" aboveAverage="0" equalAverage="0" bottom="0" percent="0" rank="0" text="" dxfId="1">
      <formula>G9="Công ty nợ lại"</formula>
    </cfRule>
    <cfRule type="expression" priority="4" aboveAverage="0" equalAverage="0" bottom="0" percent="0" rank="0" text="" dxfId="2">
      <formula>G9="Hết nợ"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15"/>
    <col collapsed="false" customWidth="true" hidden="false" outlineLevel="0" max="14" min="13" style="0" width="16"/>
    <col collapsed="false" customWidth="true" hidden="false" outlineLevel="0" max="15" min="15" style="0" width="15"/>
    <col collapsed="false" customWidth="true" hidden="false" outlineLevel="0" max="16" min="16" style="0" width="70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48" hidden="false" customHeight="true" outlineLevel="0" collapsed="false">
      <c r="A4" s="12" t="s">
        <v>50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16</v>
      </c>
      <c r="K4" s="12" t="s">
        <v>59</v>
      </c>
      <c r="L4" s="12" t="s">
        <v>60</v>
      </c>
      <c r="M4" s="12" t="s">
        <v>61</v>
      </c>
      <c r="N4" s="12" t="s">
        <v>62</v>
      </c>
      <c r="O4" s="12" t="s">
        <v>63</v>
      </c>
      <c r="P4" s="12" t="s">
        <v>64</v>
      </c>
    </row>
    <row r="5" customFormat="false" ht="23.85" hidden="false" customHeight="false" outlineLevel="0" collapsed="false">
      <c r="A5" s="20" t="s">
        <v>33</v>
      </c>
      <c r="B5" s="30" t="n">
        <v>46235</v>
      </c>
      <c r="C5" s="31" t="n">
        <v>0</v>
      </c>
      <c r="D5" s="31" t="n">
        <v>8212000</v>
      </c>
      <c r="E5" s="31" t="n">
        <v>5091440</v>
      </c>
      <c r="F5" s="32" t="s">
        <v>65</v>
      </c>
      <c r="G5" s="17" t="n">
        <f aca="false">IF(OR($A5="",$B5=""),"",D5-E5)</f>
        <v>3120560</v>
      </c>
      <c r="H5" s="31" t="n">
        <v>0</v>
      </c>
      <c r="I5" s="31" t="n">
        <v>0</v>
      </c>
      <c r="J5" s="17" t="n">
        <f aca="false">IF(OR($A5="",$B5=""),"",H5-I5)</f>
        <v>0</v>
      </c>
      <c r="K5" s="17" t="n">
        <f aca="false">IF(OR($A5="",$B5=""),"",SUMIFS('THANH TOÁN'!$D$5:$D$305,'THANH TOÁN'!$A$5:$A$305,$A5,'THANH TOÁN'!$B$5:$B$305,$B5,'THANH TOÁN'!$E$5:$E$305,"Có"))</f>
        <v>0</v>
      </c>
      <c r="L5" s="17" t="n">
        <f aca="false">IF(OR($A5="",$B5=""),"",IF(_xlfn.MAXIFS('SỔ CÔNG NỢ'!$B$5:$B$111,'SỔ CÔNG NỢ'!$A$5:$A$111,$A5,'SỔ CÔNG NỢ'!$B$5:$B$111,"&lt;"&amp;$B5)=0,C5,SUMIFS('SỔ CÔNG NỢ'!$M$5:$M$111,'SỔ CÔNG NỢ'!$A$5:$A$111,$A5,'SỔ CÔNG NỢ'!$B$5:$B$111,_xlfn.MAXIFS('SỔ CÔNG NỢ'!$B$5:$B$111,'SỔ CÔNG NỢ'!$A$5:$A$111,$A5,'SỔ CÔNG NỢ'!$B$5:$B$111,"&lt;"&amp;$B5))))</f>
        <v>0</v>
      </c>
      <c r="M5" s="33" t="n">
        <f aca="false">IF(OR($A5="",$B5=""),"",L5+G5-J5-K5)</f>
        <v>3120560</v>
      </c>
      <c r="N5" s="31" t="n">
        <v>5091440</v>
      </c>
      <c r="O5" s="17" t="n">
        <f aca="false">IF(OR($A5="",$B5="",N5=""),"",N5-M5)</f>
        <v>1970880</v>
      </c>
      <c r="P5" s="34" t="s">
        <v>66</v>
      </c>
    </row>
    <row r="6" customFormat="false" ht="15" hidden="false" customHeight="false" outlineLevel="0" collapsed="false">
      <c r="A6" s="20" t="s">
        <v>37</v>
      </c>
      <c r="B6" s="30" t="n">
        <v>46174</v>
      </c>
      <c r="C6" s="31" t="n">
        <v>0</v>
      </c>
      <c r="D6" s="31" t="n">
        <v>1447000</v>
      </c>
      <c r="E6" s="31" t="n">
        <v>810320</v>
      </c>
      <c r="F6" s="32" t="s">
        <v>67</v>
      </c>
      <c r="G6" s="17" t="n">
        <f aca="false">IF(OR($A6="",$B6=""),"",D6-E6)</f>
        <v>636680</v>
      </c>
      <c r="H6" s="31" t="n">
        <v>0</v>
      </c>
      <c r="I6" s="31" t="n">
        <v>0</v>
      </c>
      <c r="J6" s="17" t="n">
        <f aca="false">IF(OR($A6="",$B6=""),"",H6-I6)</f>
        <v>0</v>
      </c>
      <c r="K6" s="17" t="n">
        <f aca="false">IF(OR($A6="",$B6=""),"",SUMIFS('THANH TOÁN'!$D$5:$D$305,'THANH TOÁN'!$A$5:$A$305,$A6,'THANH TOÁN'!$B$5:$B$305,$B6,'THANH TOÁN'!$E$5:$E$305,"Có"))</f>
        <v>979440</v>
      </c>
      <c r="L6" s="17" t="n">
        <f aca="false">IF(OR($A6="",$B6=""),"",IF(_xlfn.MAXIFS('SỔ CÔNG NỢ'!$B$5:$B$111,'SỔ CÔNG NỢ'!$A$5:$A$111,$A6,'SỔ CÔNG NỢ'!$B$5:$B$111,"&lt;"&amp;$B6)=0,C6,SUMIFS('SỔ CÔNG NỢ'!$M$5:$M$111,'SỔ CÔNG NỢ'!$A$5:$A$111,$A6,'SỔ CÔNG NỢ'!$B$5:$B$111,_xlfn.MAXIFS('SỔ CÔNG NỢ'!$B$5:$B$111,'SỔ CÔNG NỢ'!$A$5:$A$111,$A6,'SỔ CÔNG NỢ'!$B$5:$B$111,"&lt;"&amp;$B6))))</f>
        <v>0</v>
      </c>
      <c r="M6" s="33" t="n">
        <f aca="false">IF(OR($A6="",$B6=""),"",L6+G6-J6-K6)</f>
        <v>-342760</v>
      </c>
      <c r="N6" s="31" t="n">
        <v>-342760</v>
      </c>
      <c r="O6" s="17" t="n">
        <f aca="false">IF(OR($A6="",$B6="",N6=""),"",N6-M6)</f>
        <v>0</v>
      </c>
      <c r="P6" s="34"/>
    </row>
    <row r="7" customFormat="false" ht="15" hidden="false" customHeight="false" outlineLevel="0" collapsed="false">
      <c r="A7" s="20" t="s">
        <v>28</v>
      </c>
      <c r="B7" s="30" t="n">
        <v>46174</v>
      </c>
      <c r="C7" s="31" t="n">
        <v>681</v>
      </c>
      <c r="D7" s="31" t="n">
        <v>31578800</v>
      </c>
      <c r="E7" s="31" t="n">
        <v>19578856</v>
      </c>
      <c r="F7" s="32" t="s">
        <v>65</v>
      </c>
      <c r="G7" s="17" t="n">
        <f aca="false">IF(OR($A7="",$B7=""),"",D7-E7)</f>
        <v>11999944</v>
      </c>
      <c r="H7" s="31" t="n">
        <v>0</v>
      </c>
      <c r="I7" s="31" t="n">
        <v>0</v>
      </c>
      <c r="J7" s="17" t="n">
        <f aca="false">IF(OR($A7="",$B7=""),"",H7-I7)</f>
        <v>0</v>
      </c>
      <c r="K7" s="17" t="n">
        <f aca="false">IF(OR($A7="",$B7=""),"",SUMIFS('THANH TOÁN'!$D$5:$D$305,'THANH TOÁN'!$A$5:$A$305,$A7,'THANH TOÁN'!$B$5:$B$305,$B7,'THANH TOÁN'!$E$5:$E$305,"Có"))</f>
        <v>0</v>
      </c>
      <c r="L7" s="17" t="n">
        <f aca="false">IF(OR($A7="",$B7=""),"",IF(_xlfn.MAXIFS('SỔ CÔNG NỢ'!$B$5:$B$111,'SỔ CÔNG NỢ'!$A$5:$A$111,$A7,'SỔ CÔNG NỢ'!$B$5:$B$111,"&lt;"&amp;$B7)=0,C7,SUMIFS('SỔ CÔNG NỢ'!$M$5:$M$111,'SỔ CÔNG NỢ'!$A$5:$A$111,$A7,'SỔ CÔNG NỢ'!$B$5:$B$111,_xlfn.MAXIFS('SỔ CÔNG NỢ'!$B$5:$B$111,'SỔ CÔNG NỢ'!$A$5:$A$111,$A7,'SỔ CÔNG NỢ'!$B$5:$B$111,"&lt;"&amp;$B7))))</f>
        <v>681</v>
      </c>
      <c r="M7" s="33" t="n">
        <f aca="false">IF(OR($A7="",$B7=""),"",L7+G7-J7-K7)</f>
        <v>12000625</v>
      </c>
      <c r="N7" s="31" t="n">
        <v>12000625</v>
      </c>
      <c r="O7" s="17" t="n">
        <f aca="false">IF(OR($A7="",$B7="",N7=""),"",N7-M7)</f>
        <v>0</v>
      </c>
      <c r="P7" s="34"/>
    </row>
    <row r="8" customFormat="false" ht="15" hidden="false" customHeight="false" outlineLevel="0" collapsed="false">
      <c r="A8" s="20" t="s">
        <v>28</v>
      </c>
      <c r="B8" s="30" t="n">
        <v>46204</v>
      </c>
      <c r="C8" s="31" t="n">
        <v>12000625</v>
      </c>
      <c r="D8" s="31" t="n">
        <v>409000</v>
      </c>
      <c r="E8" s="31" t="n">
        <v>253580</v>
      </c>
      <c r="F8" s="32" t="s">
        <v>65</v>
      </c>
      <c r="G8" s="17" t="n">
        <f aca="false">IF(OR($A8="",$B8=""),"",D8-E8)</f>
        <v>155420</v>
      </c>
      <c r="H8" s="31" t="n">
        <v>0</v>
      </c>
      <c r="I8" s="31" t="n">
        <v>0</v>
      </c>
      <c r="J8" s="17" t="n">
        <f aca="false">IF(OR($A8="",$B8=""),"",H8-I8)</f>
        <v>0</v>
      </c>
      <c r="K8" s="17" t="n">
        <f aca="false">IF(OR($A8="",$B8=""),"",SUMIFS('THANH TOÁN'!$D$5:$D$305,'THANH TOÁN'!$A$5:$A$305,$A8,'THANH TOÁN'!$B$5:$B$305,$B8,'THANH TOÁN'!$E$5:$E$305,"Có"))</f>
        <v>0</v>
      </c>
      <c r="L8" s="17" t="n">
        <f aca="false">IF(OR($A8="",$B8=""),"",IF(_xlfn.MAXIFS('SỔ CÔNG NỢ'!$B$5:$B$111,'SỔ CÔNG NỢ'!$A$5:$A$111,$A8,'SỔ CÔNG NỢ'!$B$5:$B$111,"&lt;"&amp;$B8)=0,C8,SUMIFS('SỔ CÔNG NỢ'!$M$5:$M$111,'SỔ CÔNG NỢ'!$A$5:$A$111,$A8,'SỔ CÔNG NỢ'!$B$5:$B$111,_xlfn.MAXIFS('SỔ CÔNG NỢ'!$B$5:$B$111,'SỔ CÔNG NỢ'!$A$5:$A$111,$A8,'SỔ CÔNG NỢ'!$B$5:$B$111,"&lt;"&amp;$B8))))</f>
        <v>12000625</v>
      </c>
      <c r="M8" s="33" t="n">
        <f aca="false">IF(OR($A8="",$B8=""),"",L8+G8-J8-K8)</f>
        <v>12156045</v>
      </c>
      <c r="N8" s="31" t="n">
        <v>12156045</v>
      </c>
      <c r="O8" s="17" t="n">
        <f aca="false">IF(OR($A8="",$B8="",N8=""),"",N8-M8)</f>
        <v>0</v>
      </c>
      <c r="P8" s="34"/>
    </row>
    <row r="9" customFormat="false" ht="15" hidden="false" customHeight="false" outlineLevel="0" collapsed="false">
      <c r="A9" s="20" t="s">
        <v>28</v>
      </c>
      <c r="B9" s="30" t="n">
        <v>46266</v>
      </c>
      <c r="C9" s="31" t="n">
        <v>12156045</v>
      </c>
      <c r="D9" s="31" t="n">
        <v>9645000</v>
      </c>
      <c r="E9" s="31" t="n">
        <v>5979900</v>
      </c>
      <c r="F9" s="32" t="s">
        <v>65</v>
      </c>
      <c r="G9" s="17" t="n">
        <f aca="false">IF(OR($A9="",$B9=""),"",D9-E9)</f>
        <v>3665100</v>
      </c>
      <c r="H9" s="31" t="n">
        <v>0</v>
      </c>
      <c r="I9" s="31" t="n">
        <v>0</v>
      </c>
      <c r="J9" s="17" t="n">
        <f aca="false">IF(OR($A9="",$B9=""),"",H9-I9)</f>
        <v>0</v>
      </c>
      <c r="K9" s="17" t="n">
        <f aca="false">IF(OR($A9="",$B9=""),"",SUMIFS('THANH TOÁN'!$D$5:$D$305,'THANH TOÁN'!$A$5:$A$305,$A9,'THANH TOÁN'!$B$5:$B$305,$B9,'THANH TOÁN'!$E$5:$E$305,"Có"))</f>
        <v>0</v>
      </c>
      <c r="L9" s="17" t="n">
        <f aca="false">IF(OR($A9="",$B9=""),"",IF(_xlfn.MAXIFS('SỔ CÔNG NỢ'!$B$5:$B$111,'SỔ CÔNG NỢ'!$A$5:$A$111,$A9,'SỔ CÔNG NỢ'!$B$5:$B$111,"&lt;"&amp;$B9)=0,C9,SUMIFS('SỔ CÔNG NỢ'!$M$5:$M$111,'SỔ CÔNG NỢ'!$A$5:$A$111,$A9,'SỔ CÔNG NỢ'!$B$5:$B$111,_xlfn.MAXIFS('SỔ CÔNG NỢ'!$B$5:$B$111,'SỔ CÔNG NỢ'!$A$5:$A$111,$A9,'SỔ CÔNG NỢ'!$B$5:$B$111,"&lt;"&amp;$B9))))</f>
        <v>12156045</v>
      </c>
      <c r="M9" s="33" t="n">
        <f aca="false">IF(OR($A9="",$B9=""),"",L9+G9-J9-K9)</f>
        <v>15821145</v>
      </c>
      <c r="N9" s="31" t="n">
        <v>15821145</v>
      </c>
      <c r="O9" s="17" t="n">
        <f aca="false">IF(OR($A9="",$B9="",N9=""),"",N9-M9)</f>
        <v>0</v>
      </c>
      <c r="P9" s="34"/>
    </row>
    <row r="10" customFormat="false" ht="15" hidden="false" customHeight="false" outlineLevel="0" collapsed="false">
      <c r="A10" s="20" t="s">
        <v>21</v>
      </c>
      <c r="B10" s="30" t="n">
        <v>46174</v>
      </c>
      <c r="C10" s="31" t="n">
        <v>529822</v>
      </c>
      <c r="D10" s="31" t="n">
        <v>117349800</v>
      </c>
      <c r="E10" s="31" t="n">
        <v>72756876</v>
      </c>
      <c r="F10" s="32" t="s">
        <v>65</v>
      </c>
      <c r="G10" s="17" t="n">
        <f aca="false">IF(OR($A10="",$B10=""),"",D10-E10)</f>
        <v>44592924</v>
      </c>
      <c r="H10" s="31" t="n">
        <v>0</v>
      </c>
      <c r="I10" s="31" t="n">
        <v>0</v>
      </c>
      <c r="J10" s="17" t="n">
        <f aca="false">IF(OR($A10="",$B10=""),"",H10-I10)</f>
        <v>0</v>
      </c>
      <c r="K10" s="17" t="n">
        <f aca="false">IF(OR($A10="",$B10=""),"",SUMIFS('THANH TOÁN'!$D$5:$D$305,'THANH TOÁN'!$A$5:$A$305,$A10,'THANH TOÁN'!$B$5:$B$305,$B10,'THANH TOÁN'!$E$5:$E$305,"Có"))</f>
        <v>0</v>
      </c>
      <c r="L10" s="17" t="n">
        <f aca="false">IF(OR($A10="",$B10=""),"",IF(_xlfn.MAXIFS('SỔ CÔNG NỢ'!$B$5:$B$111,'SỔ CÔNG NỢ'!$A$5:$A$111,$A10,'SỔ CÔNG NỢ'!$B$5:$B$111,"&lt;"&amp;$B10)=0,C10,SUMIFS('SỔ CÔNG NỢ'!$M$5:$M$111,'SỔ CÔNG NỢ'!$A$5:$A$111,$A10,'SỔ CÔNG NỢ'!$B$5:$B$111,_xlfn.MAXIFS('SỔ CÔNG NỢ'!$B$5:$B$111,'SỔ CÔNG NỢ'!$A$5:$A$111,$A10,'SỔ CÔNG NỢ'!$B$5:$B$111,"&lt;"&amp;$B10))))</f>
        <v>529822</v>
      </c>
      <c r="M10" s="33" t="n">
        <f aca="false">IF(OR($A10="",$B10=""),"",L10+G10-J10-K10)</f>
        <v>45122746</v>
      </c>
      <c r="N10" s="31" t="n">
        <v>45122746</v>
      </c>
      <c r="O10" s="17" t="n">
        <f aca="false">IF(OR($A10="",$B10="",N10=""),"",N10-M10)</f>
        <v>0</v>
      </c>
      <c r="P10" s="34"/>
    </row>
    <row r="11" customFormat="false" ht="15" hidden="false" customHeight="false" outlineLevel="0" collapsed="false">
      <c r="A11" s="20" t="s">
        <v>21</v>
      </c>
      <c r="B11" s="30" t="n">
        <v>46235</v>
      </c>
      <c r="C11" s="31" t="n">
        <v>45122746</v>
      </c>
      <c r="D11" s="31" t="n">
        <v>3508000</v>
      </c>
      <c r="E11" s="31" t="n">
        <v>2174960</v>
      </c>
      <c r="F11" s="32" t="s">
        <v>65</v>
      </c>
      <c r="G11" s="17" t="n">
        <f aca="false">IF(OR($A11="",$B11=""),"",D11-E11)</f>
        <v>1333040</v>
      </c>
      <c r="H11" s="31" t="n">
        <v>0</v>
      </c>
      <c r="I11" s="31" t="n">
        <v>0</v>
      </c>
      <c r="J11" s="17" t="n">
        <f aca="false">IF(OR($A11="",$B11=""),"",H11-I11)</f>
        <v>0</v>
      </c>
      <c r="K11" s="17" t="n">
        <f aca="false">IF(OR($A11="",$B11=""),"",SUMIFS('THANH TOÁN'!$D$5:$D$305,'THANH TOÁN'!$A$5:$A$305,$A11,'THANH TOÁN'!$B$5:$B$305,$B11,'THANH TOÁN'!$E$5:$E$305,"Có"))</f>
        <v>0</v>
      </c>
      <c r="L11" s="17" t="n">
        <f aca="false">IF(OR($A11="",$B11=""),"",IF(_xlfn.MAXIFS('SỔ CÔNG NỢ'!$B$5:$B$111,'SỔ CÔNG NỢ'!$A$5:$A$111,$A11,'SỔ CÔNG NỢ'!$B$5:$B$111,"&lt;"&amp;$B11)=0,C11,SUMIFS('SỔ CÔNG NỢ'!$M$5:$M$111,'SỔ CÔNG NỢ'!$A$5:$A$111,$A11,'SỔ CÔNG NỢ'!$B$5:$B$111,_xlfn.MAXIFS('SỔ CÔNG NỢ'!$B$5:$B$111,'SỔ CÔNG NỢ'!$A$5:$A$111,$A11,'SỔ CÔNG NỢ'!$B$5:$B$111,"&lt;"&amp;$B11))))</f>
        <v>45122746</v>
      </c>
      <c r="M11" s="33" t="n">
        <f aca="false">IF(OR($A11="",$B11=""),"",L11+G11-J11-K11)</f>
        <v>46455786</v>
      </c>
      <c r="N11" s="31" t="n">
        <v>46455786</v>
      </c>
      <c r="O11" s="17" t="n">
        <f aca="false">IF(OR($A11="",$B11="",N11=""),"",N11-M11)</f>
        <v>0</v>
      </c>
      <c r="P11" s="34"/>
    </row>
    <row r="12" customFormat="false" ht="15" hidden="false" customHeight="false" outlineLevel="0" collapsed="false">
      <c r="A12" s="20" t="s">
        <v>30</v>
      </c>
      <c r="B12" s="30" t="n">
        <v>46266</v>
      </c>
      <c r="C12" s="31" t="n">
        <v>-735</v>
      </c>
      <c r="D12" s="31" t="n">
        <v>32931000</v>
      </c>
      <c r="E12" s="31" t="n">
        <v>19758600</v>
      </c>
      <c r="F12" s="32" t="s">
        <v>68</v>
      </c>
      <c r="G12" s="17" t="n">
        <f aca="false">IF(OR($A12="",$B12=""),"",D12-E12)</f>
        <v>13172400</v>
      </c>
      <c r="H12" s="31" t="n">
        <v>0</v>
      </c>
      <c r="I12" s="31" t="n">
        <v>0</v>
      </c>
      <c r="J12" s="17" t="n">
        <f aca="false">IF(OR($A12="",$B12=""),"",H12-I12)</f>
        <v>0</v>
      </c>
      <c r="K12" s="17" t="n">
        <f aca="false">IF(OR($A12="",$B12=""),"",SUMIFS('THANH TOÁN'!$D$5:$D$305,'THANH TOÁN'!$A$5:$A$305,$A12,'THANH TOÁN'!$B$5:$B$305,$B12,'THANH TOÁN'!$E$5:$E$305,"Có"))</f>
        <v>0</v>
      </c>
      <c r="L12" s="17" t="n">
        <f aca="false">IF(OR($A12="",$B12=""),"",IF(_xlfn.MAXIFS('SỔ CÔNG NỢ'!$B$5:$B$111,'SỔ CÔNG NỢ'!$A$5:$A$111,$A12,'SỔ CÔNG NỢ'!$B$5:$B$111,"&lt;"&amp;$B12)=0,C12,SUMIFS('SỔ CÔNG NỢ'!$M$5:$M$111,'SỔ CÔNG NỢ'!$A$5:$A$111,$A12,'SỔ CÔNG NỢ'!$B$5:$B$111,_xlfn.MAXIFS('SỔ CÔNG NỢ'!$B$5:$B$111,'SỔ CÔNG NỢ'!$A$5:$A$111,$A12,'SỔ CÔNG NỢ'!$B$5:$B$111,"&lt;"&amp;$B12))))</f>
        <v>-735</v>
      </c>
      <c r="M12" s="33" t="n">
        <f aca="false">IF(OR($A12="",$B12=""),"",L12+G12-J12-K12)</f>
        <v>13171665</v>
      </c>
      <c r="N12" s="31" t="n">
        <v>13171665</v>
      </c>
      <c r="O12" s="17" t="n">
        <f aca="false">IF(OR($A12="",$B12="",N12=""),"",N12-M12)</f>
        <v>0</v>
      </c>
      <c r="P12" s="34"/>
    </row>
    <row r="13" customFormat="false" ht="23.85" hidden="false" customHeight="false" outlineLevel="0" collapsed="false">
      <c r="A13" s="20" t="s">
        <v>32</v>
      </c>
      <c r="B13" s="30" t="n">
        <v>46174</v>
      </c>
      <c r="C13" s="31" t="n">
        <v>6426350</v>
      </c>
      <c r="D13" s="31" t="n">
        <v>25326000</v>
      </c>
      <c r="E13" s="31" t="n">
        <v>15955380</v>
      </c>
      <c r="F13" s="32" t="s">
        <v>69</v>
      </c>
      <c r="G13" s="17" t="n">
        <f aca="false">IF(OR($A13="",$B13=""),"",D13-E13)</f>
        <v>9370620</v>
      </c>
      <c r="H13" s="31" t="n">
        <v>12206000</v>
      </c>
      <c r="I13" s="31" t="n">
        <v>7689780</v>
      </c>
      <c r="J13" s="17" t="n">
        <f aca="false">IF(OR($A13="",$B13=""),"",H13-I13)</f>
        <v>4516220</v>
      </c>
      <c r="K13" s="17" t="n">
        <f aca="false">IF(OR($A13="",$B13=""),"",SUMIFS('THANH TOÁN'!$D$5:$D$305,'THANH TOÁN'!$A$5:$A$305,$A13,'THANH TOÁN'!$B$5:$B$305,$B13,'THANH TOÁN'!$E$5:$E$305,"Có"))</f>
        <v>6400000</v>
      </c>
      <c r="L13" s="17" t="n">
        <f aca="false">IF(OR($A13="",$B13=""),"",IF(_xlfn.MAXIFS('SỔ CÔNG NỢ'!$B$5:$B$111,'SỔ CÔNG NỢ'!$A$5:$A$111,$A13,'SỔ CÔNG NỢ'!$B$5:$B$111,"&lt;"&amp;$B13)=0,C13,SUMIFS('SỔ CÔNG NỢ'!$M$5:$M$111,'SỔ CÔNG NỢ'!$A$5:$A$111,$A13,'SỔ CÔNG NỢ'!$B$5:$B$111,_xlfn.MAXIFS('SỔ CÔNG NỢ'!$B$5:$B$111,'SỔ CÔNG NỢ'!$A$5:$A$111,$A13,'SỔ CÔNG NỢ'!$B$5:$B$111,"&lt;"&amp;$B13))))</f>
        <v>6426350</v>
      </c>
      <c r="M13" s="33" t="n">
        <f aca="false">IF(OR($A13="",$B13=""),"",L13+G13-J13-K13)</f>
        <v>4880750</v>
      </c>
      <c r="N13" s="31" t="n">
        <v>1707190</v>
      </c>
      <c r="O13" s="17" t="n">
        <f aca="false">IF(OR($A13="",$B13="",N13=""),"",N13-M13)</f>
        <v>-3173560</v>
      </c>
      <c r="P13" s="34" t="s">
        <v>70</v>
      </c>
    </row>
    <row r="14" customFormat="false" ht="23.85" hidden="false" customHeight="false" outlineLevel="0" collapsed="false">
      <c r="A14" s="20" t="s">
        <v>32</v>
      </c>
      <c r="B14" s="30" t="n">
        <v>46204</v>
      </c>
      <c r="C14" s="31" t="n">
        <v>1707190</v>
      </c>
      <c r="D14" s="31" t="n">
        <v>0</v>
      </c>
      <c r="E14" s="31" t="n">
        <v>0</v>
      </c>
      <c r="F14" s="32" t="s">
        <v>71</v>
      </c>
      <c r="G14" s="17" t="n">
        <f aca="false">IF(OR($A14="",$B14=""),"",D14-E14)</f>
        <v>0</v>
      </c>
      <c r="H14" s="31" t="n">
        <v>16634000</v>
      </c>
      <c r="I14" s="31" t="n">
        <v>10812100</v>
      </c>
      <c r="J14" s="17" t="n">
        <f aca="false">IF(OR($A14="",$B14=""),"",H14-I14)</f>
        <v>5821900</v>
      </c>
      <c r="K14" s="17" t="n">
        <f aca="false">IF(OR($A14="",$B14=""),"",SUMIFS('THANH TOÁN'!$D$5:$D$305,'THANH TOÁN'!$A$5:$A$305,$A14,'THANH TOÁN'!$B$5:$B$305,$B14,'THANH TOÁN'!$E$5:$E$305,"Có"))</f>
        <v>0</v>
      </c>
      <c r="L14" s="17" t="n">
        <f aca="false">IF(OR($A14="",$B14=""),"",IF(_xlfn.MAXIFS('SỔ CÔNG NỢ'!$B$5:$B$111,'SỔ CÔNG NỢ'!$A$5:$A$111,$A14,'SỔ CÔNG NỢ'!$B$5:$B$111,"&lt;"&amp;$B14)=0,C14,SUMIFS('SỔ CÔNG NỢ'!$M$5:$M$111,'SỔ CÔNG NỢ'!$A$5:$A$111,$A14,'SỔ CÔNG NỢ'!$B$5:$B$111,_xlfn.MAXIFS('SỔ CÔNG NỢ'!$B$5:$B$111,'SỔ CÔNG NỢ'!$A$5:$A$111,$A14,'SỔ CÔNG NỢ'!$B$5:$B$111,"&lt;"&amp;$B14))))</f>
        <v>4880750</v>
      </c>
      <c r="M14" s="33" t="n">
        <f aca="false">IF(OR($A14="",$B14=""),"",L14+G14-J14-K14)</f>
        <v>-941150</v>
      </c>
      <c r="N14" s="31" t="n">
        <v>7529090</v>
      </c>
      <c r="O14" s="17" t="n">
        <f aca="false">IF(OR($A14="",$B14="",N14=""),"",N14-M14)</f>
        <v>8470240</v>
      </c>
      <c r="P14" s="34" t="s">
        <v>72</v>
      </c>
    </row>
    <row r="15" customFormat="false" ht="15" hidden="false" customHeight="false" outlineLevel="0" collapsed="false">
      <c r="A15" s="20" t="s">
        <v>24</v>
      </c>
      <c r="B15" s="30" t="n">
        <v>46174</v>
      </c>
      <c r="C15" s="31" t="n">
        <v>9456800</v>
      </c>
      <c r="D15" s="31" t="n">
        <v>31659000</v>
      </c>
      <c r="E15" s="31" t="n">
        <v>18995400</v>
      </c>
      <c r="F15" s="32" t="s">
        <v>68</v>
      </c>
      <c r="G15" s="17" t="n">
        <f aca="false">IF(OR($A15="",$B15=""),"",D15-E15)</f>
        <v>12663600</v>
      </c>
      <c r="H15" s="31" t="n">
        <v>6331800</v>
      </c>
      <c r="I15" s="31" t="n">
        <v>3799080</v>
      </c>
      <c r="J15" s="17" t="n">
        <f aca="false">IF(OR($A15="",$B15=""),"",H15-I15)</f>
        <v>2532720</v>
      </c>
      <c r="K15" s="17" t="n">
        <f aca="false">IF(OR($A15="",$B15=""),"",SUMIFS('THANH TOÁN'!$D$5:$D$305,'THANH TOÁN'!$A$5:$A$305,$A15,'THANH TOÁN'!$B$5:$B$305,$B15,'THANH TOÁN'!$E$5:$E$305,"Có"))</f>
        <v>0</v>
      </c>
      <c r="L15" s="17" t="n">
        <f aca="false">IF(OR($A15="",$B15=""),"",IF(_xlfn.MAXIFS('SỔ CÔNG NỢ'!$B$5:$B$111,'SỔ CÔNG NỢ'!$A$5:$A$111,$A15,'SỔ CÔNG NỢ'!$B$5:$B$111,"&lt;"&amp;$B15)=0,C15,SUMIFS('SỔ CÔNG NỢ'!$M$5:$M$111,'SỔ CÔNG NỢ'!$A$5:$A$111,$A15,'SỔ CÔNG NỢ'!$B$5:$B$111,_xlfn.MAXIFS('SỔ CÔNG NỢ'!$B$5:$B$111,'SỔ CÔNG NỢ'!$A$5:$A$111,$A15,'SỔ CÔNG NỢ'!$B$5:$B$111,"&lt;"&amp;$B15))))</f>
        <v>9456800</v>
      </c>
      <c r="M15" s="33" t="n">
        <f aca="false">IF(OR($A15="",$B15=""),"",L15+G15-J15-K15)</f>
        <v>19587680</v>
      </c>
      <c r="N15" s="31" t="n">
        <v>19587680</v>
      </c>
      <c r="O15" s="17" t="n">
        <f aca="false">IF(OR($A15="",$B15="",N15=""),"",N15-M15)</f>
        <v>0</v>
      </c>
      <c r="P15" s="34"/>
    </row>
    <row r="16" customFormat="false" ht="15" hidden="false" customHeight="false" outlineLevel="0" collapsed="false">
      <c r="A16" s="20" t="s">
        <v>24</v>
      </c>
      <c r="B16" s="30" t="n">
        <v>46204</v>
      </c>
      <c r="C16" s="31" t="n">
        <v>19587680</v>
      </c>
      <c r="D16" s="31" t="n">
        <v>8011000</v>
      </c>
      <c r="E16" s="31" t="n">
        <v>4806600</v>
      </c>
      <c r="F16" s="32" t="s">
        <v>68</v>
      </c>
      <c r="G16" s="17" t="n">
        <f aca="false">IF(OR($A16="",$B16=""),"",D16-E16)</f>
        <v>3204400</v>
      </c>
      <c r="H16" s="31" t="n">
        <v>0</v>
      </c>
      <c r="I16" s="31" t="n">
        <v>0</v>
      </c>
      <c r="J16" s="17" t="n">
        <f aca="false">IF(OR($A16="",$B16=""),"",H16-I16)</f>
        <v>0</v>
      </c>
      <c r="K16" s="17" t="n">
        <f aca="false">IF(OR($A16="",$B16=""),"",SUMIFS('THANH TOÁN'!$D$5:$D$305,'THANH TOÁN'!$A$5:$A$305,$A16,'THANH TOÁN'!$B$5:$B$305,$B16,'THANH TOÁN'!$E$5:$E$305,"Có"))</f>
        <v>0</v>
      </c>
      <c r="L16" s="17" t="n">
        <f aca="false">IF(OR($A16="",$B16=""),"",IF(_xlfn.MAXIFS('SỔ CÔNG NỢ'!$B$5:$B$111,'SỔ CÔNG NỢ'!$A$5:$A$111,$A16,'SỔ CÔNG NỢ'!$B$5:$B$111,"&lt;"&amp;$B16)=0,C16,SUMIFS('SỔ CÔNG NỢ'!$M$5:$M$111,'SỔ CÔNG NỢ'!$A$5:$A$111,$A16,'SỔ CÔNG NỢ'!$B$5:$B$111,_xlfn.MAXIFS('SỔ CÔNG NỢ'!$B$5:$B$111,'SỔ CÔNG NỢ'!$A$5:$A$111,$A16,'SỔ CÔNG NỢ'!$B$5:$B$111,"&lt;"&amp;$B16))))</f>
        <v>19587680</v>
      </c>
      <c r="M16" s="33" t="n">
        <f aca="false">IF(OR($A16="",$B16=""),"",L16+G16-J16-K16)</f>
        <v>22792080</v>
      </c>
      <c r="N16" s="31" t="n">
        <v>22792080</v>
      </c>
      <c r="O16" s="17" t="n">
        <f aca="false">IF(OR($A16="",$B16="",N16=""),"",N16-M16)</f>
        <v>0</v>
      </c>
      <c r="P16" s="34"/>
    </row>
    <row r="17" customFormat="false" ht="15" hidden="false" customHeight="false" outlineLevel="0" collapsed="false">
      <c r="A17" s="20" t="s">
        <v>24</v>
      </c>
      <c r="B17" s="30" t="n">
        <v>46266</v>
      </c>
      <c r="C17" s="31" t="n">
        <v>22792080</v>
      </c>
      <c r="D17" s="31" t="n">
        <v>17984600</v>
      </c>
      <c r="E17" s="31" t="n">
        <v>10790760</v>
      </c>
      <c r="F17" s="32" t="s">
        <v>68</v>
      </c>
      <c r="G17" s="17" t="n">
        <f aca="false">IF(OR($A17="",$B17=""),"",D17-E17)</f>
        <v>7193840</v>
      </c>
      <c r="H17" s="31" t="n">
        <v>0</v>
      </c>
      <c r="I17" s="31" t="n">
        <v>0</v>
      </c>
      <c r="J17" s="17" t="n">
        <f aca="false">IF(OR($A17="",$B17=""),"",H17-I17)</f>
        <v>0</v>
      </c>
      <c r="K17" s="17" t="n">
        <f aca="false">IF(OR($A17="",$B17=""),"",SUMIFS('THANH TOÁN'!$D$5:$D$305,'THANH TOÁN'!$A$5:$A$305,$A17,'THANH TOÁN'!$B$5:$B$305,$B17,'THANH TOÁN'!$E$5:$E$305,"Có"))</f>
        <v>0</v>
      </c>
      <c r="L17" s="17" t="n">
        <f aca="false">IF(OR($A17="",$B17=""),"",IF(_xlfn.MAXIFS('SỔ CÔNG NỢ'!$B$5:$B$111,'SỔ CÔNG NỢ'!$A$5:$A$111,$A17,'SỔ CÔNG NỢ'!$B$5:$B$111,"&lt;"&amp;$B17)=0,C17,SUMIFS('SỔ CÔNG NỢ'!$M$5:$M$111,'SỔ CÔNG NỢ'!$A$5:$A$111,$A17,'SỔ CÔNG NỢ'!$B$5:$B$111,_xlfn.MAXIFS('SỔ CÔNG NỢ'!$B$5:$B$111,'SỔ CÔNG NỢ'!$A$5:$A$111,$A17,'SỔ CÔNG NỢ'!$B$5:$B$111,"&lt;"&amp;$B17))))</f>
        <v>22792080</v>
      </c>
      <c r="M17" s="33" t="n">
        <f aca="false">IF(OR($A17="",$B17=""),"",L17+G17-J17-K17)</f>
        <v>29985920</v>
      </c>
      <c r="N17" s="31" t="n">
        <v>29985920</v>
      </c>
      <c r="O17" s="17" t="n">
        <f aca="false">IF(OR($A17="",$B17="",N17=""),"",N17-M17)</f>
        <v>0</v>
      </c>
      <c r="P17" s="34"/>
    </row>
    <row r="18" customFormat="false" ht="15" hidden="false" customHeight="false" outlineLevel="0" collapsed="false">
      <c r="A18" s="20" t="s">
        <v>27</v>
      </c>
      <c r="B18" s="30" t="n">
        <v>46174</v>
      </c>
      <c r="C18" s="31" t="n">
        <v>0</v>
      </c>
      <c r="D18" s="31" t="n">
        <v>42855050</v>
      </c>
      <c r="E18" s="31" t="n">
        <v>25713030</v>
      </c>
      <c r="F18" s="32" t="s">
        <v>68</v>
      </c>
      <c r="G18" s="17" t="n">
        <f aca="false">IF(OR($A18="",$B18=""),"",D18-E18)</f>
        <v>17142020</v>
      </c>
      <c r="H18" s="31" t="n">
        <v>0</v>
      </c>
      <c r="I18" s="31" t="n">
        <v>0</v>
      </c>
      <c r="J18" s="17" t="n">
        <f aca="false">IF(OR($A18="",$B18=""),"",H18-I18)</f>
        <v>0</v>
      </c>
      <c r="K18" s="17" t="n">
        <f aca="false">IF(OR($A18="",$B18=""),"",SUMIFS('THANH TOÁN'!$D$5:$D$305,'THANH TOÁN'!$A$5:$A$305,$A18,'THANH TOÁN'!$B$5:$B$305,$B18,'THANH TOÁN'!$E$5:$E$305,"Có"))</f>
        <v>0</v>
      </c>
      <c r="L18" s="17" t="n">
        <f aca="false">IF(OR($A18="",$B18=""),"",IF(_xlfn.MAXIFS('SỔ CÔNG NỢ'!$B$5:$B$111,'SỔ CÔNG NỢ'!$A$5:$A$111,$A18,'SỔ CÔNG NỢ'!$B$5:$B$111,"&lt;"&amp;$B18)=0,C18,SUMIFS('SỔ CÔNG NỢ'!$M$5:$M$111,'SỔ CÔNG NỢ'!$A$5:$A$111,$A18,'SỔ CÔNG NỢ'!$B$5:$B$111,_xlfn.MAXIFS('SỔ CÔNG NỢ'!$B$5:$B$111,'SỔ CÔNG NỢ'!$A$5:$A$111,$A18,'SỔ CÔNG NỢ'!$B$5:$B$111,"&lt;"&amp;$B18))))</f>
        <v>0</v>
      </c>
      <c r="M18" s="33" t="n">
        <f aca="false">IF(OR($A18="",$B18=""),"",L18+G18-J18-K18)</f>
        <v>17142020</v>
      </c>
      <c r="N18" s="31" t="n">
        <v>17142020</v>
      </c>
      <c r="O18" s="17" t="n">
        <f aca="false">IF(OR($A18="",$B18="",N18=""),"",N18-M18)</f>
        <v>0</v>
      </c>
      <c r="P18" s="34"/>
    </row>
    <row r="19" customFormat="false" ht="23.85" hidden="false" customHeight="false" outlineLevel="0" collapsed="false">
      <c r="A19" s="20" t="s">
        <v>38</v>
      </c>
      <c r="B19" s="30" t="n">
        <v>46174</v>
      </c>
      <c r="C19" s="31" t="n">
        <v>0</v>
      </c>
      <c r="D19" s="31" t="n">
        <v>0</v>
      </c>
      <c r="E19" s="31" t="n">
        <v>0</v>
      </c>
      <c r="F19" s="32" t="s">
        <v>65</v>
      </c>
      <c r="G19" s="17" t="n">
        <f aca="false">IF(OR($A19="",$B19=""),"",D19-E19)</f>
        <v>0</v>
      </c>
      <c r="H19" s="31" t="n">
        <v>5364000</v>
      </c>
      <c r="I19" s="31" t="n">
        <v>3325680</v>
      </c>
      <c r="J19" s="17" t="n">
        <f aca="false">IF(OR($A19="",$B19=""),"",H19-I19)</f>
        <v>2038320</v>
      </c>
      <c r="K19" s="17" t="n">
        <f aca="false">IF(OR($A19="",$B19=""),"",SUMIFS('THANH TOÁN'!$D$5:$D$305,'THANH TOÁN'!$A$5:$A$305,$A19,'THANH TOÁN'!$B$5:$B$305,$B19,'THANH TOÁN'!$E$5:$E$305,"Có"))</f>
        <v>-1450000</v>
      </c>
      <c r="L19" s="17" t="n">
        <f aca="false">IF(OR($A19="",$B19=""),"",IF(_xlfn.MAXIFS('SỔ CÔNG NỢ'!$B$5:$B$111,'SỔ CÔNG NỢ'!$A$5:$A$111,$A19,'SỔ CÔNG NỢ'!$B$5:$B$111,"&lt;"&amp;$B19)=0,C19,SUMIFS('SỔ CÔNG NỢ'!$M$5:$M$111,'SỔ CÔNG NỢ'!$A$5:$A$111,$A19,'SỔ CÔNG NỢ'!$B$5:$B$111,_xlfn.MAXIFS('SỔ CÔNG NỢ'!$B$5:$B$111,'SỔ CÔNG NỢ'!$A$5:$A$111,$A19,'SỔ CÔNG NỢ'!$B$5:$B$111,"&lt;"&amp;$B19))))</f>
        <v>0</v>
      </c>
      <c r="M19" s="33" t="n">
        <f aca="false">IF(OR($A19="",$B19=""),"",L19+G19-J19-K19)</f>
        <v>-588320</v>
      </c>
      <c r="N19" s="31" t="n">
        <v>-588320</v>
      </c>
      <c r="O19" s="17" t="n">
        <f aca="false">IF(OR($A19="",$B19="",N19=""),"",N19-M19)</f>
        <v>0</v>
      </c>
      <c r="P19" s="34" t="s">
        <v>73</v>
      </c>
    </row>
    <row r="20" customFormat="false" ht="15" hidden="false" customHeight="false" outlineLevel="0" collapsed="false">
      <c r="A20" s="20" t="s">
        <v>39</v>
      </c>
      <c r="B20" s="30" t="n">
        <v>46174</v>
      </c>
      <c r="C20" s="31" t="n">
        <v>0</v>
      </c>
      <c r="D20" s="31" t="n">
        <v>63170000</v>
      </c>
      <c r="E20" s="31" t="n">
        <v>41060500</v>
      </c>
      <c r="F20" s="32" t="s">
        <v>71</v>
      </c>
      <c r="G20" s="17" t="n">
        <f aca="false">IF(OR($A20="",$B20=""),"",D20-E20)</f>
        <v>22109500</v>
      </c>
      <c r="H20" s="31" t="n">
        <v>0</v>
      </c>
      <c r="I20" s="31" t="n">
        <v>0</v>
      </c>
      <c r="J20" s="17" t="n">
        <f aca="false">IF(OR($A20="",$B20=""),"",H20-I20)</f>
        <v>0</v>
      </c>
      <c r="K20" s="17" t="n">
        <f aca="false">IF(OR($A20="",$B20=""),"",SUMIFS('THANH TOÁN'!$D$5:$D$305,'THANH TOÁN'!$A$5:$A$305,$A20,'THANH TOÁN'!$B$5:$B$305,$B20,'THANH TOÁN'!$E$5:$E$305,"Có"))</f>
        <v>0</v>
      </c>
      <c r="L20" s="17" t="n">
        <f aca="false">IF(OR($A20="",$B20=""),"",IF(_xlfn.MAXIFS('SỔ CÔNG NỢ'!$B$5:$B$111,'SỔ CÔNG NỢ'!$A$5:$A$111,$A20,'SỔ CÔNG NỢ'!$B$5:$B$111,"&lt;"&amp;$B20)=0,C20,SUMIFS('SỔ CÔNG NỢ'!$M$5:$M$111,'SỔ CÔNG NỢ'!$A$5:$A$111,$A20,'SỔ CÔNG NỢ'!$B$5:$B$111,_xlfn.MAXIFS('SỔ CÔNG NỢ'!$B$5:$B$111,'SỔ CÔNG NỢ'!$A$5:$A$111,$A20,'SỔ CÔNG NỢ'!$B$5:$B$111,"&lt;"&amp;$B20))))</f>
        <v>0</v>
      </c>
      <c r="M20" s="33" t="n">
        <f aca="false">IF(OR($A20="",$B20=""),"",L20+G20-J20-K20)</f>
        <v>22109500</v>
      </c>
      <c r="N20" s="31" t="n">
        <v>22109500</v>
      </c>
      <c r="O20" s="17" t="n">
        <f aca="false">IF(OR($A20="",$B20="",N20=""),"",N20-M20)</f>
        <v>0</v>
      </c>
      <c r="P20" s="34"/>
    </row>
    <row r="21" customFormat="false" ht="15" hidden="false" customHeight="false" outlineLevel="0" collapsed="false">
      <c r="A21" s="20" t="s">
        <v>39</v>
      </c>
      <c r="B21" s="30" t="n">
        <v>46204</v>
      </c>
      <c r="C21" s="31" t="n">
        <v>22109500</v>
      </c>
      <c r="D21" s="31" t="n">
        <v>14854000</v>
      </c>
      <c r="E21" s="31" t="n">
        <v>9655100</v>
      </c>
      <c r="F21" s="32" t="s">
        <v>71</v>
      </c>
      <c r="G21" s="17" t="n">
        <f aca="false">IF(OR($A21="",$B21=""),"",D21-E21)</f>
        <v>5198900</v>
      </c>
      <c r="H21" s="31" t="n">
        <v>0</v>
      </c>
      <c r="I21" s="31" t="n">
        <v>0</v>
      </c>
      <c r="J21" s="17" t="n">
        <f aca="false">IF(OR($A21="",$B21=""),"",H21-I21)</f>
        <v>0</v>
      </c>
      <c r="K21" s="17" t="n">
        <f aca="false">IF(OR($A21="",$B21=""),"",SUMIFS('THANH TOÁN'!$D$5:$D$305,'THANH TOÁN'!$A$5:$A$305,$A21,'THANH TOÁN'!$B$5:$B$305,$B21,'THANH TOÁN'!$E$5:$E$305,"Có"))</f>
        <v>28600000</v>
      </c>
      <c r="L21" s="17" t="n">
        <f aca="false">IF(OR($A21="",$B21=""),"",IF(_xlfn.MAXIFS('SỔ CÔNG NỢ'!$B$5:$B$111,'SỔ CÔNG NỢ'!$A$5:$A$111,$A21,'SỔ CÔNG NỢ'!$B$5:$B$111,"&lt;"&amp;$B21)=0,C21,SUMIFS('SỔ CÔNG NỢ'!$M$5:$M$111,'SỔ CÔNG NỢ'!$A$5:$A$111,$A21,'SỔ CÔNG NỢ'!$B$5:$B$111,_xlfn.MAXIFS('SỔ CÔNG NỢ'!$B$5:$B$111,'SỔ CÔNG NỢ'!$A$5:$A$111,$A21,'SỔ CÔNG NỢ'!$B$5:$B$111,"&lt;"&amp;$B21))))</f>
        <v>22109500</v>
      </c>
      <c r="M21" s="33" t="n">
        <f aca="false">IF(OR($A21="",$B21=""),"",L21+G21-J21-K21)</f>
        <v>-1291600</v>
      </c>
      <c r="N21" s="31" t="n">
        <v>-1291600</v>
      </c>
      <c r="O21" s="17" t="n">
        <f aca="false">IF(OR($A21="",$B21="",N21=""),"",N21-M21)</f>
        <v>0</v>
      </c>
      <c r="P21" s="34"/>
    </row>
    <row r="22" customFormat="false" ht="15" hidden="false" customHeight="false" outlineLevel="0" collapsed="false">
      <c r="A22" s="20" t="s">
        <v>39</v>
      </c>
      <c r="B22" s="30" t="n">
        <v>46266</v>
      </c>
      <c r="C22" s="31" t="n">
        <v>-1291600</v>
      </c>
      <c r="D22" s="31" t="n">
        <v>1262000</v>
      </c>
      <c r="E22" s="31" t="n">
        <v>820300</v>
      </c>
      <c r="F22" s="32" t="s">
        <v>71</v>
      </c>
      <c r="G22" s="17" t="n">
        <f aca="false">IF(OR($A22="",$B22=""),"",D22-E22)</f>
        <v>441700</v>
      </c>
      <c r="H22" s="31" t="n">
        <v>0</v>
      </c>
      <c r="I22" s="31" t="n">
        <v>0</v>
      </c>
      <c r="J22" s="17" t="n">
        <f aca="false">IF(OR($A22="",$B22=""),"",H22-I22)</f>
        <v>0</v>
      </c>
      <c r="K22" s="17" t="n">
        <f aca="false">IF(OR($A22="",$B22=""),"",SUMIFS('THANH TOÁN'!$D$5:$D$305,'THANH TOÁN'!$A$5:$A$305,$A22,'THANH TOÁN'!$B$5:$B$305,$B22,'THANH TOÁN'!$E$5:$E$305,"Có"))</f>
        <v>0</v>
      </c>
      <c r="L22" s="17" t="n">
        <f aca="false">IF(OR($A22="",$B22=""),"",IF(_xlfn.MAXIFS('SỔ CÔNG NỢ'!$B$5:$B$111,'SỔ CÔNG NỢ'!$A$5:$A$111,$A22,'SỔ CÔNG NỢ'!$B$5:$B$111,"&lt;"&amp;$B22)=0,C22,SUMIFS('SỔ CÔNG NỢ'!$M$5:$M$111,'SỔ CÔNG NỢ'!$A$5:$A$111,$A22,'SỔ CÔNG NỢ'!$B$5:$B$111,_xlfn.MAXIFS('SỔ CÔNG NỢ'!$B$5:$B$111,'SỔ CÔNG NỢ'!$A$5:$A$111,$A22,'SỔ CÔNG NỢ'!$B$5:$B$111,"&lt;"&amp;$B22))))</f>
        <v>-1291600</v>
      </c>
      <c r="M22" s="33" t="n">
        <f aca="false">IF(OR($A22="",$B22=""),"",L22+G22-J22-K22)</f>
        <v>-849900</v>
      </c>
      <c r="N22" s="31" t="n">
        <v>-849900</v>
      </c>
      <c r="O22" s="17" t="n">
        <f aca="false">IF(OR($A22="",$B22="",N22=""),"",N22-M22)</f>
        <v>0</v>
      </c>
      <c r="P22" s="34" t="s">
        <v>74</v>
      </c>
    </row>
    <row r="23" customFormat="false" ht="15" hidden="false" customHeight="false" outlineLevel="0" collapsed="false">
      <c r="A23" s="20" t="s">
        <v>25</v>
      </c>
      <c r="B23" s="30" t="n">
        <v>46174</v>
      </c>
      <c r="C23" s="31" t="n">
        <v>-93701990</v>
      </c>
      <c r="D23" s="31" t="n">
        <v>111175850</v>
      </c>
      <c r="E23" s="31" t="n">
        <v>66705510</v>
      </c>
      <c r="F23" s="32" t="s">
        <v>68</v>
      </c>
      <c r="G23" s="17" t="n">
        <f aca="false">IF(OR($A23="",$B23=""),"",D23-E23)</f>
        <v>44470340</v>
      </c>
      <c r="H23" s="31" t="n">
        <v>0</v>
      </c>
      <c r="I23" s="31" t="n">
        <v>0</v>
      </c>
      <c r="J23" s="17" t="n">
        <f aca="false">IF(OR($A23="",$B23=""),"",H23-I23)</f>
        <v>0</v>
      </c>
      <c r="K23" s="17" t="n">
        <f aca="false">IF(OR($A23="",$B23=""),"",SUMIFS('THANH TOÁN'!$D$5:$D$305,'THANH TOÁN'!$A$5:$A$305,$A23,'THANH TOÁN'!$B$5:$B$305,$B23,'THANH TOÁN'!$E$5:$E$305,"Có"))</f>
        <v>0</v>
      </c>
      <c r="L23" s="17" t="n">
        <f aca="false">IF(OR($A23="",$B23=""),"",IF(_xlfn.MAXIFS('SỔ CÔNG NỢ'!$B$5:$B$111,'SỔ CÔNG NỢ'!$A$5:$A$111,$A23,'SỔ CÔNG NỢ'!$B$5:$B$111,"&lt;"&amp;$B23)=0,C23,SUMIFS('SỔ CÔNG NỢ'!$M$5:$M$111,'SỔ CÔNG NỢ'!$A$5:$A$111,$A23,'SỔ CÔNG NỢ'!$B$5:$B$111,_xlfn.MAXIFS('SỔ CÔNG NỢ'!$B$5:$B$111,'SỔ CÔNG NỢ'!$A$5:$A$111,$A23,'SỔ CÔNG NỢ'!$B$5:$B$111,"&lt;"&amp;$B23))))</f>
        <v>-93701990</v>
      </c>
      <c r="M23" s="33" t="n">
        <f aca="false">IF(OR($A23="",$B23=""),"",L23+G23-J23-K23)</f>
        <v>-49231650</v>
      </c>
      <c r="N23" s="31" t="n">
        <v>-49231650</v>
      </c>
      <c r="O23" s="17" t="n">
        <f aca="false">IF(OR($A23="",$B23="",N23=""),"",N23-M23)</f>
        <v>0</v>
      </c>
      <c r="P23" s="34"/>
    </row>
    <row r="24" customFormat="false" ht="15" hidden="false" customHeight="false" outlineLevel="0" collapsed="false">
      <c r="A24" s="20" t="s">
        <v>25</v>
      </c>
      <c r="B24" s="30" t="n">
        <v>46204</v>
      </c>
      <c r="C24" s="31" t="n">
        <v>-49231650</v>
      </c>
      <c r="D24" s="31" t="n">
        <v>19982000</v>
      </c>
      <c r="E24" s="31" t="n">
        <v>11989200</v>
      </c>
      <c r="F24" s="32" t="s">
        <v>68</v>
      </c>
      <c r="G24" s="17" t="n">
        <f aca="false">IF(OR($A24="",$B24=""),"",D24-E24)</f>
        <v>7992800</v>
      </c>
      <c r="H24" s="31" t="n">
        <v>0</v>
      </c>
      <c r="I24" s="31" t="n">
        <v>0</v>
      </c>
      <c r="J24" s="17" t="n">
        <f aca="false">IF(OR($A24="",$B24=""),"",H24-I24)</f>
        <v>0</v>
      </c>
      <c r="K24" s="17" t="n">
        <f aca="false">IF(OR($A24="",$B24=""),"",SUMIFS('THANH TOÁN'!$D$5:$D$305,'THANH TOÁN'!$A$5:$A$305,$A24,'THANH TOÁN'!$B$5:$B$305,$B24,'THANH TOÁN'!$E$5:$E$305,"Có"))</f>
        <v>0</v>
      </c>
      <c r="L24" s="17" t="n">
        <f aca="false">IF(OR($A24="",$B24=""),"",IF(_xlfn.MAXIFS('SỔ CÔNG NỢ'!$B$5:$B$111,'SỔ CÔNG NỢ'!$A$5:$A$111,$A24,'SỔ CÔNG NỢ'!$B$5:$B$111,"&lt;"&amp;$B24)=0,C24,SUMIFS('SỔ CÔNG NỢ'!$M$5:$M$111,'SỔ CÔNG NỢ'!$A$5:$A$111,$A24,'SỔ CÔNG NỢ'!$B$5:$B$111,_xlfn.MAXIFS('SỔ CÔNG NỢ'!$B$5:$B$111,'SỔ CÔNG NỢ'!$A$5:$A$111,$A24,'SỔ CÔNG NỢ'!$B$5:$B$111,"&lt;"&amp;$B24))))</f>
        <v>-49231650</v>
      </c>
      <c r="M24" s="33" t="n">
        <f aca="false">IF(OR($A24="",$B24=""),"",L24+G24-J24-K24)</f>
        <v>-41238850</v>
      </c>
      <c r="N24" s="31" t="n">
        <v>-41238850</v>
      </c>
      <c r="O24" s="17" t="n">
        <f aca="false">IF(OR($A24="",$B24="",N24=""),"",N24-M24)</f>
        <v>0</v>
      </c>
      <c r="P24" s="34"/>
    </row>
    <row r="25" customFormat="false" ht="15" hidden="false" customHeight="false" outlineLevel="0" collapsed="false">
      <c r="A25" s="20" t="s">
        <v>25</v>
      </c>
      <c r="B25" s="30" t="n">
        <v>46235</v>
      </c>
      <c r="C25" s="31" t="n">
        <v>-41238850</v>
      </c>
      <c r="D25" s="31" t="n">
        <v>189315350</v>
      </c>
      <c r="E25" s="31" t="n">
        <v>113589210</v>
      </c>
      <c r="F25" s="32" t="s">
        <v>68</v>
      </c>
      <c r="G25" s="17" t="n">
        <f aca="false">IF(OR($A25="",$B25=""),"",D25-E25)</f>
        <v>75726140</v>
      </c>
      <c r="H25" s="31" t="n">
        <v>0</v>
      </c>
      <c r="I25" s="31" t="n">
        <v>0</v>
      </c>
      <c r="J25" s="17" t="n">
        <f aca="false">IF(OR($A25="",$B25=""),"",H25-I25)</f>
        <v>0</v>
      </c>
      <c r="K25" s="17" t="n">
        <f aca="false">IF(OR($A25="",$B25=""),"",SUMIFS('THANH TOÁN'!$D$5:$D$305,'THANH TOÁN'!$A$5:$A$305,$A25,'THANH TOÁN'!$B$5:$B$305,$B25,'THANH TOÁN'!$E$5:$E$305,"Có"))</f>
        <v>30000000</v>
      </c>
      <c r="L25" s="17" t="n">
        <f aca="false">IF(OR($A25="",$B25=""),"",IF(_xlfn.MAXIFS('SỔ CÔNG NỢ'!$B$5:$B$111,'SỔ CÔNG NỢ'!$A$5:$A$111,$A25,'SỔ CÔNG NỢ'!$B$5:$B$111,"&lt;"&amp;$B25)=0,C25,SUMIFS('SỔ CÔNG NỢ'!$M$5:$M$111,'SỔ CÔNG NỢ'!$A$5:$A$111,$A25,'SỔ CÔNG NỢ'!$B$5:$B$111,_xlfn.MAXIFS('SỔ CÔNG NỢ'!$B$5:$B$111,'SỔ CÔNG NỢ'!$A$5:$A$111,$A25,'SỔ CÔNG NỢ'!$B$5:$B$111,"&lt;"&amp;$B25))))</f>
        <v>-41238850</v>
      </c>
      <c r="M25" s="33" t="n">
        <f aca="false">IF(OR($A25="",$B25=""),"",L25+G25-J25-K25)</f>
        <v>4487290</v>
      </c>
      <c r="N25" s="31" t="n">
        <v>4487290</v>
      </c>
      <c r="O25" s="17" t="n">
        <f aca="false">IF(OR($A25="",$B25="",N25=""),"",N25-M25)</f>
        <v>0</v>
      </c>
      <c r="P25" s="34"/>
    </row>
    <row r="26" customFormat="false" ht="15" hidden="false" customHeight="false" outlineLevel="0" collapsed="false">
      <c r="A26" s="20" t="s">
        <v>25</v>
      </c>
      <c r="B26" s="30" t="n">
        <v>46266</v>
      </c>
      <c r="C26" s="31" t="n">
        <v>4487290</v>
      </c>
      <c r="D26" s="31" t="n">
        <v>37868000</v>
      </c>
      <c r="E26" s="31" t="n">
        <v>21206080</v>
      </c>
      <c r="F26" s="32" t="s">
        <v>68</v>
      </c>
      <c r="G26" s="17" t="n">
        <f aca="false">IF(OR($A26="",$B26=""),"",D26-E26)</f>
        <v>16661920</v>
      </c>
      <c r="H26" s="31" t="n">
        <v>0</v>
      </c>
      <c r="I26" s="31" t="n">
        <v>0</v>
      </c>
      <c r="J26" s="17" t="n">
        <f aca="false">IF(OR($A26="",$B26=""),"",H26-I26)</f>
        <v>0</v>
      </c>
      <c r="K26" s="17" t="n">
        <f aca="false">IF(OR($A26="",$B26=""),"",SUMIFS('THANH TOÁN'!$D$5:$D$305,'THANH TOÁN'!$A$5:$A$305,$A26,'THANH TOÁN'!$B$5:$B$305,$B26,'THANH TOÁN'!$E$5:$E$305,"Có"))</f>
        <v>0</v>
      </c>
      <c r="L26" s="17" t="n">
        <f aca="false">IF(OR($A26="",$B26=""),"",IF(_xlfn.MAXIFS('SỔ CÔNG NỢ'!$B$5:$B$111,'SỔ CÔNG NỢ'!$A$5:$A$111,$A26,'SỔ CÔNG NỢ'!$B$5:$B$111,"&lt;"&amp;$B26)=0,C26,SUMIFS('SỔ CÔNG NỢ'!$M$5:$M$111,'SỔ CÔNG NỢ'!$A$5:$A$111,$A26,'SỔ CÔNG NỢ'!$B$5:$B$111,_xlfn.MAXIFS('SỔ CÔNG NỢ'!$B$5:$B$111,'SỔ CÔNG NỢ'!$A$5:$A$111,$A26,'SỔ CÔNG NỢ'!$B$5:$B$111,"&lt;"&amp;$B26))))</f>
        <v>4487290</v>
      </c>
      <c r="M26" s="33" t="n">
        <f aca="false">IF(OR($A26="",$B26=""),"",L26+G26-J26-K26)</f>
        <v>21149210</v>
      </c>
      <c r="N26" s="31" t="n">
        <v>21149210</v>
      </c>
      <c r="O26" s="17" t="n">
        <f aca="false">IF(OR($A26="",$B26="",N26=""),"",N26-M26)</f>
        <v>0</v>
      </c>
      <c r="P26" s="34"/>
    </row>
    <row r="27" customFormat="false" ht="15" hidden="false" customHeight="false" outlineLevel="0" collapsed="false">
      <c r="A27" s="20" t="s">
        <v>34</v>
      </c>
      <c r="B27" s="30" t="n">
        <v>46204</v>
      </c>
      <c r="C27" s="31" t="n">
        <v>63600</v>
      </c>
      <c r="D27" s="31" t="n">
        <v>83852350</v>
      </c>
      <c r="E27" s="31" t="n">
        <v>51988457</v>
      </c>
      <c r="F27" s="32" t="s">
        <v>65</v>
      </c>
      <c r="G27" s="17" t="n">
        <f aca="false">IF(OR($A27="",$B27=""),"",D27-E27)</f>
        <v>31863893</v>
      </c>
      <c r="H27" s="31" t="n">
        <v>4597000</v>
      </c>
      <c r="I27" s="31" t="n">
        <v>2850140</v>
      </c>
      <c r="J27" s="17" t="n">
        <f aca="false">IF(OR($A27="",$B27=""),"",H27-I27)</f>
        <v>1746860</v>
      </c>
      <c r="K27" s="17" t="n">
        <f aca="false">IF(OR($A27="",$B27=""),"",SUMIFS('THANH TOÁN'!$D$5:$D$305,'THANH TOÁN'!$A$5:$A$305,$A27,'THANH TOÁN'!$B$5:$B$305,$B27,'THANH TOÁN'!$E$5:$E$305,"Có"))</f>
        <v>30060000</v>
      </c>
      <c r="L27" s="17" t="n">
        <f aca="false">IF(OR($A27="",$B27=""),"",IF(_xlfn.MAXIFS('SỔ CÔNG NỢ'!$B$5:$B$111,'SỔ CÔNG NỢ'!$A$5:$A$111,$A27,'SỔ CÔNG NỢ'!$B$5:$B$111,"&lt;"&amp;$B27)=0,C27,SUMIFS('SỔ CÔNG NỢ'!$M$5:$M$111,'SỔ CÔNG NỢ'!$A$5:$A$111,$A27,'SỔ CÔNG NỢ'!$B$5:$B$111,_xlfn.MAXIFS('SỔ CÔNG NỢ'!$B$5:$B$111,'SỔ CÔNG NỢ'!$A$5:$A$111,$A27,'SỔ CÔNG NỢ'!$B$5:$B$111,"&lt;"&amp;$B27))))</f>
        <v>63600</v>
      </c>
      <c r="M27" s="33" t="n">
        <f aca="false">IF(OR($A27="",$B27=""),"",L27+G27-J27-K27)</f>
        <v>120633</v>
      </c>
      <c r="N27" s="31" t="n">
        <v>120633</v>
      </c>
      <c r="O27" s="17" t="n">
        <f aca="false">IF(OR($A27="",$B27="",N27=""),"",N27-M27)</f>
        <v>0</v>
      </c>
      <c r="P27" s="34"/>
    </row>
    <row r="28" customFormat="false" ht="15" hidden="false" customHeight="false" outlineLevel="0" collapsed="false">
      <c r="A28" s="20" t="s">
        <v>23</v>
      </c>
      <c r="B28" s="30" t="n">
        <v>46174</v>
      </c>
      <c r="C28" s="31" t="n">
        <v>890150</v>
      </c>
      <c r="D28" s="31" t="n">
        <v>22971000</v>
      </c>
      <c r="E28" s="31" t="n">
        <v>13782600</v>
      </c>
      <c r="F28" s="32" t="s">
        <v>68</v>
      </c>
      <c r="G28" s="17" t="n">
        <f aca="false">IF(OR($A28="",$B28=""),"",D28-E28)</f>
        <v>9188400</v>
      </c>
      <c r="H28" s="31" t="n">
        <v>0</v>
      </c>
      <c r="I28" s="31" t="n">
        <v>0</v>
      </c>
      <c r="J28" s="17" t="n">
        <f aca="false">IF(OR($A28="",$B28=""),"",H28-I28)</f>
        <v>0</v>
      </c>
      <c r="K28" s="17" t="n">
        <f aca="false">IF(OR($A28="",$B28=""),"",SUMIFS('THANH TOÁN'!$D$5:$D$305,'THANH TOÁN'!$A$5:$A$305,$A28,'THANH TOÁN'!$B$5:$B$305,$B28,'THANH TOÁN'!$E$5:$E$305,"Có"))</f>
        <v>0</v>
      </c>
      <c r="L28" s="17" t="n">
        <f aca="false">IF(OR($A28="",$B28=""),"",IF(_xlfn.MAXIFS('SỔ CÔNG NỢ'!$B$5:$B$111,'SỔ CÔNG NỢ'!$A$5:$A$111,$A28,'SỔ CÔNG NỢ'!$B$5:$B$111,"&lt;"&amp;$B28)=0,C28,SUMIFS('SỔ CÔNG NỢ'!$M$5:$M$111,'SỔ CÔNG NỢ'!$A$5:$A$111,$A28,'SỔ CÔNG NỢ'!$B$5:$B$111,_xlfn.MAXIFS('SỔ CÔNG NỢ'!$B$5:$B$111,'SỔ CÔNG NỢ'!$A$5:$A$111,$A28,'SỔ CÔNG NỢ'!$B$5:$B$111,"&lt;"&amp;$B28))))</f>
        <v>890150</v>
      </c>
      <c r="M28" s="33" t="n">
        <f aca="false">IF(OR($A28="",$B28=""),"",L28+G28-J28-K28)</f>
        <v>10078550</v>
      </c>
      <c r="N28" s="31" t="n">
        <v>10078550</v>
      </c>
      <c r="O28" s="17" t="n">
        <f aca="false">IF(OR($A28="",$B28="",N28=""),"",N28-M28)</f>
        <v>0</v>
      </c>
      <c r="P28" s="34"/>
    </row>
    <row r="29" customFormat="false" ht="15" hidden="false" customHeight="false" outlineLevel="0" collapsed="false">
      <c r="A29" s="20" t="s">
        <v>23</v>
      </c>
      <c r="B29" s="30" t="n">
        <v>46204</v>
      </c>
      <c r="C29" s="31" t="n">
        <v>10078550</v>
      </c>
      <c r="D29" s="31" t="n">
        <v>39225100</v>
      </c>
      <c r="E29" s="31" t="n">
        <v>23535060</v>
      </c>
      <c r="F29" s="32" t="s">
        <v>68</v>
      </c>
      <c r="G29" s="17" t="n">
        <f aca="false">IF(OR($A29="",$B29=""),"",D29-E29)</f>
        <v>15690040</v>
      </c>
      <c r="H29" s="31" t="n">
        <v>0</v>
      </c>
      <c r="I29" s="31" t="n">
        <v>0</v>
      </c>
      <c r="J29" s="17" t="n">
        <f aca="false">IF(OR($A29="",$B29=""),"",H29-I29)</f>
        <v>0</v>
      </c>
      <c r="K29" s="17" t="n">
        <f aca="false">IF(OR($A29="",$B29=""),"",SUMIFS('THANH TOÁN'!$D$5:$D$305,'THANH TOÁN'!$A$5:$A$305,$A29,'THANH TOÁN'!$B$5:$B$305,$B29,'THANH TOÁN'!$E$5:$E$305,"Có"))</f>
        <v>15290000</v>
      </c>
      <c r="L29" s="17" t="n">
        <f aca="false">IF(OR($A29="",$B29=""),"",IF(_xlfn.MAXIFS('SỔ CÔNG NỢ'!$B$5:$B$111,'SỔ CÔNG NỢ'!$A$5:$A$111,$A29,'SỔ CÔNG NỢ'!$B$5:$B$111,"&lt;"&amp;$B29)=0,C29,SUMIFS('SỔ CÔNG NỢ'!$M$5:$M$111,'SỔ CÔNG NỢ'!$A$5:$A$111,$A29,'SỔ CÔNG NỢ'!$B$5:$B$111,_xlfn.MAXIFS('SỔ CÔNG NỢ'!$B$5:$B$111,'SỔ CÔNG NỢ'!$A$5:$A$111,$A29,'SỔ CÔNG NỢ'!$B$5:$B$111,"&lt;"&amp;$B29))))</f>
        <v>10078550</v>
      </c>
      <c r="M29" s="33" t="n">
        <f aca="false">IF(OR($A29="",$B29=""),"",L29+G29-J29-K29)</f>
        <v>10478590</v>
      </c>
      <c r="N29" s="31" t="n">
        <v>10478590</v>
      </c>
      <c r="O29" s="17" t="n">
        <f aca="false">IF(OR($A29="",$B29="",N29=""),"",N29-M29)</f>
        <v>0</v>
      </c>
      <c r="P29" s="34"/>
    </row>
    <row r="30" customFormat="false" ht="15" hidden="false" customHeight="false" outlineLevel="0" collapsed="false">
      <c r="A30" s="20" t="s">
        <v>23</v>
      </c>
      <c r="B30" s="30" t="n">
        <v>46235</v>
      </c>
      <c r="C30" s="31" t="n">
        <v>10478590</v>
      </c>
      <c r="D30" s="31" t="n">
        <v>39165000</v>
      </c>
      <c r="E30" s="31" t="n">
        <v>23499000</v>
      </c>
      <c r="F30" s="32" t="s">
        <v>68</v>
      </c>
      <c r="G30" s="17" t="n">
        <f aca="false">IF(OR($A30="",$B30=""),"",D30-E30)</f>
        <v>15666000</v>
      </c>
      <c r="H30" s="31" t="n">
        <v>0</v>
      </c>
      <c r="I30" s="31" t="n">
        <v>0</v>
      </c>
      <c r="J30" s="17" t="n">
        <f aca="false">IF(OR($A30="",$B30=""),"",H30-I30)</f>
        <v>0</v>
      </c>
      <c r="K30" s="17" t="n">
        <f aca="false">IF(OR($A30="",$B30=""),"",SUMIFS('THANH TOÁN'!$D$5:$D$305,'THANH TOÁN'!$A$5:$A$305,$A30,'THANH TOÁN'!$B$5:$B$305,$B30,'THANH TOÁN'!$E$5:$E$305,"Có"))</f>
        <v>33240000</v>
      </c>
      <c r="L30" s="17" t="n">
        <f aca="false">IF(OR($A30="",$B30=""),"",IF(_xlfn.MAXIFS('SỔ CÔNG NỢ'!$B$5:$B$111,'SỔ CÔNG NỢ'!$A$5:$A$111,$A30,'SỔ CÔNG NỢ'!$B$5:$B$111,"&lt;"&amp;$B30)=0,C30,SUMIFS('SỔ CÔNG NỢ'!$M$5:$M$111,'SỔ CÔNG NỢ'!$A$5:$A$111,$A30,'SỔ CÔNG NỢ'!$B$5:$B$111,_xlfn.MAXIFS('SỔ CÔNG NỢ'!$B$5:$B$111,'SỔ CÔNG NỢ'!$A$5:$A$111,$A30,'SỔ CÔNG NỢ'!$B$5:$B$111,"&lt;"&amp;$B30))))</f>
        <v>10478590</v>
      </c>
      <c r="M30" s="33" t="n">
        <f aca="false">IF(OR($A30="",$B30=""),"",L30+G30-J30-K30)</f>
        <v>-7095410</v>
      </c>
      <c r="N30" s="31" t="n">
        <v>-7095410</v>
      </c>
      <c r="O30" s="17" t="n">
        <f aca="false">IF(OR($A30="",$B30="",N30=""),"",N30-M30)</f>
        <v>0</v>
      </c>
      <c r="P30" s="34"/>
    </row>
    <row r="31" customFormat="false" ht="15" hidden="false" customHeight="false" outlineLevel="0" collapsed="false">
      <c r="A31" s="20" t="s">
        <v>23</v>
      </c>
      <c r="B31" s="30" t="n">
        <v>46266</v>
      </c>
      <c r="C31" s="31" t="n">
        <v>-7095410</v>
      </c>
      <c r="D31" s="31" t="n">
        <v>100434400</v>
      </c>
      <c r="E31" s="31" t="n">
        <v>60260640</v>
      </c>
      <c r="F31" s="32" t="s">
        <v>68</v>
      </c>
      <c r="G31" s="17" t="n">
        <f aca="false">IF(OR($A31="",$B31=""),"",D31-E31)</f>
        <v>40173760</v>
      </c>
      <c r="H31" s="31" t="n">
        <v>0</v>
      </c>
      <c r="I31" s="31" t="n">
        <v>0</v>
      </c>
      <c r="J31" s="17" t="n">
        <f aca="false">IF(OR($A31="",$B31=""),"",H31-I31)</f>
        <v>0</v>
      </c>
      <c r="K31" s="17" t="n">
        <f aca="false">IF(OR($A31="",$B31=""),"",SUMIFS('THANH TOÁN'!$D$5:$D$305,'THANH TOÁN'!$A$5:$A$305,$A31,'THANH TOÁN'!$B$5:$B$305,$B31,'THANH TOÁN'!$E$5:$E$305,"Có"))</f>
        <v>0</v>
      </c>
      <c r="L31" s="17" t="n">
        <f aca="false">IF(OR($A31="",$B31=""),"",IF(_xlfn.MAXIFS('SỔ CÔNG NỢ'!$B$5:$B$111,'SỔ CÔNG NỢ'!$A$5:$A$111,$A31,'SỔ CÔNG NỢ'!$B$5:$B$111,"&lt;"&amp;$B31)=0,C31,SUMIFS('SỔ CÔNG NỢ'!$M$5:$M$111,'SỔ CÔNG NỢ'!$A$5:$A$111,$A31,'SỔ CÔNG NỢ'!$B$5:$B$111,_xlfn.MAXIFS('SỔ CÔNG NỢ'!$B$5:$B$111,'SỔ CÔNG NỢ'!$A$5:$A$111,$A31,'SỔ CÔNG NỢ'!$B$5:$B$111,"&lt;"&amp;$B31))))</f>
        <v>-7095410</v>
      </c>
      <c r="M31" s="33" t="n">
        <f aca="false">IF(OR($A31="",$B31=""),"",L31+G31-J31-K31)</f>
        <v>33078350</v>
      </c>
      <c r="N31" s="31" t="n">
        <v>33078350</v>
      </c>
      <c r="O31" s="17" t="n">
        <f aca="false">IF(OR($A31="",$B31="",N31=""),"",N31-M31)</f>
        <v>0</v>
      </c>
      <c r="P31" s="34"/>
    </row>
    <row r="32" customFormat="false" ht="15" hidden="false" customHeight="false" outlineLevel="0" collapsed="false">
      <c r="A32" s="20" t="s">
        <v>36</v>
      </c>
      <c r="B32" s="30" t="n">
        <v>46174</v>
      </c>
      <c r="C32" s="31" t="n">
        <v>0</v>
      </c>
      <c r="D32" s="31" t="n">
        <v>3750000</v>
      </c>
      <c r="E32" s="31" t="n">
        <v>2362500</v>
      </c>
      <c r="F32" s="32" t="s">
        <v>69</v>
      </c>
      <c r="G32" s="17" t="n">
        <f aca="false">IF(OR($A32="",$B32=""),"",D32-E32)</f>
        <v>1387500</v>
      </c>
      <c r="H32" s="31" t="n">
        <v>0</v>
      </c>
      <c r="I32" s="31" t="n">
        <v>0</v>
      </c>
      <c r="J32" s="17" t="n">
        <f aca="false">IF(OR($A32="",$B32=""),"",H32-I32)</f>
        <v>0</v>
      </c>
      <c r="K32" s="17" t="n">
        <f aca="false">IF(OR($A32="",$B32=""),"",SUMIFS('THANH TOÁN'!$D$5:$D$305,'THANH TOÁN'!$A$5:$A$305,$A32,'THANH TOÁN'!$B$5:$B$305,$B32,'THANH TOÁN'!$E$5:$E$305,"Có"))</f>
        <v>1500000</v>
      </c>
      <c r="L32" s="17" t="n">
        <f aca="false">IF(OR($A32="",$B32=""),"",IF(_xlfn.MAXIFS('SỔ CÔNG NỢ'!$B$5:$B$111,'SỔ CÔNG NỢ'!$A$5:$A$111,$A32,'SỔ CÔNG NỢ'!$B$5:$B$111,"&lt;"&amp;$B32)=0,C32,SUMIFS('SỔ CÔNG NỢ'!$M$5:$M$111,'SỔ CÔNG NỢ'!$A$5:$A$111,$A32,'SỔ CÔNG NỢ'!$B$5:$B$111,_xlfn.MAXIFS('SỔ CÔNG NỢ'!$B$5:$B$111,'SỔ CÔNG NỢ'!$A$5:$A$111,$A32,'SỔ CÔNG NỢ'!$B$5:$B$111,"&lt;"&amp;$B32))))</f>
        <v>0</v>
      </c>
      <c r="M32" s="33" t="n">
        <f aca="false">IF(OR($A32="",$B32=""),"",L32+G32-J32-K32)</f>
        <v>-112500</v>
      </c>
      <c r="N32" s="31" t="n">
        <v>-112500</v>
      </c>
      <c r="O32" s="17" t="n">
        <f aca="false">IF(OR($A32="",$B32="",N32=""),"",N32-M32)</f>
        <v>0</v>
      </c>
      <c r="P32" s="34"/>
    </row>
    <row r="33" customFormat="false" ht="15" hidden="false" customHeight="false" outlineLevel="0" collapsed="false">
      <c r="A33" s="20" t="s">
        <v>22</v>
      </c>
      <c r="B33" s="30" t="n">
        <v>46174</v>
      </c>
      <c r="C33" s="31" t="n">
        <v>33678000</v>
      </c>
      <c r="D33" s="31" t="n">
        <v>75055500</v>
      </c>
      <c r="E33" s="31" t="n">
        <v>47284965</v>
      </c>
      <c r="F33" s="32" t="s">
        <v>69</v>
      </c>
      <c r="G33" s="17" t="n">
        <f aca="false">IF(OR($A33="",$B33=""),"",D33-E33)</f>
        <v>27770535</v>
      </c>
      <c r="H33" s="31" t="n">
        <v>0</v>
      </c>
      <c r="I33" s="31" t="n">
        <v>0</v>
      </c>
      <c r="J33" s="17" t="n">
        <f aca="false">IF(OR($A33="",$B33=""),"",H33-I33)</f>
        <v>0</v>
      </c>
      <c r="K33" s="17" t="n">
        <f aca="false">IF(OR($A33="",$B33=""),"",SUMIFS('THANH TOÁN'!$D$5:$D$305,'THANH TOÁN'!$A$5:$A$305,$A33,'THANH TOÁN'!$B$5:$B$305,$B33,'THANH TOÁN'!$E$5:$E$305,"Có"))</f>
        <v>28000000</v>
      </c>
      <c r="L33" s="17" t="n">
        <f aca="false">IF(OR($A33="",$B33=""),"",IF(_xlfn.MAXIFS('SỔ CÔNG NỢ'!$B$5:$B$111,'SỔ CÔNG NỢ'!$A$5:$A$111,$A33,'SỔ CÔNG NỢ'!$B$5:$B$111,"&lt;"&amp;$B33)=0,C33,SUMIFS('SỔ CÔNG NỢ'!$M$5:$M$111,'SỔ CÔNG NỢ'!$A$5:$A$111,$A33,'SỔ CÔNG NỢ'!$B$5:$B$111,_xlfn.MAXIFS('SỔ CÔNG NỢ'!$B$5:$B$111,'SỔ CÔNG NỢ'!$A$5:$A$111,$A33,'SỔ CÔNG NỢ'!$B$5:$B$111,"&lt;"&amp;$B33))))</f>
        <v>33678000</v>
      </c>
      <c r="M33" s="33" t="n">
        <f aca="false">IF(OR($A33="",$B33=""),"",L33+G33-J33-K33)</f>
        <v>33448535</v>
      </c>
      <c r="N33" s="31" t="n">
        <v>33448535</v>
      </c>
      <c r="O33" s="17" t="n">
        <f aca="false">IF(OR($A33="",$B33="",N33=""),"",N33-M33)</f>
        <v>0</v>
      </c>
      <c r="P33" s="34"/>
    </row>
    <row r="34" customFormat="false" ht="15" hidden="false" customHeight="false" outlineLevel="0" collapsed="false">
      <c r="A34" s="20" t="s">
        <v>40</v>
      </c>
      <c r="B34" s="30" t="n">
        <v>46174</v>
      </c>
      <c r="C34" s="31" t="n">
        <v>11687706</v>
      </c>
      <c r="D34" s="31" t="n">
        <v>49288900</v>
      </c>
      <c r="E34" s="31" t="n">
        <v>31052007</v>
      </c>
      <c r="F34" s="32" t="s">
        <v>69</v>
      </c>
      <c r="G34" s="17" t="n">
        <f aca="false">IF(OR($A34="",$B34=""),"",D34-E34)</f>
        <v>18236893</v>
      </c>
      <c r="H34" s="31" t="n">
        <v>0</v>
      </c>
      <c r="I34" s="31" t="n">
        <v>0</v>
      </c>
      <c r="J34" s="17" t="n">
        <f aca="false">IF(OR($A34="",$B34=""),"",H34-I34)</f>
        <v>0</v>
      </c>
      <c r="K34" s="17" t="n">
        <f aca="false">IF(OR($A34="",$B34=""),"",SUMIFS('THANH TOÁN'!$D$5:$D$305,'THANH TOÁN'!$A$5:$A$305,$A34,'THANH TOÁN'!$B$5:$B$305,$B34,'THANH TOÁN'!$E$5:$E$305,"Có"))</f>
        <v>17100000</v>
      </c>
      <c r="L34" s="17" t="n">
        <f aca="false">IF(OR($A34="",$B34=""),"",IF(_xlfn.MAXIFS('SỔ CÔNG NỢ'!$B$5:$B$111,'SỔ CÔNG NỢ'!$A$5:$A$111,$A34,'SỔ CÔNG NỢ'!$B$5:$B$111,"&lt;"&amp;$B34)=0,C34,SUMIFS('SỔ CÔNG NỢ'!$M$5:$M$111,'SỔ CÔNG NỢ'!$A$5:$A$111,$A34,'SỔ CÔNG NỢ'!$B$5:$B$111,_xlfn.MAXIFS('SỔ CÔNG NỢ'!$B$5:$B$111,'SỔ CÔNG NỢ'!$A$5:$A$111,$A34,'SỔ CÔNG NỢ'!$B$5:$B$111,"&lt;"&amp;$B34))))</f>
        <v>11687706</v>
      </c>
      <c r="M34" s="33" t="n">
        <f aca="false">IF(OR($A34="",$B34=""),"",L34+G34-J34-K34)</f>
        <v>12824599</v>
      </c>
      <c r="N34" s="31" t="n">
        <v>12824599</v>
      </c>
      <c r="O34" s="17" t="n">
        <f aca="false">IF(OR($A34="",$B34="",N34=""),"",N34-M34)</f>
        <v>0</v>
      </c>
      <c r="P34" s="34"/>
    </row>
    <row r="35" customFormat="false" ht="23.85" hidden="false" customHeight="false" outlineLevel="0" collapsed="false">
      <c r="A35" s="20" t="s">
        <v>40</v>
      </c>
      <c r="B35" s="30" t="n">
        <v>46204</v>
      </c>
      <c r="C35" s="31" t="n">
        <v>12824599</v>
      </c>
      <c r="D35" s="31" t="n">
        <v>52520000</v>
      </c>
      <c r="E35" s="31" t="n">
        <v>33087600</v>
      </c>
      <c r="F35" s="32" t="s">
        <v>69</v>
      </c>
      <c r="G35" s="17" t="n">
        <f aca="false">IF(OR($A35="",$B35=""),"",D35-E35)</f>
        <v>19432400</v>
      </c>
      <c r="H35" s="31" t="n">
        <v>0</v>
      </c>
      <c r="I35" s="31" t="n">
        <v>0</v>
      </c>
      <c r="J35" s="17" t="n">
        <f aca="false">IF(OR($A35="",$B35=""),"",H35-I35)</f>
        <v>0</v>
      </c>
      <c r="K35" s="17" t="n">
        <f aca="false">IF(OR($A35="",$B35=""),"",SUMIFS('THANH TOÁN'!$D$5:$D$305,'THANH TOÁN'!$A$5:$A$305,$A35,'THANH TOÁN'!$B$5:$B$305,$B35,'THANH TOÁN'!$E$5:$E$305,"Có"))</f>
        <v>0</v>
      </c>
      <c r="L35" s="17" t="n">
        <f aca="false">IF(OR($A35="",$B35=""),"",IF(_xlfn.MAXIFS('SỔ CÔNG NỢ'!$B$5:$B$111,'SỔ CÔNG NỢ'!$A$5:$A$111,$A35,'SỔ CÔNG NỢ'!$B$5:$B$111,"&lt;"&amp;$B35)=0,C35,SUMIFS('SỔ CÔNG NỢ'!$M$5:$M$111,'SỔ CÔNG NỢ'!$A$5:$A$111,$A35,'SỔ CÔNG NỢ'!$B$5:$B$111,_xlfn.MAXIFS('SỔ CÔNG NỢ'!$B$5:$B$111,'SỔ CÔNG NỢ'!$A$5:$A$111,$A35,'SỔ CÔNG NỢ'!$B$5:$B$111,"&lt;"&amp;$B35))))</f>
        <v>12824599</v>
      </c>
      <c r="M35" s="33" t="n">
        <f aca="false">IF(OR($A35="",$B35=""),"",L35+G35-J35-K35)</f>
        <v>32256999</v>
      </c>
      <c r="N35" s="31" t="n">
        <v>15156999</v>
      </c>
      <c r="O35" s="17" t="n">
        <f aca="false">IF(OR($A35="",$B35="",N35=""),"",N35-M35)</f>
        <v>-17100000</v>
      </c>
      <c r="P35" s="34" t="s">
        <v>75</v>
      </c>
    </row>
    <row r="36" customFormat="false" ht="23.85" hidden="false" customHeight="false" outlineLevel="0" collapsed="false">
      <c r="A36" s="20" t="s">
        <v>40</v>
      </c>
      <c r="B36" s="30" t="n">
        <v>46235</v>
      </c>
      <c r="C36" s="31" t="n">
        <v>15156999</v>
      </c>
      <c r="D36" s="31" t="n">
        <v>18148550</v>
      </c>
      <c r="E36" s="31" t="n">
        <v>11433586.5</v>
      </c>
      <c r="F36" s="32" t="s">
        <v>69</v>
      </c>
      <c r="G36" s="17" t="n">
        <f aca="false">IF(OR($A36="",$B36=""),"",D36-E36)</f>
        <v>6714963.5</v>
      </c>
      <c r="H36" s="31" t="n">
        <v>0</v>
      </c>
      <c r="I36" s="31" t="n">
        <v>0</v>
      </c>
      <c r="J36" s="17" t="n">
        <f aca="false">IF(OR($A36="",$B36=""),"",H36-I36)</f>
        <v>0</v>
      </c>
      <c r="K36" s="17" t="n">
        <f aca="false">IF(OR($A36="",$B36=""),"",SUMIFS('THANH TOÁN'!$D$5:$D$305,'THANH TOÁN'!$A$5:$A$305,$A36,'THANH TOÁN'!$B$5:$B$305,$B36,'THANH TOÁN'!$E$5:$E$305,"Có"))</f>
        <v>19000000</v>
      </c>
      <c r="L36" s="17" t="n">
        <f aca="false">IF(OR($A36="",$B36=""),"",IF(_xlfn.MAXIFS('SỔ CÔNG NỢ'!$B$5:$B$111,'SỔ CÔNG NỢ'!$A$5:$A$111,$A36,'SỔ CÔNG NỢ'!$B$5:$B$111,"&lt;"&amp;$B36)=0,C36,SUMIFS('SỔ CÔNG NỢ'!$M$5:$M$111,'SỔ CÔNG NỢ'!$A$5:$A$111,$A36,'SỔ CÔNG NỢ'!$B$5:$B$111,_xlfn.MAXIFS('SỔ CÔNG NỢ'!$B$5:$B$111,'SỔ CÔNG NỢ'!$A$5:$A$111,$A36,'SỔ CÔNG NỢ'!$B$5:$B$111,"&lt;"&amp;$B36))))</f>
        <v>32256999</v>
      </c>
      <c r="M36" s="33" t="n">
        <f aca="false">IF(OR($A36="",$B36=""),"",L36+G36-J36-K36)</f>
        <v>19971962.5</v>
      </c>
      <c r="N36" s="31" t="n">
        <v>2871962.5</v>
      </c>
      <c r="O36" s="17" t="n">
        <f aca="false">IF(OR($A36="",$B36="",N36=""),"",N36-M36)</f>
        <v>-17100000</v>
      </c>
      <c r="P36" s="34" t="s">
        <v>76</v>
      </c>
    </row>
    <row r="37" customFormat="false" ht="35.05" hidden="false" customHeight="false" outlineLevel="0" collapsed="false">
      <c r="A37" s="20" t="s">
        <v>40</v>
      </c>
      <c r="B37" s="30" t="n">
        <v>46266</v>
      </c>
      <c r="C37" s="31" t="n">
        <v>15156999</v>
      </c>
      <c r="D37" s="31" t="n">
        <v>3190700</v>
      </c>
      <c r="E37" s="31" t="n">
        <v>2010141</v>
      </c>
      <c r="F37" s="32" t="s">
        <v>69</v>
      </c>
      <c r="G37" s="17" t="n">
        <f aca="false">IF(OR($A37="",$B37=""),"",D37-E37)</f>
        <v>1180559</v>
      </c>
      <c r="H37" s="31" t="n">
        <v>0</v>
      </c>
      <c r="I37" s="31" t="n">
        <v>0</v>
      </c>
      <c r="J37" s="17" t="n">
        <f aca="false">IF(OR($A37="",$B37=""),"",H37-I37)</f>
        <v>0</v>
      </c>
      <c r="K37" s="17" t="n">
        <f aca="false">IF(OR($A37="",$B37=""),"",SUMIFS('THANH TOÁN'!$D$5:$D$305,'THANH TOÁN'!$A$5:$A$305,$A37,'THANH TOÁN'!$B$5:$B$305,$B37,'THANH TOÁN'!$E$5:$E$305,"Có"))</f>
        <v>0</v>
      </c>
      <c r="L37" s="17" t="n">
        <f aca="false">IF(OR($A37="",$B37=""),"",IF(_xlfn.MAXIFS('SỔ CÔNG NỢ'!$B$5:$B$111,'SỔ CÔNG NỢ'!$A$5:$A$111,$A37,'SỔ CÔNG NỢ'!$B$5:$B$111,"&lt;"&amp;$B37)=0,C37,SUMIFS('SỔ CÔNG NỢ'!$M$5:$M$111,'SỔ CÔNG NỢ'!$A$5:$A$111,$A37,'SỔ CÔNG NỢ'!$B$5:$B$111,_xlfn.MAXIFS('SỔ CÔNG NỢ'!$B$5:$B$111,'SỔ CÔNG NỢ'!$A$5:$A$111,$A37,'SỔ CÔNG NỢ'!$B$5:$B$111,"&lt;"&amp;$B37))))</f>
        <v>19971962.5</v>
      </c>
      <c r="M37" s="33" t="n">
        <f aca="false">IF(OR($A37="",$B37=""),"",L37+G37-J37-K37)</f>
        <v>21152521.5</v>
      </c>
      <c r="N37" s="31" t="n">
        <v>-2662442</v>
      </c>
      <c r="O37" s="17" t="n">
        <f aca="false">IF(OR($A37="",$B37="",N37=""),"",N37-M37)</f>
        <v>-23814963.5</v>
      </c>
      <c r="P37" s="34" t="s">
        <v>77</v>
      </c>
    </row>
    <row r="38" customFormat="false" ht="15" hidden="false" customHeight="false" outlineLevel="0" collapsed="false">
      <c r="A38" s="20" t="s">
        <v>19</v>
      </c>
      <c r="B38" s="30" t="n">
        <v>46204</v>
      </c>
      <c r="C38" s="31" t="n">
        <v>58826405</v>
      </c>
      <c r="D38" s="31" t="n">
        <v>6160000</v>
      </c>
      <c r="E38" s="31" t="n">
        <v>4004000</v>
      </c>
      <c r="F38" s="32" t="s">
        <v>71</v>
      </c>
      <c r="G38" s="17" t="n">
        <f aca="false">IF(OR($A38="",$B38=""),"",D38-E38)</f>
        <v>2156000</v>
      </c>
      <c r="H38" s="31" t="n">
        <v>0</v>
      </c>
      <c r="I38" s="31" t="n">
        <v>0</v>
      </c>
      <c r="J38" s="17" t="n">
        <f aca="false">IF(OR($A38="",$B38=""),"",H38-I38)</f>
        <v>0</v>
      </c>
      <c r="K38" s="17" t="n">
        <f aca="false">IF(OR($A38="",$B38=""),"",SUMIFS('THANH TOÁN'!$D$5:$D$305,'THANH TOÁN'!$A$5:$A$305,$A38,'THANH TOÁN'!$B$5:$B$305,$B38,'THANH TOÁN'!$E$5:$E$305,"Có"))</f>
        <v>0</v>
      </c>
      <c r="L38" s="17" t="n">
        <f aca="false">IF(OR($A38="",$B38=""),"",IF(_xlfn.MAXIFS('SỔ CÔNG NỢ'!$B$5:$B$111,'SỔ CÔNG NỢ'!$A$5:$A$111,$A38,'SỔ CÔNG NỢ'!$B$5:$B$111,"&lt;"&amp;$B38)=0,C38,SUMIFS('SỔ CÔNG NỢ'!$M$5:$M$111,'SỔ CÔNG NỢ'!$A$5:$A$111,$A38,'SỔ CÔNG NỢ'!$B$5:$B$111,_xlfn.MAXIFS('SỔ CÔNG NỢ'!$B$5:$B$111,'SỔ CÔNG NỢ'!$A$5:$A$111,$A38,'SỔ CÔNG NỢ'!$B$5:$B$111,"&lt;"&amp;$B38))))</f>
        <v>58826405</v>
      </c>
      <c r="M38" s="33" t="n">
        <f aca="false">IF(OR($A38="",$B38=""),"",L38+G38-J38-K38)</f>
        <v>60982405</v>
      </c>
      <c r="N38" s="31" t="n">
        <v>60982405</v>
      </c>
      <c r="O38" s="17" t="n">
        <f aca="false">IF(OR($A38="",$B38="",N38=""),"",N38-M38)</f>
        <v>0</v>
      </c>
      <c r="P38" s="34"/>
    </row>
    <row r="39" customFormat="false" ht="15" hidden="false" customHeight="false" outlineLevel="0" collapsed="false">
      <c r="A39" s="20" t="s">
        <v>19</v>
      </c>
      <c r="B39" s="30" t="n">
        <v>46266</v>
      </c>
      <c r="C39" s="31" t="n">
        <v>60982405</v>
      </c>
      <c r="D39" s="31" t="n">
        <v>1339000</v>
      </c>
      <c r="E39" s="31" t="n">
        <v>870350</v>
      </c>
      <c r="F39" s="32" t="s">
        <v>71</v>
      </c>
      <c r="G39" s="17" t="n">
        <f aca="false">IF(OR($A39="",$B39=""),"",D39-E39)</f>
        <v>468650</v>
      </c>
      <c r="H39" s="31" t="n">
        <v>0</v>
      </c>
      <c r="I39" s="31" t="n">
        <v>0</v>
      </c>
      <c r="J39" s="17" t="n">
        <f aca="false">IF(OR($A39="",$B39=""),"",H39-I39)</f>
        <v>0</v>
      </c>
      <c r="K39" s="17" t="n">
        <f aca="false">IF(OR($A39="",$B39=""),"",SUMIFS('THANH TOÁN'!$D$5:$D$305,'THANH TOÁN'!$A$5:$A$305,$A39,'THANH TOÁN'!$B$5:$B$305,$B39,'THANH TOÁN'!$E$5:$E$305,"Có"))</f>
        <v>0</v>
      </c>
      <c r="L39" s="17" t="n">
        <f aca="false">IF(OR($A39="",$B39=""),"",IF(_xlfn.MAXIFS('SỔ CÔNG NỢ'!$B$5:$B$111,'SỔ CÔNG NỢ'!$A$5:$A$111,$A39,'SỔ CÔNG NỢ'!$B$5:$B$111,"&lt;"&amp;$B39)=0,C39,SUMIFS('SỔ CÔNG NỢ'!$M$5:$M$111,'SỔ CÔNG NỢ'!$A$5:$A$111,$A39,'SỔ CÔNG NỢ'!$B$5:$B$111,_xlfn.MAXIFS('SỔ CÔNG NỢ'!$B$5:$B$111,'SỔ CÔNG NỢ'!$A$5:$A$111,$A39,'SỔ CÔNG NỢ'!$B$5:$B$111,"&lt;"&amp;$B39))))</f>
        <v>60982405</v>
      </c>
      <c r="M39" s="33" t="n">
        <f aca="false">IF(OR($A39="",$B39=""),"",L39+G39-J39-K39)</f>
        <v>61451055</v>
      </c>
      <c r="N39" s="31" t="n">
        <v>61451055</v>
      </c>
      <c r="O39" s="17" t="n">
        <f aca="false">IF(OR($A39="",$B39="",N39=""),"",N39-M39)</f>
        <v>0</v>
      </c>
      <c r="P39" s="34"/>
    </row>
    <row r="40" customFormat="false" ht="15" hidden="false" customHeight="false" outlineLevel="0" collapsed="false">
      <c r="A40" s="20" t="s">
        <v>26</v>
      </c>
      <c r="B40" s="30" t="n">
        <v>46174</v>
      </c>
      <c r="C40" s="31" t="n">
        <v>0</v>
      </c>
      <c r="D40" s="31" t="n">
        <v>60579150</v>
      </c>
      <c r="E40" s="31" t="n">
        <v>37559073</v>
      </c>
      <c r="F40" s="32" t="s">
        <v>65</v>
      </c>
      <c r="G40" s="17" t="n">
        <f aca="false">IF(OR($A40="",$B40=""),"",D40-E40)</f>
        <v>23020077</v>
      </c>
      <c r="H40" s="31" t="n">
        <v>0</v>
      </c>
      <c r="I40" s="31" t="n">
        <v>0</v>
      </c>
      <c r="J40" s="17" t="n">
        <f aca="false">IF(OR($A40="",$B40=""),"",H40-I40)</f>
        <v>0</v>
      </c>
      <c r="K40" s="17" t="n">
        <f aca="false">IF(OR($A40="",$B40=""),"",SUMIFS('THANH TOÁN'!$D$5:$D$305,'THANH TOÁN'!$A$5:$A$305,$A40,'THANH TOÁN'!$B$5:$B$305,$B40,'THANH TOÁN'!$E$5:$E$305,"Có"))</f>
        <v>9500000</v>
      </c>
      <c r="L40" s="17" t="n">
        <f aca="false">IF(OR($A40="",$B40=""),"",IF(_xlfn.MAXIFS('SỔ CÔNG NỢ'!$B$5:$B$111,'SỔ CÔNG NỢ'!$A$5:$A$111,$A40,'SỔ CÔNG NỢ'!$B$5:$B$111,"&lt;"&amp;$B40)=0,C40,SUMIFS('SỔ CÔNG NỢ'!$M$5:$M$111,'SỔ CÔNG NỢ'!$A$5:$A$111,$A40,'SỔ CÔNG NỢ'!$B$5:$B$111,_xlfn.MAXIFS('SỔ CÔNG NỢ'!$B$5:$B$111,'SỔ CÔNG NỢ'!$A$5:$A$111,$A40,'SỔ CÔNG NỢ'!$B$5:$B$111,"&lt;"&amp;$B40))))</f>
        <v>0</v>
      </c>
      <c r="M40" s="33" t="n">
        <f aca="false">IF(OR($A40="",$B40=""),"",L40+G40-J40-K40)</f>
        <v>13520077</v>
      </c>
      <c r="N40" s="31" t="n">
        <v>13520077</v>
      </c>
      <c r="O40" s="17" t="n">
        <f aca="false">IF(OR($A40="",$B40="",N40=""),"",N40-M40)</f>
        <v>0</v>
      </c>
      <c r="P40" s="34"/>
    </row>
    <row r="41" customFormat="false" ht="15" hidden="false" customHeight="false" outlineLevel="0" collapsed="false">
      <c r="A41" s="20" t="s">
        <v>26</v>
      </c>
      <c r="B41" s="30" t="n">
        <v>46204</v>
      </c>
      <c r="C41" s="31" t="n">
        <v>13520077</v>
      </c>
      <c r="D41" s="31" t="n">
        <v>144404600</v>
      </c>
      <c r="E41" s="31" t="n">
        <v>89530852</v>
      </c>
      <c r="F41" s="32" t="s">
        <v>65</v>
      </c>
      <c r="G41" s="17" t="n">
        <f aca="false">IF(OR($A41="",$B41=""),"",D41-E41)</f>
        <v>54873748</v>
      </c>
      <c r="H41" s="31" t="n">
        <v>15660000</v>
      </c>
      <c r="I41" s="31" t="n">
        <v>9709200</v>
      </c>
      <c r="J41" s="17" t="n">
        <f aca="false">IF(OR($A41="",$B41=""),"",H41-I41)</f>
        <v>5950800</v>
      </c>
      <c r="K41" s="17" t="n">
        <f aca="false">IF(OR($A41="",$B41=""),"",SUMIFS('THANH TOÁN'!$D$5:$D$305,'THANH TOÁN'!$A$5:$A$305,$A41,'THANH TOÁN'!$B$5:$B$305,$B41,'THANH TOÁN'!$E$5:$E$305,"Có"))</f>
        <v>44300000</v>
      </c>
      <c r="L41" s="17" t="n">
        <f aca="false">IF(OR($A41="",$B41=""),"",IF(_xlfn.MAXIFS('SỔ CÔNG NỢ'!$B$5:$B$111,'SỔ CÔNG NỢ'!$A$5:$A$111,$A41,'SỔ CÔNG NỢ'!$B$5:$B$111,"&lt;"&amp;$B41)=0,C41,SUMIFS('SỔ CÔNG NỢ'!$M$5:$M$111,'SỔ CÔNG NỢ'!$A$5:$A$111,$A41,'SỔ CÔNG NỢ'!$B$5:$B$111,_xlfn.MAXIFS('SỔ CÔNG NỢ'!$B$5:$B$111,'SỔ CÔNG NỢ'!$A$5:$A$111,$A41,'SỔ CÔNG NỢ'!$B$5:$B$111,"&lt;"&amp;$B41))))</f>
        <v>13520077</v>
      </c>
      <c r="M41" s="33" t="n">
        <f aca="false">IF(OR($A41="",$B41=""),"",L41+G41-J41-K41)</f>
        <v>18143025</v>
      </c>
      <c r="N41" s="31" t="n">
        <v>18143025</v>
      </c>
      <c r="O41" s="17" t="n">
        <f aca="false">IF(OR($A41="",$B41="",N41=""),"",N41-M41)</f>
        <v>0</v>
      </c>
      <c r="P41" s="34"/>
    </row>
    <row r="42" customFormat="false" ht="15" hidden="false" customHeight="false" outlineLevel="0" collapsed="false">
      <c r="A42" s="20" t="s">
        <v>31</v>
      </c>
      <c r="B42" s="30" t="n">
        <v>46174</v>
      </c>
      <c r="C42" s="31" t="n">
        <v>-35000000</v>
      </c>
      <c r="D42" s="31" t="n">
        <v>126015700</v>
      </c>
      <c r="E42" s="31" t="n">
        <v>79389891</v>
      </c>
      <c r="F42" s="32" t="s">
        <v>69</v>
      </c>
      <c r="G42" s="17" t="n">
        <f aca="false">IF(OR($A42="",$B42=""),"",D42-E42)</f>
        <v>46625809</v>
      </c>
      <c r="H42" s="31" t="n">
        <v>4382000</v>
      </c>
      <c r="I42" s="31" t="n">
        <v>2760660</v>
      </c>
      <c r="J42" s="17" t="n">
        <f aca="false">IF(OR($A42="",$B42=""),"",H42-I42)</f>
        <v>1621340</v>
      </c>
      <c r="K42" s="17" t="n">
        <f aca="false">IF(OR($A42="",$B42=""),"",SUMIFS('THANH TOÁN'!$D$5:$D$305,'THANH TOÁN'!$A$5:$A$305,$A42,'THANH TOÁN'!$B$5:$B$305,$B42,'THANH TOÁN'!$E$5:$E$305,"Có"))</f>
        <v>0</v>
      </c>
      <c r="L42" s="17" t="n">
        <f aca="false">IF(OR($A42="",$B42=""),"",IF(_xlfn.MAXIFS('SỔ CÔNG NỢ'!$B$5:$B$111,'SỔ CÔNG NỢ'!$A$5:$A$111,$A42,'SỔ CÔNG NỢ'!$B$5:$B$111,"&lt;"&amp;$B42)=0,C42,SUMIFS('SỔ CÔNG NỢ'!$M$5:$M$111,'SỔ CÔNG NỢ'!$A$5:$A$111,$A42,'SỔ CÔNG NỢ'!$B$5:$B$111,_xlfn.MAXIFS('SỔ CÔNG NỢ'!$B$5:$B$111,'SỔ CÔNG NỢ'!$A$5:$A$111,$A42,'SỔ CÔNG NỢ'!$B$5:$B$111,"&lt;"&amp;$B42))))</f>
        <v>-35000000</v>
      </c>
      <c r="M42" s="33" t="n">
        <f aca="false">IF(OR($A42="",$B42=""),"",L42+G42-J42-K42)</f>
        <v>10004469</v>
      </c>
      <c r="N42" s="31" t="n">
        <v>10004469</v>
      </c>
      <c r="O42" s="17" t="n">
        <f aca="false">IF(OR($A42="",$B42="",N42=""),"",N42-M42)</f>
        <v>0</v>
      </c>
      <c r="P42" s="34"/>
    </row>
    <row r="43" customFormat="false" ht="15" hidden="false" customHeight="false" outlineLevel="0" collapsed="false">
      <c r="A43" s="20" t="s">
        <v>31</v>
      </c>
      <c r="B43" s="30" t="n">
        <v>46204</v>
      </c>
      <c r="C43" s="31" t="n">
        <v>10004469</v>
      </c>
      <c r="D43" s="31" t="n">
        <v>1703000</v>
      </c>
      <c r="E43" s="31" t="n">
        <v>1072890</v>
      </c>
      <c r="F43" s="32" t="s">
        <v>69</v>
      </c>
      <c r="G43" s="17" t="n">
        <f aca="false">IF(OR($A43="",$B43=""),"",D43-E43)</f>
        <v>630110</v>
      </c>
      <c r="H43" s="31" t="n">
        <v>0</v>
      </c>
      <c r="I43" s="31" t="n">
        <v>0</v>
      </c>
      <c r="J43" s="17" t="n">
        <f aca="false">IF(OR($A43="",$B43=""),"",H43-I43)</f>
        <v>0</v>
      </c>
      <c r="K43" s="17" t="n">
        <f aca="false">IF(OR($A43="",$B43=""),"",SUMIFS('THANH TOÁN'!$D$5:$D$305,'THANH TOÁN'!$A$5:$A$305,$A43,'THANH TOÁN'!$B$5:$B$305,$B43,'THANH TOÁN'!$E$5:$E$305,"Có"))</f>
        <v>0</v>
      </c>
      <c r="L43" s="17" t="n">
        <f aca="false">IF(OR($A43="",$B43=""),"",IF(_xlfn.MAXIFS('SỔ CÔNG NỢ'!$B$5:$B$111,'SỔ CÔNG NỢ'!$A$5:$A$111,$A43,'SỔ CÔNG NỢ'!$B$5:$B$111,"&lt;"&amp;$B43)=0,C43,SUMIFS('SỔ CÔNG NỢ'!$M$5:$M$111,'SỔ CÔNG NỢ'!$A$5:$A$111,$A43,'SỔ CÔNG NỢ'!$B$5:$B$111,_xlfn.MAXIFS('SỔ CÔNG NỢ'!$B$5:$B$111,'SỔ CÔNG NỢ'!$A$5:$A$111,$A43,'SỔ CÔNG NỢ'!$B$5:$B$111,"&lt;"&amp;$B43))))</f>
        <v>10004469</v>
      </c>
      <c r="M43" s="33" t="n">
        <f aca="false">IF(OR($A43="",$B43=""),"",L43+G43-J43-K43)</f>
        <v>10634579</v>
      </c>
      <c r="N43" s="31" t="n">
        <v>10634579</v>
      </c>
      <c r="O43" s="17" t="n">
        <f aca="false">IF(OR($A43="",$B43="",N43=""),"",N43-M43)</f>
        <v>0</v>
      </c>
      <c r="P43" s="34"/>
    </row>
    <row r="44" customFormat="false" ht="15" hidden="false" customHeight="false" outlineLevel="0" collapsed="false">
      <c r="A44" s="20" t="s">
        <v>20</v>
      </c>
      <c r="B44" s="30" t="n">
        <v>46174</v>
      </c>
      <c r="C44" s="31" t="n">
        <v>-34989388</v>
      </c>
      <c r="D44" s="31" t="n">
        <v>91555600</v>
      </c>
      <c r="E44" s="31" t="n">
        <v>54933360</v>
      </c>
      <c r="F44" s="32" t="s">
        <v>68</v>
      </c>
      <c r="G44" s="17" t="n">
        <f aca="false">IF(OR($A44="",$B44=""),"",D44-E44)</f>
        <v>36622240</v>
      </c>
      <c r="H44" s="31" t="n">
        <v>0</v>
      </c>
      <c r="I44" s="31" t="n">
        <v>0</v>
      </c>
      <c r="J44" s="17" t="n">
        <f aca="false">IF(OR($A44="",$B44=""),"",H44-I44)</f>
        <v>0</v>
      </c>
      <c r="K44" s="17" t="n">
        <f aca="false">IF(OR($A44="",$B44=""),"",SUMIFS('THANH TOÁN'!$D$5:$D$305,'THANH TOÁN'!$A$5:$A$305,$A44,'THANH TOÁN'!$B$5:$B$305,$B44,'THANH TOÁN'!$E$5:$E$305,"Có"))</f>
        <v>0</v>
      </c>
      <c r="L44" s="17" t="n">
        <f aca="false">IF(OR($A44="",$B44=""),"",IF(_xlfn.MAXIFS('SỔ CÔNG NỢ'!$B$5:$B$111,'SỔ CÔNG NỢ'!$A$5:$A$111,$A44,'SỔ CÔNG NỢ'!$B$5:$B$111,"&lt;"&amp;$B44)=0,C44,SUMIFS('SỔ CÔNG NỢ'!$M$5:$M$111,'SỔ CÔNG NỢ'!$A$5:$A$111,$A44,'SỔ CÔNG NỢ'!$B$5:$B$111,_xlfn.MAXIFS('SỔ CÔNG NỢ'!$B$5:$B$111,'SỔ CÔNG NỢ'!$A$5:$A$111,$A44,'SỔ CÔNG NỢ'!$B$5:$B$111,"&lt;"&amp;$B44))))</f>
        <v>-34989388</v>
      </c>
      <c r="M44" s="33" t="n">
        <f aca="false">IF(OR($A44="",$B44=""),"",L44+G44-J44-K44)</f>
        <v>1632852</v>
      </c>
      <c r="N44" s="31" t="n">
        <v>1632852</v>
      </c>
      <c r="O44" s="17" t="n">
        <f aca="false">IF(OR($A44="",$B44="",N44=""),"",N44-M44)</f>
        <v>0</v>
      </c>
      <c r="P44" s="34"/>
    </row>
    <row r="45" customFormat="false" ht="15" hidden="false" customHeight="false" outlineLevel="0" collapsed="false">
      <c r="A45" s="20" t="s">
        <v>20</v>
      </c>
      <c r="B45" s="30" t="n">
        <v>46204</v>
      </c>
      <c r="C45" s="31" t="n">
        <v>1632852</v>
      </c>
      <c r="D45" s="31" t="n">
        <v>85544350</v>
      </c>
      <c r="E45" s="31" t="n">
        <v>51326610</v>
      </c>
      <c r="F45" s="32" t="s">
        <v>68</v>
      </c>
      <c r="G45" s="17" t="n">
        <f aca="false">IF(OR($A45="",$B45=""),"",D45-E45)</f>
        <v>34217740</v>
      </c>
      <c r="H45" s="31" t="n">
        <v>0</v>
      </c>
      <c r="I45" s="31" t="n">
        <v>0</v>
      </c>
      <c r="J45" s="17" t="n">
        <f aca="false">IF(OR($A45="",$B45=""),"",H45-I45)</f>
        <v>0</v>
      </c>
      <c r="K45" s="17" t="n">
        <f aca="false">IF(OR($A45="",$B45=""),"",SUMIFS('THANH TOÁN'!$D$5:$D$305,'THANH TOÁN'!$A$5:$A$305,$A45,'THANH TOÁN'!$B$5:$B$305,$B45,'THANH TOÁN'!$E$5:$E$305,"Có"))</f>
        <v>50000000</v>
      </c>
      <c r="L45" s="17" t="n">
        <f aca="false">IF(OR($A45="",$B45=""),"",IF(_xlfn.MAXIFS('SỔ CÔNG NỢ'!$B$5:$B$111,'SỔ CÔNG NỢ'!$A$5:$A$111,$A45,'SỔ CÔNG NỢ'!$B$5:$B$111,"&lt;"&amp;$B45)=0,C45,SUMIFS('SỔ CÔNG NỢ'!$M$5:$M$111,'SỔ CÔNG NỢ'!$A$5:$A$111,$A45,'SỔ CÔNG NỢ'!$B$5:$B$111,_xlfn.MAXIFS('SỔ CÔNG NỢ'!$B$5:$B$111,'SỔ CÔNG NỢ'!$A$5:$A$111,$A45,'SỔ CÔNG NỢ'!$B$5:$B$111,"&lt;"&amp;$B45))))</f>
        <v>1632852</v>
      </c>
      <c r="M45" s="33" t="n">
        <f aca="false">IF(OR($A45="",$B45=""),"",L45+G45-J45-K45)</f>
        <v>-14149408</v>
      </c>
      <c r="N45" s="31" t="n">
        <v>-14149408</v>
      </c>
      <c r="O45" s="17" t="n">
        <f aca="false">IF(OR($A45="",$B45="",N45=""),"",N45-M45)</f>
        <v>0</v>
      </c>
      <c r="P45" s="34"/>
    </row>
    <row r="46" customFormat="false" ht="15" hidden="false" customHeight="false" outlineLevel="0" collapsed="false">
      <c r="A46" s="20" t="s">
        <v>20</v>
      </c>
      <c r="B46" s="30" t="n">
        <v>46235</v>
      </c>
      <c r="C46" s="31" t="n">
        <v>-14149408</v>
      </c>
      <c r="D46" s="31" t="n">
        <v>138760150</v>
      </c>
      <c r="E46" s="31" t="n">
        <v>83256090</v>
      </c>
      <c r="F46" s="32" t="s">
        <v>68</v>
      </c>
      <c r="G46" s="17" t="n">
        <f aca="false">IF(OR($A46="",$B46=""),"",D46-E46)</f>
        <v>55504060</v>
      </c>
      <c r="H46" s="31" t="n">
        <v>0</v>
      </c>
      <c r="I46" s="31" t="n">
        <v>0</v>
      </c>
      <c r="J46" s="17" t="n">
        <f aca="false">IF(OR($A46="",$B46=""),"",H46-I46)</f>
        <v>0</v>
      </c>
      <c r="K46" s="17" t="n">
        <f aca="false">IF(OR($A46="",$B46=""),"",SUMIFS('THANH TOÁN'!$D$5:$D$305,'THANH TOÁN'!$A$5:$A$305,$A46,'THANH TOÁN'!$B$5:$B$305,$B46,'THANH TOÁN'!$E$5:$E$305,"Có"))</f>
        <v>0</v>
      </c>
      <c r="L46" s="17" t="n">
        <f aca="false">IF(OR($A46="",$B46=""),"",IF(_xlfn.MAXIFS('SỔ CÔNG NỢ'!$B$5:$B$111,'SỔ CÔNG NỢ'!$A$5:$A$111,$A46,'SỔ CÔNG NỢ'!$B$5:$B$111,"&lt;"&amp;$B46)=0,C46,SUMIFS('SỔ CÔNG NỢ'!$M$5:$M$111,'SỔ CÔNG NỢ'!$A$5:$A$111,$A46,'SỔ CÔNG NỢ'!$B$5:$B$111,_xlfn.MAXIFS('SỔ CÔNG NỢ'!$B$5:$B$111,'SỔ CÔNG NỢ'!$A$5:$A$111,$A46,'SỔ CÔNG NỢ'!$B$5:$B$111,"&lt;"&amp;$B46))))</f>
        <v>-14149408</v>
      </c>
      <c r="M46" s="33" t="n">
        <f aca="false">IF(OR($A46="",$B46=""),"",L46+G46-J46-K46)</f>
        <v>41354652</v>
      </c>
      <c r="N46" s="31" t="n">
        <v>41354652</v>
      </c>
      <c r="O46" s="17" t="n">
        <f aca="false">IF(OR($A46="",$B46="",N46=""),"",N46-M46)</f>
        <v>0</v>
      </c>
      <c r="P46" s="34"/>
    </row>
    <row r="47" customFormat="false" ht="15" hidden="false" customHeight="false" outlineLevel="0" collapsed="false">
      <c r="A47" s="20" t="s">
        <v>20</v>
      </c>
      <c r="B47" s="30" t="n">
        <v>46266</v>
      </c>
      <c r="C47" s="31" t="n">
        <v>41354652</v>
      </c>
      <c r="D47" s="31" t="n">
        <v>163540600</v>
      </c>
      <c r="E47" s="31" t="n">
        <v>98124360</v>
      </c>
      <c r="F47" s="32" t="s">
        <v>68</v>
      </c>
      <c r="G47" s="17" t="n">
        <f aca="false">IF(OR($A47="",$B47=""),"",D47-E47)</f>
        <v>65416240</v>
      </c>
      <c r="H47" s="31" t="n">
        <v>0</v>
      </c>
      <c r="I47" s="31" t="n">
        <v>0</v>
      </c>
      <c r="J47" s="17" t="n">
        <f aca="false">IF(OR($A47="",$B47=""),"",H47-I47)</f>
        <v>0</v>
      </c>
      <c r="K47" s="17" t="n">
        <f aca="false">IF(OR($A47="",$B47=""),"",SUMIFS('THANH TOÁN'!$D$5:$D$305,'THANH TOÁN'!$A$5:$A$305,$A47,'THANH TOÁN'!$B$5:$B$305,$B47,'THANH TOÁN'!$E$5:$E$305,"Có"))</f>
        <v>58935000</v>
      </c>
      <c r="L47" s="17" t="n">
        <f aca="false">IF(OR($A47="",$B47=""),"",IF(_xlfn.MAXIFS('SỔ CÔNG NỢ'!$B$5:$B$111,'SỔ CÔNG NỢ'!$A$5:$A$111,$A47,'SỔ CÔNG NỢ'!$B$5:$B$111,"&lt;"&amp;$B47)=0,C47,SUMIFS('SỔ CÔNG NỢ'!$M$5:$M$111,'SỔ CÔNG NỢ'!$A$5:$A$111,$A47,'SỔ CÔNG NỢ'!$B$5:$B$111,_xlfn.MAXIFS('SỔ CÔNG NỢ'!$B$5:$B$111,'SỔ CÔNG NỢ'!$A$5:$A$111,$A47,'SỔ CÔNG NỢ'!$B$5:$B$111,"&lt;"&amp;$B47))))</f>
        <v>41354652</v>
      </c>
      <c r="M47" s="33" t="n">
        <f aca="false">IF(OR($A47="",$B47=""),"",L47+G47-J47-K47)</f>
        <v>47835892</v>
      </c>
      <c r="N47" s="31" t="n">
        <v>47835892</v>
      </c>
      <c r="O47" s="17" t="n">
        <f aca="false">IF(OR($A47="",$B47="",N47=""),"",N47-M47)</f>
        <v>0</v>
      </c>
      <c r="P47" s="34"/>
    </row>
    <row r="48" customFormat="false" ht="15" hidden="false" customHeight="false" outlineLevel="0" collapsed="false">
      <c r="A48" s="20" t="s">
        <v>29</v>
      </c>
      <c r="B48" s="30" t="n">
        <v>46204</v>
      </c>
      <c r="C48" s="31" t="n">
        <v>0</v>
      </c>
      <c r="D48" s="31" t="n">
        <v>35797000</v>
      </c>
      <c r="E48" s="31" t="n">
        <v>21478200</v>
      </c>
      <c r="F48" s="32" t="s">
        <v>68</v>
      </c>
      <c r="G48" s="17" t="n">
        <f aca="false">IF(OR($A48="",$B48=""),"",D48-E48)</f>
        <v>14318800</v>
      </c>
      <c r="H48" s="31" t="n">
        <v>0</v>
      </c>
      <c r="I48" s="31" t="n">
        <v>0</v>
      </c>
      <c r="J48" s="17" t="n">
        <f aca="false">IF(OR($A48="",$B48=""),"",H48-I48)</f>
        <v>0</v>
      </c>
      <c r="K48" s="17" t="n">
        <f aca="false">IF(OR($A48="",$B48=""),"",SUMIFS('THANH TOÁN'!$D$5:$D$305,'THANH TOÁN'!$A$5:$A$305,$A48,'THANH TOÁN'!$B$5:$B$305,$B48,'THANH TOÁN'!$E$5:$E$305,"Có"))</f>
        <v>0</v>
      </c>
      <c r="L48" s="17" t="n">
        <f aca="false">IF(OR($A48="",$B48=""),"",IF(_xlfn.MAXIFS('SỔ CÔNG NỢ'!$B$5:$B$111,'SỔ CÔNG NỢ'!$A$5:$A$111,$A48,'SỔ CÔNG NỢ'!$B$5:$B$111,"&lt;"&amp;$B48)=0,C48,SUMIFS('SỔ CÔNG NỢ'!$M$5:$M$111,'SỔ CÔNG NỢ'!$A$5:$A$111,$A48,'SỔ CÔNG NỢ'!$B$5:$B$111,_xlfn.MAXIFS('SỔ CÔNG NỢ'!$B$5:$B$111,'SỔ CÔNG NỢ'!$A$5:$A$111,$A48,'SỔ CÔNG NỢ'!$B$5:$B$111,"&lt;"&amp;$B48))))</f>
        <v>0</v>
      </c>
      <c r="M48" s="33" t="n">
        <f aca="false">IF(OR($A48="",$B48=""),"",L48+G48-J48-K48)</f>
        <v>14318800</v>
      </c>
      <c r="N48" s="31" t="n">
        <v>14318800</v>
      </c>
      <c r="O48" s="17" t="n">
        <f aca="false">IF(OR($A48="",$B48="",N48=""),"",N48-M48)</f>
        <v>0</v>
      </c>
      <c r="P48" s="34"/>
    </row>
    <row r="49" customFormat="false" ht="15" hidden="false" customHeight="false" outlineLevel="0" collapsed="false">
      <c r="A49" s="20" t="s">
        <v>41</v>
      </c>
      <c r="B49" s="30" t="n">
        <v>46174</v>
      </c>
      <c r="C49" s="31" t="n">
        <v>0</v>
      </c>
      <c r="D49" s="31" t="n">
        <v>462000</v>
      </c>
      <c r="E49" s="31" t="n">
        <v>0</v>
      </c>
      <c r="F49" s="32"/>
      <c r="G49" s="17" t="n">
        <f aca="false">IF(OR($A49="",$B49=""),"",D49-E49)</f>
        <v>462000</v>
      </c>
      <c r="H49" s="31" t="n">
        <v>0</v>
      </c>
      <c r="I49" s="31" t="n">
        <v>0</v>
      </c>
      <c r="J49" s="17" t="n">
        <f aca="false">IF(OR($A49="",$B49=""),"",H49-I49)</f>
        <v>0</v>
      </c>
      <c r="K49" s="17" t="n">
        <f aca="false">IF(OR($A49="",$B49=""),"",SUMIFS('THANH TOÁN'!$D$5:$D$305,'THANH TOÁN'!$A$5:$A$305,$A49,'THANH TOÁN'!$B$5:$B$305,$B49,'THANH TOÁN'!$E$5:$E$305,"Có"))</f>
        <v>10000000</v>
      </c>
      <c r="L49" s="17" t="n">
        <f aca="false">IF(OR($A49="",$B49=""),"",IF(_xlfn.MAXIFS('SỔ CÔNG NỢ'!$B$5:$B$111,'SỔ CÔNG NỢ'!$A$5:$A$111,$A49,'SỔ CÔNG NỢ'!$B$5:$B$111,"&lt;"&amp;$B49)=0,C49,SUMIFS('SỔ CÔNG NỢ'!$M$5:$M$111,'SỔ CÔNG NỢ'!$A$5:$A$111,$A49,'SỔ CÔNG NỢ'!$B$5:$B$111,_xlfn.MAXIFS('SỔ CÔNG NỢ'!$B$5:$B$111,'SỔ CÔNG NỢ'!$A$5:$A$111,$A49,'SỔ CÔNG NỢ'!$B$5:$B$111,"&lt;"&amp;$B49))))</f>
        <v>0</v>
      </c>
      <c r="M49" s="33" t="n">
        <f aca="false">IF(OR($A49="",$B49=""),"",L49+G49-J49-K49)</f>
        <v>-9538000</v>
      </c>
      <c r="N49" s="31" t="n">
        <v>-9538000</v>
      </c>
      <c r="O49" s="17" t="n">
        <f aca="false">IF(OR($A49="",$B49="",N49=""),"",N49-M49)</f>
        <v>0</v>
      </c>
      <c r="P49" s="34" t="s">
        <v>78</v>
      </c>
    </row>
    <row r="50" customFormat="false" ht="15" hidden="false" customHeight="false" outlineLevel="0" collapsed="false">
      <c r="A50" s="20" t="s">
        <v>35</v>
      </c>
      <c r="B50" s="30" t="n">
        <v>46174</v>
      </c>
      <c r="C50" s="31" t="n">
        <v>0</v>
      </c>
      <c r="D50" s="31" t="n">
        <v>2226000</v>
      </c>
      <c r="E50" s="31" t="n">
        <v>1246560</v>
      </c>
      <c r="F50" s="32" t="s">
        <v>67</v>
      </c>
      <c r="G50" s="17" t="n">
        <f aca="false">IF(OR($A50="",$B50=""),"",D50-E50)</f>
        <v>979440</v>
      </c>
      <c r="H50" s="31" t="n">
        <v>0</v>
      </c>
      <c r="I50" s="31" t="n">
        <v>0</v>
      </c>
      <c r="J50" s="17" t="n">
        <f aca="false">IF(OR($A50="",$B50=""),"",H50-I50)</f>
        <v>0</v>
      </c>
      <c r="K50" s="17" t="n">
        <f aca="false">IF(OR($A50="",$B50=""),"",SUMIFS('THANH TOÁN'!$D$5:$D$305,'THANH TOÁN'!$A$5:$A$305,$A50,'THANH TOÁN'!$B$5:$B$305,$B50,'THANH TOÁN'!$E$5:$E$305,"Có"))</f>
        <v>979440</v>
      </c>
      <c r="L50" s="17" t="n">
        <f aca="false">IF(OR($A50="",$B50=""),"",IF(_xlfn.MAXIFS('SỔ CÔNG NỢ'!$B$5:$B$111,'SỔ CÔNG NỢ'!$A$5:$A$111,$A50,'SỔ CÔNG NỢ'!$B$5:$B$111,"&lt;"&amp;$B50)=0,C50,SUMIFS('SỔ CÔNG NỢ'!$M$5:$M$111,'SỔ CÔNG NỢ'!$A$5:$A$111,$A50,'SỔ CÔNG NỢ'!$B$5:$B$111,_xlfn.MAXIFS('SỔ CÔNG NỢ'!$B$5:$B$111,'SỔ CÔNG NỢ'!$A$5:$A$111,$A50,'SỔ CÔNG NỢ'!$B$5:$B$111,"&lt;"&amp;$B50))))</f>
        <v>0</v>
      </c>
      <c r="M50" s="33" t="n">
        <f aca="false">IF(OR($A50="",$B50=""),"",L50+G50-J50-K50)</f>
        <v>0</v>
      </c>
      <c r="N50" s="31" t="n">
        <v>0</v>
      </c>
      <c r="O50" s="17" t="n">
        <f aca="false">IF(OR($A50="",$B50="",N50=""),"",N50-M50)</f>
        <v>0</v>
      </c>
      <c r="P50" s="34"/>
    </row>
    <row r="51" customFormat="false" ht="15" hidden="false" customHeight="false" outlineLevel="0" collapsed="false">
      <c r="A51" s="20"/>
      <c r="B51" s="30"/>
      <c r="C51" s="31"/>
      <c r="D51" s="31"/>
      <c r="E51" s="31"/>
      <c r="F51" s="32"/>
      <c r="G51" s="17" t="str">
        <f aca="false">IF(OR($A51="",$B51=""),"",D51-E51)</f>
        <v/>
      </c>
      <c r="H51" s="31"/>
      <c r="I51" s="31"/>
      <c r="J51" s="17" t="str">
        <f aca="false">IF(OR($A51="",$B51=""),"",H51-I51)</f>
        <v/>
      </c>
      <c r="K51" s="17" t="str">
        <f aca="false">IF(OR($A51="",$B51=""),"",SUMIFS('THANH TOÁN'!$D$5:$D$305,'THANH TOÁN'!$A$5:$A$305,$A51,'THANH TOÁN'!$B$5:$B$305,$B51,'THANH TOÁN'!$E$5:$E$305,"Có"))</f>
        <v/>
      </c>
      <c r="L51" s="17" t="str">
        <f aca="false">IF(OR($A51="",$B51=""),"",IF(_xlfn.MAXIFS('SỔ CÔNG NỢ'!$B$5:$B$111,'SỔ CÔNG NỢ'!$A$5:$A$111,$A51,'SỔ CÔNG NỢ'!$B$5:$B$111,"&lt;"&amp;$B51)=0,C51,SUMIFS('SỔ CÔNG NỢ'!$M$5:$M$111,'SỔ CÔNG NỢ'!$A$5:$A$111,$A51,'SỔ CÔNG NỢ'!$B$5:$B$111,_xlfn.MAXIFS('SỔ CÔNG NỢ'!$B$5:$B$111,'SỔ CÔNG NỢ'!$A$5:$A$111,$A51,'SỔ CÔNG NỢ'!$B$5:$B$111,"&lt;"&amp;$B51))))</f>
        <v/>
      </c>
      <c r="M51" s="33" t="str">
        <f aca="false">IF(OR($A51="",$B51=""),"",L51+G51-J51-K51)</f>
        <v/>
      </c>
      <c r="N51" s="31"/>
      <c r="O51" s="17" t="str">
        <f aca="false">IF(OR($A51="",$B51="",N51=""),"",N51-M51)</f>
        <v/>
      </c>
      <c r="P51" s="34"/>
    </row>
    <row r="52" customFormat="false" ht="15" hidden="false" customHeight="false" outlineLevel="0" collapsed="false">
      <c r="A52" s="20"/>
      <c r="B52" s="30"/>
      <c r="C52" s="31"/>
      <c r="D52" s="31"/>
      <c r="E52" s="31"/>
      <c r="F52" s="32"/>
      <c r="G52" s="17" t="str">
        <f aca="false">IF(OR($A52="",$B52=""),"",D52-E52)</f>
        <v/>
      </c>
      <c r="H52" s="31"/>
      <c r="I52" s="31"/>
      <c r="J52" s="17" t="str">
        <f aca="false">IF(OR($A52="",$B52=""),"",H52-I52)</f>
        <v/>
      </c>
      <c r="K52" s="17" t="str">
        <f aca="false">IF(OR($A52="",$B52=""),"",SUMIFS('THANH TOÁN'!$D$5:$D$305,'THANH TOÁN'!$A$5:$A$305,$A52,'THANH TOÁN'!$B$5:$B$305,$B52,'THANH TOÁN'!$E$5:$E$305,"Có"))</f>
        <v/>
      </c>
      <c r="L52" s="17" t="str">
        <f aca="false">IF(OR($A52="",$B52=""),"",IF(_xlfn.MAXIFS('SỔ CÔNG NỢ'!$B$5:$B$111,'SỔ CÔNG NỢ'!$A$5:$A$111,$A52,'SỔ CÔNG NỢ'!$B$5:$B$111,"&lt;"&amp;$B52)=0,C52,SUMIFS('SỔ CÔNG NỢ'!$M$5:$M$111,'SỔ CÔNG NỢ'!$A$5:$A$111,$A52,'SỔ CÔNG NỢ'!$B$5:$B$111,_xlfn.MAXIFS('SỔ CÔNG NỢ'!$B$5:$B$111,'SỔ CÔNG NỢ'!$A$5:$A$111,$A52,'SỔ CÔNG NỢ'!$B$5:$B$111,"&lt;"&amp;$B52))))</f>
        <v/>
      </c>
      <c r="M52" s="33" t="str">
        <f aca="false">IF(OR($A52="",$B52=""),"",L52+G52-J52-K52)</f>
        <v/>
      </c>
      <c r="N52" s="31"/>
      <c r="O52" s="17" t="str">
        <f aca="false">IF(OR($A52="",$B52="",N52=""),"",N52-M52)</f>
        <v/>
      </c>
      <c r="P52" s="34"/>
    </row>
    <row r="53" customFormat="false" ht="15" hidden="false" customHeight="false" outlineLevel="0" collapsed="false">
      <c r="A53" s="20"/>
      <c r="B53" s="30"/>
      <c r="C53" s="31"/>
      <c r="D53" s="31"/>
      <c r="E53" s="31"/>
      <c r="F53" s="32"/>
      <c r="G53" s="17" t="str">
        <f aca="false">IF(OR($A53="",$B53=""),"",D53-E53)</f>
        <v/>
      </c>
      <c r="H53" s="31"/>
      <c r="I53" s="31"/>
      <c r="J53" s="17" t="str">
        <f aca="false">IF(OR($A53="",$B53=""),"",H53-I53)</f>
        <v/>
      </c>
      <c r="K53" s="17" t="str">
        <f aca="false">IF(OR($A53="",$B53=""),"",SUMIFS('THANH TOÁN'!$D$5:$D$305,'THANH TOÁN'!$A$5:$A$305,$A53,'THANH TOÁN'!$B$5:$B$305,$B53,'THANH TOÁN'!$E$5:$E$305,"Có"))</f>
        <v/>
      </c>
      <c r="L53" s="17" t="str">
        <f aca="false">IF(OR($A53="",$B53=""),"",IF(_xlfn.MAXIFS('SỔ CÔNG NỢ'!$B$5:$B$111,'SỔ CÔNG NỢ'!$A$5:$A$111,$A53,'SỔ CÔNG NỢ'!$B$5:$B$111,"&lt;"&amp;$B53)=0,C53,SUMIFS('SỔ CÔNG NỢ'!$M$5:$M$111,'SỔ CÔNG NỢ'!$A$5:$A$111,$A53,'SỔ CÔNG NỢ'!$B$5:$B$111,_xlfn.MAXIFS('SỔ CÔNG NỢ'!$B$5:$B$111,'SỔ CÔNG NỢ'!$A$5:$A$111,$A53,'SỔ CÔNG NỢ'!$B$5:$B$111,"&lt;"&amp;$B53))))</f>
        <v/>
      </c>
      <c r="M53" s="33" t="str">
        <f aca="false">IF(OR($A53="",$B53=""),"",L53+G53-J53-K53)</f>
        <v/>
      </c>
      <c r="N53" s="31"/>
      <c r="O53" s="17" t="str">
        <f aca="false">IF(OR($A53="",$B53="",N53=""),"",N53-M53)</f>
        <v/>
      </c>
      <c r="P53" s="34"/>
    </row>
    <row r="54" customFormat="false" ht="15" hidden="false" customHeight="false" outlineLevel="0" collapsed="false">
      <c r="A54" s="20"/>
      <c r="B54" s="30"/>
      <c r="C54" s="31"/>
      <c r="D54" s="31"/>
      <c r="E54" s="31"/>
      <c r="F54" s="32"/>
      <c r="G54" s="17" t="str">
        <f aca="false">IF(OR($A54="",$B54=""),"",D54-E54)</f>
        <v/>
      </c>
      <c r="H54" s="31"/>
      <c r="I54" s="31"/>
      <c r="J54" s="17" t="str">
        <f aca="false">IF(OR($A54="",$B54=""),"",H54-I54)</f>
        <v/>
      </c>
      <c r="K54" s="17" t="str">
        <f aca="false">IF(OR($A54="",$B54=""),"",SUMIFS('THANH TOÁN'!$D$5:$D$305,'THANH TOÁN'!$A$5:$A$305,$A54,'THANH TOÁN'!$B$5:$B$305,$B54,'THANH TOÁN'!$E$5:$E$305,"Có"))</f>
        <v/>
      </c>
      <c r="L54" s="17" t="str">
        <f aca="false">IF(OR($A54="",$B54=""),"",IF(_xlfn.MAXIFS('SỔ CÔNG NỢ'!$B$5:$B$111,'SỔ CÔNG NỢ'!$A$5:$A$111,$A54,'SỔ CÔNG NỢ'!$B$5:$B$111,"&lt;"&amp;$B54)=0,C54,SUMIFS('SỔ CÔNG NỢ'!$M$5:$M$111,'SỔ CÔNG NỢ'!$A$5:$A$111,$A54,'SỔ CÔNG NỢ'!$B$5:$B$111,_xlfn.MAXIFS('SỔ CÔNG NỢ'!$B$5:$B$111,'SỔ CÔNG NỢ'!$A$5:$A$111,$A54,'SỔ CÔNG NỢ'!$B$5:$B$111,"&lt;"&amp;$B54))))</f>
        <v/>
      </c>
      <c r="M54" s="33" t="str">
        <f aca="false">IF(OR($A54="",$B54=""),"",L54+G54-J54-K54)</f>
        <v/>
      </c>
      <c r="N54" s="31"/>
      <c r="O54" s="17" t="str">
        <f aca="false">IF(OR($A54="",$B54="",N54=""),"",N54-M54)</f>
        <v/>
      </c>
      <c r="P54" s="34"/>
    </row>
    <row r="55" customFormat="false" ht="15" hidden="false" customHeight="false" outlineLevel="0" collapsed="false">
      <c r="A55" s="20"/>
      <c r="B55" s="30"/>
      <c r="C55" s="31"/>
      <c r="D55" s="31"/>
      <c r="E55" s="31"/>
      <c r="F55" s="32"/>
      <c r="G55" s="17" t="str">
        <f aca="false">IF(OR($A55="",$B55=""),"",D55-E55)</f>
        <v/>
      </c>
      <c r="H55" s="31"/>
      <c r="I55" s="31"/>
      <c r="J55" s="17" t="str">
        <f aca="false">IF(OR($A55="",$B55=""),"",H55-I55)</f>
        <v/>
      </c>
      <c r="K55" s="17" t="str">
        <f aca="false">IF(OR($A55="",$B55=""),"",SUMIFS('THANH TOÁN'!$D$5:$D$305,'THANH TOÁN'!$A$5:$A$305,$A55,'THANH TOÁN'!$B$5:$B$305,$B55,'THANH TOÁN'!$E$5:$E$305,"Có"))</f>
        <v/>
      </c>
      <c r="L55" s="17" t="str">
        <f aca="false">IF(OR($A55="",$B55=""),"",IF(_xlfn.MAXIFS('SỔ CÔNG NỢ'!$B$5:$B$111,'SỔ CÔNG NỢ'!$A$5:$A$111,$A55,'SỔ CÔNG NỢ'!$B$5:$B$111,"&lt;"&amp;$B55)=0,C55,SUMIFS('SỔ CÔNG NỢ'!$M$5:$M$111,'SỔ CÔNG NỢ'!$A$5:$A$111,$A55,'SỔ CÔNG NỢ'!$B$5:$B$111,_xlfn.MAXIFS('SỔ CÔNG NỢ'!$B$5:$B$111,'SỔ CÔNG NỢ'!$A$5:$A$111,$A55,'SỔ CÔNG NỢ'!$B$5:$B$111,"&lt;"&amp;$B55))))</f>
        <v/>
      </c>
      <c r="M55" s="33" t="str">
        <f aca="false">IF(OR($A55="",$B55=""),"",L55+G55-J55-K55)</f>
        <v/>
      </c>
      <c r="N55" s="31"/>
      <c r="O55" s="17" t="str">
        <f aca="false">IF(OR($A55="",$B55="",N55=""),"",N55-M55)</f>
        <v/>
      </c>
      <c r="P55" s="34"/>
    </row>
    <row r="56" customFormat="false" ht="15" hidden="false" customHeight="false" outlineLevel="0" collapsed="false">
      <c r="A56" s="20"/>
      <c r="B56" s="30"/>
      <c r="C56" s="31"/>
      <c r="D56" s="31"/>
      <c r="E56" s="31"/>
      <c r="F56" s="32"/>
      <c r="G56" s="17" t="str">
        <f aca="false">IF(OR($A56="",$B56=""),"",D56-E56)</f>
        <v/>
      </c>
      <c r="H56" s="31"/>
      <c r="I56" s="31"/>
      <c r="J56" s="17" t="str">
        <f aca="false">IF(OR($A56="",$B56=""),"",H56-I56)</f>
        <v/>
      </c>
      <c r="K56" s="17" t="str">
        <f aca="false">IF(OR($A56="",$B56=""),"",SUMIFS('THANH TOÁN'!$D$5:$D$305,'THANH TOÁN'!$A$5:$A$305,$A56,'THANH TOÁN'!$B$5:$B$305,$B56,'THANH TOÁN'!$E$5:$E$305,"Có"))</f>
        <v/>
      </c>
      <c r="L56" s="17" t="str">
        <f aca="false">IF(OR($A56="",$B56=""),"",IF(_xlfn.MAXIFS('SỔ CÔNG NỢ'!$B$5:$B$111,'SỔ CÔNG NỢ'!$A$5:$A$111,$A56,'SỔ CÔNG NỢ'!$B$5:$B$111,"&lt;"&amp;$B56)=0,C56,SUMIFS('SỔ CÔNG NỢ'!$M$5:$M$111,'SỔ CÔNG NỢ'!$A$5:$A$111,$A56,'SỔ CÔNG NỢ'!$B$5:$B$111,_xlfn.MAXIFS('SỔ CÔNG NỢ'!$B$5:$B$111,'SỔ CÔNG NỢ'!$A$5:$A$111,$A56,'SỔ CÔNG NỢ'!$B$5:$B$111,"&lt;"&amp;$B56))))</f>
        <v/>
      </c>
      <c r="M56" s="33" t="str">
        <f aca="false">IF(OR($A56="",$B56=""),"",L56+G56-J56-K56)</f>
        <v/>
      </c>
      <c r="N56" s="31"/>
      <c r="O56" s="17" t="str">
        <f aca="false">IF(OR($A56="",$B56="",N56=""),"",N56-M56)</f>
        <v/>
      </c>
      <c r="P56" s="34"/>
    </row>
    <row r="57" customFormat="false" ht="15" hidden="false" customHeight="false" outlineLevel="0" collapsed="false">
      <c r="A57" s="20"/>
      <c r="B57" s="30"/>
      <c r="C57" s="31"/>
      <c r="D57" s="31"/>
      <c r="E57" s="31"/>
      <c r="F57" s="32"/>
      <c r="G57" s="17" t="str">
        <f aca="false">IF(OR($A57="",$B57=""),"",D57-E57)</f>
        <v/>
      </c>
      <c r="H57" s="31"/>
      <c r="I57" s="31"/>
      <c r="J57" s="17" t="str">
        <f aca="false">IF(OR($A57="",$B57=""),"",H57-I57)</f>
        <v/>
      </c>
      <c r="K57" s="17" t="str">
        <f aca="false">IF(OR($A57="",$B57=""),"",SUMIFS('THANH TOÁN'!$D$5:$D$305,'THANH TOÁN'!$A$5:$A$305,$A57,'THANH TOÁN'!$B$5:$B$305,$B57,'THANH TOÁN'!$E$5:$E$305,"Có"))</f>
        <v/>
      </c>
      <c r="L57" s="17" t="str">
        <f aca="false">IF(OR($A57="",$B57=""),"",IF(_xlfn.MAXIFS('SỔ CÔNG NỢ'!$B$5:$B$111,'SỔ CÔNG NỢ'!$A$5:$A$111,$A57,'SỔ CÔNG NỢ'!$B$5:$B$111,"&lt;"&amp;$B57)=0,C57,SUMIFS('SỔ CÔNG NỢ'!$M$5:$M$111,'SỔ CÔNG NỢ'!$A$5:$A$111,$A57,'SỔ CÔNG NỢ'!$B$5:$B$111,_xlfn.MAXIFS('SỔ CÔNG NỢ'!$B$5:$B$111,'SỔ CÔNG NỢ'!$A$5:$A$111,$A57,'SỔ CÔNG NỢ'!$B$5:$B$111,"&lt;"&amp;$B57))))</f>
        <v/>
      </c>
      <c r="M57" s="33" t="str">
        <f aca="false">IF(OR($A57="",$B57=""),"",L57+G57-J57-K57)</f>
        <v/>
      </c>
      <c r="N57" s="31"/>
      <c r="O57" s="17" t="str">
        <f aca="false">IF(OR($A57="",$B57="",N57=""),"",N57-M57)</f>
        <v/>
      </c>
      <c r="P57" s="34"/>
    </row>
    <row r="58" customFormat="false" ht="15" hidden="false" customHeight="false" outlineLevel="0" collapsed="false">
      <c r="A58" s="20"/>
      <c r="B58" s="30"/>
      <c r="C58" s="31"/>
      <c r="D58" s="31"/>
      <c r="E58" s="31"/>
      <c r="F58" s="32"/>
      <c r="G58" s="17" t="str">
        <f aca="false">IF(OR($A58="",$B58=""),"",D58-E58)</f>
        <v/>
      </c>
      <c r="H58" s="31"/>
      <c r="I58" s="31"/>
      <c r="J58" s="17" t="str">
        <f aca="false">IF(OR($A58="",$B58=""),"",H58-I58)</f>
        <v/>
      </c>
      <c r="K58" s="17" t="str">
        <f aca="false">IF(OR($A58="",$B58=""),"",SUMIFS('THANH TOÁN'!$D$5:$D$305,'THANH TOÁN'!$A$5:$A$305,$A58,'THANH TOÁN'!$B$5:$B$305,$B58,'THANH TOÁN'!$E$5:$E$305,"Có"))</f>
        <v/>
      </c>
      <c r="L58" s="17" t="str">
        <f aca="false">IF(OR($A58="",$B58=""),"",IF(_xlfn.MAXIFS('SỔ CÔNG NỢ'!$B$5:$B$111,'SỔ CÔNG NỢ'!$A$5:$A$111,$A58,'SỔ CÔNG NỢ'!$B$5:$B$111,"&lt;"&amp;$B58)=0,C58,SUMIFS('SỔ CÔNG NỢ'!$M$5:$M$111,'SỔ CÔNG NỢ'!$A$5:$A$111,$A58,'SỔ CÔNG NỢ'!$B$5:$B$111,_xlfn.MAXIFS('SỔ CÔNG NỢ'!$B$5:$B$111,'SỔ CÔNG NỢ'!$A$5:$A$111,$A58,'SỔ CÔNG NỢ'!$B$5:$B$111,"&lt;"&amp;$B58))))</f>
        <v/>
      </c>
      <c r="M58" s="33" t="str">
        <f aca="false">IF(OR($A58="",$B58=""),"",L58+G58-J58-K58)</f>
        <v/>
      </c>
      <c r="N58" s="31"/>
      <c r="O58" s="17" t="str">
        <f aca="false">IF(OR($A58="",$B58="",N58=""),"",N58-M58)</f>
        <v/>
      </c>
      <c r="P58" s="34"/>
    </row>
    <row r="59" customFormat="false" ht="15" hidden="false" customHeight="false" outlineLevel="0" collapsed="false">
      <c r="A59" s="20"/>
      <c r="B59" s="30"/>
      <c r="C59" s="31"/>
      <c r="D59" s="31"/>
      <c r="E59" s="31"/>
      <c r="F59" s="32"/>
      <c r="G59" s="17" t="str">
        <f aca="false">IF(OR($A59="",$B59=""),"",D59-E59)</f>
        <v/>
      </c>
      <c r="H59" s="31"/>
      <c r="I59" s="31"/>
      <c r="J59" s="17" t="str">
        <f aca="false">IF(OR($A59="",$B59=""),"",H59-I59)</f>
        <v/>
      </c>
      <c r="K59" s="17" t="str">
        <f aca="false">IF(OR($A59="",$B59=""),"",SUMIFS('THANH TOÁN'!$D$5:$D$305,'THANH TOÁN'!$A$5:$A$305,$A59,'THANH TOÁN'!$B$5:$B$305,$B59,'THANH TOÁN'!$E$5:$E$305,"Có"))</f>
        <v/>
      </c>
      <c r="L59" s="17" t="str">
        <f aca="false">IF(OR($A59="",$B59=""),"",IF(_xlfn.MAXIFS('SỔ CÔNG NỢ'!$B$5:$B$111,'SỔ CÔNG NỢ'!$A$5:$A$111,$A59,'SỔ CÔNG NỢ'!$B$5:$B$111,"&lt;"&amp;$B59)=0,C59,SUMIFS('SỔ CÔNG NỢ'!$M$5:$M$111,'SỔ CÔNG NỢ'!$A$5:$A$111,$A59,'SỔ CÔNG NỢ'!$B$5:$B$111,_xlfn.MAXIFS('SỔ CÔNG NỢ'!$B$5:$B$111,'SỔ CÔNG NỢ'!$A$5:$A$111,$A59,'SỔ CÔNG NỢ'!$B$5:$B$111,"&lt;"&amp;$B59))))</f>
        <v/>
      </c>
      <c r="M59" s="33" t="str">
        <f aca="false">IF(OR($A59="",$B59=""),"",L59+G59-J59-K59)</f>
        <v/>
      </c>
      <c r="N59" s="31"/>
      <c r="O59" s="17" t="str">
        <f aca="false">IF(OR($A59="",$B59="",N59=""),"",N59-M59)</f>
        <v/>
      </c>
      <c r="P59" s="34"/>
    </row>
    <row r="60" customFormat="false" ht="15" hidden="false" customHeight="false" outlineLevel="0" collapsed="false">
      <c r="A60" s="20"/>
      <c r="B60" s="30"/>
      <c r="C60" s="31"/>
      <c r="D60" s="31"/>
      <c r="E60" s="31"/>
      <c r="F60" s="32"/>
      <c r="G60" s="17" t="str">
        <f aca="false">IF(OR($A60="",$B60=""),"",D60-E60)</f>
        <v/>
      </c>
      <c r="H60" s="31"/>
      <c r="I60" s="31"/>
      <c r="J60" s="17" t="str">
        <f aca="false">IF(OR($A60="",$B60=""),"",H60-I60)</f>
        <v/>
      </c>
      <c r="K60" s="17" t="str">
        <f aca="false">IF(OR($A60="",$B60=""),"",SUMIFS('THANH TOÁN'!$D$5:$D$305,'THANH TOÁN'!$A$5:$A$305,$A60,'THANH TOÁN'!$B$5:$B$305,$B60,'THANH TOÁN'!$E$5:$E$305,"Có"))</f>
        <v/>
      </c>
      <c r="L60" s="17" t="str">
        <f aca="false">IF(OR($A60="",$B60=""),"",IF(_xlfn.MAXIFS('SỔ CÔNG NỢ'!$B$5:$B$111,'SỔ CÔNG NỢ'!$A$5:$A$111,$A60,'SỔ CÔNG NỢ'!$B$5:$B$111,"&lt;"&amp;$B60)=0,C60,SUMIFS('SỔ CÔNG NỢ'!$M$5:$M$111,'SỔ CÔNG NỢ'!$A$5:$A$111,$A60,'SỔ CÔNG NỢ'!$B$5:$B$111,_xlfn.MAXIFS('SỔ CÔNG NỢ'!$B$5:$B$111,'SỔ CÔNG NỢ'!$A$5:$A$111,$A60,'SỔ CÔNG NỢ'!$B$5:$B$111,"&lt;"&amp;$B60))))</f>
        <v/>
      </c>
      <c r="M60" s="33" t="str">
        <f aca="false">IF(OR($A60="",$B60=""),"",L60+G60-J60-K60)</f>
        <v/>
      </c>
      <c r="N60" s="31"/>
      <c r="O60" s="17" t="str">
        <f aca="false">IF(OR($A60="",$B60="",N60=""),"",N60-M60)</f>
        <v/>
      </c>
      <c r="P60" s="34"/>
    </row>
    <row r="61" customFormat="false" ht="15" hidden="false" customHeight="false" outlineLevel="0" collapsed="false">
      <c r="A61" s="20"/>
      <c r="B61" s="30"/>
      <c r="C61" s="31"/>
      <c r="D61" s="31"/>
      <c r="E61" s="31"/>
      <c r="F61" s="32"/>
      <c r="G61" s="17" t="str">
        <f aca="false">IF(OR($A61="",$B61=""),"",D61-E61)</f>
        <v/>
      </c>
      <c r="H61" s="31"/>
      <c r="I61" s="31"/>
      <c r="J61" s="17" t="str">
        <f aca="false">IF(OR($A61="",$B61=""),"",H61-I61)</f>
        <v/>
      </c>
      <c r="K61" s="17" t="str">
        <f aca="false">IF(OR($A61="",$B61=""),"",SUMIFS('THANH TOÁN'!$D$5:$D$305,'THANH TOÁN'!$A$5:$A$305,$A61,'THANH TOÁN'!$B$5:$B$305,$B61,'THANH TOÁN'!$E$5:$E$305,"Có"))</f>
        <v/>
      </c>
      <c r="L61" s="17" t="str">
        <f aca="false">IF(OR($A61="",$B61=""),"",IF(_xlfn.MAXIFS('SỔ CÔNG NỢ'!$B$5:$B$111,'SỔ CÔNG NỢ'!$A$5:$A$111,$A61,'SỔ CÔNG NỢ'!$B$5:$B$111,"&lt;"&amp;$B61)=0,C61,SUMIFS('SỔ CÔNG NỢ'!$M$5:$M$111,'SỔ CÔNG NỢ'!$A$5:$A$111,$A61,'SỔ CÔNG NỢ'!$B$5:$B$111,_xlfn.MAXIFS('SỔ CÔNG NỢ'!$B$5:$B$111,'SỔ CÔNG NỢ'!$A$5:$A$111,$A61,'SỔ CÔNG NỢ'!$B$5:$B$111,"&lt;"&amp;$B61))))</f>
        <v/>
      </c>
      <c r="M61" s="33" t="str">
        <f aca="false">IF(OR($A61="",$B61=""),"",L61+G61-J61-K61)</f>
        <v/>
      </c>
      <c r="N61" s="31"/>
      <c r="O61" s="17" t="str">
        <f aca="false">IF(OR($A61="",$B61="",N61=""),"",N61-M61)</f>
        <v/>
      </c>
      <c r="P61" s="34"/>
    </row>
    <row r="62" customFormat="false" ht="15" hidden="false" customHeight="false" outlineLevel="0" collapsed="false">
      <c r="A62" s="20"/>
      <c r="B62" s="30"/>
      <c r="C62" s="31"/>
      <c r="D62" s="31"/>
      <c r="E62" s="31"/>
      <c r="F62" s="32"/>
      <c r="G62" s="17" t="str">
        <f aca="false">IF(OR($A62="",$B62=""),"",D62-E62)</f>
        <v/>
      </c>
      <c r="H62" s="31"/>
      <c r="I62" s="31"/>
      <c r="J62" s="17" t="str">
        <f aca="false">IF(OR($A62="",$B62=""),"",H62-I62)</f>
        <v/>
      </c>
      <c r="K62" s="17" t="str">
        <f aca="false">IF(OR($A62="",$B62=""),"",SUMIFS('THANH TOÁN'!$D$5:$D$305,'THANH TOÁN'!$A$5:$A$305,$A62,'THANH TOÁN'!$B$5:$B$305,$B62,'THANH TOÁN'!$E$5:$E$305,"Có"))</f>
        <v/>
      </c>
      <c r="L62" s="17" t="str">
        <f aca="false">IF(OR($A62="",$B62=""),"",IF(_xlfn.MAXIFS('SỔ CÔNG NỢ'!$B$5:$B$111,'SỔ CÔNG NỢ'!$A$5:$A$111,$A62,'SỔ CÔNG NỢ'!$B$5:$B$111,"&lt;"&amp;$B62)=0,C62,SUMIFS('SỔ CÔNG NỢ'!$M$5:$M$111,'SỔ CÔNG NỢ'!$A$5:$A$111,$A62,'SỔ CÔNG NỢ'!$B$5:$B$111,_xlfn.MAXIFS('SỔ CÔNG NỢ'!$B$5:$B$111,'SỔ CÔNG NỢ'!$A$5:$A$111,$A62,'SỔ CÔNG NỢ'!$B$5:$B$111,"&lt;"&amp;$B62))))</f>
        <v/>
      </c>
      <c r="M62" s="33" t="str">
        <f aca="false">IF(OR($A62="",$B62=""),"",L62+G62-J62-K62)</f>
        <v/>
      </c>
      <c r="N62" s="31"/>
      <c r="O62" s="17" t="str">
        <f aca="false">IF(OR($A62="",$B62="",N62=""),"",N62-M62)</f>
        <v/>
      </c>
      <c r="P62" s="34"/>
    </row>
    <row r="63" customFormat="false" ht="15" hidden="false" customHeight="false" outlineLevel="0" collapsed="false">
      <c r="A63" s="20"/>
      <c r="B63" s="30"/>
      <c r="C63" s="31"/>
      <c r="D63" s="31"/>
      <c r="E63" s="31"/>
      <c r="F63" s="32"/>
      <c r="G63" s="17" t="str">
        <f aca="false">IF(OR($A63="",$B63=""),"",D63-E63)</f>
        <v/>
      </c>
      <c r="H63" s="31"/>
      <c r="I63" s="31"/>
      <c r="J63" s="17" t="str">
        <f aca="false">IF(OR($A63="",$B63=""),"",H63-I63)</f>
        <v/>
      </c>
      <c r="K63" s="17" t="str">
        <f aca="false">IF(OR($A63="",$B63=""),"",SUMIFS('THANH TOÁN'!$D$5:$D$305,'THANH TOÁN'!$A$5:$A$305,$A63,'THANH TOÁN'!$B$5:$B$305,$B63,'THANH TOÁN'!$E$5:$E$305,"Có"))</f>
        <v/>
      </c>
      <c r="L63" s="17" t="str">
        <f aca="false">IF(OR($A63="",$B63=""),"",IF(_xlfn.MAXIFS('SỔ CÔNG NỢ'!$B$5:$B$111,'SỔ CÔNG NỢ'!$A$5:$A$111,$A63,'SỔ CÔNG NỢ'!$B$5:$B$111,"&lt;"&amp;$B63)=0,C63,SUMIFS('SỔ CÔNG NỢ'!$M$5:$M$111,'SỔ CÔNG NỢ'!$A$5:$A$111,$A63,'SỔ CÔNG NỢ'!$B$5:$B$111,_xlfn.MAXIFS('SỔ CÔNG NỢ'!$B$5:$B$111,'SỔ CÔNG NỢ'!$A$5:$A$111,$A63,'SỔ CÔNG NỢ'!$B$5:$B$111,"&lt;"&amp;$B63))))</f>
        <v/>
      </c>
      <c r="M63" s="33" t="str">
        <f aca="false">IF(OR($A63="",$B63=""),"",L63+G63-J63-K63)</f>
        <v/>
      </c>
      <c r="N63" s="31"/>
      <c r="O63" s="17" t="str">
        <f aca="false">IF(OR($A63="",$B63="",N63=""),"",N63-M63)</f>
        <v/>
      </c>
      <c r="P63" s="34"/>
    </row>
    <row r="64" customFormat="false" ht="15" hidden="false" customHeight="false" outlineLevel="0" collapsed="false">
      <c r="A64" s="20"/>
      <c r="B64" s="30"/>
      <c r="C64" s="31"/>
      <c r="D64" s="31"/>
      <c r="E64" s="31"/>
      <c r="F64" s="32"/>
      <c r="G64" s="17" t="str">
        <f aca="false">IF(OR($A64="",$B64=""),"",D64-E64)</f>
        <v/>
      </c>
      <c r="H64" s="31"/>
      <c r="I64" s="31"/>
      <c r="J64" s="17" t="str">
        <f aca="false">IF(OR($A64="",$B64=""),"",H64-I64)</f>
        <v/>
      </c>
      <c r="K64" s="17" t="str">
        <f aca="false">IF(OR($A64="",$B64=""),"",SUMIFS('THANH TOÁN'!$D$5:$D$305,'THANH TOÁN'!$A$5:$A$305,$A64,'THANH TOÁN'!$B$5:$B$305,$B64,'THANH TOÁN'!$E$5:$E$305,"Có"))</f>
        <v/>
      </c>
      <c r="L64" s="17" t="str">
        <f aca="false">IF(OR($A64="",$B64=""),"",IF(_xlfn.MAXIFS('SỔ CÔNG NỢ'!$B$5:$B$111,'SỔ CÔNG NỢ'!$A$5:$A$111,$A64,'SỔ CÔNG NỢ'!$B$5:$B$111,"&lt;"&amp;$B64)=0,C64,SUMIFS('SỔ CÔNG NỢ'!$M$5:$M$111,'SỔ CÔNG NỢ'!$A$5:$A$111,$A64,'SỔ CÔNG NỢ'!$B$5:$B$111,_xlfn.MAXIFS('SỔ CÔNG NỢ'!$B$5:$B$111,'SỔ CÔNG NỢ'!$A$5:$A$111,$A64,'SỔ CÔNG NỢ'!$B$5:$B$111,"&lt;"&amp;$B64))))</f>
        <v/>
      </c>
      <c r="M64" s="33" t="str">
        <f aca="false">IF(OR($A64="",$B64=""),"",L64+G64-J64-K64)</f>
        <v/>
      </c>
      <c r="N64" s="31"/>
      <c r="O64" s="17" t="str">
        <f aca="false">IF(OR($A64="",$B64="",N64=""),"",N64-M64)</f>
        <v/>
      </c>
      <c r="P64" s="34"/>
    </row>
    <row r="65" customFormat="false" ht="15" hidden="false" customHeight="false" outlineLevel="0" collapsed="false">
      <c r="A65" s="20"/>
      <c r="B65" s="30"/>
      <c r="C65" s="31"/>
      <c r="D65" s="31"/>
      <c r="E65" s="31"/>
      <c r="F65" s="32"/>
      <c r="G65" s="17" t="str">
        <f aca="false">IF(OR($A65="",$B65=""),"",D65-E65)</f>
        <v/>
      </c>
      <c r="H65" s="31"/>
      <c r="I65" s="31"/>
      <c r="J65" s="17" t="str">
        <f aca="false">IF(OR($A65="",$B65=""),"",H65-I65)</f>
        <v/>
      </c>
      <c r="K65" s="17" t="str">
        <f aca="false">IF(OR($A65="",$B65=""),"",SUMIFS('THANH TOÁN'!$D$5:$D$305,'THANH TOÁN'!$A$5:$A$305,$A65,'THANH TOÁN'!$B$5:$B$305,$B65,'THANH TOÁN'!$E$5:$E$305,"Có"))</f>
        <v/>
      </c>
      <c r="L65" s="17" t="str">
        <f aca="false">IF(OR($A65="",$B65=""),"",IF(_xlfn.MAXIFS('SỔ CÔNG NỢ'!$B$5:$B$111,'SỔ CÔNG NỢ'!$A$5:$A$111,$A65,'SỔ CÔNG NỢ'!$B$5:$B$111,"&lt;"&amp;$B65)=0,C65,SUMIFS('SỔ CÔNG NỢ'!$M$5:$M$111,'SỔ CÔNG NỢ'!$A$5:$A$111,$A65,'SỔ CÔNG NỢ'!$B$5:$B$111,_xlfn.MAXIFS('SỔ CÔNG NỢ'!$B$5:$B$111,'SỔ CÔNG NỢ'!$A$5:$A$111,$A65,'SỔ CÔNG NỢ'!$B$5:$B$111,"&lt;"&amp;$B65))))</f>
        <v/>
      </c>
      <c r="M65" s="33" t="str">
        <f aca="false">IF(OR($A65="",$B65=""),"",L65+G65-J65-K65)</f>
        <v/>
      </c>
      <c r="N65" s="31"/>
      <c r="O65" s="17" t="str">
        <f aca="false">IF(OR($A65="",$B65="",N65=""),"",N65-M65)</f>
        <v/>
      </c>
      <c r="P65" s="34"/>
    </row>
    <row r="66" customFormat="false" ht="15" hidden="false" customHeight="false" outlineLevel="0" collapsed="false">
      <c r="A66" s="20"/>
      <c r="B66" s="30"/>
      <c r="C66" s="31"/>
      <c r="D66" s="31"/>
      <c r="E66" s="31"/>
      <c r="F66" s="32"/>
      <c r="G66" s="17" t="str">
        <f aca="false">IF(OR($A66="",$B66=""),"",D66-E66)</f>
        <v/>
      </c>
      <c r="H66" s="31"/>
      <c r="I66" s="31"/>
      <c r="J66" s="17" t="str">
        <f aca="false">IF(OR($A66="",$B66=""),"",H66-I66)</f>
        <v/>
      </c>
      <c r="K66" s="17" t="str">
        <f aca="false">IF(OR($A66="",$B66=""),"",SUMIFS('THANH TOÁN'!$D$5:$D$305,'THANH TOÁN'!$A$5:$A$305,$A66,'THANH TOÁN'!$B$5:$B$305,$B66,'THANH TOÁN'!$E$5:$E$305,"Có"))</f>
        <v/>
      </c>
      <c r="L66" s="17" t="str">
        <f aca="false">IF(OR($A66="",$B66=""),"",IF(_xlfn.MAXIFS('SỔ CÔNG NỢ'!$B$5:$B$111,'SỔ CÔNG NỢ'!$A$5:$A$111,$A66,'SỔ CÔNG NỢ'!$B$5:$B$111,"&lt;"&amp;$B66)=0,C66,SUMIFS('SỔ CÔNG NỢ'!$M$5:$M$111,'SỔ CÔNG NỢ'!$A$5:$A$111,$A66,'SỔ CÔNG NỢ'!$B$5:$B$111,_xlfn.MAXIFS('SỔ CÔNG NỢ'!$B$5:$B$111,'SỔ CÔNG NỢ'!$A$5:$A$111,$A66,'SỔ CÔNG NỢ'!$B$5:$B$111,"&lt;"&amp;$B66))))</f>
        <v/>
      </c>
      <c r="M66" s="33" t="str">
        <f aca="false">IF(OR($A66="",$B66=""),"",L66+G66-J66-K66)</f>
        <v/>
      </c>
      <c r="N66" s="31"/>
      <c r="O66" s="17" t="str">
        <f aca="false">IF(OR($A66="",$B66="",N66=""),"",N66-M66)</f>
        <v/>
      </c>
      <c r="P66" s="34"/>
    </row>
    <row r="67" customFormat="false" ht="15" hidden="false" customHeight="false" outlineLevel="0" collapsed="false">
      <c r="A67" s="20"/>
      <c r="B67" s="30"/>
      <c r="C67" s="31"/>
      <c r="D67" s="31"/>
      <c r="E67" s="31"/>
      <c r="F67" s="32"/>
      <c r="G67" s="17" t="str">
        <f aca="false">IF(OR($A67="",$B67=""),"",D67-E67)</f>
        <v/>
      </c>
      <c r="H67" s="31"/>
      <c r="I67" s="31"/>
      <c r="J67" s="17" t="str">
        <f aca="false">IF(OR($A67="",$B67=""),"",H67-I67)</f>
        <v/>
      </c>
      <c r="K67" s="17" t="str">
        <f aca="false">IF(OR($A67="",$B67=""),"",SUMIFS('THANH TOÁN'!$D$5:$D$305,'THANH TOÁN'!$A$5:$A$305,$A67,'THANH TOÁN'!$B$5:$B$305,$B67,'THANH TOÁN'!$E$5:$E$305,"Có"))</f>
        <v/>
      </c>
      <c r="L67" s="17" t="str">
        <f aca="false">IF(OR($A67="",$B67=""),"",IF(_xlfn.MAXIFS('SỔ CÔNG NỢ'!$B$5:$B$111,'SỔ CÔNG NỢ'!$A$5:$A$111,$A67,'SỔ CÔNG NỢ'!$B$5:$B$111,"&lt;"&amp;$B67)=0,C67,SUMIFS('SỔ CÔNG NỢ'!$M$5:$M$111,'SỔ CÔNG NỢ'!$A$5:$A$111,$A67,'SỔ CÔNG NỢ'!$B$5:$B$111,_xlfn.MAXIFS('SỔ CÔNG NỢ'!$B$5:$B$111,'SỔ CÔNG NỢ'!$A$5:$A$111,$A67,'SỔ CÔNG NỢ'!$B$5:$B$111,"&lt;"&amp;$B67))))</f>
        <v/>
      </c>
      <c r="M67" s="33" t="str">
        <f aca="false">IF(OR($A67="",$B67=""),"",L67+G67-J67-K67)</f>
        <v/>
      </c>
      <c r="N67" s="31"/>
      <c r="O67" s="17" t="str">
        <f aca="false">IF(OR($A67="",$B67="",N67=""),"",N67-M67)</f>
        <v/>
      </c>
      <c r="P67" s="34"/>
    </row>
    <row r="68" customFormat="false" ht="15" hidden="false" customHeight="false" outlineLevel="0" collapsed="false">
      <c r="A68" s="20"/>
      <c r="B68" s="30"/>
      <c r="C68" s="31"/>
      <c r="D68" s="31"/>
      <c r="E68" s="31"/>
      <c r="F68" s="32"/>
      <c r="G68" s="17" t="str">
        <f aca="false">IF(OR($A68="",$B68=""),"",D68-E68)</f>
        <v/>
      </c>
      <c r="H68" s="31"/>
      <c r="I68" s="31"/>
      <c r="J68" s="17" t="str">
        <f aca="false">IF(OR($A68="",$B68=""),"",H68-I68)</f>
        <v/>
      </c>
      <c r="K68" s="17" t="str">
        <f aca="false">IF(OR($A68="",$B68=""),"",SUMIFS('THANH TOÁN'!$D$5:$D$305,'THANH TOÁN'!$A$5:$A$305,$A68,'THANH TOÁN'!$B$5:$B$305,$B68,'THANH TOÁN'!$E$5:$E$305,"Có"))</f>
        <v/>
      </c>
      <c r="L68" s="17" t="str">
        <f aca="false">IF(OR($A68="",$B68=""),"",IF(_xlfn.MAXIFS('SỔ CÔNG NỢ'!$B$5:$B$111,'SỔ CÔNG NỢ'!$A$5:$A$111,$A68,'SỔ CÔNG NỢ'!$B$5:$B$111,"&lt;"&amp;$B68)=0,C68,SUMIFS('SỔ CÔNG NỢ'!$M$5:$M$111,'SỔ CÔNG NỢ'!$A$5:$A$111,$A68,'SỔ CÔNG NỢ'!$B$5:$B$111,_xlfn.MAXIFS('SỔ CÔNG NỢ'!$B$5:$B$111,'SỔ CÔNG NỢ'!$A$5:$A$111,$A68,'SỔ CÔNG NỢ'!$B$5:$B$111,"&lt;"&amp;$B68))))</f>
        <v/>
      </c>
      <c r="M68" s="33" t="str">
        <f aca="false">IF(OR($A68="",$B68=""),"",L68+G68-J68-K68)</f>
        <v/>
      </c>
      <c r="N68" s="31"/>
      <c r="O68" s="17" t="str">
        <f aca="false">IF(OR($A68="",$B68="",N68=""),"",N68-M68)</f>
        <v/>
      </c>
      <c r="P68" s="34"/>
    </row>
    <row r="69" customFormat="false" ht="15" hidden="false" customHeight="false" outlineLevel="0" collapsed="false">
      <c r="A69" s="20"/>
      <c r="B69" s="30"/>
      <c r="C69" s="31"/>
      <c r="D69" s="31"/>
      <c r="E69" s="31"/>
      <c r="F69" s="32"/>
      <c r="G69" s="17" t="str">
        <f aca="false">IF(OR($A69="",$B69=""),"",D69-E69)</f>
        <v/>
      </c>
      <c r="H69" s="31"/>
      <c r="I69" s="31"/>
      <c r="J69" s="17" t="str">
        <f aca="false">IF(OR($A69="",$B69=""),"",H69-I69)</f>
        <v/>
      </c>
      <c r="K69" s="17" t="str">
        <f aca="false">IF(OR($A69="",$B69=""),"",SUMIFS('THANH TOÁN'!$D$5:$D$305,'THANH TOÁN'!$A$5:$A$305,$A69,'THANH TOÁN'!$B$5:$B$305,$B69,'THANH TOÁN'!$E$5:$E$305,"Có"))</f>
        <v/>
      </c>
      <c r="L69" s="17" t="str">
        <f aca="false">IF(OR($A69="",$B69=""),"",IF(_xlfn.MAXIFS('SỔ CÔNG NỢ'!$B$5:$B$111,'SỔ CÔNG NỢ'!$A$5:$A$111,$A69,'SỔ CÔNG NỢ'!$B$5:$B$111,"&lt;"&amp;$B69)=0,C69,SUMIFS('SỔ CÔNG NỢ'!$M$5:$M$111,'SỔ CÔNG NỢ'!$A$5:$A$111,$A69,'SỔ CÔNG NỢ'!$B$5:$B$111,_xlfn.MAXIFS('SỔ CÔNG NỢ'!$B$5:$B$111,'SỔ CÔNG NỢ'!$A$5:$A$111,$A69,'SỔ CÔNG NỢ'!$B$5:$B$111,"&lt;"&amp;$B69))))</f>
        <v/>
      </c>
      <c r="M69" s="33" t="str">
        <f aca="false">IF(OR($A69="",$B69=""),"",L69+G69-J69-K69)</f>
        <v/>
      </c>
      <c r="N69" s="31"/>
      <c r="O69" s="17" t="str">
        <f aca="false">IF(OR($A69="",$B69="",N69=""),"",N69-M69)</f>
        <v/>
      </c>
      <c r="P69" s="34"/>
    </row>
    <row r="70" customFormat="false" ht="15" hidden="false" customHeight="false" outlineLevel="0" collapsed="false">
      <c r="A70" s="20"/>
      <c r="B70" s="30"/>
      <c r="C70" s="31"/>
      <c r="D70" s="31"/>
      <c r="E70" s="31"/>
      <c r="F70" s="32"/>
      <c r="G70" s="17" t="str">
        <f aca="false">IF(OR($A70="",$B70=""),"",D70-E70)</f>
        <v/>
      </c>
      <c r="H70" s="31"/>
      <c r="I70" s="31"/>
      <c r="J70" s="17" t="str">
        <f aca="false">IF(OR($A70="",$B70=""),"",H70-I70)</f>
        <v/>
      </c>
      <c r="K70" s="17" t="str">
        <f aca="false">IF(OR($A70="",$B70=""),"",SUMIFS('THANH TOÁN'!$D$5:$D$305,'THANH TOÁN'!$A$5:$A$305,$A70,'THANH TOÁN'!$B$5:$B$305,$B70,'THANH TOÁN'!$E$5:$E$305,"Có"))</f>
        <v/>
      </c>
      <c r="L70" s="17" t="str">
        <f aca="false">IF(OR($A70="",$B70=""),"",IF(_xlfn.MAXIFS('SỔ CÔNG NỢ'!$B$5:$B$111,'SỔ CÔNG NỢ'!$A$5:$A$111,$A70,'SỔ CÔNG NỢ'!$B$5:$B$111,"&lt;"&amp;$B70)=0,C70,SUMIFS('SỔ CÔNG NỢ'!$M$5:$M$111,'SỔ CÔNG NỢ'!$A$5:$A$111,$A70,'SỔ CÔNG NỢ'!$B$5:$B$111,_xlfn.MAXIFS('SỔ CÔNG NỢ'!$B$5:$B$111,'SỔ CÔNG NỢ'!$A$5:$A$111,$A70,'SỔ CÔNG NỢ'!$B$5:$B$111,"&lt;"&amp;$B70))))</f>
        <v/>
      </c>
      <c r="M70" s="33" t="str">
        <f aca="false">IF(OR($A70="",$B70=""),"",L70+G70-J70-K70)</f>
        <v/>
      </c>
      <c r="N70" s="31"/>
      <c r="O70" s="17" t="str">
        <f aca="false">IF(OR($A70="",$B70="",N70=""),"",N70-M70)</f>
        <v/>
      </c>
      <c r="P70" s="34"/>
    </row>
    <row r="71" customFormat="false" ht="15" hidden="false" customHeight="false" outlineLevel="0" collapsed="false">
      <c r="A71" s="20"/>
      <c r="B71" s="30"/>
      <c r="C71" s="31"/>
      <c r="D71" s="31"/>
      <c r="E71" s="31"/>
      <c r="F71" s="32"/>
      <c r="G71" s="17" t="str">
        <f aca="false">IF(OR($A71="",$B71=""),"",D71-E71)</f>
        <v/>
      </c>
      <c r="H71" s="31"/>
      <c r="I71" s="31"/>
      <c r="J71" s="17" t="str">
        <f aca="false">IF(OR($A71="",$B71=""),"",H71-I71)</f>
        <v/>
      </c>
      <c r="K71" s="17" t="str">
        <f aca="false">IF(OR($A71="",$B71=""),"",SUMIFS('THANH TOÁN'!$D$5:$D$305,'THANH TOÁN'!$A$5:$A$305,$A71,'THANH TOÁN'!$B$5:$B$305,$B71,'THANH TOÁN'!$E$5:$E$305,"Có"))</f>
        <v/>
      </c>
      <c r="L71" s="17" t="str">
        <f aca="false">IF(OR($A71="",$B71=""),"",IF(_xlfn.MAXIFS('SỔ CÔNG NỢ'!$B$5:$B$111,'SỔ CÔNG NỢ'!$A$5:$A$111,$A71,'SỔ CÔNG NỢ'!$B$5:$B$111,"&lt;"&amp;$B71)=0,C71,SUMIFS('SỔ CÔNG NỢ'!$M$5:$M$111,'SỔ CÔNG NỢ'!$A$5:$A$111,$A71,'SỔ CÔNG NỢ'!$B$5:$B$111,_xlfn.MAXIFS('SỔ CÔNG NỢ'!$B$5:$B$111,'SỔ CÔNG NỢ'!$A$5:$A$111,$A71,'SỔ CÔNG NỢ'!$B$5:$B$111,"&lt;"&amp;$B71))))</f>
        <v/>
      </c>
      <c r="M71" s="33" t="str">
        <f aca="false">IF(OR($A71="",$B71=""),"",L71+G71-J71-K71)</f>
        <v/>
      </c>
      <c r="N71" s="31"/>
      <c r="O71" s="17" t="str">
        <f aca="false">IF(OR($A71="",$B71="",N71=""),"",N71-M71)</f>
        <v/>
      </c>
      <c r="P71" s="34"/>
    </row>
    <row r="72" customFormat="false" ht="15" hidden="false" customHeight="false" outlineLevel="0" collapsed="false">
      <c r="A72" s="20"/>
      <c r="B72" s="30"/>
      <c r="C72" s="31"/>
      <c r="D72" s="31"/>
      <c r="E72" s="31"/>
      <c r="F72" s="32"/>
      <c r="G72" s="17" t="str">
        <f aca="false">IF(OR($A72="",$B72=""),"",D72-E72)</f>
        <v/>
      </c>
      <c r="H72" s="31"/>
      <c r="I72" s="31"/>
      <c r="J72" s="17" t="str">
        <f aca="false">IF(OR($A72="",$B72=""),"",H72-I72)</f>
        <v/>
      </c>
      <c r="K72" s="17" t="str">
        <f aca="false">IF(OR($A72="",$B72=""),"",SUMIFS('THANH TOÁN'!$D$5:$D$305,'THANH TOÁN'!$A$5:$A$305,$A72,'THANH TOÁN'!$B$5:$B$305,$B72,'THANH TOÁN'!$E$5:$E$305,"Có"))</f>
        <v/>
      </c>
      <c r="L72" s="17" t="str">
        <f aca="false">IF(OR($A72="",$B72=""),"",IF(_xlfn.MAXIFS('SỔ CÔNG NỢ'!$B$5:$B$111,'SỔ CÔNG NỢ'!$A$5:$A$111,$A72,'SỔ CÔNG NỢ'!$B$5:$B$111,"&lt;"&amp;$B72)=0,C72,SUMIFS('SỔ CÔNG NỢ'!$M$5:$M$111,'SỔ CÔNG NỢ'!$A$5:$A$111,$A72,'SỔ CÔNG NỢ'!$B$5:$B$111,_xlfn.MAXIFS('SỔ CÔNG NỢ'!$B$5:$B$111,'SỔ CÔNG NỢ'!$A$5:$A$111,$A72,'SỔ CÔNG NỢ'!$B$5:$B$111,"&lt;"&amp;$B72))))</f>
        <v/>
      </c>
      <c r="M72" s="33" t="str">
        <f aca="false">IF(OR($A72="",$B72=""),"",L72+G72-J72-K72)</f>
        <v/>
      </c>
      <c r="N72" s="31"/>
      <c r="O72" s="17" t="str">
        <f aca="false">IF(OR($A72="",$B72="",N72=""),"",N72-M72)</f>
        <v/>
      </c>
      <c r="P72" s="34"/>
    </row>
    <row r="73" customFormat="false" ht="15" hidden="false" customHeight="false" outlineLevel="0" collapsed="false">
      <c r="A73" s="20"/>
      <c r="B73" s="30"/>
      <c r="C73" s="31"/>
      <c r="D73" s="31"/>
      <c r="E73" s="31"/>
      <c r="F73" s="32"/>
      <c r="G73" s="17" t="str">
        <f aca="false">IF(OR($A73="",$B73=""),"",D73-E73)</f>
        <v/>
      </c>
      <c r="H73" s="31"/>
      <c r="I73" s="31"/>
      <c r="J73" s="17" t="str">
        <f aca="false">IF(OR($A73="",$B73=""),"",H73-I73)</f>
        <v/>
      </c>
      <c r="K73" s="17" t="str">
        <f aca="false">IF(OR($A73="",$B73=""),"",SUMIFS('THANH TOÁN'!$D$5:$D$305,'THANH TOÁN'!$A$5:$A$305,$A73,'THANH TOÁN'!$B$5:$B$305,$B73,'THANH TOÁN'!$E$5:$E$305,"Có"))</f>
        <v/>
      </c>
      <c r="L73" s="17" t="str">
        <f aca="false">IF(OR($A73="",$B73=""),"",IF(_xlfn.MAXIFS('SỔ CÔNG NỢ'!$B$5:$B$111,'SỔ CÔNG NỢ'!$A$5:$A$111,$A73,'SỔ CÔNG NỢ'!$B$5:$B$111,"&lt;"&amp;$B73)=0,C73,SUMIFS('SỔ CÔNG NỢ'!$M$5:$M$111,'SỔ CÔNG NỢ'!$A$5:$A$111,$A73,'SỔ CÔNG NỢ'!$B$5:$B$111,_xlfn.MAXIFS('SỔ CÔNG NỢ'!$B$5:$B$111,'SỔ CÔNG NỢ'!$A$5:$A$111,$A73,'SỔ CÔNG NỢ'!$B$5:$B$111,"&lt;"&amp;$B73))))</f>
        <v/>
      </c>
      <c r="M73" s="33" t="str">
        <f aca="false">IF(OR($A73="",$B73=""),"",L73+G73-J73-K73)</f>
        <v/>
      </c>
      <c r="N73" s="31"/>
      <c r="O73" s="17" t="str">
        <f aca="false">IF(OR($A73="",$B73="",N73=""),"",N73-M73)</f>
        <v/>
      </c>
      <c r="P73" s="34"/>
    </row>
    <row r="74" customFormat="false" ht="15" hidden="false" customHeight="false" outlineLevel="0" collapsed="false">
      <c r="A74" s="20"/>
      <c r="B74" s="30"/>
      <c r="C74" s="31"/>
      <c r="D74" s="31"/>
      <c r="E74" s="31"/>
      <c r="F74" s="32"/>
      <c r="G74" s="17" t="str">
        <f aca="false">IF(OR($A74="",$B74=""),"",D74-E74)</f>
        <v/>
      </c>
      <c r="H74" s="31"/>
      <c r="I74" s="31"/>
      <c r="J74" s="17" t="str">
        <f aca="false">IF(OR($A74="",$B74=""),"",H74-I74)</f>
        <v/>
      </c>
      <c r="K74" s="17" t="str">
        <f aca="false">IF(OR($A74="",$B74=""),"",SUMIFS('THANH TOÁN'!$D$5:$D$305,'THANH TOÁN'!$A$5:$A$305,$A74,'THANH TOÁN'!$B$5:$B$305,$B74,'THANH TOÁN'!$E$5:$E$305,"Có"))</f>
        <v/>
      </c>
      <c r="L74" s="17" t="str">
        <f aca="false">IF(OR($A74="",$B74=""),"",IF(_xlfn.MAXIFS('SỔ CÔNG NỢ'!$B$5:$B$111,'SỔ CÔNG NỢ'!$A$5:$A$111,$A74,'SỔ CÔNG NỢ'!$B$5:$B$111,"&lt;"&amp;$B74)=0,C74,SUMIFS('SỔ CÔNG NỢ'!$M$5:$M$111,'SỔ CÔNG NỢ'!$A$5:$A$111,$A74,'SỔ CÔNG NỢ'!$B$5:$B$111,_xlfn.MAXIFS('SỔ CÔNG NỢ'!$B$5:$B$111,'SỔ CÔNG NỢ'!$A$5:$A$111,$A74,'SỔ CÔNG NỢ'!$B$5:$B$111,"&lt;"&amp;$B74))))</f>
        <v/>
      </c>
      <c r="M74" s="33" t="str">
        <f aca="false">IF(OR($A74="",$B74=""),"",L74+G74-J74-K74)</f>
        <v/>
      </c>
      <c r="N74" s="31"/>
      <c r="O74" s="17" t="str">
        <f aca="false">IF(OR($A74="",$B74="",N74=""),"",N74-M74)</f>
        <v/>
      </c>
      <c r="P74" s="34"/>
    </row>
    <row r="75" customFormat="false" ht="15" hidden="false" customHeight="false" outlineLevel="0" collapsed="false">
      <c r="A75" s="20"/>
      <c r="B75" s="30"/>
      <c r="C75" s="31"/>
      <c r="D75" s="31"/>
      <c r="E75" s="31"/>
      <c r="F75" s="32"/>
      <c r="G75" s="17" t="str">
        <f aca="false">IF(OR($A75="",$B75=""),"",D75-E75)</f>
        <v/>
      </c>
      <c r="H75" s="31"/>
      <c r="I75" s="31"/>
      <c r="J75" s="17" t="str">
        <f aca="false">IF(OR($A75="",$B75=""),"",H75-I75)</f>
        <v/>
      </c>
      <c r="K75" s="17" t="str">
        <f aca="false">IF(OR($A75="",$B75=""),"",SUMIFS('THANH TOÁN'!$D$5:$D$305,'THANH TOÁN'!$A$5:$A$305,$A75,'THANH TOÁN'!$B$5:$B$305,$B75,'THANH TOÁN'!$E$5:$E$305,"Có"))</f>
        <v/>
      </c>
      <c r="L75" s="17" t="str">
        <f aca="false">IF(OR($A75="",$B75=""),"",IF(_xlfn.MAXIFS('SỔ CÔNG NỢ'!$B$5:$B$111,'SỔ CÔNG NỢ'!$A$5:$A$111,$A75,'SỔ CÔNG NỢ'!$B$5:$B$111,"&lt;"&amp;$B75)=0,C75,SUMIFS('SỔ CÔNG NỢ'!$M$5:$M$111,'SỔ CÔNG NỢ'!$A$5:$A$111,$A75,'SỔ CÔNG NỢ'!$B$5:$B$111,_xlfn.MAXIFS('SỔ CÔNG NỢ'!$B$5:$B$111,'SỔ CÔNG NỢ'!$A$5:$A$111,$A75,'SỔ CÔNG NỢ'!$B$5:$B$111,"&lt;"&amp;$B75))))</f>
        <v/>
      </c>
      <c r="M75" s="33" t="str">
        <f aca="false">IF(OR($A75="",$B75=""),"",L75+G75-J75-K75)</f>
        <v/>
      </c>
      <c r="N75" s="31"/>
      <c r="O75" s="17" t="str">
        <f aca="false">IF(OR($A75="",$B75="",N75=""),"",N75-M75)</f>
        <v/>
      </c>
      <c r="P75" s="34"/>
    </row>
    <row r="76" customFormat="false" ht="15" hidden="false" customHeight="false" outlineLevel="0" collapsed="false">
      <c r="A76" s="20"/>
      <c r="B76" s="30"/>
      <c r="C76" s="31"/>
      <c r="D76" s="31"/>
      <c r="E76" s="31"/>
      <c r="F76" s="32"/>
      <c r="G76" s="17" t="str">
        <f aca="false">IF(OR($A76="",$B76=""),"",D76-E76)</f>
        <v/>
      </c>
      <c r="H76" s="31"/>
      <c r="I76" s="31"/>
      <c r="J76" s="17" t="str">
        <f aca="false">IF(OR($A76="",$B76=""),"",H76-I76)</f>
        <v/>
      </c>
      <c r="K76" s="17" t="str">
        <f aca="false">IF(OR($A76="",$B76=""),"",SUMIFS('THANH TOÁN'!$D$5:$D$305,'THANH TOÁN'!$A$5:$A$305,$A76,'THANH TOÁN'!$B$5:$B$305,$B76,'THANH TOÁN'!$E$5:$E$305,"Có"))</f>
        <v/>
      </c>
      <c r="L76" s="17" t="str">
        <f aca="false">IF(OR($A76="",$B76=""),"",IF(_xlfn.MAXIFS('SỔ CÔNG NỢ'!$B$5:$B$111,'SỔ CÔNG NỢ'!$A$5:$A$111,$A76,'SỔ CÔNG NỢ'!$B$5:$B$111,"&lt;"&amp;$B76)=0,C76,SUMIFS('SỔ CÔNG NỢ'!$M$5:$M$111,'SỔ CÔNG NỢ'!$A$5:$A$111,$A76,'SỔ CÔNG NỢ'!$B$5:$B$111,_xlfn.MAXIFS('SỔ CÔNG NỢ'!$B$5:$B$111,'SỔ CÔNG NỢ'!$A$5:$A$111,$A76,'SỔ CÔNG NỢ'!$B$5:$B$111,"&lt;"&amp;$B76))))</f>
        <v/>
      </c>
      <c r="M76" s="33" t="str">
        <f aca="false">IF(OR($A76="",$B76=""),"",L76+G76-J76-K76)</f>
        <v/>
      </c>
      <c r="N76" s="31"/>
      <c r="O76" s="17" t="str">
        <f aca="false">IF(OR($A76="",$B76="",N76=""),"",N76-M76)</f>
        <v/>
      </c>
      <c r="P76" s="34"/>
    </row>
    <row r="77" customFormat="false" ht="15" hidden="false" customHeight="false" outlineLevel="0" collapsed="false">
      <c r="A77" s="20"/>
      <c r="B77" s="30"/>
      <c r="C77" s="31"/>
      <c r="D77" s="31"/>
      <c r="E77" s="31"/>
      <c r="F77" s="32"/>
      <c r="G77" s="17" t="str">
        <f aca="false">IF(OR($A77="",$B77=""),"",D77-E77)</f>
        <v/>
      </c>
      <c r="H77" s="31"/>
      <c r="I77" s="31"/>
      <c r="J77" s="17" t="str">
        <f aca="false">IF(OR($A77="",$B77=""),"",H77-I77)</f>
        <v/>
      </c>
      <c r="K77" s="17" t="str">
        <f aca="false">IF(OR($A77="",$B77=""),"",SUMIFS('THANH TOÁN'!$D$5:$D$305,'THANH TOÁN'!$A$5:$A$305,$A77,'THANH TOÁN'!$B$5:$B$305,$B77,'THANH TOÁN'!$E$5:$E$305,"Có"))</f>
        <v/>
      </c>
      <c r="L77" s="17" t="str">
        <f aca="false">IF(OR($A77="",$B77=""),"",IF(_xlfn.MAXIFS('SỔ CÔNG NỢ'!$B$5:$B$111,'SỔ CÔNG NỢ'!$A$5:$A$111,$A77,'SỔ CÔNG NỢ'!$B$5:$B$111,"&lt;"&amp;$B77)=0,C77,SUMIFS('SỔ CÔNG NỢ'!$M$5:$M$111,'SỔ CÔNG NỢ'!$A$5:$A$111,$A77,'SỔ CÔNG NỢ'!$B$5:$B$111,_xlfn.MAXIFS('SỔ CÔNG NỢ'!$B$5:$B$111,'SỔ CÔNG NỢ'!$A$5:$A$111,$A77,'SỔ CÔNG NỢ'!$B$5:$B$111,"&lt;"&amp;$B77))))</f>
        <v/>
      </c>
      <c r="M77" s="33" t="str">
        <f aca="false">IF(OR($A77="",$B77=""),"",L77+G77-J77-K77)</f>
        <v/>
      </c>
      <c r="N77" s="31"/>
      <c r="O77" s="17" t="str">
        <f aca="false">IF(OR($A77="",$B77="",N77=""),"",N77-M77)</f>
        <v/>
      </c>
      <c r="P77" s="34"/>
    </row>
    <row r="78" customFormat="false" ht="15" hidden="false" customHeight="false" outlineLevel="0" collapsed="false">
      <c r="A78" s="20"/>
      <c r="B78" s="30"/>
      <c r="C78" s="31"/>
      <c r="D78" s="31"/>
      <c r="E78" s="31"/>
      <c r="F78" s="32"/>
      <c r="G78" s="17" t="str">
        <f aca="false">IF(OR($A78="",$B78=""),"",D78-E78)</f>
        <v/>
      </c>
      <c r="H78" s="31"/>
      <c r="I78" s="31"/>
      <c r="J78" s="17" t="str">
        <f aca="false">IF(OR($A78="",$B78=""),"",H78-I78)</f>
        <v/>
      </c>
      <c r="K78" s="17" t="str">
        <f aca="false">IF(OR($A78="",$B78=""),"",SUMIFS('THANH TOÁN'!$D$5:$D$305,'THANH TOÁN'!$A$5:$A$305,$A78,'THANH TOÁN'!$B$5:$B$305,$B78,'THANH TOÁN'!$E$5:$E$305,"Có"))</f>
        <v/>
      </c>
      <c r="L78" s="17" t="str">
        <f aca="false">IF(OR($A78="",$B78=""),"",IF(_xlfn.MAXIFS('SỔ CÔNG NỢ'!$B$5:$B$111,'SỔ CÔNG NỢ'!$A$5:$A$111,$A78,'SỔ CÔNG NỢ'!$B$5:$B$111,"&lt;"&amp;$B78)=0,C78,SUMIFS('SỔ CÔNG NỢ'!$M$5:$M$111,'SỔ CÔNG NỢ'!$A$5:$A$111,$A78,'SỔ CÔNG NỢ'!$B$5:$B$111,_xlfn.MAXIFS('SỔ CÔNG NỢ'!$B$5:$B$111,'SỔ CÔNG NỢ'!$A$5:$A$111,$A78,'SỔ CÔNG NỢ'!$B$5:$B$111,"&lt;"&amp;$B78))))</f>
        <v/>
      </c>
      <c r="M78" s="33" t="str">
        <f aca="false">IF(OR($A78="",$B78=""),"",L78+G78-J78-K78)</f>
        <v/>
      </c>
      <c r="N78" s="31"/>
      <c r="O78" s="17" t="str">
        <f aca="false">IF(OR($A78="",$B78="",N78=""),"",N78-M78)</f>
        <v/>
      </c>
      <c r="P78" s="34"/>
    </row>
    <row r="79" customFormat="false" ht="15" hidden="false" customHeight="false" outlineLevel="0" collapsed="false">
      <c r="A79" s="20"/>
      <c r="B79" s="30"/>
      <c r="C79" s="31"/>
      <c r="D79" s="31"/>
      <c r="E79" s="31"/>
      <c r="F79" s="32"/>
      <c r="G79" s="17" t="str">
        <f aca="false">IF(OR($A79="",$B79=""),"",D79-E79)</f>
        <v/>
      </c>
      <c r="H79" s="31"/>
      <c r="I79" s="31"/>
      <c r="J79" s="17" t="str">
        <f aca="false">IF(OR($A79="",$B79=""),"",H79-I79)</f>
        <v/>
      </c>
      <c r="K79" s="17" t="str">
        <f aca="false">IF(OR($A79="",$B79=""),"",SUMIFS('THANH TOÁN'!$D$5:$D$305,'THANH TOÁN'!$A$5:$A$305,$A79,'THANH TOÁN'!$B$5:$B$305,$B79,'THANH TOÁN'!$E$5:$E$305,"Có"))</f>
        <v/>
      </c>
      <c r="L79" s="17" t="str">
        <f aca="false">IF(OR($A79="",$B79=""),"",IF(_xlfn.MAXIFS('SỔ CÔNG NỢ'!$B$5:$B$111,'SỔ CÔNG NỢ'!$A$5:$A$111,$A79,'SỔ CÔNG NỢ'!$B$5:$B$111,"&lt;"&amp;$B79)=0,C79,SUMIFS('SỔ CÔNG NỢ'!$M$5:$M$111,'SỔ CÔNG NỢ'!$A$5:$A$111,$A79,'SỔ CÔNG NỢ'!$B$5:$B$111,_xlfn.MAXIFS('SỔ CÔNG NỢ'!$B$5:$B$111,'SỔ CÔNG NỢ'!$A$5:$A$111,$A79,'SỔ CÔNG NỢ'!$B$5:$B$111,"&lt;"&amp;$B79))))</f>
        <v/>
      </c>
      <c r="M79" s="33" t="str">
        <f aca="false">IF(OR($A79="",$B79=""),"",L79+G79-J79-K79)</f>
        <v/>
      </c>
      <c r="N79" s="31"/>
      <c r="O79" s="17" t="str">
        <f aca="false">IF(OR($A79="",$B79="",N79=""),"",N79-M79)</f>
        <v/>
      </c>
      <c r="P79" s="34"/>
    </row>
    <row r="80" customFormat="false" ht="15" hidden="false" customHeight="false" outlineLevel="0" collapsed="false">
      <c r="A80" s="20"/>
      <c r="B80" s="30"/>
      <c r="C80" s="31"/>
      <c r="D80" s="31"/>
      <c r="E80" s="31"/>
      <c r="F80" s="32"/>
      <c r="G80" s="17" t="str">
        <f aca="false">IF(OR($A80="",$B80=""),"",D80-E80)</f>
        <v/>
      </c>
      <c r="H80" s="31"/>
      <c r="I80" s="31"/>
      <c r="J80" s="17" t="str">
        <f aca="false">IF(OR($A80="",$B80=""),"",H80-I80)</f>
        <v/>
      </c>
      <c r="K80" s="17" t="str">
        <f aca="false">IF(OR($A80="",$B80=""),"",SUMIFS('THANH TOÁN'!$D$5:$D$305,'THANH TOÁN'!$A$5:$A$305,$A80,'THANH TOÁN'!$B$5:$B$305,$B80,'THANH TOÁN'!$E$5:$E$305,"Có"))</f>
        <v/>
      </c>
      <c r="L80" s="17" t="str">
        <f aca="false">IF(OR($A80="",$B80=""),"",IF(_xlfn.MAXIFS('SỔ CÔNG NỢ'!$B$5:$B$111,'SỔ CÔNG NỢ'!$A$5:$A$111,$A80,'SỔ CÔNG NỢ'!$B$5:$B$111,"&lt;"&amp;$B80)=0,C80,SUMIFS('SỔ CÔNG NỢ'!$M$5:$M$111,'SỔ CÔNG NỢ'!$A$5:$A$111,$A80,'SỔ CÔNG NỢ'!$B$5:$B$111,_xlfn.MAXIFS('SỔ CÔNG NỢ'!$B$5:$B$111,'SỔ CÔNG NỢ'!$A$5:$A$111,$A80,'SỔ CÔNG NỢ'!$B$5:$B$111,"&lt;"&amp;$B80))))</f>
        <v/>
      </c>
      <c r="M80" s="33" t="str">
        <f aca="false">IF(OR($A80="",$B80=""),"",L80+G80-J80-K80)</f>
        <v/>
      </c>
      <c r="N80" s="31"/>
      <c r="O80" s="17" t="str">
        <f aca="false">IF(OR($A80="",$B80="",N80=""),"",N80-M80)</f>
        <v/>
      </c>
      <c r="P80" s="34"/>
    </row>
    <row r="81" customFormat="false" ht="15" hidden="false" customHeight="false" outlineLevel="0" collapsed="false">
      <c r="A81" s="20"/>
      <c r="B81" s="30"/>
      <c r="C81" s="31"/>
      <c r="D81" s="31"/>
      <c r="E81" s="31"/>
      <c r="F81" s="32"/>
      <c r="G81" s="17" t="str">
        <f aca="false">IF(OR($A81="",$B81=""),"",D81-E81)</f>
        <v/>
      </c>
      <c r="H81" s="31"/>
      <c r="I81" s="31"/>
      <c r="J81" s="17" t="str">
        <f aca="false">IF(OR($A81="",$B81=""),"",H81-I81)</f>
        <v/>
      </c>
      <c r="K81" s="17" t="str">
        <f aca="false">IF(OR($A81="",$B81=""),"",SUMIFS('THANH TOÁN'!$D$5:$D$305,'THANH TOÁN'!$A$5:$A$305,$A81,'THANH TOÁN'!$B$5:$B$305,$B81,'THANH TOÁN'!$E$5:$E$305,"Có"))</f>
        <v/>
      </c>
      <c r="L81" s="17" t="str">
        <f aca="false">IF(OR($A81="",$B81=""),"",IF(_xlfn.MAXIFS('SỔ CÔNG NỢ'!$B$5:$B$111,'SỔ CÔNG NỢ'!$A$5:$A$111,$A81,'SỔ CÔNG NỢ'!$B$5:$B$111,"&lt;"&amp;$B81)=0,C81,SUMIFS('SỔ CÔNG NỢ'!$M$5:$M$111,'SỔ CÔNG NỢ'!$A$5:$A$111,$A81,'SỔ CÔNG NỢ'!$B$5:$B$111,_xlfn.MAXIFS('SỔ CÔNG NỢ'!$B$5:$B$111,'SỔ CÔNG NỢ'!$A$5:$A$111,$A81,'SỔ CÔNG NỢ'!$B$5:$B$111,"&lt;"&amp;$B81))))</f>
        <v/>
      </c>
      <c r="M81" s="33" t="str">
        <f aca="false">IF(OR($A81="",$B81=""),"",L81+G81-J81-K81)</f>
        <v/>
      </c>
      <c r="N81" s="31"/>
      <c r="O81" s="17" t="str">
        <f aca="false">IF(OR($A81="",$B81="",N81=""),"",N81-M81)</f>
        <v/>
      </c>
      <c r="P81" s="34"/>
    </row>
    <row r="82" customFormat="false" ht="15" hidden="false" customHeight="false" outlineLevel="0" collapsed="false">
      <c r="A82" s="20"/>
      <c r="B82" s="30"/>
      <c r="C82" s="31"/>
      <c r="D82" s="31"/>
      <c r="E82" s="31"/>
      <c r="F82" s="32"/>
      <c r="G82" s="17" t="str">
        <f aca="false">IF(OR($A82="",$B82=""),"",D82-E82)</f>
        <v/>
      </c>
      <c r="H82" s="31"/>
      <c r="I82" s="31"/>
      <c r="J82" s="17" t="str">
        <f aca="false">IF(OR($A82="",$B82=""),"",H82-I82)</f>
        <v/>
      </c>
      <c r="K82" s="17" t="str">
        <f aca="false">IF(OR($A82="",$B82=""),"",SUMIFS('THANH TOÁN'!$D$5:$D$305,'THANH TOÁN'!$A$5:$A$305,$A82,'THANH TOÁN'!$B$5:$B$305,$B82,'THANH TOÁN'!$E$5:$E$305,"Có"))</f>
        <v/>
      </c>
      <c r="L82" s="17" t="str">
        <f aca="false">IF(OR($A82="",$B82=""),"",IF(_xlfn.MAXIFS('SỔ CÔNG NỢ'!$B$5:$B$111,'SỔ CÔNG NỢ'!$A$5:$A$111,$A82,'SỔ CÔNG NỢ'!$B$5:$B$111,"&lt;"&amp;$B82)=0,C82,SUMIFS('SỔ CÔNG NỢ'!$M$5:$M$111,'SỔ CÔNG NỢ'!$A$5:$A$111,$A82,'SỔ CÔNG NỢ'!$B$5:$B$111,_xlfn.MAXIFS('SỔ CÔNG NỢ'!$B$5:$B$111,'SỔ CÔNG NỢ'!$A$5:$A$111,$A82,'SỔ CÔNG NỢ'!$B$5:$B$111,"&lt;"&amp;$B82))))</f>
        <v/>
      </c>
      <c r="M82" s="33" t="str">
        <f aca="false">IF(OR($A82="",$B82=""),"",L82+G82-J82-K82)</f>
        <v/>
      </c>
      <c r="N82" s="31"/>
      <c r="O82" s="17" t="str">
        <f aca="false">IF(OR($A82="",$B82="",N82=""),"",N82-M82)</f>
        <v/>
      </c>
      <c r="P82" s="34"/>
    </row>
    <row r="83" customFormat="false" ht="15" hidden="false" customHeight="false" outlineLevel="0" collapsed="false">
      <c r="A83" s="20"/>
      <c r="B83" s="30"/>
      <c r="C83" s="31"/>
      <c r="D83" s="31"/>
      <c r="E83" s="31"/>
      <c r="F83" s="32"/>
      <c r="G83" s="17" t="str">
        <f aca="false">IF(OR($A83="",$B83=""),"",D83-E83)</f>
        <v/>
      </c>
      <c r="H83" s="31"/>
      <c r="I83" s="31"/>
      <c r="J83" s="17" t="str">
        <f aca="false">IF(OR($A83="",$B83=""),"",H83-I83)</f>
        <v/>
      </c>
      <c r="K83" s="17" t="str">
        <f aca="false">IF(OR($A83="",$B83=""),"",SUMIFS('THANH TOÁN'!$D$5:$D$305,'THANH TOÁN'!$A$5:$A$305,$A83,'THANH TOÁN'!$B$5:$B$305,$B83,'THANH TOÁN'!$E$5:$E$305,"Có"))</f>
        <v/>
      </c>
      <c r="L83" s="17" t="str">
        <f aca="false">IF(OR($A83="",$B83=""),"",IF(_xlfn.MAXIFS('SỔ CÔNG NỢ'!$B$5:$B$111,'SỔ CÔNG NỢ'!$A$5:$A$111,$A83,'SỔ CÔNG NỢ'!$B$5:$B$111,"&lt;"&amp;$B83)=0,C83,SUMIFS('SỔ CÔNG NỢ'!$M$5:$M$111,'SỔ CÔNG NỢ'!$A$5:$A$111,$A83,'SỔ CÔNG NỢ'!$B$5:$B$111,_xlfn.MAXIFS('SỔ CÔNG NỢ'!$B$5:$B$111,'SỔ CÔNG NỢ'!$A$5:$A$111,$A83,'SỔ CÔNG NỢ'!$B$5:$B$111,"&lt;"&amp;$B83))))</f>
        <v/>
      </c>
      <c r="M83" s="33" t="str">
        <f aca="false">IF(OR($A83="",$B83=""),"",L83+G83-J83-K83)</f>
        <v/>
      </c>
      <c r="N83" s="31"/>
      <c r="O83" s="17" t="str">
        <f aca="false">IF(OR($A83="",$B83="",N83=""),"",N83-M83)</f>
        <v/>
      </c>
      <c r="P83" s="34"/>
    </row>
    <row r="84" customFormat="false" ht="15" hidden="false" customHeight="false" outlineLevel="0" collapsed="false">
      <c r="A84" s="20"/>
      <c r="B84" s="30"/>
      <c r="C84" s="31"/>
      <c r="D84" s="31"/>
      <c r="E84" s="31"/>
      <c r="F84" s="32"/>
      <c r="G84" s="17" t="str">
        <f aca="false">IF(OR($A84="",$B84=""),"",D84-E84)</f>
        <v/>
      </c>
      <c r="H84" s="31"/>
      <c r="I84" s="31"/>
      <c r="J84" s="17" t="str">
        <f aca="false">IF(OR($A84="",$B84=""),"",H84-I84)</f>
        <v/>
      </c>
      <c r="K84" s="17" t="str">
        <f aca="false">IF(OR($A84="",$B84=""),"",SUMIFS('THANH TOÁN'!$D$5:$D$305,'THANH TOÁN'!$A$5:$A$305,$A84,'THANH TOÁN'!$B$5:$B$305,$B84,'THANH TOÁN'!$E$5:$E$305,"Có"))</f>
        <v/>
      </c>
      <c r="L84" s="17" t="str">
        <f aca="false">IF(OR($A84="",$B84=""),"",IF(_xlfn.MAXIFS('SỔ CÔNG NỢ'!$B$5:$B$111,'SỔ CÔNG NỢ'!$A$5:$A$111,$A84,'SỔ CÔNG NỢ'!$B$5:$B$111,"&lt;"&amp;$B84)=0,C84,SUMIFS('SỔ CÔNG NỢ'!$M$5:$M$111,'SỔ CÔNG NỢ'!$A$5:$A$111,$A84,'SỔ CÔNG NỢ'!$B$5:$B$111,_xlfn.MAXIFS('SỔ CÔNG NỢ'!$B$5:$B$111,'SỔ CÔNG NỢ'!$A$5:$A$111,$A84,'SỔ CÔNG NỢ'!$B$5:$B$111,"&lt;"&amp;$B84))))</f>
        <v/>
      </c>
      <c r="M84" s="33" t="str">
        <f aca="false">IF(OR($A84="",$B84=""),"",L84+G84-J84-K84)</f>
        <v/>
      </c>
      <c r="N84" s="31"/>
      <c r="O84" s="17" t="str">
        <f aca="false">IF(OR($A84="",$B84="",N84=""),"",N84-M84)</f>
        <v/>
      </c>
      <c r="P84" s="34"/>
    </row>
    <row r="85" customFormat="false" ht="15" hidden="false" customHeight="false" outlineLevel="0" collapsed="false">
      <c r="A85" s="20"/>
      <c r="B85" s="30"/>
      <c r="C85" s="31"/>
      <c r="D85" s="31"/>
      <c r="E85" s="31"/>
      <c r="F85" s="32"/>
      <c r="G85" s="17" t="str">
        <f aca="false">IF(OR($A85="",$B85=""),"",D85-E85)</f>
        <v/>
      </c>
      <c r="H85" s="31"/>
      <c r="I85" s="31"/>
      <c r="J85" s="17" t="str">
        <f aca="false">IF(OR($A85="",$B85=""),"",H85-I85)</f>
        <v/>
      </c>
      <c r="K85" s="17" t="str">
        <f aca="false">IF(OR($A85="",$B85=""),"",SUMIFS('THANH TOÁN'!$D$5:$D$305,'THANH TOÁN'!$A$5:$A$305,$A85,'THANH TOÁN'!$B$5:$B$305,$B85,'THANH TOÁN'!$E$5:$E$305,"Có"))</f>
        <v/>
      </c>
      <c r="L85" s="17" t="str">
        <f aca="false">IF(OR($A85="",$B85=""),"",IF(_xlfn.MAXIFS('SỔ CÔNG NỢ'!$B$5:$B$111,'SỔ CÔNG NỢ'!$A$5:$A$111,$A85,'SỔ CÔNG NỢ'!$B$5:$B$111,"&lt;"&amp;$B85)=0,C85,SUMIFS('SỔ CÔNG NỢ'!$M$5:$M$111,'SỔ CÔNG NỢ'!$A$5:$A$111,$A85,'SỔ CÔNG NỢ'!$B$5:$B$111,_xlfn.MAXIFS('SỔ CÔNG NỢ'!$B$5:$B$111,'SỔ CÔNG NỢ'!$A$5:$A$111,$A85,'SỔ CÔNG NỢ'!$B$5:$B$111,"&lt;"&amp;$B85))))</f>
        <v/>
      </c>
      <c r="M85" s="33" t="str">
        <f aca="false">IF(OR($A85="",$B85=""),"",L85+G85-J85-K85)</f>
        <v/>
      </c>
      <c r="N85" s="31"/>
      <c r="O85" s="17" t="str">
        <f aca="false">IF(OR($A85="",$B85="",N85=""),"",N85-M85)</f>
        <v/>
      </c>
      <c r="P85" s="34"/>
    </row>
    <row r="86" customFormat="false" ht="15" hidden="false" customHeight="false" outlineLevel="0" collapsed="false">
      <c r="A86" s="20"/>
      <c r="B86" s="30"/>
      <c r="C86" s="31"/>
      <c r="D86" s="31"/>
      <c r="E86" s="31"/>
      <c r="F86" s="32"/>
      <c r="G86" s="17" t="str">
        <f aca="false">IF(OR($A86="",$B86=""),"",D86-E86)</f>
        <v/>
      </c>
      <c r="H86" s="31"/>
      <c r="I86" s="31"/>
      <c r="J86" s="17" t="str">
        <f aca="false">IF(OR($A86="",$B86=""),"",H86-I86)</f>
        <v/>
      </c>
      <c r="K86" s="17" t="str">
        <f aca="false">IF(OR($A86="",$B86=""),"",SUMIFS('THANH TOÁN'!$D$5:$D$305,'THANH TOÁN'!$A$5:$A$305,$A86,'THANH TOÁN'!$B$5:$B$305,$B86,'THANH TOÁN'!$E$5:$E$305,"Có"))</f>
        <v/>
      </c>
      <c r="L86" s="17" t="str">
        <f aca="false">IF(OR($A86="",$B86=""),"",IF(_xlfn.MAXIFS('SỔ CÔNG NỢ'!$B$5:$B$111,'SỔ CÔNG NỢ'!$A$5:$A$111,$A86,'SỔ CÔNG NỢ'!$B$5:$B$111,"&lt;"&amp;$B86)=0,C86,SUMIFS('SỔ CÔNG NỢ'!$M$5:$M$111,'SỔ CÔNG NỢ'!$A$5:$A$111,$A86,'SỔ CÔNG NỢ'!$B$5:$B$111,_xlfn.MAXIFS('SỔ CÔNG NỢ'!$B$5:$B$111,'SỔ CÔNG NỢ'!$A$5:$A$111,$A86,'SỔ CÔNG NỢ'!$B$5:$B$111,"&lt;"&amp;$B86))))</f>
        <v/>
      </c>
      <c r="M86" s="33" t="str">
        <f aca="false">IF(OR($A86="",$B86=""),"",L86+G86-J86-K86)</f>
        <v/>
      </c>
      <c r="N86" s="31"/>
      <c r="O86" s="17" t="str">
        <f aca="false">IF(OR($A86="",$B86="",N86=""),"",N86-M86)</f>
        <v/>
      </c>
      <c r="P86" s="34"/>
    </row>
    <row r="87" customFormat="false" ht="15" hidden="false" customHeight="false" outlineLevel="0" collapsed="false">
      <c r="A87" s="20"/>
      <c r="B87" s="30"/>
      <c r="C87" s="31"/>
      <c r="D87" s="31"/>
      <c r="E87" s="31"/>
      <c r="F87" s="32"/>
      <c r="G87" s="17" t="str">
        <f aca="false">IF(OR($A87="",$B87=""),"",D87-E87)</f>
        <v/>
      </c>
      <c r="H87" s="31"/>
      <c r="I87" s="31"/>
      <c r="J87" s="17" t="str">
        <f aca="false">IF(OR($A87="",$B87=""),"",H87-I87)</f>
        <v/>
      </c>
      <c r="K87" s="17" t="str">
        <f aca="false">IF(OR($A87="",$B87=""),"",SUMIFS('THANH TOÁN'!$D$5:$D$305,'THANH TOÁN'!$A$5:$A$305,$A87,'THANH TOÁN'!$B$5:$B$305,$B87,'THANH TOÁN'!$E$5:$E$305,"Có"))</f>
        <v/>
      </c>
      <c r="L87" s="17" t="str">
        <f aca="false">IF(OR($A87="",$B87=""),"",IF(_xlfn.MAXIFS('SỔ CÔNG NỢ'!$B$5:$B$111,'SỔ CÔNG NỢ'!$A$5:$A$111,$A87,'SỔ CÔNG NỢ'!$B$5:$B$111,"&lt;"&amp;$B87)=0,C87,SUMIFS('SỔ CÔNG NỢ'!$M$5:$M$111,'SỔ CÔNG NỢ'!$A$5:$A$111,$A87,'SỔ CÔNG NỢ'!$B$5:$B$111,_xlfn.MAXIFS('SỔ CÔNG NỢ'!$B$5:$B$111,'SỔ CÔNG NỢ'!$A$5:$A$111,$A87,'SỔ CÔNG NỢ'!$B$5:$B$111,"&lt;"&amp;$B87))))</f>
        <v/>
      </c>
      <c r="M87" s="33" t="str">
        <f aca="false">IF(OR($A87="",$B87=""),"",L87+G87-J87-K87)</f>
        <v/>
      </c>
      <c r="N87" s="31"/>
      <c r="O87" s="17" t="str">
        <f aca="false">IF(OR($A87="",$B87="",N87=""),"",N87-M87)</f>
        <v/>
      </c>
      <c r="P87" s="34"/>
    </row>
    <row r="88" customFormat="false" ht="15" hidden="false" customHeight="false" outlineLevel="0" collapsed="false">
      <c r="A88" s="20"/>
      <c r="B88" s="30"/>
      <c r="C88" s="31"/>
      <c r="D88" s="31"/>
      <c r="E88" s="31"/>
      <c r="F88" s="32"/>
      <c r="G88" s="17" t="str">
        <f aca="false">IF(OR($A88="",$B88=""),"",D88-E88)</f>
        <v/>
      </c>
      <c r="H88" s="31"/>
      <c r="I88" s="31"/>
      <c r="J88" s="17" t="str">
        <f aca="false">IF(OR($A88="",$B88=""),"",H88-I88)</f>
        <v/>
      </c>
      <c r="K88" s="17" t="str">
        <f aca="false">IF(OR($A88="",$B88=""),"",SUMIFS('THANH TOÁN'!$D$5:$D$305,'THANH TOÁN'!$A$5:$A$305,$A88,'THANH TOÁN'!$B$5:$B$305,$B88,'THANH TOÁN'!$E$5:$E$305,"Có"))</f>
        <v/>
      </c>
      <c r="L88" s="17" t="str">
        <f aca="false">IF(OR($A88="",$B88=""),"",IF(_xlfn.MAXIFS('SỔ CÔNG NỢ'!$B$5:$B$111,'SỔ CÔNG NỢ'!$A$5:$A$111,$A88,'SỔ CÔNG NỢ'!$B$5:$B$111,"&lt;"&amp;$B88)=0,C88,SUMIFS('SỔ CÔNG NỢ'!$M$5:$M$111,'SỔ CÔNG NỢ'!$A$5:$A$111,$A88,'SỔ CÔNG NỢ'!$B$5:$B$111,_xlfn.MAXIFS('SỔ CÔNG NỢ'!$B$5:$B$111,'SỔ CÔNG NỢ'!$A$5:$A$111,$A88,'SỔ CÔNG NỢ'!$B$5:$B$111,"&lt;"&amp;$B88))))</f>
        <v/>
      </c>
      <c r="M88" s="33" t="str">
        <f aca="false">IF(OR($A88="",$B88=""),"",L88+G88-J88-K88)</f>
        <v/>
      </c>
      <c r="N88" s="31"/>
      <c r="O88" s="17" t="str">
        <f aca="false">IF(OR($A88="",$B88="",N88=""),"",N88-M88)</f>
        <v/>
      </c>
      <c r="P88" s="34"/>
    </row>
    <row r="89" customFormat="false" ht="15" hidden="false" customHeight="false" outlineLevel="0" collapsed="false">
      <c r="A89" s="20"/>
      <c r="B89" s="30"/>
      <c r="C89" s="31"/>
      <c r="D89" s="31"/>
      <c r="E89" s="31"/>
      <c r="F89" s="32"/>
      <c r="G89" s="17" t="str">
        <f aca="false">IF(OR($A89="",$B89=""),"",D89-E89)</f>
        <v/>
      </c>
      <c r="H89" s="31"/>
      <c r="I89" s="31"/>
      <c r="J89" s="17" t="str">
        <f aca="false">IF(OR($A89="",$B89=""),"",H89-I89)</f>
        <v/>
      </c>
      <c r="K89" s="17" t="str">
        <f aca="false">IF(OR($A89="",$B89=""),"",SUMIFS('THANH TOÁN'!$D$5:$D$305,'THANH TOÁN'!$A$5:$A$305,$A89,'THANH TOÁN'!$B$5:$B$305,$B89,'THANH TOÁN'!$E$5:$E$305,"Có"))</f>
        <v/>
      </c>
      <c r="L89" s="17" t="str">
        <f aca="false">IF(OR($A89="",$B89=""),"",IF(_xlfn.MAXIFS('SỔ CÔNG NỢ'!$B$5:$B$111,'SỔ CÔNG NỢ'!$A$5:$A$111,$A89,'SỔ CÔNG NỢ'!$B$5:$B$111,"&lt;"&amp;$B89)=0,C89,SUMIFS('SỔ CÔNG NỢ'!$M$5:$M$111,'SỔ CÔNG NỢ'!$A$5:$A$111,$A89,'SỔ CÔNG NỢ'!$B$5:$B$111,_xlfn.MAXIFS('SỔ CÔNG NỢ'!$B$5:$B$111,'SỔ CÔNG NỢ'!$A$5:$A$111,$A89,'SỔ CÔNG NỢ'!$B$5:$B$111,"&lt;"&amp;$B89))))</f>
        <v/>
      </c>
      <c r="M89" s="33" t="str">
        <f aca="false">IF(OR($A89="",$B89=""),"",L89+G89-J89-K89)</f>
        <v/>
      </c>
      <c r="N89" s="31"/>
      <c r="O89" s="17" t="str">
        <f aca="false">IF(OR($A89="",$B89="",N89=""),"",N89-M89)</f>
        <v/>
      </c>
      <c r="P89" s="34"/>
    </row>
    <row r="90" customFormat="false" ht="15" hidden="false" customHeight="false" outlineLevel="0" collapsed="false">
      <c r="A90" s="20"/>
      <c r="B90" s="30"/>
      <c r="C90" s="31"/>
      <c r="D90" s="31"/>
      <c r="E90" s="31"/>
      <c r="F90" s="32"/>
      <c r="G90" s="17" t="str">
        <f aca="false">IF(OR($A90="",$B90=""),"",D90-E90)</f>
        <v/>
      </c>
      <c r="H90" s="31"/>
      <c r="I90" s="31"/>
      <c r="J90" s="17" t="str">
        <f aca="false">IF(OR($A90="",$B90=""),"",H90-I90)</f>
        <v/>
      </c>
      <c r="K90" s="17" t="str">
        <f aca="false">IF(OR($A90="",$B90=""),"",SUMIFS('THANH TOÁN'!$D$5:$D$305,'THANH TOÁN'!$A$5:$A$305,$A90,'THANH TOÁN'!$B$5:$B$305,$B90,'THANH TOÁN'!$E$5:$E$305,"Có"))</f>
        <v/>
      </c>
      <c r="L90" s="17" t="str">
        <f aca="false">IF(OR($A90="",$B90=""),"",IF(_xlfn.MAXIFS('SỔ CÔNG NỢ'!$B$5:$B$111,'SỔ CÔNG NỢ'!$A$5:$A$111,$A90,'SỔ CÔNG NỢ'!$B$5:$B$111,"&lt;"&amp;$B90)=0,C90,SUMIFS('SỔ CÔNG NỢ'!$M$5:$M$111,'SỔ CÔNG NỢ'!$A$5:$A$111,$A90,'SỔ CÔNG NỢ'!$B$5:$B$111,_xlfn.MAXIFS('SỔ CÔNG NỢ'!$B$5:$B$111,'SỔ CÔNG NỢ'!$A$5:$A$111,$A90,'SỔ CÔNG NỢ'!$B$5:$B$111,"&lt;"&amp;$B90))))</f>
        <v/>
      </c>
      <c r="M90" s="33" t="str">
        <f aca="false">IF(OR($A90="",$B90=""),"",L90+G90-J90-K90)</f>
        <v/>
      </c>
      <c r="N90" s="31"/>
      <c r="O90" s="17" t="str">
        <f aca="false">IF(OR($A90="",$B90="",N90=""),"",N90-M90)</f>
        <v/>
      </c>
      <c r="P90" s="34"/>
    </row>
    <row r="91" customFormat="false" ht="15" hidden="false" customHeight="false" outlineLevel="0" collapsed="false">
      <c r="A91" s="20"/>
      <c r="B91" s="30"/>
      <c r="C91" s="31"/>
      <c r="D91" s="31"/>
      <c r="E91" s="31"/>
      <c r="F91" s="32"/>
      <c r="G91" s="17" t="str">
        <f aca="false">IF(OR($A91="",$B91=""),"",D91-E91)</f>
        <v/>
      </c>
      <c r="H91" s="31"/>
      <c r="I91" s="31"/>
      <c r="J91" s="17" t="str">
        <f aca="false">IF(OR($A91="",$B91=""),"",H91-I91)</f>
        <v/>
      </c>
      <c r="K91" s="17" t="str">
        <f aca="false">IF(OR($A91="",$B91=""),"",SUMIFS('THANH TOÁN'!$D$5:$D$305,'THANH TOÁN'!$A$5:$A$305,$A91,'THANH TOÁN'!$B$5:$B$305,$B91,'THANH TOÁN'!$E$5:$E$305,"Có"))</f>
        <v/>
      </c>
      <c r="L91" s="17" t="str">
        <f aca="false">IF(OR($A91="",$B91=""),"",IF(_xlfn.MAXIFS('SỔ CÔNG NỢ'!$B$5:$B$111,'SỔ CÔNG NỢ'!$A$5:$A$111,$A91,'SỔ CÔNG NỢ'!$B$5:$B$111,"&lt;"&amp;$B91)=0,C91,SUMIFS('SỔ CÔNG NỢ'!$M$5:$M$111,'SỔ CÔNG NỢ'!$A$5:$A$111,$A91,'SỔ CÔNG NỢ'!$B$5:$B$111,_xlfn.MAXIFS('SỔ CÔNG NỢ'!$B$5:$B$111,'SỔ CÔNG NỢ'!$A$5:$A$111,$A91,'SỔ CÔNG NỢ'!$B$5:$B$111,"&lt;"&amp;$B91))))</f>
        <v/>
      </c>
      <c r="M91" s="33" t="str">
        <f aca="false">IF(OR($A91="",$B91=""),"",L91+G91-J91-K91)</f>
        <v/>
      </c>
      <c r="N91" s="31"/>
      <c r="O91" s="17" t="str">
        <f aca="false">IF(OR($A91="",$B91="",N91=""),"",N91-M91)</f>
        <v/>
      </c>
      <c r="P91" s="34"/>
    </row>
    <row r="92" customFormat="false" ht="15" hidden="false" customHeight="false" outlineLevel="0" collapsed="false">
      <c r="A92" s="20"/>
      <c r="B92" s="30"/>
      <c r="C92" s="31"/>
      <c r="D92" s="31"/>
      <c r="E92" s="31"/>
      <c r="F92" s="32"/>
      <c r="G92" s="17" t="str">
        <f aca="false">IF(OR($A92="",$B92=""),"",D92-E92)</f>
        <v/>
      </c>
      <c r="H92" s="31"/>
      <c r="I92" s="31"/>
      <c r="J92" s="17" t="str">
        <f aca="false">IF(OR($A92="",$B92=""),"",H92-I92)</f>
        <v/>
      </c>
      <c r="K92" s="17" t="str">
        <f aca="false">IF(OR($A92="",$B92=""),"",SUMIFS('THANH TOÁN'!$D$5:$D$305,'THANH TOÁN'!$A$5:$A$305,$A92,'THANH TOÁN'!$B$5:$B$305,$B92,'THANH TOÁN'!$E$5:$E$305,"Có"))</f>
        <v/>
      </c>
      <c r="L92" s="17" t="str">
        <f aca="false">IF(OR($A92="",$B92=""),"",IF(_xlfn.MAXIFS('SỔ CÔNG NỢ'!$B$5:$B$111,'SỔ CÔNG NỢ'!$A$5:$A$111,$A92,'SỔ CÔNG NỢ'!$B$5:$B$111,"&lt;"&amp;$B92)=0,C92,SUMIFS('SỔ CÔNG NỢ'!$M$5:$M$111,'SỔ CÔNG NỢ'!$A$5:$A$111,$A92,'SỔ CÔNG NỢ'!$B$5:$B$111,_xlfn.MAXIFS('SỔ CÔNG NỢ'!$B$5:$B$111,'SỔ CÔNG NỢ'!$A$5:$A$111,$A92,'SỔ CÔNG NỢ'!$B$5:$B$111,"&lt;"&amp;$B92))))</f>
        <v/>
      </c>
      <c r="M92" s="33" t="str">
        <f aca="false">IF(OR($A92="",$B92=""),"",L92+G92-J92-K92)</f>
        <v/>
      </c>
      <c r="N92" s="31"/>
      <c r="O92" s="17" t="str">
        <f aca="false">IF(OR($A92="",$B92="",N92=""),"",N92-M92)</f>
        <v/>
      </c>
      <c r="P92" s="34"/>
    </row>
    <row r="93" customFormat="false" ht="15" hidden="false" customHeight="false" outlineLevel="0" collapsed="false">
      <c r="A93" s="20"/>
      <c r="B93" s="30"/>
      <c r="C93" s="31"/>
      <c r="D93" s="31"/>
      <c r="E93" s="31"/>
      <c r="F93" s="32"/>
      <c r="G93" s="17" t="str">
        <f aca="false">IF(OR($A93="",$B93=""),"",D93-E93)</f>
        <v/>
      </c>
      <c r="H93" s="31"/>
      <c r="I93" s="31"/>
      <c r="J93" s="17" t="str">
        <f aca="false">IF(OR($A93="",$B93=""),"",H93-I93)</f>
        <v/>
      </c>
      <c r="K93" s="17" t="str">
        <f aca="false">IF(OR($A93="",$B93=""),"",SUMIFS('THANH TOÁN'!$D$5:$D$305,'THANH TOÁN'!$A$5:$A$305,$A93,'THANH TOÁN'!$B$5:$B$305,$B93,'THANH TOÁN'!$E$5:$E$305,"Có"))</f>
        <v/>
      </c>
      <c r="L93" s="17" t="str">
        <f aca="false">IF(OR($A93="",$B93=""),"",IF(_xlfn.MAXIFS('SỔ CÔNG NỢ'!$B$5:$B$111,'SỔ CÔNG NỢ'!$A$5:$A$111,$A93,'SỔ CÔNG NỢ'!$B$5:$B$111,"&lt;"&amp;$B93)=0,C93,SUMIFS('SỔ CÔNG NỢ'!$M$5:$M$111,'SỔ CÔNG NỢ'!$A$5:$A$111,$A93,'SỔ CÔNG NỢ'!$B$5:$B$111,_xlfn.MAXIFS('SỔ CÔNG NỢ'!$B$5:$B$111,'SỔ CÔNG NỢ'!$A$5:$A$111,$A93,'SỔ CÔNG NỢ'!$B$5:$B$111,"&lt;"&amp;$B93))))</f>
        <v/>
      </c>
      <c r="M93" s="33" t="str">
        <f aca="false">IF(OR($A93="",$B93=""),"",L93+G93-J93-K93)</f>
        <v/>
      </c>
      <c r="N93" s="31"/>
      <c r="O93" s="17" t="str">
        <f aca="false">IF(OR($A93="",$B93="",N93=""),"",N93-M93)</f>
        <v/>
      </c>
      <c r="P93" s="34"/>
    </row>
    <row r="94" customFormat="false" ht="15" hidden="false" customHeight="false" outlineLevel="0" collapsed="false">
      <c r="A94" s="20"/>
      <c r="B94" s="30"/>
      <c r="C94" s="31"/>
      <c r="D94" s="31"/>
      <c r="E94" s="31"/>
      <c r="F94" s="32"/>
      <c r="G94" s="17" t="str">
        <f aca="false">IF(OR($A94="",$B94=""),"",D94-E94)</f>
        <v/>
      </c>
      <c r="H94" s="31"/>
      <c r="I94" s="31"/>
      <c r="J94" s="17" t="str">
        <f aca="false">IF(OR($A94="",$B94=""),"",H94-I94)</f>
        <v/>
      </c>
      <c r="K94" s="17" t="str">
        <f aca="false">IF(OR($A94="",$B94=""),"",SUMIFS('THANH TOÁN'!$D$5:$D$305,'THANH TOÁN'!$A$5:$A$305,$A94,'THANH TOÁN'!$B$5:$B$305,$B94,'THANH TOÁN'!$E$5:$E$305,"Có"))</f>
        <v/>
      </c>
      <c r="L94" s="17" t="str">
        <f aca="false">IF(OR($A94="",$B94=""),"",IF(_xlfn.MAXIFS('SỔ CÔNG NỢ'!$B$5:$B$111,'SỔ CÔNG NỢ'!$A$5:$A$111,$A94,'SỔ CÔNG NỢ'!$B$5:$B$111,"&lt;"&amp;$B94)=0,C94,SUMIFS('SỔ CÔNG NỢ'!$M$5:$M$111,'SỔ CÔNG NỢ'!$A$5:$A$111,$A94,'SỔ CÔNG NỢ'!$B$5:$B$111,_xlfn.MAXIFS('SỔ CÔNG NỢ'!$B$5:$B$111,'SỔ CÔNG NỢ'!$A$5:$A$111,$A94,'SỔ CÔNG NỢ'!$B$5:$B$111,"&lt;"&amp;$B94))))</f>
        <v/>
      </c>
      <c r="M94" s="33" t="str">
        <f aca="false">IF(OR($A94="",$B94=""),"",L94+G94-J94-K94)</f>
        <v/>
      </c>
      <c r="N94" s="31"/>
      <c r="O94" s="17" t="str">
        <f aca="false">IF(OR($A94="",$B94="",N94=""),"",N94-M94)</f>
        <v/>
      </c>
      <c r="P94" s="34"/>
    </row>
    <row r="95" customFormat="false" ht="15" hidden="false" customHeight="false" outlineLevel="0" collapsed="false">
      <c r="A95" s="20"/>
      <c r="B95" s="30"/>
      <c r="C95" s="31"/>
      <c r="D95" s="31"/>
      <c r="E95" s="31"/>
      <c r="F95" s="32"/>
      <c r="G95" s="17" t="str">
        <f aca="false">IF(OR($A95="",$B95=""),"",D95-E95)</f>
        <v/>
      </c>
      <c r="H95" s="31"/>
      <c r="I95" s="31"/>
      <c r="J95" s="17" t="str">
        <f aca="false">IF(OR($A95="",$B95=""),"",H95-I95)</f>
        <v/>
      </c>
      <c r="K95" s="17" t="str">
        <f aca="false">IF(OR($A95="",$B95=""),"",SUMIFS('THANH TOÁN'!$D$5:$D$305,'THANH TOÁN'!$A$5:$A$305,$A95,'THANH TOÁN'!$B$5:$B$305,$B95,'THANH TOÁN'!$E$5:$E$305,"Có"))</f>
        <v/>
      </c>
      <c r="L95" s="17" t="str">
        <f aca="false">IF(OR($A95="",$B95=""),"",IF(_xlfn.MAXIFS('SỔ CÔNG NỢ'!$B$5:$B$111,'SỔ CÔNG NỢ'!$A$5:$A$111,$A95,'SỔ CÔNG NỢ'!$B$5:$B$111,"&lt;"&amp;$B95)=0,C95,SUMIFS('SỔ CÔNG NỢ'!$M$5:$M$111,'SỔ CÔNG NỢ'!$A$5:$A$111,$A95,'SỔ CÔNG NỢ'!$B$5:$B$111,_xlfn.MAXIFS('SỔ CÔNG NỢ'!$B$5:$B$111,'SỔ CÔNG NỢ'!$A$5:$A$111,$A95,'SỔ CÔNG NỢ'!$B$5:$B$111,"&lt;"&amp;$B95))))</f>
        <v/>
      </c>
      <c r="M95" s="33" t="str">
        <f aca="false">IF(OR($A95="",$B95=""),"",L95+G95-J95-K95)</f>
        <v/>
      </c>
      <c r="N95" s="31"/>
      <c r="O95" s="17" t="str">
        <f aca="false">IF(OR($A95="",$B95="",N95=""),"",N95-M95)</f>
        <v/>
      </c>
      <c r="P95" s="34"/>
    </row>
    <row r="96" customFormat="false" ht="15" hidden="false" customHeight="false" outlineLevel="0" collapsed="false">
      <c r="A96" s="20"/>
      <c r="B96" s="30"/>
      <c r="C96" s="31"/>
      <c r="D96" s="31"/>
      <c r="E96" s="31"/>
      <c r="F96" s="32"/>
      <c r="G96" s="17" t="str">
        <f aca="false">IF(OR($A96="",$B96=""),"",D96-E96)</f>
        <v/>
      </c>
      <c r="H96" s="31"/>
      <c r="I96" s="31"/>
      <c r="J96" s="17" t="str">
        <f aca="false">IF(OR($A96="",$B96=""),"",H96-I96)</f>
        <v/>
      </c>
      <c r="K96" s="17" t="str">
        <f aca="false">IF(OR($A96="",$B96=""),"",SUMIFS('THANH TOÁN'!$D$5:$D$305,'THANH TOÁN'!$A$5:$A$305,$A96,'THANH TOÁN'!$B$5:$B$305,$B96,'THANH TOÁN'!$E$5:$E$305,"Có"))</f>
        <v/>
      </c>
      <c r="L96" s="17" t="str">
        <f aca="false">IF(OR($A96="",$B96=""),"",IF(_xlfn.MAXIFS('SỔ CÔNG NỢ'!$B$5:$B$111,'SỔ CÔNG NỢ'!$A$5:$A$111,$A96,'SỔ CÔNG NỢ'!$B$5:$B$111,"&lt;"&amp;$B96)=0,C96,SUMIFS('SỔ CÔNG NỢ'!$M$5:$M$111,'SỔ CÔNG NỢ'!$A$5:$A$111,$A96,'SỔ CÔNG NỢ'!$B$5:$B$111,_xlfn.MAXIFS('SỔ CÔNG NỢ'!$B$5:$B$111,'SỔ CÔNG NỢ'!$A$5:$A$111,$A96,'SỔ CÔNG NỢ'!$B$5:$B$111,"&lt;"&amp;$B96))))</f>
        <v/>
      </c>
      <c r="M96" s="33" t="str">
        <f aca="false">IF(OR($A96="",$B96=""),"",L96+G96-J96-K96)</f>
        <v/>
      </c>
      <c r="N96" s="31"/>
      <c r="O96" s="17" t="str">
        <f aca="false">IF(OR($A96="",$B96="",N96=""),"",N96-M96)</f>
        <v/>
      </c>
      <c r="P96" s="34"/>
    </row>
    <row r="97" customFormat="false" ht="15" hidden="false" customHeight="false" outlineLevel="0" collapsed="false">
      <c r="A97" s="20"/>
      <c r="B97" s="30"/>
      <c r="C97" s="31"/>
      <c r="D97" s="31"/>
      <c r="E97" s="31"/>
      <c r="F97" s="32"/>
      <c r="G97" s="17" t="str">
        <f aca="false">IF(OR($A97="",$B97=""),"",D97-E97)</f>
        <v/>
      </c>
      <c r="H97" s="31"/>
      <c r="I97" s="31"/>
      <c r="J97" s="17" t="str">
        <f aca="false">IF(OR($A97="",$B97=""),"",H97-I97)</f>
        <v/>
      </c>
      <c r="K97" s="17" t="str">
        <f aca="false">IF(OR($A97="",$B97=""),"",SUMIFS('THANH TOÁN'!$D$5:$D$305,'THANH TOÁN'!$A$5:$A$305,$A97,'THANH TOÁN'!$B$5:$B$305,$B97,'THANH TOÁN'!$E$5:$E$305,"Có"))</f>
        <v/>
      </c>
      <c r="L97" s="17" t="str">
        <f aca="false">IF(OR($A97="",$B97=""),"",IF(_xlfn.MAXIFS('SỔ CÔNG NỢ'!$B$5:$B$111,'SỔ CÔNG NỢ'!$A$5:$A$111,$A97,'SỔ CÔNG NỢ'!$B$5:$B$111,"&lt;"&amp;$B97)=0,C97,SUMIFS('SỔ CÔNG NỢ'!$M$5:$M$111,'SỔ CÔNG NỢ'!$A$5:$A$111,$A97,'SỔ CÔNG NỢ'!$B$5:$B$111,_xlfn.MAXIFS('SỔ CÔNG NỢ'!$B$5:$B$111,'SỔ CÔNG NỢ'!$A$5:$A$111,$A97,'SỔ CÔNG NỢ'!$B$5:$B$111,"&lt;"&amp;$B97))))</f>
        <v/>
      </c>
      <c r="M97" s="33" t="str">
        <f aca="false">IF(OR($A97="",$B97=""),"",L97+G97-J97-K97)</f>
        <v/>
      </c>
      <c r="N97" s="31"/>
      <c r="O97" s="17" t="str">
        <f aca="false">IF(OR($A97="",$B97="",N97=""),"",N97-M97)</f>
        <v/>
      </c>
      <c r="P97" s="34"/>
    </row>
    <row r="98" customFormat="false" ht="15" hidden="false" customHeight="false" outlineLevel="0" collapsed="false">
      <c r="A98" s="20"/>
      <c r="B98" s="30"/>
      <c r="C98" s="31"/>
      <c r="D98" s="31"/>
      <c r="E98" s="31"/>
      <c r="F98" s="32"/>
      <c r="G98" s="17" t="str">
        <f aca="false">IF(OR($A98="",$B98=""),"",D98-E98)</f>
        <v/>
      </c>
      <c r="H98" s="31"/>
      <c r="I98" s="31"/>
      <c r="J98" s="17" t="str">
        <f aca="false">IF(OR($A98="",$B98=""),"",H98-I98)</f>
        <v/>
      </c>
      <c r="K98" s="17" t="str">
        <f aca="false">IF(OR($A98="",$B98=""),"",SUMIFS('THANH TOÁN'!$D$5:$D$305,'THANH TOÁN'!$A$5:$A$305,$A98,'THANH TOÁN'!$B$5:$B$305,$B98,'THANH TOÁN'!$E$5:$E$305,"Có"))</f>
        <v/>
      </c>
      <c r="L98" s="17" t="str">
        <f aca="false">IF(OR($A98="",$B98=""),"",IF(_xlfn.MAXIFS('SỔ CÔNG NỢ'!$B$5:$B$111,'SỔ CÔNG NỢ'!$A$5:$A$111,$A98,'SỔ CÔNG NỢ'!$B$5:$B$111,"&lt;"&amp;$B98)=0,C98,SUMIFS('SỔ CÔNG NỢ'!$M$5:$M$111,'SỔ CÔNG NỢ'!$A$5:$A$111,$A98,'SỔ CÔNG NỢ'!$B$5:$B$111,_xlfn.MAXIFS('SỔ CÔNG NỢ'!$B$5:$B$111,'SỔ CÔNG NỢ'!$A$5:$A$111,$A98,'SỔ CÔNG NỢ'!$B$5:$B$111,"&lt;"&amp;$B98))))</f>
        <v/>
      </c>
      <c r="M98" s="33" t="str">
        <f aca="false">IF(OR($A98="",$B98=""),"",L98+G98-J98-K98)</f>
        <v/>
      </c>
      <c r="N98" s="31"/>
      <c r="O98" s="17" t="str">
        <f aca="false">IF(OR($A98="",$B98="",N98=""),"",N98-M98)</f>
        <v/>
      </c>
      <c r="P98" s="34"/>
    </row>
    <row r="99" customFormat="false" ht="15" hidden="false" customHeight="false" outlineLevel="0" collapsed="false">
      <c r="A99" s="20"/>
      <c r="B99" s="30"/>
      <c r="C99" s="31"/>
      <c r="D99" s="31"/>
      <c r="E99" s="31"/>
      <c r="F99" s="32"/>
      <c r="G99" s="17" t="str">
        <f aca="false">IF(OR($A99="",$B99=""),"",D99-E99)</f>
        <v/>
      </c>
      <c r="H99" s="31"/>
      <c r="I99" s="31"/>
      <c r="J99" s="17" t="str">
        <f aca="false">IF(OR($A99="",$B99=""),"",H99-I99)</f>
        <v/>
      </c>
      <c r="K99" s="17" t="str">
        <f aca="false">IF(OR($A99="",$B99=""),"",SUMIFS('THANH TOÁN'!$D$5:$D$305,'THANH TOÁN'!$A$5:$A$305,$A99,'THANH TOÁN'!$B$5:$B$305,$B99,'THANH TOÁN'!$E$5:$E$305,"Có"))</f>
        <v/>
      </c>
      <c r="L99" s="17" t="str">
        <f aca="false">IF(OR($A99="",$B99=""),"",IF(_xlfn.MAXIFS('SỔ CÔNG NỢ'!$B$5:$B$111,'SỔ CÔNG NỢ'!$A$5:$A$111,$A99,'SỔ CÔNG NỢ'!$B$5:$B$111,"&lt;"&amp;$B99)=0,C99,SUMIFS('SỔ CÔNG NỢ'!$M$5:$M$111,'SỔ CÔNG NỢ'!$A$5:$A$111,$A99,'SỔ CÔNG NỢ'!$B$5:$B$111,_xlfn.MAXIFS('SỔ CÔNG NỢ'!$B$5:$B$111,'SỔ CÔNG NỢ'!$A$5:$A$111,$A99,'SỔ CÔNG NỢ'!$B$5:$B$111,"&lt;"&amp;$B99))))</f>
        <v/>
      </c>
      <c r="M99" s="33" t="str">
        <f aca="false">IF(OR($A99="",$B99=""),"",L99+G99-J99-K99)</f>
        <v/>
      </c>
      <c r="N99" s="31"/>
      <c r="O99" s="17" t="str">
        <f aca="false">IF(OR($A99="",$B99="",N99=""),"",N99-M99)</f>
        <v/>
      </c>
      <c r="P99" s="34"/>
    </row>
    <row r="100" customFormat="false" ht="15" hidden="false" customHeight="false" outlineLevel="0" collapsed="false">
      <c r="A100" s="20"/>
      <c r="B100" s="30"/>
      <c r="C100" s="31"/>
      <c r="D100" s="31"/>
      <c r="E100" s="31"/>
      <c r="F100" s="32"/>
      <c r="G100" s="17" t="str">
        <f aca="false">IF(OR($A100="",$B100=""),"",D100-E100)</f>
        <v/>
      </c>
      <c r="H100" s="31"/>
      <c r="I100" s="31"/>
      <c r="J100" s="17" t="str">
        <f aca="false">IF(OR($A100="",$B100=""),"",H100-I100)</f>
        <v/>
      </c>
      <c r="K100" s="17" t="str">
        <f aca="false">IF(OR($A100="",$B100=""),"",SUMIFS('THANH TOÁN'!$D$5:$D$305,'THANH TOÁN'!$A$5:$A$305,$A100,'THANH TOÁN'!$B$5:$B$305,$B100,'THANH TOÁN'!$E$5:$E$305,"Có"))</f>
        <v/>
      </c>
      <c r="L100" s="17" t="str">
        <f aca="false">IF(OR($A100="",$B100=""),"",IF(_xlfn.MAXIFS('SỔ CÔNG NỢ'!$B$5:$B$111,'SỔ CÔNG NỢ'!$A$5:$A$111,$A100,'SỔ CÔNG NỢ'!$B$5:$B$111,"&lt;"&amp;$B100)=0,C100,SUMIFS('SỔ CÔNG NỢ'!$M$5:$M$111,'SỔ CÔNG NỢ'!$A$5:$A$111,$A100,'SỔ CÔNG NỢ'!$B$5:$B$111,_xlfn.MAXIFS('SỔ CÔNG NỢ'!$B$5:$B$111,'SỔ CÔNG NỢ'!$A$5:$A$111,$A100,'SỔ CÔNG NỢ'!$B$5:$B$111,"&lt;"&amp;$B100))))</f>
        <v/>
      </c>
      <c r="M100" s="33" t="str">
        <f aca="false">IF(OR($A100="",$B100=""),"",L100+G100-J100-K100)</f>
        <v/>
      </c>
      <c r="N100" s="31"/>
      <c r="O100" s="17" t="str">
        <f aca="false">IF(OR($A100="",$B100="",N100=""),"",N100-M100)</f>
        <v/>
      </c>
      <c r="P100" s="34"/>
    </row>
    <row r="101" customFormat="false" ht="15" hidden="false" customHeight="false" outlineLevel="0" collapsed="false">
      <c r="A101" s="20"/>
      <c r="B101" s="30"/>
      <c r="C101" s="31"/>
      <c r="D101" s="31"/>
      <c r="E101" s="31"/>
      <c r="F101" s="32"/>
      <c r="G101" s="17" t="str">
        <f aca="false">IF(OR($A101="",$B101=""),"",D101-E101)</f>
        <v/>
      </c>
      <c r="H101" s="31"/>
      <c r="I101" s="31"/>
      <c r="J101" s="17" t="str">
        <f aca="false">IF(OR($A101="",$B101=""),"",H101-I101)</f>
        <v/>
      </c>
      <c r="K101" s="17" t="str">
        <f aca="false">IF(OR($A101="",$B101=""),"",SUMIFS('THANH TOÁN'!$D$5:$D$305,'THANH TOÁN'!$A$5:$A$305,$A101,'THANH TOÁN'!$B$5:$B$305,$B101,'THANH TOÁN'!$E$5:$E$305,"Có"))</f>
        <v/>
      </c>
      <c r="L101" s="17" t="str">
        <f aca="false">IF(OR($A101="",$B101=""),"",IF(_xlfn.MAXIFS('SỔ CÔNG NỢ'!$B$5:$B$111,'SỔ CÔNG NỢ'!$A$5:$A$111,$A101,'SỔ CÔNG NỢ'!$B$5:$B$111,"&lt;"&amp;$B101)=0,C101,SUMIFS('SỔ CÔNG NỢ'!$M$5:$M$111,'SỔ CÔNG NỢ'!$A$5:$A$111,$A101,'SỔ CÔNG NỢ'!$B$5:$B$111,_xlfn.MAXIFS('SỔ CÔNG NỢ'!$B$5:$B$111,'SỔ CÔNG NỢ'!$A$5:$A$111,$A101,'SỔ CÔNG NỢ'!$B$5:$B$111,"&lt;"&amp;$B101))))</f>
        <v/>
      </c>
      <c r="M101" s="33" t="str">
        <f aca="false">IF(OR($A101="",$B101=""),"",L101+G101-J101-K101)</f>
        <v/>
      </c>
      <c r="N101" s="31"/>
      <c r="O101" s="17" t="str">
        <f aca="false">IF(OR($A101="",$B101="",N101=""),"",N101-M101)</f>
        <v/>
      </c>
      <c r="P101" s="34"/>
    </row>
    <row r="102" customFormat="false" ht="15" hidden="false" customHeight="false" outlineLevel="0" collapsed="false">
      <c r="A102" s="20"/>
      <c r="B102" s="30"/>
      <c r="C102" s="31"/>
      <c r="D102" s="31"/>
      <c r="E102" s="31"/>
      <c r="F102" s="32"/>
      <c r="G102" s="17" t="str">
        <f aca="false">IF(OR($A102="",$B102=""),"",D102-E102)</f>
        <v/>
      </c>
      <c r="H102" s="31"/>
      <c r="I102" s="31"/>
      <c r="J102" s="17" t="str">
        <f aca="false">IF(OR($A102="",$B102=""),"",H102-I102)</f>
        <v/>
      </c>
      <c r="K102" s="17" t="str">
        <f aca="false">IF(OR($A102="",$B102=""),"",SUMIFS('THANH TOÁN'!$D$5:$D$305,'THANH TOÁN'!$A$5:$A$305,$A102,'THANH TOÁN'!$B$5:$B$305,$B102,'THANH TOÁN'!$E$5:$E$305,"Có"))</f>
        <v/>
      </c>
      <c r="L102" s="17" t="str">
        <f aca="false">IF(OR($A102="",$B102=""),"",IF(_xlfn.MAXIFS('SỔ CÔNG NỢ'!$B$5:$B$111,'SỔ CÔNG NỢ'!$A$5:$A$111,$A102,'SỔ CÔNG NỢ'!$B$5:$B$111,"&lt;"&amp;$B102)=0,C102,SUMIFS('SỔ CÔNG NỢ'!$M$5:$M$111,'SỔ CÔNG NỢ'!$A$5:$A$111,$A102,'SỔ CÔNG NỢ'!$B$5:$B$111,_xlfn.MAXIFS('SỔ CÔNG NỢ'!$B$5:$B$111,'SỔ CÔNG NỢ'!$A$5:$A$111,$A102,'SỔ CÔNG NỢ'!$B$5:$B$111,"&lt;"&amp;$B102))))</f>
        <v/>
      </c>
      <c r="M102" s="33" t="str">
        <f aca="false">IF(OR($A102="",$B102=""),"",L102+G102-J102-K102)</f>
        <v/>
      </c>
      <c r="N102" s="31"/>
      <c r="O102" s="17" t="str">
        <f aca="false">IF(OR($A102="",$B102="",N102=""),"",N102-M102)</f>
        <v/>
      </c>
      <c r="P102" s="34"/>
    </row>
    <row r="103" customFormat="false" ht="15" hidden="false" customHeight="false" outlineLevel="0" collapsed="false">
      <c r="A103" s="20"/>
      <c r="B103" s="30"/>
      <c r="C103" s="31"/>
      <c r="D103" s="31"/>
      <c r="E103" s="31"/>
      <c r="F103" s="32"/>
      <c r="G103" s="17" t="str">
        <f aca="false">IF(OR($A103="",$B103=""),"",D103-E103)</f>
        <v/>
      </c>
      <c r="H103" s="31"/>
      <c r="I103" s="31"/>
      <c r="J103" s="17" t="str">
        <f aca="false">IF(OR($A103="",$B103=""),"",H103-I103)</f>
        <v/>
      </c>
      <c r="K103" s="17" t="str">
        <f aca="false">IF(OR($A103="",$B103=""),"",SUMIFS('THANH TOÁN'!$D$5:$D$305,'THANH TOÁN'!$A$5:$A$305,$A103,'THANH TOÁN'!$B$5:$B$305,$B103,'THANH TOÁN'!$E$5:$E$305,"Có"))</f>
        <v/>
      </c>
      <c r="L103" s="17" t="str">
        <f aca="false">IF(OR($A103="",$B103=""),"",IF(_xlfn.MAXIFS('SỔ CÔNG NỢ'!$B$5:$B$111,'SỔ CÔNG NỢ'!$A$5:$A$111,$A103,'SỔ CÔNG NỢ'!$B$5:$B$111,"&lt;"&amp;$B103)=0,C103,SUMIFS('SỔ CÔNG NỢ'!$M$5:$M$111,'SỔ CÔNG NỢ'!$A$5:$A$111,$A103,'SỔ CÔNG NỢ'!$B$5:$B$111,_xlfn.MAXIFS('SỔ CÔNG NỢ'!$B$5:$B$111,'SỔ CÔNG NỢ'!$A$5:$A$111,$A103,'SỔ CÔNG NỢ'!$B$5:$B$111,"&lt;"&amp;$B103))))</f>
        <v/>
      </c>
      <c r="M103" s="33" t="str">
        <f aca="false">IF(OR($A103="",$B103=""),"",L103+G103-J103-K103)</f>
        <v/>
      </c>
      <c r="N103" s="31"/>
      <c r="O103" s="17" t="str">
        <f aca="false">IF(OR($A103="",$B103="",N103=""),"",N103-M103)</f>
        <v/>
      </c>
      <c r="P103" s="34"/>
    </row>
    <row r="104" customFormat="false" ht="15" hidden="false" customHeight="false" outlineLevel="0" collapsed="false">
      <c r="A104" s="20"/>
      <c r="B104" s="30"/>
      <c r="C104" s="31"/>
      <c r="D104" s="31"/>
      <c r="E104" s="31"/>
      <c r="F104" s="32"/>
      <c r="G104" s="17" t="str">
        <f aca="false">IF(OR($A104="",$B104=""),"",D104-E104)</f>
        <v/>
      </c>
      <c r="H104" s="31"/>
      <c r="I104" s="31"/>
      <c r="J104" s="17" t="str">
        <f aca="false">IF(OR($A104="",$B104=""),"",H104-I104)</f>
        <v/>
      </c>
      <c r="K104" s="17" t="str">
        <f aca="false">IF(OR($A104="",$B104=""),"",SUMIFS('THANH TOÁN'!$D$5:$D$305,'THANH TOÁN'!$A$5:$A$305,$A104,'THANH TOÁN'!$B$5:$B$305,$B104,'THANH TOÁN'!$E$5:$E$305,"Có"))</f>
        <v/>
      </c>
      <c r="L104" s="17" t="str">
        <f aca="false">IF(OR($A104="",$B104=""),"",IF(_xlfn.MAXIFS('SỔ CÔNG NỢ'!$B$5:$B$111,'SỔ CÔNG NỢ'!$A$5:$A$111,$A104,'SỔ CÔNG NỢ'!$B$5:$B$111,"&lt;"&amp;$B104)=0,C104,SUMIFS('SỔ CÔNG NỢ'!$M$5:$M$111,'SỔ CÔNG NỢ'!$A$5:$A$111,$A104,'SỔ CÔNG NỢ'!$B$5:$B$111,_xlfn.MAXIFS('SỔ CÔNG NỢ'!$B$5:$B$111,'SỔ CÔNG NỢ'!$A$5:$A$111,$A104,'SỔ CÔNG NỢ'!$B$5:$B$111,"&lt;"&amp;$B104))))</f>
        <v/>
      </c>
      <c r="M104" s="33" t="str">
        <f aca="false">IF(OR($A104="",$B104=""),"",L104+G104-J104-K104)</f>
        <v/>
      </c>
      <c r="N104" s="31"/>
      <c r="O104" s="17" t="str">
        <f aca="false">IF(OR($A104="",$B104="",N104=""),"",N104-M104)</f>
        <v/>
      </c>
      <c r="P104" s="34"/>
    </row>
    <row r="105" customFormat="false" ht="15" hidden="false" customHeight="false" outlineLevel="0" collapsed="false">
      <c r="A105" s="20"/>
      <c r="B105" s="30"/>
      <c r="C105" s="31"/>
      <c r="D105" s="31"/>
      <c r="E105" s="31"/>
      <c r="F105" s="32"/>
      <c r="G105" s="17" t="str">
        <f aca="false">IF(OR($A105="",$B105=""),"",D105-E105)</f>
        <v/>
      </c>
      <c r="H105" s="31"/>
      <c r="I105" s="31"/>
      <c r="J105" s="17" t="str">
        <f aca="false">IF(OR($A105="",$B105=""),"",H105-I105)</f>
        <v/>
      </c>
      <c r="K105" s="17" t="str">
        <f aca="false">IF(OR($A105="",$B105=""),"",SUMIFS('THANH TOÁN'!$D$5:$D$305,'THANH TOÁN'!$A$5:$A$305,$A105,'THANH TOÁN'!$B$5:$B$305,$B105,'THANH TOÁN'!$E$5:$E$305,"Có"))</f>
        <v/>
      </c>
      <c r="L105" s="17" t="str">
        <f aca="false">IF(OR($A105="",$B105=""),"",IF(_xlfn.MAXIFS('SỔ CÔNG NỢ'!$B$5:$B$111,'SỔ CÔNG NỢ'!$A$5:$A$111,$A105,'SỔ CÔNG NỢ'!$B$5:$B$111,"&lt;"&amp;$B105)=0,C105,SUMIFS('SỔ CÔNG NỢ'!$M$5:$M$111,'SỔ CÔNG NỢ'!$A$5:$A$111,$A105,'SỔ CÔNG NỢ'!$B$5:$B$111,_xlfn.MAXIFS('SỔ CÔNG NỢ'!$B$5:$B$111,'SỔ CÔNG NỢ'!$A$5:$A$111,$A105,'SỔ CÔNG NỢ'!$B$5:$B$111,"&lt;"&amp;$B105))))</f>
        <v/>
      </c>
      <c r="M105" s="33" t="str">
        <f aca="false">IF(OR($A105="",$B105=""),"",L105+G105-J105-K105)</f>
        <v/>
      </c>
      <c r="N105" s="31"/>
      <c r="O105" s="17" t="str">
        <f aca="false">IF(OR($A105="",$B105="",N105=""),"",N105-M105)</f>
        <v/>
      </c>
      <c r="P105" s="34"/>
    </row>
    <row r="106" customFormat="false" ht="15" hidden="false" customHeight="false" outlineLevel="0" collapsed="false">
      <c r="A106" s="20"/>
      <c r="B106" s="30"/>
      <c r="C106" s="31"/>
      <c r="D106" s="31"/>
      <c r="E106" s="31"/>
      <c r="F106" s="32"/>
      <c r="G106" s="17" t="str">
        <f aca="false">IF(OR($A106="",$B106=""),"",D106-E106)</f>
        <v/>
      </c>
      <c r="H106" s="31"/>
      <c r="I106" s="31"/>
      <c r="J106" s="17" t="str">
        <f aca="false">IF(OR($A106="",$B106=""),"",H106-I106)</f>
        <v/>
      </c>
      <c r="K106" s="17" t="str">
        <f aca="false">IF(OR($A106="",$B106=""),"",SUMIFS('THANH TOÁN'!$D$5:$D$305,'THANH TOÁN'!$A$5:$A$305,$A106,'THANH TOÁN'!$B$5:$B$305,$B106,'THANH TOÁN'!$E$5:$E$305,"Có"))</f>
        <v/>
      </c>
      <c r="L106" s="17" t="str">
        <f aca="false">IF(OR($A106="",$B106=""),"",IF(_xlfn.MAXIFS('SỔ CÔNG NỢ'!$B$5:$B$111,'SỔ CÔNG NỢ'!$A$5:$A$111,$A106,'SỔ CÔNG NỢ'!$B$5:$B$111,"&lt;"&amp;$B106)=0,C106,SUMIFS('SỔ CÔNG NỢ'!$M$5:$M$111,'SỔ CÔNG NỢ'!$A$5:$A$111,$A106,'SỔ CÔNG NỢ'!$B$5:$B$111,_xlfn.MAXIFS('SỔ CÔNG NỢ'!$B$5:$B$111,'SỔ CÔNG NỢ'!$A$5:$A$111,$A106,'SỔ CÔNG NỢ'!$B$5:$B$111,"&lt;"&amp;$B106))))</f>
        <v/>
      </c>
      <c r="M106" s="33" t="str">
        <f aca="false">IF(OR($A106="",$B106=""),"",L106+G106-J106-K106)</f>
        <v/>
      </c>
      <c r="N106" s="31"/>
      <c r="O106" s="17" t="str">
        <f aca="false">IF(OR($A106="",$B106="",N106=""),"",N106-M106)</f>
        <v/>
      </c>
      <c r="P106" s="34"/>
    </row>
    <row r="107" customFormat="false" ht="15" hidden="false" customHeight="false" outlineLevel="0" collapsed="false">
      <c r="A107" s="20"/>
      <c r="B107" s="30"/>
      <c r="C107" s="31"/>
      <c r="D107" s="31"/>
      <c r="E107" s="31"/>
      <c r="F107" s="32"/>
      <c r="G107" s="17" t="str">
        <f aca="false">IF(OR($A107="",$B107=""),"",D107-E107)</f>
        <v/>
      </c>
      <c r="H107" s="31"/>
      <c r="I107" s="31"/>
      <c r="J107" s="17" t="str">
        <f aca="false">IF(OR($A107="",$B107=""),"",H107-I107)</f>
        <v/>
      </c>
      <c r="K107" s="17" t="str">
        <f aca="false">IF(OR($A107="",$B107=""),"",SUMIFS('THANH TOÁN'!$D$5:$D$305,'THANH TOÁN'!$A$5:$A$305,$A107,'THANH TOÁN'!$B$5:$B$305,$B107,'THANH TOÁN'!$E$5:$E$305,"Có"))</f>
        <v/>
      </c>
      <c r="L107" s="17" t="str">
        <f aca="false">IF(OR($A107="",$B107=""),"",IF(_xlfn.MAXIFS('SỔ CÔNG NỢ'!$B$5:$B$111,'SỔ CÔNG NỢ'!$A$5:$A$111,$A107,'SỔ CÔNG NỢ'!$B$5:$B$111,"&lt;"&amp;$B107)=0,C107,SUMIFS('SỔ CÔNG NỢ'!$M$5:$M$111,'SỔ CÔNG NỢ'!$A$5:$A$111,$A107,'SỔ CÔNG NỢ'!$B$5:$B$111,_xlfn.MAXIFS('SỔ CÔNG NỢ'!$B$5:$B$111,'SỔ CÔNG NỢ'!$A$5:$A$111,$A107,'SỔ CÔNG NỢ'!$B$5:$B$111,"&lt;"&amp;$B107))))</f>
        <v/>
      </c>
      <c r="M107" s="33" t="str">
        <f aca="false">IF(OR($A107="",$B107=""),"",L107+G107-J107-K107)</f>
        <v/>
      </c>
      <c r="N107" s="31"/>
      <c r="O107" s="17" t="str">
        <f aca="false">IF(OR($A107="",$B107="",N107=""),"",N107-M107)</f>
        <v/>
      </c>
      <c r="P107" s="34"/>
    </row>
    <row r="108" customFormat="false" ht="15" hidden="false" customHeight="false" outlineLevel="0" collapsed="false">
      <c r="A108" s="20"/>
      <c r="B108" s="30"/>
      <c r="C108" s="31"/>
      <c r="D108" s="31"/>
      <c r="E108" s="31"/>
      <c r="F108" s="32"/>
      <c r="G108" s="17" t="str">
        <f aca="false">IF(OR($A108="",$B108=""),"",D108-E108)</f>
        <v/>
      </c>
      <c r="H108" s="31"/>
      <c r="I108" s="31"/>
      <c r="J108" s="17" t="str">
        <f aca="false">IF(OR($A108="",$B108=""),"",H108-I108)</f>
        <v/>
      </c>
      <c r="K108" s="17" t="str">
        <f aca="false">IF(OR($A108="",$B108=""),"",SUMIFS('THANH TOÁN'!$D$5:$D$305,'THANH TOÁN'!$A$5:$A$305,$A108,'THANH TOÁN'!$B$5:$B$305,$B108,'THANH TOÁN'!$E$5:$E$305,"Có"))</f>
        <v/>
      </c>
      <c r="L108" s="17" t="str">
        <f aca="false">IF(OR($A108="",$B108=""),"",IF(_xlfn.MAXIFS('SỔ CÔNG NỢ'!$B$5:$B$111,'SỔ CÔNG NỢ'!$A$5:$A$111,$A108,'SỔ CÔNG NỢ'!$B$5:$B$111,"&lt;"&amp;$B108)=0,C108,SUMIFS('SỔ CÔNG NỢ'!$M$5:$M$111,'SỔ CÔNG NỢ'!$A$5:$A$111,$A108,'SỔ CÔNG NỢ'!$B$5:$B$111,_xlfn.MAXIFS('SỔ CÔNG NỢ'!$B$5:$B$111,'SỔ CÔNG NỢ'!$A$5:$A$111,$A108,'SỔ CÔNG NỢ'!$B$5:$B$111,"&lt;"&amp;$B108))))</f>
        <v/>
      </c>
      <c r="M108" s="33" t="str">
        <f aca="false">IF(OR($A108="",$B108=""),"",L108+G108-J108-K108)</f>
        <v/>
      </c>
      <c r="N108" s="31"/>
      <c r="O108" s="17" t="str">
        <f aca="false">IF(OR($A108="",$B108="",N108=""),"",N108-M108)</f>
        <v/>
      </c>
      <c r="P108" s="34"/>
    </row>
    <row r="109" customFormat="false" ht="15" hidden="false" customHeight="false" outlineLevel="0" collapsed="false">
      <c r="A109" s="20"/>
      <c r="B109" s="30"/>
      <c r="C109" s="31"/>
      <c r="D109" s="31"/>
      <c r="E109" s="31"/>
      <c r="F109" s="32"/>
      <c r="G109" s="17" t="str">
        <f aca="false">IF(OR($A109="",$B109=""),"",D109-E109)</f>
        <v/>
      </c>
      <c r="H109" s="31"/>
      <c r="I109" s="31"/>
      <c r="J109" s="17" t="str">
        <f aca="false">IF(OR($A109="",$B109=""),"",H109-I109)</f>
        <v/>
      </c>
      <c r="K109" s="17" t="str">
        <f aca="false">IF(OR($A109="",$B109=""),"",SUMIFS('THANH TOÁN'!$D$5:$D$305,'THANH TOÁN'!$A$5:$A$305,$A109,'THANH TOÁN'!$B$5:$B$305,$B109,'THANH TOÁN'!$E$5:$E$305,"Có"))</f>
        <v/>
      </c>
      <c r="L109" s="17" t="str">
        <f aca="false">IF(OR($A109="",$B109=""),"",IF(_xlfn.MAXIFS('SỔ CÔNG NỢ'!$B$5:$B$111,'SỔ CÔNG NỢ'!$A$5:$A$111,$A109,'SỔ CÔNG NỢ'!$B$5:$B$111,"&lt;"&amp;$B109)=0,C109,SUMIFS('SỔ CÔNG NỢ'!$M$5:$M$111,'SỔ CÔNG NỢ'!$A$5:$A$111,$A109,'SỔ CÔNG NỢ'!$B$5:$B$111,_xlfn.MAXIFS('SỔ CÔNG NỢ'!$B$5:$B$111,'SỔ CÔNG NỢ'!$A$5:$A$111,$A109,'SỔ CÔNG NỢ'!$B$5:$B$111,"&lt;"&amp;$B109))))</f>
        <v/>
      </c>
      <c r="M109" s="33" t="str">
        <f aca="false">IF(OR($A109="",$B109=""),"",L109+G109-J109-K109)</f>
        <v/>
      </c>
      <c r="N109" s="31"/>
      <c r="O109" s="17" t="str">
        <f aca="false">IF(OR($A109="",$B109="",N109=""),"",N109-M109)</f>
        <v/>
      </c>
      <c r="P109" s="34"/>
    </row>
    <row r="110" customFormat="false" ht="15" hidden="false" customHeight="false" outlineLevel="0" collapsed="false">
      <c r="A110" s="20"/>
      <c r="B110" s="30"/>
      <c r="C110" s="31"/>
      <c r="D110" s="31"/>
      <c r="E110" s="31"/>
      <c r="F110" s="32"/>
      <c r="G110" s="17" t="str">
        <f aca="false">IF(OR($A110="",$B110=""),"",D110-E110)</f>
        <v/>
      </c>
      <c r="H110" s="31"/>
      <c r="I110" s="31"/>
      <c r="J110" s="17" t="str">
        <f aca="false">IF(OR($A110="",$B110=""),"",H110-I110)</f>
        <v/>
      </c>
      <c r="K110" s="17" t="str">
        <f aca="false">IF(OR($A110="",$B110=""),"",SUMIFS('THANH TOÁN'!$D$5:$D$305,'THANH TOÁN'!$A$5:$A$305,$A110,'THANH TOÁN'!$B$5:$B$305,$B110,'THANH TOÁN'!$E$5:$E$305,"Có"))</f>
        <v/>
      </c>
      <c r="L110" s="17" t="str">
        <f aca="false">IF(OR($A110="",$B110=""),"",IF(_xlfn.MAXIFS('SỔ CÔNG NỢ'!$B$5:$B$111,'SỔ CÔNG NỢ'!$A$5:$A$111,$A110,'SỔ CÔNG NỢ'!$B$5:$B$111,"&lt;"&amp;$B110)=0,C110,SUMIFS('SỔ CÔNG NỢ'!$M$5:$M$111,'SỔ CÔNG NỢ'!$A$5:$A$111,$A110,'SỔ CÔNG NỢ'!$B$5:$B$111,_xlfn.MAXIFS('SỔ CÔNG NỢ'!$B$5:$B$111,'SỔ CÔNG NỢ'!$A$5:$A$111,$A110,'SỔ CÔNG NỢ'!$B$5:$B$111,"&lt;"&amp;$B110))))</f>
        <v/>
      </c>
      <c r="M110" s="33" t="str">
        <f aca="false">IF(OR($A110="",$B110=""),"",L110+G110-J110-K110)</f>
        <v/>
      </c>
      <c r="N110" s="31"/>
      <c r="O110" s="17" t="str">
        <f aca="false">IF(OR($A110="",$B110="",N110=""),"",N110-M110)</f>
        <v/>
      </c>
      <c r="P110" s="34"/>
    </row>
    <row r="111" customFormat="false" ht="15" hidden="false" customHeight="false" outlineLevel="0" collapsed="false">
      <c r="A111" s="20"/>
      <c r="B111" s="30"/>
      <c r="C111" s="31"/>
      <c r="D111" s="31"/>
      <c r="E111" s="31"/>
      <c r="F111" s="32"/>
      <c r="G111" s="17" t="str">
        <f aca="false">IF(OR($A111="",$B111=""),"",D111-E111)</f>
        <v/>
      </c>
      <c r="H111" s="31"/>
      <c r="I111" s="31"/>
      <c r="J111" s="17" t="str">
        <f aca="false">IF(OR($A111="",$B111=""),"",H111-I111)</f>
        <v/>
      </c>
      <c r="K111" s="17" t="str">
        <f aca="false">IF(OR($A111="",$B111=""),"",SUMIFS('THANH TOÁN'!$D$5:$D$305,'THANH TOÁN'!$A$5:$A$305,$A111,'THANH TOÁN'!$B$5:$B$305,$B111,'THANH TOÁN'!$E$5:$E$305,"Có"))</f>
        <v/>
      </c>
      <c r="L111" s="17" t="str">
        <f aca="false">IF(OR($A111="",$B111=""),"",IF(_xlfn.MAXIFS('SỔ CÔNG NỢ'!$B$5:$B$111,'SỔ CÔNG NỢ'!$A$5:$A$111,$A111,'SỔ CÔNG NỢ'!$B$5:$B$111,"&lt;"&amp;$B111)=0,C111,SUMIFS('SỔ CÔNG NỢ'!$M$5:$M$111,'SỔ CÔNG NỢ'!$A$5:$A$111,$A111,'SỔ CÔNG NỢ'!$B$5:$B$111,_xlfn.MAXIFS('SỔ CÔNG NỢ'!$B$5:$B$111,'SỔ CÔNG NỢ'!$A$5:$A$111,$A111,'SỔ CÔNG NỢ'!$B$5:$B$111,"&lt;"&amp;$B111))))</f>
        <v/>
      </c>
      <c r="M111" s="33" t="str">
        <f aca="false">IF(OR($A111="",$B111=""),"",L111+G111-J111-K111)</f>
        <v/>
      </c>
      <c r="N111" s="31"/>
      <c r="O111" s="17" t="str">
        <f aca="false">IF(OR($A111="",$B111="",N111=""),"",N111-M111)</f>
        <v/>
      </c>
      <c r="P111" s="34"/>
    </row>
  </sheetData>
  <conditionalFormatting sqref="O5:O111">
    <cfRule type="expression" priority="2" aboveAverage="0" equalAverage="0" bottom="0" percent="0" rank="0" text="" dxfId="0">
      <formula>AND(ISNUMBER(O5),ABS(O5)&gt;1)</formula>
    </cfRule>
  </conditionalFormatting>
  <conditionalFormatting sqref="L5:L111">
    <cfRule type="expression" priority="3" aboveAverage="0" equalAverage="0" bottom="0" percent="0" rank="0" text="" dxfId="3">
      <formula>AND(ISNUMBER(L5),ISNUMBER(C5),ABS(L5-C5)&gt;1)</formula>
    </cfRule>
  </conditionalFormatting>
  <dataValidations count="1">
    <dataValidation allowBlank="true" errorStyle="stop" operator="between" showDropDown="false" showErrorMessage="false" showInputMessage="false" sqref="A5:A111" type="list">
      <formula1>'TỔNG HỢP'!$B$9:$B$38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7.5" hidden="false" customHeight="true" outlineLevel="0" collapsed="false">
      <c r="A4" s="12" t="s">
        <v>50</v>
      </c>
      <c r="B4" s="12" t="s">
        <v>81</v>
      </c>
      <c r="C4" s="12" t="s">
        <v>82</v>
      </c>
      <c r="D4" s="12" t="s">
        <v>83</v>
      </c>
      <c r="E4" s="12" t="s">
        <v>84</v>
      </c>
      <c r="F4" s="12" t="s">
        <v>85</v>
      </c>
    </row>
    <row r="5" customFormat="false" ht="15" hidden="false" customHeight="false" outlineLevel="0" collapsed="false">
      <c r="A5" s="26" t="s">
        <v>37</v>
      </c>
      <c r="B5" s="35" t="n">
        <v>46174</v>
      </c>
      <c r="C5" s="36" t="n">
        <v>46203</v>
      </c>
      <c r="D5" s="27" t="n">
        <v>979440</v>
      </c>
      <c r="E5" s="26" t="s">
        <v>86</v>
      </c>
      <c r="F5" s="26" t="s">
        <v>87</v>
      </c>
    </row>
    <row r="6" customFormat="false" ht="15" hidden="false" customHeight="false" outlineLevel="0" collapsed="false">
      <c r="A6" s="26" t="s">
        <v>32</v>
      </c>
      <c r="B6" s="35" t="n">
        <v>46174</v>
      </c>
      <c r="C6" s="36" t="n">
        <v>46203</v>
      </c>
      <c r="D6" s="27" t="n">
        <v>6400000</v>
      </c>
      <c r="E6" s="26" t="s">
        <v>86</v>
      </c>
      <c r="F6" s="26" t="s">
        <v>87</v>
      </c>
    </row>
    <row r="7" customFormat="false" ht="15" hidden="false" customHeight="false" outlineLevel="0" collapsed="false">
      <c r="A7" s="26" t="s">
        <v>38</v>
      </c>
      <c r="B7" s="35" t="n">
        <v>46174</v>
      </c>
      <c r="C7" s="36" t="n">
        <v>46233</v>
      </c>
      <c r="D7" s="27" t="n">
        <v>-1450000</v>
      </c>
      <c r="E7" s="26" t="s">
        <v>86</v>
      </c>
      <c r="F7" s="26" t="s">
        <v>88</v>
      </c>
    </row>
    <row r="8" customFormat="false" ht="15" hidden="false" customHeight="false" outlineLevel="0" collapsed="false">
      <c r="A8" s="26" t="s">
        <v>39</v>
      </c>
      <c r="B8" s="35" t="n">
        <v>46204</v>
      </c>
      <c r="C8" s="36" t="n">
        <v>46232</v>
      </c>
      <c r="D8" s="27" t="n">
        <v>28600000</v>
      </c>
      <c r="E8" s="26" t="s">
        <v>86</v>
      </c>
      <c r="F8" s="26" t="s">
        <v>89</v>
      </c>
    </row>
    <row r="9" customFormat="false" ht="15" hidden="false" customHeight="false" outlineLevel="0" collapsed="false">
      <c r="A9" s="26" t="s">
        <v>25</v>
      </c>
      <c r="B9" s="35" t="n">
        <v>46235</v>
      </c>
      <c r="C9" s="36" t="n">
        <v>46259</v>
      </c>
      <c r="D9" s="27" t="n">
        <v>30000000</v>
      </c>
      <c r="E9" s="26" t="s">
        <v>86</v>
      </c>
      <c r="F9" s="26" t="s">
        <v>90</v>
      </c>
    </row>
    <row r="10" customFormat="false" ht="15" hidden="false" customHeight="false" outlineLevel="0" collapsed="false">
      <c r="A10" s="26" t="s">
        <v>34</v>
      </c>
      <c r="B10" s="35" t="n">
        <v>46204</v>
      </c>
      <c r="C10" s="36" t="n">
        <v>46233</v>
      </c>
      <c r="D10" s="27" t="n">
        <v>30060000</v>
      </c>
      <c r="E10" s="26" t="s">
        <v>86</v>
      </c>
      <c r="F10" s="26" t="s">
        <v>91</v>
      </c>
    </row>
    <row r="11" customFormat="false" ht="15" hidden="false" customHeight="false" outlineLevel="0" collapsed="false">
      <c r="A11" s="26" t="s">
        <v>23</v>
      </c>
      <c r="B11" s="35" t="n">
        <v>46204</v>
      </c>
      <c r="C11" s="36" t="n">
        <v>46211</v>
      </c>
      <c r="D11" s="27" t="n">
        <v>9190000</v>
      </c>
      <c r="E11" s="26" t="s">
        <v>86</v>
      </c>
      <c r="F11" s="26" t="s">
        <v>92</v>
      </c>
    </row>
    <row r="12" customFormat="false" ht="15" hidden="false" customHeight="false" outlineLevel="0" collapsed="false">
      <c r="A12" s="26" t="s">
        <v>23</v>
      </c>
      <c r="B12" s="35" t="n">
        <v>46204</v>
      </c>
      <c r="C12" s="36" t="n">
        <v>46233</v>
      </c>
      <c r="D12" s="27" t="n">
        <v>6100000</v>
      </c>
      <c r="E12" s="26" t="s">
        <v>86</v>
      </c>
      <c r="F12" s="26" t="s">
        <v>91</v>
      </c>
    </row>
    <row r="13" customFormat="false" ht="15" hidden="false" customHeight="false" outlineLevel="0" collapsed="false">
      <c r="A13" s="26" t="s">
        <v>23</v>
      </c>
      <c r="B13" s="35" t="n">
        <v>46235</v>
      </c>
      <c r="C13" s="36" t="n">
        <v>46260</v>
      </c>
      <c r="D13" s="27" t="n">
        <v>33240000</v>
      </c>
      <c r="E13" s="26" t="s">
        <v>86</v>
      </c>
      <c r="F13" s="26" t="s">
        <v>93</v>
      </c>
    </row>
    <row r="14" customFormat="false" ht="15" hidden="false" customHeight="false" outlineLevel="0" collapsed="false">
      <c r="A14" s="26" t="s">
        <v>36</v>
      </c>
      <c r="B14" s="35" t="n">
        <v>46174</v>
      </c>
      <c r="C14" s="36" t="n">
        <v>46187</v>
      </c>
      <c r="D14" s="27" t="n">
        <v>750000</v>
      </c>
      <c r="E14" s="26" t="s">
        <v>86</v>
      </c>
      <c r="F14" s="26" t="s">
        <v>94</v>
      </c>
    </row>
    <row r="15" customFormat="false" ht="15" hidden="false" customHeight="false" outlineLevel="0" collapsed="false">
      <c r="A15" s="26" t="s">
        <v>36</v>
      </c>
      <c r="B15" s="35" t="n">
        <v>46174</v>
      </c>
      <c r="C15" s="36" t="n">
        <v>46194</v>
      </c>
      <c r="D15" s="27" t="n">
        <v>750000</v>
      </c>
      <c r="E15" s="26" t="s">
        <v>86</v>
      </c>
      <c r="F15" s="26" t="s">
        <v>95</v>
      </c>
    </row>
    <row r="16" customFormat="false" ht="15" hidden="false" customHeight="false" outlineLevel="0" collapsed="false">
      <c r="A16" s="26" t="s">
        <v>22</v>
      </c>
      <c r="B16" s="35" t="n">
        <v>46174</v>
      </c>
      <c r="C16" s="36" t="n">
        <v>46190</v>
      </c>
      <c r="D16" s="27" t="n">
        <v>28000000</v>
      </c>
      <c r="E16" s="26" t="s">
        <v>86</v>
      </c>
      <c r="F16" s="26" t="s">
        <v>96</v>
      </c>
    </row>
    <row r="17" customFormat="false" ht="15" hidden="false" customHeight="false" outlineLevel="0" collapsed="false">
      <c r="A17" s="26" t="s">
        <v>40</v>
      </c>
      <c r="B17" s="35" t="n">
        <v>46174</v>
      </c>
      <c r="C17" s="36" t="n">
        <v>46196</v>
      </c>
      <c r="D17" s="27" t="n">
        <v>17100000</v>
      </c>
      <c r="E17" s="26" t="s">
        <v>86</v>
      </c>
      <c r="F17" s="26" t="s">
        <v>97</v>
      </c>
    </row>
    <row r="18" customFormat="false" ht="15" hidden="false" customHeight="false" outlineLevel="0" collapsed="false">
      <c r="A18" s="37" t="s">
        <v>40</v>
      </c>
      <c r="B18" s="38" t="n">
        <v>46204</v>
      </c>
      <c r="C18" s="39" t="n">
        <v>46196</v>
      </c>
      <c r="D18" s="40" t="n">
        <v>17100000</v>
      </c>
      <c r="E18" s="37" t="s">
        <v>98</v>
      </c>
      <c r="F18" s="37" t="s">
        <v>99</v>
      </c>
    </row>
    <row r="19" customFormat="false" ht="15" hidden="false" customHeight="false" outlineLevel="0" collapsed="false">
      <c r="A19" s="26" t="s">
        <v>40</v>
      </c>
      <c r="B19" s="35" t="n">
        <v>46235</v>
      </c>
      <c r="C19" s="36" t="n">
        <v>46252</v>
      </c>
      <c r="D19" s="27" t="n">
        <v>19000000</v>
      </c>
      <c r="E19" s="26" t="s">
        <v>86</v>
      </c>
      <c r="F19" s="26" t="s">
        <v>100</v>
      </c>
    </row>
    <row r="20" customFormat="false" ht="15" hidden="false" customHeight="false" outlineLevel="0" collapsed="false">
      <c r="A20" s="37" t="s">
        <v>40</v>
      </c>
      <c r="B20" s="38" t="n">
        <v>46266</v>
      </c>
      <c r="C20" s="39" t="n">
        <v>46252</v>
      </c>
      <c r="D20" s="40" t="n">
        <v>19000000</v>
      </c>
      <c r="E20" s="37" t="s">
        <v>98</v>
      </c>
      <c r="F20" s="37" t="s">
        <v>101</v>
      </c>
    </row>
    <row r="21" customFormat="false" ht="15" hidden="false" customHeight="false" outlineLevel="0" collapsed="false">
      <c r="A21" s="26" t="s">
        <v>26</v>
      </c>
      <c r="B21" s="35" t="n">
        <v>46174</v>
      </c>
      <c r="C21" s="36" t="n">
        <v>46201</v>
      </c>
      <c r="D21" s="27" t="n">
        <v>9500000</v>
      </c>
      <c r="E21" s="26" t="s">
        <v>86</v>
      </c>
      <c r="F21" s="26" t="s">
        <v>102</v>
      </c>
    </row>
    <row r="22" customFormat="false" ht="15" hidden="false" customHeight="false" outlineLevel="0" collapsed="false">
      <c r="A22" s="26" t="s">
        <v>26</v>
      </c>
      <c r="B22" s="35" t="n">
        <v>46204</v>
      </c>
      <c r="C22" s="36" t="n">
        <v>46204</v>
      </c>
      <c r="D22" s="27" t="n">
        <v>12300000</v>
      </c>
      <c r="E22" s="26" t="s">
        <v>86</v>
      </c>
      <c r="F22" s="26" t="s">
        <v>103</v>
      </c>
    </row>
    <row r="23" customFormat="false" ht="15" hidden="false" customHeight="false" outlineLevel="0" collapsed="false">
      <c r="A23" s="26" t="s">
        <v>26</v>
      </c>
      <c r="B23" s="35" t="n">
        <v>46204</v>
      </c>
      <c r="C23" s="36" t="n">
        <v>46233</v>
      </c>
      <c r="D23" s="27" t="n">
        <v>32000000</v>
      </c>
      <c r="E23" s="26" t="s">
        <v>86</v>
      </c>
      <c r="F23" s="26" t="s">
        <v>104</v>
      </c>
    </row>
    <row r="24" customFormat="false" ht="15" hidden="false" customHeight="false" outlineLevel="0" collapsed="false">
      <c r="A24" s="26" t="s">
        <v>20</v>
      </c>
      <c r="B24" s="35" t="n">
        <v>46204</v>
      </c>
      <c r="C24" s="36" t="n">
        <v>46226</v>
      </c>
      <c r="D24" s="27" t="n">
        <v>50000000</v>
      </c>
      <c r="E24" s="26" t="s">
        <v>86</v>
      </c>
      <c r="F24" s="26" t="s">
        <v>105</v>
      </c>
    </row>
    <row r="25" customFormat="false" ht="15" hidden="false" customHeight="false" outlineLevel="0" collapsed="false">
      <c r="A25" s="26" t="s">
        <v>20</v>
      </c>
      <c r="B25" s="35" t="n">
        <v>46266</v>
      </c>
      <c r="C25" s="36" t="n">
        <v>46271</v>
      </c>
      <c r="D25" s="27" t="n">
        <v>5200000</v>
      </c>
      <c r="E25" s="26" t="s">
        <v>86</v>
      </c>
      <c r="F25" s="26" t="s">
        <v>106</v>
      </c>
    </row>
    <row r="26" customFormat="false" ht="15" hidden="false" customHeight="false" outlineLevel="0" collapsed="false">
      <c r="A26" s="26" t="s">
        <v>20</v>
      </c>
      <c r="B26" s="35" t="n">
        <v>46266</v>
      </c>
      <c r="C26" s="36" t="n">
        <v>46274</v>
      </c>
      <c r="D26" s="27" t="n">
        <v>10000000</v>
      </c>
      <c r="E26" s="26" t="s">
        <v>86</v>
      </c>
      <c r="F26" s="26" t="s">
        <v>107</v>
      </c>
    </row>
    <row r="27" customFormat="false" ht="15" hidden="false" customHeight="false" outlineLevel="0" collapsed="false">
      <c r="A27" s="26" t="s">
        <v>20</v>
      </c>
      <c r="B27" s="35" t="n">
        <v>46266</v>
      </c>
      <c r="C27" s="36" t="n">
        <v>46280</v>
      </c>
      <c r="D27" s="27" t="n">
        <v>7110000</v>
      </c>
      <c r="E27" s="26" t="s">
        <v>86</v>
      </c>
      <c r="F27" s="26" t="s">
        <v>108</v>
      </c>
    </row>
    <row r="28" customFormat="false" ht="15" hidden="false" customHeight="false" outlineLevel="0" collapsed="false">
      <c r="A28" s="26" t="s">
        <v>20</v>
      </c>
      <c r="B28" s="35" t="n">
        <v>46266</v>
      </c>
      <c r="C28" s="36" t="n">
        <v>46285</v>
      </c>
      <c r="D28" s="27" t="n">
        <v>6250000</v>
      </c>
      <c r="E28" s="26" t="s">
        <v>86</v>
      </c>
      <c r="F28" s="26" t="s">
        <v>109</v>
      </c>
    </row>
    <row r="29" customFormat="false" ht="15" hidden="false" customHeight="false" outlineLevel="0" collapsed="false">
      <c r="A29" s="26" t="s">
        <v>20</v>
      </c>
      <c r="B29" s="35" t="n">
        <v>46266</v>
      </c>
      <c r="C29" s="36" t="n">
        <v>46288</v>
      </c>
      <c r="D29" s="27" t="n">
        <v>30375000</v>
      </c>
      <c r="E29" s="26" t="s">
        <v>86</v>
      </c>
      <c r="F29" s="26" t="s">
        <v>110</v>
      </c>
    </row>
    <row r="30" customFormat="false" ht="15" hidden="false" customHeight="false" outlineLevel="0" collapsed="false">
      <c r="A30" s="26" t="s">
        <v>41</v>
      </c>
      <c r="B30" s="35" t="n">
        <v>46174</v>
      </c>
      <c r="C30" s="36" t="n">
        <v>46201</v>
      </c>
      <c r="D30" s="27" t="n">
        <v>10000000</v>
      </c>
      <c r="E30" s="26" t="s">
        <v>86</v>
      </c>
      <c r="F30" s="26" t="s">
        <v>111</v>
      </c>
    </row>
    <row r="31" customFormat="false" ht="15" hidden="false" customHeight="false" outlineLevel="0" collapsed="false">
      <c r="A31" s="26" t="s">
        <v>35</v>
      </c>
      <c r="B31" s="35" t="n">
        <v>46174</v>
      </c>
      <c r="C31" s="36" t="n">
        <v>46203</v>
      </c>
      <c r="D31" s="27" t="n">
        <v>979440</v>
      </c>
      <c r="E31" s="26" t="s">
        <v>86</v>
      </c>
      <c r="F31" s="26" t="s">
        <v>87</v>
      </c>
    </row>
    <row r="32" customFormat="false" ht="15" hidden="false" customHeight="false" outlineLevel="0" collapsed="false">
      <c r="A32" s="26"/>
      <c r="B32" s="35"/>
      <c r="C32" s="36"/>
      <c r="D32" s="27"/>
      <c r="E32" s="26"/>
      <c r="F32" s="26"/>
    </row>
    <row r="33" customFormat="false" ht="15" hidden="false" customHeight="false" outlineLevel="0" collapsed="false">
      <c r="A33" s="26"/>
      <c r="B33" s="35"/>
      <c r="C33" s="36"/>
      <c r="D33" s="27"/>
      <c r="E33" s="26"/>
      <c r="F33" s="26"/>
    </row>
    <row r="34" customFormat="false" ht="15" hidden="false" customHeight="false" outlineLevel="0" collapsed="false">
      <c r="A34" s="26"/>
      <c r="B34" s="35"/>
      <c r="C34" s="36"/>
      <c r="D34" s="27"/>
      <c r="E34" s="26"/>
      <c r="F34" s="26"/>
    </row>
    <row r="35" customFormat="false" ht="15" hidden="false" customHeight="false" outlineLevel="0" collapsed="false">
      <c r="A35" s="26"/>
      <c r="B35" s="35"/>
      <c r="C35" s="36"/>
      <c r="D35" s="27"/>
      <c r="E35" s="26"/>
      <c r="F35" s="26"/>
    </row>
    <row r="36" customFormat="false" ht="15" hidden="false" customHeight="false" outlineLevel="0" collapsed="false">
      <c r="A36" s="26"/>
      <c r="B36" s="35"/>
      <c r="C36" s="36"/>
      <c r="D36" s="27"/>
      <c r="E36" s="26"/>
      <c r="F36" s="26"/>
    </row>
    <row r="37" customFormat="false" ht="15" hidden="false" customHeight="false" outlineLevel="0" collapsed="false">
      <c r="A37" s="26"/>
      <c r="B37" s="35"/>
      <c r="C37" s="36"/>
      <c r="D37" s="27"/>
      <c r="E37" s="26"/>
      <c r="F37" s="26"/>
    </row>
    <row r="38" customFormat="false" ht="15" hidden="false" customHeight="false" outlineLevel="0" collapsed="false">
      <c r="A38" s="26"/>
      <c r="B38" s="35"/>
      <c r="C38" s="36"/>
      <c r="D38" s="27"/>
      <c r="E38" s="26"/>
      <c r="F38" s="26"/>
    </row>
    <row r="39" customFormat="false" ht="15" hidden="false" customHeight="false" outlineLevel="0" collapsed="false">
      <c r="A39" s="26"/>
      <c r="B39" s="35"/>
      <c r="C39" s="36"/>
      <c r="D39" s="27"/>
      <c r="E39" s="26"/>
      <c r="F39" s="26"/>
    </row>
    <row r="40" customFormat="false" ht="15" hidden="false" customHeight="false" outlineLevel="0" collapsed="false">
      <c r="A40" s="26"/>
      <c r="B40" s="35"/>
      <c r="C40" s="36"/>
      <c r="D40" s="27"/>
      <c r="E40" s="26"/>
      <c r="F40" s="26"/>
    </row>
    <row r="41" customFormat="false" ht="15" hidden="false" customHeight="false" outlineLevel="0" collapsed="false">
      <c r="A41" s="26"/>
      <c r="B41" s="35"/>
      <c r="C41" s="36"/>
      <c r="D41" s="27"/>
      <c r="E41" s="26"/>
      <c r="F41" s="26"/>
    </row>
    <row r="42" customFormat="false" ht="15" hidden="false" customHeight="false" outlineLevel="0" collapsed="false">
      <c r="A42" s="26"/>
      <c r="B42" s="35"/>
      <c r="C42" s="36"/>
      <c r="D42" s="27"/>
      <c r="E42" s="26"/>
      <c r="F42" s="26"/>
    </row>
    <row r="43" customFormat="false" ht="15" hidden="false" customHeight="false" outlineLevel="0" collapsed="false">
      <c r="A43" s="26"/>
      <c r="B43" s="35"/>
      <c r="C43" s="36"/>
      <c r="D43" s="27"/>
      <c r="E43" s="26"/>
      <c r="F43" s="26"/>
    </row>
    <row r="44" customFormat="false" ht="15" hidden="false" customHeight="false" outlineLevel="0" collapsed="false">
      <c r="A44" s="26"/>
      <c r="B44" s="35"/>
      <c r="C44" s="36"/>
      <c r="D44" s="27"/>
      <c r="E44" s="26"/>
      <c r="F44" s="26"/>
    </row>
    <row r="45" customFormat="false" ht="15" hidden="false" customHeight="false" outlineLevel="0" collapsed="false">
      <c r="A45" s="26"/>
      <c r="B45" s="35"/>
      <c r="C45" s="36"/>
      <c r="D45" s="27"/>
      <c r="E45" s="26"/>
      <c r="F45" s="26"/>
    </row>
    <row r="46" customFormat="false" ht="15" hidden="false" customHeight="false" outlineLevel="0" collapsed="false">
      <c r="A46" s="26"/>
      <c r="B46" s="35"/>
      <c r="C46" s="36"/>
      <c r="D46" s="27"/>
      <c r="E46" s="26"/>
      <c r="F46" s="26"/>
    </row>
    <row r="47" customFormat="false" ht="15" hidden="false" customHeight="false" outlineLevel="0" collapsed="false">
      <c r="A47" s="26"/>
      <c r="B47" s="35"/>
      <c r="C47" s="36"/>
      <c r="D47" s="27"/>
      <c r="E47" s="26"/>
      <c r="F47" s="26"/>
    </row>
    <row r="48" customFormat="false" ht="15" hidden="false" customHeight="false" outlineLevel="0" collapsed="false">
      <c r="A48" s="26"/>
      <c r="B48" s="35"/>
      <c r="C48" s="36"/>
      <c r="D48" s="27"/>
      <c r="E48" s="26"/>
      <c r="F48" s="26"/>
    </row>
    <row r="49" customFormat="false" ht="15" hidden="false" customHeight="false" outlineLevel="0" collapsed="false">
      <c r="A49" s="26"/>
      <c r="B49" s="35"/>
      <c r="C49" s="36"/>
      <c r="D49" s="27"/>
      <c r="E49" s="26"/>
      <c r="F49" s="26"/>
    </row>
    <row r="50" customFormat="false" ht="15" hidden="false" customHeight="false" outlineLevel="0" collapsed="false">
      <c r="A50" s="26"/>
      <c r="B50" s="35"/>
      <c r="C50" s="36"/>
      <c r="D50" s="27"/>
      <c r="E50" s="26"/>
      <c r="F50" s="26"/>
    </row>
    <row r="51" customFormat="false" ht="15" hidden="false" customHeight="false" outlineLevel="0" collapsed="false">
      <c r="A51" s="26"/>
      <c r="B51" s="35"/>
      <c r="C51" s="36"/>
      <c r="D51" s="27"/>
      <c r="E51" s="26"/>
      <c r="F51" s="26"/>
    </row>
    <row r="52" customFormat="false" ht="15" hidden="false" customHeight="false" outlineLevel="0" collapsed="false">
      <c r="A52" s="26"/>
      <c r="B52" s="35"/>
      <c r="C52" s="36"/>
      <c r="D52" s="27"/>
      <c r="E52" s="26"/>
      <c r="F52" s="26"/>
    </row>
    <row r="53" customFormat="false" ht="15" hidden="false" customHeight="false" outlineLevel="0" collapsed="false">
      <c r="A53" s="26"/>
      <c r="B53" s="35"/>
      <c r="C53" s="36"/>
      <c r="D53" s="27"/>
      <c r="E53" s="26"/>
      <c r="F53" s="26"/>
    </row>
    <row r="54" customFormat="false" ht="15" hidden="false" customHeight="false" outlineLevel="0" collapsed="false">
      <c r="A54" s="26"/>
      <c r="B54" s="35"/>
      <c r="C54" s="36"/>
      <c r="D54" s="27"/>
      <c r="E54" s="26"/>
      <c r="F54" s="26"/>
    </row>
    <row r="55" customFormat="false" ht="15" hidden="false" customHeight="false" outlineLevel="0" collapsed="false">
      <c r="A55" s="26"/>
      <c r="B55" s="35"/>
      <c r="C55" s="36"/>
      <c r="D55" s="27"/>
      <c r="E55" s="26"/>
      <c r="F55" s="26"/>
    </row>
    <row r="56" customFormat="false" ht="15" hidden="false" customHeight="false" outlineLevel="0" collapsed="false">
      <c r="A56" s="26"/>
      <c r="B56" s="35"/>
      <c r="C56" s="36"/>
      <c r="D56" s="27"/>
      <c r="E56" s="26"/>
      <c r="F56" s="26"/>
    </row>
    <row r="57" customFormat="false" ht="15" hidden="false" customHeight="false" outlineLevel="0" collapsed="false">
      <c r="A57" s="26"/>
      <c r="B57" s="35"/>
      <c r="C57" s="36"/>
      <c r="D57" s="27"/>
      <c r="E57" s="26"/>
      <c r="F57" s="26"/>
    </row>
    <row r="58" customFormat="false" ht="15" hidden="false" customHeight="false" outlineLevel="0" collapsed="false">
      <c r="A58" s="26"/>
      <c r="B58" s="35"/>
      <c r="C58" s="36"/>
      <c r="D58" s="27"/>
      <c r="E58" s="26"/>
      <c r="F58" s="26"/>
    </row>
    <row r="59" customFormat="false" ht="15" hidden="false" customHeight="false" outlineLevel="0" collapsed="false">
      <c r="A59" s="26"/>
      <c r="B59" s="35"/>
      <c r="C59" s="36"/>
      <c r="D59" s="27"/>
      <c r="E59" s="26"/>
      <c r="F59" s="26"/>
    </row>
    <row r="60" customFormat="false" ht="15" hidden="false" customHeight="false" outlineLevel="0" collapsed="false">
      <c r="A60" s="26"/>
      <c r="B60" s="35"/>
      <c r="C60" s="36"/>
      <c r="D60" s="27"/>
      <c r="E60" s="26"/>
      <c r="F60" s="26"/>
    </row>
    <row r="61" customFormat="false" ht="15" hidden="false" customHeight="false" outlineLevel="0" collapsed="false">
      <c r="A61" s="26"/>
      <c r="B61" s="35"/>
      <c r="C61" s="36"/>
      <c r="D61" s="27"/>
      <c r="E61" s="26"/>
      <c r="F61" s="26"/>
    </row>
    <row r="62" customFormat="false" ht="15" hidden="false" customHeight="false" outlineLevel="0" collapsed="false">
      <c r="A62" s="26"/>
      <c r="B62" s="35"/>
      <c r="C62" s="36"/>
      <c r="D62" s="27"/>
      <c r="E62" s="26"/>
      <c r="F62" s="26"/>
    </row>
    <row r="63" customFormat="false" ht="15" hidden="false" customHeight="false" outlineLevel="0" collapsed="false">
      <c r="A63" s="26"/>
      <c r="B63" s="35"/>
      <c r="C63" s="36"/>
      <c r="D63" s="27"/>
      <c r="E63" s="26"/>
      <c r="F63" s="26"/>
    </row>
    <row r="64" customFormat="false" ht="15" hidden="false" customHeight="false" outlineLevel="0" collapsed="false">
      <c r="A64" s="26"/>
      <c r="B64" s="35"/>
      <c r="C64" s="36"/>
      <c r="D64" s="27"/>
      <c r="E64" s="26"/>
      <c r="F64" s="26"/>
    </row>
    <row r="65" customFormat="false" ht="15" hidden="false" customHeight="false" outlineLevel="0" collapsed="false">
      <c r="A65" s="26"/>
      <c r="B65" s="35"/>
      <c r="C65" s="36"/>
      <c r="D65" s="27"/>
      <c r="E65" s="26"/>
      <c r="F65" s="26"/>
    </row>
    <row r="66" customFormat="false" ht="15" hidden="false" customHeight="false" outlineLevel="0" collapsed="false">
      <c r="A66" s="26"/>
      <c r="B66" s="35"/>
      <c r="C66" s="36"/>
      <c r="D66" s="27"/>
      <c r="E66" s="26"/>
      <c r="F66" s="26"/>
    </row>
    <row r="67" customFormat="false" ht="15" hidden="false" customHeight="false" outlineLevel="0" collapsed="false">
      <c r="A67" s="26"/>
      <c r="B67" s="35"/>
      <c r="C67" s="36"/>
      <c r="D67" s="27"/>
      <c r="E67" s="26"/>
      <c r="F67" s="26"/>
    </row>
    <row r="68" customFormat="false" ht="15" hidden="false" customHeight="false" outlineLevel="0" collapsed="false">
      <c r="A68" s="26"/>
      <c r="B68" s="35"/>
      <c r="C68" s="36"/>
      <c r="D68" s="27"/>
      <c r="E68" s="26"/>
      <c r="F68" s="26"/>
    </row>
    <row r="69" customFormat="false" ht="15" hidden="false" customHeight="false" outlineLevel="0" collapsed="false">
      <c r="A69" s="26"/>
      <c r="B69" s="35"/>
      <c r="C69" s="36"/>
      <c r="D69" s="27"/>
      <c r="E69" s="26"/>
      <c r="F69" s="26"/>
    </row>
    <row r="70" customFormat="false" ht="15" hidden="false" customHeight="false" outlineLevel="0" collapsed="false">
      <c r="A70" s="26"/>
      <c r="B70" s="35"/>
      <c r="C70" s="36"/>
      <c r="D70" s="27"/>
      <c r="E70" s="26"/>
      <c r="F70" s="26"/>
    </row>
    <row r="71" customFormat="false" ht="15" hidden="false" customHeight="false" outlineLevel="0" collapsed="false">
      <c r="A71" s="26"/>
      <c r="B71" s="35"/>
      <c r="C71" s="36"/>
      <c r="D71" s="27"/>
      <c r="E71" s="26"/>
      <c r="F71" s="26"/>
    </row>
    <row r="72" customFormat="false" ht="15" hidden="false" customHeight="false" outlineLevel="0" collapsed="false">
      <c r="A72" s="26"/>
      <c r="B72" s="35"/>
      <c r="C72" s="36"/>
      <c r="D72" s="27"/>
      <c r="E72" s="26"/>
      <c r="F72" s="26"/>
    </row>
    <row r="73" customFormat="false" ht="15" hidden="false" customHeight="false" outlineLevel="0" collapsed="false">
      <c r="A73" s="26"/>
      <c r="B73" s="35"/>
      <c r="C73" s="36"/>
      <c r="D73" s="27"/>
      <c r="E73" s="26"/>
      <c r="F73" s="26"/>
    </row>
    <row r="74" customFormat="false" ht="15" hidden="false" customHeight="false" outlineLevel="0" collapsed="false">
      <c r="A74" s="26"/>
      <c r="B74" s="35"/>
      <c r="C74" s="36"/>
      <c r="D74" s="27"/>
      <c r="E74" s="26"/>
      <c r="F74" s="26"/>
    </row>
    <row r="75" customFormat="false" ht="15" hidden="false" customHeight="false" outlineLevel="0" collapsed="false">
      <c r="A75" s="26"/>
      <c r="B75" s="35"/>
      <c r="C75" s="36"/>
      <c r="D75" s="27"/>
      <c r="E75" s="26"/>
      <c r="F75" s="26"/>
    </row>
    <row r="76" customFormat="false" ht="15" hidden="false" customHeight="false" outlineLevel="0" collapsed="false">
      <c r="A76" s="26"/>
      <c r="B76" s="35"/>
      <c r="C76" s="36"/>
      <c r="D76" s="27"/>
      <c r="E76" s="26"/>
      <c r="F76" s="26"/>
    </row>
    <row r="77" customFormat="false" ht="15" hidden="false" customHeight="false" outlineLevel="0" collapsed="false">
      <c r="A77" s="26"/>
      <c r="B77" s="35"/>
      <c r="C77" s="36"/>
      <c r="D77" s="27"/>
      <c r="E77" s="26"/>
      <c r="F77" s="26"/>
    </row>
    <row r="78" customFormat="false" ht="15" hidden="false" customHeight="false" outlineLevel="0" collapsed="false">
      <c r="A78" s="26"/>
      <c r="B78" s="35"/>
      <c r="C78" s="36"/>
      <c r="D78" s="27"/>
      <c r="E78" s="26"/>
      <c r="F78" s="26"/>
    </row>
    <row r="79" customFormat="false" ht="15" hidden="false" customHeight="false" outlineLevel="0" collapsed="false">
      <c r="A79" s="26"/>
      <c r="B79" s="35"/>
      <c r="C79" s="36"/>
      <c r="D79" s="27"/>
      <c r="E79" s="26"/>
      <c r="F79" s="26"/>
    </row>
    <row r="80" customFormat="false" ht="15" hidden="false" customHeight="false" outlineLevel="0" collapsed="false">
      <c r="A80" s="26"/>
      <c r="B80" s="35"/>
      <c r="C80" s="36"/>
      <c r="D80" s="27"/>
      <c r="E80" s="26"/>
      <c r="F80" s="26"/>
    </row>
    <row r="81" customFormat="false" ht="15" hidden="false" customHeight="false" outlineLevel="0" collapsed="false">
      <c r="A81" s="26"/>
      <c r="B81" s="35"/>
      <c r="C81" s="36"/>
      <c r="D81" s="27"/>
      <c r="E81" s="26"/>
      <c r="F81" s="26"/>
    </row>
    <row r="82" customFormat="false" ht="15" hidden="false" customHeight="false" outlineLevel="0" collapsed="false">
      <c r="A82" s="26"/>
      <c r="B82" s="35"/>
      <c r="C82" s="36"/>
      <c r="D82" s="27"/>
      <c r="E82" s="26"/>
      <c r="F82" s="26"/>
    </row>
    <row r="83" customFormat="false" ht="15" hidden="false" customHeight="false" outlineLevel="0" collapsed="false">
      <c r="A83" s="26"/>
      <c r="B83" s="35"/>
      <c r="C83" s="36"/>
      <c r="D83" s="27"/>
      <c r="E83" s="26"/>
      <c r="F83" s="26"/>
    </row>
    <row r="84" customFormat="false" ht="15" hidden="false" customHeight="false" outlineLevel="0" collapsed="false">
      <c r="A84" s="26"/>
      <c r="B84" s="35"/>
      <c r="C84" s="36"/>
      <c r="D84" s="27"/>
      <c r="E84" s="26"/>
      <c r="F84" s="26"/>
    </row>
    <row r="85" customFormat="false" ht="15" hidden="false" customHeight="false" outlineLevel="0" collapsed="false">
      <c r="A85" s="26"/>
      <c r="B85" s="35"/>
      <c r="C85" s="36"/>
      <c r="D85" s="27"/>
      <c r="E85" s="26"/>
      <c r="F85" s="26"/>
    </row>
    <row r="86" customFormat="false" ht="15" hidden="false" customHeight="false" outlineLevel="0" collapsed="false">
      <c r="A86" s="26"/>
      <c r="B86" s="35"/>
      <c r="C86" s="36"/>
      <c r="D86" s="27"/>
      <c r="E86" s="26"/>
      <c r="F86" s="26"/>
    </row>
    <row r="87" customFormat="false" ht="15" hidden="false" customHeight="false" outlineLevel="0" collapsed="false">
      <c r="A87" s="26"/>
      <c r="B87" s="35"/>
      <c r="C87" s="36"/>
      <c r="D87" s="27"/>
      <c r="E87" s="26"/>
      <c r="F87" s="26"/>
    </row>
    <row r="88" customFormat="false" ht="15" hidden="false" customHeight="false" outlineLevel="0" collapsed="false">
      <c r="A88" s="26"/>
      <c r="B88" s="35"/>
      <c r="C88" s="36"/>
      <c r="D88" s="27"/>
      <c r="E88" s="26"/>
      <c r="F88" s="26"/>
    </row>
    <row r="89" customFormat="false" ht="15" hidden="false" customHeight="false" outlineLevel="0" collapsed="false">
      <c r="A89" s="26"/>
      <c r="B89" s="35"/>
      <c r="C89" s="36"/>
      <c r="D89" s="27"/>
      <c r="E89" s="26"/>
      <c r="F89" s="26"/>
    </row>
    <row r="90" customFormat="false" ht="15" hidden="false" customHeight="false" outlineLevel="0" collapsed="false">
      <c r="A90" s="26"/>
      <c r="B90" s="35"/>
      <c r="C90" s="36"/>
      <c r="D90" s="27"/>
      <c r="E90" s="26"/>
      <c r="F90" s="26"/>
    </row>
    <row r="91" customFormat="false" ht="15" hidden="false" customHeight="false" outlineLevel="0" collapsed="false">
      <c r="A91" s="26"/>
      <c r="B91" s="35"/>
      <c r="C91" s="36"/>
      <c r="D91" s="27"/>
      <c r="E91" s="26"/>
      <c r="F91" s="26"/>
    </row>
    <row r="92" customFormat="false" ht="15" hidden="false" customHeight="false" outlineLevel="0" collapsed="false">
      <c r="A92" s="26"/>
      <c r="B92" s="35"/>
      <c r="C92" s="36"/>
      <c r="D92" s="27"/>
      <c r="E92" s="26"/>
      <c r="F92" s="26"/>
    </row>
    <row r="93" customFormat="false" ht="15" hidden="false" customHeight="false" outlineLevel="0" collapsed="false">
      <c r="A93" s="26"/>
      <c r="B93" s="35"/>
      <c r="C93" s="36"/>
      <c r="D93" s="27"/>
      <c r="E93" s="26"/>
      <c r="F93" s="26"/>
    </row>
    <row r="94" customFormat="false" ht="15" hidden="false" customHeight="false" outlineLevel="0" collapsed="false">
      <c r="A94" s="26"/>
      <c r="B94" s="35"/>
      <c r="C94" s="36"/>
      <c r="D94" s="27"/>
      <c r="E94" s="26"/>
      <c r="F94" s="26"/>
    </row>
    <row r="95" customFormat="false" ht="15" hidden="false" customHeight="false" outlineLevel="0" collapsed="false">
      <c r="A95" s="26"/>
      <c r="B95" s="35"/>
      <c r="C95" s="36"/>
      <c r="D95" s="27"/>
      <c r="E95" s="26"/>
      <c r="F95" s="26"/>
    </row>
    <row r="96" customFormat="false" ht="15" hidden="false" customHeight="false" outlineLevel="0" collapsed="false">
      <c r="A96" s="26"/>
      <c r="B96" s="35"/>
      <c r="C96" s="36"/>
      <c r="D96" s="27"/>
      <c r="E96" s="26"/>
      <c r="F96" s="26"/>
    </row>
    <row r="97" customFormat="false" ht="15" hidden="false" customHeight="false" outlineLevel="0" collapsed="false">
      <c r="A97" s="26"/>
      <c r="B97" s="35"/>
      <c r="C97" s="36"/>
      <c r="D97" s="27"/>
      <c r="E97" s="26"/>
      <c r="F97" s="26"/>
    </row>
    <row r="98" customFormat="false" ht="15" hidden="false" customHeight="false" outlineLevel="0" collapsed="false">
      <c r="A98" s="26"/>
      <c r="B98" s="35"/>
      <c r="C98" s="36"/>
      <c r="D98" s="27"/>
      <c r="E98" s="26"/>
      <c r="F98" s="26"/>
    </row>
    <row r="99" customFormat="false" ht="15" hidden="false" customHeight="false" outlineLevel="0" collapsed="false">
      <c r="A99" s="26"/>
      <c r="B99" s="35"/>
      <c r="C99" s="36"/>
      <c r="D99" s="27"/>
      <c r="E99" s="26"/>
      <c r="F99" s="26"/>
    </row>
    <row r="100" customFormat="false" ht="15" hidden="false" customHeight="false" outlineLevel="0" collapsed="false">
      <c r="A100" s="26"/>
      <c r="B100" s="35"/>
      <c r="C100" s="36"/>
      <c r="D100" s="27"/>
      <c r="E100" s="26"/>
      <c r="F100" s="26"/>
    </row>
    <row r="101" customFormat="false" ht="15" hidden="false" customHeight="false" outlineLevel="0" collapsed="false">
      <c r="A101" s="26"/>
      <c r="B101" s="35"/>
      <c r="C101" s="36"/>
      <c r="D101" s="27"/>
      <c r="E101" s="26"/>
      <c r="F101" s="26"/>
    </row>
    <row r="102" customFormat="false" ht="15" hidden="false" customHeight="false" outlineLevel="0" collapsed="false">
      <c r="A102" s="26"/>
      <c r="B102" s="35"/>
      <c r="C102" s="36"/>
      <c r="D102" s="27"/>
      <c r="E102" s="26"/>
      <c r="F102" s="26"/>
    </row>
    <row r="103" customFormat="false" ht="15" hidden="false" customHeight="false" outlineLevel="0" collapsed="false">
      <c r="A103" s="26"/>
      <c r="B103" s="35"/>
      <c r="C103" s="36"/>
      <c r="D103" s="27"/>
      <c r="E103" s="26"/>
      <c r="F103" s="26"/>
    </row>
    <row r="104" customFormat="false" ht="15" hidden="false" customHeight="false" outlineLevel="0" collapsed="false">
      <c r="A104" s="26"/>
      <c r="B104" s="35"/>
      <c r="C104" s="36"/>
      <c r="D104" s="27"/>
      <c r="E104" s="26"/>
      <c r="F104" s="26"/>
    </row>
    <row r="105" customFormat="false" ht="15" hidden="false" customHeight="false" outlineLevel="0" collapsed="false">
      <c r="A105" s="26"/>
      <c r="B105" s="35"/>
      <c r="C105" s="36"/>
      <c r="D105" s="27"/>
      <c r="E105" s="26"/>
      <c r="F105" s="26"/>
    </row>
    <row r="106" customFormat="false" ht="15" hidden="false" customHeight="false" outlineLevel="0" collapsed="false">
      <c r="A106" s="26"/>
      <c r="B106" s="35"/>
      <c r="C106" s="36"/>
      <c r="D106" s="27"/>
      <c r="E106" s="26"/>
      <c r="F106" s="26"/>
    </row>
    <row r="107" customFormat="false" ht="15" hidden="false" customHeight="false" outlineLevel="0" collapsed="false">
      <c r="A107" s="26"/>
      <c r="B107" s="35"/>
      <c r="C107" s="36"/>
      <c r="D107" s="27"/>
      <c r="E107" s="26"/>
      <c r="F107" s="26"/>
    </row>
    <row r="108" customFormat="false" ht="15" hidden="false" customHeight="false" outlineLevel="0" collapsed="false">
      <c r="A108" s="26"/>
      <c r="B108" s="35"/>
      <c r="C108" s="36"/>
      <c r="D108" s="27"/>
      <c r="E108" s="26"/>
      <c r="F108" s="26"/>
    </row>
    <row r="109" customFormat="false" ht="15" hidden="false" customHeight="false" outlineLevel="0" collapsed="false">
      <c r="A109" s="26"/>
      <c r="B109" s="35"/>
      <c r="C109" s="36"/>
      <c r="D109" s="27"/>
      <c r="E109" s="26"/>
      <c r="F109" s="26"/>
    </row>
    <row r="110" customFormat="false" ht="15" hidden="false" customHeight="false" outlineLevel="0" collapsed="false">
      <c r="A110" s="26"/>
      <c r="B110" s="35"/>
      <c r="C110" s="36"/>
      <c r="D110" s="27"/>
      <c r="E110" s="26"/>
      <c r="F110" s="26"/>
    </row>
    <row r="111" customFormat="false" ht="15" hidden="false" customHeight="false" outlineLevel="0" collapsed="false">
      <c r="A111" s="26"/>
      <c r="B111" s="35"/>
      <c r="C111" s="36"/>
      <c r="D111" s="27"/>
      <c r="E111" s="26"/>
      <c r="F111" s="26"/>
    </row>
    <row r="112" customFormat="false" ht="15" hidden="false" customHeight="false" outlineLevel="0" collapsed="false">
      <c r="A112" s="26"/>
      <c r="B112" s="35"/>
      <c r="C112" s="36"/>
      <c r="D112" s="27"/>
      <c r="E112" s="26"/>
      <c r="F112" s="26"/>
    </row>
    <row r="113" customFormat="false" ht="15" hidden="false" customHeight="false" outlineLevel="0" collapsed="false">
      <c r="A113" s="26"/>
      <c r="B113" s="35"/>
      <c r="C113" s="36"/>
      <c r="D113" s="27"/>
      <c r="E113" s="26"/>
      <c r="F113" s="26"/>
    </row>
    <row r="114" customFormat="false" ht="15" hidden="false" customHeight="false" outlineLevel="0" collapsed="false">
      <c r="A114" s="26"/>
      <c r="B114" s="35"/>
      <c r="C114" s="36"/>
      <c r="D114" s="27"/>
      <c r="E114" s="26"/>
      <c r="F114" s="26"/>
    </row>
    <row r="115" customFormat="false" ht="15" hidden="false" customHeight="false" outlineLevel="0" collapsed="false">
      <c r="A115" s="26"/>
      <c r="B115" s="35"/>
      <c r="C115" s="36"/>
      <c r="D115" s="27"/>
      <c r="E115" s="26"/>
      <c r="F115" s="26"/>
    </row>
    <row r="116" customFormat="false" ht="15" hidden="false" customHeight="false" outlineLevel="0" collapsed="false">
      <c r="A116" s="26"/>
      <c r="B116" s="35"/>
      <c r="C116" s="36"/>
      <c r="D116" s="27"/>
      <c r="E116" s="26"/>
      <c r="F116" s="26"/>
    </row>
    <row r="117" customFormat="false" ht="15" hidden="false" customHeight="false" outlineLevel="0" collapsed="false">
      <c r="A117" s="26"/>
      <c r="B117" s="35"/>
      <c r="C117" s="36"/>
      <c r="D117" s="27"/>
      <c r="E117" s="26"/>
      <c r="F117" s="26"/>
    </row>
    <row r="118" customFormat="false" ht="15" hidden="false" customHeight="false" outlineLevel="0" collapsed="false">
      <c r="A118" s="26"/>
      <c r="B118" s="35"/>
      <c r="C118" s="36"/>
      <c r="D118" s="27"/>
      <c r="E118" s="26"/>
      <c r="F118" s="26"/>
    </row>
    <row r="119" customFormat="false" ht="15" hidden="false" customHeight="false" outlineLevel="0" collapsed="false">
      <c r="A119" s="26"/>
      <c r="B119" s="35"/>
      <c r="C119" s="36"/>
      <c r="D119" s="27"/>
      <c r="E119" s="26"/>
      <c r="F119" s="26"/>
    </row>
    <row r="120" customFormat="false" ht="15" hidden="false" customHeight="false" outlineLevel="0" collapsed="false">
      <c r="A120" s="26"/>
      <c r="B120" s="35"/>
      <c r="C120" s="36"/>
      <c r="D120" s="27"/>
      <c r="E120" s="26"/>
      <c r="F120" s="26"/>
    </row>
    <row r="121" customFormat="false" ht="15" hidden="false" customHeight="false" outlineLevel="0" collapsed="false">
      <c r="A121" s="26"/>
      <c r="B121" s="35"/>
      <c r="C121" s="36"/>
      <c r="D121" s="27"/>
      <c r="E121" s="26"/>
      <c r="F121" s="26"/>
    </row>
    <row r="122" customFormat="false" ht="15" hidden="false" customHeight="false" outlineLevel="0" collapsed="false">
      <c r="A122" s="26"/>
      <c r="B122" s="35"/>
      <c r="C122" s="36"/>
      <c r="D122" s="27"/>
      <c r="E122" s="26"/>
      <c r="F122" s="26"/>
    </row>
    <row r="123" customFormat="false" ht="15" hidden="false" customHeight="false" outlineLevel="0" collapsed="false">
      <c r="A123" s="26"/>
      <c r="B123" s="35"/>
      <c r="C123" s="36"/>
      <c r="D123" s="27"/>
      <c r="E123" s="26"/>
      <c r="F123" s="26"/>
    </row>
    <row r="124" customFormat="false" ht="15" hidden="false" customHeight="false" outlineLevel="0" collapsed="false">
      <c r="A124" s="26"/>
      <c r="B124" s="35"/>
      <c r="C124" s="36"/>
      <c r="D124" s="27"/>
      <c r="E124" s="26"/>
      <c r="F124" s="26"/>
    </row>
    <row r="125" customFormat="false" ht="15" hidden="false" customHeight="false" outlineLevel="0" collapsed="false">
      <c r="A125" s="26"/>
      <c r="B125" s="35"/>
      <c r="C125" s="36"/>
      <c r="D125" s="27"/>
      <c r="E125" s="26"/>
      <c r="F125" s="26"/>
    </row>
    <row r="126" customFormat="false" ht="15" hidden="false" customHeight="false" outlineLevel="0" collapsed="false">
      <c r="A126" s="26"/>
      <c r="B126" s="35"/>
      <c r="C126" s="36"/>
      <c r="D126" s="27"/>
      <c r="E126" s="26"/>
      <c r="F126" s="26"/>
    </row>
    <row r="127" customFormat="false" ht="15" hidden="false" customHeight="false" outlineLevel="0" collapsed="false">
      <c r="A127" s="26"/>
      <c r="B127" s="35"/>
      <c r="C127" s="36"/>
      <c r="D127" s="27"/>
      <c r="E127" s="26"/>
      <c r="F127" s="26"/>
    </row>
    <row r="128" customFormat="false" ht="15" hidden="false" customHeight="false" outlineLevel="0" collapsed="false">
      <c r="A128" s="26"/>
      <c r="B128" s="35"/>
      <c r="C128" s="36"/>
      <c r="D128" s="27"/>
      <c r="E128" s="26"/>
      <c r="F128" s="26"/>
    </row>
    <row r="129" customFormat="false" ht="15" hidden="false" customHeight="false" outlineLevel="0" collapsed="false">
      <c r="A129" s="26"/>
      <c r="B129" s="35"/>
      <c r="C129" s="36"/>
      <c r="D129" s="27"/>
      <c r="E129" s="26"/>
      <c r="F129" s="26"/>
    </row>
    <row r="130" customFormat="false" ht="15" hidden="false" customHeight="false" outlineLevel="0" collapsed="false">
      <c r="A130" s="26"/>
      <c r="B130" s="35"/>
      <c r="C130" s="36"/>
      <c r="D130" s="27"/>
      <c r="E130" s="26"/>
      <c r="F130" s="26"/>
    </row>
    <row r="131" customFormat="false" ht="15" hidden="false" customHeight="false" outlineLevel="0" collapsed="false">
      <c r="A131" s="26"/>
      <c r="B131" s="35"/>
      <c r="C131" s="36"/>
      <c r="D131" s="27"/>
      <c r="E131" s="26"/>
      <c r="F131" s="26"/>
    </row>
    <row r="132" customFormat="false" ht="15" hidden="false" customHeight="false" outlineLevel="0" collapsed="false">
      <c r="A132" s="26"/>
      <c r="B132" s="35"/>
      <c r="C132" s="36"/>
      <c r="D132" s="27"/>
      <c r="E132" s="26"/>
      <c r="F132" s="26"/>
    </row>
    <row r="133" customFormat="false" ht="15" hidden="false" customHeight="false" outlineLevel="0" collapsed="false">
      <c r="A133" s="26"/>
      <c r="B133" s="35"/>
      <c r="C133" s="36"/>
      <c r="D133" s="27"/>
      <c r="E133" s="26"/>
      <c r="F133" s="26"/>
    </row>
    <row r="134" customFormat="false" ht="15" hidden="false" customHeight="false" outlineLevel="0" collapsed="false">
      <c r="A134" s="26"/>
      <c r="B134" s="35"/>
      <c r="C134" s="36"/>
      <c r="D134" s="27"/>
      <c r="E134" s="26"/>
      <c r="F134" s="26"/>
    </row>
    <row r="135" customFormat="false" ht="15" hidden="false" customHeight="false" outlineLevel="0" collapsed="false">
      <c r="A135" s="26"/>
      <c r="B135" s="35"/>
      <c r="C135" s="36"/>
      <c r="D135" s="27"/>
      <c r="E135" s="26"/>
      <c r="F135" s="26"/>
    </row>
    <row r="136" customFormat="false" ht="15" hidden="false" customHeight="false" outlineLevel="0" collapsed="false">
      <c r="A136" s="26"/>
      <c r="B136" s="35"/>
      <c r="C136" s="36"/>
      <c r="D136" s="27"/>
      <c r="E136" s="26"/>
      <c r="F136" s="26"/>
    </row>
    <row r="137" customFormat="false" ht="15" hidden="false" customHeight="false" outlineLevel="0" collapsed="false">
      <c r="A137" s="26"/>
      <c r="B137" s="35"/>
      <c r="C137" s="36"/>
      <c r="D137" s="27"/>
      <c r="E137" s="26"/>
      <c r="F137" s="26"/>
    </row>
    <row r="138" customFormat="false" ht="15" hidden="false" customHeight="false" outlineLevel="0" collapsed="false">
      <c r="A138" s="26"/>
      <c r="B138" s="35"/>
      <c r="C138" s="36"/>
      <c r="D138" s="27"/>
      <c r="E138" s="26"/>
      <c r="F138" s="26"/>
    </row>
    <row r="139" customFormat="false" ht="15" hidden="false" customHeight="false" outlineLevel="0" collapsed="false">
      <c r="A139" s="26"/>
      <c r="B139" s="35"/>
      <c r="C139" s="36"/>
      <c r="D139" s="27"/>
      <c r="E139" s="26"/>
      <c r="F139" s="26"/>
    </row>
    <row r="140" customFormat="false" ht="15" hidden="false" customHeight="false" outlineLevel="0" collapsed="false">
      <c r="A140" s="26"/>
      <c r="B140" s="35"/>
      <c r="C140" s="36"/>
      <c r="D140" s="27"/>
      <c r="E140" s="26"/>
      <c r="F140" s="26"/>
    </row>
    <row r="141" customFormat="false" ht="15" hidden="false" customHeight="false" outlineLevel="0" collapsed="false">
      <c r="A141" s="26"/>
      <c r="B141" s="35"/>
      <c r="C141" s="36"/>
      <c r="D141" s="27"/>
      <c r="E141" s="26"/>
      <c r="F141" s="26"/>
    </row>
    <row r="142" customFormat="false" ht="15" hidden="false" customHeight="false" outlineLevel="0" collapsed="false">
      <c r="A142" s="26"/>
      <c r="B142" s="35"/>
      <c r="C142" s="36"/>
      <c r="D142" s="27"/>
      <c r="E142" s="26"/>
      <c r="F142" s="26"/>
    </row>
    <row r="143" customFormat="false" ht="15" hidden="false" customHeight="false" outlineLevel="0" collapsed="false">
      <c r="A143" s="26"/>
      <c r="B143" s="35"/>
      <c r="C143" s="36"/>
      <c r="D143" s="27"/>
      <c r="E143" s="26"/>
      <c r="F143" s="26"/>
    </row>
    <row r="144" customFormat="false" ht="15" hidden="false" customHeight="false" outlineLevel="0" collapsed="false">
      <c r="A144" s="26"/>
      <c r="B144" s="35"/>
      <c r="C144" s="36"/>
      <c r="D144" s="27"/>
      <c r="E144" s="26"/>
      <c r="F144" s="26"/>
    </row>
    <row r="145" customFormat="false" ht="15" hidden="false" customHeight="false" outlineLevel="0" collapsed="false">
      <c r="A145" s="26"/>
      <c r="B145" s="35"/>
      <c r="C145" s="36"/>
      <c r="D145" s="27"/>
      <c r="E145" s="26"/>
      <c r="F145" s="26"/>
    </row>
    <row r="146" customFormat="false" ht="15" hidden="false" customHeight="false" outlineLevel="0" collapsed="false">
      <c r="A146" s="26"/>
      <c r="B146" s="35"/>
      <c r="C146" s="36"/>
      <c r="D146" s="27"/>
      <c r="E146" s="26"/>
      <c r="F146" s="26"/>
    </row>
    <row r="147" customFormat="false" ht="15" hidden="false" customHeight="false" outlineLevel="0" collapsed="false">
      <c r="A147" s="26"/>
      <c r="B147" s="35"/>
      <c r="C147" s="36"/>
      <c r="D147" s="27"/>
      <c r="E147" s="26"/>
      <c r="F147" s="26"/>
    </row>
    <row r="148" customFormat="false" ht="15" hidden="false" customHeight="false" outlineLevel="0" collapsed="false">
      <c r="A148" s="26"/>
      <c r="B148" s="35"/>
      <c r="C148" s="36"/>
      <c r="D148" s="27"/>
      <c r="E148" s="26"/>
      <c r="F148" s="26"/>
    </row>
    <row r="149" customFormat="false" ht="15" hidden="false" customHeight="false" outlineLevel="0" collapsed="false">
      <c r="A149" s="26"/>
      <c r="B149" s="35"/>
      <c r="C149" s="36"/>
      <c r="D149" s="27"/>
      <c r="E149" s="26"/>
      <c r="F149" s="26"/>
    </row>
    <row r="150" customFormat="false" ht="15" hidden="false" customHeight="false" outlineLevel="0" collapsed="false">
      <c r="A150" s="26"/>
      <c r="B150" s="35"/>
      <c r="C150" s="36"/>
      <c r="D150" s="27"/>
      <c r="E150" s="26"/>
      <c r="F150" s="26"/>
    </row>
    <row r="151" customFormat="false" ht="15" hidden="false" customHeight="false" outlineLevel="0" collapsed="false">
      <c r="A151" s="26"/>
      <c r="B151" s="35"/>
      <c r="C151" s="36"/>
      <c r="D151" s="27"/>
      <c r="E151" s="26"/>
      <c r="F151" s="26"/>
    </row>
    <row r="152" customFormat="false" ht="15" hidden="false" customHeight="false" outlineLevel="0" collapsed="false">
      <c r="A152" s="26"/>
      <c r="B152" s="35"/>
      <c r="C152" s="36"/>
      <c r="D152" s="27"/>
      <c r="E152" s="26"/>
      <c r="F152" s="26"/>
    </row>
    <row r="153" customFormat="false" ht="15" hidden="false" customHeight="false" outlineLevel="0" collapsed="false">
      <c r="A153" s="26"/>
      <c r="B153" s="35"/>
      <c r="C153" s="36"/>
      <c r="D153" s="27"/>
      <c r="E153" s="26"/>
      <c r="F153" s="26"/>
    </row>
    <row r="154" customFormat="false" ht="15" hidden="false" customHeight="false" outlineLevel="0" collapsed="false">
      <c r="A154" s="26"/>
      <c r="B154" s="35"/>
      <c r="C154" s="36"/>
      <c r="D154" s="27"/>
      <c r="E154" s="26"/>
      <c r="F154" s="26"/>
    </row>
    <row r="155" customFormat="false" ht="15" hidden="false" customHeight="false" outlineLevel="0" collapsed="false">
      <c r="A155" s="26"/>
      <c r="B155" s="35"/>
      <c r="C155" s="36"/>
      <c r="D155" s="27"/>
      <c r="E155" s="26"/>
      <c r="F155" s="26"/>
    </row>
    <row r="156" customFormat="false" ht="15" hidden="false" customHeight="false" outlineLevel="0" collapsed="false">
      <c r="A156" s="26"/>
      <c r="B156" s="35"/>
      <c r="C156" s="36"/>
      <c r="D156" s="27"/>
      <c r="E156" s="26"/>
      <c r="F156" s="26"/>
    </row>
    <row r="157" customFormat="false" ht="15" hidden="false" customHeight="false" outlineLevel="0" collapsed="false">
      <c r="A157" s="26"/>
      <c r="B157" s="35"/>
      <c r="C157" s="36"/>
      <c r="D157" s="27"/>
      <c r="E157" s="26"/>
      <c r="F157" s="26"/>
    </row>
    <row r="158" customFormat="false" ht="15" hidden="false" customHeight="false" outlineLevel="0" collapsed="false">
      <c r="A158" s="26"/>
      <c r="B158" s="35"/>
      <c r="C158" s="36"/>
      <c r="D158" s="27"/>
      <c r="E158" s="26"/>
      <c r="F158" s="26"/>
    </row>
    <row r="159" customFormat="false" ht="15" hidden="false" customHeight="false" outlineLevel="0" collapsed="false">
      <c r="A159" s="26"/>
      <c r="B159" s="35"/>
      <c r="C159" s="36"/>
      <c r="D159" s="27"/>
      <c r="E159" s="26"/>
      <c r="F159" s="26"/>
    </row>
    <row r="160" customFormat="false" ht="15" hidden="false" customHeight="false" outlineLevel="0" collapsed="false">
      <c r="A160" s="26"/>
      <c r="B160" s="35"/>
      <c r="C160" s="36"/>
      <c r="D160" s="27"/>
      <c r="E160" s="26"/>
      <c r="F160" s="26"/>
    </row>
    <row r="161" customFormat="false" ht="15" hidden="false" customHeight="false" outlineLevel="0" collapsed="false">
      <c r="A161" s="26"/>
      <c r="B161" s="35"/>
      <c r="C161" s="36"/>
      <c r="D161" s="27"/>
      <c r="E161" s="26"/>
      <c r="F161" s="26"/>
    </row>
    <row r="162" customFormat="false" ht="15" hidden="false" customHeight="false" outlineLevel="0" collapsed="false">
      <c r="A162" s="26"/>
      <c r="B162" s="35"/>
      <c r="C162" s="36"/>
      <c r="D162" s="27"/>
      <c r="E162" s="26"/>
      <c r="F162" s="26"/>
    </row>
    <row r="163" customFormat="false" ht="15" hidden="false" customHeight="false" outlineLevel="0" collapsed="false">
      <c r="A163" s="26"/>
      <c r="B163" s="35"/>
      <c r="C163" s="36"/>
      <c r="D163" s="27"/>
      <c r="E163" s="26"/>
      <c r="F163" s="26"/>
    </row>
    <row r="164" customFormat="false" ht="15" hidden="false" customHeight="false" outlineLevel="0" collapsed="false">
      <c r="A164" s="26"/>
      <c r="B164" s="35"/>
      <c r="C164" s="36"/>
      <c r="D164" s="27"/>
      <c r="E164" s="26"/>
      <c r="F164" s="26"/>
    </row>
    <row r="165" customFormat="false" ht="15" hidden="false" customHeight="false" outlineLevel="0" collapsed="false">
      <c r="A165" s="26"/>
      <c r="B165" s="35"/>
      <c r="C165" s="36"/>
      <c r="D165" s="27"/>
      <c r="E165" s="26"/>
      <c r="F165" s="26"/>
    </row>
    <row r="166" customFormat="false" ht="15" hidden="false" customHeight="false" outlineLevel="0" collapsed="false">
      <c r="A166" s="26"/>
      <c r="B166" s="35"/>
      <c r="C166" s="36"/>
      <c r="D166" s="27"/>
      <c r="E166" s="26"/>
      <c r="F166" s="26"/>
    </row>
    <row r="167" customFormat="false" ht="15" hidden="false" customHeight="false" outlineLevel="0" collapsed="false">
      <c r="A167" s="26"/>
      <c r="B167" s="35"/>
      <c r="C167" s="36"/>
      <c r="D167" s="27"/>
      <c r="E167" s="26"/>
      <c r="F167" s="26"/>
    </row>
    <row r="168" customFormat="false" ht="15" hidden="false" customHeight="false" outlineLevel="0" collapsed="false">
      <c r="A168" s="26"/>
      <c r="B168" s="35"/>
      <c r="C168" s="36"/>
      <c r="D168" s="27"/>
      <c r="E168" s="26"/>
      <c r="F168" s="26"/>
    </row>
    <row r="169" customFormat="false" ht="15" hidden="false" customHeight="false" outlineLevel="0" collapsed="false">
      <c r="A169" s="26"/>
      <c r="B169" s="35"/>
      <c r="C169" s="36"/>
      <c r="D169" s="27"/>
      <c r="E169" s="26"/>
      <c r="F169" s="26"/>
    </row>
    <row r="170" customFormat="false" ht="15" hidden="false" customHeight="false" outlineLevel="0" collapsed="false">
      <c r="A170" s="26"/>
      <c r="B170" s="35"/>
      <c r="C170" s="36"/>
      <c r="D170" s="27"/>
      <c r="E170" s="26"/>
      <c r="F170" s="26"/>
    </row>
    <row r="171" customFormat="false" ht="15" hidden="false" customHeight="false" outlineLevel="0" collapsed="false">
      <c r="A171" s="26"/>
      <c r="B171" s="35"/>
      <c r="C171" s="36"/>
      <c r="D171" s="27"/>
      <c r="E171" s="26"/>
      <c r="F171" s="26"/>
    </row>
    <row r="172" customFormat="false" ht="15" hidden="false" customHeight="false" outlineLevel="0" collapsed="false">
      <c r="A172" s="26"/>
      <c r="B172" s="35"/>
      <c r="C172" s="36"/>
      <c r="D172" s="27"/>
      <c r="E172" s="26"/>
      <c r="F172" s="26"/>
    </row>
    <row r="173" customFormat="false" ht="15" hidden="false" customHeight="false" outlineLevel="0" collapsed="false">
      <c r="A173" s="26"/>
      <c r="B173" s="35"/>
      <c r="C173" s="36"/>
      <c r="D173" s="27"/>
      <c r="E173" s="26"/>
      <c r="F173" s="26"/>
    </row>
    <row r="174" customFormat="false" ht="15" hidden="false" customHeight="false" outlineLevel="0" collapsed="false">
      <c r="A174" s="26"/>
      <c r="B174" s="35"/>
      <c r="C174" s="36"/>
      <c r="D174" s="27"/>
      <c r="E174" s="26"/>
      <c r="F174" s="26"/>
    </row>
    <row r="175" customFormat="false" ht="15" hidden="false" customHeight="false" outlineLevel="0" collapsed="false">
      <c r="A175" s="26"/>
      <c r="B175" s="35"/>
      <c r="C175" s="36"/>
      <c r="D175" s="27"/>
      <c r="E175" s="26"/>
      <c r="F175" s="26"/>
    </row>
    <row r="176" customFormat="false" ht="15" hidden="false" customHeight="false" outlineLevel="0" collapsed="false">
      <c r="A176" s="26"/>
      <c r="B176" s="35"/>
      <c r="C176" s="36"/>
      <c r="D176" s="27"/>
      <c r="E176" s="26"/>
      <c r="F176" s="26"/>
    </row>
    <row r="177" customFormat="false" ht="15" hidden="false" customHeight="false" outlineLevel="0" collapsed="false">
      <c r="A177" s="26"/>
      <c r="B177" s="35"/>
      <c r="C177" s="36"/>
      <c r="D177" s="27"/>
      <c r="E177" s="26"/>
      <c r="F177" s="26"/>
    </row>
    <row r="178" customFormat="false" ht="15" hidden="false" customHeight="false" outlineLevel="0" collapsed="false">
      <c r="A178" s="26"/>
      <c r="B178" s="35"/>
      <c r="C178" s="36"/>
      <c r="D178" s="27"/>
      <c r="E178" s="26"/>
      <c r="F178" s="26"/>
    </row>
    <row r="179" customFormat="false" ht="15" hidden="false" customHeight="false" outlineLevel="0" collapsed="false">
      <c r="A179" s="26"/>
      <c r="B179" s="35"/>
      <c r="C179" s="36"/>
      <c r="D179" s="27"/>
      <c r="E179" s="26"/>
      <c r="F179" s="26"/>
    </row>
    <row r="180" customFormat="false" ht="15" hidden="false" customHeight="false" outlineLevel="0" collapsed="false">
      <c r="A180" s="26"/>
      <c r="B180" s="35"/>
      <c r="C180" s="36"/>
      <c r="D180" s="27"/>
      <c r="E180" s="26"/>
      <c r="F180" s="26"/>
    </row>
    <row r="181" customFormat="false" ht="15" hidden="false" customHeight="false" outlineLevel="0" collapsed="false">
      <c r="A181" s="26"/>
      <c r="B181" s="35"/>
      <c r="C181" s="36"/>
      <c r="D181" s="27"/>
      <c r="E181" s="26"/>
      <c r="F181" s="26"/>
    </row>
    <row r="182" customFormat="false" ht="15" hidden="false" customHeight="false" outlineLevel="0" collapsed="false">
      <c r="A182" s="26"/>
      <c r="B182" s="35"/>
      <c r="C182" s="36"/>
      <c r="D182" s="27"/>
      <c r="E182" s="26"/>
      <c r="F182" s="26"/>
    </row>
    <row r="183" customFormat="false" ht="15" hidden="false" customHeight="false" outlineLevel="0" collapsed="false">
      <c r="A183" s="26"/>
      <c r="B183" s="35"/>
      <c r="C183" s="36"/>
      <c r="D183" s="27"/>
      <c r="E183" s="26"/>
      <c r="F183" s="26"/>
    </row>
    <row r="184" customFormat="false" ht="15" hidden="false" customHeight="false" outlineLevel="0" collapsed="false">
      <c r="A184" s="26"/>
      <c r="B184" s="35"/>
      <c r="C184" s="36"/>
      <c r="D184" s="27"/>
      <c r="E184" s="26"/>
      <c r="F184" s="26"/>
    </row>
    <row r="185" customFormat="false" ht="15" hidden="false" customHeight="false" outlineLevel="0" collapsed="false">
      <c r="A185" s="26"/>
      <c r="B185" s="35"/>
      <c r="C185" s="36"/>
      <c r="D185" s="27"/>
      <c r="E185" s="26"/>
      <c r="F185" s="26"/>
    </row>
    <row r="186" customFormat="false" ht="15" hidden="false" customHeight="false" outlineLevel="0" collapsed="false">
      <c r="A186" s="26"/>
      <c r="B186" s="35"/>
      <c r="C186" s="36"/>
      <c r="D186" s="27"/>
      <c r="E186" s="26"/>
      <c r="F186" s="26"/>
    </row>
    <row r="187" customFormat="false" ht="15" hidden="false" customHeight="false" outlineLevel="0" collapsed="false">
      <c r="A187" s="26"/>
      <c r="B187" s="35"/>
      <c r="C187" s="36"/>
      <c r="D187" s="27"/>
      <c r="E187" s="26"/>
      <c r="F187" s="26"/>
    </row>
    <row r="188" customFormat="false" ht="15" hidden="false" customHeight="false" outlineLevel="0" collapsed="false">
      <c r="A188" s="26"/>
      <c r="B188" s="35"/>
      <c r="C188" s="36"/>
      <c r="D188" s="27"/>
      <c r="E188" s="26"/>
      <c r="F188" s="26"/>
    </row>
    <row r="189" customFormat="false" ht="15" hidden="false" customHeight="false" outlineLevel="0" collapsed="false">
      <c r="A189" s="26"/>
      <c r="B189" s="35"/>
      <c r="C189" s="36"/>
      <c r="D189" s="27"/>
      <c r="E189" s="26"/>
      <c r="F189" s="26"/>
    </row>
    <row r="190" customFormat="false" ht="15" hidden="false" customHeight="false" outlineLevel="0" collapsed="false">
      <c r="A190" s="26"/>
      <c r="B190" s="35"/>
      <c r="C190" s="36"/>
      <c r="D190" s="27"/>
      <c r="E190" s="26"/>
      <c r="F190" s="26"/>
    </row>
    <row r="191" customFormat="false" ht="15" hidden="false" customHeight="false" outlineLevel="0" collapsed="false">
      <c r="A191" s="26"/>
      <c r="B191" s="35"/>
      <c r="C191" s="36"/>
      <c r="D191" s="27"/>
      <c r="E191" s="26"/>
      <c r="F191" s="26"/>
    </row>
    <row r="192" customFormat="false" ht="15" hidden="false" customHeight="false" outlineLevel="0" collapsed="false">
      <c r="A192" s="26"/>
      <c r="B192" s="35"/>
      <c r="C192" s="36"/>
      <c r="D192" s="27"/>
      <c r="E192" s="26"/>
      <c r="F192" s="26"/>
    </row>
    <row r="193" customFormat="false" ht="15" hidden="false" customHeight="false" outlineLevel="0" collapsed="false">
      <c r="A193" s="26"/>
      <c r="B193" s="35"/>
      <c r="C193" s="36"/>
      <c r="D193" s="27"/>
      <c r="E193" s="26"/>
      <c r="F193" s="26"/>
    </row>
    <row r="194" customFormat="false" ht="15" hidden="false" customHeight="false" outlineLevel="0" collapsed="false">
      <c r="A194" s="26"/>
      <c r="B194" s="35"/>
      <c r="C194" s="36"/>
      <c r="D194" s="27"/>
      <c r="E194" s="26"/>
      <c r="F194" s="26"/>
    </row>
    <row r="195" customFormat="false" ht="15" hidden="false" customHeight="false" outlineLevel="0" collapsed="false">
      <c r="A195" s="26"/>
      <c r="B195" s="35"/>
      <c r="C195" s="36"/>
      <c r="D195" s="27"/>
      <c r="E195" s="26"/>
      <c r="F195" s="26"/>
    </row>
    <row r="196" customFormat="false" ht="15" hidden="false" customHeight="false" outlineLevel="0" collapsed="false">
      <c r="A196" s="26"/>
      <c r="B196" s="35"/>
      <c r="C196" s="36"/>
      <c r="D196" s="27"/>
      <c r="E196" s="26"/>
      <c r="F196" s="26"/>
    </row>
    <row r="197" customFormat="false" ht="15" hidden="false" customHeight="false" outlineLevel="0" collapsed="false">
      <c r="A197" s="26"/>
      <c r="B197" s="35"/>
      <c r="C197" s="36"/>
      <c r="D197" s="27"/>
      <c r="E197" s="26"/>
      <c r="F197" s="26"/>
    </row>
    <row r="198" customFormat="false" ht="15" hidden="false" customHeight="false" outlineLevel="0" collapsed="false">
      <c r="A198" s="26"/>
      <c r="B198" s="35"/>
      <c r="C198" s="36"/>
      <c r="D198" s="27"/>
      <c r="E198" s="26"/>
      <c r="F198" s="26"/>
    </row>
    <row r="199" customFormat="false" ht="15" hidden="false" customHeight="false" outlineLevel="0" collapsed="false">
      <c r="A199" s="26"/>
      <c r="B199" s="35"/>
      <c r="C199" s="36"/>
      <c r="D199" s="27"/>
      <c r="E199" s="26"/>
      <c r="F199" s="26"/>
    </row>
    <row r="200" customFormat="false" ht="15" hidden="false" customHeight="false" outlineLevel="0" collapsed="false">
      <c r="A200" s="26"/>
      <c r="B200" s="35"/>
      <c r="C200" s="36"/>
      <c r="D200" s="27"/>
      <c r="E200" s="26"/>
      <c r="F200" s="26"/>
    </row>
    <row r="201" customFormat="false" ht="15" hidden="false" customHeight="false" outlineLevel="0" collapsed="false">
      <c r="A201" s="26"/>
      <c r="B201" s="35"/>
      <c r="C201" s="36"/>
      <c r="D201" s="27"/>
      <c r="E201" s="26"/>
      <c r="F201" s="26"/>
    </row>
    <row r="202" customFormat="false" ht="15" hidden="false" customHeight="false" outlineLevel="0" collapsed="false">
      <c r="A202" s="26"/>
      <c r="B202" s="35"/>
      <c r="C202" s="36"/>
      <c r="D202" s="27"/>
      <c r="E202" s="26"/>
      <c r="F202" s="26"/>
    </row>
    <row r="203" customFormat="false" ht="15" hidden="false" customHeight="false" outlineLevel="0" collapsed="false">
      <c r="A203" s="26"/>
      <c r="B203" s="35"/>
      <c r="C203" s="36"/>
      <c r="D203" s="27"/>
      <c r="E203" s="26"/>
      <c r="F203" s="26"/>
    </row>
    <row r="204" customFormat="false" ht="15" hidden="false" customHeight="false" outlineLevel="0" collapsed="false">
      <c r="A204" s="26"/>
      <c r="B204" s="35"/>
      <c r="C204" s="36"/>
      <c r="D204" s="27"/>
      <c r="E204" s="26"/>
      <c r="F204" s="26"/>
    </row>
    <row r="205" customFormat="false" ht="15" hidden="false" customHeight="false" outlineLevel="0" collapsed="false">
      <c r="A205" s="26"/>
      <c r="B205" s="35"/>
      <c r="C205" s="36"/>
      <c r="D205" s="27"/>
      <c r="E205" s="26"/>
      <c r="F205" s="26"/>
    </row>
    <row r="206" customFormat="false" ht="15" hidden="false" customHeight="false" outlineLevel="0" collapsed="false">
      <c r="A206" s="26"/>
      <c r="B206" s="35"/>
      <c r="C206" s="36"/>
      <c r="D206" s="27"/>
      <c r="E206" s="26"/>
      <c r="F206" s="26"/>
    </row>
    <row r="207" customFormat="false" ht="15" hidden="false" customHeight="false" outlineLevel="0" collapsed="false">
      <c r="A207" s="26"/>
      <c r="B207" s="35"/>
      <c r="C207" s="36"/>
      <c r="D207" s="27"/>
      <c r="E207" s="26"/>
      <c r="F207" s="26"/>
    </row>
    <row r="208" customFormat="false" ht="15" hidden="false" customHeight="false" outlineLevel="0" collapsed="false">
      <c r="A208" s="26"/>
      <c r="B208" s="35"/>
      <c r="C208" s="36"/>
      <c r="D208" s="27"/>
      <c r="E208" s="26"/>
      <c r="F208" s="26"/>
    </row>
    <row r="209" customFormat="false" ht="15" hidden="false" customHeight="false" outlineLevel="0" collapsed="false">
      <c r="A209" s="26"/>
      <c r="B209" s="35"/>
      <c r="C209" s="36"/>
      <c r="D209" s="27"/>
      <c r="E209" s="26"/>
      <c r="F209" s="26"/>
    </row>
    <row r="210" customFormat="false" ht="15" hidden="false" customHeight="false" outlineLevel="0" collapsed="false">
      <c r="A210" s="26"/>
      <c r="B210" s="35"/>
      <c r="C210" s="36"/>
      <c r="D210" s="27"/>
      <c r="E210" s="26"/>
      <c r="F210" s="26"/>
    </row>
    <row r="211" customFormat="false" ht="15" hidden="false" customHeight="false" outlineLevel="0" collapsed="false">
      <c r="A211" s="26"/>
      <c r="B211" s="35"/>
      <c r="C211" s="36"/>
      <c r="D211" s="27"/>
      <c r="E211" s="26"/>
      <c r="F211" s="26"/>
    </row>
    <row r="212" customFormat="false" ht="15" hidden="false" customHeight="false" outlineLevel="0" collapsed="false">
      <c r="A212" s="26"/>
      <c r="B212" s="35"/>
      <c r="C212" s="36"/>
      <c r="D212" s="27"/>
      <c r="E212" s="26"/>
      <c r="F212" s="26"/>
    </row>
    <row r="213" customFormat="false" ht="15" hidden="false" customHeight="false" outlineLevel="0" collapsed="false">
      <c r="A213" s="26"/>
      <c r="B213" s="35"/>
      <c r="C213" s="36"/>
      <c r="D213" s="27"/>
      <c r="E213" s="26"/>
      <c r="F213" s="26"/>
    </row>
    <row r="214" customFormat="false" ht="15" hidden="false" customHeight="false" outlineLevel="0" collapsed="false">
      <c r="A214" s="26"/>
      <c r="B214" s="35"/>
      <c r="C214" s="36"/>
      <c r="D214" s="27"/>
      <c r="E214" s="26"/>
      <c r="F214" s="26"/>
    </row>
    <row r="215" customFormat="false" ht="15" hidden="false" customHeight="false" outlineLevel="0" collapsed="false">
      <c r="A215" s="26"/>
      <c r="B215" s="35"/>
      <c r="C215" s="36"/>
      <c r="D215" s="27"/>
      <c r="E215" s="26"/>
      <c r="F215" s="26"/>
    </row>
    <row r="216" customFormat="false" ht="15" hidden="false" customHeight="false" outlineLevel="0" collapsed="false">
      <c r="A216" s="26"/>
      <c r="B216" s="35"/>
      <c r="C216" s="36"/>
      <c r="D216" s="27"/>
      <c r="E216" s="26"/>
      <c r="F216" s="26"/>
    </row>
    <row r="217" customFormat="false" ht="15" hidden="false" customHeight="false" outlineLevel="0" collapsed="false">
      <c r="A217" s="26"/>
      <c r="B217" s="35"/>
      <c r="C217" s="36"/>
      <c r="D217" s="27"/>
      <c r="E217" s="26"/>
      <c r="F217" s="26"/>
    </row>
    <row r="218" customFormat="false" ht="15" hidden="false" customHeight="false" outlineLevel="0" collapsed="false">
      <c r="A218" s="26"/>
      <c r="B218" s="35"/>
      <c r="C218" s="36"/>
      <c r="D218" s="27"/>
      <c r="E218" s="26"/>
      <c r="F218" s="26"/>
    </row>
    <row r="219" customFormat="false" ht="15" hidden="false" customHeight="false" outlineLevel="0" collapsed="false">
      <c r="A219" s="26"/>
      <c r="B219" s="35"/>
      <c r="C219" s="36"/>
      <c r="D219" s="27"/>
      <c r="E219" s="26"/>
      <c r="F219" s="26"/>
    </row>
    <row r="220" customFormat="false" ht="15" hidden="false" customHeight="false" outlineLevel="0" collapsed="false">
      <c r="A220" s="26"/>
      <c r="B220" s="35"/>
      <c r="C220" s="36"/>
      <c r="D220" s="27"/>
      <c r="E220" s="26"/>
      <c r="F220" s="26"/>
    </row>
    <row r="221" customFormat="false" ht="15" hidden="false" customHeight="false" outlineLevel="0" collapsed="false">
      <c r="A221" s="26"/>
      <c r="B221" s="35"/>
      <c r="C221" s="36"/>
      <c r="D221" s="27"/>
      <c r="E221" s="26"/>
      <c r="F221" s="26"/>
    </row>
    <row r="222" customFormat="false" ht="15" hidden="false" customHeight="false" outlineLevel="0" collapsed="false">
      <c r="A222" s="26"/>
      <c r="B222" s="35"/>
      <c r="C222" s="36"/>
      <c r="D222" s="27"/>
      <c r="E222" s="26"/>
      <c r="F222" s="26"/>
    </row>
    <row r="223" customFormat="false" ht="15" hidden="false" customHeight="false" outlineLevel="0" collapsed="false">
      <c r="A223" s="26"/>
      <c r="B223" s="35"/>
      <c r="C223" s="36"/>
      <c r="D223" s="27"/>
      <c r="E223" s="26"/>
      <c r="F223" s="26"/>
    </row>
    <row r="224" customFormat="false" ht="15" hidden="false" customHeight="false" outlineLevel="0" collapsed="false">
      <c r="A224" s="26"/>
      <c r="B224" s="35"/>
      <c r="C224" s="36"/>
      <c r="D224" s="27"/>
      <c r="E224" s="26"/>
      <c r="F224" s="26"/>
    </row>
    <row r="225" customFormat="false" ht="15" hidden="false" customHeight="false" outlineLevel="0" collapsed="false">
      <c r="A225" s="26"/>
      <c r="B225" s="35"/>
      <c r="C225" s="36"/>
      <c r="D225" s="27"/>
      <c r="E225" s="26"/>
      <c r="F225" s="26"/>
    </row>
    <row r="226" customFormat="false" ht="15" hidden="false" customHeight="false" outlineLevel="0" collapsed="false">
      <c r="A226" s="26"/>
      <c r="B226" s="35"/>
      <c r="C226" s="36"/>
      <c r="D226" s="27"/>
      <c r="E226" s="26"/>
      <c r="F226" s="26"/>
    </row>
    <row r="227" customFormat="false" ht="15" hidden="false" customHeight="false" outlineLevel="0" collapsed="false">
      <c r="A227" s="26"/>
      <c r="B227" s="35"/>
      <c r="C227" s="36"/>
      <c r="D227" s="27"/>
      <c r="E227" s="26"/>
      <c r="F227" s="26"/>
    </row>
    <row r="228" customFormat="false" ht="15" hidden="false" customHeight="false" outlineLevel="0" collapsed="false">
      <c r="A228" s="26"/>
      <c r="B228" s="35"/>
      <c r="C228" s="36"/>
      <c r="D228" s="27"/>
      <c r="E228" s="26"/>
      <c r="F228" s="26"/>
    </row>
    <row r="229" customFormat="false" ht="15" hidden="false" customHeight="false" outlineLevel="0" collapsed="false">
      <c r="A229" s="26"/>
      <c r="B229" s="35"/>
      <c r="C229" s="36"/>
      <c r="D229" s="27"/>
      <c r="E229" s="26"/>
      <c r="F229" s="26"/>
    </row>
    <row r="230" customFormat="false" ht="15" hidden="false" customHeight="false" outlineLevel="0" collapsed="false">
      <c r="A230" s="26"/>
      <c r="B230" s="35"/>
      <c r="C230" s="36"/>
      <c r="D230" s="27"/>
      <c r="E230" s="26"/>
      <c r="F230" s="26"/>
    </row>
    <row r="231" customFormat="false" ht="15" hidden="false" customHeight="false" outlineLevel="0" collapsed="false">
      <c r="A231" s="26"/>
      <c r="B231" s="35"/>
      <c r="C231" s="36"/>
      <c r="D231" s="27"/>
      <c r="E231" s="26"/>
      <c r="F231" s="26"/>
    </row>
    <row r="232" customFormat="false" ht="15" hidden="false" customHeight="false" outlineLevel="0" collapsed="false">
      <c r="A232" s="26"/>
      <c r="B232" s="35"/>
      <c r="C232" s="36"/>
      <c r="D232" s="27"/>
      <c r="E232" s="26"/>
      <c r="F232" s="26"/>
    </row>
    <row r="233" customFormat="false" ht="15" hidden="false" customHeight="false" outlineLevel="0" collapsed="false">
      <c r="A233" s="26"/>
      <c r="B233" s="35"/>
      <c r="C233" s="36"/>
      <c r="D233" s="27"/>
      <c r="E233" s="26"/>
      <c r="F233" s="26"/>
    </row>
    <row r="234" customFormat="false" ht="15" hidden="false" customHeight="false" outlineLevel="0" collapsed="false">
      <c r="A234" s="26"/>
      <c r="B234" s="35"/>
      <c r="C234" s="36"/>
      <c r="D234" s="27"/>
      <c r="E234" s="26"/>
      <c r="F234" s="26"/>
    </row>
    <row r="235" customFormat="false" ht="15" hidden="false" customHeight="false" outlineLevel="0" collapsed="false">
      <c r="A235" s="26"/>
      <c r="B235" s="35"/>
      <c r="C235" s="36"/>
      <c r="D235" s="27"/>
      <c r="E235" s="26"/>
      <c r="F235" s="26"/>
    </row>
    <row r="236" customFormat="false" ht="15" hidden="false" customHeight="false" outlineLevel="0" collapsed="false">
      <c r="A236" s="26"/>
      <c r="B236" s="35"/>
      <c r="C236" s="36"/>
      <c r="D236" s="27"/>
      <c r="E236" s="26"/>
      <c r="F236" s="26"/>
    </row>
    <row r="237" customFormat="false" ht="15" hidden="false" customHeight="false" outlineLevel="0" collapsed="false">
      <c r="A237" s="26"/>
      <c r="B237" s="35"/>
      <c r="C237" s="36"/>
      <c r="D237" s="27"/>
      <c r="E237" s="26"/>
      <c r="F237" s="26"/>
    </row>
    <row r="238" customFormat="false" ht="15" hidden="false" customHeight="false" outlineLevel="0" collapsed="false">
      <c r="A238" s="26"/>
      <c r="B238" s="35"/>
      <c r="C238" s="36"/>
      <c r="D238" s="27"/>
      <c r="E238" s="26"/>
      <c r="F238" s="26"/>
    </row>
    <row r="239" customFormat="false" ht="15" hidden="false" customHeight="false" outlineLevel="0" collapsed="false">
      <c r="A239" s="26"/>
      <c r="B239" s="35"/>
      <c r="C239" s="36"/>
      <c r="D239" s="27"/>
      <c r="E239" s="26"/>
      <c r="F239" s="26"/>
    </row>
    <row r="240" customFormat="false" ht="15" hidden="false" customHeight="false" outlineLevel="0" collapsed="false">
      <c r="A240" s="26"/>
      <c r="B240" s="35"/>
      <c r="C240" s="36"/>
      <c r="D240" s="27"/>
      <c r="E240" s="26"/>
      <c r="F240" s="26"/>
    </row>
    <row r="241" customFormat="false" ht="15" hidden="false" customHeight="false" outlineLevel="0" collapsed="false">
      <c r="A241" s="26"/>
      <c r="B241" s="35"/>
      <c r="C241" s="36"/>
      <c r="D241" s="27"/>
      <c r="E241" s="26"/>
      <c r="F241" s="26"/>
    </row>
    <row r="242" customFormat="false" ht="15" hidden="false" customHeight="false" outlineLevel="0" collapsed="false">
      <c r="A242" s="26"/>
      <c r="B242" s="35"/>
      <c r="C242" s="36"/>
      <c r="D242" s="27"/>
      <c r="E242" s="26"/>
      <c r="F242" s="26"/>
    </row>
    <row r="243" customFormat="false" ht="15" hidden="false" customHeight="false" outlineLevel="0" collapsed="false">
      <c r="A243" s="26"/>
      <c r="B243" s="35"/>
      <c r="C243" s="36"/>
      <c r="D243" s="27"/>
      <c r="E243" s="26"/>
      <c r="F243" s="26"/>
    </row>
    <row r="244" customFormat="false" ht="15" hidden="false" customHeight="false" outlineLevel="0" collapsed="false">
      <c r="A244" s="26"/>
      <c r="B244" s="35"/>
      <c r="C244" s="36"/>
      <c r="D244" s="27"/>
      <c r="E244" s="26"/>
      <c r="F244" s="26"/>
    </row>
    <row r="245" customFormat="false" ht="15" hidden="false" customHeight="false" outlineLevel="0" collapsed="false">
      <c r="A245" s="26"/>
      <c r="B245" s="35"/>
      <c r="C245" s="36"/>
      <c r="D245" s="27"/>
      <c r="E245" s="26"/>
      <c r="F245" s="26"/>
    </row>
    <row r="246" customFormat="false" ht="15" hidden="false" customHeight="false" outlineLevel="0" collapsed="false">
      <c r="A246" s="26"/>
      <c r="B246" s="35"/>
      <c r="C246" s="36"/>
      <c r="D246" s="27"/>
      <c r="E246" s="26"/>
      <c r="F246" s="26"/>
    </row>
    <row r="247" customFormat="false" ht="15" hidden="false" customHeight="false" outlineLevel="0" collapsed="false">
      <c r="A247" s="26"/>
      <c r="B247" s="35"/>
      <c r="C247" s="36"/>
      <c r="D247" s="27"/>
      <c r="E247" s="26"/>
      <c r="F247" s="26"/>
    </row>
    <row r="248" customFormat="false" ht="15" hidden="false" customHeight="false" outlineLevel="0" collapsed="false">
      <c r="A248" s="26"/>
      <c r="B248" s="35"/>
      <c r="C248" s="36"/>
      <c r="D248" s="27"/>
      <c r="E248" s="26"/>
      <c r="F248" s="26"/>
    </row>
    <row r="249" customFormat="false" ht="15" hidden="false" customHeight="false" outlineLevel="0" collapsed="false">
      <c r="A249" s="26"/>
      <c r="B249" s="35"/>
      <c r="C249" s="36"/>
      <c r="D249" s="27"/>
      <c r="E249" s="26"/>
      <c r="F249" s="26"/>
    </row>
    <row r="250" customFormat="false" ht="15" hidden="false" customHeight="false" outlineLevel="0" collapsed="false">
      <c r="A250" s="26"/>
      <c r="B250" s="35"/>
      <c r="C250" s="36"/>
      <c r="D250" s="27"/>
      <c r="E250" s="26"/>
      <c r="F250" s="26"/>
    </row>
    <row r="251" customFormat="false" ht="15" hidden="false" customHeight="false" outlineLevel="0" collapsed="false">
      <c r="A251" s="26"/>
      <c r="B251" s="35"/>
      <c r="C251" s="36"/>
      <c r="D251" s="27"/>
      <c r="E251" s="26"/>
      <c r="F251" s="26"/>
    </row>
    <row r="252" customFormat="false" ht="15" hidden="false" customHeight="false" outlineLevel="0" collapsed="false">
      <c r="A252" s="26"/>
      <c r="B252" s="35"/>
      <c r="C252" s="36"/>
      <c r="D252" s="27"/>
      <c r="E252" s="26"/>
      <c r="F252" s="26"/>
    </row>
    <row r="253" customFormat="false" ht="15" hidden="false" customHeight="false" outlineLevel="0" collapsed="false">
      <c r="A253" s="26"/>
      <c r="B253" s="35"/>
      <c r="C253" s="36"/>
      <c r="D253" s="27"/>
      <c r="E253" s="26"/>
      <c r="F253" s="26"/>
    </row>
    <row r="254" customFormat="false" ht="15" hidden="false" customHeight="false" outlineLevel="0" collapsed="false">
      <c r="A254" s="26"/>
      <c r="B254" s="35"/>
      <c r="C254" s="36"/>
      <c r="D254" s="27"/>
      <c r="E254" s="26"/>
      <c r="F254" s="26"/>
    </row>
    <row r="255" customFormat="false" ht="15" hidden="false" customHeight="false" outlineLevel="0" collapsed="false">
      <c r="A255" s="26"/>
      <c r="B255" s="35"/>
      <c r="C255" s="36"/>
      <c r="D255" s="27"/>
      <c r="E255" s="26"/>
      <c r="F255" s="26"/>
    </row>
    <row r="256" customFormat="false" ht="15" hidden="false" customHeight="false" outlineLevel="0" collapsed="false">
      <c r="A256" s="26"/>
      <c r="B256" s="35"/>
      <c r="C256" s="36"/>
      <c r="D256" s="27"/>
      <c r="E256" s="26"/>
      <c r="F256" s="26"/>
    </row>
    <row r="257" customFormat="false" ht="15" hidden="false" customHeight="false" outlineLevel="0" collapsed="false">
      <c r="A257" s="26"/>
      <c r="B257" s="35"/>
      <c r="C257" s="36"/>
      <c r="D257" s="27"/>
      <c r="E257" s="26"/>
      <c r="F257" s="26"/>
    </row>
    <row r="258" customFormat="false" ht="15" hidden="false" customHeight="false" outlineLevel="0" collapsed="false">
      <c r="A258" s="26"/>
      <c r="B258" s="35"/>
      <c r="C258" s="36"/>
      <c r="D258" s="27"/>
      <c r="E258" s="26"/>
      <c r="F258" s="26"/>
    </row>
    <row r="259" customFormat="false" ht="15" hidden="false" customHeight="false" outlineLevel="0" collapsed="false">
      <c r="A259" s="26"/>
      <c r="B259" s="35"/>
      <c r="C259" s="36"/>
      <c r="D259" s="27"/>
      <c r="E259" s="26"/>
      <c r="F259" s="26"/>
    </row>
    <row r="260" customFormat="false" ht="15" hidden="false" customHeight="false" outlineLevel="0" collapsed="false">
      <c r="A260" s="26"/>
      <c r="B260" s="35"/>
      <c r="C260" s="36"/>
      <c r="D260" s="27"/>
      <c r="E260" s="26"/>
      <c r="F260" s="26"/>
    </row>
    <row r="261" customFormat="false" ht="15" hidden="false" customHeight="false" outlineLevel="0" collapsed="false">
      <c r="A261" s="26"/>
      <c r="B261" s="35"/>
      <c r="C261" s="36"/>
      <c r="D261" s="27"/>
      <c r="E261" s="26"/>
      <c r="F261" s="26"/>
    </row>
    <row r="262" customFormat="false" ht="15" hidden="false" customHeight="false" outlineLevel="0" collapsed="false">
      <c r="A262" s="26"/>
      <c r="B262" s="35"/>
      <c r="C262" s="36"/>
      <c r="D262" s="27"/>
      <c r="E262" s="26"/>
      <c r="F262" s="26"/>
    </row>
    <row r="263" customFormat="false" ht="15" hidden="false" customHeight="false" outlineLevel="0" collapsed="false">
      <c r="A263" s="26"/>
      <c r="B263" s="35"/>
      <c r="C263" s="36"/>
      <c r="D263" s="27"/>
      <c r="E263" s="26"/>
      <c r="F263" s="26"/>
    </row>
    <row r="264" customFormat="false" ht="15" hidden="false" customHeight="false" outlineLevel="0" collapsed="false">
      <c r="A264" s="26"/>
      <c r="B264" s="35"/>
      <c r="C264" s="36"/>
      <c r="D264" s="27"/>
      <c r="E264" s="26"/>
      <c r="F264" s="26"/>
    </row>
    <row r="265" customFormat="false" ht="15" hidden="false" customHeight="false" outlineLevel="0" collapsed="false">
      <c r="A265" s="26"/>
      <c r="B265" s="35"/>
      <c r="C265" s="36"/>
      <c r="D265" s="27"/>
      <c r="E265" s="26"/>
      <c r="F265" s="26"/>
    </row>
    <row r="266" customFormat="false" ht="15" hidden="false" customHeight="false" outlineLevel="0" collapsed="false">
      <c r="A266" s="26"/>
      <c r="B266" s="35"/>
      <c r="C266" s="36"/>
      <c r="D266" s="27"/>
      <c r="E266" s="26"/>
      <c r="F266" s="26"/>
    </row>
    <row r="267" customFormat="false" ht="15" hidden="false" customHeight="false" outlineLevel="0" collapsed="false">
      <c r="A267" s="26"/>
      <c r="B267" s="35"/>
      <c r="C267" s="36"/>
      <c r="D267" s="27"/>
      <c r="E267" s="26"/>
      <c r="F267" s="26"/>
    </row>
    <row r="268" customFormat="false" ht="15" hidden="false" customHeight="false" outlineLevel="0" collapsed="false">
      <c r="A268" s="26"/>
      <c r="B268" s="35"/>
      <c r="C268" s="36"/>
      <c r="D268" s="27"/>
      <c r="E268" s="26"/>
      <c r="F268" s="26"/>
    </row>
    <row r="269" customFormat="false" ht="15" hidden="false" customHeight="false" outlineLevel="0" collapsed="false">
      <c r="A269" s="26"/>
      <c r="B269" s="35"/>
      <c r="C269" s="36"/>
      <c r="D269" s="27"/>
      <c r="E269" s="26"/>
      <c r="F269" s="26"/>
    </row>
    <row r="270" customFormat="false" ht="15" hidden="false" customHeight="false" outlineLevel="0" collapsed="false">
      <c r="A270" s="26"/>
      <c r="B270" s="35"/>
      <c r="C270" s="36"/>
      <c r="D270" s="27"/>
      <c r="E270" s="26"/>
      <c r="F270" s="26"/>
    </row>
    <row r="271" customFormat="false" ht="15" hidden="false" customHeight="false" outlineLevel="0" collapsed="false">
      <c r="A271" s="26"/>
      <c r="B271" s="35"/>
      <c r="C271" s="36"/>
      <c r="D271" s="27"/>
      <c r="E271" s="26"/>
      <c r="F271" s="26"/>
    </row>
    <row r="272" customFormat="false" ht="15" hidden="false" customHeight="false" outlineLevel="0" collapsed="false">
      <c r="A272" s="26"/>
      <c r="B272" s="35"/>
      <c r="C272" s="36"/>
      <c r="D272" s="27"/>
      <c r="E272" s="26"/>
      <c r="F272" s="26"/>
    </row>
    <row r="273" customFormat="false" ht="15" hidden="false" customHeight="false" outlineLevel="0" collapsed="false">
      <c r="A273" s="26"/>
      <c r="B273" s="35"/>
      <c r="C273" s="36"/>
      <c r="D273" s="27"/>
      <c r="E273" s="26"/>
      <c r="F273" s="26"/>
    </row>
    <row r="274" customFormat="false" ht="15" hidden="false" customHeight="false" outlineLevel="0" collapsed="false">
      <c r="A274" s="26"/>
      <c r="B274" s="35"/>
      <c r="C274" s="36"/>
      <c r="D274" s="27"/>
      <c r="E274" s="26"/>
      <c r="F274" s="26"/>
    </row>
    <row r="275" customFormat="false" ht="15" hidden="false" customHeight="false" outlineLevel="0" collapsed="false">
      <c r="A275" s="26"/>
      <c r="B275" s="35"/>
      <c r="C275" s="36"/>
      <c r="D275" s="27"/>
      <c r="E275" s="26"/>
      <c r="F275" s="26"/>
    </row>
    <row r="276" customFormat="false" ht="15" hidden="false" customHeight="false" outlineLevel="0" collapsed="false">
      <c r="A276" s="26"/>
      <c r="B276" s="35"/>
      <c r="C276" s="36"/>
      <c r="D276" s="27"/>
      <c r="E276" s="26"/>
      <c r="F276" s="26"/>
    </row>
    <row r="277" customFormat="false" ht="15" hidden="false" customHeight="false" outlineLevel="0" collapsed="false">
      <c r="A277" s="26"/>
      <c r="B277" s="35"/>
      <c r="C277" s="36"/>
      <c r="D277" s="27"/>
      <c r="E277" s="26"/>
      <c r="F277" s="26"/>
    </row>
    <row r="278" customFormat="false" ht="15" hidden="false" customHeight="false" outlineLevel="0" collapsed="false">
      <c r="A278" s="26"/>
      <c r="B278" s="35"/>
      <c r="C278" s="36"/>
      <c r="D278" s="27"/>
      <c r="E278" s="26"/>
      <c r="F278" s="26"/>
    </row>
    <row r="279" customFormat="false" ht="15" hidden="false" customHeight="false" outlineLevel="0" collapsed="false">
      <c r="A279" s="26"/>
      <c r="B279" s="35"/>
      <c r="C279" s="36"/>
      <c r="D279" s="27"/>
      <c r="E279" s="26"/>
      <c r="F279" s="26"/>
    </row>
    <row r="280" customFormat="false" ht="15" hidden="false" customHeight="false" outlineLevel="0" collapsed="false">
      <c r="A280" s="26"/>
      <c r="B280" s="35"/>
      <c r="C280" s="36"/>
      <c r="D280" s="27"/>
      <c r="E280" s="26"/>
      <c r="F280" s="26"/>
    </row>
    <row r="281" customFormat="false" ht="15" hidden="false" customHeight="false" outlineLevel="0" collapsed="false">
      <c r="A281" s="26"/>
      <c r="B281" s="35"/>
      <c r="C281" s="36"/>
      <c r="D281" s="27"/>
      <c r="E281" s="26"/>
      <c r="F281" s="26"/>
    </row>
    <row r="282" customFormat="false" ht="15" hidden="false" customHeight="false" outlineLevel="0" collapsed="false">
      <c r="A282" s="26"/>
      <c r="B282" s="35"/>
      <c r="C282" s="36"/>
      <c r="D282" s="27"/>
      <c r="E282" s="26"/>
      <c r="F282" s="26"/>
    </row>
    <row r="283" customFormat="false" ht="15" hidden="false" customHeight="false" outlineLevel="0" collapsed="false">
      <c r="A283" s="26"/>
      <c r="B283" s="35"/>
      <c r="C283" s="36"/>
      <c r="D283" s="27"/>
      <c r="E283" s="26"/>
      <c r="F283" s="26"/>
    </row>
    <row r="284" customFormat="false" ht="15" hidden="false" customHeight="false" outlineLevel="0" collapsed="false">
      <c r="A284" s="26"/>
      <c r="B284" s="35"/>
      <c r="C284" s="36"/>
      <c r="D284" s="27"/>
      <c r="E284" s="26"/>
      <c r="F284" s="26"/>
    </row>
    <row r="285" customFormat="false" ht="15" hidden="false" customHeight="false" outlineLevel="0" collapsed="false">
      <c r="A285" s="26"/>
      <c r="B285" s="35"/>
      <c r="C285" s="36"/>
      <c r="D285" s="27"/>
      <c r="E285" s="26"/>
      <c r="F285" s="26"/>
    </row>
    <row r="286" customFormat="false" ht="15" hidden="false" customHeight="false" outlineLevel="0" collapsed="false">
      <c r="A286" s="26"/>
      <c r="B286" s="35"/>
      <c r="C286" s="36"/>
      <c r="D286" s="27"/>
      <c r="E286" s="26"/>
      <c r="F286" s="26"/>
    </row>
    <row r="287" customFormat="false" ht="15" hidden="false" customHeight="false" outlineLevel="0" collapsed="false">
      <c r="A287" s="26"/>
      <c r="B287" s="35"/>
      <c r="C287" s="36"/>
      <c r="D287" s="27"/>
      <c r="E287" s="26"/>
      <c r="F287" s="26"/>
    </row>
    <row r="288" customFormat="false" ht="15" hidden="false" customHeight="false" outlineLevel="0" collapsed="false">
      <c r="A288" s="26"/>
      <c r="B288" s="35"/>
      <c r="C288" s="36"/>
      <c r="D288" s="27"/>
      <c r="E288" s="26"/>
      <c r="F288" s="26"/>
    </row>
    <row r="289" customFormat="false" ht="15" hidden="false" customHeight="false" outlineLevel="0" collapsed="false">
      <c r="A289" s="26"/>
      <c r="B289" s="35"/>
      <c r="C289" s="36"/>
      <c r="D289" s="27"/>
      <c r="E289" s="26"/>
      <c r="F289" s="26"/>
    </row>
    <row r="290" customFormat="false" ht="15" hidden="false" customHeight="false" outlineLevel="0" collapsed="false">
      <c r="A290" s="26"/>
      <c r="B290" s="35"/>
      <c r="C290" s="36"/>
      <c r="D290" s="27"/>
      <c r="E290" s="26"/>
      <c r="F290" s="26"/>
    </row>
    <row r="291" customFormat="false" ht="15" hidden="false" customHeight="false" outlineLevel="0" collapsed="false">
      <c r="A291" s="26"/>
      <c r="B291" s="35"/>
      <c r="C291" s="36"/>
      <c r="D291" s="27"/>
      <c r="E291" s="26"/>
      <c r="F291" s="26"/>
    </row>
    <row r="292" customFormat="false" ht="15" hidden="false" customHeight="false" outlineLevel="0" collapsed="false">
      <c r="A292" s="26"/>
      <c r="B292" s="35"/>
      <c r="C292" s="36"/>
      <c r="D292" s="27"/>
      <c r="E292" s="26"/>
      <c r="F292" s="26"/>
    </row>
    <row r="293" customFormat="false" ht="15" hidden="false" customHeight="false" outlineLevel="0" collapsed="false">
      <c r="A293" s="26"/>
      <c r="B293" s="35"/>
      <c r="C293" s="36"/>
      <c r="D293" s="27"/>
      <c r="E293" s="26"/>
      <c r="F293" s="26"/>
    </row>
    <row r="294" customFormat="false" ht="15" hidden="false" customHeight="false" outlineLevel="0" collapsed="false">
      <c r="A294" s="26"/>
      <c r="B294" s="35"/>
      <c r="C294" s="36"/>
      <c r="D294" s="27"/>
      <c r="E294" s="26"/>
      <c r="F294" s="26"/>
    </row>
    <row r="295" customFormat="false" ht="15" hidden="false" customHeight="false" outlineLevel="0" collapsed="false">
      <c r="A295" s="26"/>
      <c r="B295" s="35"/>
      <c r="C295" s="36"/>
      <c r="D295" s="27"/>
      <c r="E295" s="26"/>
      <c r="F295" s="26"/>
    </row>
    <row r="296" customFormat="false" ht="15" hidden="false" customHeight="false" outlineLevel="0" collapsed="false">
      <c r="A296" s="26"/>
      <c r="B296" s="35"/>
      <c r="C296" s="36"/>
      <c r="D296" s="27"/>
      <c r="E296" s="26"/>
      <c r="F296" s="26"/>
    </row>
    <row r="297" customFormat="false" ht="15" hidden="false" customHeight="false" outlineLevel="0" collapsed="false">
      <c r="A297" s="26"/>
      <c r="B297" s="35"/>
      <c r="C297" s="36"/>
      <c r="D297" s="27"/>
      <c r="E297" s="26"/>
      <c r="F297" s="26"/>
    </row>
    <row r="298" customFormat="false" ht="15" hidden="false" customHeight="false" outlineLevel="0" collapsed="false">
      <c r="A298" s="26"/>
      <c r="B298" s="35"/>
      <c r="C298" s="36"/>
      <c r="D298" s="27"/>
      <c r="E298" s="26"/>
      <c r="F298" s="26"/>
    </row>
    <row r="299" customFormat="false" ht="15" hidden="false" customHeight="false" outlineLevel="0" collapsed="false">
      <c r="A299" s="26"/>
      <c r="B299" s="35"/>
      <c r="C299" s="36"/>
      <c r="D299" s="27"/>
      <c r="E299" s="26"/>
      <c r="F299" s="26"/>
    </row>
    <row r="300" customFormat="false" ht="15" hidden="false" customHeight="false" outlineLevel="0" collapsed="false">
      <c r="A300" s="26"/>
      <c r="B300" s="35"/>
      <c r="C300" s="36"/>
      <c r="D300" s="27"/>
      <c r="E300" s="26"/>
      <c r="F300" s="26"/>
    </row>
    <row r="301" customFormat="false" ht="15" hidden="false" customHeight="false" outlineLevel="0" collapsed="false">
      <c r="A301" s="26"/>
      <c r="B301" s="35"/>
      <c r="C301" s="36"/>
      <c r="D301" s="27"/>
      <c r="E301" s="26"/>
      <c r="F301" s="26"/>
    </row>
    <row r="302" customFormat="false" ht="15" hidden="false" customHeight="false" outlineLevel="0" collapsed="false">
      <c r="A302" s="26"/>
      <c r="B302" s="35"/>
      <c r="C302" s="36"/>
      <c r="D302" s="27"/>
      <c r="E302" s="26"/>
      <c r="F302" s="26"/>
    </row>
    <row r="303" customFormat="false" ht="15" hidden="false" customHeight="false" outlineLevel="0" collapsed="false">
      <c r="A303" s="26"/>
      <c r="B303" s="35"/>
      <c r="C303" s="36"/>
      <c r="D303" s="27"/>
      <c r="E303" s="26"/>
      <c r="F303" s="26"/>
    </row>
    <row r="304" customFormat="false" ht="15" hidden="false" customHeight="false" outlineLevel="0" collapsed="false">
      <c r="A304" s="26"/>
      <c r="B304" s="35"/>
      <c r="C304" s="36"/>
      <c r="D304" s="27"/>
      <c r="E304" s="26"/>
      <c r="F304" s="26"/>
    </row>
    <row r="305" customFormat="false" ht="15" hidden="false" customHeight="false" outlineLevel="0" collapsed="false">
      <c r="A305" s="26"/>
      <c r="B305" s="35"/>
      <c r="C305" s="36"/>
      <c r="D305" s="27"/>
      <c r="E305" s="26"/>
      <c r="F305" s="26"/>
    </row>
  </sheetData>
  <dataValidations count="2">
    <dataValidation allowBlank="true" errorStyle="stop" operator="between" showDropDown="false" showErrorMessage="false" showInputMessage="false" sqref="A5:A305" type="list">
      <formula1>'TỔNG HỢP'!$B$9:$B$38</formula1>
      <formula2>0</formula2>
    </dataValidation>
    <dataValidation allowBlank="true" errorStyle="stop" operator="between" showDropDown="false" showErrorMessage="false" showInputMessage="false" sqref="E5:E305" type="list">
      <formula1>"Có,Không"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10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27.75" hidden="false" customHeight="true" outlineLevel="0" collapsed="false">
      <c r="A4" s="12" t="s">
        <v>114</v>
      </c>
      <c r="B4" s="12" t="s">
        <v>9</v>
      </c>
      <c r="C4" s="12" t="s">
        <v>51</v>
      </c>
      <c r="D4" s="12" t="s">
        <v>115</v>
      </c>
      <c r="E4" s="12" t="s">
        <v>116</v>
      </c>
      <c r="F4" s="12" t="s">
        <v>117</v>
      </c>
    </row>
    <row r="5" customFormat="false" ht="15" hidden="false" customHeight="false" outlineLevel="0" collapsed="false">
      <c r="A5" s="41" t="n">
        <v>1</v>
      </c>
      <c r="B5" s="42" t="s">
        <v>118</v>
      </c>
      <c r="C5" s="43"/>
      <c r="D5" s="41" t="s">
        <v>119</v>
      </c>
      <c r="E5" s="44"/>
      <c r="F5" s="45" t="s">
        <v>120</v>
      </c>
    </row>
    <row r="6" customFormat="false" ht="23.85" hidden="false" customHeight="false" outlineLevel="0" collapsed="false">
      <c r="A6" s="41" t="n">
        <v>2</v>
      </c>
      <c r="B6" s="42" t="s">
        <v>33</v>
      </c>
      <c r="C6" s="43" t="n">
        <v>46235</v>
      </c>
      <c r="D6" s="41" t="s">
        <v>66</v>
      </c>
      <c r="E6" s="44" t="n">
        <v>1970880</v>
      </c>
      <c r="F6" s="46" t="s">
        <v>121</v>
      </c>
    </row>
    <row r="7" customFormat="false" ht="15" hidden="false" customHeight="false" outlineLevel="0" collapsed="false">
      <c r="A7" s="41" t="n">
        <v>3</v>
      </c>
      <c r="B7" s="42" t="s">
        <v>32</v>
      </c>
      <c r="C7" s="43" t="n">
        <v>46174</v>
      </c>
      <c r="D7" s="41" t="s">
        <v>70</v>
      </c>
      <c r="E7" s="44" t="n">
        <v>-3173560</v>
      </c>
      <c r="F7" s="46" t="s">
        <v>121</v>
      </c>
    </row>
    <row r="8" customFormat="false" ht="23.85" hidden="false" customHeight="false" outlineLevel="0" collapsed="false">
      <c r="A8" s="41" t="n">
        <v>4</v>
      </c>
      <c r="B8" s="42" t="s">
        <v>32</v>
      </c>
      <c r="C8" s="43" t="n">
        <v>46204</v>
      </c>
      <c r="D8" s="41" t="s">
        <v>72</v>
      </c>
      <c r="E8" s="44" t="n">
        <v>8470240</v>
      </c>
      <c r="F8" s="46" t="s">
        <v>121</v>
      </c>
    </row>
    <row r="9" customFormat="false" ht="23.85" hidden="false" customHeight="false" outlineLevel="0" collapsed="false">
      <c r="A9" s="41" t="n">
        <v>5</v>
      </c>
      <c r="B9" s="42" t="s">
        <v>40</v>
      </c>
      <c r="C9" s="43" t="n">
        <v>46204</v>
      </c>
      <c r="D9" s="41" t="s">
        <v>75</v>
      </c>
      <c r="E9" s="44" t="n">
        <v>-17100000</v>
      </c>
      <c r="F9" s="46" t="s">
        <v>121</v>
      </c>
    </row>
    <row r="10" customFormat="false" ht="15" hidden="false" customHeight="false" outlineLevel="0" collapsed="false">
      <c r="A10" s="41" t="n">
        <v>6</v>
      </c>
      <c r="B10" s="42" t="s">
        <v>40</v>
      </c>
      <c r="C10" s="43" t="n">
        <v>46235</v>
      </c>
      <c r="D10" s="41" t="s">
        <v>76</v>
      </c>
      <c r="E10" s="44" t="n">
        <v>-17100000</v>
      </c>
      <c r="F10" s="46" t="s">
        <v>121</v>
      </c>
    </row>
    <row r="11" customFormat="false" ht="23.85" hidden="false" customHeight="false" outlineLevel="0" collapsed="false">
      <c r="A11" s="41" t="n">
        <v>7</v>
      </c>
      <c r="B11" s="42" t="s">
        <v>40</v>
      </c>
      <c r="C11" s="43" t="n">
        <v>46266</v>
      </c>
      <c r="D11" s="41" t="s">
        <v>77</v>
      </c>
      <c r="E11" s="44" t="n">
        <v>-23814963.5</v>
      </c>
      <c r="F11" s="46" t="s">
        <v>121</v>
      </c>
    </row>
    <row r="12" customFormat="false" ht="57.45" hidden="false" customHeight="false" outlineLevel="0" collapsed="false">
      <c r="A12" s="41" t="n">
        <v>8</v>
      </c>
      <c r="B12" s="42" t="s">
        <v>122</v>
      </c>
      <c r="C12" s="43"/>
      <c r="D12" s="41" t="s">
        <v>123</v>
      </c>
      <c r="E12" s="44"/>
      <c r="F12" s="47" t="s">
        <v>124</v>
      </c>
    </row>
    <row r="13" customFormat="false" ht="23.85" hidden="false" customHeight="false" outlineLevel="0" collapsed="false">
      <c r="A13" s="41" t="n">
        <v>9</v>
      </c>
      <c r="B13" s="42" t="s">
        <v>125</v>
      </c>
      <c r="C13" s="43"/>
      <c r="D13" s="41" t="s">
        <v>126</v>
      </c>
      <c r="E13" s="44"/>
      <c r="F13" s="47" t="s">
        <v>124</v>
      </c>
    </row>
    <row r="14" customFormat="false" ht="46.25" hidden="false" customHeight="false" outlineLevel="0" collapsed="false">
      <c r="A14" s="41" t="n">
        <v>10</v>
      </c>
      <c r="B14" s="42" t="s">
        <v>127</v>
      </c>
      <c r="C14" s="43"/>
      <c r="D14" s="41" t="s">
        <v>128</v>
      </c>
      <c r="E14" s="44"/>
      <c r="F14" s="47" t="s">
        <v>124</v>
      </c>
    </row>
    <row r="15" customFormat="false" ht="15" hidden="false" customHeight="false" outlineLevel="0" collapsed="false">
      <c r="A15" s="41" t="n">
        <v>11</v>
      </c>
      <c r="B15" s="42" t="s">
        <v>24</v>
      </c>
      <c r="C15" s="43" t="n">
        <v>46266</v>
      </c>
      <c r="D15" s="41" t="s">
        <v>129</v>
      </c>
      <c r="E15" s="44"/>
      <c r="F15" s="48" t="s">
        <v>130</v>
      </c>
    </row>
    <row r="16" customFormat="false" ht="15" hidden="false" customHeight="false" outlineLevel="0" collapsed="false">
      <c r="A16" s="41" t="n">
        <v>12</v>
      </c>
      <c r="B16" s="42" t="s">
        <v>38</v>
      </c>
      <c r="C16" s="43" t="n">
        <v>46174</v>
      </c>
      <c r="D16" s="41" t="s">
        <v>131</v>
      </c>
      <c r="E16" s="44"/>
      <c r="F16" s="48" t="s">
        <v>130</v>
      </c>
    </row>
    <row r="17" customFormat="false" ht="15" hidden="false" customHeight="false" outlineLevel="0" collapsed="false">
      <c r="A17" s="41" t="n">
        <v>13</v>
      </c>
      <c r="B17" s="42" t="s">
        <v>39</v>
      </c>
      <c r="C17" s="43" t="n">
        <v>46266</v>
      </c>
      <c r="D17" s="41" t="s">
        <v>132</v>
      </c>
      <c r="E17" s="44"/>
      <c r="F17" s="48" t="s">
        <v>130</v>
      </c>
    </row>
    <row r="18" customFormat="false" ht="15" hidden="false" customHeight="false" outlineLevel="0" collapsed="false">
      <c r="A18" s="41" t="n">
        <v>14</v>
      </c>
      <c r="B18" s="42" t="s">
        <v>25</v>
      </c>
      <c r="C18" s="43" t="n">
        <v>46266</v>
      </c>
      <c r="D18" s="41" t="s">
        <v>132</v>
      </c>
      <c r="E18" s="44"/>
      <c r="F18" s="48" t="s">
        <v>130</v>
      </c>
    </row>
    <row r="19" customFormat="false" ht="15" hidden="false" customHeight="false" outlineLevel="0" collapsed="false">
      <c r="A19" s="41" t="n">
        <v>15</v>
      </c>
      <c r="B19" s="42" t="s">
        <v>23</v>
      </c>
      <c r="C19" s="43" t="n">
        <v>46266</v>
      </c>
      <c r="D19" s="41" t="s">
        <v>132</v>
      </c>
      <c r="E19" s="44"/>
      <c r="F19" s="48" t="s">
        <v>130</v>
      </c>
    </row>
    <row r="20" customFormat="false" ht="15" hidden="false" customHeight="false" outlineLevel="0" collapsed="false">
      <c r="A20" s="41" t="n">
        <v>16</v>
      </c>
      <c r="B20" s="42" t="s">
        <v>20</v>
      </c>
      <c r="C20" s="43" t="n">
        <v>46266</v>
      </c>
      <c r="D20" s="41" t="s">
        <v>132</v>
      </c>
      <c r="E20" s="44"/>
      <c r="F20" s="48" t="s">
        <v>130</v>
      </c>
    </row>
    <row r="21" customFormat="false" ht="15" hidden="false" customHeight="false" outlineLevel="0" collapsed="false">
      <c r="A21" s="41" t="n">
        <v>17</v>
      </c>
      <c r="B21" s="42" t="s">
        <v>30</v>
      </c>
      <c r="C21" s="43" t="n">
        <v>46266</v>
      </c>
      <c r="D21" s="41" t="s">
        <v>129</v>
      </c>
      <c r="E21" s="44"/>
      <c r="F21" s="48" t="s">
        <v>130</v>
      </c>
    </row>
    <row r="22" customFormat="false" ht="15" hidden="false" customHeight="false" outlineLevel="0" collapsed="false">
      <c r="A22" s="41" t="n">
        <v>18</v>
      </c>
      <c r="B22" s="42" t="s">
        <v>28</v>
      </c>
      <c r="C22" s="43"/>
      <c r="D22" s="41" t="s">
        <v>133</v>
      </c>
      <c r="E22" s="44"/>
      <c r="F22" s="49" t="s">
        <v>18</v>
      </c>
    </row>
    <row r="23" customFormat="false" ht="15" hidden="false" customHeight="false" outlineLevel="0" collapsed="false">
      <c r="A23" s="41" t="n">
        <v>19</v>
      </c>
      <c r="B23" s="42" t="s">
        <v>21</v>
      </c>
      <c r="C23" s="43"/>
      <c r="D23" s="41" t="s">
        <v>134</v>
      </c>
      <c r="E23" s="44"/>
      <c r="F23" s="49" t="s">
        <v>18</v>
      </c>
    </row>
    <row r="24" customFormat="false" ht="15" hidden="false" customHeight="false" outlineLevel="0" collapsed="false">
      <c r="A24" s="41" t="n">
        <v>20</v>
      </c>
      <c r="B24" s="42" t="s">
        <v>41</v>
      </c>
      <c r="C24" s="43" t="n">
        <v>46174</v>
      </c>
      <c r="D24" s="41" t="s">
        <v>78</v>
      </c>
      <c r="E24" s="44"/>
      <c r="F24" s="49" t="s">
        <v>18</v>
      </c>
    </row>
    <row r="25" customFormat="false" ht="15" hidden="false" customHeight="false" outlineLevel="0" collapsed="false">
      <c r="A25" s="41" t="n">
        <v>21</v>
      </c>
      <c r="B25" s="42" t="s">
        <v>24</v>
      </c>
      <c r="C25" s="43" t="n">
        <v>46174</v>
      </c>
      <c r="D25" s="41" t="s">
        <v>135</v>
      </c>
      <c r="E25" s="44" t="n">
        <v>1113000</v>
      </c>
      <c r="F25" s="49" t="s">
        <v>18</v>
      </c>
    </row>
    <row r="26" customFormat="false" ht="15" hidden="false" customHeight="false" outlineLevel="0" collapsed="false">
      <c r="A26" s="41" t="n">
        <v>22</v>
      </c>
      <c r="B26" s="42" t="s">
        <v>24</v>
      </c>
      <c r="C26" s="43"/>
      <c r="D26" s="41" t="s">
        <v>133</v>
      </c>
      <c r="E26" s="44"/>
      <c r="F26" s="49" t="s">
        <v>18</v>
      </c>
    </row>
    <row r="27" customFormat="false" ht="15" hidden="false" customHeight="false" outlineLevel="0" collapsed="false">
      <c r="A27" s="41" t="n">
        <v>23</v>
      </c>
      <c r="B27" s="42" t="s">
        <v>38</v>
      </c>
      <c r="C27" s="43" t="n">
        <v>46174</v>
      </c>
      <c r="D27" s="41" t="s">
        <v>73</v>
      </c>
      <c r="E27" s="44"/>
      <c r="F27" s="49" t="s">
        <v>18</v>
      </c>
    </row>
    <row r="28" customFormat="false" ht="15" hidden="false" customHeight="false" outlineLevel="0" collapsed="false">
      <c r="A28" s="41" t="n">
        <v>24</v>
      </c>
      <c r="B28" s="42" t="s">
        <v>39</v>
      </c>
      <c r="C28" s="43" t="n">
        <v>46266</v>
      </c>
      <c r="D28" s="41" t="s">
        <v>74</v>
      </c>
      <c r="E28" s="44"/>
      <c r="F28" s="49" t="s">
        <v>18</v>
      </c>
    </row>
    <row r="29" customFormat="false" ht="15" hidden="false" customHeight="false" outlineLevel="0" collapsed="false">
      <c r="A29" s="41" t="n">
        <v>25</v>
      </c>
      <c r="B29" s="42" t="s">
        <v>39</v>
      </c>
      <c r="C29" s="43"/>
      <c r="D29" s="41" t="s">
        <v>133</v>
      </c>
      <c r="E29" s="44"/>
      <c r="F29" s="49" t="s">
        <v>18</v>
      </c>
    </row>
    <row r="30" customFormat="false" ht="15" hidden="false" customHeight="false" outlineLevel="0" collapsed="false">
      <c r="A30" s="41" t="n">
        <v>26</v>
      </c>
      <c r="B30" s="42" t="s">
        <v>25</v>
      </c>
      <c r="C30" s="43" t="n">
        <v>46235</v>
      </c>
      <c r="D30" s="41" t="s">
        <v>136</v>
      </c>
      <c r="E30" s="44" t="n">
        <v>2089000</v>
      </c>
      <c r="F30" s="49" t="s">
        <v>18</v>
      </c>
    </row>
    <row r="31" customFormat="false" ht="15" hidden="false" customHeight="false" outlineLevel="0" collapsed="false">
      <c r="A31" s="41" t="n">
        <v>27</v>
      </c>
      <c r="B31" s="42" t="s">
        <v>19</v>
      </c>
      <c r="C31" s="43"/>
      <c r="D31" s="41" t="s">
        <v>133</v>
      </c>
      <c r="E31" s="44"/>
      <c r="F31" s="49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9.7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39.75" hidden="false" customHeight="true" outlineLevel="0" collapsed="false">
      <c r="A4" s="50" t="s">
        <v>139</v>
      </c>
    </row>
    <row r="5" customFormat="false" ht="39.75" hidden="false" customHeight="true" outlineLevel="0" collapsed="false">
      <c r="A5" s="50" t="s">
        <v>140</v>
      </c>
    </row>
    <row r="6" customFormat="false" ht="39.75" hidden="false" customHeight="true" outlineLevel="0" collapsed="false">
      <c r="A6" s="50" t="s">
        <v>141</v>
      </c>
    </row>
    <row r="7" customFormat="false" ht="39.75" hidden="false" customHeight="true" outlineLevel="0" collapsed="false">
      <c r="A7" s="50" t="s">
        <v>142</v>
      </c>
    </row>
    <row r="8" customFormat="false" ht="39.75" hidden="false" customHeight="true" outlineLevel="0" collapsed="false">
      <c r="A8" s="50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2026-10-08T17:33:22Z</dcterms:created>
  <dc:creator>openpyxl</dc:creator>
  <dc:description/>
  <dc:language>en-US</dc:language>
  <cp:lastModifiedBy/>
  <dcterms:modified xsi:type="dcterms:W3CDTF">2026-10-08T17:33:24Z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