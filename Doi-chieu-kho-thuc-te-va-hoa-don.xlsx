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2.xml.rels" ContentType="application/vnd.openxmlformats-package.relationships+xml"/>
  <Override PartName="/xl/worksheets/_rels/sheet1.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sharedStrings.xml" ContentType="application/vnd.openxmlformats-officedocument.spreadsheetml.sharedStrings+xml"/>
  <Override PartName="/xl/drawings/_rels/drawing1.xml.rels" ContentType="application/vnd.openxmlformats-package.relationship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TỔNG QUAN" sheetId="1" state="visible" r:id="rId3"/>
    <sheet name="ĐỐI CHIẾU" sheetId="2" state="visible" r:id="rId4"/>
    <sheet name="PHIẾU XUẤT KHỚP KHO" sheetId="3" state="visible" r:id="rId5"/>
    <sheet name="MÀU TINTING" sheetId="4" state="visible" r:id="rId6"/>
    <sheet name="MÀU ĐÃ PHA" sheetId="5" state="visible" r:id="rId7"/>
    <sheet name="GHI CHÚ" sheetId="6" state="visible" r:id="rId8"/>
  </sheets>
  <definedNames>
    <definedName function="false" hidden="true" localSheetId="1" name="_xlnm._FilterDatabase" vbProcedure="false">'ĐỐI CHIẾU'!$A$4:$U$71</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<sst xmlns="http://schemas.openxmlformats.org/spreadsheetml/2006/main" count="544" uniqueCount="253">
  <si>
    <t xml:space="preserve">ĐƯA KHO THỰC TẾ VÀ KHO HÓA ĐƠN VỀ MỘT KHO</t>
  </si>
  <si>
    <t xml:space="preserve">Kho thực tế: kiểm kê 09/10/2026. Kho hóa đơn: phần mềm Tổng hợp tồn kho 01/01–10/10/2026. Tồn thống nhất = số nhỏ hơn của hai kho.</t>
  </si>
  <si>
    <t xml:space="preserve">MẶT HÀNG ĐỐI CHIẾU</t>
  </si>
  <si>
    <t xml:space="preserve">KHỚP</t>
  </si>
  <si>
    <t xml:space="preserve">THỰC TẾ NHIỀU HƠN HĐ</t>
  </si>
  <si>
    <t xml:space="preserve">HĐ NHIỀU HƠN THỰC TẾ</t>
  </si>
  <si>
    <t xml:space="preserve">▶ THEO DUNG TÍCH</t>
  </si>
  <si>
    <t xml:space="preserve">Dung tích</t>
  </si>
  <si>
    <t xml:space="preserve">Kho thực tế</t>
  </si>
  <si>
    <t xml:space="preserve">Kho hóa đơn</t>
  </si>
  <si>
    <t xml:space="preserve">Chênh lệch
(TT − HĐ)</t>
  </si>
  <si>
    <t xml:space="preserve">Xuất từ kho
thực tế</t>
  </si>
  <si>
    <t xml:space="preserve">Xuất từ kho
hóa đơn</t>
  </si>
  <si>
    <t xml:space="preserve">Tồn thống nhất</t>
  </si>
  <si>
    <t xml:space="preserve">18L</t>
  </si>
  <si>
    <t xml:space="preserve">5L</t>
  </si>
  <si>
    <t xml:space="preserve">1L</t>
  </si>
  <si>
    <t xml:space="preserve">Bao</t>
  </si>
  <si>
    <t xml:space="preserve">5kg</t>
  </si>
  <si>
    <t xml:space="preserve">Tổng (tham khảo)</t>
  </si>
  <si>
    <t xml:space="preserve">▶ GIÁ TRỊ (theo đơn giá bình quân phần mềm)</t>
  </si>
  <si>
    <t xml:space="preserve">Giá trị xuất từ kho thực tế (thực tế &gt; HĐ)</t>
  </si>
  <si>
    <t xml:space="preserve">Giá trị xuất từ kho hóa đơn (HĐ &gt; thực tế)</t>
  </si>
  <si>
    <t xml:space="preserve">Giá trị tồn kho thống nhất</t>
  </si>
  <si>
    <t xml:space="preserve">▶ 10 MẶT HÀNG LỆCH NHIỀU NHẤT (theo số lượng)</t>
  </si>
  <si>
    <t xml:space="preserve">#</t>
  </si>
  <si>
    <t xml:space="preserve">Mã SP</t>
  </si>
  <si>
    <t xml:space="preserve">Base</t>
  </si>
  <si>
    <t xml:space="preserve">Chênh lệch</t>
  </si>
  <si>
    <t xml:space="preserve">Kết luận</t>
  </si>
  <si>
    <t xml:space="preserve">ĐỐI CHIẾU KHO THỰC TẾ (kiểm kê 09/10/2026) VÀ KHO THEO HÓA ĐƠN (phần mềm, đến 10/10/2026)</t>
  </si>
  <si>
    <t xml:space="preserve">Tồn thống nhất = số nhỏ hơn của hai kho; bên nào nhiều hơn thì xuất phần chênh để hai kho bằng nhau. Cột vàng = số lấy từ 2 file chị gửi.</t>
  </si>
  <si>
    <t xml:space="preserve">STT</t>
  </si>
  <si>
    <t xml:space="preserve">Nhóm</t>
  </si>
  <si>
    <t xml:space="preserve">Tên hàng hoá</t>
  </si>
  <si>
    <t xml:space="preserve">Mã trên phần mềm</t>
  </si>
  <si>
    <t xml:space="preserve">Thực tế
tại nhà</t>
  </si>
  <si>
    <t xml:space="preserve">Thực tế
tại Việt</t>
  </si>
  <si>
    <t xml:space="preserve">KHO
THỰC TẾ</t>
  </si>
  <si>
    <t xml:space="preserve">KHO
HÓA ĐƠN</t>
  </si>
  <si>
    <t xml:space="preserve">Xuất từ kho
THỰC TẾ</t>
  </si>
  <si>
    <t xml:space="preserve">Xuất từ kho
HÓA ĐƠN</t>
  </si>
  <si>
    <t xml:space="preserve">Đơn giá BQ
(phần mềm)</t>
  </si>
  <si>
    <t xml:space="preserve">Giá trị xuất
(VNĐ)</t>
  </si>
  <si>
    <t xml:space="preserve">TỒN THỐNG
NHẤT</t>
  </si>
  <si>
    <t xml:space="preserve">Giá trị tồn
thống nhất</t>
  </si>
  <si>
    <t xml:space="preserve">(hỗ trợ)</t>
  </si>
  <si>
    <t xml:space="preserve">Ghi chú</t>
  </si>
  <si>
    <t xml:space="preserve">Sơn lót</t>
  </si>
  <si>
    <t xml:space="preserve">PI04</t>
  </si>
  <si>
    <t xml:space="preserve">Sơn lót nội thất kháng kiềm cao cấp Imperia PI04</t>
  </si>
  <si>
    <t xml:space="preserve">Không có trong phần mềm (hóa đơn); Chưa có đơn giá vốn</t>
  </si>
  <si>
    <t xml:space="preserve">PI04 18L</t>
  </si>
  <si>
    <t xml:space="preserve">PE02</t>
  </si>
  <si>
    <t xml:space="preserve">Sơn lót ngoại thất kháng kiềm cao cấp Imperia PE02</t>
  </si>
  <si>
    <t xml:space="preserve">PE02 05L 00</t>
  </si>
  <si>
    <t xml:space="preserve">PE02 18L</t>
  </si>
  <si>
    <t xml:space="preserve">SPI03</t>
  </si>
  <si>
    <t xml:space="preserve">Sơn lót nội thất kháng kiềm siêu cao cấp SPI03</t>
  </si>
  <si>
    <t xml:space="preserve">IMP-SPI03 18L</t>
  </si>
  <si>
    <t xml:space="preserve">SPE01</t>
  </si>
  <si>
    <t xml:space="preserve">Sơn lót ngoại thất kháng kiềm siêu cao cấp SPE01</t>
  </si>
  <si>
    <t xml:space="preserve">IMP-SPE01 18L 00</t>
  </si>
  <si>
    <t xml:space="preserve">IL5</t>
  </si>
  <si>
    <t xml:space="preserve">Sơn lót nội thất kháng kiềm Silver IL5</t>
  </si>
  <si>
    <t xml:space="preserve">IL5 05L 00</t>
  </si>
  <si>
    <t xml:space="preserve">Ipaint IL5 18L 00</t>
  </si>
  <si>
    <t xml:space="preserve">EL5</t>
  </si>
  <si>
    <t xml:space="preserve">Sơn lót ngoại thất kháng kiềm Silver EL5</t>
  </si>
  <si>
    <t xml:space="preserve">EL5 05L</t>
  </si>
  <si>
    <t xml:space="preserve">EL5 18L</t>
  </si>
  <si>
    <t xml:space="preserve">Nội thất</t>
  </si>
  <si>
    <t xml:space="preserve">IEW</t>
  </si>
  <si>
    <t xml:space="preserve">Sơn nội thất siêu trắng Imperia IEW</t>
  </si>
  <si>
    <t xml:space="preserve">IEW 05L</t>
  </si>
  <si>
    <t xml:space="preserve">IEW 18L</t>
  </si>
  <si>
    <t xml:space="preserve">ISI</t>
  </si>
  <si>
    <t xml:space="preserve">Sơn nội thất bền màu Silver ISI</t>
  </si>
  <si>
    <t xml:space="preserve">B1</t>
  </si>
  <si>
    <t xml:space="preserve">ISI 05L B1</t>
  </si>
  <si>
    <t xml:space="preserve">ISI 18L B1</t>
  </si>
  <si>
    <t xml:space="preserve">ISG06</t>
  </si>
  <si>
    <t xml:space="preserve">Sơn nội thất cao cấp bóng mờ Imperia ISG06</t>
  </si>
  <si>
    <t xml:space="preserve">ISG06 05L B1</t>
  </si>
  <si>
    <t xml:space="preserve">ISG06 18L B1</t>
  </si>
  <si>
    <t xml:space="preserve">IG05</t>
  </si>
  <si>
    <t xml:space="preserve">Sơn nội thất siêu bóng cao cấp Imperia IG05</t>
  </si>
  <si>
    <t xml:space="preserve">IG05 05L B1</t>
  </si>
  <si>
    <t xml:space="preserve">IG05 18L B1</t>
  </si>
  <si>
    <t xml:space="preserve">I9</t>
  </si>
  <si>
    <t xml:space="preserve">Sơn nội thất siêu bóng cao cấp Saphir I9</t>
  </si>
  <si>
    <t xml:space="preserve">I9 05L B1</t>
  </si>
  <si>
    <t xml:space="preserve">I9 18L B1</t>
  </si>
  <si>
    <t xml:space="preserve">DECO</t>
  </si>
  <si>
    <t xml:space="preserve">Sơn nội thất kinh tế Deco IDC</t>
  </si>
  <si>
    <t xml:space="preserve">DECO 18L B1, IDC 18L B1</t>
  </si>
  <si>
    <t xml:space="preserve">Phần mềm có 2 mã gộp lại</t>
  </si>
  <si>
    <t xml:space="preserve">ICL</t>
  </si>
  <si>
    <t xml:space="preserve">Sơn phủ nội thất bóng cao cấp ICL</t>
  </si>
  <si>
    <t xml:space="preserve">ICL 1L</t>
  </si>
  <si>
    <t xml:space="preserve">Ngoại thất</t>
  </si>
  <si>
    <t xml:space="preserve">ESI</t>
  </si>
  <si>
    <t xml:space="preserve">Sơn ngoại thất bền màu Silver ESI</t>
  </si>
  <si>
    <t xml:space="preserve">ESI 05L B1</t>
  </si>
  <si>
    <t xml:space="preserve">B2</t>
  </si>
  <si>
    <t xml:space="preserve">ESI 05L B2</t>
  </si>
  <si>
    <t xml:space="preserve">ESI 18L B1</t>
  </si>
  <si>
    <t xml:space="preserve">ESG10</t>
  </si>
  <si>
    <t xml:space="preserve">Sơn ngoại thất cao cấp bóng mờ Imperia ESG10</t>
  </si>
  <si>
    <t xml:space="preserve">IMP- ESG10 01L B1</t>
  </si>
  <si>
    <t xml:space="preserve">IMP- ESG10 01L B2</t>
  </si>
  <si>
    <t xml:space="preserve">B3</t>
  </si>
  <si>
    <t xml:space="preserve">ESG10 01L B3</t>
  </si>
  <si>
    <t xml:space="preserve">B4</t>
  </si>
  <si>
    <t xml:space="preserve">IMP- ESG10 01L B4</t>
  </si>
  <si>
    <t xml:space="preserve">IMP- ESG10 05L B1</t>
  </si>
  <si>
    <t xml:space="preserve">IMP- ESG10 05L B2</t>
  </si>
  <si>
    <t xml:space="preserve">ESG10 05L B3</t>
  </si>
  <si>
    <t xml:space="preserve">IMP- ESG10 05L B4</t>
  </si>
  <si>
    <t xml:space="preserve">IMP- ESG10 18L B1</t>
  </si>
  <si>
    <t xml:space="preserve">EG09</t>
  </si>
  <si>
    <t xml:space="preserve">Sơn ngoại thất siêu bóng cao cấp Imperia EG09</t>
  </si>
  <si>
    <t xml:space="preserve">EG09 01L B1</t>
  </si>
  <si>
    <t xml:space="preserve">EG09 01L B2</t>
  </si>
  <si>
    <t xml:space="preserve">EG09 01L B3</t>
  </si>
  <si>
    <t xml:space="preserve">EG09 01L B4</t>
  </si>
  <si>
    <t xml:space="preserve">EG09 05L B1</t>
  </si>
  <si>
    <t xml:space="preserve">EG09 05L B2</t>
  </si>
  <si>
    <t xml:space="preserve">EG09 05L B3</t>
  </si>
  <si>
    <t xml:space="preserve">EG09 05L B4</t>
  </si>
  <si>
    <t xml:space="preserve">EG09 18L B1</t>
  </si>
  <si>
    <t xml:space="preserve">IMP-EG09 18L B3</t>
  </si>
  <si>
    <t xml:space="preserve">E9</t>
  </si>
  <si>
    <t xml:space="preserve">Sơn ngoại thất siêu bóng cao cấp Saphir E9</t>
  </si>
  <si>
    <t xml:space="preserve">E9 05L B1</t>
  </si>
  <si>
    <t xml:space="preserve">E9 05L B2</t>
  </si>
  <si>
    <t xml:space="preserve">E9 05L B3</t>
  </si>
  <si>
    <t xml:space="preserve">Chống thấm</t>
  </si>
  <si>
    <t xml:space="preserve">CT12</t>
  </si>
  <si>
    <t xml:space="preserve">Sơn chống thấm đa năng Imperia CT12</t>
  </si>
  <si>
    <t xml:space="preserve">CT12 05L</t>
  </si>
  <si>
    <t xml:space="preserve">CT12 18L</t>
  </si>
  <si>
    <t xml:space="preserve">ETM-309</t>
  </si>
  <si>
    <t xml:space="preserve">Sơn chống thấm màu ETM 309 (ghi đậm)</t>
  </si>
  <si>
    <t xml:space="preserve">ETM 05L-309</t>
  </si>
  <si>
    <t xml:space="preserve">ETM 18L-309</t>
  </si>
  <si>
    <t xml:space="preserve">ETM-99</t>
  </si>
  <si>
    <t xml:space="preserve">Sơn chống thấm ETM 99 (trắng)</t>
  </si>
  <si>
    <t xml:space="preserve">ETM 05L-99</t>
  </si>
  <si>
    <t xml:space="preserve">ETM 18L-99</t>
  </si>
  <si>
    <t xml:space="preserve">ETM-303</t>
  </si>
  <si>
    <t xml:space="preserve">Sơn chống thấm màu ETM 303 (ghi nhạt)</t>
  </si>
  <si>
    <t xml:space="preserve">ETM 05L-303</t>
  </si>
  <si>
    <t xml:space="preserve">Không có trong bảng kiểm kê thực tế</t>
  </si>
  <si>
    <t xml:space="preserve">ETM 18L-303</t>
  </si>
  <si>
    <t xml:space="preserve">CTS</t>
  </si>
  <si>
    <t xml:space="preserve">Sơn chống thấm siêu co giãn CTS-01</t>
  </si>
  <si>
    <t xml:space="preserve">CTS-01 05L 00</t>
  </si>
  <si>
    <t xml:space="preserve">CTS-01 18L</t>
  </si>
  <si>
    <t xml:space="preserve">ETM-AP128 05kg</t>
  </si>
  <si>
    <t xml:space="preserve">Sơn chống thấm màu đặc biệt ETM 05kg AP128-5</t>
  </si>
  <si>
    <t xml:space="preserve">ETM 05kg</t>
  </si>
  <si>
    <t xml:space="preserve">ETM-IP320</t>
  </si>
  <si>
    <t xml:space="preserve">Sơn chống thấm ETM IP320</t>
  </si>
  <si>
    <t xml:space="preserve">ETM 18L IP320</t>
  </si>
  <si>
    <t xml:space="preserve">Bột bả</t>
  </si>
  <si>
    <t xml:space="preserve">BA-NOI</t>
  </si>
  <si>
    <t xml:space="preserve">Bột bả nội thất Imperia IP15 (40kg)</t>
  </si>
  <si>
    <t xml:space="preserve">IP15-40kg</t>
  </si>
  <si>
    <t xml:space="preserve">BA-NGOAI</t>
  </si>
  <si>
    <t xml:space="preserve">Bột bả ngoại thất Imperia EP14 (40kg)</t>
  </si>
  <si>
    <t xml:space="preserve">EP14-40kg</t>
  </si>
  <si>
    <t xml:space="preserve">BA-IP201</t>
  </si>
  <si>
    <t xml:space="preserve">Bột bả nội ngoại thất Imperia IP201 (40kg)</t>
  </si>
  <si>
    <t xml:space="preserve">Bả ngoại IP201</t>
  </si>
  <si>
    <t xml:space="preserve">TỔNG</t>
  </si>
  <si>
    <t xml:space="preserve">Lưu ý: cộng chung thùng/lon/bao chỉ để tham khảo; so sánh đúng theo từng dòng. Giá trị theo đơn giá bình quân cuối kỳ trong phần mềm.</t>
  </si>
  <si>
    <t xml:space="preserve">PHIẾU XUẤT ĐIỀU CHỈNH ĐỂ KHỚP KHO</t>
  </si>
  <si>
    <t xml:space="preserve">Số liệu lấy từ sheet ĐỐI CHIẾU. Phần A: kho thực tế nhiều hơn hóa đơn. Phần B: kho hóa đơn (phần mềm) nhiều hơn thực tế – em để riêng vì chị chưa nói cách xử lý.</t>
  </si>
  <si>
    <t xml:space="preserve">A. KHO THỰC TẾ NHIỀU HƠN HÓA ĐƠN → xuất khỏi kho thực tế (theo yêu cầu của chị)</t>
  </si>
  <si>
    <t xml:space="preserve">SỐ LƯỢNG XUẤT</t>
  </si>
  <si>
    <t xml:space="preserve">Đơn giá BQ</t>
  </si>
  <si>
    <t xml:space="preserve">Giá trị (VNĐ)</t>
  </si>
  <si>
    <t xml:space="preserve">B. KHO HÓA ĐƠN NHIỀU HƠN THỰC TẾ → xuất điều chỉnh trên phần mềm (cần chị xác nhận)</t>
  </si>
  <si>
    <t xml:space="preserve">MÀU TINTING (TINH MÀU)</t>
  </si>
  <si>
    <t xml:space="preserve">Kiểm kê tính theo "1 lon" còn phần mềm tính theo Lít – em coi 1 lon = 1 lít (AXX: 7 lon = 7 lít khớp nhau).</t>
  </si>
  <si>
    <t xml:space="preserve">Mã màu</t>
  </si>
  <si>
    <t xml:space="preserve">Tên màu trên phần mềm</t>
  </si>
  <si>
    <t xml:space="preserve">Thực tế
(lon)</t>
  </si>
  <si>
    <t xml:space="preserve">Hóa đơn
(lít)</t>
  </si>
  <si>
    <t xml:space="preserve">Giá trị xuất</t>
  </si>
  <si>
    <t xml:space="preserve">AN</t>
  </si>
  <si>
    <t xml:space="preserve">AXX</t>
  </si>
  <si>
    <t xml:space="preserve">Màu tinting AXX Organic Yellow</t>
  </si>
  <si>
    <t xml:space="preserve">B</t>
  </si>
  <si>
    <t xml:space="preserve">Màu tinting B Lamp Black</t>
  </si>
  <si>
    <t xml:space="preserve">C</t>
  </si>
  <si>
    <t xml:space="preserve">Màu tinting C Yellow Oxide</t>
  </si>
  <si>
    <t xml:space="preserve">D</t>
  </si>
  <si>
    <t xml:space="preserve">E</t>
  </si>
  <si>
    <t xml:space="preserve">Màu tinting E Phathalo blue</t>
  </si>
  <si>
    <t xml:space="preserve">F</t>
  </si>
  <si>
    <t xml:space="preserve">Màu tinting F Red Oxide</t>
  </si>
  <si>
    <t xml:space="preserve">I</t>
  </si>
  <si>
    <t xml:space="preserve">KXX</t>
  </si>
  <si>
    <t xml:space="preserve">KX</t>
  </si>
  <si>
    <t xml:space="preserve">Màu tinting KX Titanum White</t>
  </si>
  <si>
    <t xml:space="preserve">L</t>
  </si>
  <si>
    <t xml:space="preserve">Màu tinting L Raw umber</t>
  </si>
  <si>
    <t xml:space="preserve">R</t>
  </si>
  <si>
    <t xml:space="preserve">RN</t>
  </si>
  <si>
    <t xml:space="preserve">T</t>
  </si>
  <si>
    <t xml:space="preserve">Màu tinting T Medium Yellow</t>
  </si>
  <si>
    <t xml:space="preserve">V</t>
  </si>
  <si>
    <t xml:space="preserve">Mã AN, D, I, KXX, R, RN, V chỉ có trong kiểm kê, phần mềm không có mã tương ứng. Chưa rõ tên màu của các mã đó nên em để trống phần mềm = 0.</t>
  </si>
  <si>
    <t xml:space="preserve">MÀU ĐÃ PHA (đã pha sẵn, chưa bán) – KHÔNG tính vào đối chiếu</t>
  </si>
  <si>
    <t xml:space="preserve">Kiểm kê thực tế ngày 09/10/2026. Đây là sơn thành phẩm đã pha màu; chưa rõ trên phần mềm đã trừ base hay chưa nên em để riêng.</t>
  </si>
  <si>
    <t xml:space="preserve">Chủng loại / mã màu</t>
  </si>
  <si>
    <t xml:space="preserve">DECO-079</t>
  </si>
  <si>
    <t xml:space="preserve">ISI-099</t>
  </si>
  <si>
    <t xml:space="preserve">xanh</t>
  </si>
  <si>
    <t xml:space="preserve">EG09 135</t>
  </si>
  <si>
    <t xml:space="preserve">IG05-057</t>
  </si>
  <si>
    <t xml:space="preserve">IG05-134</t>
  </si>
  <si>
    <t xml:space="preserve">IG06-182</t>
  </si>
  <si>
    <t xml:space="preserve">vàng</t>
  </si>
  <si>
    <t xml:space="preserve">EG09 (Trắng sứ)</t>
  </si>
  <si>
    <t xml:space="preserve">IG05-211</t>
  </si>
  <si>
    <t xml:space="preserve">IG05- 333</t>
  </si>
  <si>
    <t xml:space="preserve">IG05-138</t>
  </si>
  <si>
    <t xml:space="preserve">ESI-343</t>
  </si>
  <si>
    <t xml:space="preserve">E9-013</t>
  </si>
  <si>
    <t xml:space="preserve">EG09  128-6</t>
  </si>
  <si>
    <t xml:space="preserve">CÁCH LÀM VÀ CÁC ĐIỂM CẦN CHỊ XÁC NHẬN</t>
  </si>
  <si>
    <t xml:space="preserve">Cách đối chiếu</t>
  </si>
  <si>
    <t xml:space="preserve">So từng mặt hàng theo Mã SP + Dung tích + Base (B1–B4). Kho thực tế lấy từ các sheet "18 LÍT", "5 LÍT", "1 LÍT" (nhà + Việt cộng lại). Kho hóa đơn lấy từ file Tổng hợp tồn kho (cột Cuối kỳ).</t>
  </si>
  <si>
    <t xml:space="preserve">Quy tắc đưa về 1 kho</t>
  </si>
  <si>
    <t xml:space="preserve">Tồn thống nhất = số NHỎ HƠN của hai kho. Thực tế nhiều hơn hóa đơn → xuất phần dư khỏi kho thực tế (đúng yêu cầu của chị). Hóa đơn nhiều hơn thực tế → em xếp vào Phần B của PHIẾU XUẤT (xuất điều chỉnh trên phần mềm) vì chị chưa nói cách xử lý trường hợp này – chị xác nhận giúp em.</t>
  </si>
  <si>
    <t xml:space="preserve">Hầu hết là hóa đơn nhiều hơn thực tế</t>
  </si>
  <si>
    <t xml:space="preserve">Trong ~70 dòng, phần lớn kho phần mềm nhiều hơn kiểm kê (xem TỔNG QUAN). Chỉ có vài dòng thực tế nhiều hơn, lớn nhất là EG09 18L B1 (thực tế 218, hóa đơn 50, dư 168 thùng).</t>
  </si>
  <si>
    <t xml:space="preserve">DECO 18L</t>
  </si>
  <si>
    <t xml:space="preserve">Phần mềm có 2 mã DECO 18L B1 (314 thùng) và IDC 18L B1 (410 thùng) = 724, kiểm kê chỉ có 61 thùng → lệch 663 thùng. Chị kiểm lại đây có phải nhập nhầm số lượng không.</t>
  </si>
  <si>
    <t xml:space="preserve">Phần mềm: IP15 85 bao, EP14 91 bao, IP201 80 bao. Kiểm kê chỉ có 29 bao bả ngoại. Mã IP201 không có trong bảng kiểm kê.</t>
  </si>
  <si>
    <t xml:space="preserve">Các mã chỉ có ở một bên</t>
  </si>
  <si>
    <t xml:space="preserve">Chỉ có trên phần mềm: ETM 05kg AP128-5 (32 lon), ETM IP320 (6 thùng), bả IP201 (80 bao). Chỉ có trong kiểm kê (phần mềm không có dòng): PI04 5L, SPI03 5L, SPE01 5L, E9 5L B4, E9 1L B1/B4.</t>
  </si>
  <si>
    <t xml:space="preserve">Dung tích 5L ETM-309</t>
  </si>
  <si>
    <t xml:space="preserve">Kiểm kê 18L = 77, 5L = 44; phần mềm 18L = 90, 5L = 31. Đối chiếu này cũng cho thấy số tồn đầu kỳ ETM-309 18L = 120 ở file trước là đúng (đã đảo trong sheet DMHH_Gộp).</t>
  </si>
  <si>
    <t xml:space="preserve">Màu đã pha</t>
  </si>
  <si>
    <t xml:space="preserve">14 thùng 18L, 5 lon 5L, 2 lon 1L sơn đã pha màu chưa bán. Em không cộng vào kho thực tế (đúng như sheet "Tồn cuối" của chị) và để riêng ở sheet MÀU ĐÃ PHA. Nếu phần mềm chưa trừ base cho các thùng này thì thực tế nên cộng thêm.</t>
  </si>
  <si>
    <t xml:space="preserve">Màu tinting</t>
  </si>
  <si>
    <t xml:space="preserve">Kiểm kê tính "lon", phần mềm tính "Lít" → coi 1 lon = 1 lít. Mã AN, D, I, KXX, R, RN, V không có mã tương ứng trên phần mềm.</t>
  </si>
  <si>
    <t xml:space="preserve">Ngày số liệu</t>
  </si>
  <si>
    <t xml:space="preserve">Thực tế 09/10/2026; hóa đơn đến 10/10/2026. Sheet "5 LÍT" trong file kiểm kê vẫn ghi tiêu đề "hết 18/7/2026" nhưng số liệu em dùng như số 09/10 (cùng file kiểm kê). Chị kiểm tra lại giúp em.</t>
  </si>
</sst>
</file>

<file path=xl/styles.xml><?xml version="1.0" encoding="utf-8"?>
<styleSheet xmlns="http://schemas.openxmlformats.org/spreadsheetml/2006/main">
  <numFmts count="5">
    <numFmt numFmtId="164" formatCode="General"/>
    <numFmt numFmtId="165" formatCode="0"/>
    <numFmt numFmtId="166" formatCode="#,##0;[RED]\-#,##0;\-"/>
    <numFmt numFmtId="167" formatCode="#,##0&quot; đ&quot;"/>
    <numFmt numFmtId="168" formatCode="General"/>
  </numFmts>
  <fonts count="23">
    <font>
      <sz val="11"/>
      <color theme="1"/>
      <name val="Calibri"/>
      <family val="2"/>
      <charset val="1"/>
    </font>
    <font>
      <sz val="10"/>
      <name val="Arial"/>
      <family val="0"/>
    </font>
    <font>
      <sz val="10"/>
      <name val="Arial"/>
      <family val="0"/>
    </font>
    <font>
      <sz val="10"/>
      <name val="Arial"/>
      <family val="0"/>
    </font>
    <font>
      <b val="true"/>
      <sz val="16"/>
      <color rgb="FF1F3864"/>
      <name val="Arial"/>
      <family val="0"/>
      <charset val="1"/>
    </font>
    <font>
      <i val="true"/>
      <sz val="10"/>
      <color rgb="FF595959"/>
      <name val="Arial"/>
      <family val="0"/>
      <charset val="1"/>
    </font>
    <font>
      <b val="true"/>
      <sz val="9"/>
      <color rgb="FFFFFFFF"/>
      <name val="Arial"/>
      <family val="0"/>
      <charset val="1"/>
    </font>
    <font>
      <b val="true"/>
      <sz val="18"/>
      <color rgb="FF1F3864"/>
      <name val="Arial"/>
      <family val="0"/>
      <charset val="1"/>
    </font>
    <font>
      <b val="true"/>
      <sz val="18"/>
      <color rgb="FF548235"/>
      <name val="Arial"/>
      <family val="0"/>
      <charset val="1"/>
    </font>
    <font>
      <b val="true"/>
      <sz val="18"/>
      <color rgb="FF2E75B6"/>
      <name val="Arial"/>
      <family val="0"/>
      <charset val="1"/>
    </font>
    <font>
      <b val="true"/>
      <sz val="18"/>
      <color rgb="FFC55A11"/>
      <name val="Arial"/>
      <family val="0"/>
      <charset val="1"/>
    </font>
    <font>
      <b val="true"/>
      <sz val="12"/>
      <color rgb="FF1F3864"/>
      <name val="Arial"/>
      <family val="0"/>
      <charset val="1"/>
    </font>
    <font>
      <b val="true"/>
      <sz val="10"/>
      <color rgb="FFFFFFFF"/>
      <name val="Arial"/>
      <family val="0"/>
      <charset val="1"/>
    </font>
    <font>
      <b val="true"/>
      <sz val="10"/>
      <name val="Arial"/>
      <family val="0"/>
      <charset val="1"/>
    </font>
    <font>
      <sz val="10"/>
      <name val="Arial"/>
      <family val="0"/>
      <charset val="1"/>
    </font>
    <font>
      <sz val="10"/>
      <color rgb="FFA6A6A6"/>
      <name val="Arial"/>
      <family val="0"/>
      <charset val="1"/>
    </font>
    <font>
      <b val="true"/>
      <sz val="18"/>
      <color rgb="FF000000"/>
      <name val="Calibri"/>
      <family val="2"/>
    </font>
    <font>
      <sz val="10"/>
      <color rgb="FF000000"/>
      <name val="Calibri"/>
      <family val="2"/>
    </font>
    <font>
      <sz val="10"/>
      <color rgb="FF000000"/>
      <name val="Arial"/>
      <family val="0"/>
      <charset val="1"/>
    </font>
    <font>
      <sz val="10"/>
      <color rgb="FF0000FF"/>
      <name val="Arial"/>
      <family val="0"/>
      <charset val="1"/>
    </font>
    <font>
      <b val="true"/>
      <sz val="10"/>
      <color rgb="FF0000FF"/>
      <name val="Arial"/>
      <family val="0"/>
      <charset val="1"/>
    </font>
    <font>
      <b val="true"/>
      <sz val="10"/>
      <color rgb="FF000000"/>
      <name val="Arial"/>
      <family val="0"/>
      <charset val="1"/>
    </font>
    <font>
      <b val="true"/>
      <sz val="12"/>
      <color rgb="FFC55A11"/>
      <name val="Arial"/>
      <family val="0"/>
      <charset val="1"/>
    </font>
  </fonts>
  <fills count="10">
    <fill>
      <patternFill patternType="none"/>
    </fill>
    <fill>
      <patternFill patternType="gray125"/>
    </fill>
    <fill>
      <patternFill patternType="solid">
        <fgColor rgb="FF1F3864"/>
        <bgColor rgb="FF333333"/>
      </patternFill>
    </fill>
    <fill>
      <patternFill patternType="solid">
        <fgColor rgb="FF548235"/>
        <bgColor rgb="FF595959"/>
      </patternFill>
    </fill>
    <fill>
      <patternFill patternType="solid">
        <fgColor rgb="FF2E75B6"/>
        <bgColor rgb="FF4F81BD"/>
      </patternFill>
    </fill>
    <fill>
      <patternFill patternType="solid">
        <fgColor rgb="FFC55A11"/>
        <bgColor rgb="FF993300"/>
      </patternFill>
    </fill>
    <fill>
      <patternFill patternType="solid">
        <fgColor rgb="FFF2F2F2"/>
        <bgColor rgb="FFF9F9F9"/>
      </patternFill>
    </fill>
    <fill>
      <patternFill patternType="solid">
        <fgColor rgb="FFD9E1F2"/>
        <bgColor rgb="FFDDEBF7"/>
      </patternFill>
    </fill>
    <fill>
      <patternFill patternType="solid">
        <fgColor rgb="FFFFF2CC"/>
        <bgColor rgb="FFFCE4D6"/>
      </patternFill>
    </fill>
    <fill>
      <patternFill patternType="solid">
        <fgColor rgb="FFDDEBF7"/>
        <bgColor rgb="FFD9E1F2"/>
      </patternFill>
    </fill>
  </fills>
  <borders count="3">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 diagonalUp="false" diagonalDown="false">
      <left/>
      <right/>
      <top style="medium"/>
      <bottom style="mediu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7">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2" borderId="0" xfId="0" applyFont="true" applyBorder="true" applyAlignment="true" applyProtection="false">
      <alignment horizontal="center" vertical="center" textRotation="0" wrapText="true" indent="0" shrinkToFit="false"/>
      <protection locked="true" hidden="false"/>
    </xf>
    <xf numFmtId="164" fontId="6" fillId="3" borderId="0" xfId="0" applyFont="true" applyBorder="true" applyAlignment="true" applyProtection="false">
      <alignment horizontal="center" vertical="center" textRotation="0" wrapText="true" indent="0" shrinkToFit="false"/>
      <protection locked="true" hidden="false"/>
    </xf>
    <xf numFmtId="164" fontId="6" fillId="4" borderId="0" xfId="0" applyFont="true" applyBorder="true" applyAlignment="true" applyProtection="false">
      <alignment horizontal="center" vertical="center" textRotation="0" wrapText="true" indent="0" shrinkToFit="false"/>
      <protection locked="true" hidden="false"/>
    </xf>
    <xf numFmtId="164" fontId="6" fillId="5" borderId="0" xfId="0" applyFont="true" applyBorder="true" applyAlignment="true" applyProtection="false">
      <alignment horizontal="center" vertical="center" textRotation="0" wrapText="true" indent="0" shrinkToFit="false"/>
      <protection locked="true" hidden="false"/>
    </xf>
    <xf numFmtId="165" fontId="7" fillId="6" borderId="0" xfId="0" applyFont="true" applyBorder="true" applyAlignment="true" applyProtection="false">
      <alignment horizontal="center" vertical="center" textRotation="0" wrapText="false" indent="0" shrinkToFit="false"/>
      <protection locked="true" hidden="false"/>
    </xf>
    <xf numFmtId="165" fontId="8" fillId="6" borderId="0" xfId="0" applyFont="true" applyBorder="true" applyAlignment="true" applyProtection="false">
      <alignment horizontal="center" vertical="center" textRotation="0" wrapText="false" indent="0" shrinkToFit="false"/>
      <protection locked="true" hidden="false"/>
    </xf>
    <xf numFmtId="165" fontId="9" fillId="6" borderId="0" xfId="0" applyFont="true" applyBorder="true" applyAlignment="true" applyProtection="false">
      <alignment horizontal="center" vertical="center" textRotation="0" wrapText="false" indent="0" shrinkToFit="false"/>
      <protection locked="true" hidden="false"/>
    </xf>
    <xf numFmtId="165" fontId="10" fillId="6" borderId="0" xfId="0" applyFont="true" applyBorder="true" applyAlignment="true" applyProtection="false">
      <alignment horizontal="center" vertical="center" textRotation="0" wrapText="false" indent="0" shrinkToFit="false"/>
      <protection locked="true" hidden="false"/>
    </xf>
    <xf numFmtId="164" fontId="11" fillId="0" borderId="0" xfId="0" applyFont="true" applyBorder="false" applyAlignment="false" applyProtection="false">
      <alignment horizontal="general" vertical="bottom" textRotation="0" wrapText="false" indent="0" shrinkToFit="false"/>
      <protection locked="true" hidden="false"/>
    </xf>
    <xf numFmtId="164" fontId="12" fillId="2" borderId="1" xfId="0" applyFont="true" applyBorder="true" applyAlignment="true" applyProtection="false">
      <alignment horizontal="center" vertical="center" textRotation="0" wrapText="true" indent="0" shrinkToFit="false"/>
      <protection locked="true" hidden="false"/>
    </xf>
    <xf numFmtId="164" fontId="13" fillId="0" borderId="1" xfId="0" applyFont="true" applyBorder="true" applyAlignment="false" applyProtection="false">
      <alignment horizontal="general" vertical="bottom" textRotation="0" wrapText="false" indent="0" shrinkToFit="false"/>
      <protection locked="true" hidden="false"/>
    </xf>
    <xf numFmtId="164" fontId="14" fillId="0" borderId="1" xfId="0" applyFont="true" applyBorder="true" applyAlignment="false" applyProtection="false">
      <alignment horizontal="general" vertical="bottom" textRotation="0" wrapText="false" indent="0" shrinkToFit="false"/>
      <protection locked="true" hidden="false"/>
    </xf>
    <xf numFmtId="166" fontId="14" fillId="0" borderId="1" xfId="0" applyFont="true" applyBorder="true" applyAlignment="false" applyProtection="false">
      <alignment horizontal="general" vertical="bottom" textRotation="0" wrapText="false" indent="0" shrinkToFit="false"/>
      <protection locked="true" hidden="false"/>
    </xf>
    <xf numFmtId="164" fontId="13" fillId="7" borderId="1" xfId="0" applyFont="true" applyBorder="true" applyAlignment="false" applyProtection="false">
      <alignment horizontal="general" vertical="bottom" textRotation="0" wrapText="false" indent="0" shrinkToFit="false"/>
      <protection locked="true" hidden="false"/>
    </xf>
    <xf numFmtId="164" fontId="0" fillId="7" borderId="1" xfId="0" applyFont="false" applyBorder="true" applyAlignment="false" applyProtection="false">
      <alignment horizontal="general" vertical="bottom" textRotation="0" wrapText="false" indent="0" shrinkToFit="false"/>
      <protection locked="true" hidden="false"/>
    </xf>
    <xf numFmtId="166" fontId="13" fillId="7" borderId="1" xfId="0" applyFont="true" applyBorder="true" applyAlignment="false" applyProtection="false">
      <alignment horizontal="general" vertical="bottom" textRotation="0" wrapText="false" indent="0" shrinkToFit="false"/>
      <protection locked="true" hidden="false"/>
    </xf>
    <xf numFmtId="164" fontId="14" fillId="0" borderId="0" xfId="0" applyFont="true" applyBorder="true" applyAlignment="false" applyProtection="false">
      <alignment horizontal="general" vertical="bottom" textRotation="0" wrapText="false" indent="0" shrinkToFit="false"/>
      <protection locked="true" hidden="false"/>
    </xf>
    <xf numFmtId="167" fontId="13" fillId="0" borderId="0" xfId="0" applyFont="true" applyBorder="false" applyAlignment="false" applyProtection="false">
      <alignment horizontal="general" vertical="bottom" textRotation="0" wrapText="false" indent="0" shrinkToFit="false"/>
      <protection locked="true" hidden="false"/>
    </xf>
    <xf numFmtId="168" fontId="15" fillId="0" borderId="0" xfId="0" applyFont="true" applyBorder="false" applyAlignment="false" applyProtection="false">
      <alignment horizontal="general" vertical="bottom" textRotation="0" wrapText="false" indent="0" shrinkToFit="false"/>
      <protection locked="true" hidden="false"/>
    </xf>
    <xf numFmtId="164" fontId="18" fillId="0" borderId="1" xfId="0" applyFont="true" applyBorder="true" applyAlignment="true" applyProtection="false">
      <alignment horizontal="center" vertical="bottom" textRotation="0" wrapText="false" indent="0" shrinkToFit="false"/>
      <protection locked="true" hidden="false"/>
    </xf>
    <xf numFmtId="164" fontId="18" fillId="0" borderId="1" xfId="0" applyFont="true" applyBorder="true" applyAlignment="false" applyProtection="false">
      <alignment horizontal="general" vertical="bottom" textRotation="0" wrapText="false" indent="0" shrinkToFit="false"/>
      <protection locked="true" hidden="false"/>
    </xf>
    <xf numFmtId="166" fontId="19" fillId="8" borderId="1" xfId="0" applyFont="true" applyBorder="true" applyAlignment="false" applyProtection="false">
      <alignment horizontal="general" vertical="bottom" textRotation="0" wrapText="false" indent="0" shrinkToFit="false"/>
      <protection locked="true" hidden="false"/>
    </xf>
    <xf numFmtId="166" fontId="20" fillId="8" borderId="1" xfId="0" applyFont="true" applyBorder="true" applyAlignment="false" applyProtection="false">
      <alignment horizontal="general" vertical="bottom" textRotation="0" wrapText="false" indent="0" shrinkToFit="false"/>
      <protection locked="true" hidden="false"/>
    </xf>
    <xf numFmtId="166" fontId="21" fillId="0" borderId="1" xfId="0" applyFont="true" applyBorder="true" applyAlignment="false" applyProtection="false">
      <alignment horizontal="general" vertical="bottom" textRotation="0" wrapText="false" indent="0" shrinkToFit="false"/>
      <protection locked="true" hidden="false"/>
    </xf>
    <xf numFmtId="166" fontId="18" fillId="0" borderId="1" xfId="0" applyFont="true" applyBorder="true" applyAlignment="false" applyProtection="false">
      <alignment horizontal="general" vertical="bottom" textRotation="0" wrapText="false" indent="0" shrinkToFit="false"/>
      <protection locked="true" hidden="false"/>
    </xf>
    <xf numFmtId="166" fontId="21" fillId="9" borderId="1" xfId="0" applyFont="true" applyBorder="true" applyAlignment="false" applyProtection="false">
      <alignment horizontal="general" vertical="bottom" textRotation="0" wrapText="false" indent="0" shrinkToFit="false"/>
      <protection locked="true" hidden="false"/>
    </xf>
    <xf numFmtId="168" fontId="15" fillId="0" borderId="1" xfId="0" applyFont="true" applyBorder="true" applyAlignment="false" applyProtection="false">
      <alignment horizontal="general" vertical="bottom" textRotation="0" wrapText="false" indent="0" shrinkToFit="false"/>
      <protection locked="true" hidden="false"/>
    </xf>
    <xf numFmtId="164" fontId="13" fillId="7" borderId="2" xfId="0" applyFont="true" applyBorder="true" applyAlignment="false" applyProtection="false">
      <alignment horizontal="general" vertical="bottom" textRotation="0" wrapText="false" indent="0" shrinkToFit="false"/>
      <protection locked="true" hidden="false"/>
    </xf>
    <xf numFmtId="166" fontId="13" fillId="7" borderId="2" xfId="0" applyFont="true" applyBorder="true" applyAlignment="false" applyProtection="false">
      <alignment horizontal="general" vertical="bottom" textRotation="0" wrapText="false" indent="0" shrinkToFit="false"/>
      <protection locked="true" hidden="false"/>
    </xf>
    <xf numFmtId="166" fontId="13" fillId="0" borderId="1" xfId="0" applyFont="true" applyBorder="true" applyAlignment="false" applyProtection="false">
      <alignment horizontal="general" vertical="bottom" textRotation="0" wrapText="false" indent="0" shrinkToFit="false"/>
      <protection locked="true" hidden="false"/>
    </xf>
    <xf numFmtId="164" fontId="22" fillId="0" borderId="0" xfId="0" applyFont="true" applyBorder="false" applyAlignment="false" applyProtection="false">
      <alignment horizontal="general" vertical="bottom" textRotation="0" wrapText="false" indent="0" shrinkToFit="false"/>
      <protection locked="true" hidden="false"/>
    </xf>
    <xf numFmtId="164" fontId="19" fillId="0" borderId="1" xfId="0" applyFont="true" applyBorder="true" applyAlignment="false" applyProtection="false">
      <alignment horizontal="general" vertical="bottom" textRotation="0" wrapText="false" indent="0" shrinkToFit="false"/>
      <protection locked="true" hidden="false"/>
    </xf>
    <xf numFmtId="164" fontId="13" fillId="0" borderId="1" xfId="0" applyFont="true" applyBorder="true" applyAlignment="true" applyProtection="false">
      <alignment horizontal="general" vertical="top" textRotation="0" wrapText="true" indent="0" shrinkToFit="false"/>
      <protection locked="true" hidden="false"/>
    </xf>
    <xf numFmtId="164" fontId="14" fillId="0" borderId="1" xfId="0" applyFont="true" applyBorder="tru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20">
    <dxf>
      <fill>
        <patternFill patternType="solid">
          <fgColor rgb="FF1F3864"/>
          <bgColor rgb="FF000000"/>
        </patternFill>
      </fill>
    </dxf>
    <dxf>
      <fill>
        <patternFill patternType="solid">
          <bgColor rgb="FF000000"/>
        </patternFill>
      </fill>
    </dxf>
    <dxf>
      <fill>
        <patternFill patternType="solid">
          <fgColor rgb="FF000000"/>
          <bgColor rgb="FF000000"/>
        </patternFill>
      </fill>
    </dxf>
    <dxf>
      <fill>
        <patternFill patternType="solid">
          <fgColor rgb="FFFFFFFF"/>
          <bgColor rgb="FF000000"/>
        </patternFill>
      </fill>
    </dxf>
    <dxf>
      <fill>
        <patternFill patternType="solid">
          <fgColor rgb="FFFFF2CC"/>
          <bgColor rgb="FF000000"/>
        </patternFill>
      </fill>
    </dxf>
    <dxf>
      <fill>
        <patternFill patternType="solid">
          <fgColor rgb="FF0000FF"/>
          <bgColor rgb="FF000000"/>
        </patternFill>
      </fill>
    </dxf>
    <dxf>
      <fill>
        <patternFill patternType="solid">
          <fgColor rgb="FFFF0000"/>
          <bgColor rgb="FF000000"/>
        </patternFill>
      </fill>
    </dxf>
    <dxf>
      <fill>
        <patternFill patternType="solid">
          <fgColor rgb="FFBDD7EE"/>
          <bgColor rgb="FF000000"/>
        </patternFill>
      </fill>
    </dxf>
    <dxf>
      <fill>
        <patternFill patternType="solid">
          <fgColor rgb="FFC6EFCE"/>
          <bgColor rgb="FF000000"/>
        </patternFill>
      </fill>
    </dxf>
    <dxf>
      <fill>
        <patternFill patternType="solid">
          <fgColor rgb="FFFCE4D6"/>
          <bgColor rgb="FF000000"/>
        </patternFill>
      </fill>
    </dxf>
    <dxf>
      <fill>
        <patternFill patternType="solid">
          <fgColor rgb="FF006100"/>
          <bgColor rgb="FF000000"/>
        </patternFill>
      </fill>
    </dxf>
    <dxf>
      <fill>
        <patternFill patternType="solid">
          <fgColor rgb="FFC55A11"/>
          <bgColor rgb="FF000000"/>
        </patternFill>
      </fill>
    </dxf>
    <dxf>
      <fill>
        <patternFill patternType="solid">
          <fgColor rgb="FFDDEBF7"/>
          <bgColor rgb="FF000000"/>
        </patternFill>
      </fill>
    </dxf>
    <dxf>
      <fill>
        <patternFill patternType="solid">
          <fgColor rgb="FFA6A6A6"/>
          <bgColor rgb="FF000000"/>
        </patternFill>
      </fill>
    </dxf>
    <dxf>
      <font>
        <name val="Arial"/>
        <charset val="1"/>
        <family val="0"/>
        <b val="1"/>
        <color rgb="FF1F3864"/>
      </font>
      <fill>
        <patternFill>
          <bgColor rgb="FFBDD7EE"/>
        </patternFill>
      </fill>
    </dxf>
    <dxf>
      <font>
        <name val="Arial"/>
        <charset val="1"/>
        <family val="0"/>
        <b val="1"/>
        <color rgb="FFC55A11"/>
      </font>
      <fill>
        <patternFill>
          <bgColor rgb="FFFCE4D6"/>
        </patternFill>
      </fill>
    </dxf>
    <dxf>
      <font>
        <name val="Arial"/>
        <charset val="1"/>
        <family val="0"/>
        <b val="1"/>
        <color rgb="FF006100"/>
      </font>
      <fill>
        <patternFill>
          <bgColor rgb="FFC6EFCE"/>
        </patternFill>
      </fill>
    </dxf>
    <dxf>
      <fill>
        <patternFill>
          <bgColor rgb="FFBDD7EE"/>
        </patternFill>
      </fill>
    </dxf>
    <dxf>
      <fill>
        <patternFill>
          <bgColor rgb="FFFCE4D6"/>
        </patternFill>
      </fill>
    </dxf>
    <dxf>
      <fill>
        <patternFill>
          <bgColor rgb="FFC6EFCE"/>
        </patternFill>
      </fill>
    </dxf>
  </dxfs>
  <colors>
    <indexedColors>
      <rgbColor rgb="FF000000"/>
      <rgbColor rgb="FFFFFFFF"/>
      <rgbColor rgb="FFFF0000"/>
      <rgbColor rgb="FF00FF00"/>
      <rgbColor rgb="FF0000FF"/>
      <rgbColor rgb="FFFFFF00"/>
      <rgbColor rgb="FFFF00FF"/>
      <rgbColor rgb="FF00FFFF"/>
      <rgbColor rgb="FF800000"/>
      <rgbColor rgb="FF006100"/>
      <rgbColor rgb="FF000080"/>
      <rgbColor rgb="FF548235"/>
      <rgbColor rgb="FF800080"/>
      <rgbColor rgb="FF008080"/>
      <rgbColor rgb="FFBFBFBF"/>
      <rgbColor rgb="FF7F7F7F"/>
      <rgbColor rgb="FFA6A6A6"/>
      <rgbColor rgb="FF993366"/>
      <rgbColor rgb="FFFFF2CC"/>
      <rgbColor rgb="FFDDEBF7"/>
      <rgbColor rgb="FF660066"/>
      <rgbColor rgb="FFFF8080"/>
      <rgbColor rgb="FF0066CC"/>
      <rgbColor rgb="FFBDD7EE"/>
      <rgbColor rgb="FF000080"/>
      <rgbColor rgb="FFFF00FF"/>
      <rgbColor rgb="FFFFFF00"/>
      <rgbColor rgb="FF00FFFF"/>
      <rgbColor rgb="FF800080"/>
      <rgbColor rgb="FF800000"/>
      <rgbColor rgb="FF008080"/>
      <rgbColor rgb="FF0000FF"/>
      <rgbColor rgb="FF00CCFF"/>
      <rgbColor rgb="FFF2F2F2"/>
      <rgbColor rgb="FFC6EFCE"/>
      <rgbColor rgb="FFF9F9F9"/>
      <rgbColor rgb="FFD9D9D9"/>
      <rgbColor rgb="FFFF99CC"/>
      <rgbColor rgb="FFD9E1F2"/>
      <rgbColor rgb="FFFCE4D6"/>
      <rgbColor rgb="FF2E75B6"/>
      <rgbColor rgb="FF33CCCC"/>
      <rgbColor rgb="FF99CC00"/>
      <rgbColor rgb="FFFFCC00"/>
      <rgbColor rgb="FFFF9900"/>
      <rgbColor rgb="FFC55A11"/>
      <rgbColor rgb="FF595959"/>
      <rgbColor rgb="FF878787"/>
      <rgbColor rgb="FF1F3864"/>
      <rgbColor rgb="FF4F81BD"/>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sharedStrings" Target="sharedStrings.xml"/>
</Relationships>
</file>

<file path=xl/charts/chart1.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Chênh lệch lớn nhất (TT − HĐ)</a:t>
            </a:r>
          </a:p>
        </c:rich>
      </c:tx>
      <c:overlay val="0"/>
      <c:spPr>
        <a:noFill/>
        <a:ln w="0">
          <a:noFill/>
        </a:ln>
      </c:spPr>
    </c:title>
    <c:autoTitleDeleted val="0"/>
    <c:plotArea>
      <c:barChart>
        <c:barDir val="bar"/>
        <c:grouping val="clustered"/>
        <c:varyColors val="0"/>
        <c:ser>
          <c:idx val="0"/>
          <c:order val="0"/>
          <c:spPr>
            <a:solidFill>
              <a:srgbClr val="4f81bd"/>
            </a:solidFill>
            <a:ln w="9360">
              <a:solidFill>
                <a:srgbClr val="f9f9f9"/>
              </a:solidFill>
              <a:round/>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'TỔNG QUAN'!$B$23:$B$32</c:f>
              <c:strCache>
                <c:ptCount val="10"/>
                <c:pt idx="0">
                  <c:v>DECO</c:v>
                </c:pt>
                <c:pt idx="1">
                  <c:v>IL5</c:v>
                </c:pt>
                <c:pt idx="2">
                  <c:v>EG09</c:v>
                </c:pt>
                <c:pt idx="3">
                  <c:v>ISI</c:v>
                </c:pt>
                <c:pt idx="4">
                  <c:v>ISG06</c:v>
                </c:pt>
                <c:pt idx="5">
                  <c:v>ICL</c:v>
                </c:pt>
                <c:pt idx="6">
                  <c:v>IEW</c:v>
                </c:pt>
                <c:pt idx="7">
                  <c:v>CTS</c:v>
                </c:pt>
                <c:pt idx="8">
                  <c:v>BA-NOI</c:v>
                </c:pt>
                <c:pt idx="9">
                  <c:v>ISG06</c:v>
                </c:pt>
              </c:strCache>
            </c:strRef>
          </c:cat>
          <c:val>
            <c:numRef>
              <c:f>'TỔNG QUAN'!$G$23:$G$32</c:f>
              <c:numCache>
                <c:formatCode>#,##0;[RED]\-#,##0;\-</c:formatCode>
                <c:ptCount val="10"/>
                <c:pt idx="0">
                  <c:v>-663</c:v>
                </c:pt>
                <c:pt idx="1">
                  <c:v>-264</c:v>
                </c:pt>
                <c:pt idx="2">
                  <c:v>168</c:v>
                </c:pt>
                <c:pt idx="3">
                  <c:v>-145</c:v>
                </c:pt>
                <c:pt idx="4">
                  <c:v>-119</c:v>
                </c:pt>
                <c:pt idx="5">
                  <c:v>-102</c:v>
                </c:pt>
                <c:pt idx="6">
                  <c:v>-98</c:v>
                </c:pt>
                <c:pt idx="7">
                  <c:v>-97</c:v>
                </c:pt>
                <c:pt idx="8">
                  <c:v>-85</c:v>
                </c:pt>
                <c:pt idx="9">
                  <c:v>-82</c:v>
                </c:pt>
              </c:numCache>
            </c:numRef>
          </c:val>
        </c:ser>
        <c:gapWidth val="150"/>
        <c:overlap val="0"/>
        <c:axId val="33878908"/>
        <c:axId val="9041120"/>
      </c:barChart>
      <c:catAx>
        <c:axId val="33878908"/>
        <c:scaling>
          <c:orientation val="maxMin"/>
        </c:scaling>
        <c:delete val="0"/>
        <c:axPos val="b"/>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9041120"/>
        <c:crosses val="autoZero"/>
        <c:auto val="1"/>
        <c:lblAlgn val="ctr"/>
        <c:lblOffset val="100"/>
        <c:noMultiLvlLbl val="0"/>
      </c:catAx>
      <c:valAx>
        <c:axId val="9041120"/>
        <c:scaling>
          <c:orientation val="minMax"/>
        </c:scaling>
        <c:delete val="0"/>
        <c:axPos val="l"/>
        <c:majorGridlines>
          <c:spPr>
            <a:ln w="9360">
              <a:solidFill>
                <a:srgbClr val="878787"/>
              </a:solidFill>
              <a:round/>
            </a:ln>
          </c:spPr>
        </c:majorGridlines>
        <c:numFmt formatCode="#,##0;[RED]\-#,##0;\-"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33878908"/>
        <c:crosses val="autoZero"/>
        <c:crossBetween val="between"/>
      </c:valAx>
      <c:spPr>
        <a:noFill/>
        <a:ln w="0">
          <a:noFill/>
        </a:ln>
      </c:spPr>
    </c:plotArea>
    <c:plotVisOnly val="1"/>
    <c:dispBlanksAs val="gap"/>
  </c:chart>
  <c:spPr>
    <a:solidFill>
      <a:srgbClr val="ffffff"/>
    </a:solidFill>
    <a:ln w="9360">
      <a:solidFill>
        <a:srgbClr val="d9d9d9"/>
      </a:solidFill>
      <a:round/>
    </a:ln>
  </c:spPr>
</c:chartSpace>
</file>

<file path=xl/drawings/_rels/drawing1.xml.rels><?xml version="1.0" encoding="UTF-8"?>
<Relationships xmlns="http://schemas.openxmlformats.org/package/2006/relationships"><Relationship Id="rId1" Type="http://schemas.openxmlformats.org/officeDocument/2006/relationships/chart" Target="../charts/chart1.xml"/>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11</xdr:col>
      <xdr:colOff>0</xdr:colOff>
      <xdr:row>2</xdr:row>
      <xdr:rowOff>131040</xdr:rowOff>
    </xdr:from>
    <xdr:to>
      <xdr:col>18</xdr:col>
      <xdr:colOff>398880</xdr:colOff>
      <xdr:row>16</xdr:row>
      <xdr:rowOff>65520</xdr:rowOff>
    </xdr:to>
    <xdr:graphicFrame>
      <xdr:nvGraphicFramePr>
        <xdr:cNvPr id="0" name="Chart 1"/>
        <xdr:cNvGraphicFramePr/>
      </xdr:nvGraphicFramePr>
      <xdr:xfrm>
        <a:off x="8035200" y="571680"/>
        <a:ext cx="4679640" cy="32396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_rels/sheet2.xml.rels><?xml version="1.0" encoding="UTF-8"?>
<Relationships xmlns="http://schemas.openxmlformats.org/package/2006/relationships"><Relationship Id="rId1" Type="http://schemas.openxmlformats.org/officeDocument/2006/relationships/drawing" Target="../drawings/drawing2.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F3864"/>
    <pageSetUpPr fitToPage="false"/>
  </sheetPr>
  <dimension ref="A1:K32"/>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9"/>
    <col collapsed="false" customWidth="true" hidden="false" outlineLevel="0" max="4" min="2" style="0" width="12"/>
    <col collapsed="false" customWidth="true" hidden="false" outlineLevel="0" max="7" min="5" style="0" width="13"/>
    <col collapsed="false" customWidth="true" hidden="false" outlineLevel="0" max="8" min="8" style="0" width="24"/>
    <col collapsed="false" customWidth="true" hidden="false" outlineLevel="0" max="9" min="9" style="0" width="3"/>
    <col collapsed="false" customWidth="true" hidden="true" outlineLevel="0" max="10" min="10" style="0" width="3"/>
    <col collapsed="false" customWidth="true" hidden="false" outlineLevel="0" max="11" min="11" style="0" width="3"/>
  </cols>
  <sheetData>
    <row r="1" customFormat="false" ht="19.7" hidden="false" customHeight="false" outlineLevel="0" collapsed="false">
      <c r="A1" s="1" t="s">
        <v>0</v>
      </c>
    </row>
    <row r="2" customFormat="false" ht="15" hidden="false" customHeight="false" outlineLevel="0" collapsed="false">
      <c r="A2" s="2" t="s">
        <v>1</v>
      </c>
    </row>
    <row r="4" customFormat="false" ht="27.75" hidden="false" customHeight="true" outlineLevel="0" collapsed="false">
      <c r="A4" s="3" t="s">
        <v>2</v>
      </c>
      <c r="B4" s="3"/>
      <c r="D4" s="4" t="s">
        <v>3</v>
      </c>
      <c r="E4" s="4"/>
      <c r="G4" s="5" t="s">
        <v>4</v>
      </c>
      <c r="H4" s="5"/>
      <c r="J4" s="6" t="s">
        <v>5</v>
      </c>
      <c r="K4" s="6"/>
    </row>
    <row r="5" customFormat="false" ht="33.75" hidden="false" customHeight="true" outlineLevel="0" collapsed="false">
      <c r="A5" s="7" t="n">
        <f aca="false">COUNTA('ĐỐI CHIẾU'!$C$5:$C$71)</f>
        <v>67</v>
      </c>
      <c r="B5" s="7"/>
      <c r="D5" s="8" t="n">
        <f aca="false">COUNTIF('ĐỐI CHIẾU'!$M$5:$M$71,"Khớp")</f>
        <v>3</v>
      </c>
      <c r="E5" s="8"/>
      <c r="G5" s="9" t="n">
        <f aca="false">COUNTIF('ĐỐI CHIẾU'!$M$5:$M$71,"Thực*")</f>
        <v>12</v>
      </c>
      <c r="H5" s="9"/>
      <c r="J5" s="10" t="n">
        <f aca="false">COUNTIF('ĐỐI CHIẾU'!$M$5:$M$71,"HĐ*")</f>
        <v>52</v>
      </c>
      <c r="K5" s="10"/>
    </row>
    <row r="7" customFormat="false" ht="15" hidden="false" customHeight="false" outlineLevel="0" collapsed="false">
      <c r="A7" s="11" t="s">
        <v>6</v>
      </c>
    </row>
    <row r="8" customFormat="false" ht="33.75" hidden="false" customHeight="true" outlineLevel="0" collapsed="false">
      <c r="A8" s="12" t="s">
        <v>7</v>
      </c>
      <c r="B8" s="12"/>
      <c r="C8" s="12" t="s">
        <v>8</v>
      </c>
      <c r="D8" s="12" t="s">
        <v>9</v>
      </c>
      <c r="E8" s="12" t="s">
        <v>10</v>
      </c>
      <c r="F8" s="12" t="s">
        <v>11</v>
      </c>
      <c r="G8" s="12" t="s">
        <v>12</v>
      </c>
      <c r="H8" s="12" t="s">
        <v>13</v>
      </c>
    </row>
    <row r="9" customFormat="false" ht="15" hidden="false" customHeight="false" outlineLevel="0" collapsed="false">
      <c r="A9" s="13" t="s">
        <v>14</v>
      </c>
      <c r="B9" s="14"/>
      <c r="C9" s="15" t="n">
        <f aca="false">SUMIFS('ĐỐI CHIẾU'!$J$5:$J$71,'ĐỐI CHIẾU'!$E$5:$E$71,$A9)</f>
        <v>1272</v>
      </c>
      <c r="D9" s="15" t="n">
        <f aca="false">SUMIFS('ĐỐI CHIẾU'!$K$5:$K$71,'ĐỐI CHIẾU'!$E$5:$E$71,$A9)</f>
        <v>2807</v>
      </c>
      <c r="E9" s="15" t="n">
        <f aca="false">SUMIFS('ĐỐI CHIẾU'!$L$5:$L$71,'ĐỐI CHIẾU'!$E$5:$E$71,$A9)</f>
        <v>-1535</v>
      </c>
      <c r="F9" s="15" t="n">
        <f aca="false">SUMIFS('ĐỐI CHIẾU'!$N$5:$N$71,'ĐỐI CHIẾU'!$E$5:$E$71,$A9)</f>
        <v>172</v>
      </c>
      <c r="G9" s="15" t="n">
        <f aca="false">SUMIFS('ĐỐI CHIẾU'!$O$5:$O$71,'ĐỐI CHIẾU'!$E$5:$E$71,$A9)</f>
        <v>1707</v>
      </c>
      <c r="H9" s="15" t="n">
        <f aca="false">SUMIFS('ĐỐI CHIẾU'!$R$5:$R$71,'ĐỐI CHIẾU'!$E$5:$E$71,$A9)</f>
        <v>1100</v>
      </c>
    </row>
    <row r="10" customFormat="false" ht="15" hidden="false" customHeight="false" outlineLevel="0" collapsed="false">
      <c r="A10" s="13" t="s">
        <v>15</v>
      </c>
      <c r="B10" s="14"/>
      <c r="C10" s="15" t="n">
        <f aca="false">SUMIFS('ĐỐI CHIẾU'!$J$5:$J$71,'ĐỐI CHIẾU'!$E$5:$E$71,$A10)</f>
        <v>761</v>
      </c>
      <c r="D10" s="15" t="n">
        <f aca="false">SUMIFS('ĐỐI CHIẾU'!$K$5:$K$71,'ĐỐI CHIẾU'!$E$5:$E$71,$A10)</f>
        <v>1524</v>
      </c>
      <c r="E10" s="15" t="n">
        <f aca="false">SUMIFS('ĐỐI CHIẾU'!$L$5:$L$71,'ĐỐI CHIẾU'!$E$5:$E$71,$A10)</f>
        <v>-763</v>
      </c>
      <c r="F10" s="15" t="n">
        <f aca="false">SUMIFS('ĐỐI CHIẾU'!$N$5:$N$71,'ĐỐI CHIẾU'!$E$5:$E$71,$A10)</f>
        <v>53</v>
      </c>
      <c r="G10" s="15" t="n">
        <f aca="false">SUMIFS('ĐỐI CHIẾU'!$O$5:$O$71,'ĐỐI CHIẾU'!$E$5:$E$71,$A10)</f>
        <v>816</v>
      </c>
      <c r="H10" s="15" t="n">
        <f aca="false">SUMIFS('ĐỐI CHIẾU'!$R$5:$R$71,'ĐỐI CHIẾU'!$E$5:$E$71,$A10)</f>
        <v>708</v>
      </c>
    </row>
    <row r="11" customFormat="false" ht="15" hidden="false" customHeight="false" outlineLevel="0" collapsed="false">
      <c r="A11" s="13" t="s">
        <v>16</v>
      </c>
      <c r="B11" s="14"/>
      <c r="C11" s="15" t="n">
        <f aca="false">SUMIFS('ĐỐI CHIẾU'!$J$5:$J$71,'ĐỐI CHIẾU'!$E$5:$E$71,$A11)</f>
        <v>350</v>
      </c>
      <c r="D11" s="15" t="n">
        <f aca="false">SUMIFS('ĐỐI CHIẾU'!$K$5:$K$71,'ĐỐI CHIẾU'!$E$5:$E$71,$A11)</f>
        <v>740</v>
      </c>
      <c r="E11" s="15" t="n">
        <f aca="false">SUMIFS('ĐỐI CHIẾU'!$L$5:$L$71,'ĐỐI CHIẾU'!$E$5:$E$71,$A11)</f>
        <v>-390</v>
      </c>
      <c r="F11" s="15" t="n">
        <f aca="false">SUMIFS('ĐỐI CHIẾU'!$N$5:$N$71,'ĐỐI CHIẾU'!$E$5:$E$71,$A11)</f>
        <v>15</v>
      </c>
      <c r="G11" s="15" t="n">
        <f aca="false">SUMIFS('ĐỐI CHIẾU'!$O$5:$O$71,'ĐỐI CHIẾU'!$E$5:$E$71,$A11)</f>
        <v>405</v>
      </c>
      <c r="H11" s="15" t="n">
        <f aca="false">SUMIFS('ĐỐI CHIẾU'!$R$5:$R$71,'ĐỐI CHIẾU'!$E$5:$E$71,$A11)</f>
        <v>335</v>
      </c>
    </row>
    <row r="12" customFormat="false" ht="15" hidden="false" customHeight="false" outlineLevel="0" collapsed="false">
      <c r="A12" s="13" t="s">
        <v>17</v>
      </c>
      <c r="B12" s="14"/>
      <c r="C12" s="15" t="n">
        <f aca="false">SUMIFS('ĐỐI CHIẾU'!$J$5:$J$71,'ĐỐI CHIẾU'!$E$5:$E$71,$A12)</f>
        <v>29</v>
      </c>
      <c r="D12" s="15" t="n">
        <f aca="false">SUMIFS('ĐỐI CHIẾU'!$K$5:$K$71,'ĐỐI CHIẾU'!$E$5:$E$71,$A12)</f>
        <v>256</v>
      </c>
      <c r="E12" s="15" t="n">
        <f aca="false">SUMIFS('ĐỐI CHIẾU'!$L$5:$L$71,'ĐỐI CHIẾU'!$E$5:$E$71,$A12)</f>
        <v>-227</v>
      </c>
      <c r="F12" s="15" t="n">
        <f aca="false">SUMIFS('ĐỐI CHIẾU'!$N$5:$N$71,'ĐỐI CHIẾU'!$E$5:$E$71,$A12)</f>
        <v>0</v>
      </c>
      <c r="G12" s="15" t="n">
        <f aca="false">SUMIFS('ĐỐI CHIẾU'!$O$5:$O$71,'ĐỐI CHIẾU'!$E$5:$E$71,$A12)</f>
        <v>227</v>
      </c>
      <c r="H12" s="15" t="n">
        <f aca="false">SUMIFS('ĐỐI CHIẾU'!$R$5:$R$71,'ĐỐI CHIẾU'!$E$5:$E$71,$A12)</f>
        <v>29</v>
      </c>
    </row>
    <row r="13" customFormat="false" ht="15" hidden="false" customHeight="false" outlineLevel="0" collapsed="false">
      <c r="A13" s="13" t="s">
        <v>18</v>
      </c>
      <c r="B13" s="14"/>
      <c r="C13" s="15" t="n">
        <f aca="false">SUMIFS('ĐỐI CHIẾU'!$J$5:$J$71,'ĐỐI CHIẾU'!$E$5:$E$71,$A13)</f>
        <v>0</v>
      </c>
      <c r="D13" s="15" t="n">
        <f aca="false">SUMIFS('ĐỐI CHIẾU'!$K$5:$K$71,'ĐỐI CHIẾU'!$E$5:$E$71,$A13)</f>
        <v>32</v>
      </c>
      <c r="E13" s="15" t="n">
        <f aca="false">SUMIFS('ĐỐI CHIẾU'!$L$5:$L$71,'ĐỐI CHIẾU'!$E$5:$E$71,$A13)</f>
        <v>-32</v>
      </c>
      <c r="F13" s="15" t="n">
        <f aca="false">SUMIFS('ĐỐI CHIẾU'!$N$5:$N$71,'ĐỐI CHIẾU'!$E$5:$E$71,$A13)</f>
        <v>0</v>
      </c>
      <c r="G13" s="15" t="n">
        <f aca="false">SUMIFS('ĐỐI CHIẾU'!$O$5:$O$71,'ĐỐI CHIẾU'!$E$5:$E$71,$A13)</f>
        <v>32</v>
      </c>
      <c r="H13" s="15" t="n">
        <f aca="false">SUMIFS('ĐỐI CHIẾU'!$R$5:$R$71,'ĐỐI CHIẾU'!$E$5:$E$71,$A13)</f>
        <v>0</v>
      </c>
    </row>
    <row r="14" customFormat="false" ht="15" hidden="false" customHeight="false" outlineLevel="0" collapsed="false">
      <c r="A14" s="16" t="s">
        <v>19</v>
      </c>
      <c r="B14" s="17"/>
      <c r="C14" s="18" t="n">
        <f aca="false">SUM(C9:C13)</f>
        <v>2412</v>
      </c>
      <c r="D14" s="18" t="n">
        <f aca="false">SUM(D9:D13)</f>
        <v>5359</v>
      </c>
      <c r="E14" s="18" t="n">
        <f aca="false">SUM(E9:E13)</f>
        <v>-2947</v>
      </c>
      <c r="F14" s="18" t="n">
        <f aca="false">SUM(F9:F13)</f>
        <v>240</v>
      </c>
      <c r="G14" s="18" t="n">
        <f aca="false">SUM(G9:G13)</f>
        <v>3187</v>
      </c>
      <c r="H14" s="18" t="n">
        <f aca="false">SUM(H9:H13)</f>
        <v>2172</v>
      </c>
    </row>
    <row r="16" customFormat="false" ht="15" hidden="false" customHeight="false" outlineLevel="0" collapsed="false">
      <c r="A16" s="11" t="s">
        <v>20</v>
      </c>
    </row>
    <row r="17" customFormat="false" ht="15" hidden="false" customHeight="false" outlineLevel="0" collapsed="false">
      <c r="A17" s="19" t="s">
        <v>21</v>
      </c>
      <c r="B17" s="19"/>
      <c r="C17" s="19"/>
      <c r="D17" s="19"/>
      <c r="E17" s="19"/>
      <c r="F17" s="20" t="n">
        <f aca="false">SUMPRODUCT('ĐỐI CHIẾU'!$N$5:$N$71,'ĐỐI CHIẾU'!$P$5:$P$71)</f>
        <v>282824551</v>
      </c>
    </row>
    <row r="18" customFormat="false" ht="15" hidden="false" customHeight="false" outlineLevel="0" collapsed="false">
      <c r="A18" s="19" t="s">
        <v>22</v>
      </c>
      <c r="B18" s="19"/>
      <c r="C18" s="19"/>
      <c r="D18" s="19"/>
      <c r="E18" s="19"/>
      <c r="F18" s="20" t="n">
        <f aca="false">SUMPRODUCT('ĐỐI CHIẾU'!$O$5:$O$71,'ĐỐI CHIẾU'!$P$5:$P$71)</f>
        <v>1869998922</v>
      </c>
    </row>
    <row r="19" customFormat="false" ht="15" hidden="false" customHeight="false" outlineLevel="0" collapsed="false">
      <c r="A19" s="19" t="s">
        <v>23</v>
      </c>
      <c r="B19" s="19"/>
      <c r="C19" s="19"/>
      <c r="D19" s="19"/>
      <c r="E19" s="19"/>
      <c r="F19" s="20" t="n">
        <f aca="false">SUM('ĐỐI CHIẾU'!$S$5:$S$71)</f>
        <v>1685777008</v>
      </c>
    </row>
    <row r="21" customFormat="false" ht="15" hidden="false" customHeight="false" outlineLevel="0" collapsed="false">
      <c r="A21" s="11" t="s">
        <v>24</v>
      </c>
    </row>
    <row r="22" customFormat="false" ht="30" hidden="false" customHeight="true" outlineLevel="0" collapsed="false">
      <c r="A22" s="12" t="s">
        <v>25</v>
      </c>
      <c r="B22" s="12" t="s">
        <v>26</v>
      </c>
      <c r="C22" s="12" t="s">
        <v>7</v>
      </c>
      <c r="D22" s="12" t="s">
        <v>27</v>
      </c>
      <c r="E22" s="12" t="s">
        <v>8</v>
      </c>
      <c r="F22" s="12" t="s">
        <v>9</v>
      </c>
      <c r="G22" s="12" t="s">
        <v>28</v>
      </c>
      <c r="H22" s="12" t="s">
        <v>29</v>
      </c>
    </row>
    <row r="23" customFormat="false" ht="15" hidden="false" customHeight="false" outlineLevel="0" collapsed="false">
      <c r="A23" s="14" t="n">
        <v>1</v>
      </c>
      <c r="B23" s="14" t="str">
        <f aca="false">IF($J23="","",IF(INDEX('ĐỐI CHIẾU'!$C$5:$C$71,$J23)="","",INDEX('ĐỐI CHIẾU'!$C$5:$C$71,$J23)))</f>
        <v>DECO</v>
      </c>
      <c r="C23" s="14" t="str">
        <f aca="false">IF($J23="","",IF(INDEX('ĐỐI CHIẾU'!$E$5:$E$71,$J23)="","",INDEX('ĐỐI CHIẾU'!$E$5:$E$71,$J23)))</f>
        <v>18L</v>
      </c>
      <c r="D23" s="14" t="str">
        <f aca="false">IF($J23="","",IF(INDEX('ĐỐI CHIẾU'!$F$5:$F$71,$J23)="","",INDEX('ĐỐI CHIẾU'!$F$5:$F$71,$J23)))</f>
        <v>B1</v>
      </c>
      <c r="E23" s="15" t="n">
        <f aca="false">IF($J23="","",IF(INDEX('ĐỐI CHIẾU'!$J$5:$J$71,$J23)="","",INDEX('ĐỐI CHIẾU'!$J$5:$J$71,$J23)))</f>
        <v>61</v>
      </c>
      <c r="F23" s="15" t="n">
        <f aca="false">IF($J23="","",IF(INDEX('ĐỐI CHIẾU'!$K$5:$K$71,$J23)="","",INDEX('ĐỐI CHIẾU'!$K$5:$K$71,$J23)))</f>
        <v>724</v>
      </c>
      <c r="G23" s="15" t="n">
        <f aca="false">IF($J23="","",IF(INDEX('ĐỐI CHIẾU'!$L$5:$L$71,$J23)="","",INDEX('ĐỐI CHIẾU'!$L$5:$L$71,$J23)))</f>
        <v>-663</v>
      </c>
      <c r="H23" s="14" t="str">
        <f aca="false">IF($J23="","",IF(INDEX('ĐỐI CHIẾU'!$M$5:$M$71,$J23)="","",INDEX('ĐỐI CHIẾU'!$M$5:$M$71,$J23)))</f>
        <v>HĐ nhiều hơn thực tế</v>
      </c>
      <c r="J23" s="21" t="n">
        <f aca="false">IFERROR(MATCH(LARGE('ĐỐI CHIẾU'!$T$5:$T$71,A23),'ĐỐI CHIẾU'!$T$5:$T$71,0),"")</f>
        <v>23</v>
      </c>
    </row>
    <row r="24" customFormat="false" ht="15" hidden="false" customHeight="false" outlineLevel="0" collapsed="false">
      <c r="A24" s="14" t="n">
        <v>2</v>
      </c>
      <c r="B24" s="14" t="str">
        <f aca="false">IF($J24="","",IF(INDEX('ĐỐI CHIẾU'!$C$5:$C$71,$J24)="","",INDEX('ĐỐI CHIẾU'!$C$5:$C$71,$J24)))</f>
        <v>IL5</v>
      </c>
      <c r="C24" s="14" t="str">
        <f aca="false">IF($J24="","",IF(INDEX('ĐỐI CHIẾU'!$E$5:$E$71,$J24)="","",INDEX('ĐỐI CHIẾU'!$E$5:$E$71,$J24)))</f>
        <v>18L</v>
      </c>
      <c r="D24" s="14" t="str">
        <f aca="false">IF($J24="","",IF(INDEX('ĐỐI CHIẾU'!$F$5:$F$71,$J24)="","",INDEX('ĐỐI CHIẾU'!$F$5:$F$71,$J24)))</f>
        <v/>
      </c>
      <c r="E24" s="15" t="n">
        <f aca="false">IF($J24="","",IF(INDEX('ĐỐI CHIẾU'!$J$5:$J$71,$J24)="","",INDEX('ĐỐI CHIẾU'!$J$5:$J$71,$J24)))</f>
        <v>52</v>
      </c>
      <c r="F24" s="15" t="n">
        <f aca="false">IF($J24="","",IF(INDEX('ĐỐI CHIẾU'!$K$5:$K$71,$J24)="","",INDEX('ĐỐI CHIẾU'!$K$5:$K$71,$J24)))</f>
        <v>316</v>
      </c>
      <c r="G24" s="15" t="n">
        <f aca="false">IF($J24="","",IF(INDEX('ĐỐI CHIẾU'!$L$5:$L$71,$J24)="","",INDEX('ĐỐI CHIẾU'!$L$5:$L$71,$J24)))</f>
        <v>-264</v>
      </c>
      <c r="H24" s="14" t="str">
        <f aca="false">IF($J24="","",IF(INDEX('ĐỐI CHIẾU'!$M$5:$M$71,$J24)="","",INDEX('ĐỐI CHIẾU'!$M$5:$M$71,$J24)))</f>
        <v>HĐ nhiều hơn thực tế</v>
      </c>
      <c r="J24" s="21" t="n">
        <f aca="false">IFERROR(MATCH(LARGE('ĐỐI CHIẾU'!$T$5:$T$71,A24),'ĐỐI CHIẾU'!$T$5:$T$71,0),"")</f>
        <v>10</v>
      </c>
    </row>
    <row r="25" customFormat="false" ht="15" hidden="false" customHeight="false" outlineLevel="0" collapsed="false">
      <c r="A25" s="14" t="n">
        <v>3</v>
      </c>
      <c r="B25" s="14" t="str">
        <f aca="false">IF($J25="","",IF(INDEX('ĐỐI CHIẾU'!$C$5:$C$71,$J25)="","",INDEX('ĐỐI CHIẾU'!$C$5:$C$71,$J25)))</f>
        <v>EG09</v>
      </c>
      <c r="C25" s="14" t="str">
        <f aca="false">IF($J25="","",IF(INDEX('ĐỐI CHIẾU'!$E$5:$E$71,$J25)="","",INDEX('ĐỐI CHIẾU'!$E$5:$E$71,$J25)))</f>
        <v>18L</v>
      </c>
      <c r="D25" s="14" t="str">
        <f aca="false">IF($J25="","",IF(INDEX('ĐỐI CHIẾU'!$F$5:$F$71,$J25)="","",INDEX('ĐỐI CHIẾU'!$F$5:$F$71,$J25)))</f>
        <v>B1</v>
      </c>
      <c r="E25" s="15" t="n">
        <f aca="false">IF($J25="","",IF(INDEX('ĐỐI CHIẾU'!$J$5:$J$71,$J25)="","",INDEX('ĐỐI CHIẾU'!$J$5:$J$71,$J25)))</f>
        <v>218</v>
      </c>
      <c r="F25" s="15" t="n">
        <f aca="false">IF($J25="","",IF(INDEX('ĐỐI CHIẾU'!$K$5:$K$71,$J25)="","",INDEX('ĐỐI CHIẾU'!$K$5:$K$71,$J25)))</f>
        <v>50</v>
      </c>
      <c r="G25" s="15" t="n">
        <f aca="false">IF($J25="","",IF(INDEX('ĐỐI CHIẾU'!$L$5:$L$71,$J25)="","",INDEX('ĐỐI CHIẾU'!$L$5:$L$71,$J25)))</f>
        <v>168</v>
      </c>
      <c r="H25" s="14" t="str">
        <f aca="false">IF($J25="","",IF(INDEX('ĐỐI CHIẾU'!$M$5:$M$71,$J25)="","",INDEX('ĐỐI CHIẾU'!$M$5:$M$71,$J25)))</f>
        <v>Thực tế nhiều hơn HĐ</v>
      </c>
      <c r="J25" s="21" t="n">
        <f aca="false">IFERROR(MATCH(LARGE('ĐỐI CHIẾU'!$T$5:$T$71,A25),'ĐỐI CHIẾU'!$T$5:$T$71,0),"")</f>
        <v>45</v>
      </c>
    </row>
    <row r="26" customFormat="false" ht="15" hidden="false" customHeight="false" outlineLevel="0" collapsed="false">
      <c r="A26" s="14" t="n">
        <v>4</v>
      </c>
      <c r="B26" s="14" t="str">
        <f aca="false">IF($J26="","",IF(INDEX('ĐỐI CHIẾU'!$C$5:$C$71,$J26)="","",INDEX('ĐỐI CHIẾU'!$C$5:$C$71,$J26)))</f>
        <v>ISI</v>
      </c>
      <c r="C26" s="14" t="str">
        <f aca="false">IF($J26="","",IF(INDEX('ĐỐI CHIẾU'!$E$5:$E$71,$J26)="","",INDEX('ĐỐI CHIẾU'!$E$5:$E$71,$J26)))</f>
        <v>18L</v>
      </c>
      <c r="D26" s="14" t="str">
        <f aca="false">IF($J26="","",IF(INDEX('ĐỐI CHIẾU'!$F$5:$F$71,$J26)="","",INDEX('ĐỐI CHIẾU'!$F$5:$F$71,$J26)))</f>
        <v>B1</v>
      </c>
      <c r="E26" s="15" t="n">
        <f aca="false">IF($J26="","",IF(INDEX('ĐỐI CHIẾU'!$J$5:$J$71,$J26)="","",INDEX('ĐỐI CHIẾU'!$J$5:$J$71,$J26)))</f>
        <v>57</v>
      </c>
      <c r="F26" s="15" t="n">
        <f aca="false">IF($J26="","",IF(INDEX('ĐỐI CHIẾU'!$K$5:$K$71,$J26)="","",INDEX('ĐỐI CHIẾU'!$K$5:$K$71,$J26)))</f>
        <v>202</v>
      </c>
      <c r="G26" s="15" t="n">
        <f aca="false">IF($J26="","",IF(INDEX('ĐỐI CHIẾU'!$L$5:$L$71,$J26)="","",INDEX('ĐỐI CHIẾU'!$L$5:$L$71,$J26)))</f>
        <v>-145</v>
      </c>
      <c r="H26" s="14" t="str">
        <f aca="false">IF($J26="","",IF(INDEX('ĐỐI CHIẾU'!$M$5:$M$71,$J26)="","",INDEX('ĐỐI CHIẾU'!$M$5:$M$71,$J26)))</f>
        <v>HĐ nhiều hơn thực tế</v>
      </c>
      <c r="J26" s="21" t="n">
        <f aca="false">IFERROR(MATCH(LARGE('ĐỐI CHIẾU'!$T$5:$T$71,A26),'ĐỐI CHIẾU'!$T$5:$T$71,0),"")</f>
        <v>16</v>
      </c>
    </row>
    <row r="27" customFormat="false" ht="15" hidden="false" customHeight="false" outlineLevel="0" collapsed="false">
      <c r="A27" s="14" t="n">
        <v>5</v>
      </c>
      <c r="B27" s="14" t="str">
        <f aca="false">IF($J27="","",IF(INDEX('ĐỐI CHIẾU'!$C$5:$C$71,$J27)="","",INDEX('ĐỐI CHIẾU'!$C$5:$C$71,$J27)))</f>
        <v>ISG06</v>
      </c>
      <c r="C27" s="14" t="str">
        <f aca="false">IF($J27="","",IF(INDEX('ĐỐI CHIẾU'!$E$5:$E$71,$J27)="","",INDEX('ĐỐI CHIẾU'!$E$5:$E$71,$J27)))</f>
        <v>18L</v>
      </c>
      <c r="D27" s="14" t="str">
        <f aca="false">IF($J27="","",IF(INDEX('ĐỐI CHIẾU'!$F$5:$F$71,$J27)="","",INDEX('ĐỐI CHIẾU'!$F$5:$F$71,$J27)))</f>
        <v>B1</v>
      </c>
      <c r="E27" s="15" t="n">
        <f aca="false">IF($J27="","",IF(INDEX('ĐỐI CHIẾU'!$J$5:$J$71,$J27)="","",INDEX('ĐỐI CHIẾU'!$J$5:$J$71,$J27)))</f>
        <v>53</v>
      </c>
      <c r="F27" s="15" t="n">
        <f aca="false">IF($J27="","",IF(INDEX('ĐỐI CHIẾU'!$K$5:$K$71,$J27)="","",INDEX('ĐỐI CHIẾU'!$K$5:$K$71,$J27)))</f>
        <v>172</v>
      </c>
      <c r="G27" s="15" t="n">
        <f aca="false">IF($J27="","",IF(INDEX('ĐỐI CHIẾU'!$L$5:$L$71,$J27)="","",INDEX('ĐỐI CHIẾU'!$L$5:$L$71,$J27)))</f>
        <v>-119</v>
      </c>
      <c r="H27" s="14" t="str">
        <f aca="false">IF($J27="","",IF(INDEX('ĐỐI CHIẾU'!$M$5:$M$71,$J27)="","",INDEX('ĐỐI CHIẾU'!$M$5:$M$71,$J27)))</f>
        <v>HĐ nhiều hơn thực tế</v>
      </c>
      <c r="J27" s="21" t="n">
        <f aca="false">IFERROR(MATCH(LARGE('ĐỐI CHIẾU'!$T$5:$T$71,A27),'ĐỐI CHIẾU'!$T$5:$T$71,0),"")</f>
        <v>18</v>
      </c>
    </row>
    <row r="28" customFormat="false" ht="15" hidden="false" customHeight="false" outlineLevel="0" collapsed="false">
      <c r="A28" s="14" t="n">
        <v>6</v>
      </c>
      <c r="B28" s="14" t="str">
        <f aca="false">IF($J28="","",IF(INDEX('ĐỐI CHIẾU'!$C$5:$C$71,$J28)="","",INDEX('ĐỐI CHIẾU'!$C$5:$C$71,$J28)))</f>
        <v>ICL</v>
      </c>
      <c r="C28" s="14" t="str">
        <f aca="false">IF($J28="","",IF(INDEX('ĐỐI CHIẾU'!$E$5:$E$71,$J28)="","",INDEX('ĐỐI CHIẾU'!$E$5:$E$71,$J28)))</f>
        <v>1L</v>
      </c>
      <c r="D28" s="14" t="str">
        <f aca="false">IF($J28="","",IF(INDEX('ĐỐI CHIẾU'!$F$5:$F$71,$J28)="","",INDEX('ĐỐI CHIẾU'!$F$5:$F$71,$J28)))</f>
        <v/>
      </c>
      <c r="E28" s="15" t="n">
        <f aca="false">IF($J28="","",IF(INDEX('ĐỐI CHIẾU'!$J$5:$J$71,$J28)="","",INDEX('ĐỐI CHIẾU'!$J$5:$J$71,$J28)))</f>
        <v>18</v>
      </c>
      <c r="F28" s="15" t="n">
        <f aca="false">IF($J28="","",IF(INDEX('ĐỐI CHIẾU'!$K$5:$K$71,$J28)="","",INDEX('ĐỐI CHIẾU'!$K$5:$K$71,$J28)))</f>
        <v>120</v>
      </c>
      <c r="G28" s="15" t="n">
        <f aca="false">IF($J28="","",IF(INDEX('ĐỐI CHIẾU'!$L$5:$L$71,$J28)="","",INDEX('ĐỐI CHIẾU'!$L$5:$L$71,$J28)))</f>
        <v>-102</v>
      </c>
      <c r="H28" s="14" t="str">
        <f aca="false">IF($J28="","",IF(INDEX('ĐỐI CHIẾU'!$M$5:$M$71,$J28)="","",INDEX('ĐỐI CHIẾU'!$M$5:$M$71,$J28)))</f>
        <v>HĐ nhiều hơn thực tế</v>
      </c>
      <c r="J28" s="21" t="n">
        <f aca="false">IFERROR(MATCH(LARGE('ĐỐI CHIẾU'!$T$5:$T$71,A28),'ĐỐI CHIẾU'!$T$5:$T$71,0),"")</f>
        <v>24</v>
      </c>
    </row>
    <row r="29" customFormat="false" ht="15" hidden="false" customHeight="false" outlineLevel="0" collapsed="false">
      <c r="A29" s="14" t="n">
        <v>7</v>
      </c>
      <c r="B29" s="14" t="str">
        <f aca="false">IF($J29="","",IF(INDEX('ĐỐI CHIẾU'!$C$5:$C$71,$J29)="","",INDEX('ĐỐI CHIẾU'!$C$5:$C$71,$J29)))</f>
        <v>IEW</v>
      </c>
      <c r="C29" s="14" t="str">
        <f aca="false">IF($J29="","",IF(INDEX('ĐỐI CHIẾU'!$E$5:$E$71,$J29)="","",INDEX('ĐỐI CHIẾU'!$E$5:$E$71,$J29)))</f>
        <v>18L</v>
      </c>
      <c r="D29" s="14" t="str">
        <f aca="false">IF($J29="","",IF(INDEX('ĐỐI CHIẾU'!$F$5:$F$71,$J29)="","",INDEX('ĐỐI CHIẾU'!$F$5:$F$71,$J29)))</f>
        <v/>
      </c>
      <c r="E29" s="15" t="n">
        <f aca="false">IF($J29="","",IF(INDEX('ĐỐI CHIẾU'!$J$5:$J$71,$J29)="","",INDEX('ĐỐI CHIẾU'!$J$5:$J$71,$J29)))</f>
        <v>1</v>
      </c>
      <c r="F29" s="15" t="n">
        <f aca="false">IF($J29="","",IF(INDEX('ĐỐI CHIẾU'!$K$5:$K$71,$J29)="","",INDEX('ĐỐI CHIẾU'!$K$5:$K$71,$J29)))</f>
        <v>99</v>
      </c>
      <c r="G29" s="15" t="n">
        <f aca="false">IF($J29="","",IF(INDEX('ĐỐI CHIẾU'!$L$5:$L$71,$J29)="","",INDEX('ĐỐI CHIẾU'!$L$5:$L$71,$J29)))</f>
        <v>-98</v>
      </c>
      <c r="H29" s="14" t="str">
        <f aca="false">IF($J29="","",IF(INDEX('ĐỐI CHIẾU'!$M$5:$M$71,$J29)="","",INDEX('ĐỐI CHIẾU'!$M$5:$M$71,$J29)))</f>
        <v>HĐ nhiều hơn thực tế</v>
      </c>
      <c r="J29" s="21" t="n">
        <f aca="false">IFERROR(MATCH(LARGE('ĐỐI CHIẾU'!$T$5:$T$71,A29),'ĐỐI CHIẾU'!$T$5:$T$71,0),"")</f>
        <v>14</v>
      </c>
    </row>
    <row r="30" customFormat="false" ht="15" hidden="false" customHeight="false" outlineLevel="0" collapsed="false">
      <c r="A30" s="14" t="n">
        <v>8</v>
      </c>
      <c r="B30" s="14" t="str">
        <f aca="false">IF($J30="","",IF(INDEX('ĐỐI CHIẾU'!$C$5:$C$71,$J30)="","",INDEX('ĐỐI CHIẾU'!$C$5:$C$71,$J30)))</f>
        <v>CTS</v>
      </c>
      <c r="C30" s="14" t="str">
        <f aca="false">IF($J30="","",IF(INDEX('ĐỐI CHIẾU'!$E$5:$E$71,$J30)="","",INDEX('ĐỐI CHIẾU'!$E$5:$E$71,$J30)))</f>
        <v>18L</v>
      </c>
      <c r="D30" s="14" t="str">
        <f aca="false">IF($J30="","",IF(INDEX('ĐỐI CHIẾU'!$F$5:$F$71,$J30)="","",INDEX('ĐỐI CHIẾU'!$F$5:$F$71,$J30)))</f>
        <v/>
      </c>
      <c r="E30" s="15" t="n">
        <f aca="false">IF($J30="","",IF(INDEX('ĐỐI CHIẾU'!$J$5:$J$71,$J30)="","",INDEX('ĐỐI CHIẾU'!$J$5:$J$71,$J30)))</f>
        <v>4</v>
      </c>
      <c r="F30" s="15" t="n">
        <f aca="false">IF($J30="","",IF(INDEX('ĐỐI CHIẾU'!$K$5:$K$71,$J30)="","",INDEX('ĐỐI CHIẾU'!$K$5:$K$71,$J30)))</f>
        <v>101</v>
      </c>
      <c r="G30" s="15" t="n">
        <f aca="false">IF($J30="","",IF(INDEX('ĐỐI CHIẾU'!$L$5:$L$71,$J30)="","",INDEX('ĐỐI CHIẾU'!$L$5:$L$71,$J30)))</f>
        <v>-97</v>
      </c>
      <c r="H30" s="14" t="str">
        <f aca="false">IF($J30="","",IF(INDEX('ĐỐI CHIẾU'!$M$5:$M$71,$J30)="","",INDEX('ĐỐI CHIẾU'!$M$5:$M$71,$J30)))</f>
        <v>HĐ nhiều hơn thực tế</v>
      </c>
      <c r="J30" s="21" t="n">
        <f aca="false">IFERROR(MATCH(LARGE('ĐỐI CHIẾU'!$T$5:$T$71,A30),'ĐỐI CHIẾU'!$T$5:$T$71,0),"")</f>
        <v>62</v>
      </c>
    </row>
    <row r="31" customFormat="false" ht="15" hidden="false" customHeight="false" outlineLevel="0" collapsed="false">
      <c r="A31" s="14" t="n">
        <v>9</v>
      </c>
      <c r="B31" s="14" t="str">
        <f aca="false">IF($J31="","",IF(INDEX('ĐỐI CHIẾU'!$C$5:$C$71,$J31)="","",INDEX('ĐỐI CHIẾU'!$C$5:$C$71,$J31)))</f>
        <v>BA-NOI</v>
      </c>
      <c r="C31" s="14" t="str">
        <f aca="false">IF($J31="","",IF(INDEX('ĐỐI CHIẾU'!$E$5:$E$71,$J31)="","",INDEX('ĐỐI CHIẾU'!$E$5:$E$71,$J31)))</f>
        <v>Bao</v>
      </c>
      <c r="D31" s="14" t="str">
        <f aca="false">IF($J31="","",IF(INDEX('ĐỐI CHIẾU'!$F$5:$F$71,$J31)="","",INDEX('ĐỐI CHIẾU'!$F$5:$F$71,$J31)))</f>
        <v/>
      </c>
      <c r="E31" s="15" t="n">
        <f aca="false">IF($J31="","",IF(INDEX('ĐỐI CHIẾU'!$J$5:$J$71,$J31)="","",INDEX('ĐỐI CHIẾU'!$J$5:$J$71,$J31)))</f>
        <v>0</v>
      </c>
      <c r="F31" s="15" t="n">
        <f aca="false">IF($J31="","",IF(INDEX('ĐỐI CHIẾU'!$K$5:$K$71,$J31)="","",INDEX('ĐỐI CHIẾU'!$K$5:$K$71,$J31)))</f>
        <v>85</v>
      </c>
      <c r="G31" s="15" t="n">
        <f aca="false">IF($J31="","",IF(INDEX('ĐỐI CHIẾU'!$L$5:$L$71,$J31)="","",INDEX('ĐỐI CHIẾU'!$L$5:$L$71,$J31)))</f>
        <v>-85</v>
      </c>
      <c r="H31" s="14" t="str">
        <f aca="false">IF($J31="","",IF(INDEX('ĐỐI CHIẾU'!$M$5:$M$71,$J31)="","",INDEX('ĐỐI CHIẾU'!$M$5:$M$71,$J31)))</f>
        <v>HĐ nhiều hơn thực tế</v>
      </c>
      <c r="J31" s="21" t="n">
        <f aca="false">IFERROR(MATCH(LARGE('ĐỐI CHIẾU'!$T$5:$T$71,A31),'ĐỐI CHIẾU'!$T$5:$T$71,0),"")</f>
        <v>65</v>
      </c>
    </row>
    <row r="32" customFormat="false" ht="15" hidden="false" customHeight="false" outlineLevel="0" collapsed="false">
      <c r="A32" s="14" t="n">
        <v>10</v>
      </c>
      <c r="B32" s="14" t="str">
        <f aca="false">IF($J32="","",IF(INDEX('ĐỐI CHIẾU'!$C$5:$C$71,$J32)="","",INDEX('ĐỐI CHIẾU'!$C$5:$C$71,$J32)))</f>
        <v>ISG06</v>
      </c>
      <c r="C32" s="14" t="str">
        <f aca="false">IF($J32="","",IF(INDEX('ĐỐI CHIẾU'!$E$5:$E$71,$J32)="","",INDEX('ĐỐI CHIẾU'!$E$5:$E$71,$J32)))</f>
        <v>5L</v>
      </c>
      <c r="D32" s="14" t="str">
        <f aca="false">IF($J32="","",IF(INDEX('ĐỐI CHIẾU'!$F$5:$F$71,$J32)="","",INDEX('ĐỐI CHIẾU'!$F$5:$F$71,$J32)))</f>
        <v>B1</v>
      </c>
      <c r="E32" s="15" t="n">
        <f aca="false">IF($J32="","",IF(INDEX('ĐỐI CHIẾU'!$J$5:$J$71,$J32)="","",INDEX('ĐỐI CHIẾU'!$J$5:$J$71,$J32)))</f>
        <v>26</v>
      </c>
      <c r="F32" s="15" t="n">
        <f aca="false">IF($J32="","",IF(INDEX('ĐỐI CHIẾU'!$K$5:$K$71,$J32)="","",INDEX('ĐỐI CHIẾU'!$K$5:$K$71,$J32)))</f>
        <v>108</v>
      </c>
      <c r="G32" s="15" t="n">
        <f aca="false">IF($J32="","",IF(INDEX('ĐỐI CHIẾU'!$L$5:$L$71,$J32)="","",INDEX('ĐỐI CHIẾU'!$L$5:$L$71,$J32)))</f>
        <v>-82</v>
      </c>
      <c r="H32" s="14" t="str">
        <f aca="false">IF($J32="","",IF(INDEX('ĐỐI CHIẾU'!$M$5:$M$71,$J32)="","",INDEX('ĐỐI CHIẾU'!$M$5:$M$71,$J32)))</f>
        <v>HĐ nhiều hơn thực tế</v>
      </c>
      <c r="J32" s="21" t="n">
        <f aca="false">IFERROR(MATCH(LARGE('ĐỐI CHIẾU'!$T$5:$T$71,A32),'ĐỐI CHIẾU'!$T$5:$T$71,0),"")</f>
        <v>17</v>
      </c>
    </row>
  </sheetData>
  <mergeCells count="11">
    <mergeCell ref="A4:B4"/>
    <mergeCell ref="D4:E4"/>
    <mergeCell ref="G4:H4"/>
    <mergeCell ref="J4:K4"/>
    <mergeCell ref="A5:B5"/>
    <mergeCell ref="D5:E5"/>
    <mergeCell ref="G5:H5"/>
    <mergeCell ref="J5:K5"/>
    <mergeCell ref="A17:E17"/>
    <mergeCell ref="A18:E18"/>
    <mergeCell ref="A19:E19"/>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F3864"/>
    <pageSetUpPr fitToPage="false"/>
  </sheetPr>
  <dimension ref="A1:U7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4" ySplit="4" topLeftCell="E5" activePane="bottomRight" state="frozen"/>
      <selection pane="topLeft" activeCell="A1" activeCellId="0" sqref="A1"/>
      <selection pane="topRight" activeCell="E1" activeCellId="0" sqref="E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5"/>
    <col collapsed="false" customWidth="true" hidden="false" outlineLevel="0" max="2" min="2" style="0" width="11"/>
    <col collapsed="false" customWidth="true" hidden="false" outlineLevel="0" max="3" min="3" style="0" width="10"/>
    <col collapsed="false" customWidth="true" hidden="false" outlineLevel="0" max="4" min="4" style="0" width="44"/>
    <col collapsed="false" customWidth="true" hidden="false" outlineLevel="0" max="5" min="5" style="0" width="9"/>
    <col collapsed="false" customWidth="true" hidden="false" outlineLevel="0" max="6" min="6" style="0" width="7"/>
    <col collapsed="false" customWidth="true" hidden="false" outlineLevel="0" max="7" min="7" style="0" width="24"/>
    <col collapsed="false" customWidth="true" hidden="false" outlineLevel="0" max="9" min="8" style="0" width="10"/>
    <col collapsed="false" customWidth="true" hidden="false" outlineLevel="0" max="11" min="10" style="0" width="11"/>
    <col collapsed="false" customWidth="true" hidden="false" outlineLevel="0" max="12" min="12" style="0" width="12"/>
    <col collapsed="false" customWidth="true" hidden="false" outlineLevel="0" max="13" min="13" style="0" width="22"/>
    <col collapsed="false" customWidth="true" hidden="false" outlineLevel="0" max="15" min="14" style="0" width="12"/>
    <col collapsed="false" customWidth="true" hidden="false" outlineLevel="0" max="16" min="16" style="0" width="13"/>
    <col collapsed="false" customWidth="true" hidden="false" outlineLevel="0" max="17" min="17" style="0" width="15"/>
    <col collapsed="false" customWidth="true" hidden="false" outlineLevel="0" max="18" min="18" style="0" width="12"/>
    <col collapsed="false" customWidth="true" hidden="false" outlineLevel="0" max="19" min="19" style="0" width="15"/>
    <col collapsed="false" customWidth="true" hidden="true" outlineLevel="0" max="20" min="20" style="0" width="3"/>
    <col collapsed="false" customWidth="true" hidden="false" outlineLevel="0" max="21" min="21" style="0" width="40"/>
  </cols>
  <sheetData>
    <row r="1" customFormat="false" ht="19.7" hidden="false" customHeight="false" outlineLevel="0" collapsed="false">
      <c r="A1" s="1" t="s">
        <v>30</v>
      </c>
    </row>
    <row r="2" customFormat="false" ht="15" hidden="false" customHeight="false" outlineLevel="0" collapsed="false">
      <c r="A2" s="2" t="s">
        <v>31</v>
      </c>
    </row>
    <row r="4" customFormat="false" ht="43.5" hidden="false" customHeight="true" outlineLevel="0" collapsed="false">
      <c r="A4" s="12" t="s">
        <v>32</v>
      </c>
      <c r="B4" s="12" t="s">
        <v>33</v>
      </c>
      <c r="C4" s="12" t="s">
        <v>26</v>
      </c>
      <c r="D4" s="12" t="s">
        <v>34</v>
      </c>
      <c r="E4" s="12" t="s">
        <v>7</v>
      </c>
      <c r="F4" s="12" t="s">
        <v>27</v>
      </c>
      <c r="G4" s="12" t="s">
        <v>35</v>
      </c>
      <c r="H4" s="12" t="s">
        <v>36</v>
      </c>
      <c r="I4" s="12" t="s">
        <v>37</v>
      </c>
      <c r="J4" s="12" t="s">
        <v>38</v>
      </c>
      <c r="K4" s="12" t="s">
        <v>39</v>
      </c>
      <c r="L4" s="12" t="s">
        <v>10</v>
      </c>
      <c r="M4" s="12" t="s">
        <v>29</v>
      </c>
      <c r="N4" s="12" t="s">
        <v>40</v>
      </c>
      <c r="O4" s="12" t="s">
        <v>41</v>
      </c>
      <c r="P4" s="12" t="s">
        <v>42</v>
      </c>
      <c r="Q4" s="12" t="s">
        <v>43</v>
      </c>
      <c r="R4" s="12" t="s">
        <v>44</v>
      </c>
      <c r="S4" s="12" t="s">
        <v>45</v>
      </c>
      <c r="T4" s="12" t="s">
        <v>46</v>
      </c>
      <c r="U4" s="12" t="s">
        <v>47</v>
      </c>
    </row>
    <row r="5" customFormat="false" ht="15" hidden="false" customHeight="false" outlineLevel="0" collapsed="false">
      <c r="A5" s="22" t="n">
        <v>1</v>
      </c>
      <c r="B5" s="23" t="s">
        <v>48</v>
      </c>
      <c r="C5" s="23" t="s">
        <v>49</v>
      </c>
      <c r="D5" s="23" t="s">
        <v>50</v>
      </c>
      <c r="E5" s="22" t="s">
        <v>15</v>
      </c>
      <c r="F5" s="22"/>
      <c r="G5" s="23"/>
      <c r="H5" s="24" t="n">
        <v>2</v>
      </c>
      <c r="I5" s="24"/>
      <c r="J5" s="25" t="n">
        <v>2</v>
      </c>
      <c r="K5" s="25" t="n">
        <v>0</v>
      </c>
      <c r="L5" s="26" t="n">
        <f aca="false">J5-K5</f>
        <v>2</v>
      </c>
      <c r="M5" s="23" t="str">
        <f aca="false">IF(L5&gt;0,"Thực tế nhiều hơn HĐ",IF(L5&lt;0,"HĐ nhiều hơn thực tế","Khớp"))</f>
        <v>Thực tế nhiều hơn HĐ</v>
      </c>
      <c r="N5" s="27" t="n">
        <f aca="false">MAX(L5,0)</f>
        <v>2</v>
      </c>
      <c r="O5" s="27" t="n">
        <f aca="false">MAX(-L5,0)</f>
        <v>0</v>
      </c>
      <c r="P5" s="24"/>
      <c r="Q5" s="27" t="str">
        <f aca="false">IF(P5="","",(N5+O5)*P5)</f>
        <v/>
      </c>
      <c r="R5" s="28" t="n">
        <f aca="false">MIN(J5,K5)</f>
        <v>0</v>
      </c>
      <c r="S5" s="27" t="str">
        <f aca="false">IF(P5="","",R5*P5)</f>
        <v/>
      </c>
      <c r="T5" s="29" t="n">
        <f aca="false">IF(L5=0,"",ABS(L5)+ROW()/100000)</f>
        <v>2.00005</v>
      </c>
      <c r="U5" s="23" t="s">
        <v>51</v>
      </c>
    </row>
    <row r="6" customFormat="false" ht="15" hidden="false" customHeight="false" outlineLevel="0" collapsed="false">
      <c r="A6" s="22" t="n">
        <v>2</v>
      </c>
      <c r="B6" s="23" t="s">
        <v>48</v>
      </c>
      <c r="C6" s="23" t="s">
        <v>49</v>
      </c>
      <c r="D6" s="23" t="s">
        <v>50</v>
      </c>
      <c r="E6" s="22" t="s">
        <v>14</v>
      </c>
      <c r="F6" s="22"/>
      <c r="G6" s="23" t="s">
        <v>52</v>
      </c>
      <c r="H6" s="24" t="n">
        <v>118</v>
      </c>
      <c r="I6" s="24" t="n">
        <v>89</v>
      </c>
      <c r="J6" s="25" t="n">
        <v>207</v>
      </c>
      <c r="K6" s="25" t="n">
        <v>221</v>
      </c>
      <c r="L6" s="26" t="n">
        <f aca="false">J6-K6</f>
        <v>-14</v>
      </c>
      <c r="M6" s="23" t="str">
        <f aca="false">IF(L6&gt;0,"Thực tế nhiều hơn HĐ",IF(L6&lt;0,"HĐ nhiều hơn thực tế","Khớp"))</f>
        <v>HĐ nhiều hơn thực tế</v>
      </c>
      <c r="N6" s="27" t="n">
        <f aca="false">MAX(L6,0)</f>
        <v>0</v>
      </c>
      <c r="O6" s="27" t="n">
        <f aca="false">MAX(-L6,0)</f>
        <v>14</v>
      </c>
      <c r="P6" s="24" t="n">
        <v>947240</v>
      </c>
      <c r="Q6" s="27" t="n">
        <f aca="false">IF(P6="","",(N6+O6)*P6)</f>
        <v>13261360</v>
      </c>
      <c r="R6" s="28" t="n">
        <f aca="false">MIN(J6,K6)</f>
        <v>207</v>
      </c>
      <c r="S6" s="27" t="n">
        <f aca="false">IF(P6="","",R6*P6)</f>
        <v>196078680</v>
      </c>
      <c r="T6" s="29" t="n">
        <f aca="false">IF(L6=0,"",ABS(L6)+ROW()/100000)</f>
        <v>14.00006</v>
      </c>
      <c r="U6" s="23"/>
    </row>
    <row r="7" customFormat="false" ht="15" hidden="false" customHeight="false" outlineLevel="0" collapsed="false">
      <c r="A7" s="22" t="n">
        <v>3</v>
      </c>
      <c r="B7" s="23" t="s">
        <v>48</v>
      </c>
      <c r="C7" s="23" t="s">
        <v>53</v>
      </c>
      <c r="D7" s="23" t="s">
        <v>54</v>
      </c>
      <c r="E7" s="22" t="s">
        <v>15</v>
      </c>
      <c r="F7" s="22"/>
      <c r="G7" s="23" t="s">
        <v>55</v>
      </c>
      <c r="H7" s="24"/>
      <c r="I7" s="24"/>
      <c r="J7" s="25" t="n">
        <v>0</v>
      </c>
      <c r="K7" s="25" t="n">
        <v>60</v>
      </c>
      <c r="L7" s="26" t="n">
        <f aca="false">J7-K7</f>
        <v>-60</v>
      </c>
      <c r="M7" s="23" t="str">
        <f aca="false">IF(L7&gt;0,"Thực tế nhiều hơn HĐ",IF(L7&lt;0,"HĐ nhiều hơn thực tế","Khớp"))</f>
        <v>HĐ nhiều hơn thực tế</v>
      </c>
      <c r="N7" s="27" t="n">
        <f aca="false">MAX(L7,0)</f>
        <v>0</v>
      </c>
      <c r="O7" s="27" t="n">
        <f aca="false">MAX(-L7,0)</f>
        <v>60</v>
      </c>
      <c r="P7" s="24" t="n">
        <v>420746</v>
      </c>
      <c r="Q7" s="27" t="n">
        <f aca="false">IF(P7="","",(N7+O7)*P7)</f>
        <v>25244760</v>
      </c>
      <c r="R7" s="28" t="n">
        <f aca="false">MIN(J7,K7)</f>
        <v>0</v>
      </c>
      <c r="S7" s="27" t="n">
        <f aca="false">IF(P7="","",R7*P7)</f>
        <v>0</v>
      </c>
      <c r="T7" s="29" t="n">
        <f aca="false">IF(L7=0,"",ABS(L7)+ROW()/100000)</f>
        <v>60.00007</v>
      </c>
      <c r="U7" s="23"/>
    </row>
    <row r="8" customFormat="false" ht="15" hidden="false" customHeight="false" outlineLevel="0" collapsed="false">
      <c r="A8" s="22" t="n">
        <v>4</v>
      </c>
      <c r="B8" s="23" t="s">
        <v>48</v>
      </c>
      <c r="C8" s="23" t="s">
        <v>53</v>
      </c>
      <c r="D8" s="23" t="s">
        <v>54</v>
      </c>
      <c r="E8" s="22" t="s">
        <v>14</v>
      </c>
      <c r="F8" s="22"/>
      <c r="G8" s="23" t="s">
        <v>56</v>
      </c>
      <c r="H8" s="24" t="n">
        <v>187</v>
      </c>
      <c r="I8" s="24" t="n">
        <v>30</v>
      </c>
      <c r="J8" s="25" t="n">
        <v>217</v>
      </c>
      <c r="K8" s="25" t="n">
        <v>240</v>
      </c>
      <c r="L8" s="26" t="n">
        <f aca="false">J8-K8</f>
        <v>-23</v>
      </c>
      <c r="M8" s="23" t="str">
        <f aca="false">IF(L8&gt;0,"Thực tế nhiều hơn HĐ",IF(L8&lt;0,"HĐ nhiều hơn thực tế","Khớp"))</f>
        <v>HĐ nhiều hơn thực tế</v>
      </c>
      <c r="N8" s="27" t="n">
        <f aca="false">MAX(L8,0)</f>
        <v>0</v>
      </c>
      <c r="O8" s="27" t="n">
        <f aca="false">MAX(-L8,0)</f>
        <v>23</v>
      </c>
      <c r="P8" s="24" t="n">
        <v>1163020</v>
      </c>
      <c r="Q8" s="27" t="n">
        <f aca="false">IF(P8="","",(N8+O8)*P8)</f>
        <v>26749460</v>
      </c>
      <c r="R8" s="28" t="n">
        <f aca="false">MIN(J8,K8)</f>
        <v>217</v>
      </c>
      <c r="S8" s="27" t="n">
        <f aca="false">IF(P8="","",R8*P8)</f>
        <v>252375340</v>
      </c>
      <c r="T8" s="29" t="n">
        <f aca="false">IF(L8=0,"",ABS(L8)+ROW()/100000)</f>
        <v>23.00008</v>
      </c>
      <c r="U8" s="23"/>
    </row>
    <row r="9" customFormat="false" ht="15" hidden="false" customHeight="false" outlineLevel="0" collapsed="false">
      <c r="A9" s="22" t="n">
        <v>5</v>
      </c>
      <c r="B9" s="23" t="s">
        <v>48</v>
      </c>
      <c r="C9" s="23" t="s">
        <v>57</v>
      </c>
      <c r="D9" s="23" t="s">
        <v>58</v>
      </c>
      <c r="E9" s="22" t="s">
        <v>15</v>
      </c>
      <c r="F9" s="22"/>
      <c r="G9" s="23"/>
      <c r="H9" s="24" t="n">
        <v>7</v>
      </c>
      <c r="I9" s="24"/>
      <c r="J9" s="25" t="n">
        <v>7</v>
      </c>
      <c r="K9" s="25" t="n">
        <v>0</v>
      </c>
      <c r="L9" s="26" t="n">
        <f aca="false">J9-K9</f>
        <v>7</v>
      </c>
      <c r="M9" s="23" t="str">
        <f aca="false">IF(L9&gt;0,"Thực tế nhiều hơn HĐ",IF(L9&lt;0,"HĐ nhiều hơn thực tế","Khớp"))</f>
        <v>Thực tế nhiều hơn HĐ</v>
      </c>
      <c r="N9" s="27" t="n">
        <f aca="false">MAX(L9,0)</f>
        <v>7</v>
      </c>
      <c r="O9" s="27" t="n">
        <f aca="false">MAX(-L9,0)</f>
        <v>0</v>
      </c>
      <c r="P9" s="24"/>
      <c r="Q9" s="27" t="str">
        <f aca="false">IF(P9="","",(N9+O9)*P9)</f>
        <v/>
      </c>
      <c r="R9" s="28" t="n">
        <f aca="false">MIN(J9,K9)</f>
        <v>0</v>
      </c>
      <c r="S9" s="27" t="str">
        <f aca="false">IF(P9="","",R9*P9)</f>
        <v/>
      </c>
      <c r="T9" s="29" t="n">
        <f aca="false">IF(L9=0,"",ABS(L9)+ROW()/100000)</f>
        <v>7.00009</v>
      </c>
      <c r="U9" s="23" t="s">
        <v>51</v>
      </c>
    </row>
    <row r="10" customFormat="false" ht="15" hidden="false" customHeight="false" outlineLevel="0" collapsed="false">
      <c r="A10" s="22" t="n">
        <v>6</v>
      </c>
      <c r="B10" s="23" t="s">
        <v>48</v>
      </c>
      <c r="C10" s="23" t="s">
        <v>57</v>
      </c>
      <c r="D10" s="23" t="s">
        <v>58</v>
      </c>
      <c r="E10" s="22" t="s">
        <v>14</v>
      </c>
      <c r="F10" s="22"/>
      <c r="G10" s="23" t="s">
        <v>59</v>
      </c>
      <c r="H10" s="24" t="n">
        <v>10</v>
      </c>
      <c r="I10" s="24" t="n">
        <v>10</v>
      </c>
      <c r="J10" s="25" t="n">
        <v>20</v>
      </c>
      <c r="K10" s="25" t="n">
        <v>20</v>
      </c>
      <c r="L10" s="26" t="n">
        <f aca="false">J10-K10</f>
        <v>0</v>
      </c>
      <c r="M10" s="23" t="str">
        <f aca="false">IF(L10&gt;0,"Thực tế nhiều hơn HĐ",IF(L10&lt;0,"HĐ nhiều hơn thực tế","Khớp"))</f>
        <v>Khớp</v>
      </c>
      <c r="N10" s="27" t="n">
        <f aca="false">MAX(L10,0)</f>
        <v>0</v>
      </c>
      <c r="O10" s="27" t="n">
        <f aca="false">MAX(-L10,0)</f>
        <v>0</v>
      </c>
      <c r="P10" s="24" t="n">
        <v>1059398</v>
      </c>
      <c r="Q10" s="27" t="n">
        <f aca="false">IF(P10="","",(N10+O10)*P10)</f>
        <v>0</v>
      </c>
      <c r="R10" s="28" t="n">
        <f aca="false">MIN(J10,K10)</f>
        <v>20</v>
      </c>
      <c r="S10" s="27" t="n">
        <f aca="false">IF(P10="","",R10*P10)</f>
        <v>21187960</v>
      </c>
      <c r="T10" s="29" t="str">
        <f aca="false">IF(L10=0,"",ABS(L10)+ROW()/100000)</f>
        <v/>
      </c>
      <c r="U10" s="23"/>
    </row>
    <row r="11" customFormat="false" ht="15" hidden="false" customHeight="false" outlineLevel="0" collapsed="false">
      <c r="A11" s="22" t="n">
        <v>7</v>
      </c>
      <c r="B11" s="23" t="s">
        <v>48</v>
      </c>
      <c r="C11" s="23" t="s">
        <v>60</v>
      </c>
      <c r="D11" s="23" t="s">
        <v>61</v>
      </c>
      <c r="E11" s="22" t="s">
        <v>15</v>
      </c>
      <c r="F11" s="22"/>
      <c r="G11" s="23"/>
      <c r="H11" s="24" t="n">
        <v>4</v>
      </c>
      <c r="I11" s="24"/>
      <c r="J11" s="25" t="n">
        <v>4</v>
      </c>
      <c r="K11" s="25" t="n">
        <v>0</v>
      </c>
      <c r="L11" s="26" t="n">
        <f aca="false">J11-K11</f>
        <v>4</v>
      </c>
      <c r="M11" s="23" t="str">
        <f aca="false">IF(L11&gt;0,"Thực tế nhiều hơn HĐ",IF(L11&lt;0,"HĐ nhiều hơn thực tế","Khớp"))</f>
        <v>Thực tế nhiều hơn HĐ</v>
      </c>
      <c r="N11" s="27" t="n">
        <f aca="false">MAX(L11,0)</f>
        <v>4</v>
      </c>
      <c r="O11" s="27" t="n">
        <f aca="false">MAX(-L11,0)</f>
        <v>0</v>
      </c>
      <c r="P11" s="24"/>
      <c r="Q11" s="27" t="str">
        <f aca="false">IF(P11="","",(N11+O11)*P11)</f>
        <v/>
      </c>
      <c r="R11" s="28" t="n">
        <f aca="false">MIN(J11,K11)</f>
        <v>0</v>
      </c>
      <c r="S11" s="27" t="str">
        <f aca="false">IF(P11="","",R11*P11)</f>
        <v/>
      </c>
      <c r="T11" s="29" t="n">
        <f aca="false">IF(L11=0,"",ABS(L11)+ROW()/100000)</f>
        <v>4.00011</v>
      </c>
      <c r="U11" s="23" t="s">
        <v>51</v>
      </c>
    </row>
    <row r="12" customFormat="false" ht="15" hidden="false" customHeight="false" outlineLevel="0" collapsed="false">
      <c r="A12" s="22" t="n">
        <v>8</v>
      </c>
      <c r="B12" s="23" t="s">
        <v>48</v>
      </c>
      <c r="C12" s="23" t="s">
        <v>60</v>
      </c>
      <c r="D12" s="23" t="s">
        <v>61</v>
      </c>
      <c r="E12" s="22" t="s">
        <v>14</v>
      </c>
      <c r="F12" s="22"/>
      <c r="G12" s="23" t="s">
        <v>62</v>
      </c>
      <c r="H12" s="24" t="n">
        <v>4</v>
      </c>
      <c r="I12" s="24" t="n">
        <v>10</v>
      </c>
      <c r="J12" s="25" t="n">
        <v>14</v>
      </c>
      <c r="K12" s="25" t="n">
        <v>35</v>
      </c>
      <c r="L12" s="26" t="n">
        <f aca="false">J12-K12</f>
        <v>-21</v>
      </c>
      <c r="M12" s="23" t="str">
        <f aca="false">IF(L12&gt;0,"Thực tế nhiều hơn HĐ",IF(L12&lt;0,"HĐ nhiều hơn thực tế","Khớp"))</f>
        <v>HĐ nhiều hơn thực tế</v>
      </c>
      <c r="N12" s="27" t="n">
        <f aca="false">MAX(L12,0)</f>
        <v>0</v>
      </c>
      <c r="O12" s="27" t="n">
        <f aca="false">MAX(-L12,0)</f>
        <v>21</v>
      </c>
      <c r="P12" s="24" t="n">
        <v>1642549</v>
      </c>
      <c r="Q12" s="27" t="n">
        <f aca="false">IF(P12="","",(N12+O12)*P12)</f>
        <v>34493529</v>
      </c>
      <c r="R12" s="28" t="n">
        <f aca="false">MIN(J12,K12)</f>
        <v>14</v>
      </c>
      <c r="S12" s="27" t="n">
        <f aca="false">IF(P12="","",R12*P12)</f>
        <v>22995686</v>
      </c>
      <c r="T12" s="29" t="n">
        <f aca="false">IF(L12=0,"",ABS(L12)+ROW()/100000)</f>
        <v>21.00012</v>
      </c>
      <c r="U12" s="23"/>
    </row>
    <row r="13" customFormat="false" ht="15" hidden="false" customHeight="false" outlineLevel="0" collapsed="false">
      <c r="A13" s="22" t="n">
        <v>9</v>
      </c>
      <c r="B13" s="23" t="s">
        <v>48</v>
      </c>
      <c r="C13" s="23" t="s">
        <v>63</v>
      </c>
      <c r="D13" s="23" t="s">
        <v>64</v>
      </c>
      <c r="E13" s="22" t="s">
        <v>15</v>
      </c>
      <c r="F13" s="22"/>
      <c r="G13" s="23" t="s">
        <v>65</v>
      </c>
      <c r="H13" s="24" t="n">
        <v>19</v>
      </c>
      <c r="I13" s="24"/>
      <c r="J13" s="25" t="n">
        <v>19</v>
      </c>
      <c r="K13" s="25" t="n">
        <v>76</v>
      </c>
      <c r="L13" s="26" t="n">
        <f aca="false">J13-K13</f>
        <v>-57</v>
      </c>
      <c r="M13" s="23" t="str">
        <f aca="false">IF(L13&gt;0,"Thực tế nhiều hơn HĐ",IF(L13&lt;0,"HĐ nhiều hơn thực tế","Khớp"))</f>
        <v>HĐ nhiều hơn thực tế</v>
      </c>
      <c r="N13" s="27" t="n">
        <f aca="false">MAX(L13,0)</f>
        <v>0</v>
      </c>
      <c r="O13" s="27" t="n">
        <f aca="false">MAX(-L13,0)</f>
        <v>57</v>
      </c>
      <c r="P13" s="24" t="n">
        <v>230602</v>
      </c>
      <c r="Q13" s="27" t="n">
        <f aca="false">IF(P13="","",(N13+O13)*P13)</f>
        <v>13144314</v>
      </c>
      <c r="R13" s="28" t="n">
        <f aca="false">MIN(J13,K13)</f>
        <v>19</v>
      </c>
      <c r="S13" s="27" t="n">
        <f aca="false">IF(P13="","",R13*P13)</f>
        <v>4381438</v>
      </c>
      <c r="T13" s="29" t="n">
        <f aca="false">IF(L13=0,"",ABS(L13)+ROW()/100000)</f>
        <v>57.00013</v>
      </c>
      <c r="U13" s="23"/>
    </row>
    <row r="14" customFormat="false" ht="15" hidden="false" customHeight="false" outlineLevel="0" collapsed="false">
      <c r="A14" s="22" t="n">
        <v>10</v>
      </c>
      <c r="B14" s="23" t="s">
        <v>48</v>
      </c>
      <c r="C14" s="23" t="s">
        <v>63</v>
      </c>
      <c r="D14" s="23" t="s">
        <v>64</v>
      </c>
      <c r="E14" s="22" t="s">
        <v>14</v>
      </c>
      <c r="F14" s="22"/>
      <c r="G14" s="23" t="s">
        <v>66</v>
      </c>
      <c r="H14" s="24" t="n">
        <v>32</v>
      </c>
      <c r="I14" s="24" t="n">
        <v>20</v>
      </c>
      <c r="J14" s="25" t="n">
        <v>52</v>
      </c>
      <c r="K14" s="25" t="n">
        <v>316</v>
      </c>
      <c r="L14" s="26" t="n">
        <f aca="false">J14-K14</f>
        <v>-264</v>
      </c>
      <c r="M14" s="23" t="str">
        <f aca="false">IF(L14&gt;0,"Thực tế nhiều hơn HĐ",IF(L14&lt;0,"HĐ nhiều hơn thực tế","Khớp"))</f>
        <v>HĐ nhiều hơn thực tế</v>
      </c>
      <c r="N14" s="27" t="n">
        <f aca="false">MAX(L14,0)</f>
        <v>0</v>
      </c>
      <c r="O14" s="27" t="n">
        <f aca="false">MAX(-L14,0)</f>
        <v>264</v>
      </c>
      <c r="P14" s="24" t="n">
        <v>730646</v>
      </c>
      <c r="Q14" s="27" t="n">
        <f aca="false">IF(P14="","",(N14+O14)*P14)</f>
        <v>192890544</v>
      </c>
      <c r="R14" s="28" t="n">
        <f aca="false">MIN(J14,K14)</f>
        <v>52</v>
      </c>
      <c r="S14" s="27" t="n">
        <f aca="false">IF(P14="","",R14*P14)</f>
        <v>37993592</v>
      </c>
      <c r="T14" s="29" t="n">
        <f aca="false">IF(L14=0,"",ABS(L14)+ROW()/100000)</f>
        <v>264.00014</v>
      </c>
      <c r="U14" s="23"/>
    </row>
    <row r="15" customFormat="false" ht="15" hidden="false" customHeight="false" outlineLevel="0" collapsed="false">
      <c r="A15" s="22" t="n">
        <v>11</v>
      </c>
      <c r="B15" s="23" t="s">
        <v>48</v>
      </c>
      <c r="C15" s="23" t="s">
        <v>67</v>
      </c>
      <c r="D15" s="23" t="s">
        <v>68</v>
      </c>
      <c r="E15" s="22" t="s">
        <v>15</v>
      </c>
      <c r="F15" s="22"/>
      <c r="G15" s="23" t="s">
        <v>69</v>
      </c>
      <c r="H15" s="24" t="n">
        <v>21</v>
      </c>
      <c r="I15" s="24"/>
      <c r="J15" s="25" t="n">
        <v>21</v>
      </c>
      <c r="K15" s="25" t="n">
        <v>72</v>
      </c>
      <c r="L15" s="26" t="n">
        <f aca="false">J15-K15</f>
        <v>-51</v>
      </c>
      <c r="M15" s="23" t="str">
        <f aca="false">IF(L15&gt;0,"Thực tế nhiều hơn HĐ",IF(L15&lt;0,"HĐ nhiều hơn thực tế","Khớp"))</f>
        <v>HĐ nhiều hơn thực tế</v>
      </c>
      <c r="N15" s="27" t="n">
        <f aca="false">MAX(L15,0)</f>
        <v>0</v>
      </c>
      <c r="O15" s="27" t="n">
        <f aca="false">MAX(-L15,0)</f>
        <v>51</v>
      </c>
      <c r="P15" s="24" t="n">
        <v>288074</v>
      </c>
      <c r="Q15" s="27" t="n">
        <f aca="false">IF(P15="","",(N15+O15)*P15)</f>
        <v>14691774</v>
      </c>
      <c r="R15" s="28" t="n">
        <f aca="false">MIN(J15,K15)</f>
        <v>21</v>
      </c>
      <c r="S15" s="27" t="n">
        <f aca="false">IF(P15="","",R15*P15)</f>
        <v>6049554</v>
      </c>
      <c r="T15" s="29" t="n">
        <f aca="false">IF(L15=0,"",ABS(L15)+ROW()/100000)</f>
        <v>51.00015</v>
      </c>
      <c r="U15" s="23"/>
    </row>
    <row r="16" customFormat="false" ht="15" hidden="false" customHeight="false" outlineLevel="0" collapsed="false">
      <c r="A16" s="22" t="n">
        <v>12</v>
      </c>
      <c r="B16" s="23" t="s">
        <v>48</v>
      </c>
      <c r="C16" s="23" t="s">
        <v>67</v>
      </c>
      <c r="D16" s="23" t="s">
        <v>68</v>
      </c>
      <c r="E16" s="22" t="s">
        <v>14</v>
      </c>
      <c r="F16" s="22"/>
      <c r="G16" s="23" t="s">
        <v>70</v>
      </c>
      <c r="H16" s="24" t="n">
        <v>53</v>
      </c>
      <c r="I16" s="24"/>
      <c r="J16" s="25" t="n">
        <v>53</v>
      </c>
      <c r="K16" s="25" t="n">
        <v>132</v>
      </c>
      <c r="L16" s="26" t="n">
        <f aca="false">J16-K16</f>
        <v>-79</v>
      </c>
      <c r="M16" s="23" t="str">
        <f aca="false">IF(L16&gt;0,"Thực tế nhiều hơn HĐ",IF(L16&lt;0,"HĐ nhiều hơn thực tế","Khớp"))</f>
        <v>HĐ nhiều hơn thực tế</v>
      </c>
      <c r="N16" s="27" t="n">
        <f aca="false">MAX(L16,0)</f>
        <v>0</v>
      </c>
      <c r="O16" s="27" t="n">
        <f aca="false">MAX(-L16,0)</f>
        <v>79</v>
      </c>
      <c r="P16" s="24" t="n">
        <v>1032709</v>
      </c>
      <c r="Q16" s="27" t="n">
        <f aca="false">IF(P16="","",(N16+O16)*P16)</f>
        <v>81584011</v>
      </c>
      <c r="R16" s="28" t="n">
        <f aca="false">MIN(J16,K16)</f>
        <v>53</v>
      </c>
      <c r="S16" s="27" t="n">
        <f aca="false">IF(P16="","",R16*P16)</f>
        <v>54733577</v>
      </c>
      <c r="T16" s="29" t="n">
        <f aca="false">IF(L16=0,"",ABS(L16)+ROW()/100000)</f>
        <v>79.00016</v>
      </c>
      <c r="U16" s="23"/>
    </row>
    <row r="17" customFormat="false" ht="15" hidden="false" customHeight="false" outlineLevel="0" collapsed="false">
      <c r="A17" s="22" t="n">
        <v>13</v>
      </c>
      <c r="B17" s="23" t="s">
        <v>71</v>
      </c>
      <c r="C17" s="23" t="s">
        <v>72</v>
      </c>
      <c r="D17" s="23" t="s">
        <v>73</v>
      </c>
      <c r="E17" s="22" t="s">
        <v>15</v>
      </c>
      <c r="F17" s="22"/>
      <c r="G17" s="23" t="s">
        <v>74</v>
      </c>
      <c r="H17" s="24" t="n">
        <v>5</v>
      </c>
      <c r="I17" s="24" t="n">
        <v>12</v>
      </c>
      <c r="J17" s="25" t="n">
        <v>17</v>
      </c>
      <c r="K17" s="25" t="n">
        <v>72</v>
      </c>
      <c r="L17" s="26" t="n">
        <f aca="false">J17-K17</f>
        <v>-55</v>
      </c>
      <c r="M17" s="23" t="str">
        <f aca="false">IF(L17&gt;0,"Thực tế nhiều hơn HĐ",IF(L17&lt;0,"HĐ nhiều hơn thực tế","Khớp"))</f>
        <v>HĐ nhiều hơn thực tế</v>
      </c>
      <c r="N17" s="27" t="n">
        <f aca="false">MAX(L17,0)</f>
        <v>0</v>
      </c>
      <c r="O17" s="27" t="n">
        <f aca="false">MAX(-L17,0)</f>
        <v>55</v>
      </c>
      <c r="P17" s="24" t="n">
        <v>298196</v>
      </c>
      <c r="Q17" s="27" t="n">
        <f aca="false">IF(P17="","",(N17+O17)*P17)</f>
        <v>16400780</v>
      </c>
      <c r="R17" s="28" t="n">
        <f aca="false">MIN(J17,K17)</f>
        <v>17</v>
      </c>
      <c r="S17" s="27" t="n">
        <f aca="false">IF(P17="","",R17*P17)</f>
        <v>5069332</v>
      </c>
      <c r="T17" s="29" t="n">
        <f aca="false">IF(L17=0,"",ABS(L17)+ROW()/100000)</f>
        <v>55.00017</v>
      </c>
      <c r="U17" s="23"/>
    </row>
    <row r="18" customFormat="false" ht="15" hidden="false" customHeight="false" outlineLevel="0" collapsed="false">
      <c r="A18" s="22" t="n">
        <v>14</v>
      </c>
      <c r="B18" s="23" t="s">
        <v>71</v>
      </c>
      <c r="C18" s="23" t="s">
        <v>72</v>
      </c>
      <c r="D18" s="23" t="s">
        <v>73</v>
      </c>
      <c r="E18" s="22" t="s">
        <v>14</v>
      </c>
      <c r="F18" s="22"/>
      <c r="G18" s="23" t="s">
        <v>75</v>
      </c>
      <c r="H18" s="24"/>
      <c r="I18" s="24" t="n">
        <v>1</v>
      </c>
      <c r="J18" s="25" t="n">
        <v>1</v>
      </c>
      <c r="K18" s="25" t="n">
        <v>99</v>
      </c>
      <c r="L18" s="26" t="n">
        <f aca="false">J18-K18</f>
        <v>-98</v>
      </c>
      <c r="M18" s="23" t="str">
        <f aca="false">IF(L18&gt;0,"Thực tế nhiều hơn HĐ",IF(L18&lt;0,"HĐ nhiều hơn thực tế","Khớp"))</f>
        <v>HĐ nhiều hơn thực tế</v>
      </c>
      <c r="N18" s="27" t="n">
        <f aca="false">MAX(L18,0)</f>
        <v>0</v>
      </c>
      <c r="O18" s="27" t="n">
        <f aca="false">MAX(-L18,0)</f>
        <v>98</v>
      </c>
      <c r="P18" s="24" t="n">
        <v>832340</v>
      </c>
      <c r="Q18" s="27" t="n">
        <f aca="false">IF(P18="","",(N18+O18)*P18)</f>
        <v>81569320</v>
      </c>
      <c r="R18" s="28" t="n">
        <f aca="false">MIN(J18,K18)</f>
        <v>1</v>
      </c>
      <c r="S18" s="27" t="n">
        <f aca="false">IF(P18="","",R18*P18)</f>
        <v>832340</v>
      </c>
      <c r="T18" s="29" t="n">
        <f aca="false">IF(L18=0,"",ABS(L18)+ROW()/100000)</f>
        <v>98.00018</v>
      </c>
      <c r="U18" s="23"/>
    </row>
    <row r="19" customFormat="false" ht="15" hidden="false" customHeight="false" outlineLevel="0" collapsed="false">
      <c r="A19" s="22" t="n">
        <v>15</v>
      </c>
      <c r="B19" s="23" t="s">
        <v>71</v>
      </c>
      <c r="C19" s="23" t="s">
        <v>76</v>
      </c>
      <c r="D19" s="23" t="s">
        <v>77</v>
      </c>
      <c r="E19" s="22" t="s">
        <v>15</v>
      </c>
      <c r="F19" s="22" t="s">
        <v>78</v>
      </c>
      <c r="G19" s="23" t="s">
        <v>79</v>
      </c>
      <c r="H19" s="24" t="n">
        <v>21</v>
      </c>
      <c r="I19" s="24"/>
      <c r="J19" s="25" t="n">
        <v>21</v>
      </c>
      <c r="K19" s="25" t="n">
        <v>46</v>
      </c>
      <c r="L19" s="26" t="n">
        <f aca="false">J19-K19</f>
        <v>-25</v>
      </c>
      <c r="M19" s="23" t="str">
        <f aca="false">IF(L19&gt;0,"Thực tế nhiều hơn HĐ",IF(L19&lt;0,"HĐ nhiều hơn thực tế","Khớp"))</f>
        <v>HĐ nhiều hơn thực tế</v>
      </c>
      <c r="N19" s="27" t="n">
        <f aca="false">MAX(L19,0)</f>
        <v>0</v>
      </c>
      <c r="O19" s="27" t="n">
        <f aca="false">MAX(-L19,0)</f>
        <v>25</v>
      </c>
      <c r="P19" s="24" t="n">
        <v>181063</v>
      </c>
      <c r="Q19" s="27" t="n">
        <f aca="false">IF(P19="","",(N19+O19)*P19)</f>
        <v>4526575</v>
      </c>
      <c r="R19" s="28" t="n">
        <f aca="false">MIN(J19,K19)</f>
        <v>21</v>
      </c>
      <c r="S19" s="27" t="n">
        <f aca="false">IF(P19="","",R19*P19)</f>
        <v>3802323</v>
      </c>
      <c r="T19" s="29" t="n">
        <f aca="false">IF(L19=0,"",ABS(L19)+ROW()/100000)</f>
        <v>25.00019</v>
      </c>
      <c r="U19" s="23"/>
    </row>
    <row r="20" customFormat="false" ht="15" hidden="false" customHeight="false" outlineLevel="0" collapsed="false">
      <c r="A20" s="22" t="n">
        <v>16</v>
      </c>
      <c r="B20" s="23" t="s">
        <v>71</v>
      </c>
      <c r="C20" s="23" t="s">
        <v>76</v>
      </c>
      <c r="D20" s="23" t="s">
        <v>77</v>
      </c>
      <c r="E20" s="22" t="s">
        <v>14</v>
      </c>
      <c r="F20" s="22" t="s">
        <v>78</v>
      </c>
      <c r="G20" s="23" t="s">
        <v>80</v>
      </c>
      <c r="H20" s="24" t="n">
        <v>57</v>
      </c>
      <c r="I20" s="24"/>
      <c r="J20" s="25" t="n">
        <v>57</v>
      </c>
      <c r="K20" s="25" t="n">
        <v>202</v>
      </c>
      <c r="L20" s="26" t="n">
        <f aca="false">J20-K20</f>
        <v>-145</v>
      </c>
      <c r="M20" s="23" t="str">
        <f aca="false">IF(L20&gt;0,"Thực tế nhiều hơn HĐ",IF(L20&lt;0,"HĐ nhiều hơn thực tế","Khớp"))</f>
        <v>HĐ nhiều hơn thực tế</v>
      </c>
      <c r="N20" s="27" t="n">
        <f aca="false">MAX(L20,0)</f>
        <v>0</v>
      </c>
      <c r="O20" s="27" t="n">
        <f aca="false">MAX(-L20,0)</f>
        <v>145</v>
      </c>
      <c r="P20" s="24" t="n">
        <v>714890</v>
      </c>
      <c r="Q20" s="27" t="n">
        <f aca="false">IF(P20="","",(N20+O20)*P20)</f>
        <v>103659050</v>
      </c>
      <c r="R20" s="28" t="n">
        <f aca="false">MIN(J20,K20)</f>
        <v>57</v>
      </c>
      <c r="S20" s="27" t="n">
        <f aca="false">IF(P20="","",R20*P20)</f>
        <v>40748730</v>
      </c>
      <c r="T20" s="29" t="n">
        <f aca="false">IF(L20=0,"",ABS(L20)+ROW()/100000)</f>
        <v>145.0002</v>
      </c>
      <c r="U20" s="23"/>
    </row>
    <row r="21" customFormat="false" ht="15" hidden="false" customHeight="false" outlineLevel="0" collapsed="false">
      <c r="A21" s="22" t="n">
        <v>17</v>
      </c>
      <c r="B21" s="23" t="s">
        <v>71</v>
      </c>
      <c r="C21" s="23" t="s">
        <v>81</v>
      </c>
      <c r="D21" s="23" t="s">
        <v>82</v>
      </c>
      <c r="E21" s="22" t="s">
        <v>15</v>
      </c>
      <c r="F21" s="22" t="s">
        <v>78</v>
      </c>
      <c r="G21" s="23" t="s">
        <v>83</v>
      </c>
      <c r="H21" s="24" t="n">
        <v>6</v>
      </c>
      <c r="I21" s="24" t="n">
        <v>20</v>
      </c>
      <c r="J21" s="25" t="n">
        <v>26</v>
      </c>
      <c r="K21" s="25" t="n">
        <v>108</v>
      </c>
      <c r="L21" s="26" t="n">
        <f aca="false">J21-K21</f>
        <v>-82</v>
      </c>
      <c r="M21" s="23" t="str">
        <f aca="false">IF(L21&gt;0,"Thực tế nhiều hơn HĐ",IF(L21&lt;0,"HĐ nhiều hơn thực tế","Khớp"))</f>
        <v>HĐ nhiều hơn thực tế</v>
      </c>
      <c r="N21" s="27" t="n">
        <f aca="false">MAX(L21,0)</f>
        <v>0</v>
      </c>
      <c r="O21" s="27" t="n">
        <f aca="false">MAX(-L21,0)</f>
        <v>82</v>
      </c>
      <c r="P21" s="24" t="n">
        <v>440079</v>
      </c>
      <c r="Q21" s="27" t="n">
        <f aca="false">IF(P21="","",(N21+O21)*P21)</f>
        <v>36086478</v>
      </c>
      <c r="R21" s="28" t="n">
        <f aca="false">MIN(J21,K21)</f>
        <v>26</v>
      </c>
      <c r="S21" s="27" t="n">
        <f aca="false">IF(P21="","",R21*P21)</f>
        <v>11442054</v>
      </c>
      <c r="T21" s="29" t="n">
        <f aca="false">IF(L21=0,"",ABS(L21)+ROW()/100000)</f>
        <v>82.00021</v>
      </c>
      <c r="U21" s="23"/>
    </row>
    <row r="22" customFormat="false" ht="15" hidden="false" customHeight="false" outlineLevel="0" collapsed="false">
      <c r="A22" s="22" t="n">
        <v>18</v>
      </c>
      <c r="B22" s="23" t="s">
        <v>71</v>
      </c>
      <c r="C22" s="23" t="s">
        <v>81</v>
      </c>
      <c r="D22" s="23" t="s">
        <v>82</v>
      </c>
      <c r="E22" s="22" t="s">
        <v>14</v>
      </c>
      <c r="F22" s="22" t="s">
        <v>78</v>
      </c>
      <c r="G22" s="23" t="s">
        <v>84</v>
      </c>
      <c r="H22" s="24" t="n">
        <v>23</v>
      </c>
      <c r="I22" s="24" t="n">
        <v>30</v>
      </c>
      <c r="J22" s="25" t="n">
        <v>53</v>
      </c>
      <c r="K22" s="25" t="n">
        <v>172</v>
      </c>
      <c r="L22" s="26" t="n">
        <f aca="false">J22-K22</f>
        <v>-119</v>
      </c>
      <c r="M22" s="23" t="str">
        <f aca="false">IF(L22&gt;0,"Thực tế nhiều hơn HĐ",IF(L22&lt;0,"HĐ nhiều hơn thực tế","Khớp"))</f>
        <v>HĐ nhiều hơn thực tế</v>
      </c>
      <c r="N22" s="27" t="n">
        <f aca="false">MAX(L22,0)</f>
        <v>0</v>
      </c>
      <c r="O22" s="27" t="n">
        <f aca="false">MAX(-L22,0)</f>
        <v>119</v>
      </c>
      <c r="P22" s="24" t="n">
        <v>1395975</v>
      </c>
      <c r="Q22" s="27" t="n">
        <f aca="false">IF(P22="","",(N22+O22)*P22)</f>
        <v>166121025</v>
      </c>
      <c r="R22" s="28" t="n">
        <f aca="false">MIN(J22,K22)</f>
        <v>53</v>
      </c>
      <c r="S22" s="27" t="n">
        <f aca="false">IF(P22="","",R22*P22)</f>
        <v>73986675</v>
      </c>
      <c r="T22" s="29" t="n">
        <f aca="false">IF(L22=0,"",ABS(L22)+ROW()/100000)</f>
        <v>119.00022</v>
      </c>
      <c r="U22" s="23"/>
    </row>
    <row r="23" customFormat="false" ht="15" hidden="false" customHeight="false" outlineLevel="0" collapsed="false">
      <c r="A23" s="22" t="n">
        <v>19</v>
      </c>
      <c r="B23" s="23" t="s">
        <v>71</v>
      </c>
      <c r="C23" s="23" t="s">
        <v>85</v>
      </c>
      <c r="D23" s="23" t="s">
        <v>86</v>
      </c>
      <c r="E23" s="22" t="s">
        <v>15</v>
      </c>
      <c r="F23" s="22" t="s">
        <v>78</v>
      </c>
      <c r="G23" s="23" t="s">
        <v>87</v>
      </c>
      <c r="H23" s="24" t="n">
        <v>54</v>
      </c>
      <c r="I23" s="24" t="n">
        <v>40</v>
      </c>
      <c r="J23" s="25" t="n">
        <v>94</v>
      </c>
      <c r="K23" s="25" t="n">
        <v>152</v>
      </c>
      <c r="L23" s="26" t="n">
        <f aca="false">J23-K23</f>
        <v>-58</v>
      </c>
      <c r="M23" s="23" t="str">
        <f aca="false">IF(L23&gt;0,"Thực tế nhiều hơn HĐ",IF(L23&lt;0,"HĐ nhiều hơn thực tế","Khớp"))</f>
        <v>HĐ nhiều hơn thực tế</v>
      </c>
      <c r="N23" s="27" t="n">
        <f aca="false">MAX(L23,0)</f>
        <v>0</v>
      </c>
      <c r="O23" s="27" t="n">
        <f aca="false">MAX(-L23,0)</f>
        <v>58</v>
      </c>
      <c r="P23" s="24" t="n">
        <v>605192</v>
      </c>
      <c r="Q23" s="27" t="n">
        <f aca="false">IF(P23="","",(N23+O23)*P23)</f>
        <v>35101136</v>
      </c>
      <c r="R23" s="28" t="n">
        <f aca="false">MIN(J23,K23)</f>
        <v>94</v>
      </c>
      <c r="S23" s="27" t="n">
        <f aca="false">IF(P23="","",R23*P23)</f>
        <v>56888048</v>
      </c>
      <c r="T23" s="29" t="n">
        <f aca="false">IF(L23=0,"",ABS(L23)+ROW()/100000)</f>
        <v>58.00023</v>
      </c>
      <c r="U23" s="23"/>
    </row>
    <row r="24" customFormat="false" ht="15" hidden="false" customHeight="false" outlineLevel="0" collapsed="false">
      <c r="A24" s="22" t="n">
        <v>20</v>
      </c>
      <c r="B24" s="23" t="s">
        <v>71</v>
      </c>
      <c r="C24" s="23" t="s">
        <v>85</v>
      </c>
      <c r="D24" s="23" t="s">
        <v>86</v>
      </c>
      <c r="E24" s="22" t="s">
        <v>14</v>
      </c>
      <c r="F24" s="22" t="s">
        <v>78</v>
      </c>
      <c r="G24" s="23" t="s">
        <v>88</v>
      </c>
      <c r="H24" s="24" t="n">
        <v>62</v>
      </c>
      <c r="I24" s="24" t="n">
        <v>40</v>
      </c>
      <c r="J24" s="25" t="n">
        <v>102</v>
      </c>
      <c r="K24" s="25" t="n">
        <v>156</v>
      </c>
      <c r="L24" s="26" t="n">
        <f aca="false">J24-K24</f>
        <v>-54</v>
      </c>
      <c r="M24" s="23" t="str">
        <f aca="false">IF(L24&gt;0,"Thực tế nhiều hơn HĐ",IF(L24&lt;0,"HĐ nhiều hơn thực tế","Khớp"))</f>
        <v>HĐ nhiều hơn thực tế</v>
      </c>
      <c r="N24" s="27" t="n">
        <f aca="false">MAX(L24,0)</f>
        <v>0</v>
      </c>
      <c r="O24" s="27" t="n">
        <f aca="false">MAX(-L24,0)</f>
        <v>54</v>
      </c>
      <c r="P24" s="24" t="n">
        <v>1599746</v>
      </c>
      <c r="Q24" s="27" t="n">
        <f aca="false">IF(P24="","",(N24+O24)*P24)</f>
        <v>86386284</v>
      </c>
      <c r="R24" s="28" t="n">
        <f aca="false">MIN(J24,K24)</f>
        <v>102</v>
      </c>
      <c r="S24" s="27" t="n">
        <f aca="false">IF(P24="","",R24*P24)</f>
        <v>163174092</v>
      </c>
      <c r="T24" s="29" t="n">
        <f aca="false">IF(L24=0,"",ABS(L24)+ROW()/100000)</f>
        <v>54.00024</v>
      </c>
      <c r="U24" s="23"/>
    </row>
    <row r="25" customFormat="false" ht="15" hidden="false" customHeight="false" outlineLevel="0" collapsed="false">
      <c r="A25" s="22" t="n">
        <v>21</v>
      </c>
      <c r="B25" s="23" t="s">
        <v>71</v>
      </c>
      <c r="C25" s="23" t="s">
        <v>89</v>
      </c>
      <c r="D25" s="23" t="s">
        <v>90</v>
      </c>
      <c r="E25" s="22" t="s">
        <v>15</v>
      </c>
      <c r="F25" s="22" t="s">
        <v>78</v>
      </c>
      <c r="G25" s="23" t="s">
        <v>91</v>
      </c>
      <c r="H25" s="24" t="n">
        <v>11</v>
      </c>
      <c r="I25" s="24"/>
      <c r="J25" s="25" t="n">
        <v>11</v>
      </c>
      <c r="K25" s="25" t="n">
        <v>4</v>
      </c>
      <c r="L25" s="26" t="n">
        <f aca="false">J25-K25</f>
        <v>7</v>
      </c>
      <c r="M25" s="23" t="str">
        <f aca="false">IF(L25&gt;0,"Thực tế nhiều hơn HĐ",IF(L25&lt;0,"HĐ nhiều hơn thực tế","Khớp"))</f>
        <v>Thực tế nhiều hơn HĐ</v>
      </c>
      <c r="N25" s="27" t="n">
        <f aca="false">MAX(L25,0)</f>
        <v>7</v>
      </c>
      <c r="O25" s="27" t="n">
        <f aca="false">MAX(-L25,0)</f>
        <v>0</v>
      </c>
      <c r="P25" s="24" t="n">
        <v>568486</v>
      </c>
      <c r="Q25" s="27" t="n">
        <f aca="false">IF(P25="","",(N25+O25)*P25)</f>
        <v>3979402</v>
      </c>
      <c r="R25" s="28" t="n">
        <f aca="false">MIN(J25,K25)</f>
        <v>4</v>
      </c>
      <c r="S25" s="27" t="n">
        <f aca="false">IF(P25="","",R25*P25)</f>
        <v>2273944</v>
      </c>
      <c r="T25" s="29" t="n">
        <f aca="false">IF(L25=0,"",ABS(L25)+ROW()/100000)</f>
        <v>7.00025</v>
      </c>
      <c r="U25" s="23"/>
    </row>
    <row r="26" customFormat="false" ht="15" hidden="false" customHeight="false" outlineLevel="0" collapsed="false">
      <c r="A26" s="22" t="n">
        <v>22</v>
      </c>
      <c r="B26" s="23" t="s">
        <v>71</v>
      </c>
      <c r="C26" s="23" t="s">
        <v>89</v>
      </c>
      <c r="D26" s="23" t="s">
        <v>90</v>
      </c>
      <c r="E26" s="22" t="s">
        <v>14</v>
      </c>
      <c r="F26" s="22" t="s">
        <v>78</v>
      </c>
      <c r="G26" s="23" t="s">
        <v>92</v>
      </c>
      <c r="H26" s="24" t="n">
        <v>9</v>
      </c>
      <c r="I26" s="24" t="n">
        <v>15</v>
      </c>
      <c r="J26" s="25" t="n">
        <v>24</v>
      </c>
      <c r="K26" s="25" t="n">
        <v>24</v>
      </c>
      <c r="L26" s="26" t="n">
        <f aca="false">J26-K26</f>
        <v>0</v>
      </c>
      <c r="M26" s="23" t="str">
        <f aca="false">IF(L26&gt;0,"Thực tế nhiều hơn HĐ",IF(L26&lt;0,"HĐ nhiều hơn thực tế","Khớp"))</f>
        <v>Khớp</v>
      </c>
      <c r="N26" s="27" t="n">
        <f aca="false">MAX(L26,0)</f>
        <v>0</v>
      </c>
      <c r="O26" s="27" t="n">
        <f aca="false">MAX(-L26,0)</f>
        <v>0</v>
      </c>
      <c r="P26" s="24" t="n">
        <v>1699766</v>
      </c>
      <c r="Q26" s="27" t="n">
        <f aca="false">IF(P26="","",(N26+O26)*P26)</f>
        <v>0</v>
      </c>
      <c r="R26" s="28" t="n">
        <f aca="false">MIN(J26,K26)</f>
        <v>24</v>
      </c>
      <c r="S26" s="27" t="n">
        <f aca="false">IF(P26="","",R26*P26)</f>
        <v>40794384</v>
      </c>
      <c r="T26" s="29" t="str">
        <f aca="false">IF(L26=0,"",ABS(L26)+ROW()/100000)</f>
        <v/>
      </c>
      <c r="U26" s="23"/>
    </row>
    <row r="27" customFormat="false" ht="15" hidden="false" customHeight="false" outlineLevel="0" collapsed="false">
      <c r="A27" s="22" t="n">
        <v>23</v>
      </c>
      <c r="B27" s="23" t="s">
        <v>71</v>
      </c>
      <c r="C27" s="23" t="s">
        <v>93</v>
      </c>
      <c r="D27" s="23" t="s">
        <v>94</v>
      </c>
      <c r="E27" s="22" t="s">
        <v>14</v>
      </c>
      <c r="F27" s="22" t="s">
        <v>78</v>
      </c>
      <c r="G27" s="23" t="s">
        <v>95</v>
      </c>
      <c r="H27" s="24" t="n">
        <v>61</v>
      </c>
      <c r="I27" s="24"/>
      <c r="J27" s="25" t="n">
        <v>61</v>
      </c>
      <c r="K27" s="25" t="n">
        <v>724</v>
      </c>
      <c r="L27" s="26" t="n">
        <f aca="false">J27-K27</f>
        <v>-663</v>
      </c>
      <c r="M27" s="23" t="str">
        <f aca="false">IF(L27&gt;0,"Thực tế nhiều hơn HĐ",IF(L27&lt;0,"HĐ nhiều hơn thực tế","Khớp"))</f>
        <v>HĐ nhiều hơn thực tế</v>
      </c>
      <c r="N27" s="27" t="n">
        <f aca="false">MAX(L27,0)</f>
        <v>0</v>
      </c>
      <c r="O27" s="27" t="n">
        <f aca="false">MAX(-L27,0)</f>
        <v>663</v>
      </c>
      <c r="P27" s="24" t="n">
        <v>325693</v>
      </c>
      <c r="Q27" s="27" t="n">
        <f aca="false">IF(P27="","",(N27+O27)*P27)</f>
        <v>215934459</v>
      </c>
      <c r="R27" s="28" t="n">
        <f aca="false">MIN(J27,K27)</f>
        <v>61</v>
      </c>
      <c r="S27" s="27" t="n">
        <f aca="false">IF(P27="","",R27*P27)</f>
        <v>19867273</v>
      </c>
      <c r="T27" s="29" t="n">
        <f aca="false">IF(L27=0,"",ABS(L27)+ROW()/100000)</f>
        <v>663.00027</v>
      </c>
      <c r="U27" s="23" t="s">
        <v>96</v>
      </c>
    </row>
    <row r="28" customFormat="false" ht="15" hidden="false" customHeight="false" outlineLevel="0" collapsed="false">
      <c r="A28" s="22" t="n">
        <v>24</v>
      </c>
      <c r="B28" s="23" t="s">
        <v>71</v>
      </c>
      <c r="C28" s="23" t="s">
        <v>97</v>
      </c>
      <c r="D28" s="23" t="s">
        <v>98</v>
      </c>
      <c r="E28" s="22" t="s">
        <v>16</v>
      </c>
      <c r="F28" s="22"/>
      <c r="G28" s="23" t="s">
        <v>99</v>
      </c>
      <c r="H28" s="24"/>
      <c r="I28" s="24"/>
      <c r="J28" s="25" t="n">
        <v>18</v>
      </c>
      <c r="K28" s="25" t="n">
        <v>120</v>
      </c>
      <c r="L28" s="26" t="n">
        <f aca="false">J28-K28</f>
        <v>-102</v>
      </c>
      <c r="M28" s="23" t="str">
        <f aca="false">IF(L28&gt;0,"Thực tế nhiều hơn HĐ",IF(L28&lt;0,"HĐ nhiều hơn thực tế","Khớp"))</f>
        <v>HĐ nhiều hơn thực tế</v>
      </c>
      <c r="N28" s="27" t="n">
        <f aca="false">MAX(L28,0)</f>
        <v>0</v>
      </c>
      <c r="O28" s="27" t="n">
        <f aca="false">MAX(-L28,0)</f>
        <v>102</v>
      </c>
      <c r="P28" s="24" t="n">
        <v>162365</v>
      </c>
      <c r="Q28" s="27" t="n">
        <f aca="false">IF(P28="","",(N28+O28)*P28)</f>
        <v>16561230</v>
      </c>
      <c r="R28" s="28" t="n">
        <f aca="false">MIN(J28,K28)</f>
        <v>18</v>
      </c>
      <c r="S28" s="27" t="n">
        <f aca="false">IF(P28="","",R28*P28)</f>
        <v>2922570</v>
      </c>
      <c r="T28" s="29" t="n">
        <f aca="false">IF(L28=0,"",ABS(L28)+ROW()/100000)</f>
        <v>102.00028</v>
      </c>
      <c r="U28" s="23"/>
    </row>
    <row r="29" customFormat="false" ht="15" hidden="false" customHeight="false" outlineLevel="0" collapsed="false">
      <c r="A29" s="22" t="n">
        <v>25</v>
      </c>
      <c r="B29" s="23" t="s">
        <v>100</v>
      </c>
      <c r="C29" s="23" t="s">
        <v>101</v>
      </c>
      <c r="D29" s="23" t="s">
        <v>102</v>
      </c>
      <c r="E29" s="22" t="s">
        <v>15</v>
      </c>
      <c r="F29" s="22" t="s">
        <v>78</v>
      </c>
      <c r="G29" s="23" t="s">
        <v>103</v>
      </c>
      <c r="H29" s="24" t="n">
        <v>27</v>
      </c>
      <c r="I29" s="24"/>
      <c r="J29" s="25" t="n">
        <v>27</v>
      </c>
      <c r="K29" s="25" t="n">
        <v>62</v>
      </c>
      <c r="L29" s="26" t="n">
        <f aca="false">J29-K29</f>
        <v>-35</v>
      </c>
      <c r="M29" s="23" t="str">
        <f aca="false">IF(L29&gt;0,"Thực tế nhiều hơn HĐ",IF(L29&lt;0,"HĐ nhiều hơn thực tế","Khớp"))</f>
        <v>HĐ nhiều hơn thực tế</v>
      </c>
      <c r="N29" s="27" t="n">
        <f aca="false">MAX(L29,0)</f>
        <v>0</v>
      </c>
      <c r="O29" s="27" t="n">
        <f aca="false">MAX(-L29,0)</f>
        <v>35</v>
      </c>
      <c r="P29" s="24" t="n">
        <v>278872</v>
      </c>
      <c r="Q29" s="27" t="n">
        <f aca="false">IF(P29="","",(N29+O29)*P29)</f>
        <v>9760520</v>
      </c>
      <c r="R29" s="28" t="n">
        <f aca="false">MIN(J29,K29)</f>
        <v>27</v>
      </c>
      <c r="S29" s="27" t="n">
        <f aca="false">IF(P29="","",R29*P29)</f>
        <v>7529544</v>
      </c>
      <c r="T29" s="29" t="n">
        <f aca="false">IF(L29=0,"",ABS(L29)+ROW()/100000)</f>
        <v>35.00029</v>
      </c>
      <c r="U29" s="23"/>
    </row>
    <row r="30" customFormat="false" ht="15" hidden="false" customHeight="false" outlineLevel="0" collapsed="false">
      <c r="A30" s="22" t="n">
        <v>26</v>
      </c>
      <c r="B30" s="23" t="s">
        <v>100</v>
      </c>
      <c r="C30" s="23" t="s">
        <v>101</v>
      </c>
      <c r="D30" s="23" t="s">
        <v>102</v>
      </c>
      <c r="E30" s="22" t="s">
        <v>15</v>
      </c>
      <c r="F30" s="22" t="s">
        <v>104</v>
      </c>
      <c r="G30" s="23" t="s">
        <v>105</v>
      </c>
      <c r="H30" s="24"/>
      <c r="I30" s="24"/>
      <c r="J30" s="25" t="n">
        <v>0</v>
      </c>
      <c r="K30" s="25" t="n">
        <v>16</v>
      </c>
      <c r="L30" s="26" t="n">
        <f aca="false">J30-K30</f>
        <v>-16</v>
      </c>
      <c r="M30" s="23" t="str">
        <f aca="false">IF(L30&gt;0,"Thực tế nhiều hơn HĐ",IF(L30&lt;0,"HĐ nhiều hơn thực tế","Khớp"))</f>
        <v>HĐ nhiều hơn thực tế</v>
      </c>
      <c r="N30" s="27" t="n">
        <f aca="false">MAX(L30,0)</f>
        <v>0</v>
      </c>
      <c r="O30" s="27" t="n">
        <f aca="false">MAX(-L30,0)</f>
        <v>16</v>
      </c>
      <c r="P30" s="24" t="n">
        <v>299792</v>
      </c>
      <c r="Q30" s="27" t="n">
        <f aca="false">IF(P30="","",(N30+O30)*P30)</f>
        <v>4796672</v>
      </c>
      <c r="R30" s="28" t="n">
        <f aca="false">MIN(J30,K30)</f>
        <v>0</v>
      </c>
      <c r="S30" s="27" t="n">
        <f aca="false">IF(P30="","",R30*P30)</f>
        <v>0</v>
      </c>
      <c r="T30" s="29" t="n">
        <f aca="false">IF(L30=0,"",ABS(L30)+ROW()/100000)</f>
        <v>16.0003</v>
      </c>
      <c r="U30" s="23"/>
    </row>
    <row r="31" customFormat="false" ht="15" hidden="false" customHeight="false" outlineLevel="0" collapsed="false">
      <c r="A31" s="22" t="n">
        <v>27</v>
      </c>
      <c r="B31" s="23" t="s">
        <v>100</v>
      </c>
      <c r="C31" s="23" t="s">
        <v>101</v>
      </c>
      <c r="D31" s="23" t="s">
        <v>102</v>
      </c>
      <c r="E31" s="22" t="s">
        <v>14</v>
      </c>
      <c r="F31" s="22" t="s">
        <v>78</v>
      </c>
      <c r="G31" s="23" t="s">
        <v>106</v>
      </c>
      <c r="H31" s="24" t="n">
        <v>67</v>
      </c>
      <c r="I31" s="24"/>
      <c r="J31" s="25" t="n">
        <v>67</v>
      </c>
      <c r="K31" s="25" t="n">
        <v>63</v>
      </c>
      <c r="L31" s="26" t="n">
        <f aca="false">J31-K31</f>
        <v>4</v>
      </c>
      <c r="M31" s="23" t="str">
        <f aca="false">IF(L31&gt;0,"Thực tế nhiều hơn HĐ",IF(L31&lt;0,"HĐ nhiều hơn thực tế","Khớp"))</f>
        <v>Thực tế nhiều hơn HĐ</v>
      </c>
      <c r="N31" s="27" t="n">
        <f aca="false">MAX(L31,0)</f>
        <v>4</v>
      </c>
      <c r="O31" s="27" t="n">
        <f aca="false">MAX(-L31,0)</f>
        <v>0</v>
      </c>
      <c r="P31" s="24" t="n">
        <v>948051</v>
      </c>
      <c r="Q31" s="27" t="n">
        <f aca="false">IF(P31="","",(N31+O31)*P31)</f>
        <v>3792204</v>
      </c>
      <c r="R31" s="28" t="n">
        <f aca="false">MIN(J31,K31)</f>
        <v>63</v>
      </c>
      <c r="S31" s="27" t="n">
        <f aca="false">IF(P31="","",R31*P31)</f>
        <v>59727213</v>
      </c>
      <c r="T31" s="29" t="n">
        <f aca="false">IF(L31=0,"",ABS(L31)+ROW()/100000)</f>
        <v>4.00031</v>
      </c>
      <c r="U31" s="23"/>
    </row>
    <row r="32" customFormat="false" ht="15" hidden="false" customHeight="false" outlineLevel="0" collapsed="false">
      <c r="A32" s="22" t="n">
        <v>28</v>
      </c>
      <c r="B32" s="23" t="s">
        <v>100</v>
      </c>
      <c r="C32" s="23" t="s">
        <v>107</v>
      </c>
      <c r="D32" s="23" t="s">
        <v>108</v>
      </c>
      <c r="E32" s="22" t="s">
        <v>16</v>
      </c>
      <c r="F32" s="22" t="s">
        <v>78</v>
      </c>
      <c r="G32" s="23" t="s">
        <v>109</v>
      </c>
      <c r="H32" s="24"/>
      <c r="I32" s="24"/>
      <c r="J32" s="25" t="n">
        <v>68</v>
      </c>
      <c r="K32" s="25" t="n">
        <v>85</v>
      </c>
      <c r="L32" s="26" t="n">
        <f aca="false">J32-K32</f>
        <v>-17</v>
      </c>
      <c r="M32" s="23" t="str">
        <f aca="false">IF(L32&gt;0,"Thực tế nhiều hơn HĐ",IF(L32&lt;0,"HĐ nhiều hơn thực tế","Khớp"))</f>
        <v>HĐ nhiều hơn thực tế</v>
      </c>
      <c r="N32" s="27" t="n">
        <f aca="false">MAX(L32,0)</f>
        <v>0</v>
      </c>
      <c r="O32" s="27" t="n">
        <f aca="false">MAX(-L32,0)</f>
        <v>17</v>
      </c>
      <c r="P32" s="24" t="n">
        <v>129341</v>
      </c>
      <c r="Q32" s="27" t="n">
        <f aca="false">IF(P32="","",(N32+O32)*P32)</f>
        <v>2198797</v>
      </c>
      <c r="R32" s="28" t="n">
        <f aca="false">MIN(J32,K32)</f>
        <v>68</v>
      </c>
      <c r="S32" s="27" t="n">
        <f aca="false">IF(P32="","",R32*P32)</f>
        <v>8795188</v>
      </c>
      <c r="T32" s="29" t="n">
        <f aca="false">IF(L32=0,"",ABS(L32)+ROW()/100000)</f>
        <v>17.00032</v>
      </c>
      <c r="U32" s="23"/>
    </row>
    <row r="33" customFormat="false" ht="15" hidden="false" customHeight="false" outlineLevel="0" collapsed="false">
      <c r="A33" s="22" t="n">
        <v>29</v>
      </c>
      <c r="B33" s="23" t="s">
        <v>100</v>
      </c>
      <c r="C33" s="23" t="s">
        <v>107</v>
      </c>
      <c r="D33" s="23" t="s">
        <v>108</v>
      </c>
      <c r="E33" s="22" t="s">
        <v>16</v>
      </c>
      <c r="F33" s="22" t="s">
        <v>104</v>
      </c>
      <c r="G33" s="23" t="s">
        <v>110</v>
      </c>
      <c r="H33" s="24"/>
      <c r="I33" s="24"/>
      <c r="J33" s="25" t="n">
        <v>45</v>
      </c>
      <c r="K33" s="25" t="n">
        <v>36</v>
      </c>
      <c r="L33" s="26" t="n">
        <f aca="false">J33-K33</f>
        <v>9</v>
      </c>
      <c r="M33" s="23" t="str">
        <f aca="false">IF(L33&gt;0,"Thực tế nhiều hơn HĐ",IF(L33&lt;0,"HĐ nhiều hơn thực tế","Khớp"))</f>
        <v>Thực tế nhiều hơn HĐ</v>
      </c>
      <c r="N33" s="27" t="n">
        <f aca="false">MAX(L33,0)</f>
        <v>9</v>
      </c>
      <c r="O33" s="27" t="n">
        <f aca="false">MAX(-L33,0)</f>
        <v>0</v>
      </c>
      <c r="P33" s="24" t="n">
        <v>131852</v>
      </c>
      <c r="Q33" s="27" t="n">
        <f aca="false">IF(P33="","",(N33+O33)*P33)</f>
        <v>1186668</v>
      </c>
      <c r="R33" s="28" t="n">
        <f aca="false">MIN(J33,K33)</f>
        <v>36</v>
      </c>
      <c r="S33" s="27" t="n">
        <f aca="false">IF(P33="","",R33*P33)</f>
        <v>4746672</v>
      </c>
      <c r="T33" s="29" t="n">
        <f aca="false">IF(L33=0,"",ABS(L33)+ROW()/100000)</f>
        <v>9.00033</v>
      </c>
      <c r="U33" s="23"/>
    </row>
    <row r="34" customFormat="false" ht="15" hidden="false" customHeight="false" outlineLevel="0" collapsed="false">
      <c r="A34" s="22" t="n">
        <v>30</v>
      </c>
      <c r="B34" s="23" t="s">
        <v>100</v>
      </c>
      <c r="C34" s="23" t="s">
        <v>107</v>
      </c>
      <c r="D34" s="23" t="s">
        <v>108</v>
      </c>
      <c r="E34" s="22" t="s">
        <v>16</v>
      </c>
      <c r="F34" s="22" t="s">
        <v>111</v>
      </c>
      <c r="G34" s="23" t="s">
        <v>112</v>
      </c>
      <c r="H34" s="24"/>
      <c r="I34" s="24"/>
      <c r="J34" s="25" t="n">
        <v>44</v>
      </c>
      <c r="K34" s="25" t="n">
        <v>60</v>
      </c>
      <c r="L34" s="26" t="n">
        <f aca="false">J34-K34</f>
        <v>-16</v>
      </c>
      <c r="M34" s="23" t="str">
        <f aca="false">IF(L34&gt;0,"Thực tế nhiều hơn HĐ",IF(L34&lt;0,"HĐ nhiều hơn thực tế","Khớp"))</f>
        <v>HĐ nhiều hơn thực tế</v>
      </c>
      <c r="N34" s="27" t="n">
        <f aca="false">MAX(L34,0)</f>
        <v>0</v>
      </c>
      <c r="O34" s="27" t="n">
        <f aca="false">MAX(-L34,0)</f>
        <v>16</v>
      </c>
      <c r="P34" s="24" t="n">
        <v>121898</v>
      </c>
      <c r="Q34" s="27" t="n">
        <f aca="false">IF(P34="","",(N34+O34)*P34)</f>
        <v>1950368</v>
      </c>
      <c r="R34" s="28" t="n">
        <f aca="false">MIN(J34,K34)</f>
        <v>44</v>
      </c>
      <c r="S34" s="27" t="n">
        <f aca="false">IF(P34="","",R34*P34)</f>
        <v>5363512</v>
      </c>
      <c r="T34" s="29" t="n">
        <f aca="false">IF(L34=0,"",ABS(L34)+ROW()/100000)</f>
        <v>16.00034</v>
      </c>
      <c r="U34" s="23"/>
    </row>
    <row r="35" customFormat="false" ht="15" hidden="false" customHeight="false" outlineLevel="0" collapsed="false">
      <c r="A35" s="22" t="n">
        <v>31</v>
      </c>
      <c r="B35" s="23" t="s">
        <v>100</v>
      </c>
      <c r="C35" s="23" t="s">
        <v>107</v>
      </c>
      <c r="D35" s="23" t="s">
        <v>108</v>
      </c>
      <c r="E35" s="22" t="s">
        <v>16</v>
      </c>
      <c r="F35" s="22" t="s">
        <v>113</v>
      </c>
      <c r="G35" s="23" t="s">
        <v>114</v>
      </c>
      <c r="H35" s="24"/>
      <c r="I35" s="24"/>
      <c r="J35" s="25" t="n">
        <v>32</v>
      </c>
      <c r="K35" s="25" t="n">
        <v>44</v>
      </c>
      <c r="L35" s="26" t="n">
        <f aca="false">J35-K35</f>
        <v>-12</v>
      </c>
      <c r="M35" s="23" t="str">
        <f aca="false">IF(L35&gt;0,"Thực tế nhiều hơn HĐ",IF(L35&lt;0,"HĐ nhiều hơn thực tế","Khớp"))</f>
        <v>HĐ nhiều hơn thực tế</v>
      </c>
      <c r="N35" s="27" t="n">
        <f aca="false">MAX(L35,0)</f>
        <v>0</v>
      </c>
      <c r="O35" s="27" t="n">
        <f aca="false">MAX(-L35,0)</f>
        <v>12</v>
      </c>
      <c r="P35" s="24" t="n">
        <v>123426</v>
      </c>
      <c r="Q35" s="27" t="n">
        <f aca="false">IF(P35="","",(N35+O35)*P35)</f>
        <v>1481112</v>
      </c>
      <c r="R35" s="28" t="n">
        <f aca="false">MIN(J35,K35)</f>
        <v>32</v>
      </c>
      <c r="S35" s="27" t="n">
        <f aca="false">IF(P35="","",R35*P35)</f>
        <v>3949632</v>
      </c>
      <c r="T35" s="29" t="n">
        <f aca="false">IF(L35=0,"",ABS(L35)+ROW()/100000)</f>
        <v>12.00035</v>
      </c>
      <c r="U35" s="23"/>
    </row>
    <row r="36" customFormat="false" ht="15" hidden="false" customHeight="false" outlineLevel="0" collapsed="false">
      <c r="A36" s="22" t="n">
        <v>32</v>
      </c>
      <c r="B36" s="23" t="s">
        <v>100</v>
      </c>
      <c r="C36" s="23" t="s">
        <v>107</v>
      </c>
      <c r="D36" s="23" t="s">
        <v>108</v>
      </c>
      <c r="E36" s="22" t="s">
        <v>15</v>
      </c>
      <c r="F36" s="22" t="s">
        <v>78</v>
      </c>
      <c r="G36" s="23" t="s">
        <v>115</v>
      </c>
      <c r="H36" s="24" t="n">
        <v>11</v>
      </c>
      <c r="I36" s="24" t="n">
        <v>12</v>
      </c>
      <c r="J36" s="25" t="n">
        <v>23</v>
      </c>
      <c r="K36" s="25" t="n">
        <v>64</v>
      </c>
      <c r="L36" s="26" t="n">
        <f aca="false">J36-K36</f>
        <v>-41</v>
      </c>
      <c r="M36" s="23" t="str">
        <f aca="false">IF(L36&gt;0,"Thực tế nhiều hơn HĐ",IF(L36&lt;0,"HĐ nhiều hơn thực tế","Khớp"))</f>
        <v>HĐ nhiều hơn thực tế</v>
      </c>
      <c r="N36" s="27" t="n">
        <f aca="false">MAX(L36,0)</f>
        <v>0</v>
      </c>
      <c r="O36" s="27" t="n">
        <f aca="false">MAX(-L36,0)</f>
        <v>41</v>
      </c>
      <c r="P36" s="24" t="n">
        <v>526458</v>
      </c>
      <c r="Q36" s="27" t="n">
        <f aca="false">IF(P36="","",(N36+O36)*P36)</f>
        <v>21584778</v>
      </c>
      <c r="R36" s="28" t="n">
        <f aca="false">MIN(J36,K36)</f>
        <v>23</v>
      </c>
      <c r="S36" s="27" t="n">
        <f aca="false">IF(P36="","",R36*P36)</f>
        <v>12108534</v>
      </c>
      <c r="T36" s="29" t="n">
        <f aca="false">IF(L36=0,"",ABS(L36)+ROW()/100000)</f>
        <v>41.00036</v>
      </c>
      <c r="U36" s="23"/>
    </row>
    <row r="37" customFormat="false" ht="15" hidden="false" customHeight="false" outlineLevel="0" collapsed="false">
      <c r="A37" s="22" t="n">
        <v>33</v>
      </c>
      <c r="B37" s="23" t="s">
        <v>100</v>
      </c>
      <c r="C37" s="23" t="s">
        <v>107</v>
      </c>
      <c r="D37" s="23" t="s">
        <v>108</v>
      </c>
      <c r="E37" s="22" t="s">
        <v>15</v>
      </c>
      <c r="F37" s="22" t="s">
        <v>104</v>
      </c>
      <c r="G37" s="23" t="s">
        <v>116</v>
      </c>
      <c r="H37" s="24" t="n">
        <v>16</v>
      </c>
      <c r="I37" s="24" t="n">
        <v>12</v>
      </c>
      <c r="J37" s="25" t="n">
        <v>28</v>
      </c>
      <c r="K37" s="25" t="n">
        <v>44</v>
      </c>
      <c r="L37" s="26" t="n">
        <f aca="false">J37-K37</f>
        <v>-16</v>
      </c>
      <c r="M37" s="23" t="str">
        <f aca="false">IF(L37&gt;0,"Thực tế nhiều hơn HĐ",IF(L37&lt;0,"HĐ nhiều hơn thực tế","Khớp"))</f>
        <v>HĐ nhiều hơn thực tế</v>
      </c>
      <c r="N37" s="27" t="n">
        <f aca="false">MAX(L37,0)</f>
        <v>0</v>
      </c>
      <c r="O37" s="27" t="n">
        <f aca="false">MAX(-L37,0)</f>
        <v>16</v>
      </c>
      <c r="P37" s="24" t="n">
        <v>468097</v>
      </c>
      <c r="Q37" s="27" t="n">
        <f aca="false">IF(P37="","",(N37+O37)*P37)</f>
        <v>7489552</v>
      </c>
      <c r="R37" s="28" t="n">
        <f aca="false">MIN(J37,K37)</f>
        <v>28</v>
      </c>
      <c r="S37" s="27" t="n">
        <f aca="false">IF(P37="","",R37*P37)</f>
        <v>13106716</v>
      </c>
      <c r="T37" s="29" t="n">
        <f aca="false">IF(L37=0,"",ABS(L37)+ROW()/100000)</f>
        <v>16.00037</v>
      </c>
      <c r="U37" s="23"/>
    </row>
    <row r="38" customFormat="false" ht="15" hidden="false" customHeight="false" outlineLevel="0" collapsed="false">
      <c r="A38" s="22" t="n">
        <v>34</v>
      </c>
      <c r="B38" s="23" t="s">
        <v>100</v>
      </c>
      <c r="C38" s="23" t="s">
        <v>107</v>
      </c>
      <c r="D38" s="23" t="s">
        <v>108</v>
      </c>
      <c r="E38" s="22" t="s">
        <v>15</v>
      </c>
      <c r="F38" s="22" t="s">
        <v>111</v>
      </c>
      <c r="G38" s="23" t="s">
        <v>117</v>
      </c>
      <c r="H38" s="24" t="n">
        <v>30</v>
      </c>
      <c r="I38" s="24"/>
      <c r="J38" s="25" t="n">
        <v>30</v>
      </c>
      <c r="K38" s="25" t="n">
        <v>56</v>
      </c>
      <c r="L38" s="26" t="n">
        <f aca="false">J38-K38</f>
        <v>-26</v>
      </c>
      <c r="M38" s="23" t="str">
        <f aca="false">IF(L38&gt;0,"Thực tế nhiều hơn HĐ",IF(L38&lt;0,"HĐ nhiều hơn thực tế","Khớp"))</f>
        <v>HĐ nhiều hơn thực tế</v>
      </c>
      <c r="N38" s="27" t="n">
        <f aca="false">MAX(L38,0)</f>
        <v>0</v>
      </c>
      <c r="O38" s="27" t="n">
        <f aca="false">MAX(-L38,0)</f>
        <v>26</v>
      </c>
      <c r="P38" s="24" t="n">
        <v>461819</v>
      </c>
      <c r="Q38" s="27" t="n">
        <f aca="false">IF(P38="","",(N38+O38)*P38)</f>
        <v>12007294</v>
      </c>
      <c r="R38" s="28" t="n">
        <f aca="false">MIN(J38,K38)</f>
        <v>30</v>
      </c>
      <c r="S38" s="27" t="n">
        <f aca="false">IF(P38="","",R38*P38)</f>
        <v>13854570</v>
      </c>
      <c r="T38" s="29" t="n">
        <f aca="false">IF(L38=0,"",ABS(L38)+ROW()/100000)</f>
        <v>26.00038</v>
      </c>
      <c r="U38" s="23"/>
    </row>
    <row r="39" customFormat="false" ht="15" hidden="false" customHeight="false" outlineLevel="0" collapsed="false">
      <c r="A39" s="22" t="n">
        <v>35</v>
      </c>
      <c r="B39" s="23" t="s">
        <v>100</v>
      </c>
      <c r="C39" s="23" t="s">
        <v>107</v>
      </c>
      <c r="D39" s="23" t="s">
        <v>108</v>
      </c>
      <c r="E39" s="22" t="s">
        <v>15</v>
      </c>
      <c r="F39" s="22" t="s">
        <v>113</v>
      </c>
      <c r="G39" s="23" t="s">
        <v>118</v>
      </c>
      <c r="H39" s="24" t="n">
        <v>14</v>
      </c>
      <c r="I39" s="24"/>
      <c r="J39" s="25" t="n">
        <v>14</v>
      </c>
      <c r="K39" s="25" t="n">
        <v>56</v>
      </c>
      <c r="L39" s="26" t="n">
        <f aca="false">J39-K39</f>
        <v>-42</v>
      </c>
      <c r="M39" s="23" t="str">
        <f aca="false">IF(L39&gt;0,"Thực tế nhiều hơn HĐ",IF(L39&lt;0,"HĐ nhiều hơn thực tế","Khớp"))</f>
        <v>HĐ nhiều hơn thực tế</v>
      </c>
      <c r="N39" s="27" t="n">
        <f aca="false">MAX(L39,0)</f>
        <v>0</v>
      </c>
      <c r="O39" s="27" t="n">
        <f aca="false">MAX(-L39,0)</f>
        <v>42</v>
      </c>
      <c r="P39" s="24" t="n">
        <v>505278</v>
      </c>
      <c r="Q39" s="27" t="n">
        <f aca="false">IF(P39="","",(N39+O39)*P39)</f>
        <v>21221676</v>
      </c>
      <c r="R39" s="28" t="n">
        <f aca="false">MIN(J39,K39)</f>
        <v>14</v>
      </c>
      <c r="S39" s="27" t="n">
        <f aca="false">IF(P39="","",R39*P39)</f>
        <v>7073892</v>
      </c>
      <c r="T39" s="29" t="n">
        <f aca="false">IF(L39=0,"",ABS(L39)+ROW()/100000)</f>
        <v>42.00039</v>
      </c>
      <c r="U39" s="23"/>
    </row>
    <row r="40" customFormat="false" ht="15" hidden="false" customHeight="false" outlineLevel="0" collapsed="false">
      <c r="A40" s="22" t="n">
        <v>36</v>
      </c>
      <c r="B40" s="23" t="s">
        <v>100</v>
      </c>
      <c r="C40" s="23" t="s">
        <v>107</v>
      </c>
      <c r="D40" s="23" t="s">
        <v>108</v>
      </c>
      <c r="E40" s="22" t="s">
        <v>14</v>
      </c>
      <c r="F40" s="22" t="s">
        <v>78</v>
      </c>
      <c r="G40" s="23" t="s">
        <v>119</v>
      </c>
      <c r="H40" s="24" t="n">
        <v>20</v>
      </c>
      <c r="I40" s="24"/>
      <c r="J40" s="25" t="n">
        <v>20</v>
      </c>
      <c r="K40" s="25" t="n">
        <v>30</v>
      </c>
      <c r="L40" s="26" t="n">
        <f aca="false">J40-K40</f>
        <v>-10</v>
      </c>
      <c r="M40" s="23" t="str">
        <f aca="false">IF(L40&gt;0,"Thực tế nhiều hơn HĐ",IF(L40&lt;0,"HĐ nhiều hơn thực tế","Khớp"))</f>
        <v>HĐ nhiều hơn thực tế</v>
      </c>
      <c r="N40" s="27" t="n">
        <f aca="false">MAX(L40,0)</f>
        <v>0</v>
      </c>
      <c r="O40" s="27" t="n">
        <f aca="false">MAX(-L40,0)</f>
        <v>10</v>
      </c>
      <c r="P40" s="24" t="n">
        <v>1753540</v>
      </c>
      <c r="Q40" s="27" t="n">
        <f aca="false">IF(P40="","",(N40+O40)*P40)</f>
        <v>17535400</v>
      </c>
      <c r="R40" s="28" t="n">
        <f aca="false">MIN(J40,K40)</f>
        <v>20</v>
      </c>
      <c r="S40" s="27" t="n">
        <f aca="false">IF(P40="","",R40*P40)</f>
        <v>35070800</v>
      </c>
      <c r="T40" s="29" t="n">
        <f aca="false">IF(L40=0,"",ABS(L40)+ROW()/100000)</f>
        <v>10.0004</v>
      </c>
      <c r="U40" s="23"/>
    </row>
    <row r="41" customFormat="false" ht="15" hidden="false" customHeight="false" outlineLevel="0" collapsed="false">
      <c r="A41" s="22" t="n">
        <v>37</v>
      </c>
      <c r="B41" s="23" t="s">
        <v>100</v>
      </c>
      <c r="C41" s="23" t="s">
        <v>120</v>
      </c>
      <c r="D41" s="23" t="s">
        <v>121</v>
      </c>
      <c r="E41" s="22" t="s">
        <v>16</v>
      </c>
      <c r="F41" s="22" t="s">
        <v>78</v>
      </c>
      <c r="G41" s="23" t="s">
        <v>122</v>
      </c>
      <c r="H41" s="24"/>
      <c r="I41" s="24"/>
      <c r="J41" s="25" t="n">
        <v>30</v>
      </c>
      <c r="K41" s="25" t="n">
        <v>103</v>
      </c>
      <c r="L41" s="26" t="n">
        <f aca="false">J41-K41</f>
        <v>-73</v>
      </c>
      <c r="M41" s="23" t="str">
        <f aca="false">IF(L41&gt;0,"Thực tế nhiều hơn HĐ",IF(L41&lt;0,"HĐ nhiều hơn thực tế","Khớp"))</f>
        <v>HĐ nhiều hơn thực tế</v>
      </c>
      <c r="N41" s="27" t="n">
        <f aca="false">MAX(L41,0)</f>
        <v>0</v>
      </c>
      <c r="O41" s="27" t="n">
        <f aca="false">MAX(-L41,0)</f>
        <v>73</v>
      </c>
      <c r="P41" s="24" t="n">
        <v>147432</v>
      </c>
      <c r="Q41" s="27" t="n">
        <f aca="false">IF(P41="","",(N41+O41)*P41)</f>
        <v>10762536</v>
      </c>
      <c r="R41" s="28" t="n">
        <f aca="false">MIN(J41,K41)</f>
        <v>30</v>
      </c>
      <c r="S41" s="27" t="n">
        <f aca="false">IF(P41="","",R41*P41)</f>
        <v>4422960</v>
      </c>
      <c r="T41" s="29" t="n">
        <f aca="false">IF(L41=0,"",ABS(L41)+ROW()/100000)</f>
        <v>73.00041</v>
      </c>
      <c r="U41" s="23"/>
    </row>
    <row r="42" customFormat="false" ht="15" hidden="false" customHeight="false" outlineLevel="0" collapsed="false">
      <c r="A42" s="22" t="n">
        <v>38</v>
      </c>
      <c r="B42" s="23" t="s">
        <v>100</v>
      </c>
      <c r="C42" s="23" t="s">
        <v>120</v>
      </c>
      <c r="D42" s="23" t="s">
        <v>121</v>
      </c>
      <c r="E42" s="22" t="s">
        <v>16</v>
      </c>
      <c r="F42" s="22" t="s">
        <v>104</v>
      </c>
      <c r="G42" s="23" t="s">
        <v>123</v>
      </c>
      <c r="H42" s="24"/>
      <c r="I42" s="24"/>
      <c r="J42" s="25" t="n">
        <v>36</v>
      </c>
      <c r="K42" s="25" t="n">
        <v>86</v>
      </c>
      <c r="L42" s="26" t="n">
        <f aca="false">J42-K42</f>
        <v>-50</v>
      </c>
      <c r="M42" s="23" t="str">
        <f aca="false">IF(L42&gt;0,"Thực tế nhiều hơn HĐ",IF(L42&lt;0,"HĐ nhiều hơn thực tế","Khớp"))</f>
        <v>HĐ nhiều hơn thực tế</v>
      </c>
      <c r="N42" s="27" t="n">
        <f aca="false">MAX(L42,0)</f>
        <v>0</v>
      </c>
      <c r="O42" s="27" t="n">
        <f aca="false">MAX(-L42,0)</f>
        <v>50</v>
      </c>
      <c r="P42" s="24" t="n">
        <v>137346</v>
      </c>
      <c r="Q42" s="27" t="n">
        <f aca="false">IF(P42="","",(N42+O42)*P42)</f>
        <v>6867300</v>
      </c>
      <c r="R42" s="28" t="n">
        <f aca="false">MIN(J42,K42)</f>
        <v>36</v>
      </c>
      <c r="S42" s="27" t="n">
        <f aca="false">IF(P42="","",R42*P42)</f>
        <v>4944456</v>
      </c>
      <c r="T42" s="29" t="n">
        <f aca="false">IF(L42=0,"",ABS(L42)+ROW()/100000)</f>
        <v>50.00042</v>
      </c>
      <c r="U42" s="23"/>
    </row>
    <row r="43" customFormat="false" ht="15" hidden="false" customHeight="false" outlineLevel="0" collapsed="false">
      <c r="A43" s="22" t="n">
        <v>39</v>
      </c>
      <c r="B43" s="23" t="s">
        <v>100</v>
      </c>
      <c r="C43" s="23" t="s">
        <v>120</v>
      </c>
      <c r="D43" s="23" t="s">
        <v>121</v>
      </c>
      <c r="E43" s="22" t="s">
        <v>16</v>
      </c>
      <c r="F43" s="22" t="s">
        <v>111</v>
      </c>
      <c r="G43" s="23" t="s">
        <v>124</v>
      </c>
      <c r="H43" s="24"/>
      <c r="I43" s="24"/>
      <c r="J43" s="25" t="n">
        <v>34</v>
      </c>
      <c r="K43" s="25" t="n">
        <v>110</v>
      </c>
      <c r="L43" s="26" t="n">
        <f aca="false">J43-K43</f>
        <v>-76</v>
      </c>
      <c r="M43" s="23" t="str">
        <f aca="false">IF(L43&gt;0,"Thực tế nhiều hơn HĐ",IF(L43&lt;0,"HĐ nhiều hơn thực tế","Khớp"))</f>
        <v>HĐ nhiều hơn thực tế</v>
      </c>
      <c r="N43" s="27" t="n">
        <f aca="false">MAX(L43,0)</f>
        <v>0</v>
      </c>
      <c r="O43" s="27" t="n">
        <f aca="false">MAX(-L43,0)</f>
        <v>76</v>
      </c>
      <c r="P43" s="24" t="n">
        <v>138328</v>
      </c>
      <c r="Q43" s="27" t="n">
        <f aca="false">IF(P43="","",(N43+O43)*P43)</f>
        <v>10512928</v>
      </c>
      <c r="R43" s="28" t="n">
        <f aca="false">MIN(J43,K43)</f>
        <v>34</v>
      </c>
      <c r="S43" s="27" t="n">
        <f aca="false">IF(P43="","",R43*P43)</f>
        <v>4703152</v>
      </c>
      <c r="T43" s="29" t="n">
        <f aca="false">IF(L43=0,"",ABS(L43)+ROW()/100000)</f>
        <v>76.00043</v>
      </c>
      <c r="U43" s="23"/>
    </row>
    <row r="44" customFormat="false" ht="15" hidden="false" customHeight="false" outlineLevel="0" collapsed="false">
      <c r="A44" s="22" t="n">
        <v>40</v>
      </c>
      <c r="B44" s="23" t="s">
        <v>100</v>
      </c>
      <c r="C44" s="23" t="s">
        <v>120</v>
      </c>
      <c r="D44" s="23" t="s">
        <v>121</v>
      </c>
      <c r="E44" s="22" t="s">
        <v>16</v>
      </c>
      <c r="F44" s="22" t="s">
        <v>113</v>
      </c>
      <c r="G44" s="23" t="s">
        <v>125</v>
      </c>
      <c r="H44" s="24"/>
      <c r="I44" s="24"/>
      <c r="J44" s="25" t="n">
        <v>37</v>
      </c>
      <c r="K44" s="25" t="n">
        <v>96</v>
      </c>
      <c r="L44" s="26" t="n">
        <f aca="false">J44-K44</f>
        <v>-59</v>
      </c>
      <c r="M44" s="23" t="str">
        <f aca="false">IF(L44&gt;0,"Thực tế nhiều hơn HĐ",IF(L44&lt;0,"HĐ nhiều hơn thực tế","Khớp"))</f>
        <v>HĐ nhiều hơn thực tế</v>
      </c>
      <c r="N44" s="27" t="n">
        <f aca="false">MAX(L44,0)</f>
        <v>0</v>
      </c>
      <c r="O44" s="27" t="n">
        <f aca="false">MAX(-L44,0)</f>
        <v>59</v>
      </c>
      <c r="P44" s="24" t="n">
        <v>146016</v>
      </c>
      <c r="Q44" s="27" t="n">
        <f aca="false">IF(P44="","",(N44+O44)*P44)</f>
        <v>8614944</v>
      </c>
      <c r="R44" s="28" t="n">
        <f aca="false">MIN(J44,K44)</f>
        <v>37</v>
      </c>
      <c r="S44" s="27" t="n">
        <f aca="false">IF(P44="","",R44*P44)</f>
        <v>5402592</v>
      </c>
      <c r="T44" s="29" t="n">
        <f aca="false">IF(L44=0,"",ABS(L44)+ROW()/100000)</f>
        <v>59.00044</v>
      </c>
      <c r="U44" s="23"/>
    </row>
    <row r="45" customFormat="false" ht="15" hidden="false" customHeight="false" outlineLevel="0" collapsed="false">
      <c r="A45" s="22" t="n">
        <v>41</v>
      </c>
      <c r="B45" s="23" t="s">
        <v>100</v>
      </c>
      <c r="C45" s="23" t="s">
        <v>120</v>
      </c>
      <c r="D45" s="23" t="s">
        <v>121</v>
      </c>
      <c r="E45" s="22" t="s">
        <v>15</v>
      </c>
      <c r="F45" s="22" t="s">
        <v>78</v>
      </c>
      <c r="G45" s="23" t="s">
        <v>126</v>
      </c>
      <c r="H45" s="24" t="n">
        <v>42</v>
      </c>
      <c r="I45" s="24" t="n">
        <v>20</v>
      </c>
      <c r="J45" s="25" t="n">
        <v>62</v>
      </c>
      <c r="K45" s="25" t="n">
        <v>104</v>
      </c>
      <c r="L45" s="26" t="n">
        <f aca="false">J45-K45</f>
        <v>-42</v>
      </c>
      <c r="M45" s="23" t="str">
        <f aca="false">IF(L45&gt;0,"Thực tế nhiều hơn HĐ",IF(L45&lt;0,"HĐ nhiều hơn thực tế","Khớp"))</f>
        <v>HĐ nhiều hơn thực tế</v>
      </c>
      <c r="N45" s="27" t="n">
        <f aca="false">MAX(L45,0)</f>
        <v>0</v>
      </c>
      <c r="O45" s="27" t="n">
        <f aca="false">MAX(-L45,0)</f>
        <v>42</v>
      </c>
      <c r="P45" s="24" t="n">
        <v>605646</v>
      </c>
      <c r="Q45" s="27" t="n">
        <f aca="false">IF(P45="","",(N45+O45)*P45)</f>
        <v>25437132</v>
      </c>
      <c r="R45" s="28" t="n">
        <f aca="false">MIN(J45,K45)</f>
        <v>62</v>
      </c>
      <c r="S45" s="27" t="n">
        <f aca="false">IF(P45="","",R45*P45)</f>
        <v>37550052</v>
      </c>
      <c r="T45" s="29" t="n">
        <f aca="false">IF(L45=0,"",ABS(L45)+ROW()/100000)</f>
        <v>42.00045</v>
      </c>
      <c r="U45" s="23"/>
    </row>
    <row r="46" customFormat="false" ht="15" hidden="false" customHeight="false" outlineLevel="0" collapsed="false">
      <c r="A46" s="22" t="n">
        <v>42</v>
      </c>
      <c r="B46" s="23" t="s">
        <v>100</v>
      </c>
      <c r="C46" s="23" t="s">
        <v>120</v>
      </c>
      <c r="D46" s="23" t="s">
        <v>121</v>
      </c>
      <c r="E46" s="22" t="s">
        <v>15</v>
      </c>
      <c r="F46" s="22" t="s">
        <v>104</v>
      </c>
      <c r="G46" s="23" t="s">
        <v>127</v>
      </c>
      <c r="H46" s="24" t="n">
        <v>21</v>
      </c>
      <c r="I46" s="24" t="n">
        <v>32</v>
      </c>
      <c r="J46" s="25" t="n">
        <v>53</v>
      </c>
      <c r="K46" s="25" t="n">
        <v>79</v>
      </c>
      <c r="L46" s="26" t="n">
        <f aca="false">J46-K46</f>
        <v>-26</v>
      </c>
      <c r="M46" s="23" t="str">
        <f aca="false">IF(L46&gt;0,"Thực tế nhiều hơn HĐ",IF(L46&lt;0,"HĐ nhiều hơn thực tế","Khớp"))</f>
        <v>HĐ nhiều hơn thực tế</v>
      </c>
      <c r="N46" s="27" t="n">
        <f aca="false">MAX(L46,0)</f>
        <v>0</v>
      </c>
      <c r="O46" s="27" t="n">
        <f aca="false">MAX(-L46,0)</f>
        <v>26</v>
      </c>
      <c r="P46" s="24" t="n">
        <v>616408</v>
      </c>
      <c r="Q46" s="27" t="n">
        <f aca="false">IF(P46="","",(N46+O46)*P46)</f>
        <v>16026608</v>
      </c>
      <c r="R46" s="28" t="n">
        <f aca="false">MIN(J46,K46)</f>
        <v>53</v>
      </c>
      <c r="S46" s="27" t="n">
        <f aca="false">IF(P46="","",R46*P46)</f>
        <v>32669624</v>
      </c>
      <c r="T46" s="29" t="n">
        <f aca="false">IF(L46=0,"",ABS(L46)+ROW()/100000)</f>
        <v>26.00046</v>
      </c>
      <c r="U46" s="23"/>
    </row>
    <row r="47" customFormat="false" ht="15" hidden="false" customHeight="false" outlineLevel="0" collapsed="false">
      <c r="A47" s="22" t="n">
        <v>43</v>
      </c>
      <c r="B47" s="23" t="s">
        <v>100</v>
      </c>
      <c r="C47" s="23" t="s">
        <v>120</v>
      </c>
      <c r="D47" s="23" t="s">
        <v>121</v>
      </c>
      <c r="E47" s="22" t="s">
        <v>15</v>
      </c>
      <c r="F47" s="22" t="s">
        <v>111</v>
      </c>
      <c r="G47" s="23" t="s">
        <v>128</v>
      </c>
      <c r="H47" s="24" t="n">
        <v>44</v>
      </c>
      <c r="I47" s="24" t="n">
        <v>20</v>
      </c>
      <c r="J47" s="25" t="n">
        <v>64</v>
      </c>
      <c r="K47" s="25" t="n">
        <v>86</v>
      </c>
      <c r="L47" s="26" t="n">
        <f aca="false">J47-K47</f>
        <v>-22</v>
      </c>
      <c r="M47" s="23" t="str">
        <f aca="false">IF(L47&gt;0,"Thực tế nhiều hơn HĐ",IF(L47&lt;0,"HĐ nhiều hơn thực tế","Khớp"))</f>
        <v>HĐ nhiều hơn thực tế</v>
      </c>
      <c r="N47" s="27" t="n">
        <f aca="false">MAX(L47,0)</f>
        <v>0</v>
      </c>
      <c r="O47" s="27" t="n">
        <f aca="false">MAX(-L47,0)</f>
        <v>22</v>
      </c>
      <c r="P47" s="24" t="n">
        <v>640599</v>
      </c>
      <c r="Q47" s="27" t="n">
        <f aca="false">IF(P47="","",(N47+O47)*P47)</f>
        <v>14093178</v>
      </c>
      <c r="R47" s="28" t="n">
        <f aca="false">MIN(J47,K47)</f>
        <v>64</v>
      </c>
      <c r="S47" s="27" t="n">
        <f aca="false">IF(P47="","",R47*P47)</f>
        <v>40998336</v>
      </c>
      <c r="T47" s="29" t="n">
        <f aca="false">IF(L47=0,"",ABS(L47)+ROW()/100000)</f>
        <v>22.00047</v>
      </c>
      <c r="U47" s="23"/>
    </row>
    <row r="48" customFormat="false" ht="15" hidden="false" customHeight="false" outlineLevel="0" collapsed="false">
      <c r="A48" s="22" t="n">
        <v>44</v>
      </c>
      <c r="B48" s="23" t="s">
        <v>100</v>
      </c>
      <c r="C48" s="23" t="s">
        <v>120</v>
      </c>
      <c r="D48" s="23" t="s">
        <v>121</v>
      </c>
      <c r="E48" s="22" t="s">
        <v>15</v>
      </c>
      <c r="F48" s="22" t="s">
        <v>113</v>
      </c>
      <c r="G48" s="23" t="s">
        <v>129</v>
      </c>
      <c r="H48" s="24" t="n">
        <v>26</v>
      </c>
      <c r="I48" s="24" t="n">
        <v>32</v>
      </c>
      <c r="J48" s="25" t="n">
        <v>58</v>
      </c>
      <c r="K48" s="25" t="n">
        <v>78</v>
      </c>
      <c r="L48" s="26" t="n">
        <f aca="false">J48-K48</f>
        <v>-20</v>
      </c>
      <c r="M48" s="23" t="str">
        <f aca="false">IF(L48&gt;0,"Thực tế nhiều hơn HĐ",IF(L48&lt;0,"HĐ nhiều hơn thực tế","Khớp"))</f>
        <v>HĐ nhiều hơn thực tế</v>
      </c>
      <c r="N48" s="27" t="n">
        <f aca="false">MAX(L48,0)</f>
        <v>0</v>
      </c>
      <c r="O48" s="27" t="n">
        <f aca="false">MAX(-L48,0)</f>
        <v>20</v>
      </c>
      <c r="P48" s="24" t="n">
        <v>626966</v>
      </c>
      <c r="Q48" s="27" t="n">
        <f aca="false">IF(P48="","",(N48+O48)*P48)</f>
        <v>12539320</v>
      </c>
      <c r="R48" s="28" t="n">
        <f aca="false">MIN(J48,K48)</f>
        <v>58</v>
      </c>
      <c r="S48" s="27" t="n">
        <f aca="false">IF(P48="","",R48*P48)</f>
        <v>36364028</v>
      </c>
      <c r="T48" s="29" t="n">
        <f aca="false">IF(L48=0,"",ABS(L48)+ROW()/100000)</f>
        <v>20.00048</v>
      </c>
      <c r="U48" s="23"/>
    </row>
    <row r="49" customFormat="false" ht="15" hidden="false" customHeight="false" outlineLevel="0" collapsed="false">
      <c r="A49" s="22" t="n">
        <v>45</v>
      </c>
      <c r="B49" s="23" t="s">
        <v>100</v>
      </c>
      <c r="C49" s="23" t="s">
        <v>120</v>
      </c>
      <c r="D49" s="23" t="s">
        <v>121</v>
      </c>
      <c r="E49" s="22" t="s">
        <v>14</v>
      </c>
      <c r="F49" s="22" t="s">
        <v>78</v>
      </c>
      <c r="G49" s="23" t="s">
        <v>130</v>
      </c>
      <c r="H49" s="24" t="n">
        <v>218</v>
      </c>
      <c r="I49" s="24"/>
      <c r="J49" s="25" t="n">
        <v>218</v>
      </c>
      <c r="K49" s="25" t="n">
        <v>50</v>
      </c>
      <c r="L49" s="26" t="n">
        <f aca="false">J49-K49</f>
        <v>168</v>
      </c>
      <c r="M49" s="23" t="str">
        <f aca="false">IF(L49&gt;0,"Thực tế nhiều hơn HĐ",IF(L49&lt;0,"HĐ nhiều hơn thực tế","Khớp"))</f>
        <v>Thực tế nhiều hơn HĐ</v>
      </c>
      <c r="N49" s="27" t="n">
        <f aca="false">MAX(L49,0)</f>
        <v>168</v>
      </c>
      <c r="O49" s="27" t="n">
        <f aca="false">MAX(-L49,0)</f>
        <v>0</v>
      </c>
      <c r="P49" s="24" t="n">
        <v>1589834</v>
      </c>
      <c r="Q49" s="27" t="n">
        <f aca="false">IF(P49="","",(N49+O49)*P49)</f>
        <v>267092112</v>
      </c>
      <c r="R49" s="28" t="n">
        <f aca="false">MIN(J49,K49)</f>
        <v>50</v>
      </c>
      <c r="S49" s="27" t="n">
        <f aca="false">IF(P49="","",R49*P49)</f>
        <v>79491700</v>
      </c>
      <c r="T49" s="29" t="n">
        <f aca="false">IF(L49=0,"",ABS(L49)+ROW()/100000)</f>
        <v>168.00049</v>
      </c>
      <c r="U49" s="23"/>
    </row>
    <row r="50" customFormat="false" ht="15" hidden="false" customHeight="false" outlineLevel="0" collapsed="false">
      <c r="A50" s="22" t="n">
        <v>46</v>
      </c>
      <c r="B50" s="23" t="s">
        <v>100</v>
      </c>
      <c r="C50" s="23" t="s">
        <v>120</v>
      </c>
      <c r="D50" s="23" t="s">
        <v>121</v>
      </c>
      <c r="E50" s="22" t="s">
        <v>14</v>
      </c>
      <c r="F50" s="22" t="s">
        <v>111</v>
      </c>
      <c r="G50" s="23" t="s">
        <v>131</v>
      </c>
      <c r="H50" s="24"/>
      <c r="I50" s="24"/>
      <c r="J50" s="25" t="n">
        <v>0</v>
      </c>
      <c r="K50" s="25" t="n">
        <v>5</v>
      </c>
      <c r="L50" s="26" t="n">
        <f aca="false">J50-K50</f>
        <v>-5</v>
      </c>
      <c r="M50" s="23" t="str">
        <f aca="false">IF(L50&gt;0,"Thực tế nhiều hơn HĐ",IF(L50&lt;0,"HĐ nhiều hơn thực tế","Khớp"))</f>
        <v>HĐ nhiều hơn thực tế</v>
      </c>
      <c r="N50" s="27" t="n">
        <f aca="false">MAX(L50,0)</f>
        <v>0</v>
      </c>
      <c r="O50" s="27" t="n">
        <f aca="false">MAX(-L50,0)</f>
        <v>5</v>
      </c>
      <c r="P50" s="24" t="n">
        <v>1800879</v>
      </c>
      <c r="Q50" s="27" t="n">
        <f aca="false">IF(P50="","",(N50+O50)*P50)</f>
        <v>9004395</v>
      </c>
      <c r="R50" s="28" t="n">
        <f aca="false">MIN(J50,K50)</f>
        <v>0</v>
      </c>
      <c r="S50" s="27" t="n">
        <f aca="false">IF(P50="","",R50*P50)</f>
        <v>0</v>
      </c>
      <c r="T50" s="29" t="n">
        <f aca="false">IF(L50=0,"",ABS(L50)+ROW()/100000)</f>
        <v>5.0005</v>
      </c>
      <c r="U50" s="23"/>
    </row>
    <row r="51" customFormat="false" ht="15" hidden="false" customHeight="false" outlineLevel="0" collapsed="false">
      <c r="A51" s="22" t="n">
        <v>47</v>
      </c>
      <c r="B51" s="23" t="s">
        <v>100</v>
      </c>
      <c r="C51" s="23" t="s">
        <v>132</v>
      </c>
      <c r="D51" s="23" t="s">
        <v>133</v>
      </c>
      <c r="E51" s="22" t="s">
        <v>16</v>
      </c>
      <c r="F51" s="22" t="s">
        <v>78</v>
      </c>
      <c r="G51" s="23"/>
      <c r="H51" s="24"/>
      <c r="I51" s="24"/>
      <c r="J51" s="25" t="n">
        <v>1</v>
      </c>
      <c r="K51" s="25" t="n">
        <v>0</v>
      </c>
      <c r="L51" s="26" t="n">
        <f aca="false">J51-K51</f>
        <v>1</v>
      </c>
      <c r="M51" s="23" t="str">
        <f aca="false">IF(L51&gt;0,"Thực tế nhiều hơn HĐ",IF(L51&lt;0,"HĐ nhiều hơn thực tế","Khớp"))</f>
        <v>Thực tế nhiều hơn HĐ</v>
      </c>
      <c r="N51" s="27" t="n">
        <f aca="false">MAX(L51,0)</f>
        <v>1</v>
      </c>
      <c r="O51" s="27" t="n">
        <f aca="false">MAX(-L51,0)</f>
        <v>0</v>
      </c>
      <c r="P51" s="24"/>
      <c r="Q51" s="27" t="str">
        <f aca="false">IF(P51="","",(N51+O51)*P51)</f>
        <v/>
      </c>
      <c r="R51" s="28" t="n">
        <f aca="false">MIN(J51,K51)</f>
        <v>0</v>
      </c>
      <c r="S51" s="27" t="str">
        <f aca="false">IF(P51="","",R51*P51)</f>
        <v/>
      </c>
      <c r="T51" s="29" t="n">
        <f aca="false">IF(L51=0,"",ABS(L51)+ROW()/100000)</f>
        <v>1.00051</v>
      </c>
      <c r="U51" s="23" t="s">
        <v>51</v>
      </c>
    </row>
    <row r="52" customFormat="false" ht="15" hidden="false" customHeight="false" outlineLevel="0" collapsed="false">
      <c r="A52" s="22" t="n">
        <v>48</v>
      </c>
      <c r="B52" s="23" t="s">
        <v>100</v>
      </c>
      <c r="C52" s="23" t="s">
        <v>132</v>
      </c>
      <c r="D52" s="23" t="s">
        <v>133</v>
      </c>
      <c r="E52" s="22" t="s">
        <v>16</v>
      </c>
      <c r="F52" s="22" t="s">
        <v>113</v>
      </c>
      <c r="G52" s="23"/>
      <c r="H52" s="24"/>
      <c r="I52" s="24"/>
      <c r="J52" s="25" t="n">
        <v>5</v>
      </c>
      <c r="K52" s="25" t="n">
        <v>0</v>
      </c>
      <c r="L52" s="26" t="n">
        <f aca="false">J52-K52</f>
        <v>5</v>
      </c>
      <c r="M52" s="23" t="str">
        <f aca="false">IF(L52&gt;0,"Thực tế nhiều hơn HĐ",IF(L52&lt;0,"HĐ nhiều hơn thực tế","Khớp"))</f>
        <v>Thực tế nhiều hơn HĐ</v>
      </c>
      <c r="N52" s="27" t="n">
        <f aca="false">MAX(L52,0)</f>
        <v>5</v>
      </c>
      <c r="O52" s="27" t="n">
        <f aca="false">MAX(-L52,0)</f>
        <v>0</v>
      </c>
      <c r="P52" s="24"/>
      <c r="Q52" s="27" t="str">
        <f aca="false">IF(P52="","",(N52+O52)*P52)</f>
        <v/>
      </c>
      <c r="R52" s="28" t="n">
        <f aca="false">MIN(J52,K52)</f>
        <v>0</v>
      </c>
      <c r="S52" s="27" t="str">
        <f aca="false">IF(P52="","",R52*P52)</f>
        <v/>
      </c>
      <c r="T52" s="29" t="n">
        <f aca="false">IF(L52=0,"",ABS(L52)+ROW()/100000)</f>
        <v>5.00052</v>
      </c>
      <c r="U52" s="23" t="s">
        <v>51</v>
      </c>
    </row>
    <row r="53" customFormat="false" ht="15" hidden="false" customHeight="false" outlineLevel="0" collapsed="false">
      <c r="A53" s="22" t="n">
        <v>49</v>
      </c>
      <c r="B53" s="23" t="s">
        <v>100</v>
      </c>
      <c r="C53" s="23" t="s">
        <v>132</v>
      </c>
      <c r="D53" s="23" t="s">
        <v>133</v>
      </c>
      <c r="E53" s="22" t="s">
        <v>15</v>
      </c>
      <c r="F53" s="22" t="s">
        <v>78</v>
      </c>
      <c r="G53" s="23" t="s">
        <v>134</v>
      </c>
      <c r="H53" s="24" t="n">
        <v>35</v>
      </c>
      <c r="I53" s="24"/>
      <c r="J53" s="25" t="n">
        <v>35</v>
      </c>
      <c r="K53" s="25" t="n">
        <v>115</v>
      </c>
      <c r="L53" s="26" t="n">
        <f aca="false">J53-K53</f>
        <v>-80</v>
      </c>
      <c r="M53" s="23" t="str">
        <f aca="false">IF(L53&gt;0,"Thực tế nhiều hơn HĐ",IF(L53&lt;0,"HĐ nhiều hơn thực tế","Khớp"))</f>
        <v>HĐ nhiều hơn thực tế</v>
      </c>
      <c r="N53" s="27" t="n">
        <f aca="false">MAX(L53,0)</f>
        <v>0</v>
      </c>
      <c r="O53" s="27" t="n">
        <f aca="false">MAX(-L53,0)</f>
        <v>80</v>
      </c>
      <c r="P53" s="24" t="n">
        <v>982034</v>
      </c>
      <c r="Q53" s="27" t="n">
        <f aca="false">IF(P53="","",(N53+O53)*P53)</f>
        <v>78562720</v>
      </c>
      <c r="R53" s="28" t="n">
        <f aca="false">MIN(J53,K53)</f>
        <v>35</v>
      </c>
      <c r="S53" s="27" t="n">
        <f aca="false">IF(P53="","",R53*P53)</f>
        <v>34371190</v>
      </c>
      <c r="T53" s="29" t="n">
        <f aca="false">IF(L53=0,"",ABS(L53)+ROW()/100000)</f>
        <v>80.00053</v>
      </c>
      <c r="U53" s="23"/>
    </row>
    <row r="54" customFormat="false" ht="15" hidden="false" customHeight="false" outlineLevel="0" collapsed="false">
      <c r="A54" s="22" t="n">
        <v>50</v>
      </c>
      <c r="B54" s="23" t="s">
        <v>100</v>
      </c>
      <c r="C54" s="23" t="s">
        <v>132</v>
      </c>
      <c r="D54" s="23" t="s">
        <v>133</v>
      </c>
      <c r="E54" s="22" t="s">
        <v>15</v>
      </c>
      <c r="F54" s="22" t="s">
        <v>104</v>
      </c>
      <c r="G54" s="23" t="s">
        <v>135</v>
      </c>
      <c r="H54" s="24" t="n">
        <v>18</v>
      </c>
      <c r="I54" s="24"/>
      <c r="J54" s="25" t="n">
        <v>18</v>
      </c>
      <c r="K54" s="25" t="n">
        <v>18</v>
      </c>
      <c r="L54" s="26" t="n">
        <f aca="false">J54-K54</f>
        <v>0</v>
      </c>
      <c r="M54" s="23" t="str">
        <f aca="false">IF(L54&gt;0,"Thực tế nhiều hơn HĐ",IF(L54&lt;0,"HĐ nhiều hơn thực tế","Khớp"))</f>
        <v>Khớp</v>
      </c>
      <c r="N54" s="27" t="n">
        <f aca="false">MAX(L54,0)</f>
        <v>0</v>
      </c>
      <c r="O54" s="27" t="n">
        <f aca="false">MAX(-L54,0)</f>
        <v>0</v>
      </c>
      <c r="P54" s="24" t="n">
        <v>963889</v>
      </c>
      <c r="Q54" s="27" t="n">
        <f aca="false">IF(P54="","",(N54+O54)*P54)</f>
        <v>0</v>
      </c>
      <c r="R54" s="28" t="n">
        <f aca="false">MIN(J54,K54)</f>
        <v>18</v>
      </c>
      <c r="S54" s="27" t="n">
        <f aca="false">IF(P54="","",R54*P54)</f>
        <v>17350002</v>
      </c>
      <c r="T54" s="29" t="str">
        <f aca="false">IF(L54=0,"",ABS(L54)+ROW()/100000)</f>
        <v/>
      </c>
      <c r="U54" s="23"/>
    </row>
    <row r="55" customFormat="false" ht="15" hidden="false" customHeight="false" outlineLevel="0" collapsed="false">
      <c r="A55" s="22" t="n">
        <v>51</v>
      </c>
      <c r="B55" s="23" t="s">
        <v>100</v>
      </c>
      <c r="C55" s="23" t="s">
        <v>132</v>
      </c>
      <c r="D55" s="23" t="s">
        <v>133</v>
      </c>
      <c r="E55" s="22" t="s">
        <v>15</v>
      </c>
      <c r="F55" s="22" t="s">
        <v>111</v>
      </c>
      <c r="G55" s="23" t="s">
        <v>136</v>
      </c>
      <c r="H55" s="24" t="n">
        <v>13</v>
      </c>
      <c r="I55" s="24"/>
      <c r="J55" s="25" t="n">
        <v>13</v>
      </c>
      <c r="K55" s="25" t="n">
        <v>12</v>
      </c>
      <c r="L55" s="26" t="n">
        <f aca="false">J55-K55</f>
        <v>1</v>
      </c>
      <c r="M55" s="23" t="str">
        <f aca="false">IF(L55&gt;0,"Thực tế nhiều hơn HĐ",IF(L55&lt;0,"HĐ nhiều hơn thực tế","Khớp"))</f>
        <v>Thực tế nhiều hơn HĐ</v>
      </c>
      <c r="N55" s="27" t="n">
        <f aca="false">MAX(L55,0)</f>
        <v>1</v>
      </c>
      <c r="O55" s="27" t="n">
        <f aca="false">MAX(-L55,0)</f>
        <v>0</v>
      </c>
      <c r="P55" s="24" t="n">
        <v>805774</v>
      </c>
      <c r="Q55" s="27" t="n">
        <f aca="false">IF(P55="","",(N55+O55)*P55)</f>
        <v>805774</v>
      </c>
      <c r="R55" s="28" t="n">
        <f aca="false">MIN(J55,K55)</f>
        <v>12</v>
      </c>
      <c r="S55" s="27" t="n">
        <f aca="false">IF(P55="","",R55*P55)</f>
        <v>9669288</v>
      </c>
      <c r="T55" s="29" t="n">
        <f aca="false">IF(L55=0,"",ABS(L55)+ROW()/100000)</f>
        <v>1.00055</v>
      </c>
      <c r="U55" s="23"/>
    </row>
    <row r="56" customFormat="false" ht="15" hidden="false" customHeight="false" outlineLevel="0" collapsed="false">
      <c r="A56" s="22" t="n">
        <v>52</v>
      </c>
      <c r="B56" s="23" t="s">
        <v>100</v>
      </c>
      <c r="C56" s="23" t="s">
        <v>132</v>
      </c>
      <c r="D56" s="23" t="s">
        <v>133</v>
      </c>
      <c r="E56" s="22" t="s">
        <v>15</v>
      </c>
      <c r="F56" s="22" t="s">
        <v>113</v>
      </c>
      <c r="G56" s="23"/>
      <c r="H56" s="24" t="n">
        <v>19</v>
      </c>
      <c r="I56" s="24"/>
      <c r="J56" s="25" t="n">
        <v>19</v>
      </c>
      <c r="K56" s="25" t="n">
        <v>0</v>
      </c>
      <c r="L56" s="26" t="n">
        <f aca="false">J56-K56</f>
        <v>19</v>
      </c>
      <c r="M56" s="23" t="str">
        <f aca="false">IF(L56&gt;0,"Thực tế nhiều hơn HĐ",IF(L56&lt;0,"HĐ nhiều hơn thực tế","Khớp"))</f>
        <v>Thực tế nhiều hơn HĐ</v>
      </c>
      <c r="N56" s="27" t="n">
        <f aca="false">MAX(L56,0)</f>
        <v>19</v>
      </c>
      <c r="O56" s="27" t="n">
        <f aca="false">MAX(-L56,0)</f>
        <v>0</v>
      </c>
      <c r="P56" s="24"/>
      <c r="Q56" s="27" t="str">
        <f aca="false">IF(P56="","",(N56+O56)*P56)</f>
        <v/>
      </c>
      <c r="R56" s="28" t="n">
        <f aca="false">MIN(J56,K56)</f>
        <v>0</v>
      </c>
      <c r="S56" s="27" t="str">
        <f aca="false">IF(P56="","",R56*P56)</f>
        <v/>
      </c>
      <c r="T56" s="29" t="n">
        <f aca="false">IF(L56=0,"",ABS(L56)+ROW()/100000)</f>
        <v>19.00056</v>
      </c>
      <c r="U56" s="23" t="s">
        <v>51</v>
      </c>
    </row>
    <row r="57" customFormat="false" ht="15" hidden="false" customHeight="false" outlineLevel="0" collapsed="false">
      <c r="A57" s="22" t="n">
        <v>53</v>
      </c>
      <c r="B57" s="23" t="s">
        <v>137</v>
      </c>
      <c r="C57" s="23" t="s">
        <v>138</v>
      </c>
      <c r="D57" s="23" t="s">
        <v>139</v>
      </c>
      <c r="E57" s="22" t="s">
        <v>15</v>
      </c>
      <c r="F57" s="22"/>
      <c r="G57" s="23" t="s">
        <v>140</v>
      </c>
      <c r="H57" s="24" t="n">
        <v>29</v>
      </c>
      <c r="I57" s="24"/>
      <c r="J57" s="25" t="n">
        <v>29</v>
      </c>
      <c r="K57" s="25" t="n">
        <v>70</v>
      </c>
      <c r="L57" s="26" t="n">
        <f aca="false">J57-K57</f>
        <v>-41</v>
      </c>
      <c r="M57" s="23" t="str">
        <f aca="false">IF(L57&gt;0,"Thực tế nhiều hơn HĐ",IF(L57&lt;0,"HĐ nhiều hơn thực tế","Khớp"))</f>
        <v>HĐ nhiều hơn thực tế</v>
      </c>
      <c r="N57" s="27" t="n">
        <f aca="false">MAX(L57,0)</f>
        <v>0</v>
      </c>
      <c r="O57" s="27" t="n">
        <f aca="false">MAX(-L57,0)</f>
        <v>41</v>
      </c>
      <c r="P57" s="24" t="n">
        <v>411652</v>
      </c>
      <c r="Q57" s="27" t="n">
        <f aca="false">IF(P57="","",(N57+O57)*P57)</f>
        <v>16877732</v>
      </c>
      <c r="R57" s="28" t="n">
        <f aca="false">MIN(J57,K57)</f>
        <v>29</v>
      </c>
      <c r="S57" s="27" t="n">
        <f aca="false">IF(P57="","",R57*P57)</f>
        <v>11937908</v>
      </c>
      <c r="T57" s="29" t="n">
        <f aca="false">IF(L57=0,"",ABS(L57)+ROW()/100000)</f>
        <v>41.00057</v>
      </c>
      <c r="U57" s="23"/>
    </row>
    <row r="58" customFormat="false" ht="15" hidden="false" customHeight="false" outlineLevel="0" collapsed="false">
      <c r="A58" s="22" t="n">
        <v>54</v>
      </c>
      <c r="B58" s="23" t="s">
        <v>137</v>
      </c>
      <c r="C58" s="23" t="s">
        <v>138</v>
      </c>
      <c r="D58" s="23" t="s">
        <v>139</v>
      </c>
      <c r="E58" s="22" t="s">
        <v>14</v>
      </c>
      <c r="F58" s="22"/>
      <c r="G58" s="23" t="s">
        <v>141</v>
      </c>
      <c r="H58" s="24" t="n">
        <v>4</v>
      </c>
      <c r="I58" s="24" t="n">
        <v>20</v>
      </c>
      <c r="J58" s="25" t="n">
        <v>24</v>
      </c>
      <c r="K58" s="25" t="n">
        <v>80</v>
      </c>
      <c r="L58" s="26" t="n">
        <f aca="false">J58-K58</f>
        <v>-56</v>
      </c>
      <c r="M58" s="23" t="str">
        <f aca="false">IF(L58&gt;0,"Thực tế nhiều hơn HĐ",IF(L58&lt;0,"HĐ nhiều hơn thực tế","Khớp"))</f>
        <v>HĐ nhiều hơn thực tế</v>
      </c>
      <c r="N58" s="27" t="n">
        <f aca="false">MAX(L58,0)</f>
        <v>0</v>
      </c>
      <c r="O58" s="27" t="n">
        <f aca="false">MAX(-L58,0)</f>
        <v>56</v>
      </c>
      <c r="P58" s="24" t="n">
        <v>1186912</v>
      </c>
      <c r="Q58" s="27" t="n">
        <f aca="false">IF(P58="","",(N58+O58)*P58)</f>
        <v>66467072</v>
      </c>
      <c r="R58" s="28" t="n">
        <f aca="false">MIN(J58,K58)</f>
        <v>24</v>
      </c>
      <c r="S58" s="27" t="n">
        <f aca="false">IF(P58="","",R58*P58)</f>
        <v>28485888</v>
      </c>
      <c r="T58" s="29" t="n">
        <f aca="false">IF(L58=0,"",ABS(L58)+ROW()/100000)</f>
        <v>56.00058</v>
      </c>
      <c r="U58" s="23"/>
    </row>
    <row r="59" customFormat="false" ht="15" hidden="false" customHeight="false" outlineLevel="0" collapsed="false">
      <c r="A59" s="22" t="n">
        <v>55</v>
      </c>
      <c r="B59" s="23" t="s">
        <v>137</v>
      </c>
      <c r="C59" s="23" t="s">
        <v>142</v>
      </c>
      <c r="D59" s="23" t="s">
        <v>143</v>
      </c>
      <c r="E59" s="22" t="s">
        <v>15</v>
      </c>
      <c r="F59" s="22"/>
      <c r="G59" s="23" t="s">
        <v>144</v>
      </c>
      <c r="H59" s="24" t="n">
        <v>44</v>
      </c>
      <c r="I59" s="24"/>
      <c r="J59" s="25" t="n">
        <v>44</v>
      </c>
      <c r="K59" s="25" t="n">
        <v>31</v>
      </c>
      <c r="L59" s="26" t="n">
        <f aca="false">J59-K59</f>
        <v>13</v>
      </c>
      <c r="M59" s="23" t="str">
        <f aca="false">IF(L59&gt;0,"Thực tế nhiều hơn HĐ",IF(L59&lt;0,"HĐ nhiều hơn thực tế","Khớp"))</f>
        <v>Thực tế nhiều hơn HĐ</v>
      </c>
      <c r="N59" s="27" t="n">
        <f aca="false">MAX(L59,0)</f>
        <v>13</v>
      </c>
      <c r="O59" s="27" t="n">
        <f aca="false">MAX(-L59,0)</f>
        <v>0</v>
      </c>
      <c r="P59" s="24" t="n">
        <v>459107</v>
      </c>
      <c r="Q59" s="27" t="n">
        <f aca="false">IF(P59="","",(N59+O59)*P59)</f>
        <v>5968391</v>
      </c>
      <c r="R59" s="28" t="n">
        <f aca="false">MIN(J59,K59)</f>
        <v>31</v>
      </c>
      <c r="S59" s="27" t="n">
        <f aca="false">IF(P59="","",R59*P59)</f>
        <v>14232317</v>
      </c>
      <c r="T59" s="29" t="n">
        <f aca="false">IF(L59=0,"",ABS(L59)+ROW()/100000)</f>
        <v>13.00059</v>
      </c>
      <c r="U59" s="23"/>
    </row>
    <row r="60" customFormat="false" ht="15" hidden="false" customHeight="false" outlineLevel="0" collapsed="false">
      <c r="A60" s="22" t="n">
        <v>56</v>
      </c>
      <c r="B60" s="23" t="s">
        <v>137</v>
      </c>
      <c r="C60" s="23" t="s">
        <v>142</v>
      </c>
      <c r="D60" s="23" t="s">
        <v>143</v>
      </c>
      <c r="E60" s="22" t="s">
        <v>14</v>
      </c>
      <c r="F60" s="22"/>
      <c r="G60" s="23" t="s">
        <v>145</v>
      </c>
      <c r="H60" s="24" t="n">
        <v>77</v>
      </c>
      <c r="I60" s="24"/>
      <c r="J60" s="25" t="n">
        <v>77</v>
      </c>
      <c r="K60" s="25" t="n">
        <v>90</v>
      </c>
      <c r="L60" s="26" t="n">
        <f aca="false">J60-K60</f>
        <v>-13</v>
      </c>
      <c r="M60" s="23" t="str">
        <f aca="false">IF(L60&gt;0,"Thực tế nhiều hơn HĐ",IF(L60&lt;0,"HĐ nhiều hơn thực tế","Khớp"))</f>
        <v>HĐ nhiều hơn thực tế</v>
      </c>
      <c r="N60" s="27" t="n">
        <f aca="false">MAX(L60,0)</f>
        <v>0</v>
      </c>
      <c r="O60" s="27" t="n">
        <f aca="false">MAX(-L60,0)</f>
        <v>13</v>
      </c>
      <c r="P60" s="24" t="n">
        <v>1399911</v>
      </c>
      <c r="Q60" s="27" t="n">
        <f aca="false">IF(P60="","",(N60+O60)*P60)</f>
        <v>18198843</v>
      </c>
      <c r="R60" s="28" t="n">
        <f aca="false">MIN(J60,K60)</f>
        <v>77</v>
      </c>
      <c r="S60" s="27" t="n">
        <f aca="false">IF(P60="","",R60*P60)</f>
        <v>107793147</v>
      </c>
      <c r="T60" s="29" t="n">
        <f aca="false">IF(L60=0,"",ABS(L60)+ROW()/100000)</f>
        <v>13.0006</v>
      </c>
      <c r="U60" s="23"/>
    </row>
    <row r="61" customFormat="false" ht="15" hidden="false" customHeight="false" outlineLevel="0" collapsed="false">
      <c r="A61" s="22" t="n">
        <v>57</v>
      </c>
      <c r="B61" s="23" t="s">
        <v>137</v>
      </c>
      <c r="C61" s="23" t="s">
        <v>146</v>
      </c>
      <c r="D61" s="23" t="s">
        <v>147</v>
      </c>
      <c r="E61" s="22" t="s">
        <v>15</v>
      </c>
      <c r="F61" s="22"/>
      <c r="G61" s="23" t="s">
        <v>148</v>
      </c>
      <c r="H61" s="24" t="n">
        <v>11</v>
      </c>
      <c r="I61" s="24"/>
      <c r="J61" s="25" t="n">
        <v>11</v>
      </c>
      <c r="K61" s="25" t="n">
        <v>20</v>
      </c>
      <c r="L61" s="26" t="n">
        <f aca="false">J61-K61</f>
        <v>-9</v>
      </c>
      <c r="M61" s="23" t="str">
        <f aca="false">IF(L61&gt;0,"Thực tế nhiều hơn HĐ",IF(L61&lt;0,"HĐ nhiều hơn thực tế","Khớp"))</f>
        <v>HĐ nhiều hơn thực tế</v>
      </c>
      <c r="N61" s="27" t="n">
        <f aca="false">MAX(L61,0)</f>
        <v>0</v>
      </c>
      <c r="O61" s="27" t="n">
        <f aca="false">MAX(-L61,0)</f>
        <v>9</v>
      </c>
      <c r="P61" s="24" t="n">
        <v>443529</v>
      </c>
      <c r="Q61" s="27" t="n">
        <f aca="false">IF(P61="","",(N61+O61)*P61)</f>
        <v>3991761</v>
      </c>
      <c r="R61" s="28" t="n">
        <f aca="false">MIN(J61,K61)</f>
        <v>11</v>
      </c>
      <c r="S61" s="27" t="n">
        <f aca="false">IF(P61="","",R61*P61)</f>
        <v>4878819</v>
      </c>
      <c r="T61" s="29" t="n">
        <f aca="false">IF(L61=0,"",ABS(L61)+ROW()/100000)</f>
        <v>9.00061</v>
      </c>
      <c r="U61" s="23"/>
    </row>
    <row r="62" customFormat="false" ht="15" hidden="false" customHeight="false" outlineLevel="0" collapsed="false">
      <c r="A62" s="22" t="n">
        <v>58</v>
      </c>
      <c r="B62" s="23" t="s">
        <v>137</v>
      </c>
      <c r="C62" s="23" t="s">
        <v>146</v>
      </c>
      <c r="D62" s="23" t="s">
        <v>147</v>
      </c>
      <c r="E62" s="22" t="s">
        <v>14</v>
      </c>
      <c r="F62" s="22"/>
      <c r="G62" s="23" t="s">
        <v>149</v>
      </c>
      <c r="H62" s="24" t="n">
        <v>1</v>
      </c>
      <c r="I62" s="24"/>
      <c r="J62" s="25" t="n">
        <v>1</v>
      </c>
      <c r="K62" s="25" t="n">
        <v>38</v>
      </c>
      <c r="L62" s="26" t="n">
        <f aca="false">J62-K62</f>
        <v>-37</v>
      </c>
      <c r="M62" s="23" t="str">
        <f aca="false">IF(L62&gt;0,"Thực tế nhiều hơn HĐ",IF(L62&lt;0,"HĐ nhiều hơn thực tế","Khớp"))</f>
        <v>HĐ nhiều hơn thực tế</v>
      </c>
      <c r="N62" s="27" t="n">
        <f aca="false">MAX(L62,0)</f>
        <v>0</v>
      </c>
      <c r="O62" s="27" t="n">
        <f aca="false">MAX(-L62,0)</f>
        <v>37</v>
      </c>
      <c r="P62" s="24" t="n">
        <v>1728477</v>
      </c>
      <c r="Q62" s="27" t="n">
        <f aca="false">IF(P62="","",(N62+O62)*P62)</f>
        <v>63953649</v>
      </c>
      <c r="R62" s="28" t="n">
        <f aca="false">MIN(J62,K62)</f>
        <v>1</v>
      </c>
      <c r="S62" s="27" t="n">
        <f aca="false">IF(P62="","",R62*P62)</f>
        <v>1728477</v>
      </c>
      <c r="T62" s="29" t="n">
        <f aca="false">IF(L62=0,"",ABS(L62)+ROW()/100000)</f>
        <v>37.00062</v>
      </c>
      <c r="U62" s="23"/>
    </row>
    <row r="63" customFormat="false" ht="15" hidden="false" customHeight="false" outlineLevel="0" collapsed="false">
      <c r="A63" s="22" t="n">
        <v>59</v>
      </c>
      <c r="B63" s="23" t="s">
        <v>137</v>
      </c>
      <c r="C63" s="23" t="s">
        <v>150</v>
      </c>
      <c r="D63" s="23" t="s">
        <v>151</v>
      </c>
      <c r="E63" s="22" t="s">
        <v>15</v>
      </c>
      <c r="F63" s="22"/>
      <c r="G63" s="23" t="s">
        <v>152</v>
      </c>
      <c r="H63" s="24"/>
      <c r="I63" s="24"/>
      <c r="J63" s="25" t="n">
        <v>0</v>
      </c>
      <c r="K63" s="25" t="n">
        <v>2</v>
      </c>
      <c r="L63" s="26" t="n">
        <f aca="false">J63-K63</f>
        <v>-2</v>
      </c>
      <c r="M63" s="23" t="str">
        <f aca="false">IF(L63&gt;0,"Thực tế nhiều hơn HĐ",IF(L63&lt;0,"HĐ nhiều hơn thực tế","Khớp"))</f>
        <v>HĐ nhiều hơn thực tế</v>
      </c>
      <c r="N63" s="27" t="n">
        <f aca="false">MAX(L63,0)</f>
        <v>0</v>
      </c>
      <c r="O63" s="27" t="n">
        <f aca="false">MAX(-L63,0)</f>
        <v>2</v>
      </c>
      <c r="P63" s="24" t="n">
        <v>415112</v>
      </c>
      <c r="Q63" s="27" t="n">
        <f aca="false">IF(P63="","",(N63+O63)*P63)</f>
        <v>830224</v>
      </c>
      <c r="R63" s="28" t="n">
        <f aca="false">MIN(J63,K63)</f>
        <v>0</v>
      </c>
      <c r="S63" s="27" t="n">
        <f aca="false">IF(P63="","",R63*P63)</f>
        <v>0</v>
      </c>
      <c r="T63" s="29" t="n">
        <f aca="false">IF(L63=0,"",ABS(L63)+ROW()/100000)</f>
        <v>2.00063</v>
      </c>
      <c r="U63" s="23" t="s">
        <v>153</v>
      </c>
    </row>
    <row r="64" customFormat="false" ht="15" hidden="false" customHeight="false" outlineLevel="0" collapsed="false">
      <c r="A64" s="22" t="n">
        <v>60</v>
      </c>
      <c r="B64" s="23" t="s">
        <v>137</v>
      </c>
      <c r="C64" s="23" t="s">
        <v>150</v>
      </c>
      <c r="D64" s="23" t="s">
        <v>151</v>
      </c>
      <c r="E64" s="22" t="s">
        <v>14</v>
      </c>
      <c r="F64" s="22"/>
      <c r="G64" s="23" t="s">
        <v>154</v>
      </c>
      <c r="H64" s="24"/>
      <c r="I64" s="24"/>
      <c r="J64" s="25" t="n">
        <v>0</v>
      </c>
      <c r="K64" s="25" t="n">
        <v>3</v>
      </c>
      <c r="L64" s="26" t="n">
        <f aca="false">J64-K64</f>
        <v>-3</v>
      </c>
      <c r="M64" s="23" t="str">
        <f aca="false">IF(L64&gt;0,"Thực tế nhiều hơn HĐ",IF(L64&lt;0,"HĐ nhiều hơn thực tế","Khớp"))</f>
        <v>HĐ nhiều hơn thực tế</v>
      </c>
      <c r="N64" s="27" t="n">
        <f aca="false">MAX(L64,0)</f>
        <v>0</v>
      </c>
      <c r="O64" s="27" t="n">
        <f aca="false">MAX(-L64,0)</f>
        <v>3</v>
      </c>
      <c r="P64" s="24" t="n">
        <v>1363671</v>
      </c>
      <c r="Q64" s="27" t="n">
        <f aca="false">IF(P64="","",(N64+O64)*P64)</f>
        <v>4091013</v>
      </c>
      <c r="R64" s="28" t="n">
        <f aca="false">MIN(J64,K64)</f>
        <v>0</v>
      </c>
      <c r="S64" s="27" t="n">
        <f aca="false">IF(P64="","",R64*P64)</f>
        <v>0</v>
      </c>
      <c r="T64" s="29" t="n">
        <f aca="false">IF(L64=0,"",ABS(L64)+ROW()/100000)</f>
        <v>3.00064</v>
      </c>
      <c r="U64" s="23"/>
    </row>
    <row r="65" customFormat="false" ht="15" hidden="false" customHeight="false" outlineLevel="0" collapsed="false">
      <c r="A65" s="22" t="n">
        <v>61</v>
      </c>
      <c r="B65" s="23" t="s">
        <v>137</v>
      </c>
      <c r="C65" s="23" t="s">
        <v>155</v>
      </c>
      <c r="D65" s="23" t="s">
        <v>156</v>
      </c>
      <c r="E65" s="22" t="s">
        <v>15</v>
      </c>
      <c r="F65" s="22"/>
      <c r="G65" s="23" t="s">
        <v>157</v>
      </c>
      <c r="H65" s="24" t="n">
        <v>11</v>
      </c>
      <c r="I65" s="24"/>
      <c r="J65" s="25" t="n">
        <v>11</v>
      </c>
      <c r="K65" s="25" t="n">
        <v>21</v>
      </c>
      <c r="L65" s="26" t="n">
        <f aca="false">J65-K65</f>
        <v>-10</v>
      </c>
      <c r="M65" s="23" t="str">
        <f aca="false">IF(L65&gt;0,"Thực tế nhiều hơn HĐ",IF(L65&lt;0,"HĐ nhiều hơn thực tế","Khớp"))</f>
        <v>HĐ nhiều hơn thực tế</v>
      </c>
      <c r="N65" s="27" t="n">
        <f aca="false">MAX(L65,0)</f>
        <v>0</v>
      </c>
      <c r="O65" s="27" t="n">
        <f aca="false">MAX(-L65,0)</f>
        <v>10</v>
      </c>
      <c r="P65" s="24" t="n">
        <v>472048</v>
      </c>
      <c r="Q65" s="27" t="n">
        <f aca="false">IF(P65="","",(N65+O65)*P65)</f>
        <v>4720480</v>
      </c>
      <c r="R65" s="28" t="n">
        <f aca="false">MIN(J65,K65)</f>
        <v>11</v>
      </c>
      <c r="S65" s="27" t="n">
        <f aca="false">IF(P65="","",R65*P65)</f>
        <v>5192528</v>
      </c>
      <c r="T65" s="29" t="n">
        <f aca="false">IF(L65=0,"",ABS(L65)+ROW()/100000)</f>
        <v>10.00065</v>
      </c>
      <c r="U65" s="23"/>
    </row>
    <row r="66" customFormat="false" ht="15" hidden="false" customHeight="false" outlineLevel="0" collapsed="false">
      <c r="A66" s="22" t="n">
        <v>62</v>
      </c>
      <c r="B66" s="23" t="s">
        <v>137</v>
      </c>
      <c r="C66" s="23" t="s">
        <v>155</v>
      </c>
      <c r="D66" s="23" t="s">
        <v>156</v>
      </c>
      <c r="E66" s="22" t="s">
        <v>14</v>
      </c>
      <c r="F66" s="22"/>
      <c r="G66" s="23" t="s">
        <v>158</v>
      </c>
      <c r="H66" s="24" t="n">
        <v>4</v>
      </c>
      <c r="I66" s="24"/>
      <c r="J66" s="25" t="n">
        <v>4</v>
      </c>
      <c r="K66" s="25" t="n">
        <v>101</v>
      </c>
      <c r="L66" s="26" t="n">
        <f aca="false">J66-K66</f>
        <v>-97</v>
      </c>
      <c r="M66" s="23" t="str">
        <f aca="false">IF(L66&gt;0,"Thực tế nhiều hơn HĐ",IF(L66&lt;0,"HĐ nhiều hơn thực tế","Khớp"))</f>
        <v>HĐ nhiều hơn thực tế</v>
      </c>
      <c r="N66" s="27" t="n">
        <f aca="false">MAX(L66,0)</f>
        <v>0</v>
      </c>
      <c r="O66" s="27" t="n">
        <f aca="false">MAX(-L66,0)</f>
        <v>97</v>
      </c>
      <c r="P66" s="24" t="n">
        <v>1585086</v>
      </c>
      <c r="Q66" s="27" t="n">
        <f aca="false">IF(P66="","",(N66+O66)*P66)</f>
        <v>153753342</v>
      </c>
      <c r="R66" s="28" t="n">
        <f aca="false">MIN(J66,K66)</f>
        <v>4</v>
      </c>
      <c r="S66" s="27" t="n">
        <f aca="false">IF(P66="","",R66*P66)</f>
        <v>6340344</v>
      </c>
      <c r="T66" s="29" t="n">
        <f aca="false">IF(L66=0,"",ABS(L66)+ROW()/100000)</f>
        <v>97.00066</v>
      </c>
      <c r="U66" s="23"/>
    </row>
    <row r="67" customFormat="false" ht="15" hidden="false" customHeight="false" outlineLevel="0" collapsed="false">
      <c r="A67" s="22" t="n">
        <v>63</v>
      </c>
      <c r="B67" s="23" t="s">
        <v>137</v>
      </c>
      <c r="C67" s="23" t="s">
        <v>159</v>
      </c>
      <c r="D67" s="23" t="s">
        <v>160</v>
      </c>
      <c r="E67" s="22" t="s">
        <v>18</v>
      </c>
      <c r="F67" s="22"/>
      <c r="G67" s="23" t="s">
        <v>161</v>
      </c>
      <c r="H67" s="24"/>
      <c r="I67" s="24"/>
      <c r="J67" s="25" t="n">
        <v>0</v>
      </c>
      <c r="K67" s="25" t="n">
        <v>32</v>
      </c>
      <c r="L67" s="26" t="n">
        <f aca="false">J67-K67</f>
        <v>-32</v>
      </c>
      <c r="M67" s="23" t="str">
        <f aca="false">IF(L67&gt;0,"Thực tế nhiều hơn HĐ",IF(L67&lt;0,"HĐ nhiều hơn thực tế","Khớp"))</f>
        <v>HĐ nhiều hơn thực tế</v>
      </c>
      <c r="N67" s="27" t="n">
        <f aca="false">MAX(L67,0)</f>
        <v>0</v>
      </c>
      <c r="O67" s="27" t="n">
        <f aca="false">MAX(-L67,0)</f>
        <v>32</v>
      </c>
      <c r="P67" s="24" t="n">
        <v>341889</v>
      </c>
      <c r="Q67" s="27" t="n">
        <f aca="false">IF(P67="","",(N67+O67)*P67)</f>
        <v>10940448</v>
      </c>
      <c r="R67" s="28" t="n">
        <f aca="false">MIN(J67,K67)</f>
        <v>0</v>
      </c>
      <c r="S67" s="27" t="n">
        <f aca="false">IF(P67="","",R67*P67)</f>
        <v>0</v>
      </c>
      <c r="T67" s="29" t="n">
        <f aca="false">IF(L67=0,"",ABS(L67)+ROW()/100000)</f>
        <v>32.00067</v>
      </c>
      <c r="U67" s="23" t="s">
        <v>153</v>
      </c>
    </row>
    <row r="68" customFormat="false" ht="15" hidden="false" customHeight="false" outlineLevel="0" collapsed="false">
      <c r="A68" s="22" t="n">
        <v>64</v>
      </c>
      <c r="B68" s="23" t="s">
        <v>137</v>
      </c>
      <c r="C68" s="23" t="s">
        <v>162</v>
      </c>
      <c r="D68" s="23" t="s">
        <v>163</v>
      </c>
      <c r="E68" s="22" t="s">
        <v>14</v>
      </c>
      <c r="F68" s="22"/>
      <c r="G68" s="23" t="s">
        <v>164</v>
      </c>
      <c r="H68" s="24"/>
      <c r="I68" s="24"/>
      <c r="J68" s="25" t="n">
        <v>0</v>
      </c>
      <c r="K68" s="25" t="n">
        <v>6</v>
      </c>
      <c r="L68" s="26" t="n">
        <f aca="false">J68-K68</f>
        <v>-6</v>
      </c>
      <c r="M68" s="23" t="str">
        <f aca="false">IF(L68&gt;0,"Thực tế nhiều hơn HĐ",IF(L68&lt;0,"HĐ nhiều hơn thực tế","Khớp"))</f>
        <v>HĐ nhiều hơn thực tế</v>
      </c>
      <c r="N68" s="27" t="n">
        <f aca="false">MAX(L68,0)</f>
        <v>0</v>
      </c>
      <c r="O68" s="27" t="n">
        <f aca="false">MAX(-L68,0)</f>
        <v>6</v>
      </c>
      <c r="P68" s="24" t="n">
        <v>2028704</v>
      </c>
      <c r="Q68" s="27" t="n">
        <f aca="false">IF(P68="","",(N68+O68)*P68)</f>
        <v>12172224</v>
      </c>
      <c r="R68" s="28" t="n">
        <f aca="false">MIN(J68,K68)</f>
        <v>0</v>
      </c>
      <c r="S68" s="27" t="n">
        <f aca="false">IF(P68="","",R68*P68)</f>
        <v>0</v>
      </c>
      <c r="T68" s="29" t="n">
        <f aca="false">IF(L68=0,"",ABS(L68)+ROW()/100000)</f>
        <v>6.00068</v>
      </c>
      <c r="U68" s="23" t="s">
        <v>153</v>
      </c>
    </row>
    <row r="69" customFormat="false" ht="15" hidden="false" customHeight="false" outlineLevel="0" collapsed="false">
      <c r="A69" s="22" t="n">
        <v>65</v>
      </c>
      <c r="B69" s="23" t="s">
        <v>165</v>
      </c>
      <c r="C69" s="23" t="s">
        <v>166</v>
      </c>
      <c r="D69" s="23" t="s">
        <v>167</v>
      </c>
      <c r="E69" s="22" t="s">
        <v>17</v>
      </c>
      <c r="F69" s="22"/>
      <c r="G69" s="23" t="s">
        <v>168</v>
      </c>
      <c r="H69" s="24"/>
      <c r="I69" s="24"/>
      <c r="J69" s="25" t="n">
        <v>0</v>
      </c>
      <c r="K69" s="25" t="n">
        <v>85</v>
      </c>
      <c r="L69" s="26" t="n">
        <f aca="false">J69-K69</f>
        <v>-85</v>
      </c>
      <c r="M69" s="23" t="str">
        <f aca="false">IF(L69&gt;0,"Thực tế nhiều hơn HĐ",IF(L69&lt;0,"HĐ nhiều hơn thực tế","Khớp"))</f>
        <v>HĐ nhiều hơn thực tế</v>
      </c>
      <c r="N69" s="27" t="n">
        <f aca="false">MAX(L69,0)</f>
        <v>0</v>
      </c>
      <c r="O69" s="27" t="n">
        <f aca="false">MAX(-L69,0)</f>
        <v>85</v>
      </c>
      <c r="P69" s="24" t="n">
        <v>206705</v>
      </c>
      <c r="Q69" s="27" t="n">
        <f aca="false">IF(P69="","",(N69+O69)*P69)</f>
        <v>17569925</v>
      </c>
      <c r="R69" s="28" t="n">
        <f aca="false">MIN(J69,K69)</f>
        <v>0</v>
      </c>
      <c r="S69" s="27" t="n">
        <f aca="false">IF(P69="","",R69*P69)</f>
        <v>0</v>
      </c>
      <c r="T69" s="29" t="n">
        <f aca="false">IF(L69=0,"",ABS(L69)+ROW()/100000)</f>
        <v>85.00069</v>
      </c>
      <c r="U69" s="23"/>
    </row>
    <row r="70" customFormat="false" ht="15" hidden="false" customHeight="false" outlineLevel="0" collapsed="false">
      <c r="A70" s="22" t="n">
        <v>66</v>
      </c>
      <c r="B70" s="23" t="s">
        <v>165</v>
      </c>
      <c r="C70" s="23" t="s">
        <v>169</v>
      </c>
      <c r="D70" s="23" t="s">
        <v>170</v>
      </c>
      <c r="E70" s="22" t="s">
        <v>17</v>
      </c>
      <c r="F70" s="22"/>
      <c r="G70" s="23" t="s">
        <v>171</v>
      </c>
      <c r="H70" s="24" t="n">
        <v>29</v>
      </c>
      <c r="I70" s="24"/>
      <c r="J70" s="25" t="n">
        <v>29</v>
      </c>
      <c r="K70" s="25" t="n">
        <v>91</v>
      </c>
      <c r="L70" s="26" t="n">
        <f aca="false">J70-K70</f>
        <v>-62</v>
      </c>
      <c r="M70" s="23" t="str">
        <f aca="false">IF(L70&gt;0,"Thực tế nhiều hơn HĐ",IF(L70&lt;0,"HĐ nhiều hơn thực tế","Khớp"))</f>
        <v>HĐ nhiều hơn thực tế</v>
      </c>
      <c r="N70" s="27" t="n">
        <f aca="false">MAX(L70,0)</f>
        <v>0</v>
      </c>
      <c r="O70" s="27" t="n">
        <f aca="false">MAX(-L70,0)</f>
        <v>62</v>
      </c>
      <c r="P70" s="24" t="n">
        <v>287115</v>
      </c>
      <c r="Q70" s="27" t="n">
        <f aca="false">IF(P70="","",(N70+O70)*P70)</f>
        <v>17801130</v>
      </c>
      <c r="R70" s="28" t="n">
        <f aca="false">MIN(J70,K70)</f>
        <v>29</v>
      </c>
      <c r="S70" s="27" t="n">
        <f aca="false">IF(P70="","",R70*P70)</f>
        <v>8326335</v>
      </c>
      <c r="T70" s="29" t="n">
        <f aca="false">IF(L70=0,"",ABS(L70)+ROW()/100000)</f>
        <v>62.0007</v>
      </c>
      <c r="U70" s="23"/>
    </row>
    <row r="71" customFormat="false" ht="15" hidden="false" customHeight="false" outlineLevel="0" collapsed="false">
      <c r="A71" s="22" t="n">
        <v>67</v>
      </c>
      <c r="B71" s="23" t="s">
        <v>165</v>
      </c>
      <c r="C71" s="23" t="s">
        <v>172</v>
      </c>
      <c r="D71" s="23" t="s">
        <v>173</v>
      </c>
      <c r="E71" s="22" t="s">
        <v>17</v>
      </c>
      <c r="F71" s="22"/>
      <c r="G71" s="23" t="s">
        <v>174</v>
      </c>
      <c r="H71" s="24"/>
      <c r="I71" s="24"/>
      <c r="J71" s="25" t="n">
        <v>0</v>
      </c>
      <c r="K71" s="25" t="n">
        <v>80</v>
      </c>
      <c r="L71" s="26" t="n">
        <f aca="false">J71-K71</f>
        <v>-80</v>
      </c>
      <c r="M71" s="23" t="str">
        <f aca="false">IF(L71&gt;0,"Thực tế nhiều hơn HĐ",IF(L71&lt;0,"HĐ nhiều hơn thực tế","Khớp"))</f>
        <v>HĐ nhiều hơn thực tế</v>
      </c>
      <c r="N71" s="27" t="n">
        <f aca="false">MAX(L71,0)</f>
        <v>0</v>
      </c>
      <c r="O71" s="27" t="n">
        <f aca="false">MAX(-L71,0)</f>
        <v>80</v>
      </c>
      <c r="P71" s="24" t="n">
        <v>272222</v>
      </c>
      <c r="Q71" s="27" t="n">
        <f aca="false">IF(P71="","",(N71+O71)*P71)</f>
        <v>21777760</v>
      </c>
      <c r="R71" s="28" t="n">
        <f aca="false">MIN(J71,K71)</f>
        <v>0</v>
      </c>
      <c r="S71" s="27" t="n">
        <f aca="false">IF(P71="","",R71*P71)</f>
        <v>0</v>
      </c>
      <c r="T71" s="29" t="n">
        <f aca="false">IF(L71=0,"",ABS(L71)+ROW()/100000)</f>
        <v>80.00071</v>
      </c>
      <c r="U71" s="23" t="s">
        <v>153</v>
      </c>
    </row>
    <row r="72" customFormat="false" ht="15" hidden="false" customHeight="false" outlineLevel="0" collapsed="false">
      <c r="A72" s="30"/>
      <c r="B72" s="30" t="s">
        <v>175</v>
      </c>
      <c r="C72" s="30"/>
      <c r="D72" s="30"/>
      <c r="E72" s="30"/>
      <c r="F72" s="30"/>
      <c r="G72" s="30"/>
      <c r="H72" s="31" t="n">
        <f aca="false">SUM(H5:H71)</f>
        <v>1597</v>
      </c>
      <c r="I72" s="31" t="n">
        <f aca="false">SUM(I5:I71)</f>
        <v>465</v>
      </c>
      <c r="J72" s="31" t="n">
        <f aca="false">SUM(J5:J71)</f>
        <v>2412</v>
      </c>
      <c r="K72" s="31" t="n">
        <f aca="false">SUM(K5:K71)</f>
        <v>5359</v>
      </c>
      <c r="L72" s="31" t="n">
        <f aca="false">SUM(L5:L71)</f>
        <v>-2947</v>
      </c>
      <c r="M72" s="30"/>
      <c r="N72" s="31" t="n">
        <f aca="false">SUM(N5:N71)</f>
        <v>240</v>
      </c>
      <c r="O72" s="31" t="n">
        <f aca="false">SUM(O5:O71)</f>
        <v>3187</v>
      </c>
      <c r="P72" s="30"/>
      <c r="Q72" s="31" t="n">
        <f aca="false">SUM(Q5:Q71)</f>
        <v>2152823473</v>
      </c>
      <c r="R72" s="31" t="n">
        <f aca="false">SUM(R5:R71)</f>
        <v>2172</v>
      </c>
      <c r="S72" s="31" t="n">
        <f aca="false">SUM(S5:S71)</f>
        <v>1685777008</v>
      </c>
      <c r="T72" s="30"/>
      <c r="U72" s="30"/>
    </row>
    <row r="74" customFormat="false" ht="15" hidden="false" customHeight="false" outlineLevel="0" collapsed="false">
      <c r="A74" s="2" t="s">
        <v>176</v>
      </c>
    </row>
  </sheetData>
  <autoFilter ref="A4:U71"/>
  <conditionalFormatting sqref="M5:M71">
    <cfRule type="expression" priority="2" aboveAverage="0" equalAverage="0" bottom="0" percent="0" rank="0" text="" dxfId="14">
      <formula>LEFT(M5,5)="Thực "</formula>
    </cfRule>
    <cfRule type="expression" priority="3" aboveAverage="0" equalAverage="0" bottom="0" percent="0" rank="0" text="" dxfId="15">
      <formula>LEFT(M5,3)="HĐ "</formula>
    </cfRule>
    <cfRule type="expression" priority="4" aboveAverage="0" equalAverage="0" bottom="0" percent="0" rank="0" text="" dxfId="16">
      <formula>M5="Khớp"</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C55A11"/>
    <pageSetUpPr fitToPage="false"/>
  </sheetPr>
  <dimension ref="A1:J7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5"/>
    <col collapsed="false" customWidth="true" hidden="false" outlineLevel="0" max="2" min="2" style="0" width="12"/>
    <col collapsed="false" customWidth="true" hidden="false" outlineLevel="0" max="3" min="3" style="0" width="46"/>
    <col collapsed="false" customWidth="true" hidden="false" outlineLevel="0" max="4" min="4" style="0" width="10"/>
    <col collapsed="false" customWidth="true" hidden="false" outlineLevel="0" max="5" min="5" style="0" width="7"/>
    <col collapsed="false" customWidth="true" hidden="false" outlineLevel="0" max="7" min="6" style="0" width="13"/>
    <col collapsed="false" customWidth="true" hidden="false" outlineLevel="0" max="8" min="8" style="0" width="16"/>
    <col collapsed="false" customWidth="true" hidden="false" outlineLevel="0" max="9" min="9" style="0" width="14"/>
    <col collapsed="false" customWidth="true" hidden="false" outlineLevel="0" max="10" min="10" style="0" width="17"/>
  </cols>
  <sheetData>
    <row r="1" customFormat="false" ht="19.7" hidden="false" customHeight="false" outlineLevel="0" collapsed="false">
      <c r="A1" s="1" t="s">
        <v>177</v>
      </c>
    </row>
    <row r="2" customFormat="false" ht="15" hidden="false" customHeight="false" outlineLevel="0" collapsed="false">
      <c r="A2" s="2" t="s">
        <v>178</v>
      </c>
    </row>
    <row r="4" customFormat="false" ht="15" hidden="false" customHeight="false" outlineLevel="0" collapsed="false">
      <c r="A4" s="11" t="s">
        <v>179</v>
      </c>
    </row>
    <row r="5" customFormat="false" ht="33.75" hidden="false" customHeight="true" outlineLevel="0" collapsed="false">
      <c r="A5" s="12" t="s">
        <v>32</v>
      </c>
      <c r="B5" s="12" t="s">
        <v>26</v>
      </c>
      <c r="C5" s="12" t="s">
        <v>34</v>
      </c>
      <c r="D5" s="12" t="s">
        <v>7</v>
      </c>
      <c r="E5" s="12" t="s">
        <v>27</v>
      </c>
      <c r="F5" s="12" t="s">
        <v>8</v>
      </c>
      <c r="G5" s="12" t="s">
        <v>9</v>
      </c>
      <c r="H5" s="12" t="s">
        <v>180</v>
      </c>
      <c r="I5" s="12" t="s">
        <v>181</v>
      </c>
      <c r="J5" s="12" t="s">
        <v>182</v>
      </c>
    </row>
    <row r="6" customFormat="false" ht="15" hidden="false" customHeight="false" outlineLevel="0" collapsed="false">
      <c r="A6" s="14" t="n">
        <v>1</v>
      </c>
      <c r="B6" s="14" t="str">
        <f aca="false">IF('ĐỐI CHIẾU'!C5="","",'ĐỐI CHIẾU'!C5)</f>
        <v>PI04</v>
      </c>
      <c r="C6" s="14" t="str">
        <f aca="false">IF('ĐỐI CHIẾU'!D5="","",'ĐỐI CHIẾU'!D5)</f>
        <v>Sơn lót nội thất kháng kiềm cao cấp Imperia PI04</v>
      </c>
      <c r="D6" s="14" t="str">
        <f aca="false">IF('ĐỐI CHIẾU'!E5="","",'ĐỐI CHIẾU'!E5)</f>
        <v>5L</v>
      </c>
      <c r="E6" s="14" t="str">
        <f aca="false">IF('ĐỐI CHIẾU'!F5="","",'ĐỐI CHIẾU'!F5)</f>
        <v/>
      </c>
      <c r="F6" s="15" t="n">
        <f aca="false">IF('ĐỐI CHIẾU'!J5="","",'ĐỐI CHIẾU'!J5)</f>
        <v>2</v>
      </c>
      <c r="G6" s="15" t="n">
        <f aca="false">IF('ĐỐI CHIẾU'!K5="","",'ĐỐI CHIẾU'!K5)</f>
        <v>0</v>
      </c>
      <c r="H6" s="32" t="n">
        <f aca="false">IF('ĐỐI CHIẾU'!N5="","",'ĐỐI CHIẾU'!N5)</f>
        <v>2</v>
      </c>
      <c r="I6" s="15" t="str">
        <f aca="false">IF('ĐỐI CHIẾU'!P5="","",'ĐỐI CHIẾU'!P5)</f>
        <v/>
      </c>
      <c r="J6" s="15" t="str">
        <f aca="false">IF(I6="","",H6*I6)</f>
        <v/>
      </c>
    </row>
    <row r="7" customFormat="false" ht="15" hidden="false" customHeight="false" outlineLevel="0" collapsed="false">
      <c r="A7" s="14" t="n">
        <v>2</v>
      </c>
      <c r="B7" s="14" t="str">
        <f aca="false">IF('ĐỐI CHIẾU'!C9="","",'ĐỐI CHIẾU'!C9)</f>
        <v>SPI03</v>
      </c>
      <c r="C7" s="14" t="str">
        <f aca="false">IF('ĐỐI CHIẾU'!D9="","",'ĐỐI CHIẾU'!D9)</f>
        <v>Sơn lót nội thất kháng kiềm siêu cao cấp SPI03</v>
      </c>
      <c r="D7" s="14" t="str">
        <f aca="false">IF('ĐỐI CHIẾU'!E9="","",'ĐỐI CHIẾU'!E9)</f>
        <v>5L</v>
      </c>
      <c r="E7" s="14" t="str">
        <f aca="false">IF('ĐỐI CHIẾU'!F9="","",'ĐỐI CHIẾU'!F9)</f>
        <v/>
      </c>
      <c r="F7" s="15" t="n">
        <f aca="false">IF('ĐỐI CHIẾU'!J9="","",'ĐỐI CHIẾU'!J9)</f>
        <v>7</v>
      </c>
      <c r="G7" s="15" t="n">
        <f aca="false">IF('ĐỐI CHIẾU'!K9="","",'ĐỐI CHIẾU'!K9)</f>
        <v>0</v>
      </c>
      <c r="H7" s="32" t="n">
        <f aca="false">IF('ĐỐI CHIẾU'!N9="","",'ĐỐI CHIẾU'!N9)</f>
        <v>7</v>
      </c>
      <c r="I7" s="15" t="str">
        <f aca="false">IF('ĐỐI CHIẾU'!P9="","",'ĐỐI CHIẾU'!P9)</f>
        <v/>
      </c>
      <c r="J7" s="15" t="str">
        <f aca="false">IF(I7="","",H7*I7)</f>
        <v/>
      </c>
    </row>
    <row r="8" customFormat="false" ht="15" hidden="false" customHeight="false" outlineLevel="0" collapsed="false">
      <c r="A8" s="14" t="n">
        <v>3</v>
      </c>
      <c r="B8" s="14" t="str">
        <f aca="false">IF('ĐỐI CHIẾU'!C11="","",'ĐỐI CHIẾU'!C11)</f>
        <v>SPE01</v>
      </c>
      <c r="C8" s="14" t="str">
        <f aca="false">IF('ĐỐI CHIẾU'!D11="","",'ĐỐI CHIẾU'!D11)</f>
        <v>Sơn lót ngoại thất kháng kiềm siêu cao cấp SPE01</v>
      </c>
      <c r="D8" s="14" t="str">
        <f aca="false">IF('ĐỐI CHIẾU'!E11="","",'ĐỐI CHIẾU'!E11)</f>
        <v>5L</v>
      </c>
      <c r="E8" s="14" t="str">
        <f aca="false">IF('ĐỐI CHIẾU'!F11="","",'ĐỐI CHIẾU'!F11)</f>
        <v/>
      </c>
      <c r="F8" s="15" t="n">
        <f aca="false">IF('ĐỐI CHIẾU'!J11="","",'ĐỐI CHIẾU'!J11)</f>
        <v>4</v>
      </c>
      <c r="G8" s="15" t="n">
        <f aca="false">IF('ĐỐI CHIẾU'!K11="","",'ĐỐI CHIẾU'!K11)</f>
        <v>0</v>
      </c>
      <c r="H8" s="32" t="n">
        <f aca="false">IF('ĐỐI CHIẾU'!N11="","",'ĐỐI CHIẾU'!N11)</f>
        <v>4</v>
      </c>
      <c r="I8" s="15" t="str">
        <f aca="false">IF('ĐỐI CHIẾU'!P11="","",'ĐỐI CHIẾU'!P11)</f>
        <v/>
      </c>
      <c r="J8" s="15" t="str">
        <f aca="false">IF(I8="","",H8*I8)</f>
        <v/>
      </c>
    </row>
    <row r="9" customFormat="false" ht="15" hidden="false" customHeight="false" outlineLevel="0" collapsed="false">
      <c r="A9" s="14" t="n">
        <v>4</v>
      </c>
      <c r="B9" s="14" t="str">
        <f aca="false">IF('ĐỐI CHIẾU'!C25="","",'ĐỐI CHIẾU'!C25)</f>
        <v>I9</v>
      </c>
      <c r="C9" s="14" t="str">
        <f aca="false">IF('ĐỐI CHIẾU'!D25="","",'ĐỐI CHIẾU'!D25)</f>
        <v>Sơn nội thất siêu bóng cao cấp Saphir I9</v>
      </c>
      <c r="D9" s="14" t="str">
        <f aca="false">IF('ĐỐI CHIẾU'!E25="","",'ĐỐI CHIẾU'!E25)</f>
        <v>5L</v>
      </c>
      <c r="E9" s="14" t="str">
        <f aca="false">IF('ĐỐI CHIẾU'!F25="","",'ĐỐI CHIẾU'!F25)</f>
        <v>B1</v>
      </c>
      <c r="F9" s="15" t="n">
        <f aca="false">IF('ĐỐI CHIẾU'!J25="","",'ĐỐI CHIẾU'!J25)</f>
        <v>11</v>
      </c>
      <c r="G9" s="15" t="n">
        <f aca="false">IF('ĐỐI CHIẾU'!K25="","",'ĐỐI CHIẾU'!K25)</f>
        <v>4</v>
      </c>
      <c r="H9" s="32" t="n">
        <f aca="false">IF('ĐỐI CHIẾU'!N25="","",'ĐỐI CHIẾU'!N25)</f>
        <v>7</v>
      </c>
      <c r="I9" s="15" t="n">
        <f aca="false">IF('ĐỐI CHIẾU'!P25="","",'ĐỐI CHIẾU'!P25)</f>
        <v>568486</v>
      </c>
      <c r="J9" s="15" t="n">
        <f aca="false">IF(I9="","",H9*I9)</f>
        <v>3979402</v>
      </c>
    </row>
    <row r="10" customFormat="false" ht="15" hidden="false" customHeight="false" outlineLevel="0" collapsed="false">
      <c r="A10" s="14" t="n">
        <v>5</v>
      </c>
      <c r="B10" s="14" t="str">
        <f aca="false">IF('ĐỐI CHIẾU'!C31="","",'ĐỐI CHIẾU'!C31)</f>
        <v>ESI</v>
      </c>
      <c r="C10" s="14" t="str">
        <f aca="false">IF('ĐỐI CHIẾU'!D31="","",'ĐỐI CHIẾU'!D31)</f>
        <v>Sơn ngoại thất bền màu Silver ESI</v>
      </c>
      <c r="D10" s="14" t="str">
        <f aca="false">IF('ĐỐI CHIẾU'!E31="","",'ĐỐI CHIẾU'!E31)</f>
        <v>18L</v>
      </c>
      <c r="E10" s="14" t="str">
        <f aca="false">IF('ĐỐI CHIẾU'!F31="","",'ĐỐI CHIẾU'!F31)</f>
        <v>B1</v>
      </c>
      <c r="F10" s="15" t="n">
        <f aca="false">IF('ĐỐI CHIẾU'!J31="","",'ĐỐI CHIẾU'!J31)</f>
        <v>67</v>
      </c>
      <c r="G10" s="15" t="n">
        <f aca="false">IF('ĐỐI CHIẾU'!K31="","",'ĐỐI CHIẾU'!K31)</f>
        <v>63</v>
      </c>
      <c r="H10" s="32" t="n">
        <f aca="false">IF('ĐỐI CHIẾU'!N31="","",'ĐỐI CHIẾU'!N31)</f>
        <v>4</v>
      </c>
      <c r="I10" s="15" t="n">
        <f aca="false">IF('ĐỐI CHIẾU'!P31="","",'ĐỐI CHIẾU'!P31)</f>
        <v>948051</v>
      </c>
      <c r="J10" s="15" t="n">
        <f aca="false">IF(I10="","",H10*I10)</f>
        <v>3792204</v>
      </c>
    </row>
    <row r="11" customFormat="false" ht="15" hidden="false" customHeight="false" outlineLevel="0" collapsed="false">
      <c r="A11" s="14" t="n">
        <v>6</v>
      </c>
      <c r="B11" s="14" t="str">
        <f aca="false">IF('ĐỐI CHIẾU'!C33="","",'ĐỐI CHIẾU'!C33)</f>
        <v>ESG10</v>
      </c>
      <c r="C11" s="14" t="str">
        <f aca="false">IF('ĐỐI CHIẾU'!D33="","",'ĐỐI CHIẾU'!D33)</f>
        <v>Sơn ngoại thất cao cấp bóng mờ Imperia ESG10</v>
      </c>
      <c r="D11" s="14" t="str">
        <f aca="false">IF('ĐỐI CHIẾU'!E33="","",'ĐỐI CHIẾU'!E33)</f>
        <v>1L</v>
      </c>
      <c r="E11" s="14" t="str">
        <f aca="false">IF('ĐỐI CHIẾU'!F33="","",'ĐỐI CHIẾU'!F33)</f>
        <v>B2</v>
      </c>
      <c r="F11" s="15" t="n">
        <f aca="false">IF('ĐỐI CHIẾU'!J33="","",'ĐỐI CHIẾU'!J33)</f>
        <v>45</v>
      </c>
      <c r="G11" s="15" t="n">
        <f aca="false">IF('ĐỐI CHIẾU'!K33="","",'ĐỐI CHIẾU'!K33)</f>
        <v>36</v>
      </c>
      <c r="H11" s="32" t="n">
        <f aca="false">IF('ĐỐI CHIẾU'!N33="","",'ĐỐI CHIẾU'!N33)</f>
        <v>9</v>
      </c>
      <c r="I11" s="15" t="n">
        <f aca="false">IF('ĐỐI CHIẾU'!P33="","",'ĐỐI CHIẾU'!P33)</f>
        <v>131852</v>
      </c>
      <c r="J11" s="15" t="n">
        <f aca="false">IF(I11="","",H11*I11)</f>
        <v>1186668</v>
      </c>
    </row>
    <row r="12" customFormat="false" ht="15" hidden="false" customHeight="false" outlineLevel="0" collapsed="false">
      <c r="A12" s="14" t="n">
        <v>7</v>
      </c>
      <c r="B12" s="14" t="str">
        <f aca="false">IF('ĐỐI CHIẾU'!C49="","",'ĐỐI CHIẾU'!C49)</f>
        <v>EG09</v>
      </c>
      <c r="C12" s="14" t="str">
        <f aca="false">IF('ĐỐI CHIẾU'!D49="","",'ĐỐI CHIẾU'!D49)</f>
        <v>Sơn ngoại thất siêu bóng cao cấp Imperia EG09</v>
      </c>
      <c r="D12" s="14" t="str">
        <f aca="false">IF('ĐỐI CHIẾU'!E49="","",'ĐỐI CHIẾU'!E49)</f>
        <v>18L</v>
      </c>
      <c r="E12" s="14" t="str">
        <f aca="false">IF('ĐỐI CHIẾU'!F49="","",'ĐỐI CHIẾU'!F49)</f>
        <v>B1</v>
      </c>
      <c r="F12" s="15" t="n">
        <f aca="false">IF('ĐỐI CHIẾU'!J49="","",'ĐỐI CHIẾU'!J49)</f>
        <v>218</v>
      </c>
      <c r="G12" s="15" t="n">
        <f aca="false">IF('ĐỐI CHIẾU'!K49="","",'ĐỐI CHIẾU'!K49)</f>
        <v>50</v>
      </c>
      <c r="H12" s="32" t="n">
        <f aca="false">IF('ĐỐI CHIẾU'!N49="","",'ĐỐI CHIẾU'!N49)</f>
        <v>168</v>
      </c>
      <c r="I12" s="15" t="n">
        <f aca="false">IF('ĐỐI CHIẾU'!P49="","",'ĐỐI CHIẾU'!P49)</f>
        <v>1589834</v>
      </c>
      <c r="J12" s="15" t="n">
        <f aca="false">IF(I12="","",H12*I12)</f>
        <v>267092112</v>
      </c>
    </row>
    <row r="13" customFormat="false" ht="15" hidden="false" customHeight="false" outlineLevel="0" collapsed="false">
      <c r="A13" s="14" t="n">
        <v>8</v>
      </c>
      <c r="B13" s="14" t="str">
        <f aca="false">IF('ĐỐI CHIẾU'!C51="","",'ĐỐI CHIẾU'!C51)</f>
        <v>E9</v>
      </c>
      <c r="C13" s="14" t="str">
        <f aca="false">IF('ĐỐI CHIẾU'!D51="","",'ĐỐI CHIẾU'!D51)</f>
        <v>Sơn ngoại thất siêu bóng cao cấp Saphir E9</v>
      </c>
      <c r="D13" s="14" t="str">
        <f aca="false">IF('ĐỐI CHIẾU'!E51="","",'ĐỐI CHIẾU'!E51)</f>
        <v>1L</v>
      </c>
      <c r="E13" s="14" t="str">
        <f aca="false">IF('ĐỐI CHIẾU'!F51="","",'ĐỐI CHIẾU'!F51)</f>
        <v>B1</v>
      </c>
      <c r="F13" s="15" t="n">
        <f aca="false">IF('ĐỐI CHIẾU'!J51="","",'ĐỐI CHIẾU'!J51)</f>
        <v>1</v>
      </c>
      <c r="G13" s="15" t="n">
        <f aca="false">IF('ĐỐI CHIẾU'!K51="","",'ĐỐI CHIẾU'!K51)</f>
        <v>0</v>
      </c>
      <c r="H13" s="32" t="n">
        <f aca="false">IF('ĐỐI CHIẾU'!N51="","",'ĐỐI CHIẾU'!N51)</f>
        <v>1</v>
      </c>
      <c r="I13" s="15" t="str">
        <f aca="false">IF('ĐỐI CHIẾU'!P51="","",'ĐỐI CHIẾU'!P51)</f>
        <v/>
      </c>
      <c r="J13" s="15" t="str">
        <f aca="false">IF(I13="","",H13*I13)</f>
        <v/>
      </c>
    </row>
    <row r="14" customFormat="false" ht="15" hidden="false" customHeight="false" outlineLevel="0" collapsed="false">
      <c r="A14" s="14" t="n">
        <v>9</v>
      </c>
      <c r="B14" s="14" t="str">
        <f aca="false">IF('ĐỐI CHIẾU'!C52="","",'ĐỐI CHIẾU'!C52)</f>
        <v>E9</v>
      </c>
      <c r="C14" s="14" t="str">
        <f aca="false">IF('ĐỐI CHIẾU'!D52="","",'ĐỐI CHIẾU'!D52)</f>
        <v>Sơn ngoại thất siêu bóng cao cấp Saphir E9</v>
      </c>
      <c r="D14" s="14" t="str">
        <f aca="false">IF('ĐỐI CHIẾU'!E52="","",'ĐỐI CHIẾU'!E52)</f>
        <v>1L</v>
      </c>
      <c r="E14" s="14" t="str">
        <f aca="false">IF('ĐỐI CHIẾU'!F52="","",'ĐỐI CHIẾU'!F52)</f>
        <v>B4</v>
      </c>
      <c r="F14" s="15" t="n">
        <f aca="false">IF('ĐỐI CHIẾU'!J52="","",'ĐỐI CHIẾU'!J52)</f>
        <v>5</v>
      </c>
      <c r="G14" s="15" t="n">
        <f aca="false">IF('ĐỐI CHIẾU'!K52="","",'ĐỐI CHIẾU'!K52)</f>
        <v>0</v>
      </c>
      <c r="H14" s="32" t="n">
        <f aca="false">IF('ĐỐI CHIẾU'!N52="","",'ĐỐI CHIẾU'!N52)</f>
        <v>5</v>
      </c>
      <c r="I14" s="15" t="str">
        <f aca="false">IF('ĐỐI CHIẾU'!P52="","",'ĐỐI CHIẾU'!P52)</f>
        <v/>
      </c>
      <c r="J14" s="15" t="str">
        <f aca="false">IF(I14="","",H14*I14)</f>
        <v/>
      </c>
    </row>
    <row r="15" customFormat="false" ht="15" hidden="false" customHeight="false" outlineLevel="0" collapsed="false">
      <c r="A15" s="14" t="n">
        <v>10</v>
      </c>
      <c r="B15" s="14" t="str">
        <f aca="false">IF('ĐỐI CHIẾU'!C55="","",'ĐỐI CHIẾU'!C55)</f>
        <v>E9</v>
      </c>
      <c r="C15" s="14" t="str">
        <f aca="false">IF('ĐỐI CHIẾU'!D55="","",'ĐỐI CHIẾU'!D55)</f>
        <v>Sơn ngoại thất siêu bóng cao cấp Saphir E9</v>
      </c>
      <c r="D15" s="14" t="str">
        <f aca="false">IF('ĐỐI CHIẾU'!E55="","",'ĐỐI CHIẾU'!E55)</f>
        <v>5L</v>
      </c>
      <c r="E15" s="14" t="str">
        <f aca="false">IF('ĐỐI CHIẾU'!F55="","",'ĐỐI CHIẾU'!F55)</f>
        <v>B3</v>
      </c>
      <c r="F15" s="15" t="n">
        <f aca="false">IF('ĐỐI CHIẾU'!J55="","",'ĐỐI CHIẾU'!J55)</f>
        <v>13</v>
      </c>
      <c r="G15" s="15" t="n">
        <f aca="false">IF('ĐỐI CHIẾU'!K55="","",'ĐỐI CHIẾU'!K55)</f>
        <v>12</v>
      </c>
      <c r="H15" s="32" t="n">
        <f aca="false">IF('ĐỐI CHIẾU'!N55="","",'ĐỐI CHIẾU'!N55)</f>
        <v>1</v>
      </c>
      <c r="I15" s="15" t="n">
        <f aca="false">IF('ĐỐI CHIẾU'!P55="","",'ĐỐI CHIẾU'!P55)</f>
        <v>805774</v>
      </c>
      <c r="J15" s="15" t="n">
        <f aca="false">IF(I15="","",H15*I15)</f>
        <v>805774</v>
      </c>
    </row>
    <row r="16" customFormat="false" ht="15" hidden="false" customHeight="false" outlineLevel="0" collapsed="false">
      <c r="A16" s="14" t="n">
        <v>11</v>
      </c>
      <c r="B16" s="14" t="str">
        <f aca="false">IF('ĐỐI CHIẾU'!C56="","",'ĐỐI CHIẾU'!C56)</f>
        <v>E9</v>
      </c>
      <c r="C16" s="14" t="str">
        <f aca="false">IF('ĐỐI CHIẾU'!D56="","",'ĐỐI CHIẾU'!D56)</f>
        <v>Sơn ngoại thất siêu bóng cao cấp Saphir E9</v>
      </c>
      <c r="D16" s="14" t="str">
        <f aca="false">IF('ĐỐI CHIẾU'!E56="","",'ĐỐI CHIẾU'!E56)</f>
        <v>5L</v>
      </c>
      <c r="E16" s="14" t="str">
        <f aca="false">IF('ĐỐI CHIẾU'!F56="","",'ĐỐI CHIẾU'!F56)</f>
        <v>B4</v>
      </c>
      <c r="F16" s="15" t="n">
        <f aca="false">IF('ĐỐI CHIẾU'!J56="","",'ĐỐI CHIẾU'!J56)</f>
        <v>19</v>
      </c>
      <c r="G16" s="15" t="n">
        <f aca="false">IF('ĐỐI CHIẾU'!K56="","",'ĐỐI CHIẾU'!K56)</f>
        <v>0</v>
      </c>
      <c r="H16" s="32" t="n">
        <f aca="false">IF('ĐỐI CHIẾU'!N56="","",'ĐỐI CHIẾU'!N56)</f>
        <v>19</v>
      </c>
      <c r="I16" s="15" t="str">
        <f aca="false">IF('ĐỐI CHIẾU'!P56="","",'ĐỐI CHIẾU'!P56)</f>
        <v/>
      </c>
      <c r="J16" s="15" t="str">
        <f aca="false">IF(I16="","",H16*I16)</f>
        <v/>
      </c>
    </row>
    <row r="17" customFormat="false" ht="15" hidden="false" customHeight="false" outlineLevel="0" collapsed="false">
      <c r="A17" s="14" t="n">
        <v>12</v>
      </c>
      <c r="B17" s="14" t="str">
        <f aca="false">IF('ĐỐI CHIẾU'!C59="","",'ĐỐI CHIẾU'!C59)</f>
        <v>ETM-309</v>
      </c>
      <c r="C17" s="14" t="str">
        <f aca="false">IF('ĐỐI CHIẾU'!D59="","",'ĐỐI CHIẾU'!D59)</f>
        <v>Sơn chống thấm màu ETM 309 (ghi đậm)</v>
      </c>
      <c r="D17" s="14" t="str">
        <f aca="false">IF('ĐỐI CHIẾU'!E59="","",'ĐỐI CHIẾU'!E59)</f>
        <v>5L</v>
      </c>
      <c r="E17" s="14" t="str">
        <f aca="false">IF('ĐỐI CHIẾU'!F59="","",'ĐỐI CHIẾU'!F59)</f>
        <v/>
      </c>
      <c r="F17" s="15" t="n">
        <f aca="false">IF('ĐỐI CHIẾU'!J59="","",'ĐỐI CHIẾU'!J59)</f>
        <v>44</v>
      </c>
      <c r="G17" s="15" t="n">
        <f aca="false">IF('ĐỐI CHIẾU'!K59="","",'ĐỐI CHIẾU'!K59)</f>
        <v>31</v>
      </c>
      <c r="H17" s="32" t="n">
        <f aca="false">IF('ĐỐI CHIẾU'!N59="","",'ĐỐI CHIẾU'!N59)</f>
        <v>13</v>
      </c>
      <c r="I17" s="15" t="n">
        <f aca="false">IF('ĐỐI CHIẾU'!P59="","",'ĐỐI CHIẾU'!P59)</f>
        <v>459107</v>
      </c>
      <c r="J17" s="15" t="n">
        <f aca="false">IF(I17="","",H17*I17)</f>
        <v>5968391</v>
      </c>
    </row>
    <row r="18" customFormat="false" ht="15" hidden="false" customHeight="false" outlineLevel="0" collapsed="false">
      <c r="A18" s="16"/>
      <c r="B18" s="16"/>
      <c r="C18" s="16" t="s">
        <v>175</v>
      </c>
      <c r="D18" s="16"/>
      <c r="E18" s="16"/>
      <c r="F18" s="18" t="n">
        <f aca="false">SUM(F6:F17)</f>
        <v>436</v>
      </c>
      <c r="G18" s="18" t="n">
        <f aca="false">SUM(G6:G17)</f>
        <v>196</v>
      </c>
      <c r="H18" s="18" t="n">
        <f aca="false">SUM(H6:H17)</f>
        <v>240</v>
      </c>
      <c r="I18" s="16"/>
      <c r="J18" s="18" t="n">
        <f aca="false">SUM(J6:J17)</f>
        <v>282824551</v>
      </c>
    </row>
    <row r="21" customFormat="false" ht="15" hidden="false" customHeight="false" outlineLevel="0" collapsed="false">
      <c r="A21" s="33" t="s">
        <v>183</v>
      </c>
    </row>
    <row r="22" customFormat="false" ht="33.75" hidden="false" customHeight="true" outlineLevel="0" collapsed="false">
      <c r="A22" s="12" t="s">
        <v>32</v>
      </c>
      <c r="B22" s="12" t="s">
        <v>26</v>
      </c>
      <c r="C22" s="12" t="s">
        <v>34</v>
      </c>
      <c r="D22" s="12" t="s">
        <v>7</v>
      </c>
      <c r="E22" s="12" t="s">
        <v>27</v>
      </c>
      <c r="F22" s="12" t="s">
        <v>8</v>
      </c>
      <c r="G22" s="12" t="s">
        <v>9</v>
      </c>
      <c r="H22" s="12" t="s">
        <v>180</v>
      </c>
      <c r="I22" s="12" t="s">
        <v>181</v>
      </c>
      <c r="J22" s="12" t="s">
        <v>182</v>
      </c>
    </row>
    <row r="23" customFormat="false" ht="15" hidden="false" customHeight="false" outlineLevel="0" collapsed="false">
      <c r="A23" s="14" t="n">
        <v>1</v>
      </c>
      <c r="B23" s="14" t="str">
        <f aca="false">IF('ĐỐI CHIẾU'!C6="","",'ĐỐI CHIẾU'!C6)</f>
        <v>PI04</v>
      </c>
      <c r="C23" s="14" t="str">
        <f aca="false">IF('ĐỐI CHIẾU'!D6="","",'ĐỐI CHIẾU'!D6)</f>
        <v>Sơn lót nội thất kháng kiềm cao cấp Imperia PI04</v>
      </c>
      <c r="D23" s="14" t="str">
        <f aca="false">IF('ĐỐI CHIẾU'!E6="","",'ĐỐI CHIẾU'!E6)</f>
        <v>18L</v>
      </c>
      <c r="E23" s="14" t="str">
        <f aca="false">IF('ĐỐI CHIẾU'!F6="","",'ĐỐI CHIẾU'!F6)</f>
        <v/>
      </c>
      <c r="F23" s="15" t="n">
        <f aca="false">IF('ĐỐI CHIẾU'!J6="","",'ĐỐI CHIẾU'!J6)</f>
        <v>207</v>
      </c>
      <c r="G23" s="15" t="n">
        <f aca="false">IF('ĐỐI CHIẾU'!K6="","",'ĐỐI CHIẾU'!K6)</f>
        <v>221</v>
      </c>
      <c r="H23" s="32" t="n">
        <f aca="false">IF('ĐỐI CHIẾU'!O6="","",'ĐỐI CHIẾU'!O6)</f>
        <v>14</v>
      </c>
      <c r="I23" s="15" t="n">
        <f aca="false">IF('ĐỐI CHIẾU'!P6="","",'ĐỐI CHIẾU'!P6)</f>
        <v>947240</v>
      </c>
      <c r="J23" s="15" t="n">
        <f aca="false">IF(I23="","",H23*I23)</f>
        <v>13261360</v>
      </c>
    </row>
    <row r="24" customFormat="false" ht="15" hidden="false" customHeight="false" outlineLevel="0" collapsed="false">
      <c r="A24" s="14" t="n">
        <v>2</v>
      </c>
      <c r="B24" s="14" t="str">
        <f aca="false">IF('ĐỐI CHIẾU'!C7="","",'ĐỐI CHIẾU'!C7)</f>
        <v>PE02</v>
      </c>
      <c r="C24" s="14" t="str">
        <f aca="false">IF('ĐỐI CHIẾU'!D7="","",'ĐỐI CHIẾU'!D7)</f>
        <v>Sơn lót ngoại thất kháng kiềm cao cấp Imperia PE02</v>
      </c>
      <c r="D24" s="14" t="str">
        <f aca="false">IF('ĐỐI CHIẾU'!E7="","",'ĐỐI CHIẾU'!E7)</f>
        <v>5L</v>
      </c>
      <c r="E24" s="14" t="str">
        <f aca="false">IF('ĐỐI CHIẾU'!F7="","",'ĐỐI CHIẾU'!F7)</f>
        <v/>
      </c>
      <c r="F24" s="15" t="n">
        <f aca="false">IF('ĐỐI CHIẾU'!J7="","",'ĐỐI CHIẾU'!J7)</f>
        <v>0</v>
      </c>
      <c r="G24" s="15" t="n">
        <f aca="false">IF('ĐỐI CHIẾU'!K7="","",'ĐỐI CHIẾU'!K7)</f>
        <v>60</v>
      </c>
      <c r="H24" s="32" t="n">
        <f aca="false">IF('ĐỐI CHIẾU'!O7="","",'ĐỐI CHIẾU'!O7)</f>
        <v>60</v>
      </c>
      <c r="I24" s="15" t="n">
        <f aca="false">IF('ĐỐI CHIẾU'!P7="","",'ĐỐI CHIẾU'!P7)</f>
        <v>420746</v>
      </c>
      <c r="J24" s="15" t="n">
        <f aca="false">IF(I24="","",H24*I24)</f>
        <v>25244760</v>
      </c>
    </row>
    <row r="25" customFormat="false" ht="15" hidden="false" customHeight="false" outlineLevel="0" collapsed="false">
      <c r="A25" s="14" t="n">
        <v>3</v>
      </c>
      <c r="B25" s="14" t="str">
        <f aca="false">IF('ĐỐI CHIẾU'!C8="","",'ĐỐI CHIẾU'!C8)</f>
        <v>PE02</v>
      </c>
      <c r="C25" s="14" t="str">
        <f aca="false">IF('ĐỐI CHIẾU'!D8="","",'ĐỐI CHIẾU'!D8)</f>
        <v>Sơn lót ngoại thất kháng kiềm cao cấp Imperia PE02</v>
      </c>
      <c r="D25" s="14" t="str">
        <f aca="false">IF('ĐỐI CHIẾU'!E8="","",'ĐỐI CHIẾU'!E8)</f>
        <v>18L</v>
      </c>
      <c r="E25" s="14" t="str">
        <f aca="false">IF('ĐỐI CHIẾU'!F8="","",'ĐỐI CHIẾU'!F8)</f>
        <v/>
      </c>
      <c r="F25" s="15" t="n">
        <f aca="false">IF('ĐỐI CHIẾU'!J8="","",'ĐỐI CHIẾU'!J8)</f>
        <v>217</v>
      </c>
      <c r="G25" s="15" t="n">
        <f aca="false">IF('ĐỐI CHIẾU'!K8="","",'ĐỐI CHIẾU'!K8)</f>
        <v>240</v>
      </c>
      <c r="H25" s="32" t="n">
        <f aca="false">IF('ĐỐI CHIẾU'!O8="","",'ĐỐI CHIẾU'!O8)</f>
        <v>23</v>
      </c>
      <c r="I25" s="15" t="n">
        <f aca="false">IF('ĐỐI CHIẾU'!P8="","",'ĐỐI CHIẾU'!P8)</f>
        <v>1163020</v>
      </c>
      <c r="J25" s="15" t="n">
        <f aca="false">IF(I25="","",H25*I25)</f>
        <v>26749460</v>
      </c>
    </row>
    <row r="26" customFormat="false" ht="15" hidden="false" customHeight="false" outlineLevel="0" collapsed="false">
      <c r="A26" s="14" t="n">
        <v>4</v>
      </c>
      <c r="B26" s="14" t="str">
        <f aca="false">IF('ĐỐI CHIẾU'!C12="","",'ĐỐI CHIẾU'!C12)</f>
        <v>SPE01</v>
      </c>
      <c r="C26" s="14" t="str">
        <f aca="false">IF('ĐỐI CHIẾU'!D12="","",'ĐỐI CHIẾU'!D12)</f>
        <v>Sơn lót ngoại thất kháng kiềm siêu cao cấp SPE01</v>
      </c>
      <c r="D26" s="14" t="str">
        <f aca="false">IF('ĐỐI CHIẾU'!E12="","",'ĐỐI CHIẾU'!E12)</f>
        <v>18L</v>
      </c>
      <c r="E26" s="14" t="str">
        <f aca="false">IF('ĐỐI CHIẾU'!F12="","",'ĐỐI CHIẾU'!F12)</f>
        <v/>
      </c>
      <c r="F26" s="15" t="n">
        <f aca="false">IF('ĐỐI CHIẾU'!J12="","",'ĐỐI CHIẾU'!J12)</f>
        <v>14</v>
      </c>
      <c r="G26" s="15" t="n">
        <f aca="false">IF('ĐỐI CHIẾU'!K12="","",'ĐỐI CHIẾU'!K12)</f>
        <v>35</v>
      </c>
      <c r="H26" s="32" t="n">
        <f aca="false">IF('ĐỐI CHIẾU'!O12="","",'ĐỐI CHIẾU'!O12)</f>
        <v>21</v>
      </c>
      <c r="I26" s="15" t="n">
        <f aca="false">IF('ĐỐI CHIẾU'!P12="","",'ĐỐI CHIẾU'!P12)</f>
        <v>1642549</v>
      </c>
      <c r="J26" s="15" t="n">
        <f aca="false">IF(I26="","",H26*I26)</f>
        <v>34493529</v>
      </c>
    </row>
    <row r="27" customFormat="false" ht="15" hidden="false" customHeight="false" outlineLevel="0" collapsed="false">
      <c r="A27" s="14" t="n">
        <v>5</v>
      </c>
      <c r="B27" s="14" t="str">
        <f aca="false">IF('ĐỐI CHIẾU'!C13="","",'ĐỐI CHIẾU'!C13)</f>
        <v>IL5</v>
      </c>
      <c r="C27" s="14" t="str">
        <f aca="false">IF('ĐỐI CHIẾU'!D13="","",'ĐỐI CHIẾU'!D13)</f>
        <v>Sơn lót nội thất kháng kiềm Silver IL5</v>
      </c>
      <c r="D27" s="14" t="str">
        <f aca="false">IF('ĐỐI CHIẾU'!E13="","",'ĐỐI CHIẾU'!E13)</f>
        <v>5L</v>
      </c>
      <c r="E27" s="14" t="str">
        <f aca="false">IF('ĐỐI CHIẾU'!F13="","",'ĐỐI CHIẾU'!F13)</f>
        <v/>
      </c>
      <c r="F27" s="15" t="n">
        <f aca="false">IF('ĐỐI CHIẾU'!J13="","",'ĐỐI CHIẾU'!J13)</f>
        <v>19</v>
      </c>
      <c r="G27" s="15" t="n">
        <f aca="false">IF('ĐỐI CHIẾU'!K13="","",'ĐỐI CHIẾU'!K13)</f>
        <v>76</v>
      </c>
      <c r="H27" s="32" t="n">
        <f aca="false">IF('ĐỐI CHIẾU'!O13="","",'ĐỐI CHIẾU'!O13)</f>
        <v>57</v>
      </c>
      <c r="I27" s="15" t="n">
        <f aca="false">IF('ĐỐI CHIẾU'!P13="","",'ĐỐI CHIẾU'!P13)</f>
        <v>230602</v>
      </c>
      <c r="J27" s="15" t="n">
        <f aca="false">IF(I27="","",H27*I27)</f>
        <v>13144314</v>
      </c>
    </row>
    <row r="28" customFormat="false" ht="15" hidden="false" customHeight="false" outlineLevel="0" collapsed="false">
      <c r="A28" s="14" t="n">
        <v>6</v>
      </c>
      <c r="B28" s="14" t="str">
        <f aca="false">IF('ĐỐI CHIẾU'!C14="","",'ĐỐI CHIẾU'!C14)</f>
        <v>IL5</v>
      </c>
      <c r="C28" s="14" t="str">
        <f aca="false">IF('ĐỐI CHIẾU'!D14="","",'ĐỐI CHIẾU'!D14)</f>
        <v>Sơn lót nội thất kháng kiềm Silver IL5</v>
      </c>
      <c r="D28" s="14" t="str">
        <f aca="false">IF('ĐỐI CHIẾU'!E14="","",'ĐỐI CHIẾU'!E14)</f>
        <v>18L</v>
      </c>
      <c r="E28" s="14" t="str">
        <f aca="false">IF('ĐỐI CHIẾU'!F14="","",'ĐỐI CHIẾU'!F14)</f>
        <v/>
      </c>
      <c r="F28" s="15" t="n">
        <f aca="false">IF('ĐỐI CHIẾU'!J14="","",'ĐỐI CHIẾU'!J14)</f>
        <v>52</v>
      </c>
      <c r="G28" s="15" t="n">
        <f aca="false">IF('ĐỐI CHIẾU'!K14="","",'ĐỐI CHIẾU'!K14)</f>
        <v>316</v>
      </c>
      <c r="H28" s="32" t="n">
        <f aca="false">IF('ĐỐI CHIẾU'!O14="","",'ĐỐI CHIẾU'!O14)</f>
        <v>264</v>
      </c>
      <c r="I28" s="15" t="n">
        <f aca="false">IF('ĐỐI CHIẾU'!P14="","",'ĐỐI CHIẾU'!P14)</f>
        <v>730646</v>
      </c>
      <c r="J28" s="15" t="n">
        <f aca="false">IF(I28="","",H28*I28)</f>
        <v>192890544</v>
      </c>
    </row>
    <row r="29" customFormat="false" ht="15" hidden="false" customHeight="false" outlineLevel="0" collapsed="false">
      <c r="A29" s="14" t="n">
        <v>7</v>
      </c>
      <c r="B29" s="14" t="str">
        <f aca="false">IF('ĐỐI CHIẾU'!C15="","",'ĐỐI CHIẾU'!C15)</f>
        <v>EL5</v>
      </c>
      <c r="C29" s="14" t="str">
        <f aca="false">IF('ĐỐI CHIẾU'!D15="","",'ĐỐI CHIẾU'!D15)</f>
        <v>Sơn lót ngoại thất kháng kiềm Silver EL5</v>
      </c>
      <c r="D29" s="14" t="str">
        <f aca="false">IF('ĐỐI CHIẾU'!E15="","",'ĐỐI CHIẾU'!E15)</f>
        <v>5L</v>
      </c>
      <c r="E29" s="14" t="str">
        <f aca="false">IF('ĐỐI CHIẾU'!F15="","",'ĐỐI CHIẾU'!F15)</f>
        <v/>
      </c>
      <c r="F29" s="15" t="n">
        <f aca="false">IF('ĐỐI CHIẾU'!J15="","",'ĐỐI CHIẾU'!J15)</f>
        <v>21</v>
      </c>
      <c r="G29" s="15" t="n">
        <f aca="false">IF('ĐỐI CHIẾU'!K15="","",'ĐỐI CHIẾU'!K15)</f>
        <v>72</v>
      </c>
      <c r="H29" s="32" t="n">
        <f aca="false">IF('ĐỐI CHIẾU'!O15="","",'ĐỐI CHIẾU'!O15)</f>
        <v>51</v>
      </c>
      <c r="I29" s="15" t="n">
        <f aca="false">IF('ĐỐI CHIẾU'!P15="","",'ĐỐI CHIẾU'!P15)</f>
        <v>288074</v>
      </c>
      <c r="J29" s="15" t="n">
        <f aca="false">IF(I29="","",H29*I29)</f>
        <v>14691774</v>
      </c>
    </row>
    <row r="30" customFormat="false" ht="15" hidden="false" customHeight="false" outlineLevel="0" collapsed="false">
      <c r="A30" s="14" t="n">
        <v>8</v>
      </c>
      <c r="B30" s="14" t="str">
        <f aca="false">IF('ĐỐI CHIẾU'!C16="","",'ĐỐI CHIẾU'!C16)</f>
        <v>EL5</v>
      </c>
      <c r="C30" s="14" t="str">
        <f aca="false">IF('ĐỐI CHIẾU'!D16="","",'ĐỐI CHIẾU'!D16)</f>
        <v>Sơn lót ngoại thất kháng kiềm Silver EL5</v>
      </c>
      <c r="D30" s="14" t="str">
        <f aca="false">IF('ĐỐI CHIẾU'!E16="","",'ĐỐI CHIẾU'!E16)</f>
        <v>18L</v>
      </c>
      <c r="E30" s="14" t="str">
        <f aca="false">IF('ĐỐI CHIẾU'!F16="","",'ĐỐI CHIẾU'!F16)</f>
        <v/>
      </c>
      <c r="F30" s="15" t="n">
        <f aca="false">IF('ĐỐI CHIẾU'!J16="","",'ĐỐI CHIẾU'!J16)</f>
        <v>53</v>
      </c>
      <c r="G30" s="15" t="n">
        <f aca="false">IF('ĐỐI CHIẾU'!K16="","",'ĐỐI CHIẾU'!K16)</f>
        <v>132</v>
      </c>
      <c r="H30" s="32" t="n">
        <f aca="false">IF('ĐỐI CHIẾU'!O16="","",'ĐỐI CHIẾU'!O16)</f>
        <v>79</v>
      </c>
      <c r="I30" s="15" t="n">
        <f aca="false">IF('ĐỐI CHIẾU'!P16="","",'ĐỐI CHIẾU'!P16)</f>
        <v>1032709</v>
      </c>
      <c r="J30" s="15" t="n">
        <f aca="false">IF(I30="","",H30*I30)</f>
        <v>81584011</v>
      </c>
    </row>
    <row r="31" customFormat="false" ht="15" hidden="false" customHeight="false" outlineLevel="0" collapsed="false">
      <c r="A31" s="14" t="n">
        <v>9</v>
      </c>
      <c r="B31" s="14" t="str">
        <f aca="false">IF('ĐỐI CHIẾU'!C17="","",'ĐỐI CHIẾU'!C17)</f>
        <v>IEW</v>
      </c>
      <c r="C31" s="14" t="str">
        <f aca="false">IF('ĐỐI CHIẾU'!D17="","",'ĐỐI CHIẾU'!D17)</f>
        <v>Sơn nội thất siêu trắng Imperia IEW</v>
      </c>
      <c r="D31" s="14" t="str">
        <f aca="false">IF('ĐỐI CHIẾU'!E17="","",'ĐỐI CHIẾU'!E17)</f>
        <v>5L</v>
      </c>
      <c r="E31" s="14" t="str">
        <f aca="false">IF('ĐỐI CHIẾU'!F17="","",'ĐỐI CHIẾU'!F17)</f>
        <v/>
      </c>
      <c r="F31" s="15" t="n">
        <f aca="false">IF('ĐỐI CHIẾU'!J17="","",'ĐỐI CHIẾU'!J17)</f>
        <v>17</v>
      </c>
      <c r="G31" s="15" t="n">
        <f aca="false">IF('ĐỐI CHIẾU'!K17="","",'ĐỐI CHIẾU'!K17)</f>
        <v>72</v>
      </c>
      <c r="H31" s="32" t="n">
        <f aca="false">IF('ĐỐI CHIẾU'!O17="","",'ĐỐI CHIẾU'!O17)</f>
        <v>55</v>
      </c>
      <c r="I31" s="15" t="n">
        <f aca="false">IF('ĐỐI CHIẾU'!P17="","",'ĐỐI CHIẾU'!P17)</f>
        <v>298196</v>
      </c>
      <c r="J31" s="15" t="n">
        <f aca="false">IF(I31="","",H31*I31)</f>
        <v>16400780</v>
      </c>
    </row>
    <row r="32" customFormat="false" ht="15" hidden="false" customHeight="false" outlineLevel="0" collapsed="false">
      <c r="A32" s="14" t="n">
        <v>10</v>
      </c>
      <c r="B32" s="14" t="str">
        <f aca="false">IF('ĐỐI CHIẾU'!C18="","",'ĐỐI CHIẾU'!C18)</f>
        <v>IEW</v>
      </c>
      <c r="C32" s="14" t="str">
        <f aca="false">IF('ĐỐI CHIẾU'!D18="","",'ĐỐI CHIẾU'!D18)</f>
        <v>Sơn nội thất siêu trắng Imperia IEW</v>
      </c>
      <c r="D32" s="14" t="str">
        <f aca="false">IF('ĐỐI CHIẾU'!E18="","",'ĐỐI CHIẾU'!E18)</f>
        <v>18L</v>
      </c>
      <c r="E32" s="14" t="str">
        <f aca="false">IF('ĐỐI CHIẾU'!F18="","",'ĐỐI CHIẾU'!F18)</f>
        <v/>
      </c>
      <c r="F32" s="15" t="n">
        <f aca="false">IF('ĐỐI CHIẾU'!J18="","",'ĐỐI CHIẾU'!J18)</f>
        <v>1</v>
      </c>
      <c r="G32" s="15" t="n">
        <f aca="false">IF('ĐỐI CHIẾU'!K18="","",'ĐỐI CHIẾU'!K18)</f>
        <v>99</v>
      </c>
      <c r="H32" s="32" t="n">
        <f aca="false">IF('ĐỐI CHIẾU'!O18="","",'ĐỐI CHIẾU'!O18)</f>
        <v>98</v>
      </c>
      <c r="I32" s="15" t="n">
        <f aca="false">IF('ĐỐI CHIẾU'!P18="","",'ĐỐI CHIẾU'!P18)</f>
        <v>832340</v>
      </c>
      <c r="J32" s="15" t="n">
        <f aca="false">IF(I32="","",H32*I32)</f>
        <v>81569320</v>
      </c>
    </row>
    <row r="33" customFormat="false" ht="15" hidden="false" customHeight="false" outlineLevel="0" collapsed="false">
      <c r="A33" s="14" t="n">
        <v>11</v>
      </c>
      <c r="B33" s="14" t="str">
        <f aca="false">IF('ĐỐI CHIẾU'!C19="","",'ĐỐI CHIẾU'!C19)</f>
        <v>ISI</v>
      </c>
      <c r="C33" s="14" t="str">
        <f aca="false">IF('ĐỐI CHIẾU'!D19="","",'ĐỐI CHIẾU'!D19)</f>
        <v>Sơn nội thất bền màu Silver ISI</v>
      </c>
      <c r="D33" s="14" t="str">
        <f aca="false">IF('ĐỐI CHIẾU'!E19="","",'ĐỐI CHIẾU'!E19)</f>
        <v>5L</v>
      </c>
      <c r="E33" s="14" t="str">
        <f aca="false">IF('ĐỐI CHIẾU'!F19="","",'ĐỐI CHIẾU'!F19)</f>
        <v>B1</v>
      </c>
      <c r="F33" s="15" t="n">
        <f aca="false">IF('ĐỐI CHIẾU'!J19="","",'ĐỐI CHIẾU'!J19)</f>
        <v>21</v>
      </c>
      <c r="G33" s="15" t="n">
        <f aca="false">IF('ĐỐI CHIẾU'!K19="","",'ĐỐI CHIẾU'!K19)</f>
        <v>46</v>
      </c>
      <c r="H33" s="32" t="n">
        <f aca="false">IF('ĐỐI CHIẾU'!O19="","",'ĐỐI CHIẾU'!O19)</f>
        <v>25</v>
      </c>
      <c r="I33" s="15" t="n">
        <f aca="false">IF('ĐỐI CHIẾU'!P19="","",'ĐỐI CHIẾU'!P19)</f>
        <v>181063</v>
      </c>
      <c r="J33" s="15" t="n">
        <f aca="false">IF(I33="","",H33*I33)</f>
        <v>4526575</v>
      </c>
    </row>
    <row r="34" customFormat="false" ht="15" hidden="false" customHeight="false" outlineLevel="0" collapsed="false">
      <c r="A34" s="14" t="n">
        <v>12</v>
      </c>
      <c r="B34" s="14" t="str">
        <f aca="false">IF('ĐỐI CHIẾU'!C20="","",'ĐỐI CHIẾU'!C20)</f>
        <v>ISI</v>
      </c>
      <c r="C34" s="14" t="str">
        <f aca="false">IF('ĐỐI CHIẾU'!D20="","",'ĐỐI CHIẾU'!D20)</f>
        <v>Sơn nội thất bền màu Silver ISI</v>
      </c>
      <c r="D34" s="14" t="str">
        <f aca="false">IF('ĐỐI CHIẾU'!E20="","",'ĐỐI CHIẾU'!E20)</f>
        <v>18L</v>
      </c>
      <c r="E34" s="14" t="str">
        <f aca="false">IF('ĐỐI CHIẾU'!F20="","",'ĐỐI CHIẾU'!F20)</f>
        <v>B1</v>
      </c>
      <c r="F34" s="15" t="n">
        <f aca="false">IF('ĐỐI CHIẾU'!J20="","",'ĐỐI CHIẾU'!J20)</f>
        <v>57</v>
      </c>
      <c r="G34" s="15" t="n">
        <f aca="false">IF('ĐỐI CHIẾU'!K20="","",'ĐỐI CHIẾU'!K20)</f>
        <v>202</v>
      </c>
      <c r="H34" s="32" t="n">
        <f aca="false">IF('ĐỐI CHIẾU'!O20="","",'ĐỐI CHIẾU'!O20)</f>
        <v>145</v>
      </c>
      <c r="I34" s="15" t="n">
        <f aca="false">IF('ĐỐI CHIẾU'!P20="","",'ĐỐI CHIẾU'!P20)</f>
        <v>714890</v>
      </c>
      <c r="J34" s="15" t="n">
        <f aca="false">IF(I34="","",H34*I34)</f>
        <v>103659050</v>
      </c>
    </row>
    <row r="35" customFormat="false" ht="15" hidden="false" customHeight="false" outlineLevel="0" collapsed="false">
      <c r="A35" s="14" t="n">
        <v>13</v>
      </c>
      <c r="B35" s="14" t="str">
        <f aca="false">IF('ĐỐI CHIẾU'!C21="","",'ĐỐI CHIẾU'!C21)</f>
        <v>ISG06</v>
      </c>
      <c r="C35" s="14" t="str">
        <f aca="false">IF('ĐỐI CHIẾU'!D21="","",'ĐỐI CHIẾU'!D21)</f>
        <v>Sơn nội thất cao cấp bóng mờ Imperia ISG06</v>
      </c>
      <c r="D35" s="14" t="str">
        <f aca="false">IF('ĐỐI CHIẾU'!E21="","",'ĐỐI CHIẾU'!E21)</f>
        <v>5L</v>
      </c>
      <c r="E35" s="14" t="str">
        <f aca="false">IF('ĐỐI CHIẾU'!F21="","",'ĐỐI CHIẾU'!F21)</f>
        <v>B1</v>
      </c>
      <c r="F35" s="15" t="n">
        <f aca="false">IF('ĐỐI CHIẾU'!J21="","",'ĐỐI CHIẾU'!J21)</f>
        <v>26</v>
      </c>
      <c r="G35" s="15" t="n">
        <f aca="false">IF('ĐỐI CHIẾU'!K21="","",'ĐỐI CHIẾU'!K21)</f>
        <v>108</v>
      </c>
      <c r="H35" s="32" t="n">
        <f aca="false">IF('ĐỐI CHIẾU'!O21="","",'ĐỐI CHIẾU'!O21)</f>
        <v>82</v>
      </c>
      <c r="I35" s="15" t="n">
        <f aca="false">IF('ĐỐI CHIẾU'!P21="","",'ĐỐI CHIẾU'!P21)</f>
        <v>440079</v>
      </c>
      <c r="J35" s="15" t="n">
        <f aca="false">IF(I35="","",H35*I35)</f>
        <v>36086478</v>
      </c>
    </row>
    <row r="36" customFormat="false" ht="15" hidden="false" customHeight="false" outlineLevel="0" collapsed="false">
      <c r="A36" s="14" t="n">
        <v>14</v>
      </c>
      <c r="B36" s="14" t="str">
        <f aca="false">IF('ĐỐI CHIẾU'!C22="","",'ĐỐI CHIẾU'!C22)</f>
        <v>ISG06</v>
      </c>
      <c r="C36" s="14" t="str">
        <f aca="false">IF('ĐỐI CHIẾU'!D22="","",'ĐỐI CHIẾU'!D22)</f>
        <v>Sơn nội thất cao cấp bóng mờ Imperia ISG06</v>
      </c>
      <c r="D36" s="14" t="str">
        <f aca="false">IF('ĐỐI CHIẾU'!E22="","",'ĐỐI CHIẾU'!E22)</f>
        <v>18L</v>
      </c>
      <c r="E36" s="14" t="str">
        <f aca="false">IF('ĐỐI CHIẾU'!F22="","",'ĐỐI CHIẾU'!F22)</f>
        <v>B1</v>
      </c>
      <c r="F36" s="15" t="n">
        <f aca="false">IF('ĐỐI CHIẾU'!J22="","",'ĐỐI CHIẾU'!J22)</f>
        <v>53</v>
      </c>
      <c r="G36" s="15" t="n">
        <f aca="false">IF('ĐỐI CHIẾU'!K22="","",'ĐỐI CHIẾU'!K22)</f>
        <v>172</v>
      </c>
      <c r="H36" s="32" t="n">
        <f aca="false">IF('ĐỐI CHIẾU'!O22="","",'ĐỐI CHIẾU'!O22)</f>
        <v>119</v>
      </c>
      <c r="I36" s="15" t="n">
        <f aca="false">IF('ĐỐI CHIẾU'!P22="","",'ĐỐI CHIẾU'!P22)</f>
        <v>1395975</v>
      </c>
      <c r="J36" s="15" t="n">
        <f aca="false">IF(I36="","",H36*I36)</f>
        <v>166121025</v>
      </c>
    </row>
    <row r="37" customFormat="false" ht="15" hidden="false" customHeight="false" outlineLevel="0" collapsed="false">
      <c r="A37" s="14" t="n">
        <v>15</v>
      </c>
      <c r="B37" s="14" t="str">
        <f aca="false">IF('ĐỐI CHIẾU'!C23="","",'ĐỐI CHIẾU'!C23)</f>
        <v>IG05</v>
      </c>
      <c r="C37" s="14" t="str">
        <f aca="false">IF('ĐỐI CHIẾU'!D23="","",'ĐỐI CHIẾU'!D23)</f>
        <v>Sơn nội thất siêu bóng cao cấp Imperia IG05</v>
      </c>
      <c r="D37" s="14" t="str">
        <f aca="false">IF('ĐỐI CHIẾU'!E23="","",'ĐỐI CHIẾU'!E23)</f>
        <v>5L</v>
      </c>
      <c r="E37" s="14" t="str">
        <f aca="false">IF('ĐỐI CHIẾU'!F23="","",'ĐỐI CHIẾU'!F23)</f>
        <v>B1</v>
      </c>
      <c r="F37" s="15" t="n">
        <f aca="false">IF('ĐỐI CHIẾU'!J23="","",'ĐỐI CHIẾU'!J23)</f>
        <v>94</v>
      </c>
      <c r="G37" s="15" t="n">
        <f aca="false">IF('ĐỐI CHIẾU'!K23="","",'ĐỐI CHIẾU'!K23)</f>
        <v>152</v>
      </c>
      <c r="H37" s="32" t="n">
        <f aca="false">IF('ĐỐI CHIẾU'!O23="","",'ĐỐI CHIẾU'!O23)</f>
        <v>58</v>
      </c>
      <c r="I37" s="15" t="n">
        <f aca="false">IF('ĐỐI CHIẾU'!P23="","",'ĐỐI CHIẾU'!P23)</f>
        <v>605192</v>
      </c>
      <c r="J37" s="15" t="n">
        <f aca="false">IF(I37="","",H37*I37)</f>
        <v>35101136</v>
      </c>
    </row>
    <row r="38" customFormat="false" ht="15" hidden="false" customHeight="false" outlineLevel="0" collapsed="false">
      <c r="A38" s="14" t="n">
        <v>16</v>
      </c>
      <c r="B38" s="14" t="str">
        <f aca="false">IF('ĐỐI CHIẾU'!C24="","",'ĐỐI CHIẾU'!C24)</f>
        <v>IG05</v>
      </c>
      <c r="C38" s="14" t="str">
        <f aca="false">IF('ĐỐI CHIẾU'!D24="","",'ĐỐI CHIẾU'!D24)</f>
        <v>Sơn nội thất siêu bóng cao cấp Imperia IG05</v>
      </c>
      <c r="D38" s="14" t="str">
        <f aca="false">IF('ĐỐI CHIẾU'!E24="","",'ĐỐI CHIẾU'!E24)</f>
        <v>18L</v>
      </c>
      <c r="E38" s="14" t="str">
        <f aca="false">IF('ĐỐI CHIẾU'!F24="","",'ĐỐI CHIẾU'!F24)</f>
        <v>B1</v>
      </c>
      <c r="F38" s="15" t="n">
        <f aca="false">IF('ĐỐI CHIẾU'!J24="","",'ĐỐI CHIẾU'!J24)</f>
        <v>102</v>
      </c>
      <c r="G38" s="15" t="n">
        <f aca="false">IF('ĐỐI CHIẾU'!K24="","",'ĐỐI CHIẾU'!K24)</f>
        <v>156</v>
      </c>
      <c r="H38" s="32" t="n">
        <f aca="false">IF('ĐỐI CHIẾU'!O24="","",'ĐỐI CHIẾU'!O24)</f>
        <v>54</v>
      </c>
      <c r="I38" s="15" t="n">
        <f aca="false">IF('ĐỐI CHIẾU'!P24="","",'ĐỐI CHIẾU'!P24)</f>
        <v>1599746</v>
      </c>
      <c r="J38" s="15" t="n">
        <f aca="false">IF(I38="","",H38*I38)</f>
        <v>86386284</v>
      </c>
    </row>
    <row r="39" customFormat="false" ht="15" hidden="false" customHeight="false" outlineLevel="0" collapsed="false">
      <c r="A39" s="14" t="n">
        <v>17</v>
      </c>
      <c r="B39" s="14" t="str">
        <f aca="false">IF('ĐỐI CHIẾU'!C27="","",'ĐỐI CHIẾU'!C27)</f>
        <v>DECO</v>
      </c>
      <c r="C39" s="14" t="str">
        <f aca="false">IF('ĐỐI CHIẾU'!D27="","",'ĐỐI CHIẾU'!D27)</f>
        <v>Sơn nội thất kinh tế Deco IDC</v>
      </c>
      <c r="D39" s="14" t="str">
        <f aca="false">IF('ĐỐI CHIẾU'!E27="","",'ĐỐI CHIẾU'!E27)</f>
        <v>18L</v>
      </c>
      <c r="E39" s="14" t="str">
        <f aca="false">IF('ĐỐI CHIẾU'!F27="","",'ĐỐI CHIẾU'!F27)</f>
        <v>B1</v>
      </c>
      <c r="F39" s="15" t="n">
        <f aca="false">IF('ĐỐI CHIẾU'!J27="","",'ĐỐI CHIẾU'!J27)</f>
        <v>61</v>
      </c>
      <c r="G39" s="15" t="n">
        <f aca="false">IF('ĐỐI CHIẾU'!K27="","",'ĐỐI CHIẾU'!K27)</f>
        <v>724</v>
      </c>
      <c r="H39" s="32" t="n">
        <f aca="false">IF('ĐỐI CHIẾU'!O27="","",'ĐỐI CHIẾU'!O27)</f>
        <v>663</v>
      </c>
      <c r="I39" s="15" t="n">
        <f aca="false">IF('ĐỐI CHIẾU'!P27="","",'ĐỐI CHIẾU'!P27)</f>
        <v>325693</v>
      </c>
      <c r="J39" s="15" t="n">
        <f aca="false">IF(I39="","",H39*I39)</f>
        <v>215934459</v>
      </c>
    </row>
    <row r="40" customFormat="false" ht="15" hidden="false" customHeight="false" outlineLevel="0" collapsed="false">
      <c r="A40" s="14" t="n">
        <v>18</v>
      </c>
      <c r="B40" s="14" t="str">
        <f aca="false">IF('ĐỐI CHIẾU'!C28="","",'ĐỐI CHIẾU'!C28)</f>
        <v>ICL</v>
      </c>
      <c r="C40" s="14" t="str">
        <f aca="false">IF('ĐỐI CHIẾU'!D28="","",'ĐỐI CHIẾU'!D28)</f>
        <v>Sơn phủ nội thất bóng cao cấp ICL</v>
      </c>
      <c r="D40" s="14" t="str">
        <f aca="false">IF('ĐỐI CHIẾU'!E28="","",'ĐỐI CHIẾU'!E28)</f>
        <v>1L</v>
      </c>
      <c r="E40" s="14" t="str">
        <f aca="false">IF('ĐỐI CHIẾU'!F28="","",'ĐỐI CHIẾU'!F28)</f>
        <v/>
      </c>
      <c r="F40" s="15" t="n">
        <f aca="false">IF('ĐỐI CHIẾU'!J28="","",'ĐỐI CHIẾU'!J28)</f>
        <v>18</v>
      </c>
      <c r="G40" s="15" t="n">
        <f aca="false">IF('ĐỐI CHIẾU'!K28="","",'ĐỐI CHIẾU'!K28)</f>
        <v>120</v>
      </c>
      <c r="H40" s="32" t="n">
        <f aca="false">IF('ĐỐI CHIẾU'!O28="","",'ĐỐI CHIẾU'!O28)</f>
        <v>102</v>
      </c>
      <c r="I40" s="15" t="n">
        <f aca="false">IF('ĐỐI CHIẾU'!P28="","",'ĐỐI CHIẾU'!P28)</f>
        <v>162365</v>
      </c>
      <c r="J40" s="15" t="n">
        <f aca="false">IF(I40="","",H40*I40)</f>
        <v>16561230</v>
      </c>
    </row>
    <row r="41" customFormat="false" ht="15" hidden="false" customHeight="false" outlineLevel="0" collapsed="false">
      <c r="A41" s="14" t="n">
        <v>19</v>
      </c>
      <c r="B41" s="14" t="str">
        <f aca="false">IF('ĐỐI CHIẾU'!C29="","",'ĐỐI CHIẾU'!C29)</f>
        <v>ESI</v>
      </c>
      <c r="C41" s="14" t="str">
        <f aca="false">IF('ĐỐI CHIẾU'!D29="","",'ĐỐI CHIẾU'!D29)</f>
        <v>Sơn ngoại thất bền màu Silver ESI</v>
      </c>
      <c r="D41" s="14" t="str">
        <f aca="false">IF('ĐỐI CHIẾU'!E29="","",'ĐỐI CHIẾU'!E29)</f>
        <v>5L</v>
      </c>
      <c r="E41" s="14" t="str">
        <f aca="false">IF('ĐỐI CHIẾU'!F29="","",'ĐỐI CHIẾU'!F29)</f>
        <v>B1</v>
      </c>
      <c r="F41" s="15" t="n">
        <f aca="false">IF('ĐỐI CHIẾU'!J29="","",'ĐỐI CHIẾU'!J29)</f>
        <v>27</v>
      </c>
      <c r="G41" s="15" t="n">
        <f aca="false">IF('ĐỐI CHIẾU'!K29="","",'ĐỐI CHIẾU'!K29)</f>
        <v>62</v>
      </c>
      <c r="H41" s="32" t="n">
        <f aca="false">IF('ĐỐI CHIẾU'!O29="","",'ĐỐI CHIẾU'!O29)</f>
        <v>35</v>
      </c>
      <c r="I41" s="15" t="n">
        <f aca="false">IF('ĐỐI CHIẾU'!P29="","",'ĐỐI CHIẾU'!P29)</f>
        <v>278872</v>
      </c>
      <c r="J41" s="15" t="n">
        <f aca="false">IF(I41="","",H41*I41)</f>
        <v>9760520</v>
      </c>
    </row>
    <row r="42" customFormat="false" ht="15" hidden="false" customHeight="false" outlineLevel="0" collapsed="false">
      <c r="A42" s="14" t="n">
        <v>20</v>
      </c>
      <c r="B42" s="14" t="str">
        <f aca="false">IF('ĐỐI CHIẾU'!C30="","",'ĐỐI CHIẾU'!C30)</f>
        <v>ESI</v>
      </c>
      <c r="C42" s="14" t="str">
        <f aca="false">IF('ĐỐI CHIẾU'!D30="","",'ĐỐI CHIẾU'!D30)</f>
        <v>Sơn ngoại thất bền màu Silver ESI</v>
      </c>
      <c r="D42" s="14" t="str">
        <f aca="false">IF('ĐỐI CHIẾU'!E30="","",'ĐỐI CHIẾU'!E30)</f>
        <v>5L</v>
      </c>
      <c r="E42" s="14" t="str">
        <f aca="false">IF('ĐỐI CHIẾU'!F30="","",'ĐỐI CHIẾU'!F30)</f>
        <v>B2</v>
      </c>
      <c r="F42" s="15" t="n">
        <f aca="false">IF('ĐỐI CHIẾU'!J30="","",'ĐỐI CHIẾU'!J30)</f>
        <v>0</v>
      </c>
      <c r="G42" s="15" t="n">
        <f aca="false">IF('ĐỐI CHIẾU'!K30="","",'ĐỐI CHIẾU'!K30)</f>
        <v>16</v>
      </c>
      <c r="H42" s="32" t="n">
        <f aca="false">IF('ĐỐI CHIẾU'!O30="","",'ĐỐI CHIẾU'!O30)</f>
        <v>16</v>
      </c>
      <c r="I42" s="15" t="n">
        <f aca="false">IF('ĐỐI CHIẾU'!P30="","",'ĐỐI CHIẾU'!P30)</f>
        <v>299792</v>
      </c>
      <c r="J42" s="15" t="n">
        <f aca="false">IF(I42="","",H42*I42)</f>
        <v>4796672</v>
      </c>
    </row>
    <row r="43" customFormat="false" ht="15" hidden="false" customHeight="false" outlineLevel="0" collapsed="false">
      <c r="A43" s="14" t="n">
        <v>21</v>
      </c>
      <c r="B43" s="14" t="str">
        <f aca="false">IF('ĐỐI CHIẾU'!C32="","",'ĐỐI CHIẾU'!C32)</f>
        <v>ESG10</v>
      </c>
      <c r="C43" s="14" t="str">
        <f aca="false">IF('ĐỐI CHIẾU'!D32="","",'ĐỐI CHIẾU'!D32)</f>
        <v>Sơn ngoại thất cao cấp bóng mờ Imperia ESG10</v>
      </c>
      <c r="D43" s="14" t="str">
        <f aca="false">IF('ĐỐI CHIẾU'!E32="","",'ĐỐI CHIẾU'!E32)</f>
        <v>1L</v>
      </c>
      <c r="E43" s="14" t="str">
        <f aca="false">IF('ĐỐI CHIẾU'!F32="","",'ĐỐI CHIẾU'!F32)</f>
        <v>B1</v>
      </c>
      <c r="F43" s="15" t="n">
        <f aca="false">IF('ĐỐI CHIẾU'!J32="","",'ĐỐI CHIẾU'!J32)</f>
        <v>68</v>
      </c>
      <c r="G43" s="15" t="n">
        <f aca="false">IF('ĐỐI CHIẾU'!K32="","",'ĐỐI CHIẾU'!K32)</f>
        <v>85</v>
      </c>
      <c r="H43" s="32" t="n">
        <f aca="false">IF('ĐỐI CHIẾU'!O32="","",'ĐỐI CHIẾU'!O32)</f>
        <v>17</v>
      </c>
      <c r="I43" s="15" t="n">
        <f aca="false">IF('ĐỐI CHIẾU'!P32="","",'ĐỐI CHIẾU'!P32)</f>
        <v>129341</v>
      </c>
      <c r="J43" s="15" t="n">
        <f aca="false">IF(I43="","",H43*I43)</f>
        <v>2198797</v>
      </c>
    </row>
    <row r="44" customFormat="false" ht="15" hidden="false" customHeight="false" outlineLevel="0" collapsed="false">
      <c r="A44" s="14" t="n">
        <v>22</v>
      </c>
      <c r="B44" s="14" t="str">
        <f aca="false">IF('ĐỐI CHIẾU'!C34="","",'ĐỐI CHIẾU'!C34)</f>
        <v>ESG10</v>
      </c>
      <c r="C44" s="14" t="str">
        <f aca="false">IF('ĐỐI CHIẾU'!D34="","",'ĐỐI CHIẾU'!D34)</f>
        <v>Sơn ngoại thất cao cấp bóng mờ Imperia ESG10</v>
      </c>
      <c r="D44" s="14" t="str">
        <f aca="false">IF('ĐỐI CHIẾU'!E34="","",'ĐỐI CHIẾU'!E34)</f>
        <v>1L</v>
      </c>
      <c r="E44" s="14" t="str">
        <f aca="false">IF('ĐỐI CHIẾU'!F34="","",'ĐỐI CHIẾU'!F34)</f>
        <v>B3</v>
      </c>
      <c r="F44" s="15" t="n">
        <f aca="false">IF('ĐỐI CHIẾU'!J34="","",'ĐỐI CHIẾU'!J34)</f>
        <v>44</v>
      </c>
      <c r="G44" s="15" t="n">
        <f aca="false">IF('ĐỐI CHIẾU'!K34="","",'ĐỐI CHIẾU'!K34)</f>
        <v>60</v>
      </c>
      <c r="H44" s="32" t="n">
        <f aca="false">IF('ĐỐI CHIẾU'!O34="","",'ĐỐI CHIẾU'!O34)</f>
        <v>16</v>
      </c>
      <c r="I44" s="15" t="n">
        <f aca="false">IF('ĐỐI CHIẾU'!P34="","",'ĐỐI CHIẾU'!P34)</f>
        <v>121898</v>
      </c>
      <c r="J44" s="15" t="n">
        <f aca="false">IF(I44="","",H44*I44)</f>
        <v>1950368</v>
      </c>
    </row>
    <row r="45" customFormat="false" ht="15" hidden="false" customHeight="false" outlineLevel="0" collapsed="false">
      <c r="A45" s="14" t="n">
        <v>23</v>
      </c>
      <c r="B45" s="14" t="str">
        <f aca="false">IF('ĐỐI CHIẾU'!C35="","",'ĐỐI CHIẾU'!C35)</f>
        <v>ESG10</v>
      </c>
      <c r="C45" s="14" t="str">
        <f aca="false">IF('ĐỐI CHIẾU'!D35="","",'ĐỐI CHIẾU'!D35)</f>
        <v>Sơn ngoại thất cao cấp bóng mờ Imperia ESG10</v>
      </c>
      <c r="D45" s="14" t="str">
        <f aca="false">IF('ĐỐI CHIẾU'!E35="","",'ĐỐI CHIẾU'!E35)</f>
        <v>1L</v>
      </c>
      <c r="E45" s="14" t="str">
        <f aca="false">IF('ĐỐI CHIẾU'!F35="","",'ĐỐI CHIẾU'!F35)</f>
        <v>B4</v>
      </c>
      <c r="F45" s="15" t="n">
        <f aca="false">IF('ĐỐI CHIẾU'!J35="","",'ĐỐI CHIẾU'!J35)</f>
        <v>32</v>
      </c>
      <c r="G45" s="15" t="n">
        <f aca="false">IF('ĐỐI CHIẾU'!K35="","",'ĐỐI CHIẾU'!K35)</f>
        <v>44</v>
      </c>
      <c r="H45" s="32" t="n">
        <f aca="false">IF('ĐỐI CHIẾU'!O35="","",'ĐỐI CHIẾU'!O35)</f>
        <v>12</v>
      </c>
      <c r="I45" s="15" t="n">
        <f aca="false">IF('ĐỐI CHIẾU'!P35="","",'ĐỐI CHIẾU'!P35)</f>
        <v>123426</v>
      </c>
      <c r="J45" s="15" t="n">
        <f aca="false">IF(I45="","",H45*I45)</f>
        <v>1481112</v>
      </c>
    </row>
    <row r="46" customFormat="false" ht="15" hidden="false" customHeight="false" outlineLevel="0" collapsed="false">
      <c r="A46" s="14" t="n">
        <v>24</v>
      </c>
      <c r="B46" s="14" t="str">
        <f aca="false">IF('ĐỐI CHIẾU'!C36="","",'ĐỐI CHIẾU'!C36)</f>
        <v>ESG10</v>
      </c>
      <c r="C46" s="14" t="str">
        <f aca="false">IF('ĐỐI CHIẾU'!D36="","",'ĐỐI CHIẾU'!D36)</f>
        <v>Sơn ngoại thất cao cấp bóng mờ Imperia ESG10</v>
      </c>
      <c r="D46" s="14" t="str">
        <f aca="false">IF('ĐỐI CHIẾU'!E36="","",'ĐỐI CHIẾU'!E36)</f>
        <v>5L</v>
      </c>
      <c r="E46" s="14" t="str">
        <f aca="false">IF('ĐỐI CHIẾU'!F36="","",'ĐỐI CHIẾU'!F36)</f>
        <v>B1</v>
      </c>
      <c r="F46" s="15" t="n">
        <f aca="false">IF('ĐỐI CHIẾU'!J36="","",'ĐỐI CHIẾU'!J36)</f>
        <v>23</v>
      </c>
      <c r="G46" s="15" t="n">
        <f aca="false">IF('ĐỐI CHIẾU'!K36="","",'ĐỐI CHIẾU'!K36)</f>
        <v>64</v>
      </c>
      <c r="H46" s="32" t="n">
        <f aca="false">IF('ĐỐI CHIẾU'!O36="","",'ĐỐI CHIẾU'!O36)</f>
        <v>41</v>
      </c>
      <c r="I46" s="15" t="n">
        <f aca="false">IF('ĐỐI CHIẾU'!P36="","",'ĐỐI CHIẾU'!P36)</f>
        <v>526458</v>
      </c>
      <c r="J46" s="15" t="n">
        <f aca="false">IF(I46="","",H46*I46)</f>
        <v>21584778</v>
      </c>
    </row>
    <row r="47" customFormat="false" ht="15" hidden="false" customHeight="false" outlineLevel="0" collapsed="false">
      <c r="A47" s="14" t="n">
        <v>25</v>
      </c>
      <c r="B47" s="14" t="str">
        <f aca="false">IF('ĐỐI CHIẾU'!C37="","",'ĐỐI CHIẾU'!C37)</f>
        <v>ESG10</v>
      </c>
      <c r="C47" s="14" t="str">
        <f aca="false">IF('ĐỐI CHIẾU'!D37="","",'ĐỐI CHIẾU'!D37)</f>
        <v>Sơn ngoại thất cao cấp bóng mờ Imperia ESG10</v>
      </c>
      <c r="D47" s="14" t="str">
        <f aca="false">IF('ĐỐI CHIẾU'!E37="","",'ĐỐI CHIẾU'!E37)</f>
        <v>5L</v>
      </c>
      <c r="E47" s="14" t="str">
        <f aca="false">IF('ĐỐI CHIẾU'!F37="","",'ĐỐI CHIẾU'!F37)</f>
        <v>B2</v>
      </c>
      <c r="F47" s="15" t="n">
        <f aca="false">IF('ĐỐI CHIẾU'!J37="","",'ĐỐI CHIẾU'!J37)</f>
        <v>28</v>
      </c>
      <c r="G47" s="15" t="n">
        <f aca="false">IF('ĐỐI CHIẾU'!K37="","",'ĐỐI CHIẾU'!K37)</f>
        <v>44</v>
      </c>
      <c r="H47" s="32" t="n">
        <f aca="false">IF('ĐỐI CHIẾU'!O37="","",'ĐỐI CHIẾU'!O37)</f>
        <v>16</v>
      </c>
      <c r="I47" s="15" t="n">
        <f aca="false">IF('ĐỐI CHIẾU'!P37="","",'ĐỐI CHIẾU'!P37)</f>
        <v>468097</v>
      </c>
      <c r="J47" s="15" t="n">
        <f aca="false">IF(I47="","",H47*I47)</f>
        <v>7489552</v>
      </c>
    </row>
    <row r="48" customFormat="false" ht="15" hidden="false" customHeight="false" outlineLevel="0" collapsed="false">
      <c r="A48" s="14" t="n">
        <v>26</v>
      </c>
      <c r="B48" s="14" t="str">
        <f aca="false">IF('ĐỐI CHIẾU'!C38="","",'ĐỐI CHIẾU'!C38)</f>
        <v>ESG10</v>
      </c>
      <c r="C48" s="14" t="str">
        <f aca="false">IF('ĐỐI CHIẾU'!D38="","",'ĐỐI CHIẾU'!D38)</f>
        <v>Sơn ngoại thất cao cấp bóng mờ Imperia ESG10</v>
      </c>
      <c r="D48" s="14" t="str">
        <f aca="false">IF('ĐỐI CHIẾU'!E38="","",'ĐỐI CHIẾU'!E38)</f>
        <v>5L</v>
      </c>
      <c r="E48" s="14" t="str">
        <f aca="false">IF('ĐỐI CHIẾU'!F38="","",'ĐỐI CHIẾU'!F38)</f>
        <v>B3</v>
      </c>
      <c r="F48" s="15" t="n">
        <f aca="false">IF('ĐỐI CHIẾU'!J38="","",'ĐỐI CHIẾU'!J38)</f>
        <v>30</v>
      </c>
      <c r="G48" s="15" t="n">
        <f aca="false">IF('ĐỐI CHIẾU'!K38="","",'ĐỐI CHIẾU'!K38)</f>
        <v>56</v>
      </c>
      <c r="H48" s="32" t="n">
        <f aca="false">IF('ĐỐI CHIẾU'!O38="","",'ĐỐI CHIẾU'!O38)</f>
        <v>26</v>
      </c>
      <c r="I48" s="15" t="n">
        <f aca="false">IF('ĐỐI CHIẾU'!P38="","",'ĐỐI CHIẾU'!P38)</f>
        <v>461819</v>
      </c>
      <c r="J48" s="15" t="n">
        <f aca="false">IF(I48="","",H48*I48)</f>
        <v>12007294</v>
      </c>
    </row>
    <row r="49" customFormat="false" ht="15" hidden="false" customHeight="false" outlineLevel="0" collapsed="false">
      <c r="A49" s="14" t="n">
        <v>27</v>
      </c>
      <c r="B49" s="14" t="str">
        <f aca="false">IF('ĐỐI CHIẾU'!C39="","",'ĐỐI CHIẾU'!C39)</f>
        <v>ESG10</v>
      </c>
      <c r="C49" s="14" t="str">
        <f aca="false">IF('ĐỐI CHIẾU'!D39="","",'ĐỐI CHIẾU'!D39)</f>
        <v>Sơn ngoại thất cao cấp bóng mờ Imperia ESG10</v>
      </c>
      <c r="D49" s="14" t="str">
        <f aca="false">IF('ĐỐI CHIẾU'!E39="","",'ĐỐI CHIẾU'!E39)</f>
        <v>5L</v>
      </c>
      <c r="E49" s="14" t="str">
        <f aca="false">IF('ĐỐI CHIẾU'!F39="","",'ĐỐI CHIẾU'!F39)</f>
        <v>B4</v>
      </c>
      <c r="F49" s="15" t="n">
        <f aca="false">IF('ĐỐI CHIẾU'!J39="","",'ĐỐI CHIẾU'!J39)</f>
        <v>14</v>
      </c>
      <c r="G49" s="15" t="n">
        <f aca="false">IF('ĐỐI CHIẾU'!K39="","",'ĐỐI CHIẾU'!K39)</f>
        <v>56</v>
      </c>
      <c r="H49" s="32" t="n">
        <f aca="false">IF('ĐỐI CHIẾU'!O39="","",'ĐỐI CHIẾU'!O39)</f>
        <v>42</v>
      </c>
      <c r="I49" s="15" t="n">
        <f aca="false">IF('ĐỐI CHIẾU'!P39="","",'ĐỐI CHIẾU'!P39)</f>
        <v>505278</v>
      </c>
      <c r="J49" s="15" t="n">
        <f aca="false">IF(I49="","",H49*I49)</f>
        <v>21221676</v>
      </c>
    </row>
    <row r="50" customFormat="false" ht="15" hidden="false" customHeight="false" outlineLevel="0" collapsed="false">
      <c r="A50" s="14" t="n">
        <v>28</v>
      </c>
      <c r="B50" s="14" t="str">
        <f aca="false">IF('ĐỐI CHIẾU'!C40="","",'ĐỐI CHIẾU'!C40)</f>
        <v>ESG10</v>
      </c>
      <c r="C50" s="14" t="str">
        <f aca="false">IF('ĐỐI CHIẾU'!D40="","",'ĐỐI CHIẾU'!D40)</f>
        <v>Sơn ngoại thất cao cấp bóng mờ Imperia ESG10</v>
      </c>
      <c r="D50" s="14" t="str">
        <f aca="false">IF('ĐỐI CHIẾU'!E40="","",'ĐỐI CHIẾU'!E40)</f>
        <v>18L</v>
      </c>
      <c r="E50" s="14" t="str">
        <f aca="false">IF('ĐỐI CHIẾU'!F40="","",'ĐỐI CHIẾU'!F40)</f>
        <v>B1</v>
      </c>
      <c r="F50" s="15" t="n">
        <f aca="false">IF('ĐỐI CHIẾU'!J40="","",'ĐỐI CHIẾU'!J40)</f>
        <v>20</v>
      </c>
      <c r="G50" s="15" t="n">
        <f aca="false">IF('ĐỐI CHIẾU'!K40="","",'ĐỐI CHIẾU'!K40)</f>
        <v>30</v>
      </c>
      <c r="H50" s="32" t="n">
        <f aca="false">IF('ĐỐI CHIẾU'!O40="","",'ĐỐI CHIẾU'!O40)</f>
        <v>10</v>
      </c>
      <c r="I50" s="15" t="n">
        <f aca="false">IF('ĐỐI CHIẾU'!P40="","",'ĐỐI CHIẾU'!P40)</f>
        <v>1753540</v>
      </c>
      <c r="J50" s="15" t="n">
        <f aca="false">IF(I50="","",H50*I50)</f>
        <v>17535400</v>
      </c>
    </row>
    <row r="51" customFormat="false" ht="15" hidden="false" customHeight="false" outlineLevel="0" collapsed="false">
      <c r="A51" s="14" t="n">
        <v>29</v>
      </c>
      <c r="B51" s="14" t="str">
        <f aca="false">IF('ĐỐI CHIẾU'!C41="","",'ĐỐI CHIẾU'!C41)</f>
        <v>EG09</v>
      </c>
      <c r="C51" s="14" t="str">
        <f aca="false">IF('ĐỐI CHIẾU'!D41="","",'ĐỐI CHIẾU'!D41)</f>
        <v>Sơn ngoại thất siêu bóng cao cấp Imperia EG09</v>
      </c>
      <c r="D51" s="14" t="str">
        <f aca="false">IF('ĐỐI CHIẾU'!E41="","",'ĐỐI CHIẾU'!E41)</f>
        <v>1L</v>
      </c>
      <c r="E51" s="14" t="str">
        <f aca="false">IF('ĐỐI CHIẾU'!F41="","",'ĐỐI CHIẾU'!F41)</f>
        <v>B1</v>
      </c>
      <c r="F51" s="15" t="n">
        <f aca="false">IF('ĐỐI CHIẾU'!J41="","",'ĐỐI CHIẾU'!J41)</f>
        <v>30</v>
      </c>
      <c r="G51" s="15" t="n">
        <f aca="false">IF('ĐỐI CHIẾU'!K41="","",'ĐỐI CHIẾU'!K41)</f>
        <v>103</v>
      </c>
      <c r="H51" s="32" t="n">
        <f aca="false">IF('ĐỐI CHIẾU'!O41="","",'ĐỐI CHIẾU'!O41)</f>
        <v>73</v>
      </c>
      <c r="I51" s="15" t="n">
        <f aca="false">IF('ĐỐI CHIẾU'!P41="","",'ĐỐI CHIẾU'!P41)</f>
        <v>147432</v>
      </c>
      <c r="J51" s="15" t="n">
        <f aca="false">IF(I51="","",H51*I51)</f>
        <v>10762536</v>
      </c>
    </row>
    <row r="52" customFormat="false" ht="15" hidden="false" customHeight="false" outlineLevel="0" collapsed="false">
      <c r="A52" s="14" t="n">
        <v>30</v>
      </c>
      <c r="B52" s="14" t="str">
        <f aca="false">IF('ĐỐI CHIẾU'!C42="","",'ĐỐI CHIẾU'!C42)</f>
        <v>EG09</v>
      </c>
      <c r="C52" s="14" t="str">
        <f aca="false">IF('ĐỐI CHIẾU'!D42="","",'ĐỐI CHIẾU'!D42)</f>
        <v>Sơn ngoại thất siêu bóng cao cấp Imperia EG09</v>
      </c>
      <c r="D52" s="14" t="str">
        <f aca="false">IF('ĐỐI CHIẾU'!E42="","",'ĐỐI CHIẾU'!E42)</f>
        <v>1L</v>
      </c>
      <c r="E52" s="14" t="str">
        <f aca="false">IF('ĐỐI CHIẾU'!F42="","",'ĐỐI CHIẾU'!F42)</f>
        <v>B2</v>
      </c>
      <c r="F52" s="15" t="n">
        <f aca="false">IF('ĐỐI CHIẾU'!J42="","",'ĐỐI CHIẾU'!J42)</f>
        <v>36</v>
      </c>
      <c r="G52" s="15" t="n">
        <f aca="false">IF('ĐỐI CHIẾU'!K42="","",'ĐỐI CHIẾU'!K42)</f>
        <v>86</v>
      </c>
      <c r="H52" s="32" t="n">
        <f aca="false">IF('ĐỐI CHIẾU'!O42="","",'ĐỐI CHIẾU'!O42)</f>
        <v>50</v>
      </c>
      <c r="I52" s="15" t="n">
        <f aca="false">IF('ĐỐI CHIẾU'!P42="","",'ĐỐI CHIẾU'!P42)</f>
        <v>137346</v>
      </c>
      <c r="J52" s="15" t="n">
        <f aca="false">IF(I52="","",H52*I52)</f>
        <v>6867300</v>
      </c>
    </row>
    <row r="53" customFormat="false" ht="15" hidden="false" customHeight="false" outlineLevel="0" collapsed="false">
      <c r="A53" s="14" t="n">
        <v>31</v>
      </c>
      <c r="B53" s="14" t="str">
        <f aca="false">IF('ĐỐI CHIẾU'!C43="","",'ĐỐI CHIẾU'!C43)</f>
        <v>EG09</v>
      </c>
      <c r="C53" s="14" t="str">
        <f aca="false">IF('ĐỐI CHIẾU'!D43="","",'ĐỐI CHIẾU'!D43)</f>
        <v>Sơn ngoại thất siêu bóng cao cấp Imperia EG09</v>
      </c>
      <c r="D53" s="14" t="str">
        <f aca="false">IF('ĐỐI CHIẾU'!E43="","",'ĐỐI CHIẾU'!E43)</f>
        <v>1L</v>
      </c>
      <c r="E53" s="14" t="str">
        <f aca="false">IF('ĐỐI CHIẾU'!F43="","",'ĐỐI CHIẾU'!F43)</f>
        <v>B3</v>
      </c>
      <c r="F53" s="15" t="n">
        <f aca="false">IF('ĐỐI CHIẾU'!J43="","",'ĐỐI CHIẾU'!J43)</f>
        <v>34</v>
      </c>
      <c r="G53" s="15" t="n">
        <f aca="false">IF('ĐỐI CHIẾU'!K43="","",'ĐỐI CHIẾU'!K43)</f>
        <v>110</v>
      </c>
      <c r="H53" s="32" t="n">
        <f aca="false">IF('ĐỐI CHIẾU'!O43="","",'ĐỐI CHIẾU'!O43)</f>
        <v>76</v>
      </c>
      <c r="I53" s="15" t="n">
        <f aca="false">IF('ĐỐI CHIẾU'!P43="","",'ĐỐI CHIẾU'!P43)</f>
        <v>138328</v>
      </c>
      <c r="J53" s="15" t="n">
        <f aca="false">IF(I53="","",H53*I53)</f>
        <v>10512928</v>
      </c>
    </row>
    <row r="54" customFormat="false" ht="15" hidden="false" customHeight="false" outlineLevel="0" collapsed="false">
      <c r="A54" s="14" t="n">
        <v>32</v>
      </c>
      <c r="B54" s="14" t="str">
        <f aca="false">IF('ĐỐI CHIẾU'!C44="","",'ĐỐI CHIẾU'!C44)</f>
        <v>EG09</v>
      </c>
      <c r="C54" s="14" t="str">
        <f aca="false">IF('ĐỐI CHIẾU'!D44="","",'ĐỐI CHIẾU'!D44)</f>
        <v>Sơn ngoại thất siêu bóng cao cấp Imperia EG09</v>
      </c>
      <c r="D54" s="14" t="str">
        <f aca="false">IF('ĐỐI CHIẾU'!E44="","",'ĐỐI CHIẾU'!E44)</f>
        <v>1L</v>
      </c>
      <c r="E54" s="14" t="str">
        <f aca="false">IF('ĐỐI CHIẾU'!F44="","",'ĐỐI CHIẾU'!F44)</f>
        <v>B4</v>
      </c>
      <c r="F54" s="15" t="n">
        <f aca="false">IF('ĐỐI CHIẾU'!J44="","",'ĐỐI CHIẾU'!J44)</f>
        <v>37</v>
      </c>
      <c r="G54" s="15" t="n">
        <f aca="false">IF('ĐỐI CHIẾU'!K44="","",'ĐỐI CHIẾU'!K44)</f>
        <v>96</v>
      </c>
      <c r="H54" s="32" t="n">
        <f aca="false">IF('ĐỐI CHIẾU'!O44="","",'ĐỐI CHIẾU'!O44)</f>
        <v>59</v>
      </c>
      <c r="I54" s="15" t="n">
        <f aca="false">IF('ĐỐI CHIẾU'!P44="","",'ĐỐI CHIẾU'!P44)</f>
        <v>146016</v>
      </c>
      <c r="J54" s="15" t="n">
        <f aca="false">IF(I54="","",H54*I54)</f>
        <v>8614944</v>
      </c>
    </row>
    <row r="55" customFormat="false" ht="15" hidden="false" customHeight="false" outlineLevel="0" collapsed="false">
      <c r="A55" s="14" t="n">
        <v>33</v>
      </c>
      <c r="B55" s="14" t="str">
        <f aca="false">IF('ĐỐI CHIẾU'!C45="","",'ĐỐI CHIẾU'!C45)</f>
        <v>EG09</v>
      </c>
      <c r="C55" s="14" t="str">
        <f aca="false">IF('ĐỐI CHIẾU'!D45="","",'ĐỐI CHIẾU'!D45)</f>
        <v>Sơn ngoại thất siêu bóng cao cấp Imperia EG09</v>
      </c>
      <c r="D55" s="14" t="str">
        <f aca="false">IF('ĐỐI CHIẾU'!E45="","",'ĐỐI CHIẾU'!E45)</f>
        <v>5L</v>
      </c>
      <c r="E55" s="14" t="str">
        <f aca="false">IF('ĐỐI CHIẾU'!F45="","",'ĐỐI CHIẾU'!F45)</f>
        <v>B1</v>
      </c>
      <c r="F55" s="15" t="n">
        <f aca="false">IF('ĐỐI CHIẾU'!J45="","",'ĐỐI CHIẾU'!J45)</f>
        <v>62</v>
      </c>
      <c r="G55" s="15" t="n">
        <f aca="false">IF('ĐỐI CHIẾU'!K45="","",'ĐỐI CHIẾU'!K45)</f>
        <v>104</v>
      </c>
      <c r="H55" s="32" t="n">
        <f aca="false">IF('ĐỐI CHIẾU'!O45="","",'ĐỐI CHIẾU'!O45)</f>
        <v>42</v>
      </c>
      <c r="I55" s="15" t="n">
        <f aca="false">IF('ĐỐI CHIẾU'!P45="","",'ĐỐI CHIẾU'!P45)</f>
        <v>605646</v>
      </c>
      <c r="J55" s="15" t="n">
        <f aca="false">IF(I55="","",H55*I55)</f>
        <v>25437132</v>
      </c>
    </row>
    <row r="56" customFormat="false" ht="15" hidden="false" customHeight="false" outlineLevel="0" collapsed="false">
      <c r="A56" s="14" t="n">
        <v>34</v>
      </c>
      <c r="B56" s="14" t="str">
        <f aca="false">IF('ĐỐI CHIẾU'!C46="","",'ĐỐI CHIẾU'!C46)</f>
        <v>EG09</v>
      </c>
      <c r="C56" s="14" t="str">
        <f aca="false">IF('ĐỐI CHIẾU'!D46="","",'ĐỐI CHIẾU'!D46)</f>
        <v>Sơn ngoại thất siêu bóng cao cấp Imperia EG09</v>
      </c>
      <c r="D56" s="14" t="str">
        <f aca="false">IF('ĐỐI CHIẾU'!E46="","",'ĐỐI CHIẾU'!E46)</f>
        <v>5L</v>
      </c>
      <c r="E56" s="14" t="str">
        <f aca="false">IF('ĐỐI CHIẾU'!F46="","",'ĐỐI CHIẾU'!F46)</f>
        <v>B2</v>
      </c>
      <c r="F56" s="15" t="n">
        <f aca="false">IF('ĐỐI CHIẾU'!J46="","",'ĐỐI CHIẾU'!J46)</f>
        <v>53</v>
      </c>
      <c r="G56" s="15" t="n">
        <f aca="false">IF('ĐỐI CHIẾU'!K46="","",'ĐỐI CHIẾU'!K46)</f>
        <v>79</v>
      </c>
      <c r="H56" s="32" t="n">
        <f aca="false">IF('ĐỐI CHIẾU'!O46="","",'ĐỐI CHIẾU'!O46)</f>
        <v>26</v>
      </c>
      <c r="I56" s="15" t="n">
        <f aca="false">IF('ĐỐI CHIẾU'!P46="","",'ĐỐI CHIẾU'!P46)</f>
        <v>616408</v>
      </c>
      <c r="J56" s="15" t="n">
        <f aca="false">IF(I56="","",H56*I56)</f>
        <v>16026608</v>
      </c>
    </row>
    <row r="57" customFormat="false" ht="15" hidden="false" customHeight="false" outlineLevel="0" collapsed="false">
      <c r="A57" s="14" t="n">
        <v>35</v>
      </c>
      <c r="B57" s="14" t="str">
        <f aca="false">IF('ĐỐI CHIẾU'!C47="","",'ĐỐI CHIẾU'!C47)</f>
        <v>EG09</v>
      </c>
      <c r="C57" s="14" t="str">
        <f aca="false">IF('ĐỐI CHIẾU'!D47="","",'ĐỐI CHIẾU'!D47)</f>
        <v>Sơn ngoại thất siêu bóng cao cấp Imperia EG09</v>
      </c>
      <c r="D57" s="14" t="str">
        <f aca="false">IF('ĐỐI CHIẾU'!E47="","",'ĐỐI CHIẾU'!E47)</f>
        <v>5L</v>
      </c>
      <c r="E57" s="14" t="str">
        <f aca="false">IF('ĐỐI CHIẾU'!F47="","",'ĐỐI CHIẾU'!F47)</f>
        <v>B3</v>
      </c>
      <c r="F57" s="15" t="n">
        <f aca="false">IF('ĐỐI CHIẾU'!J47="","",'ĐỐI CHIẾU'!J47)</f>
        <v>64</v>
      </c>
      <c r="G57" s="15" t="n">
        <f aca="false">IF('ĐỐI CHIẾU'!K47="","",'ĐỐI CHIẾU'!K47)</f>
        <v>86</v>
      </c>
      <c r="H57" s="32" t="n">
        <f aca="false">IF('ĐỐI CHIẾU'!O47="","",'ĐỐI CHIẾU'!O47)</f>
        <v>22</v>
      </c>
      <c r="I57" s="15" t="n">
        <f aca="false">IF('ĐỐI CHIẾU'!P47="","",'ĐỐI CHIẾU'!P47)</f>
        <v>640599</v>
      </c>
      <c r="J57" s="15" t="n">
        <f aca="false">IF(I57="","",H57*I57)</f>
        <v>14093178</v>
      </c>
    </row>
    <row r="58" customFormat="false" ht="15" hidden="false" customHeight="false" outlineLevel="0" collapsed="false">
      <c r="A58" s="14" t="n">
        <v>36</v>
      </c>
      <c r="B58" s="14" t="str">
        <f aca="false">IF('ĐỐI CHIẾU'!C48="","",'ĐỐI CHIẾU'!C48)</f>
        <v>EG09</v>
      </c>
      <c r="C58" s="14" t="str">
        <f aca="false">IF('ĐỐI CHIẾU'!D48="","",'ĐỐI CHIẾU'!D48)</f>
        <v>Sơn ngoại thất siêu bóng cao cấp Imperia EG09</v>
      </c>
      <c r="D58" s="14" t="str">
        <f aca="false">IF('ĐỐI CHIẾU'!E48="","",'ĐỐI CHIẾU'!E48)</f>
        <v>5L</v>
      </c>
      <c r="E58" s="14" t="str">
        <f aca="false">IF('ĐỐI CHIẾU'!F48="","",'ĐỐI CHIẾU'!F48)</f>
        <v>B4</v>
      </c>
      <c r="F58" s="15" t="n">
        <f aca="false">IF('ĐỐI CHIẾU'!J48="","",'ĐỐI CHIẾU'!J48)</f>
        <v>58</v>
      </c>
      <c r="G58" s="15" t="n">
        <f aca="false">IF('ĐỐI CHIẾU'!K48="","",'ĐỐI CHIẾU'!K48)</f>
        <v>78</v>
      </c>
      <c r="H58" s="32" t="n">
        <f aca="false">IF('ĐỐI CHIẾU'!O48="","",'ĐỐI CHIẾU'!O48)</f>
        <v>20</v>
      </c>
      <c r="I58" s="15" t="n">
        <f aca="false">IF('ĐỐI CHIẾU'!P48="","",'ĐỐI CHIẾU'!P48)</f>
        <v>626966</v>
      </c>
      <c r="J58" s="15" t="n">
        <f aca="false">IF(I58="","",H58*I58)</f>
        <v>12539320</v>
      </c>
    </row>
    <row r="59" customFormat="false" ht="15" hidden="false" customHeight="false" outlineLevel="0" collapsed="false">
      <c r="A59" s="14" t="n">
        <v>37</v>
      </c>
      <c r="B59" s="14" t="str">
        <f aca="false">IF('ĐỐI CHIẾU'!C50="","",'ĐỐI CHIẾU'!C50)</f>
        <v>EG09</v>
      </c>
      <c r="C59" s="14" t="str">
        <f aca="false">IF('ĐỐI CHIẾU'!D50="","",'ĐỐI CHIẾU'!D50)</f>
        <v>Sơn ngoại thất siêu bóng cao cấp Imperia EG09</v>
      </c>
      <c r="D59" s="14" t="str">
        <f aca="false">IF('ĐỐI CHIẾU'!E50="","",'ĐỐI CHIẾU'!E50)</f>
        <v>18L</v>
      </c>
      <c r="E59" s="14" t="str">
        <f aca="false">IF('ĐỐI CHIẾU'!F50="","",'ĐỐI CHIẾU'!F50)</f>
        <v>B3</v>
      </c>
      <c r="F59" s="15" t="n">
        <f aca="false">IF('ĐỐI CHIẾU'!J50="","",'ĐỐI CHIẾU'!J50)</f>
        <v>0</v>
      </c>
      <c r="G59" s="15" t="n">
        <f aca="false">IF('ĐỐI CHIẾU'!K50="","",'ĐỐI CHIẾU'!K50)</f>
        <v>5</v>
      </c>
      <c r="H59" s="32" t="n">
        <f aca="false">IF('ĐỐI CHIẾU'!O50="","",'ĐỐI CHIẾU'!O50)</f>
        <v>5</v>
      </c>
      <c r="I59" s="15" t="n">
        <f aca="false">IF('ĐỐI CHIẾU'!P50="","",'ĐỐI CHIẾU'!P50)</f>
        <v>1800879</v>
      </c>
      <c r="J59" s="15" t="n">
        <f aca="false">IF(I59="","",H59*I59)</f>
        <v>9004395</v>
      </c>
    </row>
    <row r="60" customFormat="false" ht="15" hidden="false" customHeight="false" outlineLevel="0" collapsed="false">
      <c r="A60" s="14" t="n">
        <v>38</v>
      </c>
      <c r="B60" s="14" t="str">
        <f aca="false">IF('ĐỐI CHIẾU'!C53="","",'ĐỐI CHIẾU'!C53)</f>
        <v>E9</v>
      </c>
      <c r="C60" s="14" t="str">
        <f aca="false">IF('ĐỐI CHIẾU'!D53="","",'ĐỐI CHIẾU'!D53)</f>
        <v>Sơn ngoại thất siêu bóng cao cấp Saphir E9</v>
      </c>
      <c r="D60" s="14" t="str">
        <f aca="false">IF('ĐỐI CHIẾU'!E53="","",'ĐỐI CHIẾU'!E53)</f>
        <v>5L</v>
      </c>
      <c r="E60" s="14" t="str">
        <f aca="false">IF('ĐỐI CHIẾU'!F53="","",'ĐỐI CHIẾU'!F53)</f>
        <v>B1</v>
      </c>
      <c r="F60" s="15" t="n">
        <f aca="false">IF('ĐỐI CHIẾU'!J53="","",'ĐỐI CHIẾU'!J53)</f>
        <v>35</v>
      </c>
      <c r="G60" s="15" t="n">
        <f aca="false">IF('ĐỐI CHIẾU'!K53="","",'ĐỐI CHIẾU'!K53)</f>
        <v>115</v>
      </c>
      <c r="H60" s="32" t="n">
        <f aca="false">IF('ĐỐI CHIẾU'!O53="","",'ĐỐI CHIẾU'!O53)</f>
        <v>80</v>
      </c>
      <c r="I60" s="15" t="n">
        <f aca="false">IF('ĐỐI CHIẾU'!P53="","",'ĐỐI CHIẾU'!P53)</f>
        <v>982034</v>
      </c>
      <c r="J60" s="15" t="n">
        <f aca="false">IF(I60="","",H60*I60)</f>
        <v>78562720</v>
      </c>
    </row>
    <row r="61" customFormat="false" ht="15" hidden="false" customHeight="false" outlineLevel="0" collapsed="false">
      <c r="A61" s="14" t="n">
        <v>39</v>
      </c>
      <c r="B61" s="14" t="str">
        <f aca="false">IF('ĐỐI CHIẾU'!C57="","",'ĐỐI CHIẾU'!C57)</f>
        <v>CT12</v>
      </c>
      <c r="C61" s="14" t="str">
        <f aca="false">IF('ĐỐI CHIẾU'!D57="","",'ĐỐI CHIẾU'!D57)</f>
        <v>Sơn chống thấm đa năng Imperia CT12</v>
      </c>
      <c r="D61" s="14" t="str">
        <f aca="false">IF('ĐỐI CHIẾU'!E57="","",'ĐỐI CHIẾU'!E57)</f>
        <v>5L</v>
      </c>
      <c r="E61" s="14" t="str">
        <f aca="false">IF('ĐỐI CHIẾU'!F57="","",'ĐỐI CHIẾU'!F57)</f>
        <v/>
      </c>
      <c r="F61" s="15" t="n">
        <f aca="false">IF('ĐỐI CHIẾU'!J57="","",'ĐỐI CHIẾU'!J57)</f>
        <v>29</v>
      </c>
      <c r="G61" s="15" t="n">
        <f aca="false">IF('ĐỐI CHIẾU'!K57="","",'ĐỐI CHIẾU'!K57)</f>
        <v>70</v>
      </c>
      <c r="H61" s="32" t="n">
        <f aca="false">IF('ĐỐI CHIẾU'!O57="","",'ĐỐI CHIẾU'!O57)</f>
        <v>41</v>
      </c>
      <c r="I61" s="15" t="n">
        <f aca="false">IF('ĐỐI CHIẾU'!P57="","",'ĐỐI CHIẾU'!P57)</f>
        <v>411652</v>
      </c>
      <c r="J61" s="15" t="n">
        <f aca="false">IF(I61="","",H61*I61)</f>
        <v>16877732</v>
      </c>
    </row>
    <row r="62" customFormat="false" ht="15" hidden="false" customHeight="false" outlineLevel="0" collapsed="false">
      <c r="A62" s="14" t="n">
        <v>40</v>
      </c>
      <c r="B62" s="14" t="str">
        <f aca="false">IF('ĐỐI CHIẾU'!C58="","",'ĐỐI CHIẾU'!C58)</f>
        <v>CT12</v>
      </c>
      <c r="C62" s="14" t="str">
        <f aca="false">IF('ĐỐI CHIẾU'!D58="","",'ĐỐI CHIẾU'!D58)</f>
        <v>Sơn chống thấm đa năng Imperia CT12</v>
      </c>
      <c r="D62" s="14" t="str">
        <f aca="false">IF('ĐỐI CHIẾU'!E58="","",'ĐỐI CHIẾU'!E58)</f>
        <v>18L</v>
      </c>
      <c r="E62" s="14" t="str">
        <f aca="false">IF('ĐỐI CHIẾU'!F58="","",'ĐỐI CHIẾU'!F58)</f>
        <v/>
      </c>
      <c r="F62" s="15" t="n">
        <f aca="false">IF('ĐỐI CHIẾU'!J58="","",'ĐỐI CHIẾU'!J58)</f>
        <v>24</v>
      </c>
      <c r="G62" s="15" t="n">
        <f aca="false">IF('ĐỐI CHIẾU'!K58="","",'ĐỐI CHIẾU'!K58)</f>
        <v>80</v>
      </c>
      <c r="H62" s="32" t="n">
        <f aca="false">IF('ĐỐI CHIẾU'!O58="","",'ĐỐI CHIẾU'!O58)</f>
        <v>56</v>
      </c>
      <c r="I62" s="15" t="n">
        <f aca="false">IF('ĐỐI CHIẾU'!P58="","",'ĐỐI CHIẾU'!P58)</f>
        <v>1186912</v>
      </c>
      <c r="J62" s="15" t="n">
        <f aca="false">IF(I62="","",H62*I62)</f>
        <v>66467072</v>
      </c>
    </row>
    <row r="63" customFormat="false" ht="15" hidden="false" customHeight="false" outlineLevel="0" collapsed="false">
      <c r="A63" s="14" t="n">
        <v>41</v>
      </c>
      <c r="B63" s="14" t="str">
        <f aca="false">IF('ĐỐI CHIẾU'!C60="","",'ĐỐI CHIẾU'!C60)</f>
        <v>ETM-309</v>
      </c>
      <c r="C63" s="14" t="str">
        <f aca="false">IF('ĐỐI CHIẾU'!D60="","",'ĐỐI CHIẾU'!D60)</f>
        <v>Sơn chống thấm màu ETM 309 (ghi đậm)</v>
      </c>
      <c r="D63" s="14" t="str">
        <f aca="false">IF('ĐỐI CHIẾU'!E60="","",'ĐỐI CHIẾU'!E60)</f>
        <v>18L</v>
      </c>
      <c r="E63" s="14" t="str">
        <f aca="false">IF('ĐỐI CHIẾU'!F60="","",'ĐỐI CHIẾU'!F60)</f>
        <v/>
      </c>
      <c r="F63" s="15" t="n">
        <f aca="false">IF('ĐỐI CHIẾU'!J60="","",'ĐỐI CHIẾU'!J60)</f>
        <v>77</v>
      </c>
      <c r="G63" s="15" t="n">
        <f aca="false">IF('ĐỐI CHIẾU'!K60="","",'ĐỐI CHIẾU'!K60)</f>
        <v>90</v>
      </c>
      <c r="H63" s="32" t="n">
        <f aca="false">IF('ĐỐI CHIẾU'!O60="","",'ĐỐI CHIẾU'!O60)</f>
        <v>13</v>
      </c>
      <c r="I63" s="15" t="n">
        <f aca="false">IF('ĐỐI CHIẾU'!P60="","",'ĐỐI CHIẾU'!P60)</f>
        <v>1399911</v>
      </c>
      <c r="J63" s="15" t="n">
        <f aca="false">IF(I63="","",H63*I63)</f>
        <v>18198843</v>
      </c>
    </row>
    <row r="64" customFormat="false" ht="15" hidden="false" customHeight="false" outlineLevel="0" collapsed="false">
      <c r="A64" s="14" t="n">
        <v>42</v>
      </c>
      <c r="B64" s="14" t="str">
        <f aca="false">IF('ĐỐI CHIẾU'!C61="","",'ĐỐI CHIẾU'!C61)</f>
        <v>ETM-99</v>
      </c>
      <c r="C64" s="14" t="str">
        <f aca="false">IF('ĐỐI CHIẾU'!D61="","",'ĐỐI CHIẾU'!D61)</f>
        <v>Sơn chống thấm ETM 99 (trắng)</v>
      </c>
      <c r="D64" s="14" t="str">
        <f aca="false">IF('ĐỐI CHIẾU'!E61="","",'ĐỐI CHIẾU'!E61)</f>
        <v>5L</v>
      </c>
      <c r="E64" s="14" t="str">
        <f aca="false">IF('ĐỐI CHIẾU'!F61="","",'ĐỐI CHIẾU'!F61)</f>
        <v/>
      </c>
      <c r="F64" s="15" t="n">
        <f aca="false">IF('ĐỐI CHIẾU'!J61="","",'ĐỐI CHIẾU'!J61)</f>
        <v>11</v>
      </c>
      <c r="G64" s="15" t="n">
        <f aca="false">IF('ĐỐI CHIẾU'!K61="","",'ĐỐI CHIẾU'!K61)</f>
        <v>20</v>
      </c>
      <c r="H64" s="32" t="n">
        <f aca="false">IF('ĐỐI CHIẾU'!O61="","",'ĐỐI CHIẾU'!O61)</f>
        <v>9</v>
      </c>
      <c r="I64" s="15" t="n">
        <f aca="false">IF('ĐỐI CHIẾU'!P61="","",'ĐỐI CHIẾU'!P61)</f>
        <v>443529</v>
      </c>
      <c r="J64" s="15" t="n">
        <f aca="false">IF(I64="","",H64*I64)</f>
        <v>3991761</v>
      </c>
    </row>
    <row r="65" customFormat="false" ht="15" hidden="false" customHeight="false" outlineLevel="0" collapsed="false">
      <c r="A65" s="14" t="n">
        <v>43</v>
      </c>
      <c r="B65" s="14" t="str">
        <f aca="false">IF('ĐỐI CHIẾU'!C62="","",'ĐỐI CHIẾU'!C62)</f>
        <v>ETM-99</v>
      </c>
      <c r="C65" s="14" t="str">
        <f aca="false">IF('ĐỐI CHIẾU'!D62="","",'ĐỐI CHIẾU'!D62)</f>
        <v>Sơn chống thấm ETM 99 (trắng)</v>
      </c>
      <c r="D65" s="14" t="str">
        <f aca="false">IF('ĐỐI CHIẾU'!E62="","",'ĐỐI CHIẾU'!E62)</f>
        <v>18L</v>
      </c>
      <c r="E65" s="14" t="str">
        <f aca="false">IF('ĐỐI CHIẾU'!F62="","",'ĐỐI CHIẾU'!F62)</f>
        <v/>
      </c>
      <c r="F65" s="15" t="n">
        <f aca="false">IF('ĐỐI CHIẾU'!J62="","",'ĐỐI CHIẾU'!J62)</f>
        <v>1</v>
      </c>
      <c r="G65" s="15" t="n">
        <f aca="false">IF('ĐỐI CHIẾU'!K62="","",'ĐỐI CHIẾU'!K62)</f>
        <v>38</v>
      </c>
      <c r="H65" s="32" t="n">
        <f aca="false">IF('ĐỐI CHIẾU'!O62="","",'ĐỐI CHIẾU'!O62)</f>
        <v>37</v>
      </c>
      <c r="I65" s="15" t="n">
        <f aca="false">IF('ĐỐI CHIẾU'!P62="","",'ĐỐI CHIẾU'!P62)</f>
        <v>1728477</v>
      </c>
      <c r="J65" s="15" t="n">
        <f aca="false">IF(I65="","",H65*I65)</f>
        <v>63953649</v>
      </c>
    </row>
    <row r="66" customFormat="false" ht="15" hidden="false" customHeight="false" outlineLevel="0" collapsed="false">
      <c r="A66" s="14" t="n">
        <v>44</v>
      </c>
      <c r="B66" s="14" t="str">
        <f aca="false">IF('ĐỐI CHIẾU'!C63="","",'ĐỐI CHIẾU'!C63)</f>
        <v>ETM-303</v>
      </c>
      <c r="C66" s="14" t="str">
        <f aca="false">IF('ĐỐI CHIẾU'!D63="","",'ĐỐI CHIẾU'!D63)</f>
        <v>Sơn chống thấm màu ETM 303 (ghi nhạt)</v>
      </c>
      <c r="D66" s="14" t="str">
        <f aca="false">IF('ĐỐI CHIẾU'!E63="","",'ĐỐI CHIẾU'!E63)</f>
        <v>5L</v>
      </c>
      <c r="E66" s="14" t="str">
        <f aca="false">IF('ĐỐI CHIẾU'!F63="","",'ĐỐI CHIẾU'!F63)</f>
        <v/>
      </c>
      <c r="F66" s="15" t="n">
        <f aca="false">IF('ĐỐI CHIẾU'!J63="","",'ĐỐI CHIẾU'!J63)</f>
        <v>0</v>
      </c>
      <c r="G66" s="15" t="n">
        <f aca="false">IF('ĐỐI CHIẾU'!K63="","",'ĐỐI CHIẾU'!K63)</f>
        <v>2</v>
      </c>
      <c r="H66" s="32" t="n">
        <f aca="false">IF('ĐỐI CHIẾU'!O63="","",'ĐỐI CHIẾU'!O63)</f>
        <v>2</v>
      </c>
      <c r="I66" s="15" t="n">
        <f aca="false">IF('ĐỐI CHIẾU'!P63="","",'ĐỐI CHIẾU'!P63)</f>
        <v>415112</v>
      </c>
      <c r="J66" s="15" t="n">
        <f aca="false">IF(I66="","",H66*I66)</f>
        <v>830224</v>
      </c>
    </row>
    <row r="67" customFormat="false" ht="15" hidden="false" customHeight="false" outlineLevel="0" collapsed="false">
      <c r="A67" s="14" t="n">
        <v>45</v>
      </c>
      <c r="B67" s="14" t="str">
        <f aca="false">IF('ĐỐI CHIẾU'!C64="","",'ĐỐI CHIẾU'!C64)</f>
        <v>ETM-303</v>
      </c>
      <c r="C67" s="14" t="str">
        <f aca="false">IF('ĐỐI CHIẾU'!D64="","",'ĐỐI CHIẾU'!D64)</f>
        <v>Sơn chống thấm màu ETM 303 (ghi nhạt)</v>
      </c>
      <c r="D67" s="14" t="str">
        <f aca="false">IF('ĐỐI CHIẾU'!E64="","",'ĐỐI CHIẾU'!E64)</f>
        <v>18L</v>
      </c>
      <c r="E67" s="14" t="str">
        <f aca="false">IF('ĐỐI CHIẾU'!F64="","",'ĐỐI CHIẾU'!F64)</f>
        <v/>
      </c>
      <c r="F67" s="15" t="n">
        <f aca="false">IF('ĐỐI CHIẾU'!J64="","",'ĐỐI CHIẾU'!J64)</f>
        <v>0</v>
      </c>
      <c r="G67" s="15" t="n">
        <f aca="false">IF('ĐỐI CHIẾU'!K64="","",'ĐỐI CHIẾU'!K64)</f>
        <v>3</v>
      </c>
      <c r="H67" s="32" t="n">
        <f aca="false">IF('ĐỐI CHIẾU'!O64="","",'ĐỐI CHIẾU'!O64)</f>
        <v>3</v>
      </c>
      <c r="I67" s="15" t="n">
        <f aca="false">IF('ĐỐI CHIẾU'!P64="","",'ĐỐI CHIẾU'!P64)</f>
        <v>1363671</v>
      </c>
      <c r="J67" s="15" t="n">
        <f aca="false">IF(I67="","",H67*I67)</f>
        <v>4091013</v>
      </c>
    </row>
    <row r="68" customFormat="false" ht="15" hidden="false" customHeight="false" outlineLevel="0" collapsed="false">
      <c r="A68" s="14" t="n">
        <v>46</v>
      </c>
      <c r="B68" s="14" t="str">
        <f aca="false">IF('ĐỐI CHIẾU'!C65="","",'ĐỐI CHIẾU'!C65)</f>
        <v>CTS</v>
      </c>
      <c r="C68" s="14" t="str">
        <f aca="false">IF('ĐỐI CHIẾU'!D65="","",'ĐỐI CHIẾU'!D65)</f>
        <v>Sơn chống thấm siêu co giãn CTS-01</v>
      </c>
      <c r="D68" s="14" t="str">
        <f aca="false">IF('ĐỐI CHIẾU'!E65="","",'ĐỐI CHIẾU'!E65)</f>
        <v>5L</v>
      </c>
      <c r="E68" s="14" t="str">
        <f aca="false">IF('ĐỐI CHIẾU'!F65="","",'ĐỐI CHIẾU'!F65)</f>
        <v/>
      </c>
      <c r="F68" s="15" t="n">
        <f aca="false">IF('ĐỐI CHIẾU'!J65="","",'ĐỐI CHIẾU'!J65)</f>
        <v>11</v>
      </c>
      <c r="G68" s="15" t="n">
        <f aca="false">IF('ĐỐI CHIẾU'!K65="","",'ĐỐI CHIẾU'!K65)</f>
        <v>21</v>
      </c>
      <c r="H68" s="32" t="n">
        <f aca="false">IF('ĐỐI CHIẾU'!O65="","",'ĐỐI CHIẾU'!O65)</f>
        <v>10</v>
      </c>
      <c r="I68" s="15" t="n">
        <f aca="false">IF('ĐỐI CHIẾU'!P65="","",'ĐỐI CHIẾU'!P65)</f>
        <v>472048</v>
      </c>
      <c r="J68" s="15" t="n">
        <f aca="false">IF(I68="","",H68*I68)</f>
        <v>4720480</v>
      </c>
    </row>
    <row r="69" customFormat="false" ht="15" hidden="false" customHeight="false" outlineLevel="0" collapsed="false">
      <c r="A69" s="14" t="n">
        <v>47</v>
      </c>
      <c r="B69" s="14" t="str">
        <f aca="false">IF('ĐỐI CHIẾU'!C66="","",'ĐỐI CHIẾU'!C66)</f>
        <v>CTS</v>
      </c>
      <c r="C69" s="14" t="str">
        <f aca="false">IF('ĐỐI CHIẾU'!D66="","",'ĐỐI CHIẾU'!D66)</f>
        <v>Sơn chống thấm siêu co giãn CTS-01</v>
      </c>
      <c r="D69" s="14" t="str">
        <f aca="false">IF('ĐỐI CHIẾU'!E66="","",'ĐỐI CHIẾU'!E66)</f>
        <v>18L</v>
      </c>
      <c r="E69" s="14" t="str">
        <f aca="false">IF('ĐỐI CHIẾU'!F66="","",'ĐỐI CHIẾU'!F66)</f>
        <v/>
      </c>
      <c r="F69" s="15" t="n">
        <f aca="false">IF('ĐỐI CHIẾU'!J66="","",'ĐỐI CHIẾU'!J66)</f>
        <v>4</v>
      </c>
      <c r="G69" s="15" t="n">
        <f aca="false">IF('ĐỐI CHIẾU'!K66="","",'ĐỐI CHIẾU'!K66)</f>
        <v>101</v>
      </c>
      <c r="H69" s="32" t="n">
        <f aca="false">IF('ĐỐI CHIẾU'!O66="","",'ĐỐI CHIẾU'!O66)</f>
        <v>97</v>
      </c>
      <c r="I69" s="15" t="n">
        <f aca="false">IF('ĐỐI CHIẾU'!P66="","",'ĐỐI CHIẾU'!P66)</f>
        <v>1585086</v>
      </c>
      <c r="J69" s="15" t="n">
        <f aca="false">IF(I69="","",H69*I69)</f>
        <v>153753342</v>
      </c>
    </row>
    <row r="70" customFormat="false" ht="15" hidden="false" customHeight="false" outlineLevel="0" collapsed="false">
      <c r="A70" s="14" t="n">
        <v>48</v>
      </c>
      <c r="B70" s="14" t="str">
        <f aca="false">IF('ĐỐI CHIẾU'!C67="","",'ĐỐI CHIẾU'!C67)</f>
        <v>ETM-AP128 05kg</v>
      </c>
      <c r="C70" s="14" t="str">
        <f aca="false">IF('ĐỐI CHIẾU'!D67="","",'ĐỐI CHIẾU'!D67)</f>
        <v>Sơn chống thấm màu đặc biệt ETM 05kg AP128-5</v>
      </c>
      <c r="D70" s="14" t="str">
        <f aca="false">IF('ĐỐI CHIẾU'!E67="","",'ĐỐI CHIẾU'!E67)</f>
        <v>5kg</v>
      </c>
      <c r="E70" s="14" t="str">
        <f aca="false">IF('ĐỐI CHIẾU'!F67="","",'ĐỐI CHIẾU'!F67)</f>
        <v/>
      </c>
      <c r="F70" s="15" t="n">
        <f aca="false">IF('ĐỐI CHIẾU'!J67="","",'ĐỐI CHIẾU'!J67)</f>
        <v>0</v>
      </c>
      <c r="G70" s="15" t="n">
        <f aca="false">IF('ĐỐI CHIẾU'!K67="","",'ĐỐI CHIẾU'!K67)</f>
        <v>32</v>
      </c>
      <c r="H70" s="32" t="n">
        <f aca="false">IF('ĐỐI CHIẾU'!O67="","",'ĐỐI CHIẾU'!O67)</f>
        <v>32</v>
      </c>
      <c r="I70" s="15" t="n">
        <f aca="false">IF('ĐỐI CHIẾU'!P67="","",'ĐỐI CHIẾU'!P67)</f>
        <v>341889</v>
      </c>
      <c r="J70" s="15" t="n">
        <f aca="false">IF(I70="","",H70*I70)</f>
        <v>10940448</v>
      </c>
    </row>
    <row r="71" customFormat="false" ht="15" hidden="false" customHeight="false" outlineLevel="0" collapsed="false">
      <c r="A71" s="14" t="n">
        <v>49</v>
      </c>
      <c r="B71" s="14" t="str">
        <f aca="false">IF('ĐỐI CHIẾU'!C68="","",'ĐỐI CHIẾU'!C68)</f>
        <v>ETM-IP320</v>
      </c>
      <c r="C71" s="14" t="str">
        <f aca="false">IF('ĐỐI CHIẾU'!D68="","",'ĐỐI CHIẾU'!D68)</f>
        <v>Sơn chống thấm ETM IP320</v>
      </c>
      <c r="D71" s="14" t="str">
        <f aca="false">IF('ĐỐI CHIẾU'!E68="","",'ĐỐI CHIẾU'!E68)</f>
        <v>18L</v>
      </c>
      <c r="E71" s="14" t="str">
        <f aca="false">IF('ĐỐI CHIẾU'!F68="","",'ĐỐI CHIẾU'!F68)</f>
        <v/>
      </c>
      <c r="F71" s="15" t="n">
        <f aca="false">IF('ĐỐI CHIẾU'!J68="","",'ĐỐI CHIẾU'!J68)</f>
        <v>0</v>
      </c>
      <c r="G71" s="15" t="n">
        <f aca="false">IF('ĐỐI CHIẾU'!K68="","",'ĐỐI CHIẾU'!K68)</f>
        <v>6</v>
      </c>
      <c r="H71" s="32" t="n">
        <f aca="false">IF('ĐỐI CHIẾU'!O68="","",'ĐỐI CHIẾU'!O68)</f>
        <v>6</v>
      </c>
      <c r="I71" s="15" t="n">
        <f aca="false">IF('ĐỐI CHIẾU'!P68="","",'ĐỐI CHIẾU'!P68)</f>
        <v>2028704</v>
      </c>
      <c r="J71" s="15" t="n">
        <f aca="false">IF(I71="","",H71*I71)</f>
        <v>12172224</v>
      </c>
    </row>
    <row r="72" customFormat="false" ht="15" hidden="false" customHeight="false" outlineLevel="0" collapsed="false">
      <c r="A72" s="14" t="n">
        <v>50</v>
      </c>
      <c r="B72" s="14" t="str">
        <f aca="false">IF('ĐỐI CHIẾU'!C69="","",'ĐỐI CHIẾU'!C69)</f>
        <v>BA-NOI</v>
      </c>
      <c r="C72" s="14" t="str">
        <f aca="false">IF('ĐỐI CHIẾU'!D69="","",'ĐỐI CHIẾU'!D69)</f>
        <v>Bột bả nội thất Imperia IP15 (40kg)</v>
      </c>
      <c r="D72" s="14" t="str">
        <f aca="false">IF('ĐỐI CHIẾU'!E69="","",'ĐỐI CHIẾU'!E69)</f>
        <v>Bao</v>
      </c>
      <c r="E72" s="14" t="str">
        <f aca="false">IF('ĐỐI CHIẾU'!F69="","",'ĐỐI CHIẾU'!F69)</f>
        <v/>
      </c>
      <c r="F72" s="15" t="n">
        <f aca="false">IF('ĐỐI CHIẾU'!J69="","",'ĐỐI CHIẾU'!J69)</f>
        <v>0</v>
      </c>
      <c r="G72" s="15" t="n">
        <f aca="false">IF('ĐỐI CHIẾU'!K69="","",'ĐỐI CHIẾU'!K69)</f>
        <v>85</v>
      </c>
      <c r="H72" s="32" t="n">
        <f aca="false">IF('ĐỐI CHIẾU'!O69="","",'ĐỐI CHIẾU'!O69)</f>
        <v>85</v>
      </c>
      <c r="I72" s="15" t="n">
        <f aca="false">IF('ĐỐI CHIẾU'!P69="","",'ĐỐI CHIẾU'!P69)</f>
        <v>206705</v>
      </c>
      <c r="J72" s="15" t="n">
        <f aca="false">IF(I72="","",H72*I72)</f>
        <v>17569925</v>
      </c>
    </row>
    <row r="73" customFormat="false" ht="15" hidden="false" customHeight="false" outlineLevel="0" collapsed="false">
      <c r="A73" s="14" t="n">
        <v>51</v>
      </c>
      <c r="B73" s="14" t="str">
        <f aca="false">IF('ĐỐI CHIẾU'!C70="","",'ĐỐI CHIẾU'!C70)</f>
        <v>BA-NGOAI</v>
      </c>
      <c r="C73" s="14" t="str">
        <f aca="false">IF('ĐỐI CHIẾU'!D70="","",'ĐỐI CHIẾU'!D70)</f>
        <v>Bột bả ngoại thất Imperia EP14 (40kg)</v>
      </c>
      <c r="D73" s="14" t="str">
        <f aca="false">IF('ĐỐI CHIẾU'!E70="","",'ĐỐI CHIẾU'!E70)</f>
        <v>Bao</v>
      </c>
      <c r="E73" s="14" t="str">
        <f aca="false">IF('ĐỐI CHIẾU'!F70="","",'ĐỐI CHIẾU'!F70)</f>
        <v/>
      </c>
      <c r="F73" s="15" t="n">
        <f aca="false">IF('ĐỐI CHIẾU'!J70="","",'ĐỐI CHIẾU'!J70)</f>
        <v>29</v>
      </c>
      <c r="G73" s="15" t="n">
        <f aca="false">IF('ĐỐI CHIẾU'!K70="","",'ĐỐI CHIẾU'!K70)</f>
        <v>91</v>
      </c>
      <c r="H73" s="32" t="n">
        <f aca="false">IF('ĐỐI CHIẾU'!O70="","",'ĐỐI CHIẾU'!O70)</f>
        <v>62</v>
      </c>
      <c r="I73" s="15" t="n">
        <f aca="false">IF('ĐỐI CHIẾU'!P70="","",'ĐỐI CHIẾU'!P70)</f>
        <v>287115</v>
      </c>
      <c r="J73" s="15" t="n">
        <f aca="false">IF(I73="","",H73*I73)</f>
        <v>17801130</v>
      </c>
    </row>
    <row r="74" customFormat="false" ht="15" hidden="false" customHeight="false" outlineLevel="0" collapsed="false">
      <c r="A74" s="14" t="n">
        <v>52</v>
      </c>
      <c r="B74" s="14" t="str">
        <f aca="false">IF('ĐỐI CHIẾU'!C71="","",'ĐỐI CHIẾU'!C71)</f>
        <v>BA-IP201</v>
      </c>
      <c r="C74" s="14" t="str">
        <f aca="false">IF('ĐỐI CHIẾU'!D71="","",'ĐỐI CHIẾU'!D71)</f>
        <v>Bột bả nội ngoại thất Imperia IP201 (40kg)</v>
      </c>
      <c r="D74" s="14" t="str">
        <f aca="false">IF('ĐỐI CHIẾU'!E71="","",'ĐỐI CHIẾU'!E71)</f>
        <v>Bao</v>
      </c>
      <c r="E74" s="14" t="str">
        <f aca="false">IF('ĐỐI CHIẾU'!F71="","",'ĐỐI CHIẾU'!F71)</f>
        <v/>
      </c>
      <c r="F74" s="15" t="n">
        <f aca="false">IF('ĐỐI CHIẾU'!J71="","",'ĐỐI CHIẾU'!J71)</f>
        <v>0</v>
      </c>
      <c r="G74" s="15" t="n">
        <f aca="false">IF('ĐỐI CHIẾU'!K71="","",'ĐỐI CHIẾU'!K71)</f>
        <v>80</v>
      </c>
      <c r="H74" s="32" t="n">
        <f aca="false">IF('ĐỐI CHIẾU'!O71="","",'ĐỐI CHIẾU'!O71)</f>
        <v>80</v>
      </c>
      <c r="I74" s="15" t="n">
        <f aca="false">IF('ĐỐI CHIẾU'!P71="","",'ĐỐI CHIẾU'!P71)</f>
        <v>272222</v>
      </c>
      <c r="J74" s="15" t="n">
        <f aca="false">IF(I74="","",H74*I74)</f>
        <v>21777760</v>
      </c>
    </row>
    <row r="75" customFormat="false" ht="15" hidden="false" customHeight="false" outlineLevel="0" collapsed="false">
      <c r="A75" s="16"/>
      <c r="B75" s="16"/>
      <c r="C75" s="16" t="s">
        <v>175</v>
      </c>
      <c r="D75" s="16"/>
      <c r="E75" s="16"/>
      <c r="F75" s="18" t="n">
        <f aca="false">SUM(F23:F74)</f>
        <v>1914</v>
      </c>
      <c r="G75" s="18" t="n">
        <f aca="false">SUM(G23:G74)</f>
        <v>5101</v>
      </c>
      <c r="H75" s="18" t="n">
        <f aca="false">SUM(H23:H74)</f>
        <v>3187</v>
      </c>
      <c r="I75" s="16"/>
      <c r="J75" s="18" t="n">
        <f aca="false">SUM(J23:J74)</f>
        <v>1869998922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7F7F7F"/>
    <pageSetUpPr fitToPage="false"/>
  </sheetPr>
  <dimension ref="A1:K2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5"/>
    <col collapsed="false" customWidth="true" hidden="false" outlineLevel="0" max="2" min="2" style="0" width="9"/>
    <col collapsed="false" customWidth="true" hidden="false" outlineLevel="0" max="3" min="3" style="0" width="30"/>
    <col collapsed="false" customWidth="true" hidden="false" outlineLevel="0" max="5" min="4" style="0" width="11"/>
    <col collapsed="false" customWidth="true" hidden="false" outlineLevel="0" max="6" min="6" style="0" width="13"/>
    <col collapsed="false" customWidth="true" hidden="false" outlineLevel="0" max="7" min="7" style="0" width="22"/>
    <col collapsed="false" customWidth="true" hidden="false" outlineLevel="0" max="10" min="8" style="0" width="13"/>
    <col collapsed="false" customWidth="true" hidden="false" outlineLevel="0" max="11" min="11" style="0" width="14"/>
  </cols>
  <sheetData>
    <row r="1" customFormat="false" ht="19.7" hidden="false" customHeight="false" outlineLevel="0" collapsed="false">
      <c r="A1" s="1" t="s">
        <v>184</v>
      </c>
    </row>
    <row r="2" customFormat="false" ht="15" hidden="false" customHeight="false" outlineLevel="0" collapsed="false">
      <c r="A2" s="2" t="s">
        <v>185</v>
      </c>
    </row>
    <row r="4" customFormat="false" ht="39.75" hidden="false" customHeight="true" outlineLevel="0" collapsed="false">
      <c r="A4" s="12" t="s">
        <v>32</v>
      </c>
      <c r="B4" s="12" t="s">
        <v>186</v>
      </c>
      <c r="C4" s="12" t="s">
        <v>187</v>
      </c>
      <c r="D4" s="12" t="s">
        <v>188</v>
      </c>
      <c r="E4" s="12" t="s">
        <v>189</v>
      </c>
      <c r="F4" s="12" t="s">
        <v>10</v>
      </c>
      <c r="G4" s="12" t="s">
        <v>29</v>
      </c>
      <c r="H4" s="12" t="s">
        <v>11</v>
      </c>
      <c r="I4" s="12" t="s">
        <v>12</v>
      </c>
      <c r="J4" s="12" t="s">
        <v>181</v>
      </c>
      <c r="K4" s="12" t="s">
        <v>190</v>
      </c>
    </row>
    <row r="5" customFormat="false" ht="15" hidden="false" customHeight="false" outlineLevel="0" collapsed="false">
      <c r="A5" s="23" t="n">
        <v>1</v>
      </c>
      <c r="B5" s="23" t="s">
        <v>191</v>
      </c>
      <c r="C5" s="23"/>
      <c r="D5" s="24" t="n">
        <v>14</v>
      </c>
      <c r="E5" s="24" t="n">
        <v>0</v>
      </c>
      <c r="F5" s="27" t="n">
        <f aca="false">D5-E5</f>
        <v>14</v>
      </c>
      <c r="G5" s="23" t="str">
        <f aca="false">IF(F5&gt;0,"Thực tế nhiều hơn HĐ",IF(F5&lt;0,"HĐ nhiều hơn thực tế","Khớp"))</f>
        <v>Thực tế nhiều hơn HĐ</v>
      </c>
      <c r="H5" s="27" t="n">
        <f aca="false">MAX(F5,0)</f>
        <v>14</v>
      </c>
      <c r="I5" s="27" t="n">
        <f aca="false">MAX(-F5,0)</f>
        <v>0</v>
      </c>
      <c r="J5" s="24"/>
      <c r="K5" s="27" t="str">
        <f aca="false">IF(J5="","",(H5+I5)*J5)</f>
        <v/>
      </c>
    </row>
    <row r="6" customFormat="false" ht="15" hidden="false" customHeight="false" outlineLevel="0" collapsed="false">
      <c r="A6" s="23" t="n">
        <v>2</v>
      </c>
      <c r="B6" s="23" t="s">
        <v>192</v>
      </c>
      <c r="C6" s="23" t="s">
        <v>193</v>
      </c>
      <c r="D6" s="24" t="n">
        <v>7</v>
      </c>
      <c r="E6" s="24" t="n">
        <v>7</v>
      </c>
      <c r="F6" s="27" t="n">
        <f aca="false">D6-E6</f>
        <v>0</v>
      </c>
      <c r="G6" s="23" t="str">
        <f aca="false">IF(F6&gt;0,"Thực tế nhiều hơn HĐ",IF(F6&lt;0,"HĐ nhiều hơn thực tế","Khớp"))</f>
        <v>Khớp</v>
      </c>
      <c r="H6" s="27" t="n">
        <f aca="false">MAX(F6,0)</f>
        <v>0</v>
      </c>
      <c r="I6" s="27" t="n">
        <f aca="false">MAX(-F6,0)</f>
        <v>0</v>
      </c>
      <c r="J6" s="24" t="n">
        <v>807804</v>
      </c>
      <c r="K6" s="27" t="n">
        <f aca="false">IF(J6="","",(H6+I6)*J6)</f>
        <v>0</v>
      </c>
    </row>
    <row r="7" customFormat="false" ht="15" hidden="false" customHeight="false" outlineLevel="0" collapsed="false">
      <c r="A7" s="23" t="n">
        <v>3</v>
      </c>
      <c r="B7" s="23" t="s">
        <v>194</v>
      </c>
      <c r="C7" s="23" t="s">
        <v>195</v>
      </c>
      <c r="D7" s="24" t="n">
        <v>6</v>
      </c>
      <c r="E7" s="24" t="n">
        <v>47</v>
      </c>
      <c r="F7" s="27" t="n">
        <f aca="false">D7-E7</f>
        <v>-41</v>
      </c>
      <c r="G7" s="23" t="str">
        <f aca="false">IF(F7&gt;0,"Thực tế nhiều hơn HĐ",IF(F7&lt;0,"HĐ nhiều hơn thực tế","Khớp"))</f>
        <v>HĐ nhiều hơn thực tế</v>
      </c>
      <c r="H7" s="27" t="n">
        <f aca="false">MAX(F7,0)</f>
        <v>0</v>
      </c>
      <c r="I7" s="27" t="n">
        <f aca="false">MAX(-F7,0)</f>
        <v>41</v>
      </c>
      <c r="J7" s="24" t="n">
        <v>229650</v>
      </c>
      <c r="K7" s="27" t="n">
        <f aca="false">IF(J7="","",(H7+I7)*J7)</f>
        <v>9415650</v>
      </c>
    </row>
    <row r="8" customFormat="false" ht="15" hidden="false" customHeight="false" outlineLevel="0" collapsed="false">
      <c r="A8" s="23" t="n">
        <v>4</v>
      </c>
      <c r="B8" s="23" t="s">
        <v>196</v>
      </c>
      <c r="C8" s="23" t="s">
        <v>197</v>
      </c>
      <c r="D8" s="24" t="n">
        <v>11</v>
      </c>
      <c r="E8" s="24" t="n">
        <v>40</v>
      </c>
      <c r="F8" s="27" t="n">
        <f aca="false">D8-E8</f>
        <v>-29</v>
      </c>
      <c r="G8" s="23" t="str">
        <f aca="false">IF(F8&gt;0,"Thực tế nhiều hơn HĐ",IF(F8&lt;0,"HĐ nhiều hơn thực tế","Khớp"))</f>
        <v>HĐ nhiều hơn thực tế</v>
      </c>
      <c r="H8" s="27" t="n">
        <f aca="false">MAX(F8,0)</f>
        <v>0</v>
      </c>
      <c r="I8" s="27" t="n">
        <f aca="false">MAX(-F8,0)</f>
        <v>29</v>
      </c>
      <c r="J8" s="24" t="n">
        <v>331833</v>
      </c>
      <c r="K8" s="27" t="n">
        <f aca="false">IF(J8="","",(H8+I8)*J8)</f>
        <v>9623157</v>
      </c>
    </row>
    <row r="9" customFormat="false" ht="15" hidden="false" customHeight="false" outlineLevel="0" collapsed="false">
      <c r="A9" s="23" t="n">
        <v>5</v>
      </c>
      <c r="B9" s="23" t="s">
        <v>198</v>
      </c>
      <c r="C9" s="23"/>
      <c r="D9" s="24" t="n">
        <v>8</v>
      </c>
      <c r="E9" s="24" t="n">
        <v>0</v>
      </c>
      <c r="F9" s="27" t="n">
        <f aca="false">D9-E9</f>
        <v>8</v>
      </c>
      <c r="G9" s="23" t="str">
        <f aca="false">IF(F9&gt;0,"Thực tế nhiều hơn HĐ",IF(F9&lt;0,"HĐ nhiều hơn thực tế","Khớp"))</f>
        <v>Thực tế nhiều hơn HĐ</v>
      </c>
      <c r="H9" s="27" t="n">
        <f aca="false">MAX(F9,0)</f>
        <v>8</v>
      </c>
      <c r="I9" s="27" t="n">
        <f aca="false">MAX(-F9,0)</f>
        <v>0</v>
      </c>
      <c r="J9" s="24"/>
      <c r="K9" s="27" t="str">
        <f aca="false">IF(J9="","",(H9+I9)*J9)</f>
        <v/>
      </c>
    </row>
    <row r="10" customFormat="false" ht="15" hidden="false" customHeight="false" outlineLevel="0" collapsed="false">
      <c r="A10" s="23" t="n">
        <v>6</v>
      </c>
      <c r="B10" s="23" t="s">
        <v>199</v>
      </c>
      <c r="C10" s="23" t="s">
        <v>200</v>
      </c>
      <c r="D10" s="24" t="n">
        <v>16</v>
      </c>
      <c r="E10" s="24" t="n">
        <v>48</v>
      </c>
      <c r="F10" s="27" t="n">
        <f aca="false">D10-E10</f>
        <v>-32</v>
      </c>
      <c r="G10" s="23" t="str">
        <f aca="false">IF(F10&gt;0,"Thực tế nhiều hơn HĐ",IF(F10&lt;0,"HĐ nhiều hơn thực tế","Khớp"))</f>
        <v>HĐ nhiều hơn thực tế</v>
      </c>
      <c r="H10" s="27" t="n">
        <f aca="false">MAX(F10,0)</f>
        <v>0</v>
      </c>
      <c r="I10" s="27" t="n">
        <f aca="false">MAX(-F10,0)</f>
        <v>32</v>
      </c>
      <c r="J10" s="24" t="n">
        <v>382741</v>
      </c>
      <c r="K10" s="27" t="n">
        <f aca="false">IF(J10="","",(H10+I10)*J10)</f>
        <v>12247712</v>
      </c>
    </row>
    <row r="11" customFormat="false" ht="15" hidden="false" customHeight="false" outlineLevel="0" collapsed="false">
      <c r="A11" s="23" t="n">
        <v>7</v>
      </c>
      <c r="B11" s="23" t="s">
        <v>201</v>
      </c>
      <c r="C11" s="23" t="s">
        <v>202</v>
      </c>
      <c r="D11" s="24" t="n">
        <v>6</v>
      </c>
      <c r="E11" s="24" t="n">
        <v>2</v>
      </c>
      <c r="F11" s="27" t="n">
        <f aca="false">D11-E11</f>
        <v>4</v>
      </c>
      <c r="G11" s="23" t="str">
        <f aca="false">IF(F11&gt;0,"Thực tế nhiều hơn HĐ",IF(F11&lt;0,"HĐ nhiều hơn thực tế","Khớp"))</f>
        <v>Thực tế nhiều hơn HĐ</v>
      </c>
      <c r="H11" s="27" t="n">
        <f aca="false">MAX(F11,0)</f>
        <v>4</v>
      </c>
      <c r="I11" s="27" t="n">
        <f aca="false">MAX(-F11,0)</f>
        <v>0</v>
      </c>
      <c r="J11" s="24" t="n">
        <v>510185</v>
      </c>
      <c r="K11" s="27" t="n">
        <f aca="false">IF(J11="","",(H11+I11)*J11)</f>
        <v>2040740</v>
      </c>
    </row>
    <row r="12" customFormat="false" ht="15" hidden="false" customHeight="false" outlineLevel="0" collapsed="false">
      <c r="A12" s="23" t="n">
        <v>8</v>
      </c>
      <c r="B12" s="23" t="s">
        <v>203</v>
      </c>
      <c r="C12" s="23"/>
      <c r="D12" s="24" t="n">
        <v>10</v>
      </c>
      <c r="E12" s="24" t="n">
        <v>0</v>
      </c>
      <c r="F12" s="27" t="n">
        <f aca="false">D12-E12</f>
        <v>10</v>
      </c>
      <c r="G12" s="23" t="str">
        <f aca="false">IF(F12&gt;0,"Thực tế nhiều hơn HĐ",IF(F12&lt;0,"HĐ nhiều hơn thực tế","Khớp"))</f>
        <v>Thực tế nhiều hơn HĐ</v>
      </c>
      <c r="H12" s="27" t="n">
        <f aca="false">MAX(F12,0)</f>
        <v>10</v>
      </c>
      <c r="I12" s="27" t="n">
        <f aca="false">MAX(-F12,0)</f>
        <v>0</v>
      </c>
      <c r="J12" s="24"/>
      <c r="K12" s="27" t="str">
        <f aca="false">IF(J12="","",(H12+I12)*J12)</f>
        <v/>
      </c>
    </row>
    <row r="13" customFormat="false" ht="15" hidden="false" customHeight="false" outlineLevel="0" collapsed="false">
      <c r="A13" s="23" t="n">
        <v>9</v>
      </c>
      <c r="B13" s="23" t="s">
        <v>204</v>
      </c>
      <c r="C13" s="23"/>
      <c r="D13" s="24" t="n">
        <v>0</v>
      </c>
      <c r="E13" s="24" t="n">
        <v>0</v>
      </c>
      <c r="F13" s="27" t="n">
        <f aca="false">D13-E13</f>
        <v>0</v>
      </c>
      <c r="G13" s="23" t="str">
        <f aca="false">IF(F13&gt;0,"Thực tế nhiều hơn HĐ",IF(F13&lt;0,"HĐ nhiều hơn thực tế","Khớp"))</f>
        <v>Khớp</v>
      </c>
      <c r="H13" s="27" t="n">
        <f aca="false">MAX(F13,0)</f>
        <v>0</v>
      </c>
      <c r="I13" s="27" t="n">
        <f aca="false">MAX(-F13,0)</f>
        <v>0</v>
      </c>
      <c r="J13" s="24"/>
      <c r="K13" s="27" t="str">
        <f aca="false">IF(J13="","",(H13+I13)*J13)</f>
        <v/>
      </c>
    </row>
    <row r="14" customFormat="false" ht="15" hidden="false" customHeight="false" outlineLevel="0" collapsed="false">
      <c r="A14" s="23" t="n">
        <v>10</v>
      </c>
      <c r="B14" s="23" t="s">
        <v>205</v>
      </c>
      <c r="C14" s="23" t="s">
        <v>206</v>
      </c>
      <c r="D14" s="24" t="n">
        <v>8</v>
      </c>
      <c r="E14" s="24" t="n">
        <v>9</v>
      </c>
      <c r="F14" s="27" t="n">
        <f aca="false">D14-E14</f>
        <v>-1</v>
      </c>
      <c r="G14" s="23" t="str">
        <f aca="false">IF(F14&gt;0,"Thực tế nhiều hơn HĐ",IF(F14&lt;0,"HĐ nhiều hơn thực tế","Khớp"))</f>
        <v>HĐ nhiều hơn thực tế</v>
      </c>
      <c r="H14" s="27" t="n">
        <f aca="false">MAX(F14,0)</f>
        <v>0</v>
      </c>
      <c r="I14" s="27" t="n">
        <f aca="false">MAX(-F14,0)</f>
        <v>1</v>
      </c>
      <c r="J14" s="24" t="n">
        <v>445987</v>
      </c>
      <c r="K14" s="27" t="n">
        <f aca="false">IF(J14="","",(H14+I14)*J14)</f>
        <v>445987</v>
      </c>
    </row>
    <row r="15" customFormat="false" ht="15" hidden="false" customHeight="false" outlineLevel="0" collapsed="false">
      <c r="A15" s="23" t="n">
        <v>11</v>
      </c>
      <c r="B15" s="23" t="s">
        <v>207</v>
      </c>
      <c r="C15" s="23" t="s">
        <v>208</v>
      </c>
      <c r="D15" s="24" t="n">
        <v>7</v>
      </c>
      <c r="E15" s="24" t="n">
        <v>6</v>
      </c>
      <c r="F15" s="27" t="n">
        <f aca="false">D15-E15</f>
        <v>1</v>
      </c>
      <c r="G15" s="23" t="str">
        <f aca="false">IF(F15&gt;0,"Thực tế nhiều hơn HĐ",IF(F15&lt;0,"HĐ nhiều hơn thực tế","Khớp"))</f>
        <v>Thực tế nhiều hơn HĐ</v>
      </c>
      <c r="H15" s="27" t="n">
        <f aca="false">MAX(F15,0)</f>
        <v>1</v>
      </c>
      <c r="I15" s="27" t="n">
        <f aca="false">MAX(-F15,0)</f>
        <v>0</v>
      </c>
      <c r="J15" s="24" t="n">
        <v>382407</v>
      </c>
      <c r="K15" s="27" t="n">
        <f aca="false">IF(J15="","",(H15+I15)*J15)</f>
        <v>382407</v>
      </c>
    </row>
    <row r="16" customFormat="false" ht="15" hidden="false" customHeight="false" outlineLevel="0" collapsed="false">
      <c r="A16" s="23" t="n">
        <v>12</v>
      </c>
      <c r="B16" s="23" t="s">
        <v>209</v>
      </c>
      <c r="C16" s="23"/>
      <c r="D16" s="24" t="n">
        <v>17</v>
      </c>
      <c r="E16" s="24" t="n">
        <v>0</v>
      </c>
      <c r="F16" s="27" t="n">
        <f aca="false">D16-E16</f>
        <v>17</v>
      </c>
      <c r="G16" s="23" t="str">
        <f aca="false">IF(F16&gt;0,"Thực tế nhiều hơn HĐ",IF(F16&lt;0,"HĐ nhiều hơn thực tế","Khớp"))</f>
        <v>Thực tế nhiều hơn HĐ</v>
      </c>
      <c r="H16" s="27" t="n">
        <f aca="false">MAX(F16,0)</f>
        <v>17</v>
      </c>
      <c r="I16" s="27" t="n">
        <f aca="false">MAX(-F16,0)</f>
        <v>0</v>
      </c>
      <c r="J16" s="24"/>
      <c r="K16" s="27" t="str">
        <f aca="false">IF(J16="","",(H16+I16)*J16)</f>
        <v/>
      </c>
    </row>
    <row r="17" customFormat="false" ht="15" hidden="false" customHeight="false" outlineLevel="0" collapsed="false">
      <c r="A17" s="23" t="n">
        <v>13</v>
      </c>
      <c r="B17" s="23" t="s">
        <v>210</v>
      </c>
      <c r="C17" s="23"/>
      <c r="D17" s="24" t="n">
        <v>11</v>
      </c>
      <c r="E17" s="24" t="n">
        <v>0</v>
      </c>
      <c r="F17" s="27" t="n">
        <f aca="false">D17-E17</f>
        <v>11</v>
      </c>
      <c r="G17" s="23" t="str">
        <f aca="false">IF(F17&gt;0,"Thực tế nhiều hơn HĐ",IF(F17&lt;0,"HĐ nhiều hơn thực tế","Khớp"))</f>
        <v>Thực tế nhiều hơn HĐ</v>
      </c>
      <c r="H17" s="27" t="n">
        <f aca="false">MAX(F17,0)</f>
        <v>11</v>
      </c>
      <c r="I17" s="27" t="n">
        <f aca="false">MAX(-F17,0)</f>
        <v>0</v>
      </c>
      <c r="J17" s="24"/>
      <c r="K17" s="27" t="str">
        <f aca="false">IF(J17="","",(H17+I17)*J17)</f>
        <v/>
      </c>
    </row>
    <row r="18" customFormat="false" ht="15" hidden="false" customHeight="false" outlineLevel="0" collapsed="false">
      <c r="A18" s="23" t="n">
        <v>14</v>
      </c>
      <c r="B18" s="23" t="s">
        <v>211</v>
      </c>
      <c r="C18" s="23" t="s">
        <v>212</v>
      </c>
      <c r="D18" s="24" t="n">
        <v>15</v>
      </c>
      <c r="E18" s="24" t="n">
        <v>8</v>
      </c>
      <c r="F18" s="27" t="n">
        <f aca="false">D18-E18</f>
        <v>7</v>
      </c>
      <c r="G18" s="23" t="str">
        <f aca="false">IF(F18&gt;0,"Thực tế nhiều hơn HĐ",IF(F18&lt;0,"HĐ nhiều hơn thực tế","Khớp"))</f>
        <v>Thực tế nhiều hơn HĐ</v>
      </c>
      <c r="H18" s="27" t="n">
        <f aca="false">MAX(F18,0)</f>
        <v>7</v>
      </c>
      <c r="I18" s="27" t="n">
        <f aca="false">MAX(-F18,0)</f>
        <v>0</v>
      </c>
      <c r="J18" s="24" t="n">
        <v>1037037</v>
      </c>
      <c r="K18" s="27" t="n">
        <f aca="false">IF(J18="","",(H18+I18)*J18)</f>
        <v>7259259</v>
      </c>
    </row>
    <row r="19" customFormat="false" ht="15" hidden="false" customHeight="false" outlineLevel="0" collapsed="false">
      <c r="A19" s="23" t="n">
        <v>15</v>
      </c>
      <c r="B19" s="23" t="s">
        <v>213</v>
      </c>
      <c r="C19" s="23"/>
      <c r="D19" s="24" t="n">
        <v>5</v>
      </c>
      <c r="E19" s="24" t="n">
        <v>0</v>
      </c>
      <c r="F19" s="27" t="n">
        <f aca="false">D19-E19</f>
        <v>5</v>
      </c>
      <c r="G19" s="23" t="str">
        <f aca="false">IF(F19&gt;0,"Thực tế nhiều hơn HĐ",IF(F19&lt;0,"HĐ nhiều hơn thực tế","Khớp"))</f>
        <v>Thực tế nhiều hơn HĐ</v>
      </c>
      <c r="H19" s="27" t="n">
        <f aca="false">MAX(F19,0)</f>
        <v>5</v>
      </c>
      <c r="I19" s="27" t="n">
        <f aca="false">MAX(-F19,0)</f>
        <v>0</v>
      </c>
      <c r="J19" s="24"/>
      <c r="K19" s="27" t="str">
        <f aca="false">IF(J19="","",(H19+I19)*J19)</f>
        <v/>
      </c>
    </row>
    <row r="20" customFormat="false" ht="15" hidden="false" customHeight="false" outlineLevel="0" collapsed="false">
      <c r="A20" s="16"/>
      <c r="B20" s="16" t="s">
        <v>175</v>
      </c>
      <c r="C20" s="16"/>
      <c r="D20" s="18" t="n">
        <f aca="false">SUM(D5:D19)</f>
        <v>141</v>
      </c>
      <c r="E20" s="18" t="n">
        <f aca="false">SUM(E5:E19)</f>
        <v>167</v>
      </c>
      <c r="F20" s="18" t="n">
        <f aca="false">SUM(F5:F19)</f>
        <v>-26</v>
      </c>
      <c r="G20" s="16"/>
      <c r="H20" s="18" t="n">
        <f aca="false">SUM(H5:H19)</f>
        <v>77</v>
      </c>
      <c r="I20" s="18" t="n">
        <f aca="false">SUM(I5:I19)</f>
        <v>103</v>
      </c>
      <c r="J20" s="16"/>
      <c r="K20" s="18" t="n">
        <f aca="false">SUM(K5:K19)</f>
        <v>41414912</v>
      </c>
    </row>
    <row r="22" customFormat="false" ht="15" hidden="false" customHeight="false" outlineLevel="0" collapsed="false">
      <c r="A22" s="2" t="s">
        <v>214</v>
      </c>
    </row>
  </sheetData>
  <conditionalFormatting sqref="G5:G19">
    <cfRule type="expression" priority="2" aboveAverage="0" equalAverage="0" bottom="0" percent="0" rank="0" text="" dxfId="17">
      <formula>LEFT(G5,5)="Thực "</formula>
    </cfRule>
    <cfRule type="expression" priority="3" aboveAverage="0" equalAverage="0" bottom="0" percent="0" rank="0" text="" dxfId="18">
      <formula>LEFT(G5,3)="HĐ "</formula>
    </cfRule>
    <cfRule type="expression" priority="4" aboveAverage="0" equalAverage="0" bottom="0" percent="0" rank="0" text="" dxfId="19">
      <formula>G5="Khớp"</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7F7F7F"/>
    <pageSetUpPr fitToPage="false"/>
  </sheetPr>
  <dimension ref="A1:F1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5"/>
    <col collapsed="false" customWidth="true" hidden="false" outlineLevel="0" max="2" min="2" style="0" width="28"/>
    <col collapsed="false" customWidth="true" hidden="false" outlineLevel="0" max="5" min="3" style="0" width="9"/>
    <col collapsed="false" customWidth="true" hidden="false" outlineLevel="0" max="6" min="6" style="0" width="20"/>
  </cols>
  <sheetData>
    <row r="1" customFormat="false" ht="19.7" hidden="false" customHeight="false" outlineLevel="0" collapsed="false">
      <c r="A1" s="1" t="s">
        <v>215</v>
      </c>
    </row>
    <row r="2" customFormat="false" ht="15" hidden="false" customHeight="false" outlineLevel="0" collapsed="false">
      <c r="A2" s="2" t="s">
        <v>216</v>
      </c>
    </row>
    <row r="4" customFormat="false" ht="30" hidden="false" customHeight="true" outlineLevel="0" collapsed="false">
      <c r="A4" s="12" t="s">
        <v>32</v>
      </c>
      <c r="B4" s="12" t="s">
        <v>217</v>
      </c>
      <c r="C4" s="12" t="s">
        <v>14</v>
      </c>
      <c r="D4" s="12" t="s">
        <v>15</v>
      </c>
      <c r="E4" s="12" t="s">
        <v>16</v>
      </c>
      <c r="F4" s="12" t="s">
        <v>47</v>
      </c>
    </row>
    <row r="5" customFormat="false" ht="15" hidden="false" customHeight="false" outlineLevel="0" collapsed="false">
      <c r="A5" s="23" t="n">
        <v>1</v>
      </c>
      <c r="B5" s="23" t="s">
        <v>218</v>
      </c>
      <c r="C5" s="34" t="n">
        <v>1</v>
      </c>
      <c r="D5" s="34"/>
      <c r="E5" s="34"/>
      <c r="F5" s="23"/>
    </row>
    <row r="6" customFormat="false" ht="15" hidden="false" customHeight="false" outlineLevel="0" collapsed="false">
      <c r="A6" s="23" t="n">
        <v>2</v>
      </c>
      <c r="B6" s="23" t="s">
        <v>219</v>
      </c>
      <c r="C6" s="34" t="n">
        <v>1</v>
      </c>
      <c r="D6" s="34"/>
      <c r="E6" s="34"/>
      <c r="F6" s="23" t="s">
        <v>220</v>
      </c>
    </row>
    <row r="7" customFormat="false" ht="15" hidden="false" customHeight="false" outlineLevel="0" collapsed="false">
      <c r="A7" s="23" t="n">
        <v>3</v>
      </c>
      <c r="B7" s="23" t="s">
        <v>221</v>
      </c>
      <c r="C7" s="34" t="n">
        <v>3</v>
      </c>
      <c r="D7" s="34"/>
      <c r="E7" s="34"/>
      <c r="F7" s="23"/>
    </row>
    <row r="8" customFormat="false" ht="15" hidden="false" customHeight="false" outlineLevel="0" collapsed="false">
      <c r="A8" s="23" t="n">
        <v>4</v>
      </c>
      <c r="B8" s="23" t="s">
        <v>222</v>
      </c>
      <c r="C8" s="34" t="n">
        <v>2</v>
      </c>
      <c r="D8" s="34"/>
      <c r="E8" s="34"/>
      <c r="F8" s="23"/>
    </row>
    <row r="9" customFormat="false" ht="15" hidden="false" customHeight="false" outlineLevel="0" collapsed="false">
      <c r="A9" s="23" t="n">
        <v>5</v>
      </c>
      <c r="B9" s="23" t="s">
        <v>223</v>
      </c>
      <c r="C9" s="34" t="n">
        <v>5</v>
      </c>
      <c r="D9" s="34"/>
      <c r="E9" s="34"/>
      <c r="F9" s="23"/>
    </row>
    <row r="10" customFormat="false" ht="15" hidden="false" customHeight="false" outlineLevel="0" collapsed="false">
      <c r="A10" s="23" t="n">
        <v>6</v>
      </c>
      <c r="B10" s="23" t="s">
        <v>224</v>
      </c>
      <c r="C10" s="34" t="n">
        <v>1</v>
      </c>
      <c r="D10" s="34"/>
      <c r="E10" s="34"/>
      <c r="F10" s="23" t="s">
        <v>225</v>
      </c>
    </row>
    <row r="11" customFormat="false" ht="15" hidden="false" customHeight="false" outlineLevel="0" collapsed="false">
      <c r="A11" s="23" t="n">
        <v>7</v>
      </c>
      <c r="B11" s="23" t="s">
        <v>226</v>
      </c>
      <c r="C11" s="34" t="n">
        <v>1</v>
      </c>
      <c r="D11" s="34"/>
      <c r="E11" s="34"/>
      <c r="F11" s="23"/>
    </row>
    <row r="12" customFormat="false" ht="15" hidden="false" customHeight="false" outlineLevel="0" collapsed="false">
      <c r="A12" s="23" t="n">
        <v>8</v>
      </c>
      <c r="B12" s="23" t="s">
        <v>227</v>
      </c>
      <c r="C12" s="34"/>
      <c r="D12" s="34" t="n">
        <v>2</v>
      </c>
      <c r="E12" s="34"/>
      <c r="F12" s="23"/>
    </row>
    <row r="13" customFormat="false" ht="15" hidden="false" customHeight="false" outlineLevel="0" collapsed="false">
      <c r="A13" s="23" t="n">
        <v>9</v>
      </c>
      <c r="B13" s="23" t="s">
        <v>228</v>
      </c>
      <c r="C13" s="34"/>
      <c r="D13" s="34" t="n">
        <v>1</v>
      </c>
      <c r="E13" s="34"/>
      <c r="F13" s="23"/>
    </row>
    <row r="14" customFormat="false" ht="15" hidden="false" customHeight="false" outlineLevel="0" collapsed="false">
      <c r="A14" s="23" t="n">
        <v>10</v>
      </c>
      <c r="B14" s="23" t="s">
        <v>229</v>
      </c>
      <c r="C14" s="34"/>
      <c r="D14" s="34" t="n">
        <v>1</v>
      </c>
      <c r="E14" s="34"/>
      <c r="F14" s="23"/>
    </row>
    <row r="15" customFormat="false" ht="15" hidden="false" customHeight="false" outlineLevel="0" collapsed="false">
      <c r="A15" s="23" t="n">
        <v>11</v>
      </c>
      <c r="B15" s="23" t="s">
        <v>230</v>
      </c>
      <c r="C15" s="34"/>
      <c r="D15" s="34" t="n">
        <v>1</v>
      </c>
      <c r="E15" s="34"/>
      <c r="F15" s="23"/>
    </row>
    <row r="16" customFormat="false" ht="15" hidden="false" customHeight="false" outlineLevel="0" collapsed="false">
      <c r="A16" s="23" t="n">
        <v>12</v>
      </c>
      <c r="B16" s="23" t="s">
        <v>231</v>
      </c>
      <c r="C16" s="34"/>
      <c r="D16" s="34"/>
      <c r="E16" s="34" t="n">
        <v>1</v>
      </c>
      <c r="F16" s="23"/>
    </row>
    <row r="17" customFormat="false" ht="15" hidden="false" customHeight="false" outlineLevel="0" collapsed="false">
      <c r="A17" s="23" t="n">
        <v>13</v>
      </c>
      <c r="B17" s="23" t="s">
        <v>232</v>
      </c>
      <c r="C17" s="34"/>
      <c r="D17" s="34"/>
      <c r="E17" s="34" t="n">
        <v>1</v>
      </c>
      <c r="F17" s="23"/>
    </row>
    <row r="18" customFormat="false" ht="15" hidden="false" customHeight="false" outlineLevel="0" collapsed="false">
      <c r="A18" s="16"/>
      <c r="B18" s="16" t="s">
        <v>175</v>
      </c>
      <c r="C18" s="16" t="n">
        <f aca="false">SUM(C5:C17)</f>
        <v>14</v>
      </c>
      <c r="D18" s="16" t="n">
        <f aca="false">SUM(D5:D17)</f>
        <v>5</v>
      </c>
      <c r="E18" s="16" t="n">
        <f aca="false">SUM(E5:E17)</f>
        <v>2</v>
      </c>
      <c r="F18" s="16"/>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7F7F7F"/>
    <pageSetUpPr fitToPage="false"/>
  </sheetPr>
  <dimension ref="A1:B1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0"/>
    <col collapsed="false" customWidth="true" hidden="false" outlineLevel="0" max="2" min="2" style="0" width="140"/>
  </cols>
  <sheetData>
    <row r="1" customFormat="false" ht="19.7" hidden="false" customHeight="false" outlineLevel="0" collapsed="false">
      <c r="A1" s="1" t="s">
        <v>233</v>
      </c>
    </row>
    <row r="2" customFormat="false" ht="15" hidden="false" customHeight="false" outlineLevel="0" collapsed="false">
      <c r="A2" s="2"/>
    </row>
    <row r="4" customFormat="false" ht="23.85" hidden="false" customHeight="false" outlineLevel="0" collapsed="false">
      <c r="A4" s="35" t="s">
        <v>234</v>
      </c>
      <c r="B4" s="36" t="s">
        <v>235</v>
      </c>
    </row>
    <row r="5" customFormat="false" ht="23.85" hidden="false" customHeight="false" outlineLevel="0" collapsed="false">
      <c r="A5" s="35" t="s">
        <v>236</v>
      </c>
      <c r="B5" s="36" t="s">
        <v>237</v>
      </c>
    </row>
    <row r="6" customFormat="false" ht="23.85" hidden="false" customHeight="false" outlineLevel="0" collapsed="false">
      <c r="A6" s="35" t="s">
        <v>238</v>
      </c>
      <c r="B6" s="36" t="s">
        <v>239</v>
      </c>
    </row>
    <row r="7" customFormat="false" ht="23.85" hidden="false" customHeight="false" outlineLevel="0" collapsed="false">
      <c r="A7" s="35" t="s">
        <v>240</v>
      </c>
      <c r="B7" s="36" t="s">
        <v>241</v>
      </c>
    </row>
    <row r="8" customFormat="false" ht="15" hidden="false" customHeight="false" outlineLevel="0" collapsed="false">
      <c r="A8" s="35" t="s">
        <v>165</v>
      </c>
      <c r="B8" s="36" t="s">
        <v>242</v>
      </c>
    </row>
    <row r="9" customFormat="false" ht="23.85" hidden="false" customHeight="false" outlineLevel="0" collapsed="false">
      <c r="A9" s="35" t="s">
        <v>243</v>
      </c>
      <c r="B9" s="36" t="s">
        <v>244</v>
      </c>
    </row>
    <row r="10" customFormat="false" ht="23.85" hidden="false" customHeight="false" outlineLevel="0" collapsed="false">
      <c r="A10" s="35" t="s">
        <v>245</v>
      </c>
      <c r="B10" s="36" t="s">
        <v>246</v>
      </c>
    </row>
    <row r="11" customFormat="false" ht="23.85" hidden="false" customHeight="false" outlineLevel="0" collapsed="false">
      <c r="A11" s="35" t="s">
        <v>247</v>
      </c>
      <c r="B11" s="36" t="s">
        <v>248</v>
      </c>
    </row>
    <row r="12" customFormat="false" ht="15" hidden="false" customHeight="false" outlineLevel="0" collapsed="false">
      <c r="A12" s="35" t="s">
        <v>249</v>
      </c>
      <c r="B12" s="36" t="s">
        <v>250</v>
      </c>
    </row>
    <row r="13" customFormat="false" ht="23.85" hidden="false" customHeight="false" outlineLevel="0" collapsed="false">
      <c r="A13" s="35" t="s">
        <v>251</v>
      </c>
      <c r="B13" s="36" t="s">
        <v>252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2026-10-10T06:54:58Z</dcterms:created>
  <dc:creator>openpyxl</dc:creator>
  <dc:description/>
  <dc:language>en-US</dc:language>
  <cp:lastModifiedBy/>
  <dcterms:modified xsi:type="dcterms:W3CDTF">2026-10-10T06:55:00Z</dcterms:modified>
  <cp:revision>1</cp:revision>
  <dc:subject/>
  <dc:title/>
</cp:coreProperties>
</file>

<file path=docProps/custom.xml><?xml version="1.0" encoding="utf-8"?>
<Properties xmlns="http://schemas.openxmlformats.org/officeDocument/2006/custom-properties" xmlns:vt="http://schemas.openxmlformats.org/officeDocument/2006/docPropsVTypes"/>
</file>