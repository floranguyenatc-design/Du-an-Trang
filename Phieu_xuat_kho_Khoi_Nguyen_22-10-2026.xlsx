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2210 (46)" sheetId="1" state="visible" r:id="rId3"/>
    <sheet name="2210 (47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<sst xmlns="http://schemas.openxmlformats.org/spreadsheetml/2006/main" count="82" uniqueCount="46">
  <si>
    <t xml:space="preserve">CÔNG TY TNHH DVTM - XD TUẤN LAN ATT</t>
  </si>
  <si>
    <t xml:space="preserve">125 Trần Bình Trọng, Phố Hưng Phúc, Phường Quảng Phú, Tỉnh Thanh Hóa, Việt Nam</t>
  </si>
  <si>
    <t xml:space="preserve">PHIẾU XUẤT KHO BÁN HÀNG</t>
  </si>
  <si>
    <t xml:space="preserve">Ngày 22 tháng 10 năm 2026</t>
  </si>
  <si>
    <t xml:space="preserve">Số:</t>
  </si>
  <si>
    <t xml:space="preserve">PXK46</t>
  </si>
  <si>
    <t xml:space="preserve">Người mua:</t>
  </si>
  <si>
    <t xml:space="preserve">Nợ: 131</t>
  </si>
  <si>
    <t xml:space="preserve">Tên khách hàng: CÔNG TY TNHH TMXD VÀ PCCC KHÔI NGUYÊN</t>
  </si>
  <si>
    <t xml:space="preserve">Có: 5111</t>
  </si>
  <si>
    <t xml:space="preserve">Địa chỉ: Số nhà 07, Thôn Ước Thành, Xã Quảng Ninh, Tỉnh Thanh Hóa, Việt Nam</t>
  </si>
  <si>
    <t xml:space="preserve">Loại tiền: VND</t>
  </si>
  <si>
    <t xml:space="preserve">Điện thoại:</t>
  </si>
  <si>
    <t xml:space="preserve">Mã số thuế: 2803228132</t>
  </si>
  <si>
    <t xml:space="preserve">Diễn giải: Xuất bán hàng cho CÔNG TY TNHH TMXD VÀ PCCC KHÔI NGUYÊN theo hóa đơn số 46, ký hiệu 1C26TAA, ngày 22/10/2026</t>
  </si>
  <si>
    <t xml:space="preserve">Nhân viên bán hàng:</t>
  </si>
  <si>
    <t xml:space="preserve">STT</t>
  </si>
  <si>
    <t xml:space="preserve">Mã hàng</t>
  </si>
  <si>
    <t xml:space="preserve">Tên hàng</t>
  </si>
  <si>
    <t xml:space="preserve">Đơn vị</t>
  </si>
  <si>
    <t xml:space="preserve">Số lượng</t>
  </si>
  <si>
    <t xml:space="preserve">Đơn giá</t>
  </si>
  <si>
    <t xml:space="preserve">Thành tiền</t>
  </si>
  <si>
    <t xml:space="preserve">Ty ren M12x3m</t>
  </si>
  <si>
    <t xml:space="preserve">Cây</t>
  </si>
  <si>
    <t xml:space="preserve">Thanh ren bằng thép hợp kim, đường kính ngoài của thân 8mm-14mm chiều dài</t>
  </si>
  <si>
    <t xml:space="preserve">Kg</t>
  </si>
  <si>
    <t xml:space="preserve">Cộng</t>
  </si>
  <si>
    <t xml:space="preserve">Cộng tiền hàng</t>
  </si>
  <si>
    <t xml:space="preserve">Thuế suất thuế GTGT:</t>
  </si>
  <si>
    <t xml:space="preserve">Tiền thuế GTGT:</t>
  </si>
  <si>
    <t xml:space="preserve">Tổng tiền thanh toán</t>
  </si>
  <si>
    <t xml:space="preserve">Số tiền bằng chữ: Ba triệu bảy trăm tám mươi tư nghìn đồng.</t>
  </si>
  <si>
    <t xml:space="preserve">Số chứng từ gốc kèm theo: Hóa đơn GTGT số 46, ký hiệu 1C26TAA, ngày 22/10/2026</t>
  </si>
  <si>
    <t xml:space="preserve">Người mua hàng</t>
  </si>
  <si>
    <t xml:space="preserve">Kế toán trưởng</t>
  </si>
  <si>
    <t xml:space="preserve">Giám đốc</t>
  </si>
  <si>
    <t xml:space="preserve">(Ký, họ tên)</t>
  </si>
  <si>
    <t xml:space="preserve">(Ký, họ tên, đóng dấu)</t>
  </si>
  <si>
    <t xml:space="preserve">PXK47</t>
  </si>
  <si>
    <t xml:space="preserve">Diễn giải: Xuất bán hàng cho CÔNG TY TNHH TMXD VÀ PCCC KHÔI NGUYÊN theo hóa đơn số 47, ký hiệu 1C26TAA, ngày 22/10/2026</t>
  </si>
  <si>
    <t xml:space="preserve">Keo AB - A 300g</t>
  </si>
  <si>
    <t xml:space="preserve">Can</t>
  </si>
  <si>
    <t xml:space="preserve">Keo AB - B 300g</t>
  </si>
  <si>
    <t xml:space="preserve">Số tiền bằng chữ: Hai trăm ba mươi hai nghìn hai trăm đồng.</t>
  </si>
  <si>
    <t xml:space="preserve">Số chứng từ gốc kèm theo: Hóa đơn GTGT số 47, ký hiệu 1C26TAA, ngày 22/10/2026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</si>
</sst>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_);\(#,##0\)"/>
    <numFmt numFmtId="166" formatCode="#,##0%_);\(#,##0%\)"/>
  </numFmts>
  <fonts count="13">
    <font>
      <sz val="13"/>
      <color theme="1"/>
      <name val="Times New Rom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b val="true"/>
      <sz val="17"/>
      <color theme="1"/>
      <name val="Times New Roman"/>
      <family val="2"/>
      <charset val="1"/>
    </font>
    <font>
      <b val="true"/>
      <i val="true"/>
      <sz val="12"/>
      <color theme="1"/>
      <name val="Times New Roman"/>
      <family val="2"/>
      <charset val="1"/>
    </font>
    <font>
      <b val="true"/>
      <sz val="13"/>
      <color theme="1"/>
      <name val="Times New Roman"/>
      <family val="2"/>
      <charset val="1"/>
    </font>
    <font>
      <b val="true"/>
      <sz val="10"/>
      <color theme="1"/>
      <name val="Times New Roman"/>
      <family val="2"/>
      <charset val="1"/>
    </font>
    <font>
      <sz val="10"/>
      <color theme="1"/>
      <name val="Times New Roman"/>
      <family val="2"/>
      <charset val="1"/>
    </font>
    <font>
      <i val="true"/>
      <sz val="13"/>
      <color theme="1"/>
      <name val="Times New Roman"/>
      <family val="2"/>
      <charset val="1"/>
    </font>
    <font>
      <i val="true"/>
      <sz val="12"/>
      <color theme="1"/>
      <name val="Times New Roman"/>
      <family val="2"/>
      <charset val="1"/>
    </font>
    <font>
      <b val="true"/>
      <sz val="12"/>
      <color theme="1"/>
      <name val="Times New Roman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6.5" zeroHeight="false" outlineLevelRow="0" outlineLevelCol="0"/>
  <cols>
    <col collapsed="false" customWidth="true" hidden="false" outlineLevel="0" max="1" min="1" style="1" width="3.89"/>
    <col collapsed="false" customWidth="true" hidden="false" outlineLevel="0" max="2" min="2" style="1" width="8.33"/>
    <col collapsed="false" customWidth="true" hidden="false" outlineLevel="0" max="3" min="3" style="1" width="7.78"/>
    <col collapsed="false" customWidth="true" hidden="false" outlineLevel="0" max="4" min="4" style="1" width="6.66"/>
    <col collapsed="false" customWidth="true" hidden="false" outlineLevel="0" max="5" min="5" style="1" width="12.11"/>
    <col collapsed="false" customWidth="true" hidden="false" outlineLevel="0" max="6" min="6" style="1" width="1.22"/>
    <col collapsed="false" customWidth="true" hidden="false" outlineLevel="0" max="7" min="7" style="1" width="1"/>
    <col collapsed="false" customWidth="true" hidden="false" outlineLevel="0" max="8" min="8" style="1" width="7.78"/>
    <col collapsed="false" customWidth="true" hidden="false" outlineLevel="0" max="9" min="9" style="1" width="4.55"/>
    <col collapsed="false" customWidth="true" hidden="false" outlineLevel="0" max="10" min="10" style="1" width="3.21"/>
    <col collapsed="false" customWidth="true" hidden="false" outlineLevel="0" max="11" min="11" style="1" width="1"/>
    <col collapsed="false" customWidth="true" hidden="false" outlineLevel="0" max="12" min="12" style="1" width="2.44"/>
    <col collapsed="false" customWidth="true" hidden="false" outlineLevel="0" max="13" min="13" style="1" width="8.22"/>
    <col collapsed="false" customWidth="true" hidden="false" outlineLevel="0" max="14" min="14" style="1" width="11.78"/>
    <col collapsed="false" customWidth="false" hidden="false" outlineLevel="0" max="16384" min="15" style="2" width="8.88"/>
  </cols>
  <sheetData>
    <row r="1" customFormat="false" ht="16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16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0.9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6.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6.5" hidden="false" customHeight="true" outlineLevel="0" collapsed="false">
      <c r="A6" s="6" t="s">
        <v>4</v>
      </c>
      <c r="B6" s="6"/>
      <c r="C6" s="6"/>
      <c r="D6" s="6"/>
      <c r="E6" s="6"/>
      <c r="F6" s="6"/>
      <c r="G6" s="7" t="s">
        <v>5</v>
      </c>
      <c r="H6" s="7"/>
      <c r="I6" s="7"/>
      <c r="J6" s="7"/>
      <c r="K6" s="7"/>
      <c r="L6" s="7"/>
      <c r="M6" s="7"/>
      <c r="N6" s="7"/>
    </row>
    <row r="8" customFormat="false" ht="16.5" hidden="false" customHeight="true" outlineLevel="0" collapsed="false">
      <c r="A8" s="8" t="s">
        <v>6</v>
      </c>
      <c r="B8" s="8"/>
      <c r="C8" s="8"/>
      <c r="D8" s="8"/>
      <c r="E8" s="8"/>
      <c r="F8" s="8"/>
      <c r="G8" s="8"/>
      <c r="H8" s="8"/>
      <c r="I8" s="8"/>
      <c r="J8" s="8"/>
      <c r="K8" s="8"/>
      <c r="L8" s="8" t="s">
        <v>7</v>
      </c>
      <c r="M8" s="8"/>
      <c r="N8" s="8"/>
    </row>
    <row r="9" customFormat="false" ht="29.85" hidden="false" customHeight="true" outlineLevel="0" collapsed="false">
      <c r="A9" s="8" t="s">
        <v>8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9</v>
      </c>
      <c r="M9" s="8"/>
      <c r="N9" s="8"/>
    </row>
    <row r="10" customFormat="false" ht="29.8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 t="s">
        <v>11</v>
      </c>
      <c r="M10" s="8"/>
      <c r="N10" s="8"/>
    </row>
    <row r="11" customFormat="false" ht="16.5" hidden="false" customHeight="true" outlineLevel="0" collapsed="false">
      <c r="A11" s="8" t="s">
        <v>12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16.5" hidden="false" customHeight="true" outlineLevel="0" collapsed="false">
      <c r="A12" s="8" t="s">
        <v>13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29.85" hidden="false" customHeight="true" outlineLevel="0" collapsed="false">
      <c r="A13" s="8" t="s">
        <v>14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16.5" hidden="false" customHeight="true" outlineLevel="0" collapsed="false">
      <c r="A14" s="8" t="s">
        <v>15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16.5" hidden="false" customHeight="true" outlineLevel="0" collapsed="false">
      <c r="A15" s="9" t="s">
        <v>16</v>
      </c>
      <c r="B15" s="9" t="s">
        <v>17</v>
      </c>
      <c r="C15" s="9" t="s">
        <v>18</v>
      </c>
      <c r="D15" s="9"/>
      <c r="E15" s="9"/>
      <c r="F15" s="9"/>
      <c r="G15" s="9"/>
      <c r="H15" s="9" t="s">
        <v>19</v>
      </c>
      <c r="I15" s="9" t="s">
        <v>20</v>
      </c>
      <c r="J15" s="9"/>
      <c r="K15" s="9" t="s">
        <v>21</v>
      </c>
      <c r="L15" s="9"/>
      <c r="M15" s="9"/>
      <c r="N15" s="9" t="s">
        <v>22</v>
      </c>
    </row>
    <row r="16" customFormat="false" ht="46.5" hidden="false" customHeight="true" outlineLevel="0" collapsed="false">
      <c r="A16" s="10" t="n">
        <v>1</v>
      </c>
      <c r="B16" s="11"/>
      <c r="C16" s="11" t="s">
        <v>23</v>
      </c>
      <c r="D16" s="11"/>
      <c r="E16" s="11"/>
      <c r="F16" s="11"/>
      <c r="G16" s="11"/>
      <c r="H16" s="11" t="s">
        <v>24</v>
      </c>
      <c r="I16" s="12" t="n">
        <v>48</v>
      </c>
      <c r="J16" s="12"/>
      <c r="K16" s="12" t="n">
        <v>45000</v>
      </c>
      <c r="L16" s="12"/>
      <c r="M16" s="12"/>
      <c r="N16" s="12" t="n">
        <f aca="false">I16*K16</f>
        <v>2160000</v>
      </c>
    </row>
    <row r="17" customFormat="false" ht="46.5" hidden="false" customHeight="true" outlineLevel="0" collapsed="false">
      <c r="A17" s="10" t="n">
        <v>2</v>
      </c>
      <c r="B17" s="11"/>
      <c r="C17" s="11" t="s">
        <v>25</v>
      </c>
      <c r="D17" s="11"/>
      <c r="E17" s="11"/>
      <c r="F17" s="11"/>
      <c r="G17" s="11"/>
      <c r="H17" s="11" t="s">
        <v>26</v>
      </c>
      <c r="I17" s="12" t="n">
        <v>50</v>
      </c>
      <c r="J17" s="12"/>
      <c r="K17" s="12" t="n">
        <v>25600</v>
      </c>
      <c r="L17" s="12"/>
      <c r="M17" s="12"/>
      <c r="N17" s="12" t="n">
        <f aca="false">I17*K17</f>
        <v>1280000</v>
      </c>
    </row>
    <row r="18" customFormat="false" ht="16.5" hidden="false" customHeight="true" outlineLevel="0" collapsed="false">
      <c r="A18" s="13" t="s">
        <v>27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4" t="n">
        <f aca="false">SUM(N16:N17)</f>
        <v>3440000</v>
      </c>
    </row>
    <row r="19" customFormat="false" ht="12.75" hidden="false" customHeight="true" outlineLevel="0" collapsed="false">
      <c r="A19" s="15"/>
      <c r="B19" s="15"/>
      <c r="C19" s="15"/>
      <c r="D19" s="15"/>
      <c r="E19" s="15"/>
      <c r="F19" s="15"/>
      <c r="G19" s="16" t="s">
        <v>28</v>
      </c>
      <c r="H19" s="16"/>
      <c r="I19" s="16"/>
      <c r="J19" s="16"/>
      <c r="K19" s="16"/>
      <c r="L19" s="16"/>
      <c r="M19" s="17" t="n">
        <f aca="false">N18</f>
        <v>3440000</v>
      </c>
      <c r="N19" s="17"/>
    </row>
    <row r="20" customFormat="false" ht="12.75" hidden="false" customHeight="true" outlineLevel="0" collapsed="false">
      <c r="A20" s="15" t="s">
        <v>29</v>
      </c>
      <c r="B20" s="15"/>
      <c r="C20" s="15"/>
      <c r="D20" s="18" t="n">
        <v>0.1</v>
      </c>
      <c r="E20" s="18"/>
      <c r="F20" s="18"/>
      <c r="G20" s="16" t="s">
        <v>30</v>
      </c>
      <c r="H20" s="16"/>
      <c r="I20" s="16"/>
      <c r="J20" s="16"/>
      <c r="K20" s="16"/>
      <c r="L20" s="16"/>
      <c r="M20" s="17" t="n">
        <f aca="false">M19*D20</f>
        <v>344000</v>
      </c>
      <c r="N20" s="17"/>
    </row>
    <row r="21" customFormat="false" ht="12.75" hidden="false" customHeight="true" outlineLevel="0" collapsed="false">
      <c r="A21" s="15"/>
      <c r="B21" s="15"/>
      <c r="C21" s="15"/>
      <c r="D21" s="15"/>
      <c r="E21" s="15"/>
      <c r="F21" s="15"/>
      <c r="G21" s="16" t="s">
        <v>31</v>
      </c>
      <c r="H21" s="16"/>
      <c r="I21" s="16"/>
      <c r="J21" s="16"/>
      <c r="K21" s="16"/>
      <c r="L21" s="16"/>
      <c r="M21" s="17" t="n">
        <f aca="false">M19+M20</f>
        <v>3784000</v>
      </c>
      <c r="N21" s="17"/>
    </row>
    <row r="22" customFormat="false" ht="16.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="19" customFormat="true" ht="16.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="19" customFormat="true" ht="16.5" hidden="false" customHeight="true" outlineLevel="0" collapsed="false">
      <c r="A24" s="8" t="s">
        <v>32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="19" customFormat="true" ht="16.5" hidden="false" customHeight="true" outlineLevel="0" collapsed="false">
      <c r="A25" s="8" t="s">
        <v>33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16.5" hidden="false" customHeight="true" outlineLevel="0" collapsed="false">
      <c r="A26" s="20"/>
      <c r="B26" s="20"/>
      <c r="C26" s="20"/>
      <c r="D26" s="20"/>
      <c r="E26" s="20"/>
      <c r="F26" s="20" t="s">
        <v>3</v>
      </c>
      <c r="G26" s="20"/>
      <c r="H26" s="20"/>
      <c r="I26" s="20"/>
      <c r="J26" s="20"/>
      <c r="K26" s="20"/>
      <c r="L26" s="20"/>
      <c r="M26" s="20"/>
      <c r="N26" s="20"/>
    </row>
    <row r="27" customFormat="false" ht="16.5" hidden="false" customHeight="true" outlineLevel="0" collapsed="false">
      <c r="A27" s="7" t="s">
        <v>34</v>
      </c>
      <c r="B27" s="7"/>
      <c r="C27" s="7"/>
      <c r="D27" s="7"/>
      <c r="E27" s="7" t="s">
        <v>35</v>
      </c>
      <c r="F27" s="7"/>
      <c r="G27" s="7"/>
      <c r="H27" s="7"/>
      <c r="I27" s="7"/>
      <c r="J27" s="7" t="s">
        <v>36</v>
      </c>
      <c r="K27" s="7"/>
      <c r="L27" s="7"/>
      <c r="M27" s="7"/>
      <c r="N27" s="7"/>
    </row>
    <row r="28" customFormat="false" ht="16.5" hidden="false" customHeight="true" outlineLevel="0" collapsed="false">
      <c r="A28" s="21" t="s">
        <v>37</v>
      </c>
      <c r="B28" s="21"/>
      <c r="C28" s="21"/>
      <c r="D28" s="21"/>
      <c r="E28" s="21" t="s">
        <v>37</v>
      </c>
      <c r="F28" s="21"/>
      <c r="G28" s="21"/>
      <c r="H28" s="21"/>
      <c r="I28" s="21"/>
      <c r="J28" s="21" t="s">
        <v>38</v>
      </c>
      <c r="K28" s="21"/>
      <c r="L28" s="21"/>
      <c r="M28" s="21"/>
      <c r="N28" s="21"/>
    </row>
    <row r="33" customFormat="false" ht="16.5" hidden="false" customHeight="false" outlineLevel="0" collapsed="false">
      <c r="J33" s="22"/>
      <c r="K33" s="22"/>
      <c r="L33" s="22"/>
      <c r="M33" s="22"/>
      <c r="N33" s="22"/>
    </row>
  </sheetData>
  <mergeCells count="49">
    <mergeCell ref="A1:N1"/>
    <mergeCell ref="A2:N2"/>
    <mergeCell ref="A4:N4"/>
    <mergeCell ref="A5:N5"/>
    <mergeCell ref="A6:F6"/>
    <mergeCell ref="G6:N6"/>
    <mergeCell ref="A8:K8"/>
    <mergeCell ref="L8:N8"/>
    <mergeCell ref="A9:K9"/>
    <mergeCell ref="L9:N9"/>
    <mergeCell ref="A10:K10"/>
    <mergeCell ref="L10:N10"/>
    <mergeCell ref="A11:N11"/>
    <mergeCell ref="A12:N12"/>
    <mergeCell ref="A13:N13"/>
    <mergeCell ref="A14:N14"/>
    <mergeCell ref="C15:G15"/>
    <mergeCell ref="I15:J15"/>
    <mergeCell ref="K15:M15"/>
    <mergeCell ref="C16:G16"/>
    <mergeCell ref="I16:J16"/>
    <mergeCell ref="K16:M16"/>
    <mergeCell ref="C17:G17"/>
    <mergeCell ref="I17:J17"/>
    <mergeCell ref="K17:M17"/>
    <mergeCell ref="A18:M18"/>
    <mergeCell ref="A19:F19"/>
    <mergeCell ref="G19:L19"/>
    <mergeCell ref="M19:N19"/>
    <mergeCell ref="A20:C20"/>
    <mergeCell ref="D20:F20"/>
    <mergeCell ref="G20:L20"/>
    <mergeCell ref="M20:N20"/>
    <mergeCell ref="A21:F21"/>
    <mergeCell ref="G21:L21"/>
    <mergeCell ref="M21:N21"/>
    <mergeCell ref="A22:N22"/>
    <mergeCell ref="A23:N23"/>
    <mergeCell ref="A24:N24"/>
    <mergeCell ref="A25:N25"/>
    <mergeCell ref="A26:E26"/>
    <mergeCell ref="F26:N26"/>
    <mergeCell ref="A27:D27"/>
    <mergeCell ref="E27:I27"/>
    <mergeCell ref="J27:N27"/>
    <mergeCell ref="A28:D28"/>
    <mergeCell ref="E28:I28"/>
    <mergeCell ref="J28:N28"/>
    <mergeCell ref="J33:N33"/>
  </mergeCells>
  <printOptions headings="false" gridLines="false" gridLinesSet="true" horizontalCentered="false" verticalCentered="false"/>
  <pageMargins left="0.39375" right="0.39375" top="0.19652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6.5" zeroHeight="false" outlineLevelRow="0" outlineLevelCol="0"/>
  <cols>
    <col collapsed="false" customWidth="true" hidden="false" outlineLevel="0" max="1" min="1" style="1" width="3.89"/>
    <col collapsed="false" customWidth="true" hidden="false" outlineLevel="0" max="2" min="2" style="1" width="8.33"/>
    <col collapsed="false" customWidth="true" hidden="false" outlineLevel="0" max="3" min="3" style="1" width="7.78"/>
    <col collapsed="false" customWidth="true" hidden="false" outlineLevel="0" max="4" min="4" style="1" width="6.66"/>
    <col collapsed="false" customWidth="true" hidden="false" outlineLevel="0" max="5" min="5" style="1" width="12.11"/>
    <col collapsed="false" customWidth="true" hidden="false" outlineLevel="0" max="6" min="6" style="1" width="1.22"/>
    <col collapsed="false" customWidth="true" hidden="false" outlineLevel="0" max="7" min="7" style="1" width="1"/>
    <col collapsed="false" customWidth="true" hidden="false" outlineLevel="0" max="8" min="8" style="1" width="7.78"/>
    <col collapsed="false" customWidth="true" hidden="false" outlineLevel="0" max="9" min="9" style="1" width="4.55"/>
    <col collapsed="false" customWidth="true" hidden="false" outlineLevel="0" max="10" min="10" style="1" width="3.21"/>
    <col collapsed="false" customWidth="true" hidden="false" outlineLevel="0" max="11" min="11" style="1" width="1"/>
    <col collapsed="false" customWidth="true" hidden="false" outlineLevel="0" max="12" min="12" style="1" width="2.44"/>
    <col collapsed="false" customWidth="true" hidden="false" outlineLevel="0" max="13" min="13" style="1" width="8.22"/>
    <col collapsed="false" customWidth="true" hidden="false" outlineLevel="0" max="14" min="14" style="1" width="11.78"/>
    <col collapsed="false" customWidth="false" hidden="false" outlineLevel="0" max="16384" min="15" style="2" width="8.88"/>
  </cols>
  <sheetData>
    <row r="1" customFormat="false" ht="16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16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0.9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6.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6.5" hidden="false" customHeight="true" outlineLevel="0" collapsed="false">
      <c r="A6" s="6" t="s">
        <v>4</v>
      </c>
      <c r="B6" s="6"/>
      <c r="C6" s="6"/>
      <c r="D6" s="6"/>
      <c r="E6" s="6"/>
      <c r="F6" s="6"/>
      <c r="G6" s="7" t="s">
        <v>39</v>
      </c>
      <c r="H6" s="7"/>
      <c r="I6" s="7"/>
      <c r="J6" s="7"/>
      <c r="K6" s="7"/>
      <c r="L6" s="7"/>
      <c r="M6" s="7"/>
      <c r="N6" s="7"/>
    </row>
    <row r="8" customFormat="false" ht="16.5" hidden="false" customHeight="true" outlineLevel="0" collapsed="false">
      <c r="A8" s="8" t="s">
        <v>6</v>
      </c>
      <c r="B8" s="8"/>
      <c r="C8" s="8"/>
      <c r="D8" s="8"/>
      <c r="E8" s="8"/>
      <c r="F8" s="8"/>
      <c r="G8" s="8"/>
      <c r="H8" s="8"/>
      <c r="I8" s="8"/>
      <c r="J8" s="8"/>
      <c r="K8" s="8"/>
      <c r="L8" s="8" t="s">
        <v>7</v>
      </c>
      <c r="M8" s="8"/>
      <c r="N8" s="8"/>
    </row>
    <row r="9" customFormat="false" ht="29.85" hidden="false" customHeight="true" outlineLevel="0" collapsed="false">
      <c r="A9" s="8" t="s">
        <v>8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9</v>
      </c>
      <c r="M9" s="8"/>
      <c r="N9" s="8"/>
    </row>
    <row r="10" customFormat="false" ht="29.8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 t="s">
        <v>11</v>
      </c>
      <c r="M10" s="8"/>
      <c r="N10" s="8"/>
    </row>
    <row r="11" customFormat="false" ht="16.5" hidden="false" customHeight="true" outlineLevel="0" collapsed="false">
      <c r="A11" s="8" t="s">
        <v>12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16.5" hidden="false" customHeight="true" outlineLevel="0" collapsed="false">
      <c r="A12" s="8" t="s">
        <v>13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29.85" hidden="false" customHeight="true" outlineLevel="0" collapsed="false">
      <c r="A13" s="8" t="s">
        <v>40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16.5" hidden="false" customHeight="true" outlineLevel="0" collapsed="false">
      <c r="A14" s="8" t="s">
        <v>15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16.5" hidden="false" customHeight="true" outlineLevel="0" collapsed="false">
      <c r="A15" s="9" t="s">
        <v>16</v>
      </c>
      <c r="B15" s="9" t="s">
        <v>17</v>
      </c>
      <c r="C15" s="9" t="s">
        <v>18</v>
      </c>
      <c r="D15" s="9"/>
      <c r="E15" s="9"/>
      <c r="F15" s="9"/>
      <c r="G15" s="9"/>
      <c r="H15" s="9" t="s">
        <v>19</v>
      </c>
      <c r="I15" s="9" t="s">
        <v>20</v>
      </c>
      <c r="J15" s="9"/>
      <c r="K15" s="9" t="s">
        <v>21</v>
      </c>
      <c r="L15" s="9"/>
      <c r="M15" s="9"/>
      <c r="N15" s="9" t="s">
        <v>22</v>
      </c>
    </row>
    <row r="16" customFormat="false" ht="46.5" hidden="false" customHeight="true" outlineLevel="0" collapsed="false">
      <c r="A16" s="10" t="n">
        <v>1</v>
      </c>
      <c r="B16" s="11"/>
      <c r="C16" s="11" t="s">
        <v>41</v>
      </c>
      <c r="D16" s="11"/>
      <c r="E16" s="11"/>
      <c r="F16" s="11"/>
      <c r="G16" s="11"/>
      <c r="H16" s="11" t="s">
        <v>42</v>
      </c>
      <c r="I16" s="12" t="n">
        <v>5</v>
      </c>
      <c r="J16" s="12"/>
      <c r="K16" s="12" t="n">
        <v>19500</v>
      </c>
      <c r="L16" s="12"/>
      <c r="M16" s="12"/>
      <c r="N16" s="12" t="n">
        <f aca="false">I16*K16</f>
        <v>97500</v>
      </c>
    </row>
    <row r="17" customFormat="false" ht="46.5" hidden="false" customHeight="true" outlineLevel="0" collapsed="false">
      <c r="A17" s="10" t="n">
        <v>2</v>
      </c>
      <c r="B17" s="11"/>
      <c r="C17" s="11" t="s">
        <v>43</v>
      </c>
      <c r="D17" s="11"/>
      <c r="E17" s="11"/>
      <c r="F17" s="11"/>
      <c r="G17" s="11"/>
      <c r="H17" s="11" t="s">
        <v>42</v>
      </c>
      <c r="I17" s="12" t="n">
        <v>5</v>
      </c>
      <c r="J17" s="12"/>
      <c r="K17" s="12" t="n">
        <v>23500</v>
      </c>
      <c r="L17" s="12"/>
      <c r="M17" s="12"/>
      <c r="N17" s="12" t="n">
        <f aca="false">I17*K17</f>
        <v>117500</v>
      </c>
    </row>
    <row r="18" customFormat="false" ht="16.5" hidden="false" customHeight="true" outlineLevel="0" collapsed="false">
      <c r="A18" s="13" t="s">
        <v>27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4" t="n">
        <f aca="false">SUM(N16:N17)</f>
        <v>215000</v>
      </c>
    </row>
    <row r="19" customFormat="false" ht="12.75" hidden="false" customHeight="true" outlineLevel="0" collapsed="false">
      <c r="A19" s="15"/>
      <c r="B19" s="15"/>
      <c r="C19" s="15"/>
      <c r="D19" s="15"/>
      <c r="E19" s="15"/>
      <c r="F19" s="15"/>
      <c r="G19" s="16" t="s">
        <v>28</v>
      </c>
      <c r="H19" s="16"/>
      <c r="I19" s="16"/>
      <c r="J19" s="16"/>
      <c r="K19" s="16"/>
      <c r="L19" s="16"/>
      <c r="M19" s="17" t="n">
        <f aca="false">N18</f>
        <v>215000</v>
      </c>
      <c r="N19" s="17"/>
    </row>
    <row r="20" customFormat="false" ht="12.75" hidden="false" customHeight="true" outlineLevel="0" collapsed="false">
      <c r="A20" s="15" t="s">
        <v>29</v>
      </c>
      <c r="B20" s="15"/>
      <c r="C20" s="15"/>
      <c r="D20" s="18" t="n">
        <v>0.08</v>
      </c>
      <c r="E20" s="18"/>
      <c r="F20" s="18"/>
      <c r="G20" s="16" t="s">
        <v>30</v>
      </c>
      <c r="H20" s="16"/>
      <c r="I20" s="16"/>
      <c r="J20" s="16"/>
      <c r="K20" s="16"/>
      <c r="L20" s="16"/>
      <c r="M20" s="17" t="n">
        <f aca="false">M19*D20</f>
        <v>17200</v>
      </c>
      <c r="N20" s="17"/>
    </row>
    <row r="21" customFormat="false" ht="12.75" hidden="false" customHeight="true" outlineLevel="0" collapsed="false">
      <c r="A21" s="15"/>
      <c r="B21" s="15"/>
      <c r="C21" s="15"/>
      <c r="D21" s="15"/>
      <c r="E21" s="15"/>
      <c r="F21" s="15"/>
      <c r="G21" s="16" t="s">
        <v>31</v>
      </c>
      <c r="H21" s="16"/>
      <c r="I21" s="16"/>
      <c r="J21" s="16"/>
      <c r="K21" s="16"/>
      <c r="L21" s="16"/>
      <c r="M21" s="17" t="n">
        <f aca="false">M19+M20</f>
        <v>232200</v>
      </c>
      <c r="N21" s="17"/>
    </row>
    <row r="22" customFormat="false" ht="16.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="19" customFormat="true" ht="16.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="19" customFormat="true" ht="16.5" hidden="false" customHeight="true" outlineLevel="0" collapsed="false">
      <c r="A24" s="8" t="s">
        <v>44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="19" customFormat="true" ht="16.5" hidden="false" customHeight="true" outlineLevel="0" collapsed="false">
      <c r="A25" s="8" t="s">
        <v>45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16.5" hidden="false" customHeight="true" outlineLevel="0" collapsed="false">
      <c r="A26" s="20"/>
      <c r="B26" s="20"/>
      <c r="C26" s="20"/>
      <c r="D26" s="20"/>
      <c r="E26" s="20"/>
      <c r="F26" s="20" t="s">
        <v>3</v>
      </c>
      <c r="G26" s="20"/>
      <c r="H26" s="20"/>
      <c r="I26" s="20"/>
      <c r="J26" s="20"/>
      <c r="K26" s="20"/>
      <c r="L26" s="20"/>
      <c r="M26" s="20"/>
      <c r="N26" s="20"/>
    </row>
    <row r="27" customFormat="false" ht="16.5" hidden="false" customHeight="true" outlineLevel="0" collapsed="false">
      <c r="A27" s="7" t="s">
        <v>34</v>
      </c>
      <c r="B27" s="7"/>
      <c r="C27" s="7"/>
      <c r="D27" s="7"/>
      <c r="E27" s="7" t="s">
        <v>35</v>
      </c>
      <c r="F27" s="7"/>
      <c r="G27" s="7"/>
      <c r="H27" s="7"/>
      <c r="I27" s="7"/>
      <c r="J27" s="7" t="s">
        <v>36</v>
      </c>
      <c r="K27" s="7"/>
      <c r="L27" s="7"/>
      <c r="M27" s="7"/>
      <c r="N27" s="7"/>
    </row>
    <row r="28" customFormat="false" ht="16.5" hidden="false" customHeight="true" outlineLevel="0" collapsed="false">
      <c r="A28" s="21" t="s">
        <v>37</v>
      </c>
      <c r="B28" s="21"/>
      <c r="C28" s="21"/>
      <c r="D28" s="21"/>
      <c r="E28" s="21" t="s">
        <v>37</v>
      </c>
      <c r="F28" s="21"/>
      <c r="G28" s="21"/>
      <c r="H28" s="21"/>
      <c r="I28" s="21"/>
      <c r="J28" s="21" t="s">
        <v>38</v>
      </c>
      <c r="K28" s="21"/>
      <c r="L28" s="21"/>
      <c r="M28" s="21"/>
      <c r="N28" s="21"/>
    </row>
    <row r="33" customFormat="false" ht="16.5" hidden="false" customHeight="false" outlineLevel="0" collapsed="false">
      <c r="J33" s="22"/>
      <c r="K33" s="22"/>
      <c r="L33" s="22"/>
      <c r="M33" s="22"/>
      <c r="N33" s="22"/>
    </row>
  </sheetData>
  <mergeCells count="49">
    <mergeCell ref="A1:N1"/>
    <mergeCell ref="A2:N2"/>
    <mergeCell ref="A4:N4"/>
    <mergeCell ref="A5:N5"/>
    <mergeCell ref="A6:F6"/>
    <mergeCell ref="G6:N6"/>
    <mergeCell ref="A8:K8"/>
    <mergeCell ref="L8:N8"/>
    <mergeCell ref="A9:K9"/>
    <mergeCell ref="L9:N9"/>
    <mergeCell ref="A10:K10"/>
    <mergeCell ref="L10:N10"/>
    <mergeCell ref="A11:N11"/>
    <mergeCell ref="A12:N12"/>
    <mergeCell ref="A13:N13"/>
    <mergeCell ref="A14:N14"/>
    <mergeCell ref="C15:G15"/>
    <mergeCell ref="I15:J15"/>
    <mergeCell ref="K15:M15"/>
    <mergeCell ref="C16:G16"/>
    <mergeCell ref="I16:J16"/>
    <mergeCell ref="K16:M16"/>
    <mergeCell ref="C17:G17"/>
    <mergeCell ref="I17:J17"/>
    <mergeCell ref="K17:M17"/>
    <mergeCell ref="A18:M18"/>
    <mergeCell ref="A19:F19"/>
    <mergeCell ref="G19:L19"/>
    <mergeCell ref="M19:N19"/>
    <mergeCell ref="A20:C20"/>
    <mergeCell ref="D20:F20"/>
    <mergeCell ref="G20:L20"/>
    <mergeCell ref="M20:N20"/>
    <mergeCell ref="A21:F21"/>
    <mergeCell ref="G21:L21"/>
    <mergeCell ref="M21:N21"/>
    <mergeCell ref="A22:N22"/>
    <mergeCell ref="A23:N23"/>
    <mergeCell ref="A24:N24"/>
    <mergeCell ref="A25:N25"/>
    <mergeCell ref="A26:E26"/>
    <mergeCell ref="F26:N26"/>
    <mergeCell ref="A27:D27"/>
    <mergeCell ref="E27:I27"/>
    <mergeCell ref="J27:N27"/>
    <mergeCell ref="A28:D28"/>
    <mergeCell ref="E28:I28"/>
    <mergeCell ref="J28:N28"/>
    <mergeCell ref="J33:N33"/>
  </mergeCells>
  <printOptions headings="false" gridLines="false" gridLinesSet="true" horizontalCentered="false" verticalCentered="false"/>
  <pageMargins left="0.39375" right="0.39375" top="0.19652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2026-09-07T04:35:33Z</dcterms:created>
  <dc:creator>openpyxl</dc:creator>
  <dc:description/>
  <dc:language>en-US</dc:language>
  <cp:lastModifiedBy>Administrator</cp:lastModifiedBy>
  <cp:lastPrinted>2026-10-08T06:32:34Z</cp:lastPrinted>
  <dcterms:modified xsi:type="dcterms:W3CDTF">2026-10-22T07:02:53Z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