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ồn cuối" sheetId="1" state="visible" r:id="rId3"/>
    <sheet name="TINH MÀU" sheetId="2" state="visible" r:id="rId4"/>
    <sheet name="Màu đã pha" sheetId="3" state="visible" r:id="rId5"/>
    <sheet name="18 LÍT" sheetId="4" state="visible" r:id="rId6"/>
    <sheet name="5 LÍT" sheetId="5" state="visible" r:id="rId7"/>
    <sheet name="1 LÍT" sheetId="6" state="visible" r:id="rId8"/>
  </sheets>
  <definedNames>
    <definedName function="false" hidden="true" localSheetId="5" name="_xlnm._FilterDatabase" vbProcedure="false">'1 LÍT'!$A$5:$AN$52</definedName>
    <definedName function="false" hidden="true" localSheetId="3" name="_xlnm._FilterDatabase" vbProcedure="false">'18 LÍT'!$A$5:$AS$52</definedName>
    <definedName function="false" hidden="true" localSheetId="4" name="_xlnm._FilterDatabase" vbProcedure="false">'5 LÍT'!$A$5:$AQ$55</definedName>
    <definedName function="false" hidden="true" localSheetId="0" name="_xlnm._FilterDatabase" vbProcedure="false">'Tồn cuối'!$A$5:$O$52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<sst xmlns="http://schemas.openxmlformats.org/spreadsheetml/2006/main" count="307" uniqueCount="123">
  <si>
    <t xml:space="preserve">Tồn kho sơn tường Thực tế 9/10/2026</t>
  </si>
  <si>
    <t xml:space="preserve">Tồn Phần mềm</t>
  </si>
  <si>
    <t xml:space="preserve">Chênh</t>
  </si>
  <si>
    <t xml:space="preserve">Đặt sơn</t>
  </si>
  <si>
    <t xml:space="preserve">Số TT</t>
  </si>
  <si>
    <t xml:space="preserve">Chủng loại</t>
  </si>
  <si>
    <t xml:space="preserve">Đến hết ngày 09/10/2026</t>
  </si>
  <si>
    <t xml:space="preserve">Hết ngày 10/10/2026</t>
  </si>
  <si>
    <t xml:space="preserve">Thực tế − Phần mềm</t>
  </si>
  <si>
    <t xml:space="preserve">18L</t>
  </si>
  <si>
    <t xml:space="preserve">5L</t>
  </si>
  <si>
    <t xml:space="preserve">1L</t>
  </si>
  <si>
    <t xml:space="preserve">PI04</t>
  </si>
  <si>
    <t xml:space="preserve">PE02</t>
  </si>
  <si>
    <t xml:space="preserve">SPI03</t>
  </si>
  <si>
    <t xml:space="preserve">SPE01</t>
  </si>
  <si>
    <t xml:space="preserve">IEW</t>
  </si>
  <si>
    <t xml:space="preserve">CT12</t>
  </si>
  <si>
    <t xml:space="preserve">ETM-309</t>
  </si>
  <si>
    <t xml:space="preserve">CTS</t>
  </si>
  <si>
    <t xml:space="preserve">ISI B1</t>
  </si>
  <si>
    <t xml:space="preserve">ISI B2</t>
  </si>
  <si>
    <t xml:space="preserve">ISI B3</t>
  </si>
  <si>
    <t xml:space="preserve">ISI B4</t>
  </si>
  <si>
    <t xml:space="preserve">ESI B1</t>
  </si>
  <si>
    <t xml:space="preserve">ESI B2</t>
  </si>
  <si>
    <t xml:space="preserve">ESI B3</t>
  </si>
  <si>
    <t xml:space="preserve">ESI B4</t>
  </si>
  <si>
    <t xml:space="preserve">IL5</t>
  </si>
  <si>
    <t xml:space="preserve">EL5</t>
  </si>
  <si>
    <t xml:space="preserve">IG05-B1</t>
  </si>
  <si>
    <t xml:space="preserve">IG05-B2</t>
  </si>
  <si>
    <t xml:space="preserve">IG05-B3</t>
  </si>
  <si>
    <t xml:space="preserve">IG05-B4</t>
  </si>
  <si>
    <t xml:space="preserve">ISG06 B1</t>
  </si>
  <si>
    <t xml:space="preserve">IG06 B2</t>
  </si>
  <si>
    <t xml:space="preserve">IG06 B3</t>
  </si>
  <si>
    <t xml:space="preserve">IG06 B4</t>
  </si>
  <si>
    <t xml:space="preserve">EG09-B1</t>
  </si>
  <si>
    <t xml:space="preserve">EG09-B2</t>
  </si>
  <si>
    <t xml:space="preserve">EG09-B3</t>
  </si>
  <si>
    <t xml:space="preserve">EG09-B4</t>
  </si>
  <si>
    <t xml:space="preserve">ESG10-B1</t>
  </si>
  <si>
    <t xml:space="preserve">ESG10-B2</t>
  </si>
  <si>
    <t xml:space="preserve">ESG10-B3</t>
  </si>
  <si>
    <t xml:space="preserve">ESG10-B4</t>
  </si>
  <si>
    <t xml:space="preserve">I9-B1</t>
  </si>
  <si>
    <t xml:space="preserve">I9-B2</t>
  </si>
  <si>
    <t xml:space="preserve">I9-B3</t>
  </si>
  <si>
    <t xml:space="preserve">I9-B4</t>
  </si>
  <si>
    <t xml:space="preserve">E9-B1</t>
  </si>
  <si>
    <t xml:space="preserve">E9-B2</t>
  </si>
  <si>
    <t xml:space="preserve">E9-B3</t>
  </si>
  <si>
    <t xml:space="preserve">E9-B4</t>
  </si>
  <si>
    <t xml:space="preserve">ICL</t>
  </si>
  <si>
    <t xml:space="preserve">DECO</t>
  </si>
  <si>
    <t xml:space="preserve">ETM -99</t>
  </si>
  <si>
    <t xml:space="preserve">ETM-303</t>
  </si>
  <si>
    <t xml:space="preserve">Bả nội</t>
  </si>
  <si>
    <t xml:space="preserve">Bả ngoại</t>
  </si>
  <si>
    <t xml:space="preserve">ETM 05kg AP128-5</t>
  </si>
  <si>
    <t xml:space="preserve">ETM 18L IP320</t>
  </si>
  <si>
    <t xml:space="preserve">Bả IP201 (nội ngoại)</t>
  </si>
  <si>
    <t xml:space="preserve">Ghi chú: ô Phần mềm lấy từ file Tổng hợp tồn kho 01/01–10/10/2026 (cột Cuối kỳ). Chênh = Thực tế − Phần mềm (dương: thực tế nhiều hơn; âm đỏ: phần mềm nhiều hơn). Bột bả ghi ở cột 18L (bao 40kg). ETM 05kg AP128-5 ghi ở cột 5L.</t>
  </si>
  <si>
    <t xml:space="preserve">ETM-206</t>
  </si>
  <si>
    <t xml:space="preserve">Tồn kho Tinh MÀU </t>
  </si>
  <si>
    <t xml:space="preserve">Thực tế hết ngày 9-10</t>
  </si>
  <si>
    <t xml:space="preserve">Phần mềm hết ngày 10/10/2026</t>
  </si>
  <si>
    <t xml:space="preserve">Chênh (Thực tế − Phần mềm)</t>
  </si>
  <si>
    <t xml:space="preserve">Đặt tinh màu</t>
  </si>
  <si>
    <t xml:space="preserve">ST+A3:AN21T</t>
  </si>
  <si>
    <t xml:space="preserve">MÃ</t>
  </si>
  <si>
    <t xml:space="preserve">1 Lon</t>
  </si>
  <si>
    <t xml:space="preserve">STT</t>
  </si>
  <si>
    <t xml:space="preserve">1 lon</t>
  </si>
  <si>
    <t xml:space="preserve">AN</t>
  </si>
  <si>
    <t xml:space="preserve">AXX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</si>
  <si>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</si>
  <si>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</si>
  <si>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</si>
  <si>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</si>
  <si>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</si>
  <si>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</t>
  </si>
  <si>
    <t xml:space="preserve">KXX</t>
  </si>
  <si>
    <t xml:space="preserve">L</t>
  </si>
  <si>
    <t xml:space="preserve">R</t>
  </si>
  <si>
    <t xml:space="preserve">RN</t>
  </si>
  <si>
    <t xml:space="preserve">T</t>
  </si>
  <si>
    <t xml:space="preserve">V</t>
  </si>
  <si>
    <t xml:space="preserve">KX</t>
  </si>
  <si>
    <t xml:space="preserve">Phần mềm tính theo Lít, kiểm kê tính theo lon (coi 1 lon = 1 lít). Mã AN, D, I, KXX, R, RN, V không có mã trên phần mềm → ghi 0.</t>
  </si>
  <si>
    <t xml:space="preserve">Đã Pha hết 9/10/2026</t>
  </si>
  <si>
    <t xml:space="preserve">Màu</t>
  </si>
  <si>
    <t xml:space="preserve">DECO-079</t>
  </si>
  <si>
    <t xml:space="preserve">ISI-099</t>
  </si>
  <si>
    <t xml:space="preserve">xanh</t>
  </si>
  <si>
    <t xml:space="preserve">EG09 135</t>
  </si>
  <si>
    <t xml:space="preserve">IG05-057</t>
  </si>
  <si>
    <t xml:space="preserve">IG05-134</t>
  </si>
  <si>
    <t xml:space="preserve">IG06-182</t>
  </si>
  <si>
    <t xml:space="preserve">vàng</t>
  </si>
  <si>
    <t xml:space="preserve">EG09 (Trắng sứ)</t>
  </si>
  <si>
    <t xml:space="preserve">IG05-211</t>
  </si>
  <si>
    <t xml:space="preserve">IG05- 333</t>
  </si>
  <si>
    <t xml:space="preserve">IG05-138</t>
  </si>
  <si>
    <t xml:space="preserve">ESI-343</t>
  </si>
  <si>
    <t xml:space="preserve">E9-013</t>
  </si>
  <si>
    <t xml:space="preserve">EG09  128-6</t>
  </si>
  <si>
    <t xml:space="preserve">Tồn kho sơn tường hết 9/10/2026</t>
  </si>
  <si>
    <t xml:space="preserve">NHÀ</t>
  </si>
  <si>
    <t xml:space="preserve">Việt</t>
  </si>
  <si>
    <t xml:space="preserve">Tổng xuất </t>
  </si>
  <si>
    <t xml:space="preserve">C Dung 3/1</t>
  </si>
  <si>
    <t xml:space="preserve">Tồn cuối</t>
  </si>
  <si>
    <t xml:space="preserve">IG06 B1</t>
  </si>
  <si>
    <t xml:space="preserve">ETM -303</t>
  </si>
  <si>
    <t xml:space="preserve">Việt Lan</t>
  </si>
  <si>
    <t xml:space="preserve">Tồn kho sơn tường hết 18/7/2026</t>
  </si>
  <si>
    <t xml:space="preserve">5l</t>
  </si>
  <si>
    <t xml:space="preserve">I9- 99</t>
  </si>
  <si>
    <t xml:space="preserve">E9 -99</t>
  </si>
  <si>
    <t xml:space="preserve">ETM-99</t>
  </si>
  <si>
    <t xml:space="preserve">Nhập NM 23/12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</si>
</sst>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??_);_(@_)"/>
    <numFmt numFmtId="167" formatCode="#,##0"/>
    <numFmt numFmtId="168" formatCode="#,##0;[RED]\-#,##0;\-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 val="true"/>
      <sz val="9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4" tint="0.3999"/>
        <bgColor rgb="FFC0C0C0"/>
      </patternFill>
    </fill>
    <fill>
      <patternFill patternType="solid">
        <fgColor theme="0"/>
        <bgColor rgb="FFFBE5D6"/>
      </patternFill>
    </fill>
    <fill>
      <patternFill patternType="solid">
        <fgColor theme="5" tint="0.5999"/>
        <bgColor rgb="FFFBE5D6"/>
      </patternFill>
    </fill>
    <fill>
      <patternFill patternType="solid">
        <fgColor rgb="FFFFC000"/>
        <bgColor rgb="FFFF9900"/>
      </patternFill>
    </fill>
    <fill>
      <patternFill patternType="solid">
        <fgColor theme="5" tint="0.7999"/>
        <bgColor rgb="FFF8CBA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9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3046875" defaultRowHeight="18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2" width="13.91"/>
    <col collapsed="false" customWidth="true" hidden="false" outlineLevel="0" max="11" min="3" style="2" width="12.27"/>
    <col collapsed="false" customWidth="true" hidden="false" outlineLevel="0" max="12" min="12" style="2" width="10.18"/>
    <col collapsed="false" customWidth="true" hidden="false" outlineLevel="0" max="14" min="13" style="2" width="8.82"/>
    <col collapsed="false" customWidth="true" hidden="false" outlineLevel="0" max="15" min="15" style="3" width="3.91"/>
    <col collapsed="false" customWidth="false" hidden="false" outlineLevel="0" max="16384" min="16" style="2" width="8.73"/>
  </cols>
  <sheetData>
    <row r="2" customFormat="false" ht="18" hidden="false" customHeight="false" outlineLevel="0" collapsed="false">
      <c r="B2" s="4" t="s">
        <v>0</v>
      </c>
      <c r="C2" s="4"/>
      <c r="D2" s="4"/>
      <c r="E2" s="4"/>
      <c r="F2" s="4" t="s">
        <v>1</v>
      </c>
      <c r="G2" s="4"/>
      <c r="H2" s="4"/>
      <c r="I2" s="4" t="s">
        <v>2</v>
      </c>
      <c r="J2" s="4"/>
      <c r="K2" s="4"/>
      <c r="L2" s="5" t="s">
        <v>3</v>
      </c>
      <c r="M2" s="5"/>
      <c r="N2" s="5"/>
    </row>
    <row r="3" customFormat="false" ht="18" hidden="false" customHeight="false" outlineLevel="0" collapsed="false">
      <c r="A3" s="6" t="s">
        <v>4</v>
      </c>
      <c r="B3" s="7" t="s">
        <v>5</v>
      </c>
      <c r="C3" s="8" t="s">
        <v>6</v>
      </c>
      <c r="D3" s="8"/>
      <c r="E3" s="8"/>
      <c r="F3" s="8" t="s">
        <v>7</v>
      </c>
      <c r="G3" s="8"/>
      <c r="H3" s="8"/>
      <c r="I3" s="8" t="s">
        <v>8</v>
      </c>
      <c r="J3" s="8"/>
      <c r="K3" s="8"/>
      <c r="L3" s="5"/>
      <c r="M3" s="5"/>
      <c r="N3" s="5"/>
    </row>
    <row r="4" s="10" customFormat="true" ht="14.25" hidden="false" customHeight="true" outlineLevel="0" collapsed="false">
      <c r="A4" s="6"/>
      <c r="B4" s="6"/>
      <c r="C4" s="7" t="s">
        <v>9</v>
      </c>
      <c r="D4" s="7" t="s">
        <v>10</v>
      </c>
      <c r="E4" s="7" t="s">
        <v>11</v>
      </c>
      <c r="F4" s="7" t="s">
        <v>9</v>
      </c>
      <c r="G4" s="7" t="s">
        <v>10</v>
      </c>
      <c r="H4" s="7" t="s">
        <v>11</v>
      </c>
      <c r="I4" s="7" t="s">
        <v>9</v>
      </c>
      <c r="J4" s="7" t="s">
        <v>10</v>
      </c>
      <c r="K4" s="7" t="s">
        <v>11</v>
      </c>
      <c r="L4" s="7" t="s">
        <v>9</v>
      </c>
      <c r="M4" s="7" t="s">
        <v>10</v>
      </c>
      <c r="N4" s="7" t="s">
        <v>11</v>
      </c>
      <c r="O4" s="9"/>
    </row>
    <row r="5" s="10" customFormat="true" ht="18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/>
    </row>
    <row r="6" customFormat="false" ht="18" hidden="false" customHeight="false" outlineLevel="0" collapsed="false">
      <c r="A6" s="11"/>
      <c r="B6" s="12"/>
      <c r="C6" s="12" t="n">
        <f aca="false">SUM(C7:C57)</f>
        <v>1301</v>
      </c>
      <c r="D6" s="12" t="n">
        <f aca="false">SUM(D7:D57)</f>
        <v>750</v>
      </c>
      <c r="E6" s="12" t="n">
        <f aca="false">SUM(E7:E57)</f>
        <v>350</v>
      </c>
      <c r="F6" s="12" t="n">
        <f aca="false">SUM(F7:F57)</f>
        <v>3063</v>
      </c>
      <c r="G6" s="12" t="n">
        <f aca="false">SUM(G7:G57)</f>
        <v>1556</v>
      </c>
      <c r="H6" s="12" t="n">
        <f aca="false">SUM(H7:H57)</f>
        <v>740</v>
      </c>
      <c r="I6" s="12" t="n">
        <f aca="false">SUM(I7:I57)</f>
        <v>-1762</v>
      </c>
      <c r="J6" s="12" t="n">
        <f aca="false">SUM(J7:J57)</f>
        <v>-806</v>
      </c>
      <c r="K6" s="12" t="n">
        <f aca="false">SUM(K7:K57)</f>
        <v>-390</v>
      </c>
      <c r="L6" s="12" t="n">
        <f aca="false">SUM(L7:L57)</f>
        <v>0</v>
      </c>
      <c r="M6" s="12" t="n">
        <f aca="false">SUM(M7:M57)</f>
        <v>0</v>
      </c>
      <c r="N6" s="12" t="n">
        <f aca="false">SUM(N7:N57)</f>
        <v>0</v>
      </c>
    </row>
    <row r="7" customFormat="false" ht="18" hidden="false" customHeight="false" outlineLevel="0" collapsed="false">
      <c r="A7" s="13" t="n">
        <v>1</v>
      </c>
      <c r="B7" s="14" t="s">
        <v>12</v>
      </c>
      <c r="C7" s="15" t="n">
        <f aca="false">'18 LÍT'!C7</f>
        <v>207</v>
      </c>
      <c r="D7" s="15" t="n">
        <f aca="false">'5 LÍT'!C7</f>
        <v>2</v>
      </c>
      <c r="E7" s="15"/>
      <c r="F7" s="16" t="n">
        <v>221</v>
      </c>
      <c r="G7" s="16" t="n">
        <v>0</v>
      </c>
      <c r="H7" s="15"/>
      <c r="I7" s="17" t="n">
        <f aca="false">N(C7)-F7</f>
        <v>-14</v>
      </c>
      <c r="J7" s="17" t="n">
        <f aca="false">N(D7)-G7</f>
        <v>2</v>
      </c>
      <c r="K7" s="15"/>
      <c r="L7" s="18"/>
      <c r="M7" s="18"/>
      <c r="N7" s="18"/>
    </row>
    <row r="8" customFormat="false" ht="18" hidden="false" customHeight="false" outlineLevel="0" collapsed="false">
      <c r="A8" s="13" t="n">
        <v>2</v>
      </c>
      <c r="B8" s="14" t="s">
        <v>13</v>
      </c>
      <c r="C8" s="15" t="n">
        <f aca="false">'18 LÍT'!C8</f>
        <v>217</v>
      </c>
      <c r="D8" s="15" t="n">
        <f aca="false">'5 LÍT'!C8</f>
        <v>0</v>
      </c>
      <c r="E8" s="15"/>
      <c r="F8" s="16" t="n">
        <v>240</v>
      </c>
      <c r="G8" s="16" t="n">
        <v>60</v>
      </c>
      <c r="H8" s="15"/>
      <c r="I8" s="17" t="n">
        <f aca="false">N(C8)-F8</f>
        <v>-23</v>
      </c>
      <c r="J8" s="17" t="n">
        <f aca="false">N(D8)-G8</f>
        <v>-60</v>
      </c>
      <c r="K8" s="15"/>
      <c r="L8" s="18"/>
      <c r="M8" s="18"/>
      <c r="N8" s="18"/>
    </row>
    <row r="9" s="2" customFormat="true" ht="18" hidden="false" customHeight="false" outlineLevel="0" collapsed="false">
      <c r="A9" s="13" t="n">
        <v>3</v>
      </c>
      <c r="B9" s="14" t="s">
        <v>14</v>
      </c>
      <c r="C9" s="15" t="n">
        <f aca="false">'18 LÍT'!C9</f>
        <v>20</v>
      </c>
      <c r="D9" s="15" t="n">
        <f aca="false">'5 LÍT'!C9</f>
        <v>7</v>
      </c>
      <c r="E9" s="15"/>
      <c r="F9" s="16" t="n">
        <v>20</v>
      </c>
      <c r="G9" s="16" t="n">
        <v>0</v>
      </c>
      <c r="H9" s="15"/>
      <c r="I9" s="17" t="n">
        <f aca="false">N(C9)-F9</f>
        <v>0</v>
      </c>
      <c r="J9" s="17" t="n">
        <f aca="false">N(D9)-G9</f>
        <v>7</v>
      </c>
      <c r="K9" s="15"/>
      <c r="L9" s="18"/>
      <c r="M9" s="18"/>
      <c r="N9" s="18"/>
    </row>
    <row r="10" s="2" customFormat="true" ht="18" hidden="false" customHeight="false" outlineLevel="0" collapsed="false">
      <c r="A10" s="13" t="n">
        <v>4</v>
      </c>
      <c r="B10" s="14" t="s">
        <v>15</v>
      </c>
      <c r="C10" s="15" t="n">
        <f aca="false">'18 LÍT'!C10</f>
        <v>14</v>
      </c>
      <c r="D10" s="15" t="n">
        <f aca="false">'5 LÍT'!C10</f>
        <v>4</v>
      </c>
      <c r="E10" s="15"/>
      <c r="F10" s="16" t="n">
        <v>35</v>
      </c>
      <c r="G10" s="16" t="n">
        <v>0</v>
      </c>
      <c r="H10" s="15"/>
      <c r="I10" s="17" t="n">
        <f aca="false">N(C10)-F10</f>
        <v>-21</v>
      </c>
      <c r="J10" s="17" t="n">
        <f aca="false">N(D10)-G10</f>
        <v>4</v>
      </c>
      <c r="K10" s="15"/>
      <c r="L10" s="18"/>
      <c r="M10" s="18"/>
      <c r="N10" s="18"/>
    </row>
    <row r="11" customFormat="false" ht="18" hidden="false" customHeight="false" outlineLevel="0" collapsed="false">
      <c r="A11" s="13" t="n">
        <v>5</v>
      </c>
      <c r="B11" s="14" t="s">
        <v>16</v>
      </c>
      <c r="C11" s="15" t="n">
        <f aca="false">'18 LÍT'!C11</f>
        <v>1</v>
      </c>
      <c r="D11" s="15" t="n">
        <f aca="false">'5 LÍT'!C11</f>
        <v>17</v>
      </c>
      <c r="E11" s="15"/>
      <c r="F11" s="16" t="n">
        <v>99</v>
      </c>
      <c r="G11" s="16" t="n">
        <v>72</v>
      </c>
      <c r="H11" s="15"/>
      <c r="I11" s="17" t="n">
        <f aca="false">N(C11)-F11</f>
        <v>-98</v>
      </c>
      <c r="J11" s="17" t="n">
        <f aca="false">N(D11)-G11</f>
        <v>-55</v>
      </c>
      <c r="K11" s="15"/>
      <c r="L11" s="18"/>
      <c r="M11" s="18"/>
      <c r="N11" s="18"/>
    </row>
    <row r="12" s="2" customFormat="true" ht="18" hidden="false" customHeight="false" outlineLevel="0" collapsed="false">
      <c r="A12" s="13" t="n">
        <v>6</v>
      </c>
      <c r="B12" s="14" t="s">
        <v>17</v>
      </c>
      <c r="C12" s="15" t="n">
        <f aca="false">'18 LÍT'!C12</f>
        <v>24</v>
      </c>
      <c r="D12" s="15" t="n">
        <f aca="false">'5 LÍT'!C12</f>
        <v>29</v>
      </c>
      <c r="E12" s="15"/>
      <c r="F12" s="16" t="n">
        <v>80</v>
      </c>
      <c r="G12" s="16" t="n">
        <v>70</v>
      </c>
      <c r="H12" s="15"/>
      <c r="I12" s="17" t="n">
        <f aca="false">N(C12)-F12</f>
        <v>-56</v>
      </c>
      <c r="J12" s="17" t="n">
        <f aca="false">N(D12)-G12</f>
        <v>-41</v>
      </c>
      <c r="K12" s="15"/>
      <c r="L12" s="18"/>
      <c r="M12" s="18"/>
      <c r="N12" s="18"/>
    </row>
    <row r="13" s="2" customFormat="true" ht="18" hidden="false" customHeight="false" outlineLevel="0" collapsed="false">
      <c r="A13" s="13" t="n">
        <v>7</v>
      </c>
      <c r="B13" s="14" t="s">
        <v>18</v>
      </c>
      <c r="C13" s="15" t="n">
        <f aca="false">'18 LÍT'!C13</f>
        <v>77</v>
      </c>
      <c r="D13" s="15" t="n">
        <f aca="false">'5 LÍT'!C13</f>
        <v>44</v>
      </c>
      <c r="E13" s="15"/>
      <c r="F13" s="16" t="n">
        <v>90</v>
      </c>
      <c r="G13" s="16" t="n">
        <v>31</v>
      </c>
      <c r="H13" s="15"/>
      <c r="I13" s="17" t="n">
        <f aca="false">N(C13)-F13</f>
        <v>-13</v>
      </c>
      <c r="J13" s="17" t="n">
        <f aca="false">N(D13)-G13</f>
        <v>13</v>
      </c>
      <c r="K13" s="15"/>
      <c r="L13" s="18"/>
      <c r="M13" s="18"/>
      <c r="N13" s="18"/>
    </row>
    <row r="14" customFormat="false" ht="18" hidden="false" customHeight="false" outlineLevel="0" collapsed="false">
      <c r="A14" s="19" t="n">
        <v>8</v>
      </c>
      <c r="B14" s="20" t="s">
        <v>19</v>
      </c>
      <c r="C14" s="15" t="n">
        <f aca="false">'18 LÍT'!C14</f>
        <v>4</v>
      </c>
      <c r="D14" s="15" t="n">
        <f aca="false">'5 LÍT'!C14</f>
        <v>11</v>
      </c>
      <c r="E14" s="15"/>
      <c r="F14" s="16" t="n">
        <v>101</v>
      </c>
      <c r="G14" s="16" t="n">
        <v>21</v>
      </c>
      <c r="H14" s="15"/>
      <c r="I14" s="17" t="n">
        <f aca="false">N(C14)-F14</f>
        <v>-97</v>
      </c>
      <c r="J14" s="17" t="n">
        <f aca="false">N(D14)-G14</f>
        <v>-10</v>
      </c>
      <c r="K14" s="15"/>
      <c r="L14" s="18"/>
      <c r="M14" s="18"/>
      <c r="N14" s="18"/>
    </row>
    <row r="15" s="2" customFormat="true" ht="18" hidden="false" customHeight="false" outlineLevel="0" collapsed="false">
      <c r="A15" s="13" t="n">
        <v>9</v>
      </c>
      <c r="B15" s="21" t="s">
        <v>20</v>
      </c>
      <c r="C15" s="15" t="n">
        <f aca="false">'18 LÍT'!C15</f>
        <v>57</v>
      </c>
      <c r="D15" s="15" t="n">
        <f aca="false">'5 LÍT'!C15</f>
        <v>21</v>
      </c>
      <c r="E15" s="15"/>
      <c r="F15" s="16" t="n">
        <v>202</v>
      </c>
      <c r="G15" s="16" t="n">
        <v>46</v>
      </c>
      <c r="H15" s="15"/>
      <c r="I15" s="17" t="n">
        <f aca="false">N(C15)-F15</f>
        <v>-145</v>
      </c>
      <c r="J15" s="17" t="n">
        <f aca="false">N(D15)-G15</f>
        <v>-25</v>
      </c>
      <c r="K15" s="15"/>
      <c r="L15" s="18"/>
      <c r="M15" s="18"/>
      <c r="N15" s="18"/>
    </row>
    <row r="16" s="2" customFormat="true" ht="18" hidden="false" customHeight="false" outlineLevel="0" collapsed="false">
      <c r="A16" s="13" t="n">
        <v>10</v>
      </c>
      <c r="B16" s="21" t="s">
        <v>21</v>
      </c>
      <c r="C16" s="15" t="n">
        <f aca="false">'18 LÍT'!C16</f>
        <v>0</v>
      </c>
      <c r="D16" s="15" t="n">
        <f aca="false">'5 LÍT'!C16</f>
        <v>0</v>
      </c>
      <c r="E16" s="15"/>
      <c r="F16" s="16" t="n">
        <v>0</v>
      </c>
      <c r="G16" s="16" t="n">
        <v>0</v>
      </c>
      <c r="H16" s="15"/>
      <c r="I16" s="17" t="n">
        <f aca="false">N(C16)-F16</f>
        <v>0</v>
      </c>
      <c r="J16" s="17" t="n">
        <f aca="false">N(D16)-G16</f>
        <v>0</v>
      </c>
      <c r="K16" s="15"/>
      <c r="L16" s="18"/>
      <c r="M16" s="18"/>
      <c r="N16" s="18"/>
    </row>
    <row r="17" s="2" customFormat="true" ht="18" hidden="false" customHeight="false" outlineLevel="0" collapsed="false">
      <c r="A17" s="13" t="n">
        <v>11</v>
      </c>
      <c r="B17" s="21" t="s">
        <v>22</v>
      </c>
      <c r="C17" s="15" t="n">
        <f aca="false">'18 LÍT'!C17</f>
        <v>0</v>
      </c>
      <c r="D17" s="15" t="n">
        <f aca="false">'5 LÍT'!C17</f>
        <v>0</v>
      </c>
      <c r="E17" s="15"/>
      <c r="F17" s="16" t="n">
        <v>0</v>
      </c>
      <c r="G17" s="16" t="n">
        <v>0</v>
      </c>
      <c r="H17" s="15"/>
      <c r="I17" s="17" t="n">
        <f aca="false">N(C17)-F17</f>
        <v>0</v>
      </c>
      <c r="J17" s="17" t="n">
        <f aca="false">N(D17)-G17</f>
        <v>0</v>
      </c>
      <c r="K17" s="15"/>
      <c r="L17" s="18"/>
      <c r="M17" s="18"/>
      <c r="N17" s="18"/>
    </row>
    <row r="18" s="2" customFormat="true" ht="18" hidden="false" customHeight="false" outlineLevel="0" collapsed="false">
      <c r="A18" s="13" t="n">
        <v>12</v>
      </c>
      <c r="B18" s="21" t="s">
        <v>23</v>
      </c>
      <c r="C18" s="15" t="n">
        <f aca="false">'18 LÍT'!C18</f>
        <v>0</v>
      </c>
      <c r="D18" s="15" t="n">
        <f aca="false">'5 LÍT'!C18</f>
        <v>0</v>
      </c>
      <c r="E18" s="15"/>
      <c r="F18" s="16" t="n">
        <v>0</v>
      </c>
      <c r="G18" s="16" t="n">
        <v>0</v>
      </c>
      <c r="H18" s="15"/>
      <c r="I18" s="17" t="n">
        <f aca="false">N(C18)-F18</f>
        <v>0</v>
      </c>
      <c r="J18" s="17" t="n">
        <f aca="false">N(D18)-G18</f>
        <v>0</v>
      </c>
      <c r="K18" s="15"/>
      <c r="L18" s="18"/>
      <c r="M18" s="18"/>
      <c r="N18" s="18"/>
    </row>
    <row r="19" customFormat="false" ht="18" hidden="false" customHeight="false" outlineLevel="0" collapsed="false">
      <c r="A19" s="13" t="n">
        <v>13</v>
      </c>
      <c r="B19" s="14" t="s">
        <v>24</v>
      </c>
      <c r="C19" s="15" t="n">
        <f aca="false">'18 LÍT'!C19</f>
        <v>67</v>
      </c>
      <c r="D19" s="15" t="n">
        <f aca="false">'5 LÍT'!C19</f>
        <v>27</v>
      </c>
      <c r="E19" s="15"/>
      <c r="F19" s="16" t="n">
        <v>63</v>
      </c>
      <c r="G19" s="16" t="n">
        <v>62</v>
      </c>
      <c r="H19" s="15"/>
      <c r="I19" s="17" t="n">
        <f aca="false">N(C19)-F19</f>
        <v>4</v>
      </c>
      <c r="J19" s="17" t="n">
        <f aca="false">N(D19)-G19</f>
        <v>-35</v>
      </c>
      <c r="K19" s="15"/>
      <c r="L19" s="18"/>
      <c r="M19" s="18"/>
      <c r="N19" s="18"/>
    </row>
    <row r="20" s="2" customFormat="true" ht="18" hidden="false" customHeight="false" outlineLevel="0" collapsed="false">
      <c r="A20" s="13" t="n">
        <v>14</v>
      </c>
      <c r="B20" s="14" t="s">
        <v>25</v>
      </c>
      <c r="C20" s="15" t="n">
        <f aca="false">'18 LÍT'!C20</f>
        <v>0</v>
      </c>
      <c r="D20" s="15" t="n">
        <f aca="false">'5 LÍT'!C20</f>
        <v>0</v>
      </c>
      <c r="E20" s="15"/>
      <c r="F20" s="16" t="n">
        <v>0</v>
      </c>
      <c r="G20" s="16" t="n">
        <v>16</v>
      </c>
      <c r="H20" s="15"/>
      <c r="I20" s="17" t="n">
        <f aca="false">N(C20)-F20</f>
        <v>0</v>
      </c>
      <c r="J20" s="17" t="n">
        <f aca="false">N(D20)-G20</f>
        <v>-16</v>
      </c>
      <c r="K20" s="15"/>
      <c r="L20" s="18"/>
      <c r="M20" s="18"/>
      <c r="N20" s="18"/>
    </row>
    <row r="21" s="2" customFormat="true" ht="18" hidden="false" customHeight="false" outlineLevel="0" collapsed="false">
      <c r="A21" s="13" t="n">
        <v>15</v>
      </c>
      <c r="B21" s="14" t="s">
        <v>26</v>
      </c>
      <c r="C21" s="15" t="n">
        <f aca="false">'18 LÍT'!C21</f>
        <v>0</v>
      </c>
      <c r="D21" s="15" t="n">
        <f aca="false">'5 LÍT'!C21</f>
        <v>0</v>
      </c>
      <c r="E21" s="15"/>
      <c r="F21" s="16" t="n">
        <v>0</v>
      </c>
      <c r="G21" s="16" t="n">
        <v>0</v>
      </c>
      <c r="H21" s="15"/>
      <c r="I21" s="17" t="n">
        <f aca="false">N(C21)-F21</f>
        <v>0</v>
      </c>
      <c r="J21" s="17" t="n">
        <f aca="false">N(D21)-G21</f>
        <v>0</v>
      </c>
      <c r="K21" s="15"/>
      <c r="L21" s="18"/>
      <c r="M21" s="18"/>
      <c r="N21" s="18"/>
    </row>
    <row r="22" s="2" customFormat="true" ht="18" hidden="false" customHeight="false" outlineLevel="0" collapsed="false">
      <c r="A22" s="13" t="n">
        <v>16</v>
      </c>
      <c r="B22" s="14" t="s">
        <v>27</v>
      </c>
      <c r="C22" s="15" t="n">
        <f aca="false">'18 LÍT'!C22</f>
        <v>0</v>
      </c>
      <c r="D22" s="15" t="n">
        <f aca="false">'5 LÍT'!C22</f>
        <v>0</v>
      </c>
      <c r="E22" s="15"/>
      <c r="F22" s="16" t="n">
        <v>0</v>
      </c>
      <c r="G22" s="16" t="n">
        <v>0</v>
      </c>
      <c r="H22" s="15"/>
      <c r="I22" s="17" t="n">
        <f aca="false">N(C22)-F22</f>
        <v>0</v>
      </c>
      <c r="J22" s="17" t="n">
        <f aca="false">N(D22)-G22</f>
        <v>0</v>
      </c>
      <c r="K22" s="15"/>
      <c r="L22" s="18"/>
      <c r="M22" s="18"/>
      <c r="N22" s="18"/>
    </row>
    <row r="23" s="2" customFormat="true" ht="18" hidden="false" customHeight="false" outlineLevel="0" collapsed="false">
      <c r="A23" s="13" t="n">
        <v>17</v>
      </c>
      <c r="B23" s="14" t="s">
        <v>28</v>
      </c>
      <c r="C23" s="15" t="n">
        <f aca="false">'18 LÍT'!C23</f>
        <v>52</v>
      </c>
      <c r="D23" s="15" t="n">
        <f aca="false">'5 LÍT'!C23</f>
        <v>19</v>
      </c>
      <c r="E23" s="15"/>
      <c r="F23" s="16" t="n">
        <v>316</v>
      </c>
      <c r="G23" s="16" t="n">
        <v>76</v>
      </c>
      <c r="H23" s="15"/>
      <c r="I23" s="17" t="n">
        <f aca="false">N(C23)-F23</f>
        <v>-264</v>
      </c>
      <c r="J23" s="17" t="n">
        <f aca="false">N(D23)-G23</f>
        <v>-57</v>
      </c>
      <c r="K23" s="15"/>
      <c r="L23" s="18"/>
      <c r="M23" s="18"/>
      <c r="N23" s="18"/>
    </row>
    <row r="24" s="2" customFormat="true" ht="18" hidden="false" customHeight="false" outlineLevel="0" collapsed="false">
      <c r="A24" s="13" t="n">
        <v>18</v>
      </c>
      <c r="B24" s="14" t="s">
        <v>29</v>
      </c>
      <c r="C24" s="15" t="n">
        <f aca="false">'18 LÍT'!C24</f>
        <v>53</v>
      </c>
      <c r="D24" s="15" t="n">
        <f aca="false">'5 LÍT'!C24</f>
        <v>21</v>
      </c>
      <c r="E24" s="15"/>
      <c r="F24" s="16" t="n">
        <v>132</v>
      </c>
      <c r="G24" s="16" t="n">
        <v>72</v>
      </c>
      <c r="H24" s="15"/>
      <c r="I24" s="17" t="n">
        <f aca="false">N(C24)-F24</f>
        <v>-79</v>
      </c>
      <c r="J24" s="17" t="n">
        <f aca="false">N(D24)-G24</f>
        <v>-51</v>
      </c>
      <c r="K24" s="15"/>
      <c r="L24" s="18"/>
      <c r="M24" s="18"/>
      <c r="N24" s="18"/>
    </row>
    <row r="25" customFormat="false" ht="18" hidden="false" customHeight="false" outlineLevel="0" collapsed="false">
      <c r="A25" s="13" t="n">
        <v>19</v>
      </c>
      <c r="B25" s="21" t="s">
        <v>30</v>
      </c>
      <c r="C25" s="15" t="n">
        <f aca="false">'18 LÍT'!C25</f>
        <v>102</v>
      </c>
      <c r="D25" s="15" t="n">
        <f aca="false">'5 LÍT'!C25</f>
        <v>94</v>
      </c>
      <c r="E25" s="15"/>
      <c r="F25" s="16" t="n">
        <v>156</v>
      </c>
      <c r="G25" s="16" t="n">
        <v>152</v>
      </c>
      <c r="H25" s="15"/>
      <c r="I25" s="17" t="n">
        <f aca="false">N(C25)-F25</f>
        <v>-54</v>
      </c>
      <c r="J25" s="17" t="n">
        <f aca="false">N(D25)-G25</f>
        <v>-58</v>
      </c>
      <c r="K25" s="15"/>
      <c r="L25" s="18"/>
      <c r="M25" s="18"/>
      <c r="N25" s="18"/>
    </row>
    <row r="26" s="2" customFormat="true" ht="18" hidden="false" customHeight="false" outlineLevel="0" collapsed="false">
      <c r="A26" s="13" t="n">
        <v>20</v>
      </c>
      <c r="B26" s="21" t="s">
        <v>31</v>
      </c>
      <c r="C26" s="15" t="n">
        <f aca="false">'18 LÍT'!C26</f>
        <v>0</v>
      </c>
      <c r="D26" s="15" t="n">
        <f aca="false">'5 LÍT'!C26</f>
        <v>0</v>
      </c>
      <c r="E26" s="15"/>
      <c r="F26" s="16" t="n">
        <v>0</v>
      </c>
      <c r="G26" s="16" t="n">
        <v>0</v>
      </c>
      <c r="H26" s="15"/>
      <c r="I26" s="17" t="n">
        <f aca="false">N(C26)-F26</f>
        <v>0</v>
      </c>
      <c r="J26" s="17" t="n">
        <f aca="false">N(D26)-G26</f>
        <v>0</v>
      </c>
      <c r="K26" s="15"/>
      <c r="L26" s="18"/>
      <c r="M26" s="18"/>
      <c r="N26" s="18"/>
    </row>
    <row r="27" s="2" customFormat="true" ht="18" hidden="false" customHeight="false" outlineLevel="0" collapsed="false">
      <c r="A27" s="13" t="n">
        <v>21</v>
      </c>
      <c r="B27" s="21" t="s">
        <v>32</v>
      </c>
      <c r="C27" s="15" t="n">
        <f aca="false">'18 LÍT'!C27</f>
        <v>0</v>
      </c>
      <c r="D27" s="15" t="n">
        <f aca="false">'5 LÍT'!C27</f>
        <v>0</v>
      </c>
      <c r="E27" s="15"/>
      <c r="F27" s="16" t="n">
        <v>0</v>
      </c>
      <c r="G27" s="16" t="n">
        <v>0</v>
      </c>
      <c r="H27" s="15"/>
      <c r="I27" s="17" t="n">
        <f aca="false">N(C27)-F27</f>
        <v>0</v>
      </c>
      <c r="J27" s="17" t="n">
        <f aca="false">N(D27)-G27</f>
        <v>0</v>
      </c>
      <c r="K27" s="15"/>
      <c r="L27" s="18"/>
      <c r="M27" s="18"/>
      <c r="N27" s="18"/>
    </row>
    <row r="28" s="2" customFormat="true" ht="18" hidden="false" customHeight="false" outlineLevel="0" collapsed="false">
      <c r="A28" s="13" t="n">
        <v>22</v>
      </c>
      <c r="B28" s="21" t="s">
        <v>33</v>
      </c>
      <c r="C28" s="15" t="n">
        <f aca="false">'18 LÍT'!C28</f>
        <v>0</v>
      </c>
      <c r="D28" s="15" t="n">
        <f aca="false">'5 LÍT'!C28</f>
        <v>0</v>
      </c>
      <c r="E28" s="15"/>
      <c r="F28" s="16" t="n">
        <v>0</v>
      </c>
      <c r="G28" s="16" t="n">
        <v>0</v>
      </c>
      <c r="H28" s="15"/>
      <c r="I28" s="17" t="n">
        <f aca="false">N(C28)-F28</f>
        <v>0</v>
      </c>
      <c r="J28" s="17" t="n">
        <f aca="false">N(D28)-G28</f>
        <v>0</v>
      </c>
      <c r="K28" s="15"/>
      <c r="L28" s="18"/>
      <c r="M28" s="18"/>
      <c r="N28" s="18"/>
    </row>
    <row r="29" s="2" customFormat="true" ht="18" hidden="false" customHeight="false" outlineLevel="0" collapsed="false">
      <c r="A29" s="13" t="n">
        <v>23</v>
      </c>
      <c r="B29" s="14" t="s">
        <v>34</v>
      </c>
      <c r="C29" s="15" t="n">
        <f aca="false">'18 LÍT'!C29</f>
        <v>53</v>
      </c>
      <c r="D29" s="15" t="n">
        <f aca="false">'5 LÍT'!C29</f>
        <v>26</v>
      </c>
      <c r="E29" s="15"/>
      <c r="F29" s="16" t="n">
        <v>172</v>
      </c>
      <c r="G29" s="16" t="n">
        <v>108</v>
      </c>
      <c r="H29" s="15"/>
      <c r="I29" s="17" t="n">
        <f aca="false">N(C29)-F29</f>
        <v>-119</v>
      </c>
      <c r="J29" s="17" t="n">
        <f aca="false">N(D29)-G29</f>
        <v>-82</v>
      </c>
      <c r="K29" s="15"/>
      <c r="L29" s="18"/>
      <c r="M29" s="18"/>
      <c r="N29" s="18"/>
    </row>
    <row r="30" s="2" customFormat="true" ht="18" hidden="false" customHeight="false" outlineLevel="0" collapsed="false">
      <c r="A30" s="13" t="n">
        <v>24</v>
      </c>
      <c r="B30" s="14" t="s">
        <v>35</v>
      </c>
      <c r="C30" s="15" t="n">
        <f aca="false">'18 LÍT'!C30</f>
        <v>0</v>
      </c>
      <c r="D30" s="15" t="n">
        <f aca="false">'5 LÍT'!C30</f>
        <v>0</v>
      </c>
      <c r="E30" s="15"/>
      <c r="F30" s="16" t="n">
        <v>0</v>
      </c>
      <c r="G30" s="16" t="n">
        <v>0</v>
      </c>
      <c r="H30" s="15"/>
      <c r="I30" s="17" t="n">
        <f aca="false">N(C30)-F30</f>
        <v>0</v>
      </c>
      <c r="J30" s="17" t="n">
        <f aca="false">N(D30)-G30</f>
        <v>0</v>
      </c>
      <c r="K30" s="15"/>
      <c r="L30" s="18"/>
      <c r="M30" s="18"/>
      <c r="N30" s="18"/>
    </row>
    <row r="31" s="2" customFormat="true" ht="18" hidden="false" customHeight="false" outlineLevel="0" collapsed="false">
      <c r="A31" s="13" t="n">
        <v>25</v>
      </c>
      <c r="B31" s="14" t="s">
        <v>36</v>
      </c>
      <c r="C31" s="15" t="n">
        <f aca="false">'18 LÍT'!C31</f>
        <v>0</v>
      </c>
      <c r="D31" s="15" t="n">
        <f aca="false">'5 LÍT'!C31</f>
        <v>0</v>
      </c>
      <c r="E31" s="15"/>
      <c r="F31" s="16" t="n">
        <v>0</v>
      </c>
      <c r="G31" s="16" t="n">
        <v>0</v>
      </c>
      <c r="H31" s="15"/>
      <c r="I31" s="17" t="n">
        <f aca="false">N(C31)-F31</f>
        <v>0</v>
      </c>
      <c r="J31" s="17" t="n">
        <f aca="false">N(D31)-G31</f>
        <v>0</v>
      </c>
      <c r="K31" s="15"/>
      <c r="L31" s="18"/>
      <c r="M31" s="18"/>
      <c r="N31" s="18"/>
    </row>
    <row r="32" s="2" customFormat="true" ht="18" hidden="false" customHeight="false" outlineLevel="0" collapsed="false">
      <c r="A32" s="13" t="n">
        <v>26</v>
      </c>
      <c r="B32" s="14" t="s">
        <v>37</v>
      </c>
      <c r="C32" s="15" t="n">
        <f aca="false">'18 LÍT'!C32</f>
        <v>0</v>
      </c>
      <c r="D32" s="15" t="n">
        <f aca="false">'5 LÍT'!C32</f>
        <v>0</v>
      </c>
      <c r="E32" s="15"/>
      <c r="F32" s="16" t="n">
        <v>0</v>
      </c>
      <c r="G32" s="16" t="n">
        <v>0</v>
      </c>
      <c r="H32" s="15"/>
      <c r="I32" s="17" t="n">
        <f aca="false">N(C32)-F32</f>
        <v>0</v>
      </c>
      <c r="J32" s="17" t="n">
        <f aca="false">N(D32)-G32</f>
        <v>0</v>
      </c>
      <c r="K32" s="15"/>
      <c r="L32" s="18"/>
      <c r="M32" s="18"/>
      <c r="N32" s="18"/>
    </row>
    <row r="33" customFormat="false" ht="18" hidden="false" customHeight="false" outlineLevel="0" collapsed="false">
      <c r="A33" s="13" t="n">
        <v>27</v>
      </c>
      <c r="B33" s="21" t="s">
        <v>38</v>
      </c>
      <c r="C33" s="15" t="n">
        <f aca="false">'18 LÍT'!C33</f>
        <v>218</v>
      </c>
      <c r="D33" s="15" t="n">
        <f aca="false">'5 LÍT'!C33</f>
        <v>62</v>
      </c>
      <c r="E33" s="15" t="n">
        <f aca="false">'1 LÍT'!C33</f>
        <v>30</v>
      </c>
      <c r="F33" s="16" t="n">
        <v>50</v>
      </c>
      <c r="G33" s="16" t="n">
        <v>104</v>
      </c>
      <c r="H33" s="16" t="n">
        <v>103</v>
      </c>
      <c r="I33" s="17" t="n">
        <f aca="false">N(C33)-F33</f>
        <v>168</v>
      </c>
      <c r="J33" s="17" t="n">
        <f aca="false">N(D33)-G33</f>
        <v>-42</v>
      </c>
      <c r="K33" s="17" t="n">
        <f aca="false">N(E33)-H33</f>
        <v>-73</v>
      </c>
      <c r="L33" s="18"/>
      <c r="M33" s="18"/>
      <c r="N33" s="18"/>
    </row>
    <row r="34" s="2" customFormat="true" ht="18" hidden="false" customHeight="false" outlineLevel="0" collapsed="false">
      <c r="A34" s="13" t="n">
        <v>28</v>
      </c>
      <c r="B34" s="21" t="s">
        <v>39</v>
      </c>
      <c r="C34" s="15" t="n">
        <f aca="false">'18 LÍT'!C34</f>
        <v>0</v>
      </c>
      <c r="D34" s="15" t="n">
        <f aca="false">'5 LÍT'!C34</f>
        <v>53</v>
      </c>
      <c r="E34" s="15" t="n">
        <f aca="false">'1 LÍT'!C34</f>
        <v>36</v>
      </c>
      <c r="F34" s="16" t="n">
        <v>0</v>
      </c>
      <c r="G34" s="16" t="n">
        <v>79</v>
      </c>
      <c r="H34" s="16" t="n">
        <v>86</v>
      </c>
      <c r="I34" s="17" t="n">
        <f aca="false">N(C34)-F34</f>
        <v>0</v>
      </c>
      <c r="J34" s="17" t="n">
        <f aca="false">N(D34)-G34</f>
        <v>-26</v>
      </c>
      <c r="K34" s="17" t="n">
        <f aca="false">N(E34)-H34</f>
        <v>-50</v>
      </c>
      <c r="L34" s="18"/>
      <c r="M34" s="18"/>
      <c r="N34" s="18"/>
    </row>
    <row r="35" s="2" customFormat="true" ht="18" hidden="false" customHeight="false" outlineLevel="0" collapsed="false">
      <c r="A35" s="13" t="n">
        <v>29</v>
      </c>
      <c r="B35" s="21" t="s">
        <v>40</v>
      </c>
      <c r="C35" s="15" t="n">
        <f aca="false">'18 LÍT'!C35</f>
        <v>0</v>
      </c>
      <c r="D35" s="15" t="n">
        <f aca="false">'5 LÍT'!C35</f>
        <v>64</v>
      </c>
      <c r="E35" s="15" t="n">
        <f aca="false">'1 LÍT'!C35</f>
        <v>34</v>
      </c>
      <c r="F35" s="16" t="n">
        <v>5</v>
      </c>
      <c r="G35" s="16" t="n">
        <v>86</v>
      </c>
      <c r="H35" s="16" t="n">
        <v>110</v>
      </c>
      <c r="I35" s="17" t="n">
        <f aca="false">N(C35)-F35</f>
        <v>-5</v>
      </c>
      <c r="J35" s="17" t="n">
        <f aca="false">N(D35)-G35</f>
        <v>-22</v>
      </c>
      <c r="K35" s="17" t="n">
        <f aca="false">N(E35)-H35</f>
        <v>-76</v>
      </c>
      <c r="L35" s="18"/>
      <c r="M35" s="18"/>
      <c r="N35" s="18"/>
    </row>
    <row r="36" s="2" customFormat="true" ht="18" hidden="false" customHeight="false" outlineLevel="0" collapsed="false">
      <c r="A36" s="13" t="n">
        <v>30</v>
      </c>
      <c r="B36" s="21" t="s">
        <v>41</v>
      </c>
      <c r="C36" s="15" t="n">
        <f aca="false">'18 LÍT'!C36</f>
        <v>0</v>
      </c>
      <c r="D36" s="15" t="n">
        <f aca="false">'5 LÍT'!C36</f>
        <v>58</v>
      </c>
      <c r="E36" s="15" t="n">
        <f aca="false">'1 LÍT'!C36</f>
        <v>37</v>
      </c>
      <c r="F36" s="16" t="n">
        <v>0</v>
      </c>
      <c r="G36" s="16" t="n">
        <v>78</v>
      </c>
      <c r="H36" s="16" t="n">
        <v>96</v>
      </c>
      <c r="I36" s="17" t="n">
        <f aca="false">N(C36)-F36</f>
        <v>0</v>
      </c>
      <c r="J36" s="17" t="n">
        <f aca="false">N(D36)-G36</f>
        <v>-20</v>
      </c>
      <c r="K36" s="17" t="n">
        <f aca="false">N(E36)-H36</f>
        <v>-59</v>
      </c>
      <c r="L36" s="18"/>
      <c r="M36" s="18"/>
      <c r="N36" s="18"/>
    </row>
    <row r="37" s="2" customFormat="true" ht="18" hidden="false" customHeight="false" outlineLevel="0" collapsed="false">
      <c r="A37" s="13" t="n">
        <v>31</v>
      </c>
      <c r="B37" s="14" t="s">
        <v>42</v>
      </c>
      <c r="C37" s="15" t="n">
        <f aca="false">'18 LÍT'!C37</f>
        <v>20</v>
      </c>
      <c r="D37" s="15" t="n">
        <f aca="false">'5 LÍT'!C37</f>
        <v>23</v>
      </c>
      <c r="E37" s="15" t="n">
        <f aca="false">'1 LÍT'!C37</f>
        <v>68</v>
      </c>
      <c r="F37" s="16" t="n">
        <v>30</v>
      </c>
      <c r="G37" s="16" t="n">
        <v>64</v>
      </c>
      <c r="H37" s="16" t="n">
        <v>85</v>
      </c>
      <c r="I37" s="17" t="n">
        <f aca="false">N(C37)-F37</f>
        <v>-10</v>
      </c>
      <c r="J37" s="17" t="n">
        <f aca="false">N(D37)-G37</f>
        <v>-41</v>
      </c>
      <c r="K37" s="17" t="n">
        <f aca="false">N(E37)-H37</f>
        <v>-17</v>
      </c>
      <c r="L37" s="18"/>
      <c r="M37" s="18"/>
      <c r="N37" s="18"/>
    </row>
    <row r="38" s="2" customFormat="true" ht="18" hidden="false" customHeight="true" outlineLevel="0" collapsed="false">
      <c r="A38" s="13" t="n">
        <v>32</v>
      </c>
      <c r="B38" s="14" t="s">
        <v>43</v>
      </c>
      <c r="C38" s="15" t="n">
        <f aca="false">'18 LÍT'!C38</f>
        <v>0</v>
      </c>
      <c r="D38" s="15" t="n">
        <f aca="false">'5 LÍT'!C38</f>
        <v>28</v>
      </c>
      <c r="E38" s="15" t="n">
        <f aca="false">'1 LÍT'!C38</f>
        <v>45</v>
      </c>
      <c r="F38" s="16" t="n">
        <v>0</v>
      </c>
      <c r="G38" s="16" t="n">
        <v>44</v>
      </c>
      <c r="H38" s="16" t="n">
        <v>36</v>
      </c>
      <c r="I38" s="17" t="n">
        <f aca="false">N(C38)-F38</f>
        <v>0</v>
      </c>
      <c r="J38" s="17" t="n">
        <f aca="false">N(D38)-G38</f>
        <v>-16</v>
      </c>
      <c r="K38" s="17" t="n">
        <f aca="false">N(E38)-H38</f>
        <v>9</v>
      </c>
      <c r="L38" s="18"/>
      <c r="M38" s="18"/>
      <c r="N38" s="18"/>
    </row>
    <row r="39" s="2" customFormat="true" ht="18" hidden="false" customHeight="true" outlineLevel="0" collapsed="false">
      <c r="A39" s="13" t="n">
        <v>33</v>
      </c>
      <c r="B39" s="14" t="s">
        <v>44</v>
      </c>
      <c r="C39" s="15" t="n">
        <f aca="false">'18 LÍT'!C39</f>
        <v>0</v>
      </c>
      <c r="D39" s="15" t="n">
        <f aca="false">'5 LÍT'!C39</f>
        <v>30</v>
      </c>
      <c r="E39" s="15" t="n">
        <f aca="false">'1 LÍT'!C39</f>
        <v>44</v>
      </c>
      <c r="F39" s="16" t="n">
        <v>0</v>
      </c>
      <c r="G39" s="16" t="n">
        <v>56</v>
      </c>
      <c r="H39" s="16" t="n">
        <v>60</v>
      </c>
      <c r="I39" s="17" t="n">
        <f aca="false">N(C39)-F39</f>
        <v>0</v>
      </c>
      <c r="J39" s="17" t="n">
        <f aca="false">N(D39)-G39</f>
        <v>-26</v>
      </c>
      <c r="K39" s="17" t="n">
        <f aca="false">N(E39)-H39</f>
        <v>-16</v>
      </c>
      <c r="L39" s="18"/>
      <c r="M39" s="18"/>
      <c r="N39" s="18"/>
    </row>
    <row r="40" s="2" customFormat="true" ht="18" hidden="false" customHeight="true" outlineLevel="0" collapsed="false">
      <c r="A40" s="13" t="n">
        <v>34</v>
      </c>
      <c r="B40" s="14" t="s">
        <v>45</v>
      </c>
      <c r="C40" s="15" t="n">
        <f aca="false">'18 LÍT'!C40</f>
        <v>0</v>
      </c>
      <c r="D40" s="15" t="n">
        <f aca="false">'5 LÍT'!C40</f>
        <v>14</v>
      </c>
      <c r="E40" s="15" t="n">
        <f aca="false">'1 LÍT'!C40</f>
        <v>32</v>
      </c>
      <c r="F40" s="16" t="n">
        <v>0</v>
      </c>
      <c r="G40" s="16" t="n">
        <v>56</v>
      </c>
      <c r="H40" s="16" t="n">
        <v>44</v>
      </c>
      <c r="I40" s="17" t="n">
        <f aca="false">N(C40)-F40</f>
        <v>0</v>
      </c>
      <c r="J40" s="17" t="n">
        <f aca="false">N(D40)-G40</f>
        <v>-42</v>
      </c>
      <c r="K40" s="17" t="n">
        <f aca="false">N(E40)-H40</f>
        <v>-12</v>
      </c>
      <c r="L40" s="18"/>
      <c r="M40" s="18"/>
      <c r="N40" s="18"/>
    </row>
    <row r="41" s="2" customFormat="true" ht="18" hidden="false" customHeight="true" outlineLevel="0" collapsed="false">
      <c r="A41" s="13" t="n">
        <v>35</v>
      </c>
      <c r="B41" s="14" t="s">
        <v>46</v>
      </c>
      <c r="C41" s="15" t="n">
        <f aca="false">'18 LÍT'!C41</f>
        <v>24</v>
      </c>
      <c r="D41" s="15" t="n">
        <f aca="false">'5 LÍT'!C41</f>
        <v>11</v>
      </c>
      <c r="E41" s="15" t="n">
        <f aca="false">'1 LÍT'!C41</f>
        <v>0</v>
      </c>
      <c r="F41" s="16" t="n">
        <v>24</v>
      </c>
      <c r="G41" s="16" t="n">
        <v>4</v>
      </c>
      <c r="H41" s="16" t="n">
        <v>0</v>
      </c>
      <c r="I41" s="17" t="n">
        <f aca="false">N(C41)-F41</f>
        <v>0</v>
      </c>
      <c r="J41" s="17" t="n">
        <f aca="false">N(D41)-G41</f>
        <v>7</v>
      </c>
      <c r="K41" s="17" t="n">
        <f aca="false">N(E41)-H41</f>
        <v>0</v>
      </c>
      <c r="L41" s="18"/>
      <c r="M41" s="18"/>
      <c r="N41" s="18"/>
    </row>
    <row r="42" s="2" customFormat="true" ht="18" hidden="false" customHeight="true" outlineLevel="0" collapsed="false">
      <c r="A42" s="13" t="n">
        <v>36</v>
      </c>
      <c r="B42" s="14" t="s">
        <v>47</v>
      </c>
      <c r="C42" s="15" t="n">
        <f aca="false">'18 LÍT'!C42</f>
        <v>0</v>
      </c>
      <c r="D42" s="15" t="n">
        <f aca="false">'5 LÍT'!C42</f>
        <v>0</v>
      </c>
      <c r="E42" s="15" t="n">
        <f aca="false">'1 LÍT'!C42</f>
        <v>0</v>
      </c>
      <c r="F42" s="16" t="n">
        <v>0</v>
      </c>
      <c r="G42" s="16" t="n">
        <v>0</v>
      </c>
      <c r="H42" s="16" t="n">
        <v>0</v>
      </c>
      <c r="I42" s="17" t="n">
        <f aca="false">N(C42)-F42</f>
        <v>0</v>
      </c>
      <c r="J42" s="17" t="n">
        <f aca="false">N(D42)-G42</f>
        <v>0</v>
      </c>
      <c r="K42" s="17" t="n">
        <f aca="false">N(E42)-H42</f>
        <v>0</v>
      </c>
      <c r="L42" s="18"/>
      <c r="M42" s="18"/>
      <c r="N42" s="18"/>
    </row>
    <row r="43" s="2" customFormat="true" ht="18" hidden="false" customHeight="true" outlineLevel="0" collapsed="false">
      <c r="A43" s="13" t="n">
        <v>37</v>
      </c>
      <c r="B43" s="14" t="s">
        <v>48</v>
      </c>
      <c r="C43" s="15" t="n">
        <f aca="false">'18 LÍT'!C43</f>
        <v>0</v>
      </c>
      <c r="D43" s="15" t="n">
        <f aca="false">'5 LÍT'!C43</f>
        <v>0</v>
      </c>
      <c r="E43" s="15" t="n">
        <f aca="false">'1 LÍT'!C43</f>
        <v>0</v>
      </c>
      <c r="F43" s="16" t="n">
        <v>0</v>
      </c>
      <c r="G43" s="16" t="n">
        <v>0</v>
      </c>
      <c r="H43" s="16" t="n">
        <v>0</v>
      </c>
      <c r="I43" s="17" t="n">
        <f aca="false">N(C43)-F43</f>
        <v>0</v>
      </c>
      <c r="J43" s="17" t="n">
        <f aca="false">N(D43)-G43</f>
        <v>0</v>
      </c>
      <c r="K43" s="17" t="n">
        <f aca="false">N(E43)-H43</f>
        <v>0</v>
      </c>
      <c r="L43" s="18"/>
      <c r="M43" s="18"/>
      <c r="N43" s="18"/>
    </row>
    <row r="44" s="2" customFormat="true" ht="18" hidden="false" customHeight="true" outlineLevel="0" collapsed="false">
      <c r="A44" s="13" t="n">
        <v>38</v>
      </c>
      <c r="B44" s="14" t="s">
        <v>49</v>
      </c>
      <c r="C44" s="15" t="n">
        <f aca="false">'18 LÍT'!C44</f>
        <v>0</v>
      </c>
      <c r="D44" s="15" t="n">
        <f aca="false">'5 LÍT'!C44</f>
        <v>0</v>
      </c>
      <c r="E44" s="15" t="n">
        <f aca="false">'1 LÍT'!C44</f>
        <v>0</v>
      </c>
      <c r="F44" s="16" t="n">
        <v>0</v>
      </c>
      <c r="G44" s="16" t="n">
        <v>0</v>
      </c>
      <c r="H44" s="16" t="n">
        <v>0</v>
      </c>
      <c r="I44" s="17" t="n">
        <f aca="false">N(C44)-F44</f>
        <v>0</v>
      </c>
      <c r="J44" s="17" t="n">
        <f aca="false">N(D44)-G44</f>
        <v>0</v>
      </c>
      <c r="K44" s="17" t="n">
        <f aca="false">N(E44)-H44</f>
        <v>0</v>
      </c>
      <c r="L44" s="18"/>
      <c r="M44" s="18"/>
      <c r="N44" s="18"/>
    </row>
    <row r="45" s="2" customFormat="true" ht="18" hidden="false" customHeight="true" outlineLevel="0" collapsed="false">
      <c r="A45" s="13" t="n">
        <v>39</v>
      </c>
      <c r="B45" s="14" t="s">
        <v>50</v>
      </c>
      <c r="C45" s="15" t="n">
        <f aca="false">'18 LÍT'!C45</f>
        <v>0</v>
      </c>
      <c r="D45" s="15" t="n">
        <f aca="false">'5 LÍT'!C45</f>
        <v>35</v>
      </c>
      <c r="E45" s="15" t="n">
        <f aca="false">'1 LÍT'!C45</f>
        <v>1</v>
      </c>
      <c r="F45" s="16" t="n">
        <v>0</v>
      </c>
      <c r="G45" s="16" t="n">
        <v>115</v>
      </c>
      <c r="H45" s="16" t="n">
        <v>0</v>
      </c>
      <c r="I45" s="17" t="n">
        <f aca="false">N(C45)-F45</f>
        <v>0</v>
      </c>
      <c r="J45" s="17" t="n">
        <f aca="false">N(D45)-G45</f>
        <v>-80</v>
      </c>
      <c r="K45" s="17" t="n">
        <f aca="false">N(E45)-H45</f>
        <v>1</v>
      </c>
      <c r="L45" s="18"/>
      <c r="M45" s="18"/>
      <c r="N45" s="18"/>
    </row>
    <row r="46" s="2" customFormat="true" ht="18" hidden="false" customHeight="true" outlineLevel="0" collapsed="false">
      <c r="A46" s="13" t="n">
        <v>40</v>
      </c>
      <c r="B46" s="14" t="s">
        <v>51</v>
      </c>
      <c r="C46" s="15" t="n">
        <f aca="false">'18 LÍT'!C46</f>
        <v>0</v>
      </c>
      <c r="D46" s="15" t="n">
        <f aca="false">'5 LÍT'!C46</f>
        <v>18</v>
      </c>
      <c r="E46" s="15" t="n">
        <f aca="false">'1 LÍT'!C46</f>
        <v>0</v>
      </c>
      <c r="F46" s="16" t="n">
        <v>0</v>
      </c>
      <c r="G46" s="16" t="n">
        <v>18</v>
      </c>
      <c r="H46" s="16" t="n">
        <v>0</v>
      </c>
      <c r="I46" s="17" t="n">
        <f aca="false">N(C46)-F46</f>
        <v>0</v>
      </c>
      <c r="J46" s="17" t="n">
        <f aca="false">N(D46)-G46</f>
        <v>0</v>
      </c>
      <c r="K46" s="17" t="n">
        <f aca="false">N(E46)-H46</f>
        <v>0</v>
      </c>
      <c r="L46" s="18"/>
      <c r="M46" s="18"/>
      <c r="N46" s="18"/>
    </row>
    <row r="47" s="2" customFormat="true" ht="18" hidden="false" customHeight="true" outlineLevel="0" collapsed="false">
      <c r="A47" s="13" t="n">
        <v>41</v>
      </c>
      <c r="B47" s="14" t="s">
        <v>52</v>
      </c>
      <c r="C47" s="15" t="n">
        <f aca="false">'18 LÍT'!C47</f>
        <v>0</v>
      </c>
      <c r="D47" s="15" t="n">
        <f aca="false">'5 LÍT'!C47</f>
        <v>13</v>
      </c>
      <c r="E47" s="15" t="n">
        <f aca="false">'1 LÍT'!C47</f>
        <v>0</v>
      </c>
      <c r="F47" s="16" t="n">
        <v>0</v>
      </c>
      <c r="G47" s="16" t="n">
        <v>12</v>
      </c>
      <c r="H47" s="16" t="n">
        <v>0</v>
      </c>
      <c r="I47" s="17" t="n">
        <f aca="false">N(C47)-F47</f>
        <v>0</v>
      </c>
      <c r="J47" s="17" t="n">
        <f aca="false">N(D47)-G47</f>
        <v>1</v>
      </c>
      <c r="K47" s="17" t="n">
        <f aca="false">N(E47)-H47</f>
        <v>0</v>
      </c>
      <c r="L47" s="18"/>
      <c r="M47" s="18"/>
      <c r="N47" s="18"/>
    </row>
    <row r="48" s="2" customFormat="true" ht="18" hidden="false" customHeight="true" outlineLevel="0" collapsed="false">
      <c r="A48" s="13" t="n">
        <v>42</v>
      </c>
      <c r="B48" s="14" t="s">
        <v>53</v>
      </c>
      <c r="C48" s="15" t="n">
        <f aca="false">'18 LÍT'!C48</f>
        <v>0</v>
      </c>
      <c r="D48" s="15" t="n">
        <f aca="false">'5 LÍT'!C48</f>
        <v>19</v>
      </c>
      <c r="E48" s="15" t="n">
        <f aca="false">'1 LÍT'!C48</f>
        <v>5</v>
      </c>
      <c r="F48" s="16" t="n">
        <v>0</v>
      </c>
      <c r="G48" s="16" t="n">
        <v>0</v>
      </c>
      <c r="H48" s="16" t="n">
        <v>0</v>
      </c>
      <c r="I48" s="17" t="n">
        <f aca="false">N(C48)-F48</f>
        <v>0</v>
      </c>
      <c r="J48" s="17" t="n">
        <f aca="false">N(D48)-G48</f>
        <v>19</v>
      </c>
      <c r="K48" s="17" t="n">
        <f aca="false">N(E48)-H48</f>
        <v>5</v>
      </c>
      <c r="L48" s="18"/>
      <c r="M48" s="18"/>
      <c r="N48" s="18"/>
    </row>
    <row r="49" s="2" customFormat="true" ht="18" hidden="false" customHeight="true" outlineLevel="0" collapsed="false">
      <c r="A49" s="13" t="n">
        <v>43</v>
      </c>
      <c r="B49" s="14" t="s">
        <v>54</v>
      </c>
      <c r="C49" s="15" t="n">
        <f aca="false">'18 LÍT'!C49</f>
        <v>0</v>
      </c>
      <c r="D49" s="15" t="n">
        <f aca="false">'5 LÍT'!C49</f>
        <v>0</v>
      </c>
      <c r="E49" s="15" t="n">
        <f aca="false">'1 LÍT'!C49</f>
        <v>18</v>
      </c>
      <c r="F49" s="16" t="n">
        <v>0</v>
      </c>
      <c r="G49" s="16" t="n">
        <v>0</v>
      </c>
      <c r="H49" s="16" t="n">
        <v>120</v>
      </c>
      <c r="I49" s="17" t="n">
        <f aca="false">N(C49)-F49</f>
        <v>0</v>
      </c>
      <c r="J49" s="17" t="n">
        <f aca="false">N(D49)-G49</f>
        <v>0</v>
      </c>
      <c r="K49" s="17" t="n">
        <f aca="false">N(E49)-H49</f>
        <v>-102</v>
      </c>
      <c r="L49" s="18"/>
      <c r="M49" s="18"/>
      <c r="N49" s="18"/>
    </row>
    <row r="50" customFormat="false" ht="18" hidden="false" customHeight="true" outlineLevel="0" collapsed="false">
      <c r="A50" s="13" t="n">
        <v>44</v>
      </c>
      <c r="B50" s="14" t="s">
        <v>55</v>
      </c>
      <c r="C50" s="15" t="n">
        <f aca="false">'18 LÍT'!C50</f>
        <v>61</v>
      </c>
      <c r="D50" s="15" t="n">
        <f aca="false">'5 LÍT'!C50</f>
        <v>0</v>
      </c>
      <c r="E50" s="15" t="n">
        <f aca="false">'1 LÍT'!C50</f>
        <v>0</v>
      </c>
      <c r="F50" s="16" t="n">
        <v>724</v>
      </c>
      <c r="G50" s="16" t="n">
        <v>0</v>
      </c>
      <c r="H50" s="16" t="n">
        <v>0</v>
      </c>
      <c r="I50" s="17" t="n">
        <f aca="false">N(C50)-F50</f>
        <v>-663</v>
      </c>
      <c r="J50" s="17" t="n">
        <f aca="false">N(D50)-G50</f>
        <v>0</v>
      </c>
      <c r="K50" s="17" t="n">
        <f aca="false">N(E50)-H50</f>
        <v>0</v>
      </c>
      <c r="L50" s="18"/>
      <c r="M50" s="18"/>
      <c r="N50" s="18"/>
    </row>
    <row r="51" customFormat="false" ht="18" hidden="false" customHeight="false" outlineLevel="0" collapsed="false">
      <c r="A51" s="13" t="n">
        <v>45</v>
      </c>
      <c r="B51" s="22" t="s">
        <v>56</v>
      </c>
      <c r="C51" s="15" t="n">
        <f aca="false">'18 LÍT'!C51</f>
        <v>1</v>
      </c>
      <c r="D51" s="15" t="n">
        <f aca="false">'5 LÍT'!C51</f>
        <v>0</v>
      </c>
      <c r="E51" s="15" t="n">
        <f aca="false">'1 LÍT'!C51</f>
        <v>0</v>
      </c>
      <c r="F51" s="16" t="n">
        <v>38</v>
      </c>
      <c r="G51" s="16" t="n">
        <v>20</v>
      </c>
      <c r="H51" s="16" t="n">
        <v>0</v>
      </c>
      <c r="I51" s="17" t="n">
        <f aca="false">N(C51)-F51</f>
        <v>-37</v>
      </c>
      <c r="J51" s="17" t="n">
        <f aca="false">N(D51)-G51</f>
        <v>-20</v>
      </c>
      <c r="K51" s="17" t="n">
        <f aca="false">N(E51)-H51</f>
        <v>0</v>
      </c>
      <c r="L51" s="14"/>
      <c r="M51" s="14"/>
      <c r="N51" s="14"/>
    </row>
    <row r="52" customFormat="false" ht="18" hidden="false" customHeight="false" outlineLevel="0" collapsed="false">
      <c r="A52" s="13" t="n">
        <v>46</v>
      </c>
      <c r="B52" s="14" t="s">
        <v>57</v>
      </c>
      <c r="C52" s="15" t="n">
        <f aca="false">'18 LÍT'!C52</f>
        <v>0</v>
      </c>
      <c r="D52" s="15" t="n">
        <f aca="false">'5 LÍT'!C52</f>
        <v>0</v>
      </c>
      <c r="E52" s="15" t="n">
        <f aca="false">'1 LÍT'!C52</f>
        <v>0</v>
      </c>
      <c r="F52" s="16" t="n">
        <v>3</v>
      </c>
      <c r="G52" s="16" t="n">
        <v>2</v>
      </c>
      <c r="H52" s="16" t="n">
        <v>0</v>
      </c>
      <c r="I52" s="17" t="n">
        <f aca="false">N(C52)-F52</f>
        <v>-3</v>
      </c>
      <c r="J52" s="17" t="n">
        <f aca="false">N(D52)-G52</f>
        <v>-2</v>
      </c>
      <c r="K52" s="17" t="n">
        <f aca="false">N(E52)-H52</f>
        <v>0</v>
      </c>
      <c r="L52" s="14"/>
      <c r="M52" s="14"/>
      <c r="N52" s="14"/>
    </row>
    <row r="53" customFormat="false" ht="18" hidden="false" customHeight="false" outlineLevel="0" collapsed="false">
      <c r="A53" s="13" t="n">
        <v>47</v>
      </c>
      <c r="B53" s="14" t="s">
        <v>58</v>
      </c>
      <c r="C53" s="15" t="n">
        <f aca="false">'18 LÍT'!C53</f>
        <v>0</v>
      </c>
      <c r="D53" s="15" t="n">
        <f aca="false">'5 LÍT'!C53</f>
        <v>0</v>
      </c>
      <c r="E53" s="15" t="n">
        <f aca="false">'1 LÍT'!C53</f>
        <v>0</v>
      </c>
      <c r="F53" s="16" t="n">
        <v>85</v>
      </c>
      <c r="G53" s="15"/>
      <c r="H53" s="15"/>
      <c r="I53" s="17" t="n">
        <f aca="false">N(C53)-F53</f>
        <v>-85</v>
      </c>
      <c r="J53" s="15"/>
      <c r="K53" s="15"/>
      <c r="L53" s="18"/>
      <c r="M53" s="18"/>
      <c r="N53" s="18"/>
    </row>
    <row r="54" customFormat="false" ht="18" hidden="false" customHeight="false" outlineLevel="0" collapsed="false">
      <c r="A54" s="13" t="n">
        <v>48</v>
      </c>
      <c r="B54" s="14" t="s">
        <v>59</v>
      </c>
      <c r="C54" s="15" t="n">
        <f aca="false">'18 LÍT'!C54</f>
        <v>29</v>
      </c>
      <c r="D54" s="15" t="n">
        <f aca="false">'5 LÍT'!C54</f>
        <v>0</v>
      </c>
      <c r="E54" s="15" t="n">
        <f aca="false">'1 LÍT'!C54</f>
        <v>0</v>
      </c>
      <c r="F54" s="16" t="n">
        <v>91</v>
      </c>
      <c r="G54" s="15"/>
      <c r="H54" s="15"/>
      <c r="I54" s="17" t="n">
        <f aca="false">N(C54)-F54</f>
        <v>-62</v>
      </c>
      <c r="J54" s="15"/>
      <c r="K54" s="15"/>
      <c r="L54" s="18"/>
      <c r="M54" s="18"/>
      <c r="N54" s="18"/>
    </row>
    <row r="55" customFormat="false" ht="18" hidden="false" customHeight="false" outlineLevel="0" collapsed="false">
      <c r="A55" s="23" t="n">
        <v>49</v>
      </c>
      <c r="B55" s="24" t="s">
        <v>60</v>
      </c>
      <c r="C55" s="25"/>
      <c r="D55" s="26" t="n">
        <v>0</v>
      </c>
      <c r="E55" s="25"/>
      <c r="F55" s="25"/>
      <c r="G55" s="26" t="n">
        <v>32</v>
      </c>
      <c r="H55" s="25"/>
      <c r="I55" s="25"/>
      <c r="J55" s="27" t="n">
        <f aca="false">N(D55)-G55</f>
        <v>-32</v>
      </c>
      <c r="K55" s="25"/>
    </row>
    <row r="56" customFormat="false" ht="18" hidden="false" customHeight="false" outlineLevel="0" collapsed="false">
      <c r="A56" s="23" t="n">
        <v>50</v>
      </c>
      <c r="B56" s="24" t="s">
        <v>61</v>
      </c>
      <c r="C56" s="26" t="n">
        <v>0</v>
      </c>
      <c r="D56" s="25"/>
      <c r="E56" s="25"/>
      <c r="F56" s="26" t="n">
        <v>6</v>
      </c>
      <c r="G56" s="25"/>
      <c r="H56" s="25"/>
      <c r="I56" s="27" t="n">
        <f aca="false">N(C56)-F56</f>
        <v>-6</v>
      </c>
      <c r="J56" s="25"/>
      <c r="K56" s="25"/>
    </row>
    <row r="57" customFormat="false" ht="18" hidden="false" customHeight="false" outlineLevel="0" collapsed="false">
      <c r="A57" s="23" t="n">
        <v>51</v>
      </c>
      <c r="B57" s="24" t="s">
        <v>62</v>
      </c>
      <c r="C57" s="26" t="n">
        <v>0</v>
      </c>
      <c r="D57" s="25"/>
      <c r="E57" s="25"/>
      <c r="F57" s="26" t="n">
        <v>80</v>
      </c>
      <c r="G57" s="25"/>
      <c r="H57" s="25"/>
      <c r="I57" s="27" t="n">
        <f aca="false">N(C57)-F57</f>
        <v>-80</v>
      </c>
      <c r="J57" s="25"/>
      <c r="K57" s="25"/>
    </row>
    <row r="59" customFormat="false" ht="18" hidden="false" customHeight="false" outlineLevel="0" collapsed="false">
      <c r="B59" s="28" t="s">
        <v>63</v>
      </c>
    </row>
    <row r="69" customFormat="false" ht="18" hidden="false" customHeight="false" outlineLevel="0" collapsed="false">
      <c r="A69" s="29"/>
      <c r="B69" s="14" t="s">
        <v>64</v>
      </c>
      <c r="C69" s="30" t="e">
        <f aca="false">'18 lít'!#ref!</f>
        <v>#VALUE!</v>
      </c>
      <c r="D69" s="30"/>
      <c r="E69" s="30"/>
      <c r="F69" s="30" t="e">
        <f aca="false">'18 lít'!#ref!</f>
        <v>#VALUE!</v>
      </c>
      <c r="G69" s="30"/>
      <c r="H69" s="30"/>
      <c r="I69" s="30" t="e">
        <f aca="false">'18 lít'!#ref!</f>
        <v>#VALUE!</v>
      </c>
      <c r="J69" s="30"/>
      <c r="K69" s="30"/>
      <c r="L69" s="14"/>
      <c r="M69" s="14"/>
      <c r="N69" s="14"/>
    </row>
  </sheetData>
  <autoFilter ref="A5:O52"/>
  <mergeCells count="21">
    <mergeCell ref="B2:E2"/>
    <mergeCell ref="F2:H2"/>
    <mergeCell ref="I2:K2"/>
    <mergeCell ref="L2:N3"/>
    <mergeCell ref="A3:A5"/>
    <mergeCell ref="B3:B5"/>
    <mergeCell ref="C3:E3"/>
    <mergeCell ref="F3:H3"/>
    <mergeCell ref="I3:K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31" width="9.18"/>
    <col collapsed="false" customWidth="true" hidden="false" outlineLevel="0" max="2" min="2" style="31" width="5.54"/>
    <col collapsed="false" customWidth="true" hidden="false" outlineLevel="0" max="3" min="3" style="31" width="6.73"/>
    <col collapsed="false" customWidth="true" hidden="false" outlineLevel="0" max="6" min="4" style="31" width="20.73"/>
    <col collapsed="false" customWidth="true" hidden="false" outlineLevel="0" max="7" min="7" style="0" width="4.45"/>
  </cols>
  <sheetData>
    <row r="2" s="35" customFormat="true" ht="30" hidden="false" customHeight="true" outlineLevel="0" collapsed="false">
      <c r="A2" s="32" t="s">
        <v>65</v>
      </c>
      <c r="B2" s="32"/>
      <c r="C2" s="32"/>
      <c r="D2" s="33" t="s">
        <v>66</v>
      </c>
      <c r="E2" s="34" t="s">
        <v>67</v>
      </c>
      <c r="F2" s="34" t="s">
        <v>68</v>
      </c>
      <c r="H2" s="36"/>
      <c r="I2" s="36"/>
      <c r="J2" s="36" t="s">
        <v>69</v>
      </c>
      <c r="K2" s="36"/>
    </row>
    <row r="3" s="35" customFormat="true" ht="15.75" hidden="false" customHeight="true" outlineLevel="0" collapsed="false">
      <c r="A3" s="37" t="s">
        <v>70</v>
      </c>
      <c r="B3" s="38"/>
      <c r="C3" s="37" t="s">
        <v>71</v>
      </c>
      <c r="D3" s="37" t="s">
        <v>72</v>
      </c>
      <c r="E3" s="37" t="s">
        <v>72</v>
      </c>
      <c r="F3" s="37" t="s">
        <v>72</v>
      </c>
      <c r="H3" s="37" t="s">
        <v>73</v>
      </c>
      <c r="I3" s="39"/>
      <c r="J3" s="40" t="s">
        <v>71</v>
      </c>
      <c r="K3" s="40" t="s">
        <v>74</v>
      </c>
    </row>
    <row r="4" s="35" customFormat="true" ht="15.75" hidden="false" customHeight="true" outlineLevel="0" collapsed="false">
      <c r="A4" s="37"/>
      <c r="B4" s="41"/>
      <c r="C4" s="37"/>
      <c r="D4" s="37"/>
      <c r="E4" s="37"/>
      <c r="F4" s="37"/>
      <c r="H4" s="37"/>
      <c r="I4" s="42"/>
      <c r="J4" s="40"/>
      <c r="K4" s="40"/>
    </row>
    <row r="5" customFormat="false" ht="20.25" hidden="false" customHeight="true" outlineLevel="0" collapsed="false">
      <c r="A5" s="43"/>
      <c r="B5" s="43"/>
      <c r="C5" s="43"/>
      <c r="D5" s="44" t="n">
        <f aca="false">SUM(D6:D21)</f>
        <v>141</v>
      </c>
      <c r="E5" s="44" t="n">
        <f aca="false">SUM(E6:E21)</f>
        <v>167</v>
      </c>
      <c r="F5" s="44" t="n">
        <f aca="false">SUM(F6:F21)</f>
        <v>-26</v>
      </c>
      <c r="G5" s="45" t="n">
        <f aca="false">SUM(G6:G21)</f>
        <v>0</v>
      </c>
      <c r="H5" s="43"/>
      <c r="I5" s="43"/>
      <c r="J5" s="43"/>
      <c r="K5" s="44" t="n">
        <f aca="false">SUM(K6:K19)</f>
        <v>0</v>
      </c>
    </row>
    <row r="6" customFormat="false" ht="22.5" hidden="false" customHeight="true" outlineLevel="0" collapsed="false">
      <c r="A6" s="46" t="n">
        <v>1</v>
      </c>
      <c r="B6" s="47" t="n">
        <v>1</v>
      </c>
      <c r="C6" s="48" t="s">
        <v>75</v>
      </c>
      <c r="D6" s="49" t="n">
        <v>14</v>
      </c>
      <c r="E6" s="50" t="n">
        <v>0</v>
      </c>
      <c r="F6" s="51" t="n">
        <f aca="false">N(D6)-E6</f>
        <v>14</v>
      </c>
      <c r="H6" s="46"/>
      <c r="I6" s="47" t="n">
        <v>1</v>
      </c>
      <c r="J6" s="48" t="s">
        <v>75</v>
      </c>
      <c r="K6" s="49"/>
    </row>
    <row r="7" customFormat="false" ht="22.5" hidden="false" customHeight="true" outlineLevel="0" collapsed="false">
      <c r="A7" s="46" t="n">
        <v>2</v>
      </c>
      <c r="B7" s="47" t="n">
        <v>2</v>
      </c>
      <c r="C7" s="48" t="s">
        <v>76</v>
      </c>
      <c r="D7" s="49" t="n">
        <v>7</v>
      </c>
      <c r="E7" s="50" t="n">
        <v>7</v>
      </c>
      <c r="F7" s="51" t="n">
        <f aca="false">N(D7)-E7</f>
        <v>0</v>
      </c>
      <c r="H7" s="46"/>
      <c r="I7" s="47" t="n">
        <v>2</v>
      </c>
      <c r="J7" s="48" t="s">
        <v>76</v>
      </c>
      <c r="K7" s="49"/>
    </row>
    <row r="8" customFormat="false" ht="22.5" hidden="false" customHeight="true" outlineLevel="0" collapsed="false">
      <c r="A8" s="46" t="n">
        <v>3</v>
      </c>
      <c r="B8" s="47" t="n">
        <v>3</v>
      </c>
      <c r="C8" s="47" t="s">
        <v>77</v>
      </c>
      <c r="D8" s="49" t="n">
        <v>6</v>
      </c>
      <c r="E8" s="50" t="n">
        <v>47</v>
      </c>
      <c r="F8" s="51" t="n">
        <f aca="false">N(D8)-E8</f>
        <v>-41</v>
      </c>
      <c r="H8" s="46"/>
      <c r="I8" s="47" t="n">
        <v>3</v>
      </c>
      <c r="J8" s="47" t="s">
        <v>77</v>
      </c>
      <c r="K8" s="49"/>
    </row>
    <row r="9" customFormat="false" ht="22.5" hidden="false" customHeight="true" outlineLevel="0" collapsed="false">
      <c r="A9" s="46" t="n">
        <v>4</v>
      </c>
      <c r="B9" s="47" t="n">
        <v>4</v>
      </c>
      <c r="C9" s="47" t="s">
        <v>78</v>
      </c>
      <c r="D9" s="49" t="n">
        <v>11</v>
      </c>
      <c r="E9" s="50" t="n">
        <v>40</v>
      </c>
      <c r="F9" s="51" t="n">
        <f aca="false">N(D9)-E9</f>
        <v>-29</v>
      </c>
      <c r="H9" s="46"/>
      <c r="I9" s="47" t="n">
        <v>4</v>
      </c>
      <c r="J9" s="47" t="s">
        <v>78</v>
      </c>
      <c r="K9" s="49"/>
    </row>
    <row r="10" customFormat="false" ht="22.5" hidden="false" customHeight="true" outlineLevel="0" collapsed="false">
      <c r="A10" s="46" t="n">
        <v>5</v>
      </c>
      <c r="B10" s="47" t="n">
        <v>5</v>
      </c>
      <c r="C10" s="48" t="s">
        <v>79</v>
      </c>
      <c r="D10" s="49" t="n">
        <v>8</v>
      </c>
      <c r="E10" s="50" t="n">
        <v>0</v>
      </c>
      <c r="F10" s="51" t="n">
        <f aca="false">N(D10)-E10</f>
        <v>8</v>
      </c>
      <c r="H10" s="46"/>
      <c r="I10" s="47" t="n">
        <v>5</v>
      </c>
      <c r="J10" s="48" t="s">
        <v>79</v>
      </c>
      <c r="K10" s="49"/>
    </row>
    <row r="11" customFormat="false" ht="22.5" hidden="false" customHeight="true" outlineLevel="0" collapsed="false">
      <c r="A11" s="46" t="n">
        <v>6</v>
      </c>
      <c r="B11" s="47" t="n">
        <v>6</v>
      </c>
      <c r="C11" s="48" t="s">
        <v>80</v>
      </c>
      <c r="D11" s="49" t="n">
        <v>16</v>
      </c>
      <c r="E11" s="50" t="n">
        <v>48</v>
      </c>
      <c r="F11" s="51" t="n">
        <f aca="false">N(D11)-E11</f>
        <v>-32</v>
      </c>
      <c r="H11" s="46"/>
      <c r="I11" s="47" t="n">
        <v>6</v>
      </c>
      <c r="J11" s="48" t="s">
        <v>80</v>
      </c>
      <c r="K11" s="49"/>
    </row>
    <row r="12" customFormat="false" ht="22.5" hidden="false" customHeight="true" outlineLevel="0" collapsed="false">
      <c r="A12" s="46" t="n">
        <v>7</v>
      </c>
      <c r="B12" s="47" t="n">
        <v>7</v>
      </c>
      <c r="C12" s="48" t="s">
        <v>81</v>
      </c>
      <c r="D12" s="49" t="n">
        <v>6</v>
      </c>
      <c r="E12" s="50" t="n">
        <v>2</v>
      </c>
      <c r="F12" s="51" t="n">
        <f aca="false">N(D12)-E12</f>
        <v>4</v>
      </c>
      <c r="H12" s="46"/>
      <c r="I12" s="47" t="n">
        <v>7</v>
      </c>
      <c r="J12" s="48" t="s">
        <v>81</v>
      </c>
      <c r="K12" s="49"/>
    </row>
    <row r="13" customFormat="false" ht="22.5" hidden="false" customHeight="true" outlineLevel="0" collapsed="false">
      <c r="A13" s="46" t="n">
        <v>8</v>
      </c>
      <c r="B13" s="47" t="n">
        <v>8</v>
      </c>
      <c r="C13" s="48" t="s">
        <v>82</v>
      </c>
      <c r="D13" s="49" t="n">
        <v>10</v>
      </c>
      <c r="E13" s="50" t="n">
        <v>0</v>
      </c>
      <c r="F13" s="51" t="n">
        <f aca="false">N(D13)-E13</f>
        <v>10</v>
      </c>
      <c r="H13" s="46"/>
      <c r="I13" s="47" t="n">
        <v>8</v>
      </c>
      <c r="J13" s="48" t="s">
        <v>82</v>
      </c>
      <c r="K13" s="49"/>
    </row>
    <row r="14" customFormat="false" ht="22.5" hidden="false" customHeight="true" outlineLevel="0" collapsed="false">
      <c r="A14" s="46" t="n">
        <v>9</v>
      </c>
      <c r="B14" s="47" t="n">
        <v>9</v>
      </c>
      <c r="C14" s="48" t="s">
        <v>83</v>
      </c>
      <c r="D14" s="49" t="n">
        <v>0</v>
      </c>
      <c r="E14" s="50" t="n">
        <v>0</v>
      </c>
      <c r="F14" s="51" t="n">
        <f aca="false">N(D14)-E14</f>
        <v>0</v>
      </c>
      <c r="H14" s="46"/>
      <c r="I14" s="47" t="n">
        <v>9</v>
      </c>
      <c r="J14" s="48" t="s">
        <v>83</v>
      </c>
      <c r="K14" s="49"/>
    </row>
    <row r="15" customFormat="false" ht="22.5" hidden="false" customHeight="true" outlineLevel="0" collapsed="false">
      <c r="A15" s="46" t="n">
        <v>10</v>
      </c>
      <c r="B15" s="47" t="n">
        <v>10</v>
      </c>
      <c r="C15" s="48" t="s">
        <v>84</v>
      </c>
      <c r="D15" s="49" t="n">
        <v>7</v>
      </c>
      <c r="E15" s="50" t="n">
        <v>6</v>
      </c>
      <c r="F15" s="51" t="n">
        <f aca="false">N(D15)-E15</f>
        <v>1</v>
      </c>
      <c r="H15" s="46"/>
      <c r="I15" s="47" t="n">
        <v>10</v>
      </c>
      <c r="J15" s="48" t="s">
        <v>84</v>
      </c>
      <c r="K15" s="49"/>
    </row>
    <row r="16" customFormat="false" ht="22.5" hidden="false" customHeight="true" outlineLevel="0" collapsed="false">
      <c r="A16" s="46" t="n">
        <v>11</v>
      </c>
      <c r="B16" s="47" t="n">
        <v>11</v>
      </c>
      <c r="C16" s="48" t="s">
        <v>85</v>
      </c>
      <c r="D16" s="49" t="n">
        <v>17</v>
      </c>
      <c r="E16" s="50" t="n">
        <v>0</v>
      </c>
      <c r="F16" s="51" t="n">
        <f aca="false">N(D16)-E16</f>
        <v>17</v>
      </c>
      <c r="H16" s="46"/>
      <c r="I16" s="47" t="n">
        <v>11</v>
      </c>
      <c r="J16" s="48" t="s">
        <v>85</v>
      </c>
      <c r="K16" s="49"/>
    </row>
    <row r="17" customFormat="false" ht="22.5" hidden="false" customHeight="true" outlineLevel="0" collapsed="false">
      <c r="A17" s="46" t="n">
        <v>12</v>
      </c>
      <c r="B17" s="47" t="n">
        <v>12</v>
      </c>
      <c r="C17" s="48" t="s">
        <v>86</v>
      </c>
      <c r="D17" s="49" t="n">
        <v>11</v>
      </c>
      <c r="E17" s="50" t="n">
        <v>0</v>
      </c>
      <c r="F17" s="51" t="n">
        <f aca="false">N(D17)-E17</f>
        <v>11</v>
      </c>
      <c r="H17" s="46"/>
      <c r="I17" s="47" t="n">
        <v>12</v>
      </c>
      <c r="J17" s="48" t="s">
        <v>86</v>
      </c>
      <c r="K17" s="49"/>
    </row>
    <row r="18" customFormat="false" ht="22.5" hidden="false" customHeight="true" outlineLevel="0" collapsed="false">
      <c r="A18" s="46" t="n">
        <v>13</v>
      </c>
      <c r="B18" s="47" t="n">
        <v>13</v>
      </c>
      <c r="C18" s="48" t="s">
        <v>87</v>
      </c>
      <c r="D18" s="49" t="n">
        <v>15</v>
      </c>
      <c r="E18" s="50" t="n">
        <v>8</v>
      </c>
      <c r="F18" s="51" t="n">
        <f aca="false">N(D18)-E18</f>
        <v>7</v>
      </c>
      <c r="H18" s="46"/>
      <c r="I18" s="47" t="n">
        <v>13</v>
      </c>
      <c r="J18" s="48" t="s">
        <v>87</v>
      </c>
      <c r="K18" s="49"/>
    </row>
    <row r="19" customFormat="false" ht="22.5" hidden="false" customHeight="true" outlineLevel="0" collapsed="false">
      <c r="A19" s="46" t="n">
        <v>14</v>
      </c>
      <c r="B19" s="47" t="n">
        <v>14</v>
      </c>
      <c r="C19" s="48" t="s">
        <v>88</v>
      </c>
      <c r="D19" s="49" t="n">
        <v>5</v>
      </c>
      <c r="E19" s="50" t="n">
        <v>0</v>
      </c>
      <c r="F19" s="51" t="n">
        <f aca="false">N(D19)-E19</f>
        <v>5</v>
      </c>
      <c r="H19" s="46"/>
      <c r="I19" s="47" t="n">
        <v>14</v>
      </c>
      <c r="J19" s="48" t="s">
        <v>88</v>
      </c>
      <c r="K19" s="49"/>
    </row>
    <row r="20" customFormat="false" ht="14.25" hidden="false" customHeight="false" outlineLevel="0" collapsed="false">
      <c r="A20" s="46" t="n">
        <v>15</v>
      </c>
      <c r="B20" s="46"/>
      <c r="C20" s="46" t="s">
        <v>89</v>
      </c>
      <c r="D20" s="46" t="n">
        <v>8</v>
      </c>
      <c r="E20" s="52" t="n">
        <v>9</v>
      </c>
      <c r="F20" s="53" t="n">
        <f aca="false">N(D20)-E20</f>
        <v>-1</v>
      </c>
    </row>
    <row r="23" customFormat="false" ht="14.25" hidden="false" customHeight="false" outlineLevel="0" collapsed="false">
      <c r="C23" s="28" t="s">
        <v>90</v>
      </c>
    </row>
  </sheetData>
  <mergeCells count="9">
    <mergeCell ref="A2:C2"/>
    <mergeCell ref="A3:A4"/>
    <mergeCell ref="C3:C4"/>
    <mergeCell ref="D3:D4"/>
    <mergeCell ref="E3:E4"/>
    <mergeCell ref="F3:F4"/>
    <mergeCell ref="H3:H4"/>
    <mergeCell ref="J3:J4"/>
    <mergeCell ref="K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73046875" defaultRowHeight="18" zeroHeight="false" outlineLevelRow="0" outlineLevelCol="0"/>
  <cols>
    <col collapsed="false" customWidth="true" hidden="false" outlineLevel="0" max="1" min="1" style="54" width="6.18"/>
    <col collapsed="false" customWidth="true" hidden="false" outlineLevel="0" max="2" min="2" style="55" width="18.45"/>
    <col collapsed="false" customWidth="true" hidden="false" outlineLevel="0" max="5" min="3" style="55" width="8.82"/>
    <col collapsed="false" customWidth="true" hidden="false" outlineLevel="0" max="6" min="6" style="55" width="11.36"/>
    <col collapsed="false" customWidth="false" hidden="false" outlineLevel="0" max="16384" min="7" style="55" width="8.73"/>
  </cols>
  <sheetData>
    <row r="2" customFormat="false" ht="18" hidden="false" customHeight="false" outlineLevel="0" collapsed="false">
      <c r="B2" s="56" t="s">
        <v>91</v>
      </c>
      <c r="C2" s="56"/>
      <c r="D2" s="56"/>
      <c r="E2" s="56"/>
    </row>
    <row r="4" s="59" customFormat="true" ht="14.25" hidden="false" customHeight="true" outlineLevel="0" collapsed="false">
      <c r="A4" s="57" t="s">
        <v>4</v>
      </c>
      <c r="B4" s="58" t="s">
        <v>5</v>
      </c>
      <c r="C4" s="58" t="s">
        <v>9</v>
      </c>
      <c r="D4" s="58" t="s">
        <v>10</v>
      </c>
      <c r="E4" s="58" t="s">
        <v>11</v>
      </c>
      <c r="F4" s="58" t="s">
        <v>92</v>
      </c>
    </row>
    <row r="5" s="59" customFormat="true" ht="18" hidden="false" customHeight="false" outlineLevel="0" collapsed="false">
      <c r="A5" s="57"/>
      <c r="B5" s="57"/>
      <c r="C5" s="57"/>
      <c r="D5" s="57"/>
      <c r="E5" s="57"/>
      <c r="F5" s="57"/>
    </row>
    <row r="6" customFormat="false" ht="18" hidden="false" customHeight="false" outlineLevel="0" collapsed="false">
      <c r="A6" s="60"/>
      <c r="B6" s="61"/>
      <c r="C6" s="61" t="n">
        <f aca="false">SUM(C7:C19)</f>
        <v>14</v>
      </c>
      <c r="D6" s="61" t="n">
        <f aca="false">SUM(D7:D19)</f>
        <v>5</v>
      </c>
      <c r="E6" s="61" t="n">
        <f aca="false">SUM(E7:E19)</f>
        <v>2</v>
      </c>
      <c r="F6" s="61" t="n">
        <f aca="false">SUM(F7:F19)</f>
        <v>0</v>
      </c>
    </row>
    <row r="7" s="64" customFormat="true" ht="18" hidden="false" customHeight="false" outlineLevel="0" collapsed="false">
      <c r="A7" s="62" t="n">
        <v>1</v>
      </c>
      <c r="B7" s="63" t="s">
        <v>93</v>
      </c>
      <c r="C7" s="63" t="n">
        <v>1</v>
      </c>
      <c r="D7" s="63"/>
      <c r="E7" s="63"/>
      <c r="F7" s="63"/>
    </row>
    <row r="8" s="64" customFormat="true" ht="18" hidden="false" customHeight="false" outlineLevel="0" collapsed="false">
      <c r="A8" s="62" t="n">
        <v>2</v>
      </c>
      <c r="B8" s="63" t="s">
        <v>94</v>
      </c>
      <c r="C8" s="63" t="n">
        <v>1</v>
      </c>
      <c r="D8" s="63"/>
      <c r="E8" s="63"/>
      <c r="F8" s="63" t="s">
        <v>95</v>
      </c>
    </row>
    <row r="9" s="64" customFormat="true" ht="18" hidden="false" customHeight="false" outlineLevel="0" collapsed="false">
      <c r="A9" s="62" t="n">
        <v>3</v>
      </c>
      <c r="B9" s="63" t="s">
        <v>96</v>
      </c>
      <c r="C9" s="63" t="n">
        <v>3</v>
      </c>
      <c r="D9" s="63"/>
      <c r="E9" s="63"/>
      <c r="F9" s="63"/>
    </row>
    <row r="10" s="64" customFormat="true" ht="18" hidden="false" customHeight="false" outlineLevel="0" collapsed="false">
      <c r="A10" s="62" t="n">
        <v>4</v>
      </c>
      <c r="B10" s="63" t="s">
        <v>97</v>
      </c>
      <c r="C10" s="63" t="n">
        <v>2</v>
      </c>
      <c r="D10" s="63"/>
      <c r="E10" s="63"/>
      <c r="F10" s="63"/>
    </row>
    <row r="11" s="64" customFormat="true" ht="18" hidden="false" customHeight="false" outlineLevel="0" collapsed="false">
      <c r="A11" s="62" t="n">
        <v>5</v>
      </c>
      <c r="B11" s="63" t="s">
        <v>98</v>
      </c>
      <c r="C11" s="63" t="n">
        <v>5</v>
      </c>
      <c r="D11" s="63"/>
      <c r="E11" s="63"/>
      <c r="F11" s="63"/>
    </row>
    <row r="12" s="64" customFormat="true" ht="18" hidden="false" customHeight="false" outlineLevel="0" collapsed="false">
      <c r="A12" s="62" t="n">
        <v>6</v>
      </c>
      <c r="B12" s="63" t="s">
        <v>99</v>
      </c>
      <c r="C12" s="63" t="n">
        <v>1</v>
      </c>
      <c r="D12" s="63"/>
      <c r="E12" s="63"/>
      <c r="F12" s="63" t="s">
        <v>100</v>
      </c>
    </row>
    <row r="13" s="64" customFormat="true" ht="18" hidden="false" customHeight="false" outlineLevel="0" collapsed="false">
      <c r="A13" s="62" t="n">
        <v>7</v>
      </c>
      <c r="B13" s="63" t="s">
        <v>101</v>
      </c>
      <c r="C13" s="63" t="n">
        <v>1</v>
      </c>
      <c r="D13" s="63"/>
      <c r="E13" s="63"/>
      <c r="F13" s="63"/>
    </row>
    <row r="14" s="64" customFormat="true" ht="18" hidden="false" customHeight="false" outlineLevel="0" collapsed="false">
      <c r="A14" s="62" t="n">
        <v>8</v>
      </c>
      <c r="B14" s="63" t="s">
        <v>102</v>
      </c>
      <c r="C14" s="63"/>
      <c r="D14" s="63" t="n">
        <v>2</v>
      </c>
      <c r="E14" s="63"/>
      <c r="F14" s="63"/>
    </row>
    <row r="15" s="64" customFormat="true" ht="18" hidden="false" customHeight="false" outlineLevel="0" collapsed="false">
      <c r="A15" s="62" t="n">
        <v>9</v>
      </c>
      <c r="B15" s="63" t="s">
        <v>103</v>
      </c>
      <c r="C15" s="63"/>
      <c r="D15" s="63" t="n">
        <v>1</v>
      </c>
      <c r="E15" s="63"/>
      <c r="F15" s="63"/>
    </row>
    <row r="16" s="64" customFormat="true" ht="18" hidden="false" customHeight="false" outlineLevel="0" collapsed="false">
      <c r="A16" s="62" t="n">
        <v>10</v>
      </c>
      <c r="B16" s="63" t="s">
        <v>104</v>
      </c>
      <c r="C16" s="63"/>
      <c r="D16" s="63" t="n">
        <v>1</v>
      </c>
      <c r="E16" s="63"/>
      <c r="F16" s="63"/>
    </row>
    <row r="17" s="64" customFormat="true" ht="18" hidden="false" customHeight="false" outlineLevel="0" collapsed="false">
      <c r="A17" s="62" t="n">
        <v>11</v>
      </c>
      <c r="B17" s="63" t="s">
        <v>105</v>
      </c>
      <c r="C17" s="63"/>
      <c r="D17" s="63" t="n">
        <v>1</v>
      </c>
      <c r="E17" s="63"/>
      <c r="F17" s="63"/>
    </row>
    <row r="18" s="64" customFormat="true" ht="18" hidden="false" customHeight="false" outlineLevel="0" collapsed="false">
      <c r="A18" s="62" t="n">
        <v>12</v>
      </c>
      <c r="B18" s="63" t="s">
        <v>106</v>
      </c>
      <c r="C18" s="63"/>
      <c r="D18" s="63"/>
      <c r="E18" s="63" t="n">
        <v>1</v>
      </c>
      <c r="F18" s="63"/>
    </row>
    <row r="19" s="64" customFormat="true" ht="18" hidden="false" customHeight="false" outlineLevel="0" collapsed="false">
      <c r="A19" s="62" t="n">
        <v>13</v>
      </c>
      <c r="B19" s="63" t="s">
        <v>107</v>
      </c>
      <c r="C19" s="63"/>
      <c r="D19" s="63"/>
      <c r="E19" s="63" t="n">
        <v>1</v>
      </c>
      <c r="F19" s="63"/>
    </row>
    <row r="20" s="64" customFormat="true" ht="18" hidden="false" customHeight="false" outlineLevel="0" collapsed="false">
      <c r="A20" s="65"/>
    </row>
    <row r="21" s="64" customFormat="true" ht="18" hidden="false" customHeight="false" outlineLevel="0" collapsed="false">
      <c r="A21" s="65"/>
    </row>
    <row r="22" s="64" customFormat="true" ht="18" hidden="false" customHeight="false" outlineLevel="0" collapsed="false">
      <c r="A22" s="65"/>
    </row>
    <row r="23" s="64" customFormat="true" ht="18" hidden="false" customHeight="false" outlineLevel="0" collapsed="false">
      <c r="A23" s="65"/>
    </row>
  </sheetData>
  <mergeCells count="7">
    <mergeCell ref="B2:E2"/>
    <mergeCell ref="A4:A5"/>
    <mergeCell ref="B4:B5"/>
    <mergeCell ref="C4:C5"/>
    <mergeCell ref="D4:D5"/>
    <mergeCell ref="E4:E5"/>
    <mergeCell ref="F4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3046875" defaultRowHeight="18" zeroHeight="false" outlineLevelRow="0" outlineLevelCol="0"/>
  <cols>
    <col collapsed="false" customWidth="true" hidden="false" outlineLevel="0" max="1" min="1" style="2" width="5"/>
    <col collapsed="false" customWidth="true" hidden="false" outlineLevel="0" max="2" min="2" style="2" width="13.45"/>
    <col collapsed="false" customWidth="true" hidden="false" outlineLevel="0" max="3" min="3" style="2" width="7.82"/>
    <col collapsed="false" customWidth="true" hidden="false" outlineLevel="0" max="5" min="4" style="2" width="6"/>
    <col collapsed="false" customWidth="true" hidden="false" outlineLevel="0" max="12" min="6" style="2" width="3.27"/>
    <col collapsed="false" customWidth="true" hidden="false" outlineLevel="0" max="13" min="13" style="66" width="3.27"/>
    <col collapsed="false" customWidth="true" hidden="false" outlineLevel="0" max="14" min="14" style="2" width="3.27"/>
    <col collapsed="false" customWidth="true" hidden="false" outlineLevel="0" max="19" min="15" style="2" width="3.73"/>
    <col collapsed="false" customWidth="true" hidden="false" outlineLevel="0" max="23" min="20" style="66" width="3.73"/>
    <col collapsed="false" customWidth="true" hidden="false" outlineLevel="0" max="29" min="24" style="2" width="3.73"/>
    <col collapsed="false" customWidth="true" hidden="false" outlineLevel="0" max="30" min="30" style="2" width="5.27"/>
    <col collapsed="false" customWidth="true" hidden="false" outlineLevel="0" max="36" min="31" style="2" width="3.73"/>
    <col collapsed="false" customWidth="true" hidden="false" outlineLevel="0" max="37" min="37" style="2" width="5.18"/>
    <col collapsed="false" customWidth="true" hidden="false" outlineLevel="0" max="38" min="38" style="2" width="4.82"/>
    <col collapsed="false" customWidth="true" hidden="false" outlineLevel="0" max="40" min="39" style="2" width="5.45"/>
    <col collapsed="false" customWidth="true" hidden="false" outlineLevel="0" max="41" min="41" style="2" width="5.18"/>
    <col collapsed="false" customWidth="true" hidden="false" outlineLevel="0" max="44" min="42" style="2" width="4.18"/>
    <col collapsed="false" customWidth="true" hidden="false" outlineLevel="0" max="45" min="45" style="2" width="5.73"/>
    <col collapsed="false" customWidth="false" hidden="false" outlineLevel="0" max="16384" min="46" style="2" width="8.73"/>
  </cols>
  <sheetData>
    <row r="2" customFormat="false" ht="18" hidden="false" customHeight="false" outlineLevel="0" collapsed="false">
      <c r="B2" s="67" t="s">
        <v>108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4" s="10" customFormat="true" ht="14.25" hidden="false" customHeight="true" outlineLevel="0" collapsed="false">
      <c r="A4" s="7" t="s">
        <v>4</v>
      </c>
      <c r="B4" s="7" t="s">
        <v>5</v>
      </c>
      <c r="C4" s="7" t="s">
        <v>9</v>
      </c>
      <c r="D4" s="7" t="s">
        <v>109</v>
      </c>
      <c r="E4" s="7" t="s">
        <v>110</v>
      </c>
      <c r="F4" s="7" t="n">
        <v>1</v>
      </c>
      <c r="G4" s="7" t="n">
        <v>2</v>
      </c>
      <c r="H4" s="7" t="n">
        <v>3</v>
      </c>
      <c r="I4" s="7" t="n">
        <v>4</v>
      </c>
      <c r="J4" s="7" t="n">
        <v>5</v>
      </c>
      <c r="K4" s="7" t="n">
        <v>6</v>
      </c>
      <c r="L4" s="7" t="n">
        <v>7</v>
      </c>
      <c r="M4" s="7" t="n">
        <v>8</v>
      </c>
      <c r="N4" s="7" t="n">
        <v>9</v>
      </c>
      <c r="O4" s="68" t="n">
        <v>10</v>
      </c>
      <c r="P4" s="68" t="n">
        <v>11</v>
      </c>
      <c r="Q4" s="68" t="n">
        <v>12</v>
      </c>
      <c r="R4" s="68" t="n">
        <v>13</v>
      </c>
      <c r="S4" s="68" t="n">
        <v>14</v>
      </c>
      <c r="T4" s="68" t="n">
        <v>15</v>
      </c>
      <c r="U4" s="68" t="n">
        <v>16</v>
      </c>
      <c r="V4" s="68" t="n">
        <v>17</v>
      </c>
      <c r="W4" s="68" t="n">
        <v>18</v>
      </c>
      <c r="X4" s="68" t="n">
        <v>19</v>
      </c>
      <c r="Y4" s="68" t="n">
        <v>20</v>
      </c>
      <c r="Z4" s="68" t="n">
        <v>21</v>
      </c>
      <c r="AA4" s="68" t="n">
        <v>22</v>
      </c>
      <c r="AB4" s="68" t="n">
        <v>23</v>
      </c>
      <c r="AC4" s="68" t="n">
        <v>24</v>
      </c>
      <c r="AD4" s="68" t="n">
        <v>25</v>
      </c>
      <c r="AE4" s="68" t="n">
        <v>26</v>
      </c>
      <c r="AF4" s="68" t="n">
        <v>27</v>
      </c>
      <c r="AG4" s="68" t="n">
        <v>28</v>
      </c>
      <c r="AH4" s="68" t="n">
        <v>29</v>
      </c>
      <c r="AI4" s="68" t="n">
        <v>30</v>
      </c>
      <c r="AJ4" s="68" t="n">
        <v>31</v>
      </c>
      <c r="AK4" s="69" t="s">
        <v>111</v>
      </c>
      <c r="AL4" s="70" t="s">
        <v>112</v>
      </c>
      <c r="AM4" s="70"/>
      <c r="AN4" s="70"/>
      <c r="AO4" s="70"/>
      <c r="AP4" s="70"/>
      <c r="AQ4" s="70"/>
      <c r="AR4" s="70"/>
      <c r="AS4" s="69" t="s">
        <v>113</v>
      </c>
    </row>
    <row r="5" s="10" customFormat="true" ht="18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="72" customFormat="true" ht="15" hidden="false" customHeight="true" outlineLevel="0" collapsed="false">
      <c r="A6" s="71"/>
      <c r="B6" s="71"/>
      <c r="C6" s="71" t="n">
        <f aca="false">SUM(C7:C52)</f>
        <v>1272</v>
      </c>
      <c r="D6" s="71"/>
      <c r="E6" s="71"/>
      <c r="F6" s="71" t="n">
        <f aca="false">SUM(F7:F52)</f>
        <v>0</v>
      </c>
      <c r="G6" s="71" t="n">
        <f aca="false">SUM(G7:G52)</f>
        <v>0</v>
      </c>
      <c r="H6" s="71" t="n">
        <f aca="false">SUM(H7:H52)</f>
        <v>0</v>
      </c>
      <c r="I6" s="71" t="n">
        <f aca="false">SUM(I7:I52)</f>
        <v>0</v>
      </c>
      <c r="J6" s="71" t="n">
        <f aca="false">SUM(J7:J52)</f>
        <v>0</v>
      </c>
      <c r="K6" s="71" t="n">
        <f aca="false">SUM(K7:K52)</f>
        <v>0</v>
      </c>
      <c r="L6" s="71" t="n">
        <f aca="false">SUM(L7:L52)</f>
        <v>0</v>
      </c>
      <c r="M6" s="71" t="n">
        <f aca="false">SUM(M7:M52)</f>
        <v>0</v>
      </c>
      <c r="N6" s="71" t="n">
        <f aca="false">SUM(N7:N52)</f>
        <v>0</v>
      </c>
      <c r="O6" s="71" t="n">
        <f aca="false">SUM(O7:O52)</f>
        <v>0</v>
      </c>
      <c r="P6" s="71" t="n">
        <f aca="false">SUM(P7:P52)</f>
        <v>0</v>
      </c>
      <c r="Q6" s="71" t="n">
        <f aca="false">SUM(Q7:Q52)</f>
        <v>0</v>
      </c>
      <c r="R6" s="71" t="n">
        <f aca="false">SUM(R7:R52)</f>
        <v>0</v>
      </c>
      <c r="S6" s="71" t="n">
        <f aca="false">SUM(S7:S52)</f>
        <v>0</v>
      </c>
      <c r="T6" s="71" t="n">
        <f aca="false">SUM(T7:T52)</f>
        <v>0</v>
      </c>
      <c r="U6" s="71" t="n">
        <f aca="false">SUM(U7:U52)</f>
        <v>0</v>
      </c>
      <c r="V6" s="71" t="n">
        <f aca="false">SUM(V7:V52)</f>
        <v>0</v>
      </c>
      <c r="W6" s="71" t="n">
        <f aca="false">SUM(W7:W52)</f>
        <v>0</v>
      </c>
      <c r="X6" s="71" t="n">
        <f aca="false">SUM(X7:X52)</f>
        <v>0</v>
      </c>
      <c r="Y6" s="71" t="n">
        <f aca="false">SUM(Y7:Y52)</f>
        <v>0</v>
      </c>
      <c r="Z6" s="71" t="n">
        <f aca="false">SUM(Z7:Z52)</f>
        <v>0</v>
      </c>
      <c r="AA6" s="71" t="n">
        <f aca="false">SUM(AA7:AA52)</f>
        <v>0</v>
      </c>
      <c r="AB6" s="71" t="n">
        <f aca="false">SUM(AB7:AB52)</f>
        <v>0</v>
      </c>
      <c r="AC6" s="71" t="n">
        <f aca="false">SUM(AC7:AC52)</f>
        <v>0</v>
      </c>
      <c r="AD6" s="71" t="n">
        <f aca="false">SUM(AD7:AD52)</f>
        <v>0</v>
      </c>
      <c r="AE6" s="71" t="n">
        <f aca="false">SUM(AE7:AE52)</f>
        <v>0</v>
      </c>
      <c r="AF6" s="71" t="n">
        <f aca="false">SUM(AF7:AF52)</f>
        <v>0</v>
      </c>
      <c r="AG6" s="71" t="n">
        <f aca="false">SUM(AG7:AG52)</f>
        <v>0</v>
      </c>
      <c r="AH6" s="71" t="n">
        <f aca="false">SUM(AH7:AH52)</f>
        <v>0</v>
      </c>
      <c r="AI6" s="71" t="n">
        <f aca="false">SUM(AI7:AI52)</f>
        <v>0</v>
      </c>
      <c r="AJ6" s="71" t="n">
        <f aca="false">SUM(AJ7:AJ52)</f>
        <v>0</v>
      </c>
      <c r="AK6" s="71" t="n">
        <f aca="false">SUM(AK7:AK52)</f>
        <v>0</v>
      </c>
      <c r="AL6" s="71" t="n">
        <f aca="false">SUM(AL7:AL52)</f>
        <v>0</v>
      </c>
      <c r="AM6" s="71" t="n">
        <f aca="false">SUM(AM7:AM52)</f>
        <v>0</v>
      </c>
      <c r="AN6" s="71" t="n">
        <f aca="false">SUM(AN7:AN52)</f>
        <v>0</v>
      </c>
      <c r="AO6" s="71" t="n">
        <f aca="false">SUM(AO7:AO52)</f>
        <v>0</v>
      </c>
      <c r="AP6" s="71" t="n">
        <f aca="false">SUM(AP7:AP52)</f>
        <v>0</v>
      </c>
      <c r="AQ6" s="71" t="n">
        <f aca="false">SUM(AQ7:AQ52)</f>
        <v>0</v>
      </c>
      <c r="AR6" s="71" t="n">
        <f aca="false">SUM(AR7:AR52)</f>
        <v>0</v>
      </c>
      <c r="AS6" s="71" t="n">
        <f aca="false">SUM(AS7:AS52)</f>
        <v>1272</v>
      </c>
    </row>
    <row r="7" s="72" customFormat="true" ht="18" hidden="false" customHeight="false" outlineLevel="0" collapsed="false">
      <c r="A7" s="18" t="n">
        <v>1</v>
      </c>
      <c r="B7" s="14" t="s">
        <v>12</v>
      </c>
      <c r="C7" s="73" t="n">
        <f aca="false">D7+E7</f>
        <v>207</v>
      </c>
      <c r="D7" s="73" t="n">
        <v>118</v>
      </c>
      <c r="E7" s="73" t="n">
        <v>89</v>
      </c>
      <c r="F7" s="18"/>
      <c r="G7" s="18"/>
      <c r="H7" s="18"/>
      <c r="I7" s="18"/>
      <c r="J7" s="18"/>
      <c r="K7" s="18"/>
      <c r="L7" s="18"/>
      <c r="M7" s="15"/>
      <c r="N7" s="18"/>
      <c r="O7" s="18"/>
      <c r="P7" s="18"/>
      <c r="Q7" s="18"/>
      <c r="R7" s="18"/>
      <c r="S7" s="18"/>
      <c r="T7" s="15"/>
      <c r="U7" s="15"/>
      <c r="V7" s="15"/>
      <c r="W7" s="15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 t="n">
        <f aca="false">C7-AK7+AL7+AM7+AN7+AO7+AP7+AQ7+AR7</f>
        <v>207</v>
      </c>
    </row>
    <row r="8" s="72" customFormat="true" ht="18" hidden="false" customHeight="false" outlineLevel="0" collapsed="false">
      <c r="A8" s="18" t="n">
        <v>2</v>
      </c>
      <c r="B8" s="14" t="s">
        <v>13</v>
      </c>
      <c r="C8" s="73" t="n">
        <f aca="false">D8+E8</f>
        <v>217</v>
      </c>
      <c r="D8" s="73" t="n">
        <v>187</v>
      </c>
      <c r="E8" s="73" t="n">
        <v>30</v>
      </c>
      <c r="F8" s="18"/>
      <c r="G8" s="18"/>
      <c r="H8" s="18"/>
      <c r="I8" s="18"/>
      <c r="J8" s="18"/>
      <c r="K8" s="18"/>
      <c r="L8" s="18"/>
      <c r="M8" s="15"/>
      <c r="N8" s="18"/>
      <c r="O8" s="18"/>
      <c r="P8" s="18"/>
      <c r="Q8" s="18"/>
      <c r="R8" s="18"/>
      <c r="S8" s="18"/>
      <c r="T8" s="15"/>
      <c r="U8" s="15"/>
      <c r="V8" s="15"/>
      <c r="W8" s="15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 t="n">
        <f aca="false">C8-AK8+AL8+AM8+AN8+AO8+AP8+AQ8+AR8</f>
        <v>217</v>
      </c>
    </row>
    <row r="9" s="72" customFormat="true" ht="18" hidden="false" customHeight="false" outlineLevel="0" collapsed="false">
      <c r="A9" s="18" t="n">
        <v>3</v>
      </c>
      <c r="B9" s="14" t="s">
        <v>14</v>
      </c>
      <c r="C9" s="73" t="n">
        <f aca="false">D9+E9</f>
        <v>20</v>
      </c>
      <c r="D9" s="73" t="n">
        <v>10</v>
      </c>
      <c r="E9" s="73" t="n">
        <v>10</v>
      </c>
      <c r="F9" s="18"/>
      <c r="G9" s="18"/>
      <c r="H9" s="18"/>
      <c r="I9" s="18"/>
      <c r="J9" s="18"/>
      <c r="K9" s="18"/>
      <c r="L9" s="18"/>
      <c r="M9" s="15"/>
      <c r="N9" s="18"/>
      <c r="O9" s="18"/>
      <c r="P9" s="18"/>
      <c r="Q9" s="18"/>
      <c r="R9" s="18"/>
      <c r="S9" s="18"/>
      <c r="T9" s="15"/>
      <c r="U9" s="15"/>
      <c r="V9" s="15"/>
      <c r="W9" s="15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 t="n">
        <f aca="false">C9-AK9+AL9+AM9+AN9+AO9+AP9+AQ9+AR9</f>
        <v>20</v>
      </c>
    </row>
    <row r="10" s="72" customFormat="true" ht="18" hidden="false" customHeight="false" outlineLevel="0" collapsed="false">
      <c r="A10" s="18" t="n">
        <v>4</v>
      </c>
      <c r="B10" s="14" t="s">
        <v>15</v>
      </c>
      <c r="C10" s="73" t="n">
        <f aca="false">D10+E10</f>
        <v>14</v>
      </c>
      <c r="D10" s="73" t="n">
        <v>4</v>
      </c>
      <c r="E10" s="73" t="n">
        <v>10</v>
      </c>
      <c r="F10" s="18"/>
      <c r="G10" s="18"/>
      <c r="H10" s="18"/>
      <c r="I10" s="18"/>
      <c r="J10" s="18"/>
      <c r="K10" s="18"/>
      <c r="L10" s="18"/>
      <c r="M10" s="15"/>
      <c r="N10" s="18"/>
      <c r="O10" s="18"/>
      <c r="P10" s="18"/>
      <c r="Q10" s="18"/>
      <c r="R10" s="18"/>
      <c r="S10" s="18"/>
      <c r="T10" s="15"/>
      <c r="U10" s="15"/>
      <c r="V10" s="15"/>
      <c r="W10" s="15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 t="n">
        <f aca="false">C10-AK10+AL10+AM10+AN10+AO10+AP10+AQ10+AR10</f>
        <v>14</v>
      </c>
    </row>
    <row r="11" s="72" customFormat="true" ht="18" hidden="false" customHeight="false" outlineLevel="0" collapsed="false">
      <c r="A11" s="18" t="n">
        <v>5</v>
      </c>
      <c r="B11" s="14" t="s">
        <v>16</v>
      </c>
      <c r="C11" s="73" t="n">
        <f aca="false">D11+E11</f>
        <v>1</v>
      </c>
      <c r="D11" s="73" t="n">
        <v>0</v>
      </c>
      <c r="E11" s="73" t="n">
        <v>1</v>
      </c>
      <c r="F11" s="18"/>
      <c r="G11" s="18"/>
      <c r="H11" s="18"/>
      <c r="I11" s="18"/>
      <c r="J11" s="18"/>
      <c r="K11" s="18"/>
      <c r="L11" s="18"/>
      <c r="M11" s="15"/>
      <c r="N11" s="18"/>
      <c r="O11" s="18"/>
      <c r="P11" s="18"/>
      <c r="Q11" s="18"/>
      <c r="R11" s="18"/>
      <c r="S11" s="18"/>
      <c r="T11" s="15"/>
      <c r="U11" s="15"/>
      <c r="V11" s="15"/>
      <c r="W11" s="15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 t="n">
        <f aca="false">C11-AK11+AL11+AM11+AN11+AO11+AP11+AQ11+AR11</f>
        <v>1</v>
      </c>
    </row>
    <row r="12" s="72" customFormat="true" ht="18" hidden="false" customHeight="false" outlineLevel="0" collapsed="false">
      <c r="A12" s="18" t="n">
        <v>6</v>
      </c>
      <c r="B12" s="14" t="s">
        <v>17</v>
      </c>
      <c r="C12" s="73" t="n">
        <f aca="false">D12+E12</f>
        <v>24</v>
      </c>
      <c r="D12" s="73" t="n">
        <v>4</v>
      </c>
      <c r="E12" s="73" t="n">
        <v>20</v>
      </c>
      <c r="F12" s="18"/>
      <c r="G12" s="18"/>
      <c r="H12" s="18"/>
      <c r="I12" s="18"/>
      <c r="J12" s="18"/>
      <c r="K12" s="18"/>
      <c r="L12" s="18"/>
      <c r="M12" s="15"/>
      <c r="N12" s="18"/>
      <c r="O12" s="18"/>
      <c r="P12" s="18"/>
      <c r="Q12" s="18"/>
      <c r="R12" s="18"/>
      <c r="S12" s="18"/>
      <c r="T12" s="15"/>
      <c r="U12" s="15"/>
      <c r="V12" s="15"/>
      <c r="W12" s="15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 t="n">
        <f aca="false">C12-AK12+AL12+AM12+AN12+AO12+AP12+AQ12+AR12</f>
        <v>24</v>
      </c>
    </row>
    <row r="13" s="72" customFormat="true" ht="18" hidden="false" customHeight="false" outlineLevel="0" collapsed="false">
      <c r="A13" s="18" t="n">
        <v>7</v>
      </c>
      <c r="B13" s="14" t="s">
        <v>18</v>
      </c>
      <c r="C13" s="73" t="n">
        <f aca="false">D13+E13</f>
        <v>77</v>
      </c>
      <c r="D13" s="73" t="n">
        <v>77</v>
      </c>
      <c r="E13" s="73"/>
      <c r="F13" s="18"/>
      <c r="G13" s="18"/>
      <c r="H13" s="18"/>
      <c r="I13" s="18"/>
      <c r="J13" s="18"/>
      <c r="K13" s="18"/>
      <c r="L13" s="18"/>
      <c r="M13" s="15"/>
      <c r="N13" s="18"/>
      <c r="O13" s="18"/>
      <c r="P13" s="18"/>
      <c r="Q13" s="18"/>
      <c r="R13" s="18"/>
      <c r="S13" s="18"/>
      <c r="T13" s="15"/>
      <c r="U13" s="15"/>
      <c r="V13" s="15"/>
      <c r="W13" s="15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 t="n">
        <f aca="false">C13-AK13+AL13+AM13+AN13+AO13+AP13+AQ13+AR13</f>
        <v>77</v>
      </c>
    </row>
    <row r="14" s="72" customFormat="true" ht="18" hidden="false" customHeight="false" outlineLevel="0" collapsed="false">
      <c r="A14" s="18" t="n">
        <v>8</v>
      </c>
      <c r="B14" s="14" t="s">
        <v>19</v>
      </c>
      <c r="C14" s="73" t="n">
        <f aca="false">D14+E14</f>
        <v>4</v>
      </c>
      <c r="D14" s="73" t="n">
        <v>4</v>
      </c>
      <c r="E14" s="73"/>
      <c r="F14" s="18"/>
      <c r="G14" s="18"/>
      <c r="H14" s="18"/>
      <c r="I14" s="18"/>
      <c r="J14" s="18"/>
      <c r="K14" s="18"/>
      <c r="L14" s="18"/>
      <c r="M14" s="15"/>
      <c r="N14" s="18"/>
      <c r="O14" s="18"/>
      <c r="P14" s="18"/>
      <c r="Q14" s="18"/>
      <c r="R14" s="18"/>
      <c r="S14" s="18"/>
      <c r="T14" s="15"/>
      <c r="U14" s="15"/>
      <c r="V14" s="15"/>
      <c r="W14" s="15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 t="n">
        <f aca="false">C14-AK14+AL14+AM14+AN14+AO14+AP14+AQ14+AR14</f>
        <v>4</v>
      </c>
    </row>
    <row r="15" s="72" customFormat="true" ht="18" hidden="false" customHeight="false" outlineLevel="0" collapsed="false">
      <c r="A15" s="18" t="n">
        <v>9</v>
      </c>
      <c r="B15" s="21" t="s">
        <v>20</v>
      </c>
      <c r="C15" s="73" t="n">
        <f aca="false">D15+E15</f>
        <v>57</v>
      </c>
      <c r="D15" s="73" t="n">
        <v>57</v>
      </c>
      <c r="E15" s="73"/>
      <c r="F15" s="18"/>
      <c r="G15" s="18"/>
      <c r="H15" s="18"/>
      <c r="I15" s="18"/>
      <c r="J15" s="18"/>
      <c r="K15" s="18"/>
      <c r="L15" s="18"/>
      <c r="M15" s="15"/>
      <c r="N15" s="18"/>
      <c r="O15" s="18"/>
      <c r="P15" s="18"/>
      <c r="Q15" s="18"/>
      <c r="R15" s="18"/>
      <c r="S15" s="18"/>
      <c r="T15" s="15"/>
      <c r="U15" s="15"/>
      <c r="V15" s="15"/>
      <c r="W15" s="15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 t="n">
        <f aca="false">C15-AK15+AL15+AM15+AN15+AO15+AP15+AQ15+AR15</f>
        <v>57</v>
      </c>
    </row>
    <row r="16" s="72" customFormat="true" ht="18" hidden="false" customHeight="false" outlineLevel="0" collapsed="false">
      <c r="A16" s="18" t="n">
        <v>10</v>
      </c>
      <c r="B16" s="21" t="s">
        <v>21</v>
      </c>
      <c r="C16" s="73" t="n">
        <f aca="false">D16+E16</f>
        <v>0</v>
      </c>
      <c r="D16" s="73"/>
      <c r="E16" s="73"/>
      <c r="F16" s="18"/>
      <c r="G16" s="18"/>
      <c r="H16" s="18"/>
      <c r="I16" s="18"/>
      <c r="J16" s="18"/>
      <c r="K16" s="18"/>
      <c r="L16" s="18"/>
      <c r="M16" s="15"/>
      <c r="N16" s="18"/>
      <c r="O16" s="18"/>
      <c r="P16" s="18"/>
      <c r="Q16" s="18"/>
      <c r="R16" s="18"/>
      <c r="S16" s="18"/>
      <c r="T16" s="15"/>
      <c r="U16" s="15"/>
      <c r="V16" s="15"/>
      <c r="W16" s="15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 t="n">
        <f aca="false">C16-AK16+AL16+AM16+AN16+AO16+AP16+AQ16+AR16</f>
        <v>0</v>
      </c>
    </row>
    <row r="17" s="72" customFormat="true" ht="18" hidden="false" customHeight="false" outlineLevel="0" collapsed="false">
      <c r="A17" s="18" t="n">
        <v>11</v>
      </c>
      <c r="B17" s="21" t="s">
        <v>22</v>
      </c>
      <c r="C17" s="73" t="n">
        <f aca="false">D17+E17</f>
        <v>0</v>
      </c>
      <c r="D17" s="73"/>
      <c r="E17" s="73"/>
      <c r="F17" s="18"/>
      <c r="G17" s="18"/>
      <c r="H17" s="18"/>
      <c r="I17" s="18"/>
      <c r="J17" s="18"/>
      <c r="K17" s="18"/>
      <c r="L17" s="18"/>
      <c r="M17" s="15"/>
      <c r="N17" s="18"/>
      <c r="O17" s="18"/>
      <c r="P17" s="18"/>
      <c r="Q17" s="18"/>
      <c r="R17" s="18"/>
      <c r="S17" s="18"/>
      <c r="T17" s="15"/>
      <c r="U17" s="15"/>
      <c r="V17" s="15"/>
      <c r="W17" s="15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 t="n">
        <f aca="false">C17-AK17+AL17+AM17+AN17+AO17+AP17+AQ17+AR17</f>
        <v>0</v>
      </c>
    </row>
    <row r="18" s="72" customFormat="true" ht="18" hidden="false" customHeight="false" outlineLevel="0" collapsed="false">
      <c r="A18" s="18" t="n">
        <v>12</v>
      </c>
      <c r="B18" s="21" t="s">
        <v>23</v>
      </c>
      <c r="C18" s="73" t="n">
        <f aca="false">D18+E18</f>
        <v>0</v>
      </c>
      <c r="D18" s="73"/>
      <c r="E18" s="73"/>
      <c r="F18" s="18"/>
      <c r="G18" s="18"/>
      <c r="H18" s="18"/>
      <c r="I18" s="18"/>
      <c r="J18" s="18"/>
      <c r="K18" s="18"/>
      <c r="L18" s="18"/>
      <c r="M18" s="15"/>
      <c r="N18" s="18"/>
      <c r="O18" s="18"/>
      <c r="P18" s="18"/>
      <c r="Q18" s="18"/>
      <c r="R18" s="18"/>
      <c r="S18" s="18"/>
      <c r="T18" s="15"/>
      <c r="U18" s="15"/>
      <c r="V18" s="15"/>
      <c r="W18" s="15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 t="n">
        <f aca="false">C18-AK18+AL18+AM18+AN18+AO18+AP18+AQ18+AR18</f>
        <v>0</v>
      </c>
    </row>
    <row r="19" s="72" customFormat="true" ht="18" hidden="false" customHeight="false" outlineLevel="0" collapsed="false">
      <c r="A19" s="18" t="n">
        <v>13</v>
      </c>
      <c r="B19" s="14" t="s">
        <v>24</v>
      </c>
      <c r="C19" s="73" t="n">
        <f aca="false">D19+E19</f>
        <v>67</v>
      </c>
      <c r="D19" s="73" t="n">
        <v>67</v>
      </c>
      <c r="E19" s="73"/>
      <c r="F19" s="18"/>
      <c r="G19" s="18"/>
      <c r="H19" s="18"/>
      <c r="I19" s="18"/>
      <c r="J19" s="18"/>
      <c r="K19" s="18"/>
      <c r="L19" s="18"/>
      <c r="M19" s="15"/>
      <c r="N19" s="18"/>
      <c r="O19" s="18"/>
      <c r="P19" s="18"/>
      <c r="Q19" s="18"/>
      <c r="R19" s="18"/>
      <c r="S19" s="18"/>
      <c r="T19" s="15"/>
      <c r="U19" s="15"/>
      <c r="V19" s="15"/>
      <c r="W19" s="15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 t="n">
        <f aca="false">C19-AK19+AL19+AM19+AN19+AO19+AP19+AQ19+AR19</f>
        <v>67</v>
      </c>
    </row>
    <row r="20" s="72" customFormat="true" ht="18" hidden="false" customHeight="false" outlineLevel="0" collapsed="false">
      <c r="A20" s="18" t="n">
        <v>14</v>
      </c>
      <c r="B20" s="14" t="s">
        <v>25</v>
      </c>
      <c r="C20" s="73" t="n">
        <f aca="false">D20+E20</f>
        <v>0</v>
      </c>
      <c r="D20" s="73"/>
      <c r="E20" s="73"/>
      <c r="F20" s="18"/>
      <c r="G20" s="18"/>
      <c r="H20" s="18"/>
      <c r="I20" s="18"/>
      <c r="J20" s="18"/>
      <c r="K20" s="18"/>
      <c r="L20" s="18"/>
      <c r="M20" s="15"/>
      <c r="N20" s="18"/>
      <c r="O20" s="18"/>
      <c r="P20" s="18"/>
      <c r="Q20" s="18"/>
      <c r="R20" s="18"/>
      <c r="S20" s="18"/>
      <c r="T20" s="15"/>
      <c r="U20" s="15"/>
      <c r="V20" s="15"/>
      <c r="W20" s="15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 t="n">
        <f aca="false">C20-AK20+AL20+AM20+AN20+AO20+AP20+AQ20+AR20</f>
        <v>0</v>
      </c>
    </row>
    <row r="21" s="72" customFormat="true" ht="18" hidden="false" customHeight="false" outlineLevel="0" collapsed="false">
      <c r="A21" s="18" t="n">
        <v>15</v>
      </c>
      <c r="B21" s="14" t="s">
        <v>26</v>
      </c>
      <c r="C21" s="73" t="n">
        <f aca="false">D21+E21</f>
        <v>0</v>
      </c>
      <c r="D21" s="73"/>
      <c r="E21" s="73"/>
      <c r="F21" s="18"/>
      <c r="G21" s="18"/>
      <c r="H21" s="18"/>
      <c r="I21" s="18"/>
      <c r="J21" s="18"/>
      <c r="K21" s="18"/>
      <c r="L21" s="18"/>
      <c r="M21" s="15"/>
      <c r="N21" s="18"/>
      <c r="O21" s="18"/>
      <c r="P21" s="18"/>
      <c r="Q21" s="18"/>
      <c r="R21" s="18"/>
      <c r="S21" s="18"/>
      <c r="T21" s="15"/>
      <c r="U21" s="15"/>
      <c r="V21" s="15"/>
      <c r="W21" s="15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 t="n">
        <f aca="false">C21-AK21+AL21+AM21+AN21+AO21+AP21+AQ21+AR21</f>
        <v>0</v>
      </c>
    </row>
    <row r="22" s="72" customFormat="true" ht="18" hidden="false" customHeight="false" outlineLevel="0" collapsed="false">
      <c r="A22" s="18" t="n">
        <v>16</v>
      </c>
      <c r="B22" s="14" t="s">
        <v>27</v>
      </c>
      <c r="C22" s="73" t="n">
        <f aca="false">D22+E22</f>
        <v>0</v>
      </c>
      <c r="D22" s="73"/>
      <c r="E22" s="73"/>
      <c r="F22" s="18"/>
      <c r="G22" s="18"/>
      <c r="H22" s="18"/>
      <c r="I22" s="18"/>
      <c r="J22" s="18"/>
      <c r="K22" s="18"/>
      <c r="L22" s="18"/>
      <c r="M22" s="15"/>
      <c r="N22" s="18"/>
      <c r="O22" s="18"/>
      <c r="P22" s="18"/>
      <c r="Q22" s="18"/>
      <c r="R22" s="18"/>
      <c r="S22" s="18"/>
      <c r="T22" s="15"/>
      <c r="U22" s="15"/>
      <c r="V22" s="15"/>
      <c r="W22" s="15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 t="n">
        <f aca="false">C22-AK22+AL22+AM22+AN22+AO22+AP22+AQ22+AR22</f>
        <v>0</v>
      </c>
    </row>
    <row r="23" s="72" customFormat="true" ht="18" hidden="false" customHeight="false" outlineLevel="0" collapsed="false">
      <c r="A23" s="18" t="n">
        <v>17</v>
      </c>
      <c r="B23" s="14" t="s">
        <v>28</v>
      </c>
      <c r="C23" s="73" t="n">
        <f aca="false">D23+E23</f>
        <v>52</v>
      </c>
      <c r="D23" s="73" t="n">
        <v>32</v>
      </c>
      <c r="E23" s="73" t="n">
        <v>20</v>
      </c>
      <c r="F23" s="18"/>
      <c r="G23" s="18"/>
      <c r="H23" s="18"/>
      <c r="I23" s="18"/>
      <c r="J23" s="18"/>
      <c r="K23" s="18"/>
      <c r="L23" s="18"/>
      <c r="M23" s="15"/>
      <c r="N23" s="18"/>
      <c r="O23" s="18"/>
      <c r="P23" s="18"/>
      <c r="Q23" s="18"/>
      <c r="R23" s="18"/>
      <c r="S23" s="18"/>
      <c r="T23" s="15"/>
      <c r="U23" s="15"/>
      <c r="V23" s="15"/>
      <c r="W23" s="15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 t="n">
        <f aca="false">C23-AK23+AL23+AM23+AN23+AO23+AP23+AQ23+AR23</f>
        <v>52</v>
      </c>
    </row>
    <row r="24" s="72" customFormat="true" ht="18" hidden="false" customHeight="false" outlineLevel="0" collapsed="false">
      <c r="A24" s="18" t="n">
        <v>18</v>
      </c>
      <c r="B24" s="14" t="s">
        <v>29</v>
      </c>
      <c r="C24" s="73" t="n">
        <f aca="false">D24+E24</f>
        <v>53</v>
      </c>
      <c r="D24" s="73" t="n">
        <v>53</v>
      </c>
      <c r="E24" s="73"/>
      <c r="F24" s="18"/>
      <c r="G24" s="18"/>
      <c r="H24" s="18"/>
      <c r="I24" s="18"/>
      <c r="J24" s="18"/>
      <c r="K24" s="18"/>
      <c r="L24" s="18"/>
      <c r="M24" s="15"/>
      <c r="N24" s="18"/>
      <c r="O24" s="18"/>
      <c r="P24" s="18"/>
      <c r="Q24" s="18"/>
      <c r="R24" s="18"/>
      <c r="S24" s="18"/>
      <c r="T24" s="15"/>
      <c r="U24" s="15"/>
      <c r="V24" s="15"/>
      <c r="W24" s="15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 t="n">
        <f aca="false">C24-AK24+AL24+AM24+AN24+AO24+AP24+AQ24+AR24</f>
        <v>53</v>
      </c>
    </row>
    <row r="25" s="72" customFormat="true" ht="18" hidden="false" customHeight="false" outlineLevel="0" collapsed="false">
      <c r="A25" s="18" t="n">
        <v>19</v>
      </c>
      <c r="B25" s="21" t="s">
        <v>30</v>
      </c>
      <c r="C25" s="73" t="n">
        <f aca="false">D25+E25</f>
        <v>102</v>
      </c>
      <c r="D25" s="73" t="n">
        <v>62</v>
      </c>
      <c r="E25" s="73" t="n">
        <v>40</v>
      </c>
      <c r="F25" s="18"/>
      <c r="G25" s="18"/>
      <c r="H25" s="18"/>
      <c r="I25" s="18"/>
      <c r="J25" s="18"/>
      <c r="K25" s="18"/>
      <c r="L25" s="18"/>
      <c r="M25" s="15"/>
      <c r="N25" s="18"/>
      <c r="O25" s="18"/>
      <c r="P25" s="18"/>
      <c r="Q25" s="18"/>
      <c r="R25" s="18"/>
      <c r="S25" s="18"/>
      <c r="T25" s="15"/>
      <c r="U25" s="15"/>
      <c r="V25" s="15"/>
      <c r="W25" s="15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 t="n">
        <f aca="false">C25-AK25+AL25+AM25+AN25+AO25+AP25+AQ25+AR25</f>
        <v>102</v>
      </c>
    </row>
    <row r="26" s="72" customFormat="true" ht="18" hidden="false" customHeight="false" outlineLevel="0" collapsed="false">
      <c r="A26" s="18" t="n">
        <v>20</v>
      </c>
      <c r="B26" s="21" t="s">
        <v>31</v>
      </c>
      <c r="C26" s="73" t="n">
        <f aca="false">D26+E26</f>
        <v>0</v>
      </c>
      <c r="D26" s="73"/>
      <c r="E26" s="73"/>
      <c r="F26" s="18"/>
      <c r="G26" s="18"/>
      <c r="H26" s="18"/>
      <c r="I26" s="18"/>
      <c r="J26" s="18"/>
      <c r="K26" s="18"/>
      <c r="L26" s="18"/>
      <c r="M26" s="15"/>
      <c r="N26" s="18"/>
      <c r="O26" s="18"/>
      <c r="P26" s="18"/>
      <c r="Q26" s="18"/>
      <c r="R26" s="18"/>
      <c r="S26" s="18"/>
      <c r="T26" s="15"/>
      <c r="U26" s="15"/>
      <c r="V26" s="15"/>
      <c r="W26" s="15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 t="n">
        <f aca="false">C26-AK26+AL26+AM26+AN26+AO26+AP26+AQ26+AR26</f>
        <v>0</v>
      </c>
    </row>
    <row r="27" s="72" customFormat="true" ht="18" hidden="false" customHeight="false" outlineLevel="0" collapsed="false">
      <c r="A27" s="18" t="n">
        <v>21</v>
      </c>
      <c r="B27" s="21" t="s">
        <v>32</v>
      </c>
      <c r="C27" s="73" t="n">
        <f aca="false">D27+E27</f>
        <v>0</v>
      </c>
      <c r="D27" s="73"/>
      <c r="E27" s="73"/>
      <c r="F27" s="18"/>
      <c r="G27" s="18"/>
      <c r="H27" s="18"/>
      <c r="I27" s="18"/>
      <c r="J27" s="18"/>
      <c r="K27" s="18"/>
      <c r="L27" s="18"/>
      <c r="M27" s="15"/>
      <c r="N27" s="18"/>
      <c r="O27" s="18"/>
      <c r="P27" s="18"/>
      <c r="Q27" s="18"/>
      <c r="R27" s="18"/>
      <c r="S27" s="18"/>
      <c r="T27" s="15"/>
      <c r="U27" s="15"/>
      <c r="V27" s="15"/>
      <c r="W27" s="15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 t="n">
        <f aca="false">C27-AK27+AL27+AM27+AN27+AO27+AP27+AQ27+AR27</f>
        <v>0</v>
      </c>
    </row>
    <row r="28" s="72" customFormat="true" ht="18" hidden="false" customHeight="false" outlineLevel="0" collapsed="false">
      <c r="A28" s="18" t="n">
        <v>22</v>
      </c>
      <c r="B28" s="21" t="s">
        <v>33</v>
      </c>
      <c r="C28" s="73" t="n">
        <f aca="false">D28+E28</f>
        <v>0</v>
      </c>
      <c r="D28" s="73"/>
      <c r="E28" s="73"/>
      <c r="F28" s="18"/>
      <c r="G28" s="18"/>
      <c r="H28" s="18"/>
      <c r="I28" s="18"/>
      <c r="J28" s="18"/>
      <c r="K28" s="18"/>
      <c r="L28" s="18"/>
      <c r="M28" s="15"/>
      <c r="N28" s="18"/>
      <c r="O28" s="18"/>
      <c r="P28" s="18"/>
      <c r="Q28" s="18"/>
      <c r="R28" s="18"/>
      <c r="S28" s="18"/>
      <c r="T28" s="15"/>
      <c r="U28" s="15"/>
      <c r="V28" s="15"/>
      <c r="W28" s="15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 t="n">
        <f aca="false">C28-AK28+AL28+AM28+AN28+AO28+AP28+AQ28+AR28</f>
        <v>0</v>
      </c>
    </row>
    <row r="29" s="72" customFormat="true" ht="18" hidden="false" customHeight="false" outlineLevel="0" collapsed="false">
      <c r="A29" s="18" t="n">
        <v>23</v>
      </c>
      <c r="B29" s="14" t="s">
        <v>114</v>
      </c>
      <c r="C29" s="73" t="n">
        <f aca="false">D29+E29</f>
        <v>53</v>
      </c>
      <c r="D29" s="73" t="n">
        <v>23</v>
      </c>
      <c r="E29" s="73" t="n">
        <v>30</v>
      </c>
      <c r="F29" s="18"/>
      <c r="G29" s="18"/>
      <c r="H29" s="18"/>
      <c r="I29" s="18"/>
      <c r="J29" s="18"/>
      <c r="K29" s="18"/>
      <c r="L29" s="18"/>
      <c r="M29" s="15"/>
      <c r="N29" s="18"/>
      <c r="O29" s="18"/>
      <c r="P29" s="18"/>
      <c r="Q29" s="18"/>
      <c r="R29" s="18"/>
      <c r="S29" s="18"/>
      <c r="T29" s="15"/>
      <c r="U29" s="15"/>
      <c r="V29" s="15"/>
      <c r="W29" s="15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 t="n">
        <f aca="false">C29-AK29+AL29+AM29+AN29+AO29+AP29+AQ29+AR29</f>
        <v>53</v>
      </c>
    </row>
    <row r="30" s="72" customFormat="true" ht="18" hidden="false" customHeight="false" outlineLevel="0" collapsed="false">
      <c r="A30" s="18" t="n">
        <v>24</v>
      </c>
      <c r="B30" s="14" t="s">
        <v>35</v>
      </c>
      <c r="C30" s="73" t="n">
        <f aca="false">D30+E30</f>
        <v>0</v>
      </c>
      <c r="D30" s="73"/>
      <c r="E30" s="73"/>
      <c r="F30" s="18"/>
      <c r="G30" s="18"/>
      <c r="H30" s="18"/>
      <c r="I30" s="18"/>
      <c r="J30" s="18"/>
      <c r="K30" s="18"/>
      <c r="L30" s="18"/>
      <c r="M30" s="15"/>
      <c r="N30" s="18"/>
      <c r="O30" s="18"/>
      <c r="P30" s="18"/>
      <c r="Q30" s="18"/>
      <c r="R30" s="18"/>
      <c r="S30" s="18"/>
      <c r="T30" s="15"/>
      <c r="U30" s="15"/>
      <c r="V30" s="15"/>
      <c r="W30" s="15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 t="n">
        <f aca="false">C30-AK30+AL30+AM30+AN30+AO30+AP30+AQ30+AR30</f>
        <v>0</v>
      </c>
    </row>
    <row r="31" customFormat="false" ht="18" hidden="false" customHeight="false" outlineLevel="0" collapsed="false">
      <c r="A31" s="18" t="n">
        <v>25</v>
      </c>
      <c r="B31" s="14" t="s">
        <v>36</v>
      </c>
      <c r="C31" s="73" t="n">
        <f aca="false">D31+E31</f>
        <v>0</v>
      </c>
      <c r="D31" s="73"/>
      <c r="E31" s="73"/>
      <c r="F31" s="18"/>
      <c r="G31" s="18"/>
      <c r="H31" s="18"/>
      <c r="I31" s="18"/>
      <c r="J31" s="18"/>
      <c r="K31" s="18"/>
      <c r="L31" s="18"/>
      <c r="M31" s="15"/>
      <c r="N31" s="18"/>
      <c r="O31" s="18"/>
      <c r="P31" s="18"/>
      <c r="Q31" s="18"/>
      <c r="R31" s="18"/>
      <c r="S31" s="18"/>
      <c r="T31" s="15"/>
      <c r="U31" s="15"/>
      <c r="V31" s="15"/>
      <c r="W31" s="15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 t="n">
        <f aca="false">C31-AK31+AL31+AM31+AN31+AO31+AP31+AQ31+AR31</f>
        <v>0</v>
      </c>
    </row>
    <row r="32" customFormat="false" ht="18" hidden="false" customHeight="false" outlineLevel="0" collapsed="false">
      <c r="A32" s="18" t="n">
        <v>26</v>
      </c>
      <c r="B32" s="14" t="s">
        <v>37</v>
      </c>
      <c r="C32" s="73" t="n">
        <f aca="false">D32+E32</f>
        <v>0</v>
      </c>
      <c r="D32" s="73"/>
      <c r="E32" s="73"/>
      <c r="F32" s="18"/>
      <c r="G32" s="18"/>
      <c r="H32" s="18"/>
      <c r="I32" s="18"/>
      <c r="J32" s="18"/>
      <c r="K32" s="18"/>
      <c r="L32" s="18"/>
      <c r="M32" s="15"/>
      <c r="N32" s="18"/>
      <c r="O32" s="18"/>
      <c r="P32" s="18"/>
      <c r="Q32" s="18"/>
      <c r="R32" s="18"/>
      <c r="S32" s="18"/>
      <c r="T32" s="15"/>
      <c r="U32" s="15"/>
      <c r="V32" s="15"/>
      <c r="W32" s="15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 t="n">
        <f aca="false">C32-AK32+AL32+AM32+AN32+AO32+AP32+AQ32+AR32</f>
        <v>0</v>
      </c>
    </row>
    <row r="33" customFormat="false" ht="18" hidden="false" customHeight="false" outlineLevel="0" collapsed="false">
      <c r="A33" s="18" t="n">
        <v>27</v>
      </c>
      <c r="B33" s="21" t="s">
        <v>38</v>
      </c>
      <c r="C33" s="73" t="n">
        <f aca="false">D33+E33</f>
        <v>218</v>
      </c>
      <c r="D33" s="73" t="n">
        <v>218</v>
      </c>
      <c r="E33" s="73"/>
      <c r="F33" s="18"/>
      <c r="G33" s="18"/>
      <c r="H33" s="18"/>
      <c r="I33" s="18"/>
      <c r="J33" s="18"/>
      <c r="K33" s="18"/>
      <c r="L33" s="18"/>
      <c r="M33" s="15"/>
      <c r="N33" s="18"/>
      <c r="O33" s="18"/>
      <c r="P33" s="18"/>
      <c r="Q33" s="18"/>
      <c r="R33" s="18"/>
      <c r="S33" s="18"/>
      <c r="T33" s="15"/>
      <c r="U33" s="15"/>
      <c r="V33" s="15"/>
      <c r="W33" s="15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 t="n">
        <f aca="false">C33-AK33+AL33+AM33+AN33+AO33+AP33+AQ33+AR33</f>
        <v>218</v>
      </c>
    </row>
    <row r="34" customFormat="false" ht="18" hidden="false" customHeight="false" outlineLevel="0" collapsed="false">
      <c r="A34" s="18" t="n">
        <v>28</v>
      </c>
      <c r="B34" s="21" t="s">
        <v>39</v>
      </c>
      <c r="C34" s="73" t="n">
        <f aca="false">D34+E34</f>
        <v>0</v>
      </c>
      <c r="D34" s="73"/>
      <c r="E34" s="73"/>
      <c r="F34" s="18"/>
      <c r="G34" s="18"/>
      <c r="H34" s="18"/>
      <c r="I34" s="18"/>
      <c r="J34" s="18"/>
      <c r="K34" s="18"/>
      <c r="L34" s="18"/>
      <c r="M34" s="15"/>
      <c r="N34" s="18"/>
      <c r="O34" s="18"/>
      <c r="P34" s="18"/>
      <c r="Q34" s="18"/>
      <c r="R34" s="18"/>
      <c r="S34" s="18"/>
      <c r="T34" s="15"/>
      <c r="U34" s="15"/>
      <c r="V34" s="15"/>
      <c r="W34" s="15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 t="n">
        <f aca="false">C34-AK34+AL34+AM34+AN34+AO34+AP34+AQ34+AR34</f>
        <v>0</v>
      </c>
    </row>
    <row r="35" customFormat="false" ht="18" hidden="false" customHeight="false" outlineLevel="0" collapsed="false">
      <c r="A35" s="18" t="n">
        <v>29</v>
      </c>
      <c r="B35" s="21" t="s">
        <v>40</v>
      </c>
      <c r="C35" s="73" t="n">
        <f aca="false">D35+E35</f>
        <v>0</v>
      </c>
      <c r="D35" s="73"/>
      <c r="E35" s="73"/>
      <c r="F35" s="18"/>
      <c r="G35" s="18"/>
      <c r="H35" s="18"/>
      <c r="I35" s="18"/>
      <c r="J35" s="18"/>
      <c r="K35" s="18"/>
      <c r="L35" s="18"/>
      <c r="M35" s="15"/>
      <c r="N35" s="18"/>
      <c r="O35" s="18"/>
      <c r="P35" s="18"/>
      <c r="Q35" s="18"/>
      <c r="R35" s="18"/>
      <c r="S35" s="18"/>
      <c r="T35" s="15"/>
      <c r="U35" s="15"/>
      <c r="V35" s="15"/>
      <c r="W35" s="15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 t="n">
        <f aca="false">C35-AK35+AL35+AM35+AN35+AO35+AP35+AQ35+AR35</f>
        <v>0</v>
      </c>
    </row>
    <row r="36" customFormat="false" ht="18" hidden="false" customHeight="false" outlineLevel="0" collapsed="false">
      <c r="A36" s="18" t="n">
        <v>30</v>
      </c>
      <c r="B36" s="21" t="s">
        <v>41</v>
      </c>
      <c r="C36" s="73" t="n">
        <f aca="false">D36+E36</f>
        <v>0</v>
      </c>
      <c r="D36" s="73"/>
      <c r="E36" s="73"/>
      <c r="F36" s="18"/>
      <c r="G36" s="18"/>
      <c r="H36" s="18"/>
      <c r="I36" s="18"/>
      <c r="J36" s="18"/>
      <c r="K36" s="18"/>
      <c r="L36" s="18"/>
      <c r="M36" s="15"/>
      <c r="N36" s="18"/>
      <c r="O36" s="18"/>
      <c r="P36" s="18"/>
      <c r="Q36" s="18"/>
      <c r="R36" s="18"/>
      <c r="S36" s="18"/>
      <c r="T36" s="15"/>
      <c r="U36" s="15"/>
      <c r="V36" s="15"/>
      <c r="W36" s="15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 t="n">
        <f aca="false">C36-AK36+AL36+AM36+AN36+AO36+AP36+AQ36+AR36</f>
        <v>0</v>
      </c>
    </row>
    <row r="37" customFormat="false" ht="18" hidden="false" customHeight="false" outlineLevel="0" collapsed="false">
      <c r="A37" s="18" t="n">
        <v>31</v>
      </c>
      <c r="B37" s="14" t="s">
        <v>42</v>
      </c>
      <c r="C37" s="73" t="n">
        <f aca="false">D37+E37</f>
        <v>20</v>
      </c>
      <c r="D37" s="73" t="n">
        <v>20</v>
      </c>
      <c r="E37" s="73"/>
      <c r="F37" s="18"/>
      <c r="G37" s="18"/>
      <c r="H37" s="18"/>
      <c r="I37" s="18"/>
      <c r="J37" s="18"/>
      <c r="K37" s="18"/>
      <c r="L37" s="18"/>
      <c r="M37" s="15"/>
      <c r="N37" s="18"/>
      <c r="O37" s="18"/>
      <c r="P37" s="18"/>
      <c r="Q37" s="18"/>
      <c r="R37" s="18"/>
      <c r="S37" s="18"/>
      <c r="T37" s="15"/>
      <c r="U37" s="15"/>
      <c r="V37" s="15"/>
      <c r="W37" s="15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 t="n">
        <f aca="false">C37-AK37+AL37+AM37+AN37+AO37+AP37+AQ37+AR37</f>
        <v>20</v>
      </c>
    </row>
    <row r="38" customFormat="false" ht="18" hidden="false" customHeight="false" outlineLevel="0" collapsed="false">
      <c r="A38" s="18" t="n">
        <v>32</v>
      </c>
      <c r="B38" s="14" t="s">
        <v>43</v>
      </c>
      <c r="C38" s="73" t="n">
        <f aca="false">D38+E38</f>
        <v>0</v>
      </c>
      <c r="D38" s="73"/>
      <c r="E38" s="73"/>
      <c r="F38" s="18"/>
      <c r="G38" s="18"/>
      <c r="H38" s="18"/>
      <c r="I38" s="18"/>
      <c r="J38" s="18"/>
      <c r="K38" s="18"/>
      <c r="L38" s="18"/>
      <c r="M38" s="15"/>
      <c r="N38" s="18"/>
      <c r="O38" s="18"/>
      <c r="P38" s="18"/>
      <c r="Q38" s="18"/>
      <c r="R38" s="18"/>
      <c r="S38" s="18"/>
      <c r="T38" s="15"/>
      <c r="U38" s="15"/>
      <c r="V38" s="15"/>
      <c r="W38" s="15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 t="n">
        <f aca="false">C38-AK38+AL38+AM38+AN38+AO38+AP38+AQ38+AR38</f>
        <v>0</v>
      </c>
    </row>
    <row r="39" customFormat="false" ht="18" hidden="false" customHeight="false" outlineLevel="0" collapsed="false">
      <c r="A39" s="18" t="n">
        <v>33</v>
      </c>
      <c r="B39" s="14" t="s">
        <v>44</v>
      </c>
      <c r="C39" s="73" t="n">
        <f aca="false">D39+E39</f>
        <v>0</v>
      </c>
      <c r="D39" s="73"/>
      <c r="E39" s="73"/>
      <c r="F39" s="18"/>
      <c r="G39" s="18"/>
      <c r="H39" s="18"/>
      <c r="I39" s="18"/>
      <c r="J39" s="18"/>
      <c r="K39" s="18"/>
      <c r="L39" s="18"/>
      <c r="M39" s="15"/>
      <c r="N39" s="18"/>
      <c r="O39" s="18"/>
      <c r="P39" s="18"/>
      <c r="Q39" s="18"/>
      <c r="R39" s="18"/>
      <c r="S39" s="18"/>
      <c r="T39" s="15"/>
      <c r="U39" s="15"/>
      <c r="V39" s="15"/>
      <c r="W39" s="15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 t="n">
        <f aca="false">C39-AK39+AL39+AM39+AN39+AO39+AP39+AQ39+AR39</f>
        <v>0</v>
      </c>
    </row>
    <row r="40" customFormat="false" ht="18" hidden="false" customHeight="false" outlineLevel="0" collapsed="false">
      <c r="A40" s="18" t="n">
        <v>34</v>
      </c>
      <c r="B40" s="14" t="s">
        <v>45</v>
      </c>
      <c r="C40" s="73" t="n">
        <f aca="false">D40+E40</f>
        <v>0</v>
      </c>
      <c r="D40" s="73"/>
      <c r="E40" s="73"/>
      <c r="F40" s="18"/>
      <c r="G40" s="18"/>
      <c r="H40" s="18"/>
      <c r="I40" s="18"/>
      <c r="J40" s="18"/>
      <c r="K40" s="18"/>
      <c r="L40" s="18"/>
      <c r="M40" s="15"/>
      <c r="N40" s="18"/>
      <c r="O40" s="18"/>
      <c r="P40" s="18"/>
      <c r="Q40" s="18"/>
      <c r="R40" s="18"/>
      <c r="S40" s="18"/>
      <c r="T40" s="15"/>
      <c r="U40" s="15"/>
      <c r="V40" s="15"/>
      <c r="W40" s="15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 t="n">
        <f aca="false">C40-AK40+AL40+AM40+AN40+AO40+AP40+AQ40+AR40</f>
        <v>0</v>
      </c>
    </row>
    <row r="41" customFormat="false" ht="18" hidden="false" customHeight="false" outlineLevel="0" collapsed="false">
      <c r="A41" s="18" t="n">
        <v>35</v>
      </c>
      <c r="B41" s="14" t="s">
        <v>46</v>
      </c>
      <c r="C41" s="73" t="n">
        <f aca="false">D41+E41</f>
        <v>24</v>
      </c>
      <c r="D41" s="73" t="n">
        <v>9</v>
      </c>
      <c r="E41" s="73" t="n">
        <v>15</v>
      </c>
      <c r="F41" s="18"/>
      <c r="G41" s="18"/>
      <c r="H41" s="18"/>
      <c r="I41" s="18"/>
      <c r="J41" s="18"/>
      <c r="K41" s="18"/>
      <c r="L41" s="18"/>
      <c r="M41" s="15"/>
      <c r="N41" s="18"/>
      <c r="O41" s="18"/>
      <c r="P41" s="18"/>
      <c r="Q41" s="18"/>
      <c r="R41" s="18"/>
      <c r="S41" s="18"/>
      <c r="T41" s="15"/>
      <c r="U41" s="15"/>
      <c r="V41" s="15"/>
      <c r="W41" s="15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 t="n">
        <f aca="false">C41-AK41+AL41+AM41+AN41+AO41+AP41+AQ41+AR41</f>
        <v>24</v>
      </c>
    </row>
    <row r="42" customFormat="false" ht="18" hidden="false" customHeight="false" outlineLevel="0" collapsed="false">
      <c r="A42" s="18" t="n">
        <v>36</v>
      </c>
      <c r="B42" s="14" t="s">
        <v>47</v>
      </c>
      <c r="C42" s="73" t="n">
        <f aca="false">D42+E42</f>
        <v>0</v>
      </c>
      <c r="D42" s="73"/>
      <c r="E42" s="73"/>
      <c r="F42" s="18"/>
      <c r="G42" s="18"/>
      <c r="H42" s="18"/>
      <c r="I42" s="18"/>
      <c r="J42" s="18"/>
      <c r="K42" s="18"/>
      <c r="L42" s="18"/>
      <c r="M42" s="15"/>
      <c r="N42" s="18"/>
      <c r="O42" s="18"/>
      <c r="P42" s="18"/>
      <c r="Q42" s="18"/>
      <c r="R42" s="18"/>
      <c r="S42" s="18"/>
      <c r="T42" s="15"/>
      <c r="U42" s="15"/>
      <c r="V42" s="15"/>
      <c r="W42" s="15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 t="n">
        <f aca="false">C42-AK42+AL42+AM42+AN42+AO42+AP42+AQ42+AR42</f>
        <v>0</v>
      </c>
    </row>
    <row r="43" customFormat="false" ht="18" hidden="false" customHeight="false" outlineLevel="0" collapsed="false">
      <c r="A43" s="18" t="n">
        <v>37</v>
      </c>
      <c r="B43" s="14" t="s">
        <v>48</v>
      </c>
      <c r="C43" s="73" t="n">
        <f aca="false">D43+E43</f>
        <v>0</v>
      </c>
      <c r="D43" s="73"/>
      <c r="E43" s="73"/>
      <c r="F43" s="18"/>
      <c r="G43" s="18"/>
      <c r="H43" s="18"/>
      <c r="I43" s="18"/>
      <c r="J43" s="18"/>
      <c r="K43" s="18"/>
      <c r="L43" s="18"/>
      <c r="M43" s="15"/>
      <c r="N43" s="18"/>
      <c r="O43" s="18"/>
      <c r="P43" s="18"/>
      <c r="Q43" s="18"/>
      <c r="R43" s="18"/>
      <c r="S43" s="18"/>
      <c r="T43" s="15"/>
      <c r="U43" s="15"/>
      <c r="V43" s="15"/>
      <c r="W43" s="15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 t="n">
        <f aca="false">C43-AK43+AL43+AM43+AN43+AO43+AP43+AQ43+AR43</f>
        <v>0</v>
      </c>
    </row>
    <row r="44" customFormat="false" ht="18" hidden="false" customHeight="false" outlineLevel="0" collapsed="false">
      <c r="A44" s="18" t="n">
        <v>38</v>
      </c>
      <c r="B44" s="14" t="s">
        <v>49</v>
      </c>
      <c r="C44" s="73" t="n">
        <f aca="false">D44+E44</f>
        <v>0</v>
      </c>
      <c r="D44" s="73"/>
      <c r="E44" s="73"/>
      <c r="F44" s="18"/>
      <c r="G44" s="18"/>
      <c r="H44" s="18"/>
      <c r="I44" s="18"/>
      <c r="J44" s="18"/>
      <c r="K44" s="18"/>
      <c r="L44" s="18"/>
      <c r="M44" s="15"/>
      <c r="N44" s="18"/>
      <c r="O44" s="18"/>
      <c r="P44" s="18"/>
      <c r="Q44" s="18"/>
      <c r="R44" s="18"/>
      <c r="S44" s="18"/>
      <c r="T44" s="15"/>
      <c r="U44" s="15"/>
      <c r="V44" s="15"/>
      <c r="W44" s="15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 t="n">
        <f aca="false">C44-AK44+AL44+AM44+AN44+AO44+AP44+AQ44+AR44</f>
        <v>0</v>
      </c>
    </row>
    <row r="45" customFormat="false" ht="18" hidden="false" customHeight="false" outlineLevel="0" collapsed="false">
      <c r="A45" s="18" t="n">
        <v>39</v>
      </c>
      <c r="B45" s="14" t="s">
        <v>50</v>
      </c>
      <c r="C45" s="73" t="n">
        <f aca="false">D45+E45</f>
        <v>0</v>
      </c>
      <c r="D45" s="73"/>
      <c r="E45" s="73"/>
      <c r="F45" s="18"/>
      <c r="G45" s="18"/>
      <c r="H45" s="18"/>
      <c r="I45" s="18"/>
      <c r="J45" s="18"/>
      <c r="K45" s="18"/>
      <c r="L45" s="18"/>
      <c r="M45" s="15"/>
      <c r="N45" s="18"/>
      <c r="O45" s="18"/>
      <c r="P45" s="18"/>
      <c r="Q45" s="18"/>
      <c r="R45" s="18"/>
      <c r="S45" s="18"/>
      <c r="T45" s="15"/>
      <c r="U45" s="15"/>
      <c r="V45" s="15"/>
      <c r="W45" s="15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 t="n">
        <f aca="false">C45-AK45+AL45+AM45+AN45+AO45+AP45+AQ45+AR45</f>
        <v>0</v>
      </c>
    </row>
    <row r="46" customFormat="false" ht="18" hidden="false" customHeight="false" outlineLevel="0" collapsed="false">
      <c r="A46" s="18" t="n">
        <v>40</v>
      </c>
      <c r="B46" s="14" t="s">
        <v>51</v>
      </c>
      <c r="C46" s="73" t="n">
        <f aca="false">D46+E46</f>
        <v>0</v>
      </c>
      <c r="D46" s="73"/>
      <c r="E46" s="73"/>
      <c r="F46" s="18"/>
      <c r="G46" s="18"/>
      <c r="H46" s="18"/>
      <c r="I46" s="18"/>
      <c r="J46" s="18"/>
      <c r="K46" s="18"/>
      <c r="L46" s="18"/>
      <c r="M46" s="15"/>
      <c r="N46" s="18"/>
      <c r="O46" s="18"/>
      <c r="P46" s="18"/>
      <c r="Q46" s="18"/>
      <c r="R46" s="18"/>
      <c r="S46" s="18"/>
      <c r="T46" s="15"/>
      <c r="U46" s="15"/>
      <c r="V46" s="15"/>
      <c r="W46" s="15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 t="n">
        <f aca="false">C46-AK46+AL46+AM46+AN46+AO46+AP46+AQ46+AR46</f>
        <v>0</v>
      </c>
    </row>
    <row r="47" customFormat="false" ht="18" hidden="false" customHeight="false" outlineLevel="0" collapsed="false">
      <c r="A47" s="18" t="n">
        <v>41</v>
      </c>
      <c r="B47" s="14" t="s">
        <v>52</v>
      </c>
      <c r="C47" s="73" t="n">
        <f aca="false">D47+E47</f>
        <v>0</v>
      </c>
      <c r="D47" s="73"/>
      <c r="E47" s="73"/>
      <c r="F47" s="18"/>
      <c r="G47" s="18"/>
      <c r="H47" s="18"/>
      <c r="I47" s="18"/>
      <c r="J47" s="18"/>
      <c r="K47" s="18"/>
      <c r="L47" s="18"/>
      <c r="M47" s="15"/>
      <c r="N47" s="18"/>
      <c r="O47" s="18"/>
      <c r="P47" s="18"/>
      <c r="Q47" s="18"/>
      <c r="R47" s="18"/>
      <c r="S47" s="18"/>
      <c r="T47" s="15"/>
      <c r="U47" s="15"/>
      <c r="V47" s="15"/>
      <c r="W47" s="15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 t="n">
        <f aca="false">C47-AK47+AL47+AM47+AN47+AO47+AP47+AQ47+AR47</f>
        <v>0</v>
      </c>
    </row>
    <row r="48" customFormat="false" ht="18" hidden="false" customHeight="false" outlineLevel="0" collapsed="false">
      <c r="A48" s="18" t="n">
        <v>42</v>
      </c>
      <c r="B48" s="14" t="s">
        <v>53</v>
      </c>
      <c r="C48" s="73" t="n">
        <f aca="false">D48+E48</f>
        <v>0</v>
      </c>
      <c r="D48" s="73"/>
      <c r="E48" s="73"/>
      <c r="F48" s="18"/>
      <c r="G48" s="18"/>
      <c r="H48" s="18"/>
      <c r="I48" s="18"/>
      <c r="J48" s="18"/>
      <c r="K48" s="18"/>
      <c r="L48" s="18"/>
      <c r="M48" s="15"/>
      <c r="N48" s="18"/>
      <c r="O48" s="18"/>
      <c r="P48" s="18"/>
      <c r="Q48" s="18"/>
      <c r="R48" s="18"/>
      <c r="S48" s="18"/>
      <c r="T48" s="15"/>
      <c r="U48" s="15"/>
      <c r="V48" s="15"/>
      <c r="W48" s="15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 t="n">
        <f aca="false">C48-AK48+AL48+AM48+AN48+AO48+AP48+AQ48+AR48</f>
        <v>0</v>
      </c>
    </row>
    <row r="49" customFormat="false" ht="18" hidden="false" customHeight="false" outlineLevel="0" collapsed="false">
      <c r="A49" s="18" t="n">
        <v>43</v>
      </c>
      <c r="B49" s="14" t="s">
        <v>54</v>
      </c>
      <c r="C49" s="73" t="n">
        <f aca="false">D49+E49</f>
        <v>0</v>
      </c>
      <c r="D49" s="73"/>
      <c r="E49" s="73"/>
      <c r="F49" s="18"/>
      <c r="G49" s="18"/>
      <c r="H49" s="18"/>
      <c r="I49" s="18"/>
      <c r="J49" s="18"/>
      <c r="K49" s="18"/>
      <c r="L49" s="18"/>
      <c r="M49" s="15"/>
      <c r="N49" s="18"/>
      <c r="O49" s="18"/>
      <c r="P49" s="18"/>
      <c r="Q49" s="18"/>
      <c r="R49" s="18"/>
      <c r="S49" s="18"/>
      <c r="T49" s="15"/>
      <c r="U49" s="15"/>
      <c r="V49" s="15"/>
      <c r="W49" s="15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 t="n">
        <f aca="false">C49-AK49+AL49+AM49+AN49+AO49+AP49+AQ49+AR49</f>
        <v>0</v>
      </c>
    </row>
    <row r="50" customFormat="false" ht="18" hidden="false" customHeight="false" outlineLevel="0" collapsed="false">
      <c r="A50" s="18" t="n">
        <v>44</v>
      </c>
      <c r="B50" s="14" t="s">
        <v>55</v>
      </c>
      <c r="C50" s="73" t="n">
        <f aca="false">D50+E50</f>
        <v>61</v>
      </c>
      <c r="D50" s="73" t="n">
        <v>61</v>
      </c>
      <c r="E50" s="73"/>
      <c r="F50" s="18"/>
      <c r="G50" s="18"/>
      <c r="H50" s="18"/>
      <c r="I50" s="18"/>
      <c r="J50" s="18"/>
      <c r="K50" s="18"/>
      <c r="L50" s="18"/>
      <c r="M50" s="15"/>
      <c r="N50" s="18"/>
      <c r="O50" s="18"/>
      <c r="P50" s="18"/>
      <c r="Q50" s="18"/>
      <c r="R50" s="18"/>
      <c r="S50" s="18"/>
      <c r="T50" s="15"/>
      <c r="U50" s="15"/>
      <c r="V50" s="15"/>
      <c r="W50" s="15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 t="n">
        <f aca="false">C50-AK50+AL50+AM50+AN50+AO50+AP50+AQ50+AR50</f>
        <v>61</v>
      </c>
    </row>
    <row r="51" customFormat="false" ht="18" hidden="false" customHeight="false" outlineLevel="0" collapsed="false">
      <c r="A51" s="18" t="n">
        <v>45</v>
      </c>
      <c r="B51" s="22" t="s">
        <v>56</v>
      </c>
      <c r="C51" s="73" t="n">
        <f aca="false">D51+E51</f>
        <v>1</v>
      </c>
      <c r="D51" s="74" t="n">
        <v>1</v>
      </c>
      <c r="E51" s="74"/>
      <c r="F51" s="14"/>
      <c r="G51" s="14"/>
      <c r="H51" s="14"/>
      <c r="I51" s="14"/>
      <c r="J51" s="14"/>
      <c r="K51" s="14"/>
      <c r="L51" s="14"/>
      <c r="M51" s="20"/>
      <c r="N51" s="14"/>
      <c r="O51" s="14"/>
      <c r="P51" s="14"/>
      <c r="Q51" s="14"/>
      <c r="R51" s="14"/>
      <c r="S51" s="14"/>
      <c r="T51" s="20"/>
      <c r="U51" s="20"/>
      <c r="V51" s="20"/>
      <c r="W51" s="20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8"/>
      <c r="AL51" s="14"/>
      <c r="AM51" s="14"/>
      <c r="AN51" s="14"/>
      <c r="AO51" s="14"/>
      <c r="AP51" s="14"/>
      <c r="AQ51" s="14"/>
      <c r="AR51" s="14"/>
      <c r="AS51" s="18" t="n">
        <f aca="false">C51-AK51+AL51+AM51+AN51+AO51+AP51+AQ51+AR51</f>
        <v>1</v>
      </c>
    </row>
    <row r="52" customFormat="false" ht="18" hidden="false" customHeight="false" outlineLevel="0" collapsed="false">
      <c r="A52" s="18" t="n">
        <v>46</v>
      </c>
      <c r="B52" s="22" t="s">
        <v>115</v>
      </c>
      <c r="C52" s="73" t="n">
        <f aca="false">D52+E52</f>
        <v>0</v>
      </c>
      <c r="D52" s="74"/>
      <c r="E52" s="74"/>
      <c r="F52" s="14"/>
      <c r="G52" s="14"/>
      <c r="H52" s="14"/>
      <c r="I52" s="14"/>
      <c r="J52" s="14"/>
      <c r="K52" s="14"/>
      <c r="L52" s="14"/>
      <c r="M52" s="20"/>
      <c r="N52" s="14"/>
      <c r="O52" s="14"/>
      <c r="P52" s="14"/>
      <c r="Q52" s="14"/>
      <c r="R52" s="14"/>
      <c r="S52" s="14"/>
      <c r="T52" s="20"/>
      <c r="U52" s="20"/>
      <c r="V52" s="20"/>
      <c r="W52" s="20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8"/>
      <c r="AL52" s="14"/>
      <c r="AM52" s="14"/>
      <c r="AN52" s="14"/>
      <c r="AO52" s="14"/>
      <c r="AP52" s="14"/>
      <c r="AQ52" s="14"/>
      <c r="AR52" s="14"/>
      <c r="AS52" s="18" t="n">
        <f aca="false">C52-AK52+AL52+AM52+AN52+AO52+AP52+AQ52+AR52</f>
        <v>0</v>
      </c>
      <c r="AT52" s="2" t="s">
        <v>116</v>
      </c>
    </row>
    <row r="53" customFormat="false" ht="18" hidden="false" customHeight="false" outlineLevel="0" collapsed="false">
      <c r="A53" s="18" t="n">
        <v>47</v>
      </c>
      <c r="B53" s="14" t="s">
        <v>58</v>
      </c>
      <c r="C53" s="73" t="n">
        <f aca="false">D53+E53</f>
        <v>0</v>
      </c>
      <c r="D53" s="73"/>
      <c r="E53" s="73"/>
      <c r="F53" s="18"/>
      <c r="G53" s="18"/>
      <c r="H53" s="18"/>
      <c r="I53" s="18"/>
      <c r="J53" s="18"/>
      <c r="K53" s="18"/>
      <c r="L53" s="18"/>
      <c r="M53" s="15"/>
      <c r="N53" s="18"/>
      <c r="O53" s="18"/>
      <c r="P53" s="18"/>
      <c r="Q53" s="18"/>
      <c r="R53" s="18"/>
      <c r="S53" s="18"/>
      <c r="T53" s="15"/>
      <c r="U53" s="15"/>
      <c r="V53" s="15"/>
      <c r="W53" s="15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 t="n">
        <f aca="false">C53-AK53+AL53+AM53+AN53+AO53+AP53+AQ53+AR53</f>
        <v>0</v>
      </c>
    </row>
    <row r="54" customFormat="false" ht="18" hidden="false" customHeight="false" outlineLevel="0" collapsed="false">
      <c r="A54" s="18" t="n">
        <v>48</v>
      </c>
      <c r="B54" s="14" t="s">
        <v>59</v>
      </c>
      <c r="C54" s="73" t="n">
        <f aca="false">D54+E54</f>
        <v>29</v>
      </c>
      <c r="D54" s="73" t="n">
        <v>29</v>
      </c>
      <c r="E54" s="73"/>
      <c r="F54" s="18"/>
      <c r="G54" s="18"/>
      <c r="H54" s="18"/>
      <c r="I54" s="18"/>
      <c r="J54" s="18"/>
      <c r="K54" s="18"/>
      <c r="L54" s="18"/>
      <c r="M54" s="15"/>
      <c r="N54" s="18"/>
      <c r="O54" s="18"/>
      <c r="P54" s="18"/>
      <c r="Q54" s="18"/>
      <c r="R54" s="18"/>
      <c r="S54" s="18"/>
      <c r="T54" s="15"/>
      <c r="U54" s="15"/>
      <c r="V54" s="15"/>
      <c r="W54" s="15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 t="n">
        <f aca="false">C54-AK54+AL54+AM54+AN54+AO54+AP54+AQ54+AR54</f>
        <v>29</v>
      </c>
    </row>
  </sheetData>
  <autoFilter ref="A5:AS52"/>
  <mergeCells count="46">
    <mergeCell ref="B2:AS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A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8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14.18"/>
    <col collapsed="false" customWidth="true" hidden="false" outlineLevel="0" max="5" min="3" style="2" width="5.27"/>
    <col collapsed="false" customWidth="true" hidden="false" outlineLevel="0" max="20" min="6" style="2" width="4"/>
    <col collapsed="false" customWidth="true" hidden="false" outlineLevel="0" max="21" min="21" style="66" width="4"/>
    <col collapsed="false" customWidth="true" hidden="false" outlineLevel="0" max="36" min="22" style="2" width="4"/>
    <col collapsed="false" customWidth="true" hidden="false" outlineLevel="0" max="37" min="37" style="2" width="4.45"/>
    <col collapsed="false" customWidth="true" hidden="false" outlineLevel="0" max="38" min="38" style="2" width="4.82"/>
    <col collapsed="false" customWidth="true" hidden="false" outlineLevel="0" max="39" min="39" style="2" width="5.27"/>
    <col collapsed="false" customWidth="true" hidden="false" outlineLevel="0" max="42" min="40" style="2" width="5.54"/>
    <col collapsed="false" customWidth="true" hidden="false" outlineLevel="0" max="43" min="43" style="2" width="7"/>
    <col collapsed="false" customWidth="false" hidden="false" outlineLevel="0" max="16384" min="44" style="2" width="8.73"/>
  </cols>
  <sheetData>
    <row r="2" customFormat="false" ht="18" hidden="false" customHeight="false" outlineLevel="0" collapsed="false">
      <c r="B2" s="67" t="s">
        <v>117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4" s="10" customFormat="true" ht="14.25" hidden="false" customHeight="true" outlineLevel="0" collapsed="false">
      <c r="A4" s="7" t="s">
        <v>4</v>
      </c>
      <c r="B4" s="7" t="s">
        <v>5</v>
      </c>
      <c r="C4" s="7" t="s">
        <v>118</v>
      </c>
      <c r="D4" s="75" t="s">
        <v>109</v>
      </c>
      <c r="E4" s="75" t="s">
        <v>110</v>
      </c>
      <c r="F4" s="7" t="n">
        <v>1</v>
      </c>
      <c r="G4" s="7" t="n">
        <v>2</v>
      </c>
      <c r="H4" s="7" t="n">
        <v>3</v>
      </c>
      <c r="I4" s="7" t="n">
        <v>4</v>
      </c>
      <c r="J4" s="7" t="n">
        <v>5</v>
      </c>
      <c r="K4" s="7" t="n">
        <v>6</v>
      </c>
      <c r="L4" s="7" t="n">
        <v>7</v>
      </c>
      <c r="M4" s="7" t="n">
        <v>8</v>
      </c>
      <c r="N4" s="7" t="n">
        <v>9</v>
      </c>
      <c r="O4" s="7" t="n">
        <v>10</v>
      </c>
      <c r="P4" s="7" t="n">
        <v>11</v>
      </c>
      <c r="Q4" s="7" t="n">
        <v>12</v>
      </c>
      <c r="R4" s="7" t="n">
        <v>13</v>
      </c>
      <c r="S4" s="7" t="n">
        <v>14</v>
      </c>
      <c r="T4" s="7" t="n">
        <v>15</v>
      </c>
      <c r="U4" s="7" t="n">
        <v>16</v>
      </c>
      <c r="V4" s="7" t="n">
        <v>17</v>
      </c>
      <c r="W4" s="7" t="n">
        <v>18</v>
      </c>
      <c r="X4" s="7" t="n">
        <v>19</v>
      </c>
      <c r="Y4" s="7" t="n">
        <v>20</v>
      </c>
      <c r="Z4" s="7" t="n">
        <v>21</v>
      </c>
      <c r="AA4" s="7" t="n">
        <v>22</v>
      </c>
      <c r="AB4" s="7" t="n">
        <v>23</v>
      </c>
      <c r="AC4" s="7" t="n">
        <v>24</v>
      </c>
      <c r="AD4" s="7" t="n">
        <v>25</v>
      </c>
      <c r="AE4" s="7" t="n">
        <v>26</v>
      </c>
      <c r="AF4" s="7" t="n">
        <v>27</v>
      </c>
      <c r="AG4" s="7" t="n">
        <v>28</v>
      </c>
      <c r="AH4" s="7" t="n">
        <v>29</v>
      </c>
      <c r="AI4" s="7" t="n">
        <v>30</v>
      </c>
      <c r="AJ4" s="7" t="n">
        <v>31</v>
      </c>
      <c r="AK4" s="69" t="s">
        <v>111</v>
      </c>
      <c r="AL4" s="70"/>
      <c r="AM4" s="70"/>
      <c r="AN4" s="70"/>
      <c r="AO4" s="70"/>
      <c r="AP4" s="70"/>
      <c r="AQ4" s="69" t="s">
        <v>113</v>
      </c>
    </row>
    <row r="5" s="10" customFormat="true" ht="18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="72" customFormat="true" ht="15" hidden="false" customHeight="true" outlineLevel="0" collapsed="false">
      <c r="A6" s="71"/>
      <c r="B6" s="71"/>
      <c r="C6" s="71" t="n">
        <f aca="false">SUM(C7:C50)</f>
        <v>750</v>
      </c>
      <c r="D6" s="71"/>
      <c r="E6" s="71"/>
      <c r="F6" s="71" t="n">
        <f aca="false">SUM(F7:F50)</f>
        <v>0</v>
      </c>
      <c r="G6" s="71" t="n">
        <f aca="false">SUM(G7:G50)</f>
        <v>0</v>
      </c>
      <c r="H6" s="71" t="n">
        <f aca="false">SUM(H7:H50)</f>
        <v>0</v>
      </c>
      <c r="I6" s="71" t="n">
        <f aca="false">SUM(I7:I50)</f>
        <v>0</v>
      </c>
      <c r="J6" s="71" t="n">
        <f aca="false">SUM(J7:J50)</f>
        <v>0</v>
      </c>
      <c r="K6" s="71" t="n">
        <f aca="false">SUM(K7:K50)</f>
        <v>0</v>
      </c>
      <c r="L6" s="71" t="n">
        <f aca="false">SUM(L7:L50)</f>
        <v>0</v>
      </c>
      <c r="M6" s="71" t="n">
        <f aca="false">SUM(M7:M50)</f>
        <v>0</v>
      </c>
      <c r="N6" s="71" t="n">
        <f aca="false">SUM(N7:N50)</f>
        <v>0</v>
      </c>
      <c r="O6" s="71" t="n">
        <f aca="false">SUM(O7:O50)</f>
        <v>0</v>
      </c>
      <c r="P6" s="71" t="n">
        <f aca="false">SUM(P7:P50)</f>
        <v>0</v>
      </c>
      <c r="Q6" s="71" t="n">
        <f aca="false">SUM(Q7:Q50)</f>
        <v>0</v>
      </c>
      <c r="R6" s="71" t="n">
        <f aca="false">SUM(R7:R50)</f>
        <v>0</v>
      </c>
      <c r="S6" s="71" t="n">
        <f aca="false">SUM(S7:S50)</f>
        <v>0</v>
      </c>
      <c r="T6" s="71" t="n">
        <f aca="false">SUM(T7:T50)</f>
        <v>0</v>
      </c>
      <c r="U6" s="76" t="n">
        <f aca="false">SUM(U7:U50)</f>
        <v>0</v>
      </c>
      <c r="V6" s="71" t="n">
        <f aca="false">SUM(V7:V50)</f>
        <v>0</v>
      </c>
      <c r="W6" s="71" t="n">
        <f aca="false">SUM(W7:W50)</f>
        <v>0</v>
      </c>
      <c r="X6" s="71" t="n">
        <f aca="false">SUM(X7:X50)</f>
        <v>0</v>
      </c>
      <c r="Y6" s="71" t="n">
        <f aca="false">SUM(Y7:Y50)</f>
        <v>0</v>
      </c>
      <c r="Z6" s="71" t="n">
        <f aca="false">SUM(Z7:Z50)</f>
        <v>0</v>
      </c>
      <c r="AA6" s="71" t="n">
        <f aca="false">SUM(AA7:AA50)</f>
        <v>0</v>
      </c>
      <c r="AB6" s="71" t="n">
        <f aca="false">SUM(AB7:AB50)</f>
        <v>0</v>
      </c>
      <c r="AC6" s="71" t="n">
        <f aca="false">SUM(AC7:AC50)</f>
        <v>0</v>
      </c>
      <c r="AD6" s="71" t="n">
        <f aca="false">SUM(AD7:AD50)</f>
        <v>0</v>
      </c>
      <c r="AE6" s="71" t="n">
        <f aca="false">SUM(AE7:AE50)</f>
        <v>0</v>
      </c>
      <c r="AF6" s="71" t="n">
        <f aca="false">SUM(AF7:AF50)</f>
        <v>0</v>
      </c>
      <c r="AG6" s="71" t="n">
        <f aca="false">SUM(AG7:AG50)</f>
        <v>0</v>
      </c>
      <c r="AH6" s="71" t="n">
        <f aca="false">SUM(AH7:AH50)</f>
        <v>0</v>
      </c>
      <c r="AI6" s="71" t="n">
        <f aca="false">SUM(AI7:AI50)</f>
        <v>0</v>
      </c>
      <c r="AJ6" s="71" t="n">
        <f aca="false">SUM(AJ7:AJ50)</f>
        <v>0</v>
      </c>
      <c r="AK6" s="71" t="n">
        <f aca="false">SUM(AK7:AK50)</f>
        <v>0</v>
      </c>
      <c r="AL6" s="71" t="n">
        <f aca="false">SUM(AL7:AL50)</f>
        <v>0</v>
      </c>
      <c r="AM6" s="71" t="n">
        <f aca="false">SUM(AM7:AM50)</f>
        <v>0</v>
      </c>
      <c r="AN6" s="71" t="n">
        <f aca="false">SUM(AN7:AN50)</f>
        <v>0</v>
      </c>
      <c r="AO6" s="71" t="n">
        <f aca="false">SUM(AO7:AO50)</f>
        <v>0</v>
      </c>
      <c r="AP6" s="71" t="n">
        <f aca="false">SUM(AP7:AP50)</f>
        <v>0</v>
      </c>
      <c r="AQ6" s="71" t="n">
        <f aca="false">SUM(AQ7:AQ50)</f>
        <v>750</v>
      </c>
    </row>
    <row r="7" s="72" customFormat="true" ht="18" hidden="false" customHeight="false" outlineLevel="0" collapsed="false">
      <c r="A7" s="18" t="n">
        <v>1</v>
      </c>
      <c r="B7" s="14" t="s">
        <v>12</v>
      </c>
      <c r="C7" s="73" t="n">
        <f aca="false">D7+E7</f>
        <v>2</v>
      </c>
      <c r="D7" s="73" t="n">
        <v>2</v>
      </c>
      <c r="E7" s="73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5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 t="n">
        <f aca="false">C7-AK7+AL7+AM7+AN7+AO7+AP7</f>
        <v>2</v>
      </c>
    </row>
    <row r="8" s="72" customFormat="true" ht="18" hidden="false" customHeight="false" outlineLevel="0" collapsed="false">
      <c r="A8" s="18" t="n">
        <v>2</v>
      </c>
      <c r="B8" s="14" t="s">
        <v>13</v>
      </c>
      <c r="C8" s="73" t="n">
        <f aca="false">D8+E8</f>
        <v>0</v>
      </c>
      <c r="D8" s="73"/>
      <c r="E8" s="73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5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 t="n">
        <f aca="false">C8-AK8+AL8+AM8+AN8+AO8+AP8</f>
        <v>0</v>
      </c>
    </row>
    <row r="9" s="72" customFormat="true" ht="18" hidden="false" customHeight="false" outlineLevel="0" collapsed="false">
      <c r="A9" s="18" t="n">
        <v>3</v>
      </c>
      <c r="B9" s="14" t="s">
        <v>14</v>
      </c>
      <c r="C9" s="73" t="n">
        <f aca="false">D9+E9</f>
        <v>7</v>
      </c>
      <c r="D9" s="73" t="n">
        <v>7</v>
      </c>
      <c r="E9" s="73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5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 t="n">
        <f aca="false">C9-AK9+AL9+AM9+AN9+AO9+AP9</f>
        <v>7</v>
      </c>
    </row>
    <row r="10" s="72" customFormat="true" ht="18" hidden="false" customHeight="false" outlineLevel="0" collapsed="false">
      <c r="A10" s="18" t="n">
        <v>4</v>
      </c>
      <c r="B10" s="14" t="s">
        <v>15</v>
      </c>
      <c r="C10" s="73" t="n">
        <f aca="false">D10+E10</f>
        <v>4</v>
      </c>
      <c r="D10" s="73" t="n">
        <v>4</v>
      </c>
      <c r="E10" s="7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5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 t="n">
        <f aca="false">C10-AK10+AL10+AM10+AN10+AO10+AP10</f>
        <v>4</v>
      </c>
    </row>
    <row r="11" s="72" customFormat="true" ht="18" hidden="false" customHeight="false" outlineLevel="0" collapsed="false">
      <c r="A11" s="18" t="n">
        <v>5</v>
      </c>
      <c r="B11" s="14" t="s">
        <v>16</v>
      </c>
      <c r="C11" s="73" t="n">
        <f aca="false">D11+E11</f>
        <v>17</v>
      </c>
      <c r="D11" s="73" t="n">
        <v>5</v>
      </c>
      <c r="E11" s="73" t="n">
        <v>12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5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 t="n">
        <f aca="false">C11-AK11+AL11+AM11+AN11+AO11+AP11</f>
        <v>17</v>
      </c>
    </row>
    <row r="12" s="72" customFormat="true" ht="18" hidden="false" customHeight="false" outlineLevel="0" collapsed="false">
      <c r="A12" s="18" t="n">
        <v>6</v>
      </c>
      <c r="B12" s="14" t="s">
        <v>17</v>
      </c>
      <c r="C12" s="73" t="n">
        <f aca="false">D12+E12</f>
        <v>29</v>
      </c>
      <c r="D12" s="73" t="n">
        <v>29</v>
      </c>
      <c r="E12" s="73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5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 t="n">
        <f aca="false">C12-AK12+AL12+AM12+AN12+AO12+AP12</f>
        <v>29</v>
      </c>
    </row>
    <row r="13" s="72" customFormat="true" ht="18" hidden="false" customHeight="false" outlineLevel="0" collapsed="false">
      <c r="A13" s="18" t="n">
        <v>7</v>
      </c>
      <c r="B13" s="14" t="s">
        <v>18</v>
      </c>
      <c r="C13" s="73" t="n">
        <f aca="false">D13+E13</f>
        <v>44</v>
      </c>
      <c r="D13" s="73" t="n">
        <v>44</v>
      </c>
      <c r="E13" s="73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5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 t="n">
        <f aca="false">C13-AK13+AL13+AM13+AN13+AO13+AP13</f>
        <v>44</v>
      </c>
    </row>
    <row r="14" s="72" customFormat="true" ht="18" hidden="false" customHeight="false" outlineLevel="0" collapsed="false">
      <c r="A14" s="18" t="n">
        <v>8</v>
      </c>
      <c r="B14" s="14" t="s">
        <v>19</v>
      </c>
      <c r="C14" s="73" t="n">
        <f aca="false">D14+E14</f>
        <v>11</v>
      </c>
      <c r="D14" s="73" t="n">
        <v>11</v>
      </c>
      <c r="E14" s="73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5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 t="n">
        <f aca="false">C14-AK14+AL14+AM14+AN14+AO14+AP14</f>
        <v>11</v>
      </c>
    </row>
    <row r="15" s="72" customFormat="true" ht="18" hidden="false" customHeight="false" outlineLevel="0" collapsed="false">
      <c r="A15" s="18" t="n">
        <v>9</v>
      </c>
      <c r="B15" s="21" t="s">
        <v>20</v>
      </c>
      <c r="C15" s="73" t="n">
        <f aca="false">D15+E15</f>
        <v>21</v>
      </c>
      <c r="D15" s="73" t="n">
        <v>21</v>
      </c>
      <c r="E15" s="73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5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 t="n">
        <f aca="false">C15-AK15+AL15+AM15+AN15+AO15+AP15</f>
        <v>21</v>
      </c>
    </row>
    <row r="16" s="81" customFormat="true" ht="18" hidden="true" customHeight="false" outlineLevel="0" collapsed="false">
      <c r="A16" s="77" t="n">
        <v>10</v>
      </c>
      <c r="B16" s="78" t="s">
        <v>21</v>
      </c>
      <c r="C16" s="79" t="n">
        <v>0</v>
      </c>
      <c r="D16" s="79"/>
      <c r="E16" s="79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80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 t="n">
        <f aca="false">SUM(F16:AJ16)</f>
        <v>0</v>
      </c>
      <c r="AL16" s="77"/>
      <c r="AM16" s="77"/>
      <c r="AN16" s="77"/>
      <c r="AO16" s="77"/>
      <c r="AP16" s="77"/>
      <c r="AQ16" s="77" t="n">
        <f aca="false">C16-AK16+AL16+AM16+AN16+AO16+AP16</f>
        <v>0</v>
      </c>
    </row>
    <row r="17" s="81" customFormat="true" ht="18" hidden="true" customHeight="false" outlineLevel="0" collapsed="false">
      <c r="A17" s="77" t="n">
        <v>11</v>
      </c>
      <c r="B17" s="78" t="s">
        <v>22</v>
      </c>
      <c r="C17" s="79" t="n">
        <v>0</v>
      </c>
      <c r="D17" s="79"/>
      <c r="E17" s="79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80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 t="n">
        <f aca="false">SUM(F17:AJ17)</f>
        <v>0</v>
      </c>
      <c r="AL17" s="77"/>
      <c r="AM17" s="77"/>
      <c r="AN17" s="77"/>
      <c r="AO17" s="77"/>
      <c r="AP17" s="77"/>
      <c r="AQ17" s="77" t="n">
        <f aca="false">C17-AK17+AL17+AM17+AN17+AO17+AP17</f>
        <v>0</v>
      </c>
    </row>
    <row r="18" s="81" customFormat="true" ht="18" hidden="true" customHeight="false" outlineLevel="0" collapsed="false">
      <c r="A18" s="77" t="n">
        <v>12</v>
      </c>
      <c r="B18" s="78" t="s">
        <v>23</v>
      </c>
      <c r="C18" s="79" t="n">
        <v>0</v>
      </c>
      <c r="D18" s="79"/>
      <c r="E18" s="79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80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 t="n">
        <f aca="false">SUM(F18:AJ18)</f>
        <v>0</v>
      </c>
      <c r="AL18" s="77"/>
      <c r="AM18" s="77"/>
      <c r="AN18" s="77"/>
      <c r="AO18" s="77"/>
      <c r="AP18" s="77"/>
      <c r="AQ18" s="77" t="n">
        <f aca="false">C18-AK18+AL18+AM18+AN18+AO18+AP18</f>
        <v>0</v>
      </c>
    </row>
    <row r="19" s="72" customFormat="true" ht="18" hidden="false" customHeight="false" outlineLevel="0" collapsed="false">
      <c r="A19" s="18" t="n">
        <v>13</v>
      </c>
      <c r="B19" s="14" t="s">
        <v>24</v>
      </c>
      <c r="C19" s="73" t="n">
        <f aca="false">D19+E19</f>
        <v>27</v>
      </c>
      <c r="D19" s="73" t="n">
        <v>27</v>
      </c>
      <c r="E19" s="73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5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 t="n">
        <f aca="false">C19-AK19+AL19+AM19+AN19+AO19+AP19</f>
        <v>27</v>
      </c>
    </row>
    <row r="20" s="81" customFormat="true" ht="18" hidden="true" customHeight="false" outlineLevel="0" collapsed="false">
      <c r="A20" s="77" t="n">
        <v>14</v>
      </c>
      <c r="B20" s="82" t="s">
        <v>25</v>
      </c>
      <c r="C20" s="79" t="n">
        <v>0</v>
      </c>
      <c r="D20" s="79"/>
      <c r="E20" s="79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80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 t="n">
        <f aca="false">SUM(F20:AJ20)</f>
        <v>0</v>
      </c>
      <c r="AL20" s="77"/>
      <c r="AM20" s="77"/>
      <c r="AN20" s="77"/>
      <c r="AO20" s="77"/>
      <c r="AP20" s="77"/>
      <c r="AQ20" s="77" t="n">
        <f aca="false">C20-AK20+AL20+AM20+AN20+AO20+AP20</f>
        <v>0</v>
      </c>
    </row>
    <row r="21" s="81" customFormat="true" ht="18" hidden="true" customHeight="false" outlineLevel="0" collapsed="false">
      <c r="A21" s="77" t="n">
        <v>15</v>
      </c>
      <c r="B21" s="82" t="s">
        <v>26</v>
      </c>
      <c r="C21" s="79" t="n">
        <v>0</v>
      </c>
      <c r="D21" s="79"/>
      <c r="E21" s="79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80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 t="n">
        <f aca="false">SUM(F21:AJ21)</f>
        <v>0</v>
      </c>
      <c r="AL21" s="77"/>
      <c r="AM21" s="77"/>
      <c r="AN21" s="77"/>
      <c r="AO21" s="77"/>
      <c r="AP21" s="77"/>
      <c r="AQ21" s="77" t="n">
        <f aca="false">C21-AK21+AL21+AM21+AN21+AO21+AP21</f>
        <v>0</v>
      </c>
    </row>
    <row r="22" s="81" customFormat="true" ht="18" hidden="true" customHeight="false" outlineLevel="0" collapsed="false">
      <c r="A22" s="77" t="n">
        <v>16</v>
      </c>
      <c r="B22" s="82" t="s">
        <v>27</v>
      </c>
      <c r="C22" s="79" t="n">
        <v>0</v>
      </c>
      <c r="D22" s="79"/>
      <c r="E22" s="79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80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 t="n">
        <f aca="false">SUM(F22:AJ22)</f>
        <v>0</v>
      </c>
      <c r="AL22" s="77"/>
      <c r="AM22" s="77"/>
      <c r="AN22" s="77"/>
      <c r="AO22" s="77"/>
      <c r="AP22" s="77"/>
      <c r="AQ22" s="77" t="n">
        <f aca="false">C22-AK22+AL22+AM22+AN22+AO22+AP22</f>
        <v>0</v>
      </c>
    </row>
    <row r="23" s="72" customFormat="true" ht="18" hidden="false" customHeight="false" outlineLevel="0" collapsed="false">
      <c r="A23" s="18" t="n">
        <v>17</v>
      </c>
      <c r="B23" s="14" t="s">
        <v>28</v>
      </c>
      <c r="C23" s="73" t="n">
        <f aca="false">D23+E23</f>
        <v>19</v>
      </c>
      <c r="D23" s="73" t="n">
        <v>19</v>
      </c>
      <c r="E23" s="73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5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 t="n">
        <f aca="false">C23-AK23+AL23+AM23+AN23+AO23+AP23</f>
        <v>19</v>
      </c>
    </row>
    <row r="24" s="72" customFormat="true" ht="18" hidden="false" customHeight="false" outlineLevel="0" collapsed="false">
      <c r="A24" s="18" t="n">
        <v>18</v>
      </c>
      <c r="B24" s="14" t="s">
        <v>29</v>
      </c>
      <c r="C24" s="73" t="n">
        <f aca="false">D24+E24</f>
        <v>21</v>
      </c>
      <c r="D24" s="73" t="n">
        <v>21</v>
      </c>
      <c r="E24" s="73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5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 t="n">
        <f aca="false">C24-AK24+AL24+AM24+AN24+AO24+AP24</f>
        <v>21</v>
      </c>
    </row>
    <row r="25" s="72" customFormat="true" ht="18" hidden="false" customHeight="false" outlineLevel="0" collapsed="false">
      <c r="A25" s="18" t="n">
        <v>19</v>
      </c>
      <c r="B25" s="21" t="s">
        <v>30</v>
      </c>
      <c r="C25" s="73" t="n">
        <f aca="false">D25+E25</f>
        <v>94</v>
      </c>
      <c r="D25" s="73" t="n">
        <v>54</v>
      </c>
      <c r="E25" s="73" t="n">
        <v>40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5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 t="n">
        <f aca="false">C25-AK25+AL25+AM25+AN25+AO25+AP25</f>
        <v>94</v>
      </c>
    </row>
    <row r="26" s="81" customFormat="true" ht="18" hidden="true" customHeight="false" outlineLevel="0" collapsed="false">
      <c r="A26" s="77" t="n">
        <v>20</v>
      </c>
      <c r="B26" s="78" t="s">
        <v>31</v>
      </c>
      <c r="C26" s="79" t="n">
        <v>0</v>
      </c>
      <c r="D26" s="79"/>
      <c r="E26" s="79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80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 t="n">
        <f aca="false">SUM(F26:AJ26)</f>
        <v>0</v>
      </c>
      <c r="AL26" s="77"/>
      <c r="AM26" s="77"/>
      <c r="AN26" s="77"/>
      <c r="AO26" s="77"/>
      <c r="AP26" s="77"/>
      <c r="AQ26" s="77" t="n">
        <f aca="false">C26-AK26+AL26+AM26+AN26+AO26+AP26</f>
        <v>0</v>
      </c>
    </row>
    <row r="27" s="81" customFormat="true" ht="18" hidden="true" customHeight="false" outlineLevel="0" collapsed="false">
      <c r="A27" s="77" t="n">
        <v>21</v>
      </c>
      <c r="B27" s="78" t="s">
        <v>32</v>
      </c>
      <c r="C27" s="79" t="n">
        <v>0</v>
      </c>
      <c r="D27" s="79"/>
      <c r="E27" s="79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80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 t="n">
        <f aca="false">SUM(F27:AJ27)</f>
        <v>0</v>
      </c>
      <c r="AL27" s="77"/>
      <c r="AM27" s="77"/>
      <c r="AN27" s="77"/>
      <c r="AO27" s="77"/>
      <c r="AP27" s="77"/>
      <c r="AQ27" s="77" t="n">
        <f aca="false">C27-AK27+AL27+AM27+AN27+AO27+AP27</f>
        <v>0</v>
      </c>
    </row>
    <row r="28" s="81" customFormat="true" ht="18" hidden="true" customHeight="false" outlineLevel="0" collapsed="false">
      <c r="A28" s="77" t="n">
        <v>22</v>
      </c>
      <c r="B28" s="78" t="s">
        <v>33</v>
      </c>
      <c r="C28" s="79" t="n">
        <v>0</v>
      </c>
      <c r="D28" s="79"/>
      <c r="E28" s="79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80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 t="n">
        <f aca="false">SUM(F28:AJ28)</f>
        <v>0</v>
      </c>
      <c r="AL28" s="77"/>
      <c r="AM28" s="77"/>
      <c r="AN28" s="77"/>
      <c r="AO28" s="77"/>
      <c r="AP28" s="77"/>
      <c r="AQ28" s="77" t="n">
        <f aca="false">C28-AK28+AL28+AM28+AN28+AO28+AP28</f>
        <v>0</v>
      </c>
    </row>
    <row r="29" s="72" customFormat="true" ht="18" hidden="false" customHeight="false" outlineLevel="0" collapsed="false">
      <c r="A29" s="18" t="n">
        <v>23</v>
      </c>
      <c r="B29" s="14" t="s">
        <v>114</v>
      </c>
      <c r="C29" s="73" t="n">
        <f aca="false">D29+E29</f>
        <v>26</v>
      </c>
      <c r="D29" s="73" t="n">
        <v>6</v>
      </c>
      <c r="E29" s="73" t="n">
        <v>20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5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 t="n">
        <f aca="false">C29-AK29+AL29+AM29+AN29+AO29+AP29</f>
        <v>26</v>
      </c>
    </row>
    <row r="30" s="81" customFormat="true" ht="18" hidden="true" customHeight="false" outlineLevel="0" collapsed="false">
      <c r="A30" s="77" t="n">
        <v>24</v>
      </c>
      <c r="B30" s="82" t="s">
        <v>35</v>
      </c>
      <c r="C30" s="79" t="n">
        <v>0</v>
      </c>
      <c r="D30" s="79"/>
      <c r="E30" s="79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80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 t="n">
        <f aca="false">SUM(F30:AJ30)</f>
        <v>0</v>
      </c>
      <c r="AL30" s="77"/>
      <c r="AM30" s="77"/>
      <c r="AN30" s="77"/>
      <c r="AO30" s="77"/>
      <c r="AP30" s="77"/>
      <c r="AQ30" s="77" t="n">
        <f aca="false">C30-AK30+AL30+AM30+AN30+AO30+AP30</f>
        <v>0</v>
      </c>
    </row>
    <row r="31" s="55" customFormat="true" ht="18" hidden="true" customHeight="false" outlineLevel="0" collapsed="false">
      <c r="A31" s="77" t="n">
        <v>25</v>
      </c>
      <c r="B31" s="82" t="s">
        <v>36</v>
      </c>
      <c r="C31" s="79" t="n">
        <v>0</v>
      </c>
      <c r="D31" s="79"/>
      <c r="E31" s="79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80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 t="n">
        <f aca="false">SUM(F31:AJ31)</f>
        <v>0</v>
      </c>
      <c r="AL31" s="77"/>
      <c r="AM31" s="77"/>
      <c r="AN31" s="77"/>
      <c r="AO31" s="77"/>
      <c r="AP31" s="77"/>
      <c r="AQ31" s="77" t="n">
        <f aca="false">C31-AK31+AL31+AM31+AN31+AO31+AP31</f>
        <v>0</v>
      </c>
    </row>
    <row r="32" s="55" customFormat="true" ht="18" hidden="true" customHeight="false" outlineLevel="0" collapsed="false">
      <c r="A32" s="77" t="n">
        <v>26</v>
      </c>
      <c r="B32" s="82" t="s">
        <v>37</v>
      </c>
      <c r="C32" s="79" t="n">
        <v>0</v>
      </c>
      <c r="D32" s="79"/>
      <c r="E32" s="79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80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 t="n">
        <f aca="false">SUM(F32:AJ32)</f>
        <v>0</v>
      </c>
      <c r="AL32" s="77"/>
      <c r="AM32" s="77"/>
      <c r="AN32" s="77"/>
      <c r="AO32" s="77"/>
      <c r="AP32" s="77"/>
      <c r="AQ32" s="77" t="n">
        <f aca="false">C32-AK32+AL32+AM32+AN32+AO32+AP32</f>
        <v>0</v>
      </c>
    </row>
    <row r="33" customFormat="false" ht="18" hidden="false" customHeight="false" outlineLevel="0" collapsed="false">
      <c r="A33" s="18" t="n">
        <v>27</v>
      </c>
      <c r="B33" s="21" t="s">
        <v>38</v>
      </c>
      <c r="C33" s="73" t="n">
        <f aca="false">D33+E33</f>
        <v>62</v>
      </c>
      <c r="D33" s="73" t="n">
        <v>42</v>
      </c>
      <c r="E33" s="73" t="n">
        <v>20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5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 t="n">
        <f aca="false">C33-AK33+AL33+AM33+AN33+AO33+AP33</f>
        <v>62</v>
      </c>
    </row>
    <row r="34" customFormat="false" ht="18" hidden="false" customHeight="false" outlineLevel="0" collapsed="false">
      <c r="A34" s="18" t="n">
        <v>28</v>
      </c>
      <c r="B34" s="21" t="s">
        <v>39</v>
      </c>
      <c r="C34" s="73" t="n">
        <f aca="false">D34+E34</f>
        <v>53</v>
      </c>
      <c r="D34" s="73" t="n">
        <v>21</v>
      </c>
      <c r="E34" s="73" t="n">
        <v>32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5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 t="n">
        <f aca="false">C34-AK34+AL34+AM34+AN34+AO34+AP34</f>
        <v>53</v>
      </c>
    </row>
    <row r="35" customFormat="false" ht="18" hidden="false" customHeight="false" outlineLevel="0" collapsed="false">
      <c r="A35" s="18" t="n">
        <v>29</v>
      </c>
      <c r="B35" s="21" t="s">
        <v>40</v>
      </c>
      <c r="C35" s="73" t="n">
        <f aca="false">D35+E35</f>
        <v>64</v>
      </c>
      <c r="D35" s="73" t="n">
        <v>44</v>
      </c>
      <c r="E35" s="73" t="n">
        <v>20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5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 t="n">
        <f aca="false">C35-AK35+AL35+AM35+AN35+AO35+AP35</f>
        <v>64</v>
      </c>
    </row>
    <row r="36" customFormat="false" ht="18" hidden="false" customHeight="false" outlineLevel="0" collapsed="false">
      <c r="A36" s="18" t="n">
        <v>30</v>
      </c>
      <c r="B36" s="21" t="s">
        <v>41</v>
      </c>
      <c r="C36" s="73" t="n">
        <f aca="false">D36+E36</f>
        <v>58</v>
      </c>
      <c r="D36" s="73" t="n">
        <v>26</v>
      </c>
      <c r="E36" s="73" t="n">
        <v>32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5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 t="n">
        <f aca="false">C36-AK36+AL36+AM36+AN36+AO36+AP36</f>
        <v>58</v>
      </c>
    </row>
    <row r="37" customFormat="false" ht="18" hidden="false" customHeight="false" outlineLevel="0" collapsed="false">
      <c r="A37" s="18" t="n">
        <v>31</v>
      </c>
      <c r="B37" s="14" t="s">
        <v>42</v>
      </c>
      <c r="C37" s="73" t="n">
        <f aca="false">D37+E37</f>
        <v>23</v>
      </c>
      <c r="D37" s="73" t="n">
        <v>11</v>
      </c>
      <c r="E37" s="73" t="n">
        <v>12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5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 t="n">
        <f aca="false">C37-AK37+AL37+AM37+AN37+AO37+AP37</f>
        <v>23</v>
      </c>
    </row>
    <row r="38" customFormat="false" ht="18" hidden="false" customHeight="false" outlineLevel="0" collapsed="false">
      <c r="A38" s="18" t="n">
        <v>32</v>
      </c>
      <c r="B38" s="14" t="s">
        <v>43</v>
      </c>
      <c r="C38" s="73" t="n">
        <f aca="false">D38+E38</f>
        <v>28</v>
      </c>
      <c r="D38" s="73" t="n">
        <v>16</v>
      </c>
      <c r="E38" s="73" t="n">
        <v>12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5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 t="n">
        <f aca="false">C38-AK38+AL38+AM38+AN38+AO38+AP38</f>
        <v>28</v>
      </c>
    </row>
    <row r="39" customFormat="false" ht="18" hidden="false" customHeight="false" outlineLevel="0" collapsed="false">
      <c r="A39" s="18" t="n">
        <v>33</v>
      </c>
      <c r="B39" s="14" t="s">
        <v>44</v>
      </c>
      <c r="C39" s="73" t="n">
        <f aca="false">D39+E39</f>
        <v>30</v>
      </c>
      <c r="D39" s="73" t="n">
        <v>30</v>
      </c>
      <c r="E39" s="73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5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 t="n">
        <f aca="false">C39-AK39+AL39+AM39+AN39+AO39+AP39</f>
        <v>30</v>
      </c>
    </row>
    <row r="40" customFormat="false" ht="18" hidden="false" customHeight="false" outlineLevel="0" collapsed="false">
      <c r="A40" s="18" t="n">
        <v>34</v>
      </c>
      <c r="B40" s="14" t="s">
        <v>45</v>
      </c>
      <c r="C40" s="73" t="n">
        <f aca="false">D40+E40</f>
        <v>14</v>
      </c>
      <c r="D40" s="73" t="n">
        <v>14</v>
      </c>
      <c r="E40" s="73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5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 t="n">
        <f aca="false">C40-AK40+AL40+AM40+AN40+AO40+AP40</f>
        <v>14</v>
      </c>
    </row>
    <row r="41" customFormat="false" ht="18" hidden="false" customHeight="false" outlineLevel="0" collapsed="false">
      <c r="A41" s="18" t="n">
        <v>35</v>
      </c>
      <c r="B41" s="14" t="s">
        <v>46</v>
      </c>
      <c r="C41" s="73" t="n">
        <f aca="false">D41+E41</f>
        <v>11</v>
      </c>
      <c r="D41" s="73" t="n">
        <v>11</v>
      </c>
      <c r="E41" s="7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5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 t="n">
        <f aca="false">C41-AK41+AL41+AM41+AN41+AO41+AP41</f>
        <v>11</v>
      </c>
    </row>
    <row r="42" s="55" customFormat="true" ht="18" hidden="true" customHeight="false" outlineLevel="0" collapsed="false">
      <c r="A42" s="77" t="n">
        <v>36</v>
      </c>
      <c r="B42" s="82" t="s">
        <v>47</v>
      </c>
      <c r="C42" s="79" t="n">
        <v>0</v>
      </c>
      <c r="D42" s="79"/>
      <c r="E42" s="79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80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 t="n">
        <f aca="false">SUM(F42:AJ42)</f>
        <v>0</v>
      </c>
      <c r="AL42" s="77"/>
      <c r="AM42" s="77"/>
      <c r="AN42" s="77"/>
      <c r="AO42" s="77"/>
      <c r="AP42" s="77"/>
      <c r="AQ42" s="77" t="n">
        <f aca="false">C42-AK42+AL42+AM42+AN42+AO42+AP42</f>
        <v>0</v>
      </c>
    </row>
    <row r="43" s="55" customFormat="true" ht="18" hidden="true" customHeight="false" outlineLevel="0" collapsed="false">
      <c r="A43" s="77" t="n">
        <v>37</v>
      </c>
      <c r="B43" s="82" t="s">
        <v>48</v>
      </c>
      <c r="C43" s="79" t="n">
        <v>0</v>
      </c>
      <c r="D43" s="79"/>
      <c r="E43" s="79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80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 t="n">
        <f aca="false">SUM(F43:AJ43)</f>
        <v>0</v>
      </c>
      <c r="AL43" s="77"/>
      <c r="AM43" s="77"/>
      <c r="AN43" s="77"/>
      <c r="AO43" s="77"/>
      <c r="AP43" s="77"/>
      <c r="AQ43" s="77" t="n">
        <f aca="false">C43-AK43+AL43+AM43+AN43+AO43+AP43</f>
        <v>0</v>
      </c>
    </row>
    <row r="44" s="55" customFormat="true" ht="18" hidden="true" customHeight="false" outlineLevel="0" collapsed="false">
      <c r="A44" s="77" t="n">
        <v>38</v>
      </c>
      <c r="B44" s="82" t="s">
        <v>49</v>
      </c>
      <c r="C44" s="79" t="n">
        <v>0</v>
      </c>
      <c r="D44" s="79"/>
      <c r="E44" s="79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80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 t="n">
        <f aca="false">SUM(F44:AJ44)</f>
        <v>0</v>
      </c>
      <c r="AL44" s="77"/>
      <c r="AM44" s="77"/>
      <c r="AN44" s="77"/>
      <c r="AO44" s="77"/>
      <c r="AP44" s="77"/>
      <c r="AQ44" s="77" t="n">
        <f aca="false">C44-AK44+AL44+AM44+AN44+AO44+AP44</f>
        <v>0</v>
      </c>
    </row>
    <row r="45" customFormat="false" ht="18" hidden="false" customHeight="false" outlineLevel="0" collapsed="false">
      <c r="A45" s="18" t="n">
        <v>39</v>
      </c>
      <c r="B45" s="14" t="s">
        <v>50</v>
      </c>
      <c r="C45" s="73" t="n">
        <f aca="false">D45+E45</f>
        <v>35</v>
      </c>
      <c r="D45" s="73" t="n">
        <v>35</v>
      </c>
      <c r="E45" s="73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5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 t="n">
        <f aca="false">C45-AK45+AL45+AM45+AN45+AO45+AP45</f>
        <v>35</v>
      </c>
    </row>
    <row r="46" customFormat="false" ht="18" hidden="false" customHeight="false" outlineLevel="0" collapsed="false">
      <c r="A46" s="18" t="n">
        <v>40</v>
      </c>
      <c r="B46" s="14" t="s">
        <v>51</v>
      </c>
      <c r="C46" s="73" t="n">
        <f aca="false">D46+E46</f>
        <v>18</v>
      </c>
      <c r="D46" s="73" t="n">
        <v>18</v>
      </c>
      <c r="E46" s="73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5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 t="n">
        <f aca="false">C46-AK46+AL46+AM46+AN46+AO46+AP46</f>
        <v>18</v>
      </c>
    </row>
    <row r="47" customFormat="false" ht="18" hidden="false" customHeight="false" outlineLevel="0" collapsed="false">
      <c r="A47" s="18" t="n">
        <v>41</v>
      </c>
      <c r="B47" s="14" t="s">
        <v>52</v>
      </c>
      <c r="C47" s="73" t="n">
        <f aca="false">D47+E47</f>
        <v>13</v>
      </c>
      <c r="D47" s="73" t="n">
        <v>13</v>
      </c>
      <c r="E47" s="73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5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 t="n">
        <f aca="false">C47-AK47+AL47+AM47+AN47+AO47+AP47</f>
        <v>13</v>
      </c>
    </row>
    <row r="48" customFormat="false" ht="18" hidden="false" customHeight="false" outlineLevel="0" collapsed="false">
      <c r="A48" s="18" t="n">
        <v>42</v>
      </c>
      <c r="B48" s="14" t="s">
        <v>53</v>
      </c>
      <c r="C48" s="73" t="n">
        <f aca="false">D48+E48</f>
        <v>19</v>
      </c>
      <c r="D48" s="73" t="n">
        <v>19</v>
      </c>
      <c r="E48" s="7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5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 t="n">
        <f aca="false">C48-AK48+AL48+AM48+AN48+AO48+AP48</f>
        <v>19</v>
      </c>
    </row>
    <row r="49" s="55" customFormat="true" ht="18" hidden="true" customHeight="false" outlineLevel="0" collapsed="false">
      <c r="A49" s="77" t="n">
        <v>43</v>
      </c>
      <c r="B49" s="82" t="s">
        <v>54</v>
      </c>
      <c r="C49" s="79" t="n">
        <v>0</v>
      </c>
      <c r="D49" s="79"/>
      <c r="E49" s="79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80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 t="n">
        <f aca="false">SUM(F49:AJ49)</f>
        <v>0</v>
      </c>
      <c r="AL49" s="77"/>
      <c r="AM49" s="77"/>
      <c r="AN49" s="77"/>
      <c r="AO49" s="77"/>
      <c r="AP49" s="77"/>
      <c r="AQ49" s="77" t="n">
        <f aca="false">C49-AK49+AL49+AM49+AN49+AO49+AP49</f>
        <v>0</v>
      </c>
    </row>
    <row r="50" s="55" customFormat="true" ht="18" hidden="true" customHeight="false" outlineLevel="0" collapsed="false">
      <c r="A50" s="77" t="n">
        <v>44</v>
      </c>
      <c r="B50" s="82" t="s">
        <v>55</v>
      </c>
      <c r="C50" s="79" t="n">
        <v>0</v>
      </c>
      <c r="D50" s="79"/>
      <c r="E50" s="79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80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 t="n">
        <f aca="false">SUM(F50:AJ50)</f>
        <v>0</v>
      </c>
      <c r="AL50" s="77"/>
      <c r="AM50" s="77"/>
      <c r="AN50" s="77"/>
      <c r="AO50" s="77"/>
      <c r="AP50" s="77"/>
      <c r="AQ50" s="77" t="n">
        <f aca="false">C50-AK50+AL50+AM50+AN50+AO50+AP50</f>
        <v>0</v>
      </c>
    </row>
    <row r="51" s="55" customFormat="true" ht="18" hidden="true" customHeight="false" outlineLevel="0" collapsed="false">
      <c r="A51" s="77" t="n">
        <v>45</v>
      </c>
      <c r="B51" s="82" t="s">
        <v>58</v>
      </c>
      <c r="C51" s="79" t="n">
        <v>0</v>
      </c>
      <c r="D51" s="79"/>
      <c r="E51" s="79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80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 t="n">
        <f aca="false">SUM(F51:AJ51)</f>
        <v>0</v>
      </c>
      <c r="AL51" s="77"/>
      <c r="AM51" s="77"/>
      <c r="AN51" s="77"/>
      <c r="AO51" s="77"/>
      <c r="AP51" s="77"/>
      <c r="AQ51" s="77" t="n">
        <f aca="false">C51-AK51+AL51+AM51+AN51+AO51+AP51</f>
        <v>0</v>
      </c>
    </row>
    <row r="52" s="55" customFormat="true" ht="18" hidden="true" customHeight="false" outlineLevel="0" collapsed="false">
      <c r="A52" s="77" t="n">
        <v>46</v>
      </c>
      <c r="B52" s="82" t="s">
        <v>59</v>
      </c>
      <c r="C52" s="79" t="n">
        <v>0</v>
      </c>
      <c r="D52" s="79"/>
      <c r="E52" s="79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80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 t="n">
        <f aca="false">SUM(F52:AJ52)</f>
        <v>0</v>
      </c>
      <c r="AL52" s="77"/>
      <c r="AM52" s="77"/>
      <c r="AN52" s="77"/>
      <c r="AO52" s="77"/>
      <c r="AP52" s="77"/>
      <c r="AQ52" s="77" t="n">
        <f aca="false">C52-AK52+AL52+AM52+AN52+AO52+AP52</f>
        <v>0</v>
      </c>
    </row>
    <row r="53" s="55" customFormat="true" ht="18" hidden="true" customHeight="false" outlineLevel="0" collapsed="false">
      <c r="A53" s="77"/>
      <c r="B53" s="77" t="s">
        <v>119</v>
      </c>
      <c r="C53" s="79" t="n">
        <v>0</v>
      </c>
      <c r="D53" s="79"/>
      <c r="E53" s="79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80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 t="n">
        <f aca="false">SUM(F53:AJ53)</f>
        <v>0</v>
      </c>
      <c r="AL53" s="77"/>
      <c r="AM53" s="77"/>
      <c r="AN53" s="77"/>
      <c r="AO53" s="77"/>
      <c r="AP53" s="77"/>
      <c r="AQ53" s="77" t="n">
        <f aca="false">C53-AK53+AL53+AM53+AN53+AO53+AP53</f>
        <v>0</v>
      </c>
    </row>
    <row r="54" s="55" customFormat="true" ht="18" hidden="true" customHeight="false" outlineLevel="0" collapsed="false">
      <c r="A54" s="77" t="n">
        <v>47</v>
      </c>
      <c r="B54" s="82" t="s">
        <v>120</v>
      </c>
      <c r="C54" s="79" t="n">
        <v>0</v>
      </c>
      <c r="D54" s="79"/>
      <c r="E54" s="79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63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77" t="n">
        <f aca="false">SUM(F54:AJ54)</f>
        <v>0</v>
      </c>
      <c r="AL54" s="82"/>
      <c r="AM54" s="82"/>
      <c r="AN54" s="82"/>
      <c r="AO54" s="82"/>
      <c r="AP54" s="82"/>
      <c r="AQ54" s="77" t="n">
        <f aca="false">C54-AK54+AL54+AM54+AN54+AO54+AP54</f>
        <v>0</v>
      </c>
    </row>
    <row r="55" customFormat="false" ht="18" hidden="false" customHeight="false" outlineLevel="0" collapsed="false">
      <c r="A55" s="14"/>
      <c r="B55" s="14" t="s">
        <v>121</v>
      </c>
      <c r="C55" s="73" t="n">
        <f aca="false">D55+E55</f>
        <v>11</v>
      </c>
      <c r="D55" s="14" t="n">
        <v>11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20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8"/>
      <c r="AL55" s="14"/>
      <c r="AM55" s="14"/>
      <c r="AN55" s="14"/>
      <c r="AO55" s="14"/>
      <c r="AP55" s="14"/>
      <c r="AQ55" s="18" t="n">
        <f aca="false">C55-AK55+AL55+AM55+AN55+AO55+AP55</f>
        <v>11</v>
      </c>
    </row>
  </sheetData>
  <autoFilter ref="A5:AQ55">
    <filterColumn colId="42">
      <filters>
        <filter val="1"/>
        <filter val="10"/>
        <filter val="11"/>
        <filter val="13"/>
        <filter val="15"/>
        <filter val="17"/>
        <filter val="18"/>
        <filter val="21"/>
        <filter val="22"/>
        <filter val="24"/>
        <filter val="29"/>
        <filter val="34"/>
        <filter val="38"/>
        <filter val="4"/>
        <filter val="450"/>
        <filter val="47"/>
        <filter val="5"/>
        <filter val="53"/>
        <filter val="6"/>
        <filter val="8"/>
        <filter val="9"/>
      </filters>
    </filterColumn>
  </autoFilter>
  <mergeCells count="44">
    <mergeCell ref="B2:AS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A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7" activeCellId="0" sqref="T37"/>
    </sheetView>
  </sheetViews>
  <sheetFormatPr defaultColWidth="8.73046875" defaultRowHeight="18" zeroHeight="false" outlineLevelRow="0" outlineLevelCol="0"/>
  <cols>
    <col collapsed="false" customWidth="true" hidden="false" outlineLevel="0" max="1" min="1" style="2" width="4.73"/>
    <col collapsed="false" customWidth="true" hidden="false" outlineLevel="0" max="2" min="2" style="2" width="12.82"/>
    <col collapsed="false" customWidth="true" hidden="false" outlineLevel="0" max="3" min="3" style="2" width="6"/>
    <col collapsed="false" customWidth="true" hidden="false" outlineLevel="0" max="9" min="4" style="2" width="5.09"/>
    <col collapsed="false" customWidth="true" hidden="false" outlineLevel="0" max="22" min="10" style="66" width="5.09"/>
    <col collapsed="false" customWidth="true" hidden="false" outlineLevel="0" max="34" min="23" style="2" width="5.09"/>
    <col collapsed="false" customWidth="true" hidden="false" outlineLevel="0" max="35" min="35" style="2" width="5.45"/>
    <col collapsed="false" customWidth="true" hidden="false" outlineLevel="0" max="36" min="36" style="2" width="4.54"/>
    <col collapsed="false" customWidth="true" hidden="false" outlineLevel="0" max="37" min="37" style="83" width="5.18"/>
    <col collapsed="false" customWidth="true" hidden="false" outlineLevel="0" max="39" min="38" style="2" width="3.45"/>
    <col collapsed="false" customWidth="true" hidden="false" outlineLevel="0" max="40" min="40" style="2" width="4.45"/>
    <col collapsed="false" customWidth="false" hidden="false" outlineLevel="0" max="16384" min="41" style="2" width="8.73"/>
  </cols>
  <sheetData>
    <row r="2" customFormat="false" ht="18" hidden="false" customHeight="false" outlineLevel="0" collapsed="false">
      <c r="B2" s="67" t="s">
        <v>108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</row>
    <row r="4" s="10" customFormat="true" ht="14.25" hidden="false" customHeight="true" outlineLevel="0" collapsed="false">
      <c r="A4" s="7" t="s">
        <v>4</v>
      </c>
      <c r="B4" s="7" t="s">
        <v>5</v>
      </c>
      <c r="C4" s="7" t="s">
        <v>11</v>
      </c>
      <c r="D4" s="7" t="n">
        <v>1</v>
      </c>
      <c r="E4" s="7" t="n">
        <v>2</v>
      </c>
      <c r="F4" s="7" t="n">
        <v>3</v>
      </c>
      <c r="G4" s="7" t="n">
        <v>4</v>
      </c>
      <c r="H4" s="7" t="n">
        <v>5</v>
      </c>
      <c r="I4" s="7" t="n">
        <v>6</v>
      </c>
      <c r="J4" s="7" t="n">
        <v>7</v>
      </c>
      <c r="K4" s="7" t="n">
        <v>8</v>
      </c>
      <c r="L4" s="7" t="n">
        <v>9</v>
      </c>
      <c r="M4" s="7" t="n">
        <v>10</v>
      </c>
      <c r="N4" s="7" t="n">
        <v>11</v>
      </c>
      <c r="O4" s="7" t="n">
        <v>12</v>
      </c>
      <c r="P4" s="7" t="n">
        <v>13</v>
      </c>
      <c r="Q4" s="7" t="n">
        <v>14</v>
      </c>
      <c r="R4" s="7" t="n">
        <v>15</v>
      </c>
      <c r="S4" s="7" t="n">
        <v>16</v>
      </c>
      <c r="T4" s="7" t="n">
        <v>17</v>
      </c>
      <c r="U4" s="7" t="n">
        <v>18</v>
      </c>
      <c r="V4" s="7" t="n">
        <v>19</v>
      </c>
      <c r="W4" s="7" t="n">
        <v>20</v>
      </c>
      <c r="X4" s="7" t="n">
        <v>21</v>
      </c>
      <c r="Y4" s="7" t="n">
        <v>22</v>
      </c>
      <c r="Z4" s="7" t="n">
        <v>23</v>
      </c>
      <c r="AA4" s="7" t="n">
        <v>24</v>
      </c>
      <c r="AB4" s="7" t="n">
        <v>25</v>
      </c>
      <c r="AC4" s="7" t="n">
        <v>26</v>
      </c>
      <c r="AD4" s="7" t="n">
        <v>27</v>
      </c>
      <c r="AE4" s="7" t="n">
        <v>28</v>
      </c>
      <c r="AF4" s="7" t="n">
        <v>29</v>
      </c>
      <c r="AG4" s="7" t="n">
        <v>30</v>
      </c>
      <c r="AH4" s="7" t="n">
        <v>31</v>
      </c>
      <c r="AI4" s="69" t="s">
        <v>111</v>
      </c>
      <c r="AJ4" s="70" t="s">
        <v>122</v>
      </c>
      <c r="AK4" s="70"/>
      <c r="AL4" s="70"/>
      <c r="AM4" s="70"/>
      <c r="AN4" s="69" t="s">
        <v>113</v>
      </c>
    </row>
    <row r="5" s="10" customFormat="true" ht="18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="72" customFormat="true" ht="15" hidden="false" customHeight="true" outlineLevel="0" collapsed="false">
      <c r="A6" s="71"/>
      <c r="B6" s="71"/>
      <c r="C6" s="71" t="n">
        <f aca="false">SUM(C7:C50)</f>
        <v>350</v>
      </c>
      <c r="D6" s="71" t="n">
        <f aca="false">SUM(D7:D50)</f>
        <v>0</v>
      </c>
      <c r="E6" s="71" t="n">
        <f aca="false">SUM(E7:E50)</f>
        <v>0</v>
      </c>
      <c r="F6" s="71" t="n">
        <f aca="false">SUM(F7:F50)</f>
        <v>0</v>
      </c>
      <c r="G6" s="71" t="n">
        <f aca="false">SUM(G7:G50)</f>
        <v>0</v>
      </c>
      <c r="H6" s="71" t="n">
        <f aca="false">SUM(H7:H50)</f>
        <v>0</v>
      </c>
      <c r="I6" s="71" t="n">
        <f aca="false">SUM(I7:I50)</f>
        <v>0</v>
      </c>
      <c r="J6" s="76" t="n">
        <f aca="false">SUM(J7:J50)</f>
        <v>0</v>
      </c>
      <c r="K6" s="76" t="n">
        <f aca="false">SUM(K7:K50)</f>
        <v>0</v>
      </c>
      <c r="L6" s="76" t="n">
        <f aca="false">SUM(L7:L50)</f>
        <v>0</v>
      </c>
      <c r="M6" s="76" t="n">
        <f aca="false">SUM(M7:M50)</f>
        <v>0</v>
      </c>
      <c r="N6" s="76" t="n">
        <f aca="false">SUM(N7:N50)</f>
        <v>0</v>
      </c>
      <c r="O6" s="76" t="n">
        <f aca="false">SUM(O7:O50)</f>
        <v>0</v>
      </c>
      <c r="P6" s="76" t="n">
        <f aca="false">SUM(P7:P50)</f>
        <v>0</v>
      </c>
      <c r="Q6" s="76" t="n">
        <f aca="false">SUM(Q7:Q50)</f>
        <v>0</v>
      </c>
      <c r="R6" s="76" t="n">
        <f aca="false">SUM(R7:R50)</f>
        <v>0</v>
      </c>
      <c r="S6" s="76" t="n">
        <f aca="false">SUM(S7:S50)</f>
        <v>0</v>
      </c>
      <c r="T6" s="76" t="n">
        <f aca="false">SUM(T7:T50)</f>
        <v>0</v>
      </c>
      <c r="U6" s="76" t="n">
        <f aca="false">SUM(U7:U50)</f>
        <v>0</v>
      </c>
      <c r="V6" s="76" t="n">
        <f aca="false">SUM(V7:V50)</f>
        <v>0</v>
      </c>
      <c r="W6" s="71" t="n">
        <f aca="false">SUM(W7:W50)</f>
        <v>0</v>
      </c>
      <c r="X6" s="71" t="n">
        <f aca="false">SUM(X7:X50)</f>
        <v>0</v>
      </c>
      <c r="Y6" s="71" t="n">
        <f aca="false">SUM(Y7:Y50)</f>
        <v>0</v>
      </c>
      <c r="Z6" s="71" t="n">
        <f aca="false">SUM(Z7:Z50)</f>
        <v>0</v>
      </c>
      <c r="AA6" s="71" t="n">
        <f aca="false">SUM(AA7:AA50)</f>
        <v>0</v>
      </c>
      <c r="AB6" s="71" t="n">
        <f aca="false">SUM(AB7:AB50)</f>
        <v>0</v>
      </c>
      <c r="AC6" s="71" t="n">
        <f aca="false">SUM(AC7:AC50)</f>
        <v>0</v>
      </c>
      <c r="AD6" s="71" t="n">
        <f aca="false">SUM(AD7:AD50)</f>
        <v>0</v>
      </c>
      <c r="AE6" s="71" t="n">
        <f aca="false">SUM(AE7:AE50)</f>
        <v>0</v>
      </c>
      <c r="AF6" s="71" t="n">
        <f aca="false">SUM(AF7:AF50)</f>
        <v>0</v>
      </c>
      <c r="AG6" s="71" t="n">
        <f aca="false">SUM(AG7:AG50)</f>
        <v>0</v>
      </c>
      <c r="AH6" s="71" t="n">
        <f aca="false">SUM(AH7:AH50)</f>
        <v>0</v>
      </c>
      <c r="AI6" s="71" t="n">
        <f aca="false">SUM(AI7:AI50)</f>
        <v>0</v>
      </c>
      <c r="AJ6" s="71" t="n">
        <f aca="false">SUM(AJ7:AJ50)</f>
        <v>0</v>
      </c>
      <c r="AK6" s="71" t="n">
        <f aca="false">SUM(AK7:AK50)</f>
        <v>0</v>
      </c>
      <c r="AL6" s="71" t="n">
        <f aca="false">SUM(AL7:AL50)</f>
        <v>0</v>
      </c>
      <c r="AM6" s="71" t="n">
        <f aca="false">SUM(AM7:AM50)</f>
        <v>0</v>
      </c>
      <c r="AN6" s="71" t="n">
        <f aca="false">SUM(AN7:AN50)</f>
        <v>350</v>
      </c>
    </row>
    <row r="7" s="81" customFormat="true" ht="18" hidden="true" customHeight="false" outlineLevel="0" collapsed="false">
      <c r="A7" s="77" t="n">
        <v>1</v>
      </c>
      <c r="B7" s="82" t="s">
        <v>12</v>
      </c>
      <c r="C7" s="79" t="n">
        <v>0</v>
      </c>
      <c r="D7" s="77"/>
      <c r="E7" s="77"/>
      <c r="F7" s="77"/>
      <c r="G7" s="77"/>
      <c r="H7" s="77"/>
      <c r="I7" s="77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 t="n">
        <f aca="false">SUM(D7:AH7)</f>
        <v>0</v>
      </c>
      <c r="AJ7" s="77"/>
      <c r="AK7" s="77"/>
      <c r="AL7" s="77"/>
      <c r="AM7" s="77"/>
      <c r="AN7" s="77" t="n">
        <f aca="false">C7-AI7+AJ7+AK7+AL7+AM7</f>
        <v>0</v>
      </c>
    </row>
    <row r="8" s="81" customFormat="true" ht="18" hidden="true" customHeight="false" outlineLevel="0" collapsed="false">
      <c r="A8" s="77" t="n">
        <v>2</v>
      </c>
      <c r="B8" s="82" t="s">
        <v>13</v>
      </c>
      <c r="C8" s="79" t="n">
        <v>0</v>
      </c>
      <c r="D8" s="77"/>
      <c r="E8" s="77"/>
      <c r="F8" s="77"/>
      <c r="G8" s="77"/>
      <c r="H8" s="77"/>
      <c r="I8" s="77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 t="n">
        <f aca="false">SUM(D8:AH8)</f>
        <v>0</v>
      </c>
      <c r="AJ8" s="77"/>
      <c r="AK8" s="77"/>
      <c r="AL8" s="77"/>
      <c r="AM8" s="77"/>
      <c r="AN8" s="77" t="n">
        <f aca="false">C8-AI8+AJ8+AK8+AL8+AM8</f>
        <v>0</v>
      </c>
    </row>
    <row r="9" s="81" customFormat="true" ht="18" hidden="true" customHeight="false" outlineLevel="0" collapsed="false">
      <c r="A9" s="77" t="n">
        <v>3</v>
      </c>
      <c r="B9" s="82" t="s">
        <v>14</v>
      </c>
      <c r="C9" s="79" t="n">
        <v>0</v>
      </c>
      <c r="D9" s="77"/>
      <c r="E9" s="77"/>
      <c r="F9" s="77"/>
      <c r="G9" s="77"/>
      <c r="H9" s="77"/>
      <c r="I9" s="77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 t="n">
        <f aca="false">SUM(D9:AH9)</f>
        <v>0</v>
      </c>
      <c r="AJ9" s="77"/>
      <c r="AK9" s="77"/>
      <c r="AL9" s="77"/>
      <c r="AM9" s="77"/>
      <c r="AN9" s="77" t="n">
        <f aca="false">C9-AI9+AJ9+AK9+AL9+AM9</f>
        <v>0</v>
      </c>
    </row>
    <row r="10" s="81" customFormat="true" ht="18" hidden="true" customHeight="false" outlineLevel="0" collapsed="false">
      <c r="A10" s="77" t="n">
        <v>4</v>
      </c>
      <c r="B10" s="82" t="s">
        <v>15</v>
      </c>
      <c r="C10" s="79" t="n">
        <v>0</v>
      </c>
      <c r="D10" s="77"/>
      <c r="E10" s="77"/>
      <c r="F10" s="77"/>
      <c r="G10" s="77"/>
      <c r="H10" s="77"/>
      <c r="I10" s="77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 t="n">
        <f aca="false">SUM(D10:AH10)</f>
        <v>0</v>
      </c>
      <c r="AJ10" s="77"/>
      <c r="AK10" s="77"/>
      <c r="AL10" s="77"/>
      <c r="AM10" s="77"/>
      <c r="AN10" s="77" t="n">
        <f aca="false">C10-AI10+AJ10+AK10+AL10+AM10</f>
        <v>0</v>
      </c>
    </row>
    <row r="11" s="81" customFormat="true" ht="18" hidden="true" customHeight="false" outlineLevel="0" collapsed="false">
      <c r="A11" s="77" t="n">
        <v>5</v>
      </c>
      <c r="B11" s="82" t="s">
        <v>16</v>
      </c>
      <c r="C11" s="79" t="n">
        <v>0</v>
      </c>
      <c r="D11" s="77"/>
      <c r="E11" s="77"/>
      <c r="F11" s="77"/>
      <c r="G11" s="77"/>
      <c r="H11" s="77"/>
      <c r="I11" s="77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 t="n">
        <f aca="false">SUM(D11:AH11)</f>
        <v>0</v>
      </c>
      <c r="AJ11" s="77"/>
      <c r="AK11" s="77"/>
      <c r="AL11" s="77"/>
      <c r="AM11" s="77"/>
      <c r="AN11" s="77" t="n">
        <f aca="false">C11-AI11+AJ11+AK11+AL11+AM11</f>
        <v>0</v>
      </c>
    </row>
    <row r="12" s="81" customFormat="true" ht="18" hidden="true" customHeight="false" outlineLevel="0" collapsed="false">
      <c r="A12" s="77" t="n">
        <v>6</v>
      </c>
      <c r="B12" s="82" t="s">
        <v>17</v>
      </c>
      <c r="C12" s="79" t="n">
        <v>0</v>
      </c>
      <c r="D12" s="77"/>
      <c r="E12" s="77"/>
      <c r="F12" s="77"/>
      <c r="G12" s="77"/>
      <c r="H12" s="77"/>
      <c r="I12" s="77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 t="n">
        <f aca="false">SUM(D12:AH12)</f>
        <v>0</v>
      </c>
      <c r="AJ12" s="77"/>
      <c r="AK12" s="77"/>
      <c r="AL12" s="77"/>
      <c r="AM12" s="77"/>
      <c r="AN12" s="77" t="n">
        <f aca="false">C12-AI12+AJ12+AK12+AL12+AM12</f>
        <v>0</v>
      </c>
    </row>
    <row r="13" s="81" customFormat="true" ht="18" hidden="true" customHeight="false" outlineLevel="0" collapsed="false">
      <c r="A13" s="77" t="n">
        <v>7</v>
      </c>
      <c r="B13" s="82" t="s">
        <v>18</v>
      </c>
      <c r="C13" s="79" t="n">
        <v>0</v>
      </c>
      <c r="D13" s="77"/>
      <c r="E13" s="77"/>
      <c r="F13" s="77"/>
      <c r="G13" s="77"/>
      <c r="H13" s="77"/>
      <c r="I13" s="77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 t="n">
        <f aca="false">SUM(D13:AH13)</f>
        <v>0</v>
      </c>
      <c r="AJ13" s="77"/>
      <c r="AK13" s="77"/>
      <c r="AL13" s="77"/>
      <c r="AM13" s="77"/>
      <c r="AN13" s="77" t="n">
        <f aca="false">C13-AI13+AJ13+AK13+AL13+AM13</f>
        <v>0</v>
      </c>
    </row>
    <row r="14" s="81" customFormat="true" ht="18" hidden="true" customHeight="false" outlineLevel="0" collapsed="false">
      <c r="A14" s="77" t="n">
        <v>8</v>
      </c>
      <c r="B14" s="82" t="s">
        <v>19</v>
      </c>
      <c r="C14" s="79" t="n">
        <v>0</v>
      </c>
      <c r="D14" s="77"/>
      <c r="E14" s="77"/>
      <c r="F14" s="77"/>
      <c r="G14" s="77"/>
      <c r="H14" s="77"/>
      <c r="I14" s="77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 t="n">
        <f aca="false">SUM(D14:AH14)</f>
        <v>0</v>
      </c>
      <c r="AJ14" s="77"/>
      <c r="AK14" s="77"/>
      <c r="AL14" s="77"/>
      <c r="AM14" s="77"/>
      <c r="AN14" s="77" t="n">
        <f aca="false">C14-AI14+AJ14+AK14+AL14+AM14</f>
        <v>0</v>
      </c>
    </row>
    <row r="15" s="81" customFormat="true" ht="18" hidden="true" customHeight="false" outlineLevel="0" collapsed="false">
      <c r="A15" s="77" t="n">
        <v>9</v>
      </c>
      <c r="B15" s="78" t="s">
        <v>20</v>
      </c>
      <c r="C15" s="79" t="n">
        <v>0</v>
      </c>
      <c r="D15" s="77"/>
      <c r="E15" s="77"/>
      <c r="F15" s="77"/>
      <c r="G15" s="77"/>
      <c r="H15" s="77"/>
      <c r="I15" s="77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 t="n">
        <f aca="false">SUM(D15:AH15)</f>
        <v>0</v>
      </c>
      <c r="AJ15" s="77"/>
      <c r="AK15" s="77"/>
      <c r="AL15" s="77"/>
      <c r="AM15" s="77"/>
      <c r="AN15" s="77" t="n">
        <f aca="false">C15-AI15+AJ15+AK15+AL15+AM15</f>
        <v>0</v>
      </c>
    </row>
    <row r="16" s="81" customFormat="true" ht="18" hidden="true" customHeight="false" outlineLevel="0" collapsed="false">
      <c r="A16" s="77" t="n">
        <v>10</v>
      </c>
      <c r="B16" s="78" t="s">
        <v>21</v>
      </c>
      <c r="C16" s="79" t="n">
        <v>0</v>
      </c>
      <c r="D16" s="77"/>
      <c r="E16" s="77"/>
      <c r="F16" s="77"/>
      <c r="G16" s="77"/>
      <c r="H16" s="77"/>
      <c r="I16" s="77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 t="n">
        <f aca="false">SUM(D16:AH16)</f>
        <v>0</v>
      </c>
      <c r="AJ16" s="77"/>
      <c r="AK16" s="77"/>
      <c r="AL16" s="77"/>
      <c r="AM16" s="77"/>
      <c r="AN16" s="77" t="n">
        <f aca="false">C16-AI16+AJ16+AK16+AL16+AM16</f>
        <v>0</v>
      </c>
    </row>
    <row r="17" s="81" customFormat="true" ht="18" hidden="true" customHeight="false" outlineLevel="0" collapsed="false">
      <c r="A17" s="77" t="n">
        <v>11</v>
      </c>
      <c r="B17" s="78" t="s">
        <v>22</v>
      </c>
      <c r="C17" s="79" t="n">
        <v>0</v>
      </c>
      <c r="D17" s="77"/>
      <c r="E17" s="77"/>
      <c r="F17" s="77"/>
      <c r="G17" s="77"/>
      <c r="H17" s="77"/>
      <c r="I17" s="77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 t="n">
        <f aca="false">SUM(D17:AH17)</f>
        <v>0</v>
      </c>
      <c r="AJ17" s="77"/>
      <c r="AK17" s="77"/>
      <c r="AL17" s="77"/>
      <c r="AM17" s="77"/>
      <c r="AN17" s="77" t="n">
        <f aca="false">C17-AI17+AJ17+AK17+AL17+AM17</f>
        <v>0</v>
      </c>
    </row>
    <row r="18" s="81" customFormat="true" ht="18" hidden="true" customHeight="false" outlineLevel="0" collapsed="false">
      <c r="A18" s="77" t="n">
        <v>12</v>
      </c>
      <c r="B18" s="78" t="s">
        <v>23</v>
      </c>
      <c r="C18" s="79" t="n">
        <v>0</v>
      </c>
      <c r="D18" s="77"/>
      <c r="E18" s="77"/>
      <c r="F18" s="77"/>
      <c r="G18" s="77"/>
      <c r="H18" s="77"/>
      <c r="I18" s="77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 t="n">
        <f aca="false">SUM(D18:AH18)</f>
        <v>0</v>
      </c>
      <c r="AJ18" s="77"/>
      <c r="AK18" s="77"/>
      <c r="AL18" s="77"/>
      <c r="AM18" s="77"/>
      <c r="AN18" s="77" t="n">
        <f aca="false">C18-AI18+AJ18+AK18+AL18+AM18</f>
        <v>0</v>
      </c>
    </row>
    <row r="19" s="81" customFormat="true" ht="18" hidden="true" customHeight="false" outlineLevel="0" collapsed="false">
      <c r="A19" s="77" t="n">
        <v>13</v>
      </c>
      <c r="B19" s="82" t="s">
        <v>24</v>
      </c>
      <c r="C19" s="79" t="n">
        <v>0</v>
      </c>
      <c r="D19" s="77"/>
      <c r="E19" s="77"/>
      <c r="F19" s="77"/>
      <c r="G19" s="77"/>
      <c r="H19" s="77"/>
      <c r="I19" s="77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 t="n">
        <f aca="false">SUM(D19:AH19)</f>
        <v>0</v>
      </c>
      <c r="AJ19" s="77"/>
      <c r="AK19" s="77"/>
      <c r="AL19" s="77"/>
      <c r="AM19" s="77"/>
      <c r="AN19" s="77" t="n">
        <f aca="false">C19-AI19+AJ19+AK19+AL19+AM19</f>
        <v>0</v>
      </c>
    </row>
    <row r="20" s="81" customFormat="true" ht="18" hidden="true" customHeight="false" outlineLevel="0" collapsed="false">
      <c r="A20" s="77" t="n">
        <v>14</v>
      </c>
      <c r="B20" s="82" t="s">
        <v>25</v>
      </c>
      <c r="C20" s="79" t="n">
        <v>0</v>
      </c>
      <c r="D20" s="77"/>
      <c r="E20" s="77"/>
      <c r="F20" s="77"/>
      <c r="G20" s="77"/>
      <c r="H20" s="77"/>
      <c r="I20" s="77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 t="n">
        <f aca="false">SUM(D20:AH20)</f>
        <v>0</v>
      </c>
      <c r="AJ20" s="77"/>
      <c r="AK20" s="77"/>
      <c r="AL20" s="77"/>
      <c r="AM20" s="77"/>
      <c r="AN20" s="77" t="n">
        <f aca="false">C20-AI20+AJ20+AK20+AL20+AM20</f>
        <v>0</v>
      </c>
    </row>
    <row r="21" s="81" customFormat="true" ht="18" hidden="true" customHeight="false" outlineLevel="0" collapsed="false">
      <c r="A21" s="77" t="n">
        <v>15</v>
      </c>
      <c r="B21" s="82" t="s">
        <v>26</v>
      </c>
      <c r="C21" s="79" t="n">
        <v>0</v>
      </c>
      <c r="D21" s="77"/>
      <c r="E21" s="77"/>
      <c r="F21" s="77"/>
      <c r="G21" s="77"/>
      <c r="H21" s="77"/>
      <c r="I21" s="77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 t="n">
        <f aca="false">SUM(D21:AH21)</f>
        <v>0</v>
      </c>
      <c r="AJ21" s="77"/>
      <c r="AK21" s="77"/>
      <c r="AL21" s="77"/>
      <c r="AM21" s="77"/>
      <c r="AN21" s="77" t="n">
        <f aca="false">C21-AI21+AJ21+AK21+AL21+AM21</f>
        <v>0</v>
      </c>
    </row>
    <row r="22" s="81" customFormat="true" ht="18" hidden="true" customHeight="false" outlineLevel="0" collapsed="false">
      <c r="A22" s="77" t="n">
        <v>16</v>
      </c>
      <c r="B22" s="82" t="s">
        <v>27</v>
      </c>
      <c r="C22" s="79" t="n">
        <v>0</v>
      </c>
      <c r="D22" s="77"/>
      <c r="E22" s="77"/>
      <c r="F22" s="77"/>
      <c r="G22" s="77"/>
      <c r="H22" s="77"/>
      <c r="I22" s="77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 t="n">
        <f aca="false">SUM(D22:AH22)</f>
        <v>0</v>
      </c>
      <c r="AJ22" s="77"/>
      <c r="AK22" s="77"/>
      <c r="AL22" s="77"/>
      <c r="AM22" s="77"/>
      <c r="AN22" s="77" t="n">
        <f aca="false">C22-AI22+AJ22+AK22+AL22+AM22</f>
        <v>0</v>
      </c>
    </row>
    <row r="23" s="81" customFormat="true" ht="18" hidden="true" customHeight="false" outlineLevel="0" collapsed="false">
      <c r="A23" s="77" t="n">
        <v>17</v>
      </c>
      <c r="B23" s="82" t="s">
        <v>28</v>
      </c>
      <c r="C23" s="79" t="n">
        <v>0</v>
      </c>
      <c r="D23" s="77"/>
      <c r="E23" s="77"/>
      <c r="F23" s="77"/>
      <c r="G23" s="77"/>
      <c r="H23" s="77"/>
      <c r="I23" s="77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 t="n">
        <f aca="false">SUM(D23:AH23)</f>
        <v>0</v>
      </c>
      <c r="AJ23" s="77"/>
      <c r="AK23" s="77"/>
      <c r="AL23" s="77"/>
      <c r="AM23" s="77"/>
      <c r="AN23" s="77" t="n">
        <f aca="false">C23-AI23+AJ23+AK23+AL23+AM23</f>
        <v>0</v>
      </c>
    </row>
    <row r="24" s="81" customFormat="true" ht="18" hidden="true" customHeight="false" outlineLevel="0" collapsed="false">
      <c r="A24" s="77" t="n">
        <v>18</v>
      </c>
      <c r="B24" s="82" t="s">
        <v>29</v>
      </c>
      <c r="C24" s="79" t="n">
        <v>0</v>
      </c>
      <c r="D24" s="77"/>
      <c r="E24" s="77"/>
      <c r="F24" s="77"/>
      <c r="G24" s="77"/>
      <c r="H24" s="77"/>
      <c r="I24" s="77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 t="n">
        <f aca="false">SUM(D24:AH24)</f>
        <v>0</v>
      </c>
      <c r="AJ24" s="77"/>
      <c r="AK24" s="77"/>
      <c r="AL24" s="77"/>
      <c r="AM24" s="77"/>
      <c r="AN24" s="77" t="n">
        <f aca="false">C24-AI24+AJ24+AK24+AL24+AM24</f>
        <v>0</v>
      </c>
    </row>
    <row r="25" s="81" customFormat="true" ht="18" hidden="true" customHeight="false" outlineLevel="0" collapsed="false">
      <c r="A25" s="77" t="n">
        <v>19</v>
      </c>
      <c r="B25" s="78" t="s">
        <v>30</v>
      </c>
      <c r="C25" s="79" t="n">
        <v>0</v>
      </c>
      <c r="D25" s="77"/>
      <c r="E25" s="77"/>
      <c r="F25" s="77"/>
      <c r="G25" s="77"/>
      <c r="H25" s="77"/>
      <c r="I25" s="77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 t="n">
        <f aca="false">SUM(D25:AH25)</f>
        <v>0</v>
      </c>
      <c r="AJ25" s="77"/>
      <c r="AK25" s="77"/>
      <c r="AL25" s="77"/>
      <c r="AM25" s="77"/>
      <c r="AN25" s="77" t="n">
        <f aca="false">C25-AI25+AJ25+AK25+AL25+AM25</f>
        <v>0</v>
      </c>
    </row>
    <row r="26" s="81" customFormat="true" ht="18" hidden="true" customHeight="false" outlineLevel="0" collapsed="false">
      <c r="A26" s="77" t="n">
        <v>20</v>
      </c>
      <c r="B26" s="78" t="s">
        <v>31</v>
      </c>
      <c r="C26" s="79" t="n">
        <v>0</v>
      </c>
      <c r="D26" s="77"/>
      <c r="E26" s="77"/>
      <c r="F26" s="77"/>
      <c r="G26" s="77"/>
      <c r="H26" s="77"/>
      <c r="I26" s="77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 t="n">
        <f aca="false">SUM(D26:AH26)</f>
        <v>0</v>
      </c>
      <c r="AJ26" s="77"/>
      <c r="AK26" s="77"/>
      <c r="AL26" s="77"/>
      <c r="AM26" s="77"/>
      <c r="AN26" s="77" t="n">
        <f aca="false">C26-AI26+AJ26+AK26+AL26+AM26</f>
        <v>0</v>
      </c>
    </row>
    <row r="27" s="81" customFormat="true" ht="18" hidden="true" customHeight="false" outlineLevel="0" collapsed="false">
      <c r="A27" s="77" t="n">
        <v>21</v>
      </c>
      <c r="B27" s="78" t="s">
        <v>32</v>
      </c>
      <c r="C27" s="79" t="n">
        <v>0</v>
      </c>
      <c r="D27" s="77"/>
      <c r="E27" s="77"/>
      <c r="F27" s="77"/>
      <c r="G27" s="77"/>
      <c r="H27" s="77"/>
      <c r="I27" s="77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 t="n">
        <f aca="false">SUM(D27:AH27)</f>
        <v>0</v>
      </c>
      <c r="AJ27" s="77"/>
      <c r="AK27" s="77"/>
      <c r="AL27" s="77"/>
      <c r="AM27" s="77"/>
      <c r="AN27" s="77" t="n">
        <f aca="false">C27-AI27+AJ27+AK27+AL27+AM27</f>
        <v>0</v>
      </c>
    </row>
    <row r="28" s="81" customFormat="true" ht="18" hidden="true" customHeight="false" outlineLevel="0" collapsed="false">
      <c r="A28" s="77" t="n">
        <v>22</v>
      </c>
      <c r="B28" s="78" t="s">
        <v>33</v>
      </c>
      <c r="C28" s="79" t="n">
        <v>0</v>
      </c>
      <c r="D28" s="77"/>
      <c r="E28" s="77"/>
      <c r="F28" s="77"/>
      <c r="G28" s="77"/>
      <c r="H28" s="77"/>
      <c r="I28" s="77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 t="n">
        <f aca="false">SUM(D28:AH28)</f>
        <v>0</v>
      </c>
      <c r="AJ28" s="77"/>
      <c r="AK28" s="77"/>
      <c r="AL28" s="77"/>
      <c r="AM28" s="77"/>
      <c r="AN28" s="77" t="n">
        <f aca="false">C28-AI28+AJ28+AK28+AL28+AM28</f>
        <v>0</v>
      </c>
    </row>
    <row r="29" s="81" customFormat="true" ht="18" hidden="true" customHeight="false" outlineLevel="0" collapsed="false">
      <c r="A29" s="77" t="n">
        <v>23</v>
      </c>
      <c r="B29" s="82" t="s">
        <v>114</v>
      </c>
      <c r="C29" s="79" t="n">
        <v>0</v>
      </c>
      <c r="D29" s="77"/>
      <c r="E29" s="77"/>
      <c r="F29" s="77"/>
      <c r="G29" s="77"/>
      <c r="H29" s="77"/>
      <c r="I29" s="77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 t="n">
        <f aca="false">SUM(D29:AH29)</f>
        <v>0</v>
      </c>
      <c r="AJ29" s="77"/>
      <c r="AK29" s="77"/>
      <c r="AL29" s="77"/>
      <c r="AM29" s="77"/>
      <c r="AN29" s="77" t="n">
        <f aca="false">C29-AI29+AJ29+AK29+AL29+AM29</f>
        <v>0</v>
      </c>
    </row>
    <row r="30" s="81" customFormat="true" ht="18" hidden="true" customHeight="false" outlineLevel="0" collapsed="false">
      <c r="A30" s="77" t="n">
        <v>24</v>
      </c>
      <c r="B30" s="82" t="s">
        <v>35</v>
      </c>
      <c r="C30" s="79" t="n">
        <v>0</v>
      </c>
      <c r="D30" s="77"/>
      <c r="E30" s="77"/>
      <c r="F30" s="77"/>
      <c r="G30" s="77"/>
      <c r="H30" s="77"/>
      <c r="I30" s="77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 t="n">
        <f aca="false">SUM(D30:AH30)</f>
        <v>0</v>
      </c>
      <c r="AJ30" s="77"/>
      <c r="AK30" s="77"/>
      <c r="AL30" s="77"/>
      <c r="AM30" s="77"/>
      <c r="AN30" s="77" t="n">
        <f aca="false">C30-AI30+AJ30+AK30+AL30+AM30</f>
        <v>0</v>
      </c>
    </row>
    <row r="31" s="55" customFormat="true" ht="18" hidden="true" customHeight="false" outlineLevel="0" collapsed="false">
      <c r="A31" s="77" t="n">
        <v>25</v>
      </c>
      <c r="B31" s="82" t="s">
        <v>36</v>
      </c>
      <c r="C31" s="79" t="n">
        <v>0</v>
      </c>
      <c r="D31" s="77"/>
      <c r="E31" s="77"/>
      <c r="F31" s="77"/>
      <c r="G31" s="77"/>
      <c r="H31" s="77"/>
      <c r="I31" s="77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 t="n">
        <f aca="false">SUM(D31:AH31)</f>
        <v>0</v>
      </c>
      <c r="AJ31" s="77"/>
      <c r="AK31" s="77"/>
      <c r="AL31" s="77"/>
      <c r="AM31" s="77"/>
      <c r="AN31" s="77" t="n">
        <f aca="false">C31-AI31+AJ31+AK31+AL31+AM31</f>
        <v>0</v>
      </c>
    </row>
    <row r="32" s="55" customFormat="true" ht="18" hidden="true" customHeight="false" outlineLevel="0" collapsed="false">
      <c r="A32" s="77" t="n">
        <v>26</v>
      </c>
      <c r="B32" s="82" t="s">
        <v>37</v>
      </c>
      <c r="C32" s="79" t="n">
        <v>0</v>
      </c>
      <c r="D32" s="77"/>
      <c r="E32" s="77"/>
      <c r="F32" s="77"/>
      <c r="G32" s="77"/>
      <c r="H32" s="77"/>
      <c r="I32" s="77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 t="n">
        <f aca="false">SUM(D32:AH32)</f>
        <v>0</v>
      </c>
      <c r="AJ32" s="77"/>
      <c r="AK32" s="77"/>
      <c r="AL32" s="77"/>
      <c r="AM32" s="77"/>
      <c r="AN32" s="77" t="n">
        <f aca="false">C32-AI32+AJ32+AK32+AL32+AM32</f>
        <v>0</v>
      </c>
    </row>
    <row r="33" customFormat="false" ht="18" hidden="false" customHeight="false" outlineLevel="0" collapsed="false">
      <c r="A33" s="18" t="n">
        <v>27</v>
      </c>
      <c r="B33" s="21" t="s">
        <v>38</v>
      </c>
      <c r="C33" s="73" t="n">
        <v>30</v>
      </c>
      <c r="D33" s="18"/>
      <c r="E33" s="18"/>
      <c r="F33" s="18"/>
      <c r="G33" s="18"/>
      <c r="H33" s="18"/>
      <c r="I33" s="18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 t="n">
        <f aca="false">SUM(D33:AH33)</f>
        <v>0</v>
      </c>
      <c r="AJ33" s="18"/>
      <c r="AK33" s="18"/>
      <c r="AL33" s="18"/>
      <c r="AM33" s="18"/>
      <c r="AN33" s="18" t="n">
        <f aca="false">C33-AI33+AJ33+AK33+AL33+AM33</f>
        <v>30</v>
      </c>
    </row>
    <row r="34" customFormat="false" ht="18" hidden="false" customHeight="false" outlineLevel="0" collapsed="false">
      <c r="A34" s="18" t="n">
        <v>28</v>
      </c>
      <c r="B34" s="21" t="s">
        <v>39</v>
      </c>
      <c r="C34" s="73" t="n">
        <v>36</v>
      </c>
      <c r="D34" s="18"/>
      <c r="E34" s="18"/>
      <c r="F34" s="18"/>
      <c r="G34" s="18"/>
      <c r="H34" s="18"/>
      <c r="I34" s="18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 t="n">
        <f aca="false">SUM(D34:AH34)</f>
        <v>0</v>
      </c>
      <c r="AJ34" s="18"/>
      <c r="AK34" s="18"/>
      <c r="AL34" s="18"/>
      <c r="AM34" s="18"/>
      <c r="AN34" s="18" t="n">
        <f aca="false">C34-AI34+AJ34+AK34+AL34+AM34</f>
        <v>36</v>
      </c>
    </row>
    <row r="35" customFormat="false" ht="18" hidden="false" customHeight="false" outlineLevel="0" collapsed="false">
      <c r="A35" s="18" t="n">
        <v>29</v>
      </c>
      <c r="B35" s="21" t="s">
        <v>40</v>
      </c>
      <c r="C35" s="73" t="n">
        <v>34</v>
      </c>
      <c r="D35" s="18"/>
      <c r="E35" s="18"/>
      <c r="F35" s="18"/>
      <c r="G35" s="18"/>
      <c r="H35" s="18"/>
      <c r="I35" s="18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 t="n">
        <f aca="false">SUM(D35:AH35)</f>
        <v>0</v>
      </c>
      <c r="AJ35" s="18"/>
      <c r="AK35" s="18"/>
      <c r="AL35" s="18"/>
      <c r="AM35" s="18"/>
      <c r="AN35" s="18" t="n">
        <f aca="false">C35-AI35+AJ35+AK35+AL35+AM35</f>
        <v>34</v>
      </c>
    </row>
    <row r="36" customFormat="false" ht="18" hidden="false" customHeight="false" outlineLevel="0" collapsed="false">
      <c r="A36" s="18" t="n">
        <v>30</v>
      </c>
      <c r="B36" s="21" t="s">
        <v>41</v>
      </c>
      <c r="C36" s="73" t="n">
        <v>37</v>
      </c>
      <c r="D36" s="18"/>
      <c r="E36" s="18"/>
      <c r="F36" s="18"/>
      <c r="G36" s="18"/>
      <c r="H36" s="18"/>
      <c r="I36" s="18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 t="n">
        <f aca="false">SUM(D36:AH36)</f>
        <v>0</v>
      </c>
      <c r="AJ36" s="18"/>
      <c r="AK36" s="18"/>
      <c r="AL36" s="18"/>
      <c r="AM36" s="18"/>
      <c r="AN36" s="18" t="n">
        <f aca="false">C36-AI36+AJ36+AK36+AL36+AM36</f>
        <v>37</v>
      </c>
    </row>
    <row r="37" customFormat="false" ht="18" hidden="false" customHeight="false" outlineLevel="0" collapsed="false">
      <c r="A37" s="18" t="n">
        <v>31</v>
      </c>
      <c r="B37" s="14" t="s">
        <v>42</v>
      </c>
      <c r="C37" s="73" t="n">
        <v>68</v>
      </c>
      <c r="D37" s="18"/>
      <c r="E37" s="18"/>
      <c r="F37" s="18"/>
      <c r="G37" s="18"/>
      <c r="H37" s="18"/>
      <c r="I37" s="18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 t="n">
        <f aca="false">SUM(D37:AH37)</f>
        <v>0</v>
      </c>
      <c r="AJ37" s="18"/>
      <c r="AK37" s="18"/>
      <c r="AL37" s="18"/>
      <c r="AM37" s="18"/>
      <c r="AN37" s="18" t="n">
        <f aca="false">C37-AI37+AJ37+AK37+AL37+AM37</f>
        <v>68</v>
      </c>
    </row>
    <row r="38" customFormat="false" ht="18" hidden="false" customHeight="false" outlineLevel="0" collapsed="false">
      <c r="A38" s="18" t="n">
        <v>32</v>
      </c>
      <c r="B38" s="14" t="s">
        <v>43</v>
      </c>
      <c r="C38" s="73" t="n">
        <v>45</v>
      </c>
      <c r="D38" s="18"/>
      <c r="E38" s="18"/>
      <c r="F38" s="18"/>
      <c r="G38" s="18"/>
      <c r="H38" s="18"/>
      <c r="I38" s="18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 t="n">
        <f aca="false">SUM(D38:AH38)</f>
        <v>0</v>
      </c>
      <c r="AJ38" s="18"/>
      <c r="AK38" s="18"/>
      <c r="AL38" s="18"/>
      <c r="AM38" s="18"/>
      <c r="AN38" s="18" t="n">
        <f aca="false">C38-AI38+AJ38+AK38+AL38+AM38</f>
        <v>45</v>
      </c>
    </row>
    <row r="39" customFormat="false" ht="18" hidden="false" customHeight="false" outlineLevel="0" collapsed="false">
      <c r="A39" s="18" t="n">
        <v>33</v>
      </c>
      <c r="B39" s="14" t="s">
        <v>44</v>
      </c>
      <c r="C39" s="73" t="n">
        <v>44</v>
      </c>
      <c r="D39" s="18"/>
      <c r="E39" s="18"/>
      <c r="F39" s="18"/>
      <c r="G39" s="18"/>
      <c r="H39" s="18"/>
      <c r="I39" s="18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 t="n">
        <f aca="false">SUM(D39:AH39)</f>
        <v>0</v>
      </c>
      <c r="AJ39" s="18"/>
      <c r="AK39" s="18"/>
      <c r="AL39" s="18"/>
      <c r="AM39" s="18"/>
      <c r="AN39" s="18" t="n">
        <f aca="false">C39-AI39+AJ39+AK39+AL39+AM39</f>
        <v>44</v>
      </c>
    </row>
    <row r="40" customFormat="false" ht="18" hidden="false" customHeight="false" outlineLevel="0" collapsed="false">
      <c r="A40" s="18" t="n">
        <v>34</v>
      </c>
      <c r="B40" s="14" t="s">
        <v>45</v>
      </c>
      <c r="C40" s="73" t="n">
        <v>32</v>
      </c>
      <c r="D40" s="18"/>
      <c r="E40" s="18"/>
      <c r="F40" s="18"/>
      <c r="G40" s="18"/>
      <c r="H40" s="18"/>
      <c r="I40" s="1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 t="n">
        <f aca="false">SUM(D40:AH40)</f>
        <v>0</v>
      </c>
      <c r="AJ40" s="18"/>
      <c r="AK40" s="18"/>
      <c r="AL40" s="18"/>
      <c r="AM40" s="18"/>
      <c r="AN40" s="18" t="n">
        <f aca="false">C40-AI40+AJ40+AK40+AL40+AM40</f>
        <v>32</v>
      </c>
    </row>
    <row r="41" s="55" customFormat="true" ht="18" hidden="true" customHeight="false" outlineLevel="0" collapsed="false">
      <c r="A41" s="77" t="n">
        <v>35</v>
      </c>
      <c r="B41" s="82" t="s">
        <v>46</v>
      </c>
      <c r="C41" s="79" t="n">
        <v>0</v>
      </c>
      <c r="D41" s="77"/>
      <c r="E41" s="77"/>
      <c r="F41" s="77"/>
      <c r="G41" s="77"/>
      <c r="H41" s="77"/>
      <c r="I41" s="77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 t="n">
        <f aca="false">SUM(D41:AH41)</f>
        <v>0</v>
      </c>
      <c r="AJ41" s="77"/>
      <c r="AK41" s="77"/>
      <c r="AL41" s="77"/>
      <c r="AM41" s="77"/>
      <c r="AN41" s="77" t="n">
        <f aca="false">C41-AI41+AJ41+AK41+AL41+AM41</f>
        <v>0</v>
      </c>
    </row>
    <row r="42" s="55" customFormat="true" ht="18" hidden="true" customHeight="false" outlineLevel="0" collapsed="false">
      <c r="A42" s="77" t="n">
        <v>36</v>
      </c>
      <c r="B42" s="82" t="s">
        <v>47</v>
      </c>
      <c r="C42" s="79" t="n">
        <v>0</v>
      </c>
      <c r="D42" s="77"/>
      <c r="E42" s="77"/>
      <c r="F42" s="77"/>
      <c r="G42" s="77"/>
      <c r="H42" s="77"/>
      <c r="I42" s="77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 t="n">
        <f aca="false">SUM(D42:AH42)</f>
        <v>0</v>
      </c>
      <c r="AJ42" s="77"/>
      <c r="AK42" s="77"/>
      <c r="AL42" s="77"/>
      <c r="AM42" s="77"/>
      <c r="AN42" s="77" t="n">
        <f aca="false">C42-AI42+AJ42+AK42+AL42+AM42</f>
        <v>0</v>
      </c>
    </row>
    <row r="43" s="55" customFormat="true" ht="18" hidden="true" customHeight="false" outlineLevel="0" collapsed="false">
      <c r="A43" s="77" t="n">
        <v>37</v>
      </c>
      <c r="B43" s="82" t="s">
        <v>48</v>
      </c>
      <c r="C43" s="79" t="n">
        <v>0</v>
      </c>
      <c r="D43" s="77"/>
      <c r="E43" s="77"/>
      <c r="F43" s="77"/>
      <c r="G43" s="77"/>
      <c r="H43" s="77"/>
      <c r="I43" s="77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 t="n">
        <f aca="false">SUM(D43:AH43)</f>
        <v>0</v>
      </c>
      <c r="AJ43" s="77"/>
      <c r="AK43" s="77"/>
      <c r="AL43" s="77"/>
      <c r="AM43" s="77"/>
      <c r="AN43" s="77" t="n">
        <f aca="false">C43-AI43+AJ43+AK43+AL43+AM43</f>
        <v>0</v>
      </c>
    </row>
    <row r="44" s="55" customFormat="true" ht="18" hidden="true" customHeight="false" outlineLevel="0" collapsed="false">
      <c r="A44" s="77" t="n">
        <v>38</v>
      </c>
      <c r="B44" s="82" t="s">
        <v>49</v>
      </c>
      <c r="C44" s="79" t="n">
        <v>0</v>
      </c>
      <c r="D44" s="77"/>
      <c r="E44" s="77"/>
      <c r="F44" s="77"/>
      <c r="G44" s="77"/>
      <c r="H44" s="77"/>
      <c r="I44" s="77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 t="n">
        <f aca="false">SUM(D44:AH44)</f>
        <v>0</v>
      </c>
      <c r="AJ44" s="77"/>
      <c r="AK44" s="77"/>
      <c r="AL44" s="77"/>
      <c r="AM44" s="77"/>
      <c r="AN44" s="77" t="n">
        <f aca="false">C44-AI44+AJ44+AK44+AL44+AM44</f>
        <v>0</v>
      </c>
    </row>
    <row r="45" customFormat="false" ht="18" hidden="false" customHeight="false" outlineLevel="0" collapsed="false">
      <c r="A45" s="18" t="n">
        <v>39</v>
      </c>
      <c r="B45" s="14" t="s">
        <v>50</v>
      </c>
      <c r="C45" s="73" t="n">
        <v>1</v>
      </c>
      <c r="D45" s="18"/>
      <c r="E45" s="18"/>
      <c r="F45" s="18"/>
      <c r="G45" s="18"/>
      <c r="H45" s="18"/>
      <c r="I45" s="18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 t="n">
        <f aca="false">SUM(D45:AH45)</f>
        <v>0</v>
      </c>
      <c r="AJ45" s="18"/>
      <c r="AK45" s="18"/>
      <c r="AL45" s="18"/>
      <c r="AM45" s="18"/>
      <c r="AN45" s="18" t="n">
        <f aca="false">C45-AI45+AJ45+AK45+AL45+AM45</f>
        <v>1</v>
      </c>
    </row>
    <row r="46" customFormat="false" ht="18" hidden="false" customHeight="false" outlineLevel="0" collapsed="false">
      <c r="A46" s="18" t="n">
        <v>40</v>
      </c>
      <c r="B46" s="14" t="s">
        <v>51</v>
      </c>
      <c r="C46" s="73"/>
      <c r="D46" s="18"/>
      <c r="E46" s="18"/>
      <c r="F46" s="18"/>
      <c r="G46" s="18"/>
      <c r="H46" s="18"/>
      <c r="I46" s="18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 t="n">
        <f aca="false">SUM(D46:AH46)</f>
        <v>0</v>
      </c>
      <c r="AJ46" s="18"/>
      <c r="AK46" s="18"/>
      <c r="AL46" s="18"/>
      <c r="AM46" s="18"/>
      <c r="AN46" s="18" t="n">
        <f aca="false">C46-AI46+AJ46+AK46+AL46+AM46</f>
        <v>0</v>
      </c>
    </row>
    <row r="47" s="55" customFormat="true" ht="18" hidden="true" customHeight="false" outlineLevel="0" collapsed="false">
      <c r="A47" s="77" t="n">
        <v>41</v>
      </c>
      <c r="B47" s="82" t="s">
        <v>52</v>
      </c>
      <c r="C47" s="79" t="n">
        <v>0</v>
      </c>
      <c r="D47" s="77"/>
      <c r="E47" s="77"/>
      <c r="F47" s="77"/>
      <c r="G47" s="77"/>
      <c r="H47" s="77"/>
      <c r="I47" s="77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 t="n">
        <f aca="false">SUM(D47:AH47)</f>
        <v>0</v>
      </c>
      <c r="AJ47" s="77"/>
      <c r="AK47" s="77"/>
      <c r="AL47" s="77"/>
      <c r="AM47" s="77"/>
      <c r="AN47" s="77" t="n">
        <f aca="false">C47-AI47+AJ47+AK47+AL47+AM47</f>
        <v>0</v>
      </c>
    </row>
    <row r="48" customFormat="false" ht="18" hidden="false" customHeight="false" outlineLevel="0" collapsed="false">
      <c r="A48" s="18" t="n">
        <v>42</v>
      </c>
      <c r="B48" s="14" t="s">
        <v>53</v>
      </c>
      <c r="C48" s="73" t="n">
        <v>5</v>
      </c>
      <c r="D48" s="18"/>
      <c r="E48" s="18"/>
      <c r="F48" s="18"/>
      <c r="G48" s="18"/>
      <c r="H48" s="18"/>
      <c r="I48" s="18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 t="n">
        <f aca="false">SUM(D48:AH48)</f>
        <v>0</v>
      </c>
      <c r="AJ48" s="18"/>
      <c r="AK48" s="18"/>
      <c r="AL48" s="18"/>
      <c r="AM48" s="18"/>
      <c r="AN48" s="18" t="n">
        <f aca="false">C48-AI48+AJ48+AK48+AL48+AM48</f>
        <v>5</v>
      </c>
    </row>
    <row r="49" customFormat="false" ht="18" hidden="false" customHeight="false" outlineLevel="0" collapsed="false">
      <c r="A49" s="18" t="n">
        <v>43</v>
      </c>
      <c r="B49" s="14" t="s">
        <v>54</v>
      </c>
      <c r="C49" s="73" t="n">
        <v>18</v>
      </c>
      <c r="D49" s="18"/>
      <c r="E49" s="18"/>
      <c r="F49" s="18"/>
      <c r="G49" s="18"/>
      <c r="H49" s="18"/>
      <c r="I49" s="18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 t="n">
        <f aca="false">SUM(D49:AH49)</f>
        <v>0</v>
      </c>
      <c r="AJ49" s="18"/>
      <c r="AK49" s="18"/>
      <c r="AL49" s="18"/>
      <c r="AM49" s="18"/>
      <c r="AN49" s="18" t="n">
        <f aca="false">C49-AI49+AJ49+AK49+AL49+AM49</f>
        <v>18</v>
      </c>
    </row>
    <row r="50" s="55" customFormat="true" ht="18" hidden="true" customHeight="false" outlineLevel="0" collapsed="false">
      <c r="A50" s="77" t="n">
        <v>44</v>
      </c>
      <c r="B50" s="82" t="s">
        <v>55</v>
      </c>
      <c r="C50" s="79" t="n">
        <v>0</v>
      </c>
      <c r="D50" s="77"/>
      <c r="E50" s="77"/>
      <c r="F50" s="77"/>
      <c r="G50" s="77"/>
      <c r="H50" s="77"/>
      <c r="I50" s="77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 t="n">
        <f aca="false">SUM(D50:AH50)</f>
        <v>0</v>
      </c>
      <c r="AJ50" s="77"/>
      <c r="AK50" s="77"/>
      <c r="AL50" s="77"/>
      <c r="AM50" s="77"/>
      <c r="AN50" s="77" t="n">
        <f aca="false">C50-AI50+AJ50+AK50+AL50+AM50</f>
        <v>0</v>
      </c>
    </row>
    <row r="51" s="55" customFormat="true" ht="18" hidden="true" customHeight="false" outlineLevel="0" collapsed="false">
      <c r="A51" s="77" t="n">
        <v>45</v>
      </c>
      <c r="B51" s="82" t="s">
        <v>58</v>
      </c>
      <c r="C51" s="79" t="n">
        <v>0</v>
      </c>
      <c r="D51" s="77"/>
      <c r="E51" s="77"/>
      <c r="F51" s="77"/>
      <c r="G51" s="77"/>
      <c r="H51" s="77"/>
      <c r="I51" s="77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 t="n">
        <f aca="false">SUM(D51:AH51)</f>
        <v>0</v>
      </c>
      <c r="AJ51" s="77"/>
      <c r="AK51" s="77"/>
      <c r="AL51" s="77"/>
      <c r="AM51" s="77"/>
      <c r="AN51" s="77" t="n">
        <f aca="false">C51-AI51+AJ51+AK51+AL51+AM51</f>
        <v>0</v>
      </c>
    </row>
    <row r="52" s="55" customFormat="true" ht="18" hidden="true" customHeight="false" outlineLevel="0" collapsed="false">
      <c r="A52" s="77" t="n">
        <v>46</v>
      </c>
      <c r="B52" s="82" t="s">
        <v>59</v>
      </c>
      <c r="C52" s="79" t="n">
        <v>0</v>
      </c>
      <c r="D52" s="77"/>
      <c r="E52" s="77"/>
      <c r="F52" s="77"/>
      <c r="G52" s="77"/>
      <c r="H52" s="77"/>
      <c r="I52" s="77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 t="n">
        <f aca="false">SUM(D52:AH52)</f>
        <v>0</v>
      </c>
      <c r="AJ52" s="77"/>
      <c r="AK52" s="77"/>
      <c r="AL52" s="77"/>
      <c r="AM52" s="77"/>
      <c r="AN52" s="77" t="n">
        <f aca="false">C52-AI52+AJ52+AK52+AL52+AM52</f>
        <v>0</v>
      </c>
    </row>
  </sheetData>
  <autoFilter ref="A5:AN52">
    <filterColumn colId="39">
      <filters>
        <filter val="13"/>
        <filter val="2"/>
        <filter val="3"/>
        <filter val="36"/>
        <filter val="37"/>
        <filter val="389"/>
        <filter val="4"/>
        <filter val="42"/>
        <filter val="46"/>
        <filter val="53"/>
        <filter val="54"/>
        <filter val="62"/>
      </filters>
    </filterColumn>
  </autoFilter>
  <mergeCells count="41">
    <mergeCell ref="B2:AQ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2024-04-08T09:52:14Z</dcterms:created>
  <dc:creator>ADMIN</dc:creator>
  <dc:description/>
  <dc:language>en-US</dc:language>
  <cp:lastModifiedBy>ADMIN</cp:lastModifiedBy>
  <cp:lastPrinted>2026-07-19T03:00:18Z</cp:lastPrinted>
  <dcterms:modified xsi:type="dcterms:W3CDTF">2026-10-10T07:01:04Z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