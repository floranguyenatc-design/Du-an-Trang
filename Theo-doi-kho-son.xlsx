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" sheetId="1" state="visible" r:id="rId3"/>
    <sheet name="TỒN KHO" sheetId="2" state="visible" r:id="rId4"/>
    <sheet name="NXT THÁNG" sheetId="3" state="visible" r:id="rId5"/>
    <sheet name="XUẤT KHO" sheetId="4" state="visible" r:id="rId6"/>
    <sheet name="NHẬP KHO" sheetId="5" state="visible" r:id="rId7"/>
    <sheet name="THEO THÁNG" sheetId="6" state="visible" r:id="rId8"/>
    <sheet name="TỒN ĐẦU KỲ" sheetId="7" state="visible" r:id="rId9"/>
    <sheet name="DANH MỤC" sheetId="8" state="visible" r:id="rId10"/>
    <sheet name="KIỂM TRA DỮ LIỆU" sheetId="9" state="visible" r:id="rId11"/>
    <sheet name="HƯỚNG DẪN" sheetId="10" state="visible" r:id="rId12"/>
  </sheets>
  <definedNames>
    <definedName function="false" hidden="true" localSheetId="2" name="_xlnm._FilterDatabase" vbProcedure="false">'NXT THÁNG'!$A$7:$L$73</definedName>
    <definedName function="false" hidden="true" localSheetId="1" name="_xlnm._FilterDatabase" vbProcedure="false">'TỒN KHO'!$A$10:$P$76</definedName>
    <definedName function="false" hidden="true" localSheetId="3" name="_xlnm._FilterDatabase" vbProcedure="false">'XUẤT KHO'!$A$4:$L$2004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<sst xmlns="http://schemas.openxmlformats.org/spreadsheetml/2006/main" count="1771" uniqueCount="681">
  <si>
    <t xml:space="preserve">THEO DÕI KHO SƠN</t>
  </si>
  <si>
    <t xml:space="preserve">TỔNG TỒN (thùng/lon/bao)</t>
  </si>
  <si>
    <t xml:space="preserve">GIÁ TRỊ TỒN (theo giá KN)</t>
  </si>
  <si>
    <t xml:space="preserve">MÃ HẾT HÀNG</t>
  </si>
  <si>
    <t xml:space="preserve">MÃ SẮP HẾT</t>
  </si>
  <si>
    <t xml:space="preserve">MÃ ÂM KHO (cần kiểm)</t>
  </si>
  <si>
    <t xml:space="preserve">▶ CẦN ĐẶT HÀNG NGAY (hết hàng / sắp hết – xếp theo mức khẩn cấp)</t>
  </si>
  <si>
    <t xml:space="preserve">#</t>
  </si>
  <si>
    <t xml:space="preserve">Mã SP</t>
  </si>
  <si>
    <t xml:space="preserve">Dung tích</t>
  </si>
  <si>
    <t xml:space="preserve">Tên sản phẩm</t>
  </si>
  <si>
    <t xml:space="preserve">Tồn</t>
  </si>
  <si>
    <t xml:space="preserve">Bán TB/ngày</t>
  </si>
  <si>
    <t xml:space="preserve">Đủ bán (ngày)</t>
  </si>
  <si>
    <t xml:space="preserve">Gợi ý đặt thêm</t>
  </si>
  <si>
    <t xml:space="preserve">Trạng thái</t>
  </si>
  <si>
    <t xml:space="preserve">(hỗ trợ)</t>
  </si>
  <si>
    <t xml:space="preserve">▶ BÁN CHẠY NHẤT (theo số ngày tính tốc độ bán ở sheet TỒN KHO)</t>
  </si>
  <si>
    <t xml:space="preserve">Đã bán</t>
  </si>
  <si>
    <t xml:space="preserve">Tồn hiện tại</t>
  </si>
  <si>
    <t xml:space="preserve">▶ TỒN THEO NHÓM HÀNG</t>
  </si>
  <si>
    <t xml:space="preserve">Nhóm</t>
  </si>
  <si>
    <t xml:space="preserve">Tồn (số lượng)</t>
  </si>
  <si>
    <t xml:space="preserve">Giá trị tồn (VNĐ)</t>
  </si>
  <si>
    <t xml:space="preserve">Số mã hết / sắp hết</t>
  </si>
  <si>
    <t xml:space="preserve">Sơn lót</t>
  </si>
  <si>
    <t xml:space="preserve">Nội thất</t>
  </si>
  <si>
    <t xml:space="preserve">Ngoại thất</t>
  </si>
  <si>
    <t xml:space="preserve">Chống thấm</t>
  </si>
  <si>
    <t xml:space="preserve">Bột bả</t>
  </si>
  <si>
    <t xml:space="preserve">TỒN KHO – NHẬP / XUẤT / TỒN</t>
  </si>
  <si>
    <t xml:space="preserve">Tồn hiện tại = Tồn đầu kỳ + Nhập − Xuất (chỉ tính phiếu SAU ngày chốt tồn đầu kỳ). Các ô vàng là thông số chị có thể đổi.</t>
  </si>
  <si>
    <t xml:space="preserve">Ngày chốt báo cáo (tự lấy ngày phiếu mới nhất, có thể gõ đè)</t>
  </si>
  <si>
    <t xml:space="preserve">Tồn đầu kỳ tính đến hết ngày</t>
  </si>
  <si>
    <t xml:space="preserve">Tính tốc độ bán theo (số ngày gần nhất)</t>
  </si>
  <si>
    <t xml:space="preserve">Cảnh báo SẮP HẾT khi đủ bán dưới (ngày)</t>
  </si>
  <si>
    <t xml:space="preserve">Gợi ý đặt hàng để đủ bán (ngày)</t>
  </si>
  <si>
    <t xml:space="preserve">STT</t>
  </si>
  <si>
    <t xml:space="preserve">Giá KN
(VNĐ)</t>
  </si>
  <si>
    <t xml:space="preserve">Tồn đầu kỳ</t>
  </si>
  <si>
    <t xml:space="preserve">Nhập</t>
  </si>
  <si>
    <t xml:space="preserve">Xuất</t>
  </si>
  <si>
    <t xml:space="preserve">TỒN HIỆN TẠI</t>
  </si>
  <si>
    <t xml:space="preserve">Xuất trong
kỳ tính
tốc độ</t>
  </si>
  <si>
    <t xml:space="preserve">Bán TB
/ ngày</t>
  </si>
  <si>
    <t xml:space="preserve">Đủ bán
(ngày)</t>
  </si>
  <si>
    <t xml:space="preserve">Gợi ý
đặt thêm</t>
  </si>
  <si>
    <t xml:space="preserve">Giá trị tồn
(theo giá KN)</t>
  </si>
  <si>
    <t xml:space="preserve">TRẠNG THÁI</t>
  </si>
  <si>
    <t xml:space="preserve">(hỗ trợ
đặt hàng)</t>
  </si>
  <si>
    <t xml:space="preserve">(hỗ trợ
bán chạy)</t>
  </si>
  <si>
    <t xml:space="preserve">PI04</t>
  </si>
  <si>
    <t xml:space="preserve">5L</t>
  </si>
  <si>
    <t xml:space="preserve">18L</t>
  </si>
  <si>
    <t xml:space="preserve">PE02</t>
  </si>
  <si>
    <t xml:space="preserve">SPI03</t>
  </si>
  <si>
    <t xml:space="preserve">SPE01</t>
  </si>
  <si>
    <t xml:space="preserve">IL5</t>
  </si>
  <si>
    <t xml:space="preserve">EL5</t>
  </si>
  <si>
    <t xml:space="preserve">IEW</t>
  </si>
  <si>
    <t xml:space="preserve">ISI</t>
  </si>
  <si>
    <t xml:space="preserve">ISG06</t>
  </si>
  <si>
    <t xml:space="preserve">IG05</t>
  </si>
  <si>
    <t xml:space="preserve">I9</t>
  </si>
  <si>
    <t xml:space="preserve">IDC</t>
  </si>
  <si>
    <t xml:space="preserve">ICL</t>
  </si>
  <si>
    <t xml:space="preserve">1L</t>
  </si>
  <si>
    <t xml:space="preserve">ESI</t>
  </si>
  <si>
    <t xml:space="preserve">ESG10</t>
  </si>
  <si>
    <t xml:space="preserve">EG09</t>
  </si>
  <si>
    <t xml:space="preserve">E9</t>
  </si>
  <si>
    <t xml:space="preserve">CT12</t>
  </si>
  <si>
    <t xml:space="preserve">ETM-309</t>
  </si>
  <si>
    <t xml:space="preserve">ETM-99</t>
  </si>
  <si>
    <t xml:space="preserve">ETM-303</t>
  </si>
  <si>
    <t xml:space="preserve">CTS</t>
  </si>
  <si>
    <t xml:space="preserve">BA-NOI</t>
  </si>
  <si>
    <t xml:space="preserve">Bao</t>
  </si>
  <si>
    <t xml:space="preserve">BA-NGOAI</t>
  </si>
  <si>
    <t xml:space="preserve">TỔNG</t>
  </si>
  <si>
    <t xml:space="preserve">Giá trị tồn tính theo giá khuyến nghị 01/4/2026 (không phải giá vốn). Tồn chỉ trừ phiếu xuất sau ngày chốt đầu kỳ; hàng về thì ghi ở sheet NHẬP KHO.</t>
  </si>
  <si>
    <t xml:space="preserve">Sản phẩm / dung tích mới: nhập Mã SP + Dung tích + Giá ở một trong 20 dòng vàng bên trên (mã phải có trong DANH MỤC). Tên và nhóm tự hiện.</t>
  </si>
  <si>
    <t xml:space="preserve">BÁO CÁO NHẬP – XUẤT – TỒN THEO THÁNG</t>
  </si>
  <si>
    <t xml:space="preserve">Chọn tháng ở 2 ô vàng, bảng tự tính: tồn đầu tháng + nhập − xuất = tồn cuối tháng. Sang tháng mới chị chỉ cần đổi tháng.</t>
  </si>
  <si>
    <t xml:space="preserve">Tháng</t>
  </si>
  <si>
    <t xml:space="preserve">Từ ngày</t>
  </si>
  <si>
    <t xml:space="preserve">Năm</t>
  </si>
  <si>
    <t xml:space="preserve">Đến ngày</t>
  </si>
  <si>
    <t xml:space="preserve">Tên hàng hoá</t>
  </si>
  <si>
    <t xml:space="preserve">TỒN ĐẦU THÁNG</t>
  </si>
  <si>
    <t xml:space="preserve">Nhập trong tháng</t>
  </si>
  <si>
    <t xml:space="preserve">Xuất trong tháng</t>
  </si>
  <si>
    <t xml:space="preserve">TỒN CUỐI THÁNG</t>
  </si>
  <si>
    <t xml:space="preserve">Giá trị tồn cuối tháng</t>
  </si>
  <si>
    <t xml:space="preserve">Doanh thu xuất
(VNĐ)</t>
  </si>
  <si>
    <t xml:space="preserve">NHẬT KÝ XUẤT KHO</t>
  </si>
  <si>
    <t xml:space="preserve">Mỗi dòng = một mặt hàng bán ra. Thêm dòng mới ngay dưới dòng cuối. Cột xám (Tháng, Thành tiền) tự tính.</t>
  </si>
  <si>
    <t xml:space="preserve">Ngày</t>
  </si>
  <si>
    <t xml:space="preserve">Số lượng</t>
  </si>
  <si>
    <t xml:space="preserve">Đơn giá (VNĐ)</t>
  </si>
  <si>
    <t xml:space="preserve">Hệ số
(màu * / **)</t>
  </si>
  <si>
    <t xml:space="preserve">Thành tiền (VNĐ)</t>
  </si>
  <si>
    <t xml:space="preserve">Tên hàng hoá (tự hiện)</t>
  </si>
  <si>
    <t xml:space="preserve">Mã màu / Ghi chú</t>
  </si>
  <si>
    <t xml:space="preserve">Nguồn (sheet gốc)</t>
  </si>
  <si>
    <t xml:space="preserve">Kiểm tra / lưu ý</t>
  </si>
  <si>
    <t xml:space="preserve">332</t>
  </si>
  <si>
    <t xml:space="preserve">XK T6 d.98</t>
  </si>
  <si>
    <t xml:space="preserve">134</t>
  </si>
  <si>
    <t xml:space="preserve">XK T6 d.99</t>
  </si>
  <si>
    <t xml:space="preserve">trắng trần</t>
  </si>
  <si>
    <t xml:space="preserve">XK T6 d.100</t>
  </si>
  <si>
    <t xml:space="preserve">0.16</t>
  </si>
  <si>
    <t xml:space="preserve">XK T6 d.101</t>
  </si>
  <si>
    <t xml:space="preserve">0.67</t>
  </si>
  <si>
    <t xml:space="preserve">XK T6 d.102</t>
  </si>
  <si>
    <t xml:space="preserve">209-b3 (**)</t>
  </si>
  <si>
    <t xml:space="preserve">XK T6 d.103</t>
  </si>
  <si>
    <t xml:space="preserve">XK T6 d.111</t>
  </si>
  <si>
    <t xml:space="preserve">XK T6 d.112</t>
  </si>
  <si>
    <t xml:space="preserve">XK T6 d.113</t>
  </si>
  <si>
    <t xml:space="preserve">360</t>
  </si>
  <si>
    <t xml:space="preserve">XK T6 d.134</t>
  </si>
  <si>
    <t xml:space="preserve">XK T6 d.135</t>
  </si>
  <si>
    <t xml:space="preserve">069B2 (*)</t>
  </si>
  <si>
    <t xml:space="preserve">XK T6 d.136</t>
  </si>
  <si>
    <t xml:space="preserve">T Sứ</t>
  </si>
  <si>
    <t xml:space="preserve">XK T6 d.137</t>
  </si>
  <si>
    <t xml:space="preserve">XK T6 d.75</t>
  </si>
  <si>
    <t xml:space="preserve">XK T6 d.76</t>
  </si>
  <si>
    <t xml:space="preserve">XK T6 d.77</t>
  </si>
  <si>
    <t xml:space="preserve">333</t>
  </si>
  <si>
    <t xml:space="preserve">XK T6 d.78</t>
  </si>
  <si>
    <t xml:space="preserve">B1</t>
  </si>
  <si>
    <t xml:space="preserve">XK T6 d.79</t>
  </si>
  <si>
    <t xml:space="preserve">343</t>
  </si>
  <si>
    <t xml:space="preserve">XK T6 d.80</t>
  </si>
  <si>
    <t xml:space="preserve">069- B2</t>
  </si>
  <si>
    <t xml:space="preserve">XK T6 d.81</t>
  </si>
  <si>
    <t xml:space="preserve">350</t>
  </si>
  <si>
    <t xml:space="preserve">XK T6 d.82</t>
  </si>
  <si>
    <t xml:space="preserve">216-B4 (*)</t>
  </si>
  <si>
    <t xml:space="preserve">XK T6 d.83</t>
  </si>
  <si>
    <t xml:space="preserve">XK T6 d.114</t>
  </si>
  <si>
    <t xml:space="preserve">XK T6 d.138</t>
  </si>
  <si>
    <t xml:space="preserve">XK T6 d.84</t>
  </si>
  <si>
    <t xml:space="preserve">XK T6 d.85</t>
  </si>
  <si>
    <t xml:space="preserve">350-b1</t>
  </si>
  <si>
    <t xml:space="preserve">XK T6 d.86</t>
  </si>
  <si>
    <t xml:space="preserve">309</t>
  </si>
  <si>
    <t xml:space="preserve">XK T6 d.115</t>
  </si>
  <si>
    <t xml:space="preserve">XK T6 d.104</t>
  </si>
  <si>
    <t xml:space="preserve">XK T6 d.105</t>
  </si>
  <si>
    <t xml:space="preserve">XK T6 d.116</t>
  </si>
  <si>
    <t xml:space="preserve">XK T6 d.43</t>
  </si>
  <si>
    <t xml:space="preserve">XK T6 d.44</t>
  </si>
  <si>
    <t xml:space="preserve">XK T6 d.45</t>
  </si>
  <si>
    <t xml:space="preserve">XK T6 d.46</t>
  </si>
  <si>
    <t xml:space="preserve">T.sứ</t>
  </si>
  <si>
    <t xml:space="preserve">XK T6 d.47</t>
  </si>
  <si>
    <t xml:space="preserve">XK T6 d.48</t>
  </si>
  <si>
    <t xml:space="preserve">XK T6 d.49</t>
  </si>
  <si>
    <t xml:space="preserve">T SỨ</t>
  </si>
  <si>
    <t xml:space="preserve">XK T6 d.50</t>
  </si>
  <si>
    <t xml:space="preserve">XK T6 d.87</t>
  </si>
  <si>
    <t xml:space="preserve">XK T6 d.88</t>
  </si>
  <si>
    <t xml:space="preserve">243</t>
  </si>
  <si>
    <t xml:space="preserve">XK T6 d.106</t>
  </si>
  <si>
    <t xml:space="preserve">119</t>
  </si>
  <si>
    <t xml:space="preserve">XK T6 d.107</t>
  </si>
  <si>
    <t xml:space="preserve">XK T6 d.89</t>
  </si>
  <si>
    <t xml:space="preserve">XK T6 d.117</t>
  </si>
  <si>
    <t xml:space="preserve">BASE</t>
  </si>
  <si>
    <t xml:space="preserve">XK T6 d.118</t>
  </si>
  <si>
    <t xml:space="preserve">XK T6 d.119</t>
  </si>
  <si>
    <t xml:space="preserve">338</t>
  </si>
  <si>
    <t xml:space="preserve">XK T6 d.120</t>
  </si>
  <si>
    <t xml:space="preserve">128-4 (**)</t>
  </si>
  <si>
    <t xml:space="preserve">XK T6 d.121</t>
  </si>
  <si>
    <t xml:space="preserve">Trắng sứ</t>
  </si>
  <si>
    <t xml:space="preserve">XK T6 d.122</t>
  </si>
  <si>
    <t xml:space="preserve">XK T6 d.123</t>
  </si>
  <si>
    <t xml:space="preserve">XK T6 d.124</t>
  </si>
  <si>
    <t xml:space="preserve">XK T6 d.51</t>
  </si>
  <si>
    <t xml:space="preserve">XK T6 d.52</t>
  </si>
  <si>
    <t xml:space="preserve">ký hiệu PE02 ≠ tên hàng (PI04)</t>
  </si>
  <si>
    <t xml:space="preserve">XK T6 d.53</t>
  </si>
  <si>
    <t xml:space="preserve">XK T6 d.54</t>
  </si>
  <si>
    <t xml:space="preserve">XK T6 d.55</t>
  </si>
  <si>
    <t xml:space="preserve">359-B3 (**)</t>
  </si>
  <si>
    <t xml:space="preserve">XK T6 d.56</t>
  </si>
  <si>
    <t xml:space="preserve">XK T6 d.57</t>
  </si>
  <si>
    <t xml:space="preserve">XK T6 d.58</t>
  </si>
  <si>
    <t xml:space="preserve">1286</t>
  </si>
  <si>
    <t xml:space="preserve">XK T6 d.125</t>
  </si>
  <si>
    <t xml:space="preserve">XK T6 d.126</t>
  </si>
  <si>
    <t xml:space="preserve">XK T6 d.7</t>
  </si>
  <si>
    <t xml:space="preserve">AP169-6 (**)</t>
  </si>
  <si>
    <t xml:space="preserve">XK T6 d.8</t>
  </si>
  <si>
    <t xml:space="preserve">AP32-5</t>
  </si>
  <si>
    <t xml:space="preserve">XK T6 d.9</t>
  </si>
  <si>
    <t xml:space="preserve">AP100-1</t>
  </si>
  <si>
    <t xml:space="preserve">XK T6 d.10</t>
  </si>
  <si>
    <t xml:space="preserve">XK T6 d.14</t>
  </si>
  <si>
    <t xml:space="preserve">Nghi trùng với dòng 7 (sheet XK T6)</t>
  </si>
  <si>
    <t xml:space="preserve">XK T6 d.15</t>
  </si>
  <si>
    <t xml:space="preserve">Nghi trùng với dòng 8 (sheet XK T6)</t>
  </si>
  <si>
    <t xml:space="preserve">XK T6 d.16</t>
  </si>
  <si>
    <t xml:space="preserve">Nghi trùng với dòng 9 (sheet XK T6)</t>
  </si>
  <si>
    <t xml:space="preserve">XK T6 d.17</t>
  </si>
  <si>
    <t xml:space="preserve">Nghi trùng với dòng 10 (sheet XK T6)</t>
  </si>
  <si>
    <t xml:space="preserve">XK T6 d.73</t>
  </si>
  <si>
    <t xml:space="preserve">XK T6 d.66</t>
  </si>
  <si>
    <t xml:space="preserve">XK T6 d.67</t>
  </si>
  <si>
    <t xml:space="preserve">357</t>
  </si>
  <si>
    <t xml:space="preserve">XK T6 d.68</t>
  </si>
  <si>
    <t xml:space="preserve">b1</t>
  </si>
  <si>
    <t xml:space="preserve">XK T6 d.69</t>
  </si>
  <si>
    <t xml:space="preserve">XK T6 d.127</t>
  </si>
  <si>
    <t xml:space="preserve">XK T6 d.128</t>
  </si>
  <si>
    <t xml:space="preserve">XK T6 d.129</t>
  </si>
  <si>
    <t xml:space="preserve">XK T6 d.28</t>
  </si>
  <si>
    <t xml:space="preserve">ký hiệu EG09 ≠ tên hàng (ETM-309)</t>
  </si>
  <si>
    <t xml:space="preserve">Lót ngoài </t>
  </si>
  <si>
    <t xml:space="preserve">XK T6 d.29</t>
  </si>
  <si>
    <t xml:space="preserve">XK T6 d.70</t>
  </si>
  <si>
    <t xml:space="preserve">XK T6 d.71</t>
  </si>
  <si>
    <t xml:space="preserve">XK T6 d.72</t>
  </si>
  <si>
    <t xml:space="preserve">XK T6 d.130</t>
  </si>
  <si>
    <t xml:space="preserve">99</t>
  </si>
  <si>
    <t xml:space="preserve">XK T6 d.30</t>
  </si>
  <si>
    <t xml:space="preserve">XK T6 d.31</t>
  </si>
  <si>
    <t xml:space="preserve">293-B4 (**)</t>
  </si>
  <si>
    <t xml:space="preserve">XK T6 d.32</t>
  </si>
  <si>
    <t xml:space="preserve">XK T6 d.59</t>
  </si>
  <si>
    <t xml:space="preserve">XK T6 d.60</t>
  </si>
  <si>
    <t xml:space="preserve">359-B3 (*)</t>
  </si>
  <si>
    <t xml:space="preserve">XK T6 d.61</t>
  </si>
  <si>
    <t xml:space="preserve">XK T6 d.131</t>
  </si>
  <si>
    <t xml:space="preserve">XK T6 d.132</t>
  </si>
  <si>
    <t xml:space="preserve">XK T6 d.133</t>
  </si>
  <si>
    <t xml:space="preserve">XK T6 d.62</t>
  </si>
  <si>
    <t xml:space="preserve">XK T6 d.63</t>
  </si>
  <si>
    <t xml:space="preserve">XK T6 d.74</t>
  </si>
  <si>
    <t xml:space="preserve">XK T6 d.90</t>
  </si>
  <si>
    <t xml:space="preserve">74</t>
  </si>
  <si>
    <t xml:space="preserve">XK T6 d.91</t>
  </si>
  <si>
    <t xml:space="preserve">XK T6 d.92</t>
  </si>
  <si>
    <t xml:space="preserve">XK T6 d.93</t>
  </si>
  <si>
    <t xml:space="preserve">XK T6 d.94</t>
  </si>
  <si>
    <t xml:space="preserve">340</t>
  </si>
  <si>
    <t xml:space="preserve">XK T6 d.95</t>
  </si>
  <si>
    <t xml:space="preserve">310 B2</t>
  </si>
  <si>
    <t xml:space="preserve">XK T6 d.96</t>
  </si>
  <si>
    <t xml:space="preserve">XK T6 d.139</t>
  </si>
  <si>
    <t xml:space="preserve">XK T6 d.140</t>
  </si>
  <si>
    <t xml:space="preserve">Lót trong</t>
  </si>
  <si>
    <t xml:space="preserve">XK T6 d.18</t>
  </si>
  <si>
    <t xml:space="preserve">Màu trong </t>
  </si>
  <si>
    <t xml:space="preserve">XK T6 d.19</t>
  </si>
  <si>
    <t xml:space="preserve">XK T6 d.20</t>
  </si>
  <si>
    <t xml:space="preserve">Màu ngoài</t>
  </si>
  <si>
    <t xml:space="preserve">XK T6 d.21</t>
  </si>
  <si>
    <t xml:space="preserve">Trắng trần </t>
  </si>
  <si>
    <t xml:space="preserve">XK T6 d.22</t>
  </si>
  <si>
    <t xml:space="preserve">ký hiệu IEW ≠ tên hàng (ISG06)</t>
  </si>
  <si>
    <t xml:space="preserve">Chỉ</t>
  </si>
  <si>
    <t xml:space="preserve">XK T6 d.23</t>
  </si>
  <si>
    <t xml:space="preserve">Lót ngoại</t>
  </si>
  <si>
    <t xml:space="preserve">XK T6 d.41</t>
  </si>
  <si>
    <t xml:space="preserve">Màu ngoại</t>
  </si>
  <si>
    <t xml:space="preserve">XK T6 d.42</t>
  </si>
  <si>
    <t xml:space="preserve">XK T6 d.148</t>
  </si>
  <si>
    <t xml:space="preserve">XK T6 d.11</t>
  </si>
  <si>
    <t xml:space="preserve">XK T6 d.64</t>
  </si>
  <si>
    <t xml:space="preserve">XK T6 d.97</t>
  </si>
  <si>
    <t xml:space="preserve">XK T6 d.12</t>
  </si>
  <si>
    <t xml:space="preserve">XK T6 d.24</t>
  </si>
  <si>
    <t xml:space="preserve">XK T6 d.25</t>
  </si>
  <si>
    <t xml:space="preserve">XK T6 d.26</t>
  </si>
  <si>
    <t xml:space="preserve">XK T6 d.27</t>
  </si>
  <si>
    <t xml:space="preserve">XK T6 d.13</t>
  </si>
  <si>
    <t xml:space="preserve">XK T6 d.33</t>
  </si>
  <si>
    <t xml:space="preserve">XK T6 d.34</t>
  </si>
  <si>
    <t xml:space="preserve">XK T6 d.35</t>
  </si>
  <si>
    <t xml:space="preserve">XK T6 d.36</t>
  </si>
  <si>
    <t xml:space="preserve">XK T6 d.37</t>
  </si>
  <si>
    <t xml:space="preserve">XK T6 d.38</t>
  </si>
  <si>
    <t xml:space="preserve">XK T6 d.39</t>
  </si>
  <si>
    <t xml:space="preserve">XK T6 d.40</t>
  </si>
  <si>
    <t xml:space="preserve">289</t>
  </si>
  <si>
    <t xml:space="preserve">XK T6 d.65</t>
  </si>
  <si>
    <t xml:space="preserve">LÓT NỘI</t>
  </si>
  <si>
    <t xml:space="preserve">XK T6 d.108</t>
  </si>
  <si>
    <t xml:space="preserve">MÀU TRONG</t>
  </si>
  <si>
    <t xml:space="preserve">XK T6 d.109</t>
  </si>
  <si>
    <t xml:space="preserve">THẤM</t>
  </si>
  <si>
    <t xml:space="preserve">XK T6 d.110</t>
  </si>
  <si>
    <t xml:space="preserve">XK T6 d.6</t>
  </si>
  <si>
    <t xml:space="preserve">XK T6 d.141</t>
  </si>
  <si>
    <t xml:space="preserve">XK T6 d.142</t>
  </si>
  <si>
    <t xml:space="preserve">XK T6 d.143</t>
  </si>
  <si>
    <t xml:space="preserve">XK T6 d.144</t>
  </si>
  <si>
    <t xml:space="preserve">69</t>
  </si>
  <si>
    <t xml:space="preserve">XK T6 d.145</t>
  </si>
  <si>
    <t xml:space="preserve">93</t>
  </si>
  <si>
    <t xml:space="preserve">XK T6 d.146</t>
  </si>
  <si>
    <t xml:space="preserve">XK T6 d.147</t>
  </si>
  <si>
    <t xml:space="preserve">35 (*)</t>
  </si>
  <si>
    <t xml:space="preserve">XK T7 d.6</t>
  </si>
  <si>
    <t xml:space="preserve">XK T7 d.64</t>
  </si>
  <si>
    <t xml:space="preserve">XK T7 d.63</t>
  </si>
  <si>
    <t xml:space="preserve">XK T7 d.65</t>
  </si>
  <si>
    <t xml:space="preserve">XK T7 d.66</t>
  </si>
  <si>
    <t xml:space="preserve">138</t>
  </si>
  <si>
    <t xml:space="preserve">XK T7 d.7</t>
  </si>
  <si>
    <t xml:space="preserve">XK T7 d.8</t>
  </si>
  <si>
    <t xml:space="preserve">XK T7 d.9</t>
  </si>
  <si>
    <t xml:space="preserve">Lót Trong </t>
  </si>
  <si>
    <t xml:space="preserve">XK T7 d.11</t>
  </si>
  <si>
    <t xml:space="preserve">Màu Trong </t>
  </si>
  <si>
    <t xml:space="preserve">XK T7 d.12</t>
  </si>
  <si>
    <t xml:space="preserve">XK T7 d.13</t>
  </si>
  <si>
    <t xml:space="preserve">Màu ngoài </t>
  </si>
  <si>
    <t xml:space="preserve">XK T7 d.14</t>
  </si>
  <si>
    <t xml:space="preserve">XK T7 d.67</t>
  </si>
  <si>
    <t xml:space="preserve">XK T7 d.68</t>
  </si>
  <si>
    <t xml:space="preserve">Trắng Sứ </t>
  </si>
  <si>
    <t xml:space="preserve">XK T7 d.69</t>
  </si>
  <si>
    <t xml:space="preserve">XK T7 d.70</t>
  </si>
  <si>
    <t xml:space="preserve">XK T7 d.71</t>
  </si>
  <si>
    <t xml:space="preserve">XK T7 d.72</t>
  </si>
  <si>
    <t xml:space="preserve">XK T7 d.10</t>
  </si>
  <si>
    <t xml:space="preserve">XK T7 d.15</t>
  </si>
  <si>
    <t xml:space="preserve">XK T7 d.44</t>
  </si>
  <si>
    <t xml:space="preserve">Lót Trong</t>
  </si>
  <si>
    <t xml:space="preserve">XK T7 d.28</t>
  </si>
  <si>
    <t xml:space="preserve">Lót Ngoái </t>
  </si>
  <si>
    <t xml:space="preserve">XK T7 d.29</t>
  </si>
  <si>
    <t xml:space="preserve">Màu Ngoài </t>
  </si>
  <si>
    <t xml:space="preserve">XK T7 d.30</t>
  </si>
  <si>
    <t xml:space="preserve">XK T7 d.31</t>
  </si>
  <si>
    <t xml:space="preserve">Chống Thấm </t>
  </si>
  <si>
    <t xml:space="preserve">XK T7 d.32</t>
  </si>
  <si>
    <t xml:space="preserve">r</t>
  </si>
  <si>
    <t xml:space="preserve">XK T7 d.16</t>
  </si>
  <si>
    <t xml:space="preserve">XK T7 d.17</t>
  </si>
  <si>
    <t xml:space="preserve">XK T7 d.38</t>
  </si>
  <si>
    <t xml:space="preserve">XK T7 d.39</t>
  </si>
  <si>
    <t xml:space="preserve">XK T7 d.40</t>
  </si>
  <si>
    <t xml:space="preserve">XK T7 d.41</t>
  </si>
  <si>
    <t xml:space="preserve">XK T7 d.42</t>
  </si>
  <si>
    <t xml:space="preserve">XK T7 d.43</t>
  </si>
  <si>
    <t xml:space="preserve">B3</t>
  </si>
  <si>
    <t xml:space="preserve">XK T7 d.73</t>
  </si>
  <si>
    <t xml:space="preserve">357 r</t>
  </si>
  <si>
    <t xml:space="preserve">XK T7 d.18</t>
  </si>
  <si>
    <t xml:space="preserve">343 r</t>
  </si>
  <si>
    <t xml:space="preserve">XK T7 d.19</t>
  </si>
  <si>
    <t xml:space="preserve">XK T7 d.20</t>
  </si>
  <si>
    <t xml:space="preserve">XK T7 d.21</t>
  </si>
  <si>
    <t xml:space="preserve">XK T7 d.22</t>
  </si>
  <si>
    <t xml:space="preserve">XK T7 d.23</t>
  </si>
  <si>
    <t xml:space="preserve">346-B1 r</t>
  </si>
  <si>
    <t xml:space="preserve">XK T7 d.24</t>
  </si>
  <si>
    <t xml:space="preserve">309 r</t>
  </si>
  <si>
    <t xml:space="preserve">XK T7 d.25</t>
  </si>
  <si>
    <t xml:space="preserve">181 r</t>
  </si>
  <si>
    <t xml:space="preserve">XK T7 d.26</t>
  </si>
  <si>
    <t xml:space="preserve">181</t>
  </si>
  <si>
    <t xml:space="preserve">XK T7 d.27</t>
  </si>
  <si>
    <t xml:space="preserve">XK T7 d.45</t>
  </si>
  <si>
    <t xml:space="preserve">XK T7 d.74</t>
  </si>
  <si>
    <t xml:space="preserve">LÓT NỘI </t>
  </si>
  <si>
    <t xml:space="preserve">XK T7 d.52</t>
  </si>
  <si>
    <t xml:space="preserve">CHÔNG THẤM MÀU </t>
  </si>
  <si>
    <t xml:space="preserve">XK T7 d.53</t>
  </si>
  <si>
    <t xml:space="preserve">LÓT NGOẠI </t>
  </si>
  <si>
    <t xml:space="preserve">XK T7 d.54</t>
  </si>
  <si>
    <t xml:space="preserve">XK T7 d.55</t>
  </si>
  <si>
    <t xml:space="preserve">XK T7 d.34</t>
  </si>
  <si>
    <t xml:space="preserve">LÓT NGOÀI </t>
  </si>
  <si>
    <t xml:space="preserve">XK T7 d.35</t>
  </si>
  <si>
    <t xml:space="preserve">310-B3 </t>
  </si>
  <si>
    <t xml:space="preserve">XK T7 d.36</t>
  </si>
  <si>
    <t xml:space="preserve">T SỨ </t>
  </si>
  <si>
    <t xml:space="preserve">XK T7 d.56</t>
  </si>
  <si>
    <t xml:space="preserve">CHỐNG THẤM MÀU</t>
  </si>
  <si>
    <t xml:space="preserve">XK T7 d.57</t>
  </si>
  <si>
    <t xml:space="preserve">XK T7 d.58</t>
  </si>
  <si>
    <t xml:space="preserve">XK T7 d.33</t>
  </si>
  <si>
    <t xml:space="preserve">XK T7 d.37</t>
  </si>
  <si>
    <t xml:space="preserve">XK T7 d.46</t>
  </si>
  <si>
    <t xml:space="preserve">XK T7 d.47</t>
  </si>
  <si>
    <t xml:space="preserve">XK T7 d.48</t>
  </si>
  <si>
    <t xml:space="preserve">XK T7 d.49</t>
  </si>
  <si>
    <t xml:space="preserve">XK T7 d.50</t>
  </si>
  <si>
    <t xml:space="preserve">XK T7 d.51</t>
  </si>
  <si>
    <t xml:space="preserve">XK T7 d.59</t>
  </si>
  <si>
    <t xml:space="preserve">LÓT TRONG</t>
  </si>
  <si>
    <t xml:space="preserve">XK T7 d.60</t>
  </si>
  <si>
    <t xml:space="preserve">293 B4</t>
  </si>
  <si>
    <t xml:space="preserve">XK T7 d.61</t>
  </si>
  <si>
    <t xml:space="preserve">XK T7 d.75</t>
  </si>
  <si>
    <t xml:space="preserve">XK T7 d.62</t>
  </si>
  <si>
    <t xml:space="preserve">Hệ số 10 – nghi gõ nhầm (có thể là 1)</t>
  </si>
  <si>
    <t xml:space="preserve">XK T7 d.76</t>
  </si>
  <si>
    <t xml:space="preserve">XK T8 d.7</t>
  </si>
  <si>
    <t xml:space="preserve">XK T8 d.8</t>
  </si>
  <si>
    <t xml:space="preserve">XK T8 d.9</t>
  </si>
  <si>
    <t xml:space="preserve">XK T8 d.10</t>
  </si>
  <si>
    <t xml:space="preserve">XK T8 d.40</t>
  </si>
  <si>
    <t xml:space="preserve">XK T8 d.41</t>
  </si>
  <si>
    <t xml:space="preserve">XK T8 d.42</t>
  </si>
  <si>
    <t xml:space="preserve">135</t>
  </si>
  <si>
    <t xml:space="preserve">XK T8 d.43</t>
  </si>
  <si>
    <t xml:space="preserve">XK T8 d.44</t>
  </si>
  <si>
    <t xml:space="preserve">365-B4</t>
  </si>
  <si>
    <t xml:space="preserve">XK T8 d.45</t>
  </si>
  <si>
    <t xml:space="preserve">XK T8 d.46</t>
  </si>
  <si>
    <t xml:space="preserve">337</t>
  </si>
  <si>
    <t xml:space="preserve">XK T8 d.47</t>
  </si>
  <si>
    <t xml:space="preserve">359-B3</t>
  </si>
  <si>
    <t xml:space="preserve">XK T8 d.48</t>
  </si>
  <si>
    <t xml:space="preserve">303-B1</t>
  </si>
  <si>
    <t xml:space="preserve">XK T8 d.49</t>
  </si>
  <si>
    <t xml:space="preserve">XK T8 d.6</t>
  </si>
  <si>
    <t xml:space="preserve">XK T8 d.35</t>
  </si>
  <si>
    <t xml:space="preserve">XK T8 d.36</t>
  </si>
  <si>
    <t xml:space="preserve">XK T8 d.37</t>
  </si>
  <si>
    <t xml:space="preserve">XK T8 d.38</t>
  </si>
  <si>
    <t xml:space="preserve">298-B3</t>
  </si>
  <si>
    <t xml:space="preserve">XK T8 d.39</t>
  </si>
  <si>
    <t xml:space="preserve">303</t>
  </si>
  <si>
    <t xml:space="preserve">XK T8 d.50</t>
  </si>
  <si>
    <t xml:space="preserve">XK T8 d.33</t>
  </si>
  <si>
    <t xml:space="preserve">XK T8 d.34</t>
  </si>
  <si>
    <t xml:space="preserve">XK T8 d.51</t>
  </si>
  <si>
    <t xml:space="preserve">XK T8 d.11</t>
  </si>
  <si>
    <t xml:space="preserve">XK T8 d.12</t>
  </si>
  <si>
    <t xml:space="preserve">XK T8 d.13</t>
  </si>
  <si>
    <t xml:space="preserve">XK T8 d.14</t>
  </si>
  <si>
    <t xml:space="preserve">XK T8 d.15</t>
  </si>
  <si>
    <t xml:space="preserve">XK T8 d.16</t>
  </si>
  <si>
    <t xml:space="preserve">XK T8 d.17</t>
  </si>
  <si>
    <t xml:space="preserve">XK T8 d.18</t>
  </si>
  <si>
    <t xml:space="preserve">XK T8 d.19</t>
  </si>
  <si>
    <t xml:space="preserve">XK T8 d.20</t>
  </si>
  <si>
    <t xml:space="preserve">XK T8 d.21</t>
  </si>
  <si>
    <t xml:space="preserve">XK T8 d.22</t>
  </si>
  <si>
    <t xml:space="preserve">311-B3</t>
  </si>
  <si>
    <t xml:space="preserve">XK T8 d.23</t>
  </si>
  <si>
    <t xml:space="preserve">XK T8 d.24</t>
  </si>
  <si>
    <t xml:space="preserve">331</t>
  </si>
  <si>
    <t xml:space="preserve">XK T8 d.25</t>
  </si>
  <si>
    <t xml:space="preserve">XK T8 d.26</t>
  </si>
  <si>
    <t xml:space="preserve">Trắng sứ Bảo hành</t>
  </si>
  <si>
    <t xml:space="preserve">XK T8 d.27</t>
  </si>
  <si>
    <t xml:space="preserve">84</t>
  </si>
  <si>
    <t xml:space="preserve">XK T8 d.28</t>
  </si>
  <si>
    <t xml:space="preserve">XK T8 d.29</t>
  </si>
  <si>
    <t xml:space="preserve">217</t>
  </si>
  <si>
    <t xml:space="preserve">XK T8 d.30</t>
  </si>
  <si>
    <t xml:space="preserve">XK T8 d.31</t>
  </si>
  <si>
    <t xml:space="preserve">XK T8 d.32</t>
  </si>
  <si>
    <t xml:space="preserve">Không có đơn giá (khuyến mại/bảo hành?): </t>
  </si>
  <si>
    <t xml:space="preserve">XK T9 d.51</t>
  </si>
  <si>
    <t xml:space="preserve">XK T9 d.19</t>
  </si>
  <si>
    <t xml:space="preserve">XK T9 d.25</t>
  </si>
  <si>
    <t xml:space="preserve">XK T9 d.20</t>
  </si>
  <si>
    <t xml:space="preserve">XK T9 d.26</t>
  </si>
  <si>
    <t xml:space="preserve">XK T9 d.27</t>
  </si>
  <si>
    <t xml:space="preserve">XK T9 d.28</t>
  </si>
  <si>
    <t xml:space="preserve">XK T9 d.29</t>
  </si>
  <si>
    <t xml:space="preserve">XK T9 d.30</t>
  </si>
  <si>
    <t xml:space="preserve">"Bột bả nội + ngoại" – ghi tạm vào bả nội</t>
  </si>
  <si>
    <t xml:space="preserve">XK T9 d.52</t>
  </si>
  <si>
    <t xml:space="preserve">XK T9 d.53</t>
  </si>
  <si>
    <t xml:space="preserve">XK T9 d.54</t>
  </si>
  <si>
    <t xml:space="preserve">XK T9 d.55</t>
  </si>
  <si>
    <t xml:space="preserve">XK T9 d.56</t>
  </si>
  <si>
    <t xml:space="preserve">XK T9 d.57</t>
  </si>
  <si>
    <t xml:space="preserve">XK T9 d.58</t>
  </si>
  <si>
    <t xml:space="preserve">XK T9 d.59</t>
  </si>
  <si>
    <t xml:space="preserve">XK T9 d.60</t>
  </si>
  <si>
    <t xml:space="preserve">Trắng sứ r</t>
  </si>
  <si>
    <t xml:space="preserve">XK T9 d.31</t>
  </si>
  <si>
    <t xml:space="preserve">359-b3 r</t>
  </si>
  <si>
    <t xml:space="preserve">XK T9 d.32</t>
  </si>
  <si>
    <t xml:space="preserve">333-B1 r</t>
  </si>
  <si>
    <t xml:space="preserve">XK T9 d.33</t>
  </si>
  <si>
    <t xml:space="preserve">339-B1 r</t>
  </si>
  <si>
    <t xml:space="preserve">XK T9 d.34</t>
  </si>
  <si>
    <t xml:space="preserve">Khuyến mại</t>
  </si>
  <si>
    <t xml:space="preserve">XK T9 d.35</t>
  </si>
  <si>
    <t xml:space="preserve">Không có đơn giá (khuyến mại/bảo hành?): Khuyến mại</t>
  </si>
  <si>
    <t xml:space="preserve">XK T9 d.36</t>
  </si>
  <si>
    <t xml:space="preserve">XK T9 d.37</t>
  </si>
  <si>
    <t xml:space="preserve">XK T9 d.38</t>
  </si>
  <si>
    <t xml:space="preserve">XK T9 d.12</t>
  </si>
  <si>
    <t xml:space="preserve">339</t>
  </si>
  <si>
    <t xml:space="preserve">XK T9 d.13</t>
  </si>
  <si>
    <t xml:space="preserve">XK T9 d.21</t>
  </si>
  <si>
    <t xml:space="preserve">309-B2</t>
  </si>
  <si>
    <t xml:space="preserve">XK T9 d.61</t>
  </si>
  <si>
    <t xml:space="preserve">XK T9 d.18</t>
  </si>
  <si>
    <t xml:space="preserve">XK T9 d.62</t>
  </si>
  <si>
    <t xml:space="preserve">XK T9 d.63</t>
  </si>
  <si>
    <t xml:space="preserve">XK T9 d.14</t>
  </si>
  <si>
    <t xml:space="preserve">069-B2</t>
  </si>
  <si>
    <t xml:space="preserve">XK T9 d.15</t>
  </si>
  <si>
    <t xml:space="preserve">XK T9 d.16</t>
  </si>
  <si>
    <t xml:space="preserve">XK T9 d.22</t>
  </si>
  <si>
    <t xml:space="preserve">XK T9 d.23</t>
  </si>
  <si>
    <t xml:space="preserve">XK T9 d.17</t>
  </si>
  <si>
    <t xml:space="preserve">XK T9 d.39</t>
  </si>
  <si>
    <t xml:space="preserve">XK T9 d.40</t>
  </si>
  <si>
    <t xml:space="preserve">XK T9 d.41</t>
  </si>
  <si>
    <t xml:space="preserve">XK T9 d.42</t>
  </si>
  <si>
    <t xml:space="preserve">XK T9 d.43</t>
  </si>
  <si>
    <t xml:space="preserve">XK T9 d.44</t>
  </si>
  <si>
    <t xml:space="preserve">XK T9 d.45</t>
  </si>
  <si>
    <t xml:space="preserve">071-b1</t>
  </si>
  <si>
    <t xml:space="preserve">XK T9 d.46</t>
  </si>
  <si>
    <t xml:space="preserve">XK T9 d.24</t>
  </si>
  <si>
    <t xml:space="preserve">AP01</t>
  </si>
  <si>
    <t xml:space="preserve">XK T9 d.9</t>
  </si>
  <si>
    <t xml:space="preserve">AP50-6</t>
  </si>
  <si>
    <t xml:space="preserve">XK T9 d.10</t>
  </si>
  <si>
    <t xml:space="preserve">AP67-2</t>
  </si>
  <si>
    <t xml:space="preserve">XK T9 d.11</t>
  </si>
  <si>
    <t xml:space="preserve">XK T9 d.64</t>
  </si>
  <si>
    <t xml:space="preserve">XK T9 d.65</t>
  </si>
  <si>
    <t xml:space="preserve">127-B2</t>
  </si>
  <si>
    <t xml:space="preserve">XK T9 d.66</t>
  </si>
  <si>
    <t xml:space="preserve">XK T9 d.67</t>
  </si>
  <si>
    <t xml:space="preserve">R</t>
  </si>
  <si>
    <t xml:space="preserve">XK T9 d.47</t>
  </si>
  <si>
    <t xml:space="preserve">309 R</t>
  </si>
  <si>
    <t xml:space="preserve">XK T9 d.48</t>
  </si>
  <si>
    <t xml:space="preserve">XK T9 d.68</t>
  </si>
  <si>
    <t xml:space="preserve">14_1</t>
  </si>
  <si>
    <t xml:space="preserve">XK T9 d.6</t>
  </si>
  <si>
    <t xml:space="preserve">XK T9 d.7</t>
  </si>
  <si>
    <t xml:space="preserve">68_2</t>
  </si>
  <si>
    <t xml:space="preserve">XK T9 d.8</t>
  </si>
  <si>
    <t xml:space="preserve">XK T9 d.49</t>
  </si>
  <si>
    <t xml:space="preserve">XK T9 d.50</t>
  </si>
  <si>
    <t xml:space="preserve">NHẬT KÝ NHẬP KHO</t>
  </si>
  <si>
    <t xml:space="preserve">Mỗi lần hàng về kho (nhập từ nhà cung cấp hoặc khách trả lại), ghi 1 dòng/mặt hàng ở bảng dưới. Tồn kho tự cộng.</t>
  </si>
  <si>
    <t xml:space="preserve">VÍ DỤ (không tính, chỉ để tham khảo):   15/10/2026 | PI04 | 18L | 20 | Nhập từ NCC, phiếu số 123</t>
  </si>
  <si>
    <t xml:space="preserve">Ngày nhập</t>
  </si>
  <si>
    <t xml:space="preserve">Ghi chú / số phiếu</t>
  </si>
  <si>
    <t xml:space="preserve">Khách trả lại 309</t>
  </si>
  <si>
    <t xml:space="preserve">NK T6 d.12</t>
  </si>
  <si>
    <t xml:space="preserve">Khách trả lại</t>
  </si>
  <si>
    <t xml:space="preserve">NK T6 d.9</t>
  </si>
  <si>
    <t xml:space="preserve">NK T6 d.10</t>
  </si>
  <si>
    <t xml:space="preserve">NK T6 d.11</t>
  </si>
  <si>
    <t xml:space="preserve">Khách trả lại Màu trắng</t>
  </si>
  <si>
    <t xml:space="preserve">NK T6 d.6</t>
  </si>
  <si>
    <t xml:space="preserve">Khách trả lại Lót trong</t>
  </si>
  <si>
    <t xml:space="preserve">NK T6 d.7</t>
  </si>
  <si>
    <t xml:space="preserve">NK T6 d.8</t>
  </si>
  <si>
    <t xml:space="preserve">Không có ngày – lấy theo dòng trên (22/06)</t>
  </si>
  <si>
    <t xml:space="preserve">NK T7 d.6</t>
  </si>
  <si>
    <t xml:space="preserve">Khách trả lại 331</t>
  </si>
  <si>
    <t xml:space="preserve">NK T7 d.7</t>
  </si>
  <si>
    <t xml:space="preserve">ký hiệu EG09 ≠ tên hàng (PE02); Tên hàng ghi lót ngoại thất nhưng đơn giá 6.504.000 = EG09 18L → lấy EG09</t>
  </si>
  <si>
    <t xml:space="preserve">NK T7 d.8</t>
  </si>
  <si>
    <t xml:space="preserve">Khách trả lại LÓT TRONG</t>
  </si>
  <si>
    <t xml:space="preserve">NK T7 d.10</t>
  </si>
  <si>
    <t xml:space="preserve">Khách trả lại T SƯ</t>
  </si>
  <si>
    <t xml:space="preserve">NK T7 d.11</t>
  </si>
  <si>
    <t xml:space="preserve">NK T7 d.12</t>
  </si>
  <si>
    <t xml:space="preserve">Khách trả lại 333</t>
  </si>
  <si>
    <t xml:space="preserve">NK T7 d.9</t>
  </si>
  <si>
    <t xml:space="preserve">XUẤT KHO THEO THÁNG</t>
  </si>
  <si>
    <t xml:space="preserve">Số lượng bán ra mỗi tháng (toàn bộ phiếu xuất trong tháng). Muốn xem giai đoạn khác: đổi ô vàng "Tháng bắt đầu" – 12 tháng sau tự nhảy theo.</t>
  </si>
  <si>
    <t xml:space="preserve">Tháng bắt đầu:</t>
  </si>
  <si>
    <t xml:space="preserve">Tổng</t>
  </si>
  <si>
    <t xml:space="preserve">TỔNG SỐ LƯỢNG (thùng/lon/bao)</t>
  </si>
  <si>
    <t xml:space="preserve">DOANH THU XUẤT (VNĐ, theo đơn giá ghi trên phiếu)</t>
  </si>
  <si>
    <t xml:space="preserve">Tháng nào chưa có phiếu xuất thì hiện 0 / trống. Số liệu tự cập nhật khi chị thêm phiếu vào XUẤT KHO.</t>
  </si>
  <si>
    <t xml:space="preserve">TỒN ĐẦU KỲ – hết ngày 07/06/2026</t>
  </si>
  <si>
    <t xml:space="preserve">Số tồn thực tế đầu kỳ (nguồn DMHH_07_06, chia theo base B1–B4). Tên hàng hoá tự hiện theo Mã SP. Số lượng được cộng gộp theo Mã SP + Dung tích sang TỒN KHO.</t>
  </si>
  <si>
    <t xml:space="preserve">Mã gốc (kèm base)</t>
  </si>
  <si>
    <t xml:space="preserve">Số lượng tồn</t>
  </si>
  <si>
    <t xml:space="preserve">ISI B1</t>
  </si>
  <si>
    <t xml:space="preserve">ESI B1</t>
  </si>
  <si>
    <t xml:space="preserve">ESI B2</t>
  </si>
  <si>
    <t xml:space="preserve">IG05-B1</t>
  </si>
  <si>
    <t xml:space="preserve">ISG06 B1</t>
  </si>
  <si>
    <t xml:space="preserve">EG09-B1</t>
  </si>
  <si>
    <t xml:space="preserve">EG09-B2</t>
  </si>
  <si>
    <t xml:space="preserve">EG09-B3</t>
  </si>
  <si>
    <t xml:space="preserve">EG09-B4</t>
  </si>
  <si>
    <t xml:space="preserve">ESG10-B1</t>
  </si>
  <si>
    <t xml:space="preserve">ESG10-B2</t>
  </si>
  <si>
    <t xml:space="preserve">ESG10-B3</t>
  </si>
  <si>
    <t xml:space="preserve">ESG10-B4</t>
  </si>
  <si>
    <t xml:space="preserve">I9-B1</t>
  </si>
  <si>
    <t xml:space="preserve">E9-B1</t>
  </si>
  <si>
    <t xml:space="preserve">E9-B2</t>
  </si>
  <si>
    <t xml:space="preserve">E9-B3</t>
  </si>
  <si>
    <t xml:space="preserve">E9-B4</t>
  </si>
  <si>
    <t xml:space="preserve">ETM -99</t>
  </si>
  <si>
    <t xml:space="preserve">Bả nội</t>
  </si>
  <si>
    <t xml:space="preserve">Bả ngoại</t>
  </si>
  <si>
    <t xml:space="preserve">DANH MỤC SẢN PHẨM</t>
  </si>
  <si>
    <t xml:space="preserve">Tên hàng hoá và nhóm của mỗi mã. Sản phẩm mới: gõ thêm 1 dòng ở cuối bảng (ô vàng) – mã sẽ hiện trong ô chọn ở XUẤT KHO / NHẬP KHO.</t>
  </si>
  <si>
    <t xml:space="preserve">Nhóm hợp lệ: Sơn lót, Nội thất, Ngoại thất, Chống thấm, Bột bả (có thể thêm nhóm mới, tên nhóm sẽ hiện ở TỒN KHO)</t>
  </si>
  <si>
    <t xml:space="preserve">Sơn lót nội thất kháng kiềm cao cấp Imperia PI04</t>
  </si>
  <si>
    <t xml:space="preserve">Sơn lót ngoại thất kháng kiềm cao cấp Imperia PE02</t>
  </si>
  <si>
    <t xml:space="preserve">Sơn lót nội thất kháng kiềm siêu cao cấp SPI03</t>
  </si>
  <si>
    <t xml:space="preserve">Sơn lót ngoại thất kháng kiềm siêu cao cấp SPE01</t>
  </si>
  <si>
    <t xml:space="preserve">Sơn lót nội thất kháng kiềm Silver IL5</t>
  </si>
  <si>
    <t xml:space="preserve">Sơn lót ngoại thất kháng kiềm Silver EL5</t>
  </si>
  <si>
    <t xml:space="preserve">Sơn nội thất siêu trắng Imperia IEW</t>
  </si>
  <si>
    <t xml:space="preserve">Sơn nội thất bền màu Silver ISI</t>
  </si>
  <si>
    <t xml:space="preserve">Sơn nội thất cao cấp bóng mờ Imperia ISG06</t>
  </si>
  <si>
    <t xml:space="preserve">Sơn nội thất siêu bóng cao cấp Imperia IG05</t>
  </si>
  <si>
    <t xml:space="preserve">Sơn nội thất siêu bóng cao cấp Saphir I9</t>
  </si>
  <si>
    <t xml:space="preserve">Sơn nội thất kinh tế Deco IDC</t>
  </si>
  <si>
    <t xml:space="preserve">Sơn phủ nội thất bóng cao cấp ICL</t>
  </si>
  <si>
    <t xml:space="preserve">Sơn ngoại thất bền màu Silver ESI</t>
  </si>
  <si>
    <t xml:space="preserve">Sơn ngoại thất cao cấp bóng mờ Imperia ESG10</t>
  </si>
  <si>
    <t xml:space="preserve">Sơn ngoại thất siêu bóng cao cấp Imperia EG09</t>
  </si>
  <si>
    <t xml:space="preserve">Sơn ngoại thất siêu bóng cao cấp Saphir E9</t>
  </si>
  <si>
    <t xml:space="preserve">Sơn chống thấm đa năng Imperia CT12</t>
  </si>
  <si>
    <t xml:space="preserve">Sơn chống thấm màu ETM 309 (ghi đậm)</t>
  </si>
  <si>
    <t xml:space="preserve">Sơn chống thấm ETM 99 (trắng)</t>
  </si>
  <si>
    <t xml:space="preserve">Sơn chống thấm màu ETM 303 (ghi nhạt)</t>
  </si>
  <si>
    <t xml:space="preserve">Sơn chống thấm siêu co giãn CTS-01</t>
  </si>
  <si>
    <t xml:space="preserve">Bột bả nội thất Imperia IP15 (40kg)</t>
  </si>
  <si>
    <t xml:space="preserve">Bột bả ngoại thất Imperia EP14 (40kg)</t>
  </si>
  <si>
    <t xml:space="preserve">CÁC ĐIỂM CẦN CHỊ XÁC NHẬN</t>
  </si>
  <si>
    <t xml:space="preserve">Em phát hiện khi làm sạch số liệu. Chỗ nào sửa trong file này thì chị sửa ở ô tương ứng (nguồn ở cột "Ở đâu").</t>
  </si>
  <si>
    <t xml:space="preserve">Vấn đề</t>
  </si>
  <si>
    <t xml:space="preserve">Em đã xử lý thế nào</t>
  </si>
  <si>
    <t xml:space="preserve">Ở đâu</t>
  </si>
  <si>
    <t xml:space="preserve">3 mã bị đảo số giữa 2 sheet gốc (18L↔5L): ETM-309 (Gộp: 5L=120, 18L=23 | 07_06: 18L=120, 5L=23), SPI03 (Gộp: 5L=25, 18L=7 | 07_06: 18L=25, 5L=7), SPE01 (Gộp: 5L=14, 18L=4 | 07_06: 18L=14, 5L=4).</t>
  </si>
  <si>
    <t xml:space="preserve">Dùng DMHH_07_06 (số liên kết từ file kho gốc 18 LÍT / 5 LÍT). Nếu thực tế ngược lại, đổi dung tích ở sheet TỒN ĐẦU KỲ (cột C).</t>
  </si>
  <si>
    <t xml:space="preserve">TỒN ĐẦU KỲ</t>
  </si>
  <si>
    <t xml:space="preserve">Các sheet NK T6–T9 chỉ có hàng khách trả lại (ghi "NHẬP lại"); chưa thấy phiếu nhập hàng từ nhà cung cấp sau 07/06/2026.</t>
  </si>
  <si>
    <t xml:space="preserve">Em ghi các dòng NK vào sheet NHẬP KHO. Nếu có hàng về từ nhà cung cấp, chị ghi tiếp vào NHẬP KHO; chưa ghi thì mã bán nhiều sẽ báo âm kho.</t>
  </si>
  <si>
    <t xml:space="preserve">NHẬP KHO</t>
  </si>
  <si>
    <t xml:space="preserve">28 dòng xuất của sheet XK T6 có ngày từ 07/06 trở về trước (đã nằm trong tồn đầu kỳ).</t>
  </si>
  <si>
    <t xml:space="preserve">Vẫn giữ trong nhật ký xuất (để báo cáo doanh thu tháng 6) nhưng KHÔNG trừ tồn kho (chỉ trừ phiếu sau ngày chốt ở TỒN KHO!E4).</t>
  </si>
  <si>
    <t xml:space="preserve">XUẤT KHO</t>
  </si>
  <si>
    <t xml:space="preserve">XK T6 dòng 7–10 trùng hệt dòng 14–17 (cùng ngày 14/6, cùng mặt hàng, số lượng).</t>
  </si>
  <si>
    <t xml:space="preserve">Giữ cả hai, tô cam cột "Kiểm tra". Nếu là nhập trùng, xóa 4 dòng sau để tồn đúng.</t>
  </si>
  <si>
    <t xml:space="preserve">XUẤT KHO (lọc cột Kiểm tra)</t>
  </si>
  <si>
    <t xml:space="preserve">XK T7 dòng 62: hệ số = 10 (ETM 18L, 27/7) → thành tiền 48.210.000, có thể chỉ là hệ số 1.</t>
  </si>
  <si>
    <t xml:space="preserve">Giữ nguyên như file gốc, đã đánh dấu. Sửa cột "Hệ số" nếu gõ nhầm.</t>
  </si>
  <si>
    <t xml:space="preserve">Một số dòng ghi sai ký hiệu so với tên hàng (XK T6 dòng 28 ghi EG09 nhưng là chống thấm ETM; dòng 22/52 ký hiệu khác tên).</t>
  </si>
  <si>
    <t xml:space="preserve">Lấy theo ký hiệu/đơn giá khớp nhất (dòng 28 → ETM-309). "ETM" không ghi mã → tính ETM-309; "Mã 99" → ETM-99.</t>
  </si>
  <si>
    <t xml:space="preserve">Các dòng không có đơn giá (khuyến mại / bảo hành) và "Bột bả nội + ngoại" gộp 1 dòng.</t>
  </si>
  <si>
    <t xml:space="preserve">Vẫn trừ tồn nhưng thành tiền = 0; bột bả nội+ngoại ghi tạm vào bả nội.</t>
  </si>
  <si>
    <t xml:space="preserve">Tồn chia theo base B1–B4, còn phiếu xuất chỉ ghi tên sơn + dung tích.</t>
  </si>
  <si>
    <t xml:space="preserve">Cộng gộp B1–B4 thành 1 dòng cho mỗi Mã SP + dung tích (chi tiết base vẫn xem được ở TỒN ĐẦU KỲ).</t>
  </si>
  <si>
    <t xml:space="preserve">TỒN KHO</t>
  </si>
  <si>
    <t xml:space="preserve">Sheet "nxt 156_T6" cũ đang lỗi công thức (báo lỗi N/A và REF), tiêu đề năm 2016.</t>
  </si>
  <si>
    <t xml:space="preserve">Không dùng nữa; sheet TỒN KHO thay thế.</t>
  </si>
  <si>
    <t xml:space="preserve">—</t>
  </si>
  <si>
    <t xml:space="preserve">Bảng giá khuyến nghị EG09 5L ghi 2.089.999.</t>
  </si>
  <si>
    <t xml:space="preserve">Dùng 2.089.000 (giống giá bán thực tế trên phiếu).</t>
  </si>
  <si>
    <t xml:space="preserve">TỒN KHO cột Giá KN</t>
  </si>
  <si>
    <t xml:space="preserve">Mã đang ÂM KHO theo số liệu hiện có (sẽ tự cập nhật ở TỔNG QUAN – ô "MÃ ÂM KHO").</t>
  </si>
  <si>
    <t xml:space="preserve">HƯỚNG DẪN SỬ DỤNG</t>
  </si>
  <si>
    <t xml:space="preserve">Chị chỉ cần nhập 2 chỗ: XUẤT KHO (bán hàng) và NHẬP KHO (hàng về). Mọi thứ khác tự tính, tháng nào cũng dùng lại được.</t>
  </si>
  <si>
    <t xml:space="preserve">MỖI NGÀY: (1) Bán hàng → sheet XUẤT KHO, gõ vào dòng trống kế tiếp: Ngày – Mã SP (chọn trong danh sách) – Dung tích – Số lượng – Đơn giá. Tên hàng hoá và thành tiền tự hiện.</t>
  </si>
  <si>
    <t xml:space="preserve">(2) Hàng về kho hoặc khách trả lại → sheet NHẬP KHO, ghi tương tự (không cần đơn giá).</t>
  </si>
  <si>
    <t xml:space="preserve">(3) Xem TỔNG QUAN: các thẻ trên cùng cho biết bao nhiêu mã hết / sắp hết / âm kho; bảng "CẦN ĐẶT HÀNG" liệt kê mã cần đặt kèm số lượng gợi ý. Tồn kho từng mã xem ở TỒN KHO.</t>
  </si>
  <si>
    <t xml:space="preserve">CUỐI THÁNG: vào sheet NXT THÁNG, chọn Tháng và Năm ở 2 ô vàng → hiện ngay tồn đầu tháng, nhập, xuất, tồn cuối tháng, giá trị tồn và doanh thu của tháng đó. Sheet THEO THÁNG xem 12 tháng liền nhau.</t>
  </si>
  <si>
    <t xml:space="preserve">THÊM SẢN PHẨM MỚI: (a) DANH MỤC: gõ Mã SP + Tên hàng hoá + Nhóm ở dòng vàng trống đầu tiên. (b) TỒN KHO: ở 1 dòng vàng trống cuối bảng, chọn Mã SP + Dung tích + nhập Giá khuyến nghị. Nếu quên bước (b), ô đỏ ở đầu TỒN KHO và TỔNG QUAN sẽ báo "chưa khớp mã".</t>
  </si>
  <si>
    <t xml:space="preserve">TỒN ĐẦU KỲ: số tồn thực tế tại ngày chốt (ô vàng "Tồn đầu kỳ tính đến hết ngày" ở TỒN KHO). Tên hàng hoá tự hiện theo Mã SP. Phiếu có ngày TRƯỚC hoặc BẰNG ngày chốt không trừ/cộng vào tồn.</t>
  </si>
  <si>
    <t xml:space="preserve">KIỂM KHO / CHỐT SỔ SANG KỲ MỚI (ví dụ cuối năm): đếm kho thực tế → sửa số ở TỒN ĐẦU KỲ → đổi ngày chốt ở TỒN KHO!E4 thành ngày đếm kho. Phiếu cũ vẫn giữ nguyên để làm báo cáo doanh thu.</t>
  </si>
  <si>
    <t xml:space="preserve">Đổi ngưỡng cảnh báo: các ô VÀNG đầu sheet TỒN KHO (số ngày tính tốc độ bán, ngưỡng sắp hết, số ngày muốn đủ hàng). "Ngày chốt báo cáo" tự lấy ngày phiếu mới nhất.</t>
  </si>
  <si>
    <t xml:space="preserve">Quy ước: chữ XANH / ô vàng = chị nhập tay; chữ đen / ô xám = công thức, đừng xóa. Bảng XUẤT KHO / NHẬP KHO dùng được tới dòng 2004 (khoảng 2 năm). Đừng chèn cột, chỉ cần gõ thêm dòng.</t>
  </si>
  <si>
    <t xml:space="preserve">Màu trạng thái: ĐỎ = hết hàng (đang có người mua), VÀNG = sắp hết, TÍM = âm kho (thiếu phiếu nhập hoặc nhập sai), XÁM = chậm bán, XANH = đủ hàng.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</si>
</sst>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"/>
    <numFmt numFmtId="166" formatCode="#,##0&quot; đ&quot;"/>
    <numFmt numFmtId="167" formatCode="0"/>
    <numFmt numFmtId="168" formatCode="#,##0;[RED]\-#,##0;\-"/>
    <numFmt numFmtId="169" formatCode="0.00"/>
    <numFmt numFmtId="170" formatCode="General"/>
    <numFmt numFmtId="171" formatCode="#,##0,,&quot;tr&quot;"/>
    <numFmt numFmtId="172" formatCode="dd/mm/yyyy"/>
    <numFmt numFmtId="173" formatCode="0.0"/>
    <numFmt numFmtId="174" formatCode="#,##0;\-#,##0;\-"/>
    <numFmt numFmtId="175" formatCode="mm/yyyy"/>
    <numFmt numFmtId="176" formatCode="\Tm/yyyy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C00000"/>
      <name val="Arial"/>
      <family val="0"/>
      <charset val="1"/>
    </font>
    <font>
      <b val="true"/>
      <sz val="18"/>
      <color rgb="FFBF8F00"/>
      <name val="Arial"/>
      <family val="0"/>
      <charset val="1"/>
    </font>
    <font>
      <b val="true"/>
      <sz val="18"/>
      <color rgb="FF7030A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A6A6A6"/>
      <name val="Arial"/>
      <family val="0"/>
      <charset val="1"/>
    </font>
    <font>
      <sz val="10"/>
      <name val="Arial"/>
      <family val="0"/>
      <charset val="1"/>
    </font>
    <font>
      <sz val="10"/>
      <color rgb="FFA6A6A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sz val="10"/>
      <color rgb="FFC00000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C55A11"/>
      </patternFill>
    </fill>
    <fill>
      <patternFill patternType="solid">
        <fgColor rgb="FF7030A0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DE9D9"/>
      </patternFill>
    </fill>
    <fill>
      <patternFill patternType="solid">
        <fgColor rgb="FFD9E1F2"/>
        <bgColor rgb="FFE4DFEC"/>
      </patternFill>
    </fill>
    <fill>
      <patternFill patternType="solid">
        <fgColor rgb="FFDDEBF7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3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1" fillId="7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</font>
      <fill>
        <patternFill>
          <bgColor rgb="FFFFC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C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7030A0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4B6B6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ont>
        <name val="Arial"/>
        <charset val="1"/>
        <family val="0"/>
        <b val="1"/>
        <color rgb="FF7030A0"/>
      </font>
      <fill>
        <patternFill>
          <bgColor rgb="FFE4DFEC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9D9"/>
          <bgColor rgb="FF000000"/>
        </patternFill>
      </fill>
    </dxf>
    <dxf>
      <fill>
        <patternFill>
          <bgColor rgb="FFFDE9D9"/>
        </patternFill>
      </fill>
    </dxf>
    <dxf>
      <font>
        <name val="Arial"/>
        <charset val="1"/>
        <family val="0"/>
        <b val="1"/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008080"/>
      <rgbColor rgb="FFBFBFBF"/>
      <rgbColor rgb="FF7F7F7F"/>
      <rgbColor rgb="FFA6A6A6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DE9D9"/>
      <rgbColor rgb="FFD9E1F2"/>
      <rgbColor rgb="FFF9F9F9"/>
      <rgbColor rgb="FFE4DFEC"/>
      <rgbColor rgb="FFF4B6B6"/>
      <rgbColor rgb="FF4F81BD"/>
      <rgbColor rgb="FF33CCCC"/>
      <rgbColor rgb="FF99CC00"/>
      <rgbColor rgb="FFFFC000"/>
      <rgbColor rgb="FFBF8F00"/>
      <rgbColor rgb="FFC55A11"/>
      <rgbColor rgb="FF595959"/>
      <rgbColor rgb="FF878787"/>
      <rgbColor rgb="FF1F3864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Số lượng xuất theo tháng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'THEO THÁNG'!$D$4:$O$4</c:f>
              <c:strCache>
                <c:ptCount val="12"/>
                <c:pt idx="0">
                  <c:v>T6/2026</c:v>
                </c:pt>
                <c:pt idx="1">
                  <c:v>T7/2026</c:v>
                </c:pt>
                <c:pt idx="2">
                  <c:v>T8/2026</c:v>
                </c:pt>
                <c:pt idx="3">
                  <c:v>T9/2026</c:v>
                </c:pt>
                <c:pt idx="4">
                  <c:v>T10/2026</c:v>
                </c:pt>
                <c:pt idx="5">
                  <c:v>T11/2026</c:v>
                </c:pt>
                <c:pt idx="6">
                  <c:v>T12/2026</c:v>
                </c:pt>
                <c:pt idx="7">
                  <c:v>T1/2027</c:v>
                </c:pt>
                <c:pt idx="8">
                  <c:v>T2/2027</c:v>
                </c:pt>
                <c:pt idx="9">
                  <c:v>T3/2027</c:v>
                </c:pt>
                <c:pt idx="10">
                  <c:v>T4/2027</c:v>
                </c:pt>
                <c:pt idx="11">
                  <c:v>T5/2027</c:v>
                </c:pt>
              </c:strCache>
            </c:strRef>
          </c:cat>
          <c:val>
            <c:numRef>
              <c:f>'THEO THÁNG'!$D$71:$O$71</c:f>
              <c:numCache>
                <c:formatCode>#,##0</c:formatCode>
                <c:ptCount val="12"/>
                <c:pt idx="0">
                  <c:v>283</c:v>
                </c:pt>
                <c:pt idx="1">
                  <c:v>141</c:v>
                </c:pt>
                <c:pt idx="2">
                  <c:v>113</c:v>
                </c:pt>
                <c:pt idx="3">
                  <c:v>123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7781703"/>
        <c:axId val="36385672"/>
      </c:barChart>
      <c:catAx>
        <c:axId val="27781703"/>
        <c:scaling>
          <c:orientation val="minMax"/>
        </c:scaling>
        <c:delete val="0"/>
        <c:axPos val="b"/>
        <c:numFmt formatCode="\T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385672"/>
        <c:crosses val="autoZero"/>
        <c:auto val="1"/>
        <c:lblAlgn val="ctr"/>
        <c:lblOffset val="100"/>
        <c:noMultiLvlLbl val="0"/>
      </c:catAx>
      <c:valAx>
        <c:axId val="363856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7817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Doanh thu xuất theo tháng (VNĐ)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'THEO THÁNG'!$D$4:$O$4</c:f>
              <c:strCache>
                <c:ptCount val="12"/>
                <c:pt idx="0">
                  <c:v>T6/2026</c:v>
                </c:pt>
                <c:pt idx="1">
                  <c:v>T7/2026</c:v>
                </c:pt>
                <c:pt idx="2">
                  <c:v>T8/2026</c:v>
                </c:pt>
                <c:pt idx="3">
                  <c:v>T9/2026</c:v>
                </c:pt>
                <c:pt idx="4">
                  <c:v>T10/2026</c:v>
                </c:pt>
                <c:pt idx="5">
                  <c:v>T11/2026</c:v>
                </c:pt>
                <c:pt idx="6">
                  <c:v>T12/2026</c:v>
                </c:pt>
                <c:pt idx="7">
                  <c:v>T1/2027</c:v>
                </c:pt>
                <c:pt idx="8">
                  <c:v>T2/2027</c:v>
                </c:pt>
                <c:pt idx="9">
                  <c:v>T3/2027</c:v>
                </c:pt>
                <c:pt idx="10">
                  <c:v>T4/2027</c:v>
                </c:pt>
                <c:pt idx="11">
                  <c:v>T5/2027</c:v>
                </c:pt>
              </c:strCache>
            </c:strRef>
          </c:cat>
          <c:val>
            <c:numRef>
              <c:f>'THEO THÁNG'!$D$72:$O$72</c:f>
              <c:numCache>
                <c:formatCode>#,##0</c:formatCode>
                <c:ptCount val="12"/>
                <c:pt idx="0">
                  <c:v>856465350</c:v>
                </c:pt>
                <c:pt idx="1">
                  <c:v>492462400</c:v>
                </c:pt>
                <c:pt idx="2">
                  <c:v>399198050</c:v>
                </c:pt>
                <c:pt idx="3">
                  <c:v>368195300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24735016"/>
        <c:axId val="54559829"/>
      </c:barChart>
      <c:catAx>
        <c:axId val="24735016"/>
        <c:scaling>
          <c:orientation val="minMax"/>
        </c:scaling>
        <c:delete val="0"/>
        <c:axPos val="b"/>
        <c:numFmt formatCode="\T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59829"/>
        <c:crosses val="autoZero"/>
        <c:auto val="1"/>
        <c:lblAlgn val="ctr"/>
        <c:lblOffset val="100"/>
        <c:noMultiLvlLbl val="0"/>
      </c:catAx>
      <c:valAx>
        <c:axId val="545598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,,&quot;tr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3501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101160</xdr:rowOff>
    </xdr:from>
    <xdr:to>
      <xdr:col>19</xdr:col>
      <xdr:colOff>547560</xdr:colOff>
      <xdr:row>13</xdr:row>
      <xdr:rowOff>114840</xdr:rowOff>
    </xdr:to>
    <xdr:graphicFrame>
      <xdr:nvGraphicFramePr>
        <xdr:cNvPr id="0" name="Chart 1"/>
        <xdr:cNvGraphicFramePr/>
      </xdr:nvGraphicFramePr>
      <xdr:xfrm>
        <a:off x="10008720" y="57168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18</xdr:row>
      <xdr:rowOff>101160</xdr:rowOff>
    </xdr:from>
    <xdr:to>
      <xdr:col>19</xdr:col>
      <xdr:colOff>547560</xdr:colOff>
      <xdr:row>31</xdr:row>
      <xdr:rowOff>133920</xdr:rowOff>
    </xdr:to>
    <xdr:graphicFrame>
      <xdr:nvGraphicFramePr>
        <xdr:cNvPr id="1" name="Chart 2"/>
        <xdr:cNvGraphicFramePr/>
      </xdr:nvGraphicFramePr>
      <xdr:xfrm>
        <a:off x="10008720" y="4210200"/>
        <a:ext cx="503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L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8"/>
    <col collapsed="false" customWidth="true" hidden="false" outlineLevel="0" max="11" min="10" style="0" width="3"/>
    <col collapsed="false" customWidth="true" hidden="true" outlineLevel="0" max="12" min="12" style="0" width="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tr">
        <f aca="false">"Số liệu đến ngày "&amp;TEXT('TỒN KHO'!$E$3,"dd/mm/yyyy")&amp;"  |  Tồn đầu kỳ hết "&amp;TEXT('TỒN KHO'!$E$4,"dd/mm/yyyy")&amp;"  |  Đã ghi "&amp;TEXT(SUMIFS('NHẬP KHO'!$E$5:$E$2004,'NHẬP KHO'!$A$5:$A$2004,"&gt;"&amp;'TỒN KHO'!$E$4),"#,##0")&amp;" thùng/lon nhập sau đó"</f>
        <v>Số liệu đến ngày 29/09/2026  |  Tồn đầu kỳ hết 07/06/2026  |  Đã ghi 19 thùng/lon nhập sau đó</v>
      </c>
    </row>
    <row r="3" customFormat="false" ht="15" hidden="false" customHeight="false" outlineLevel="0" collapsed="false">
      <c r="A3" s="3" t="str">
        <f aca="false">'TỒN KHO'!G8</f>
        <v/>
      </c>
    </row>
    <row r="4" customFormat="false" ht="25.5" hidden="false" customHeight="true" outlineLevel="0" collapsed="false">
      <c r="A4" s="4" t="s">
        <v>1</v>
      </c>
      <c r="B4" s="4"/>
      <c r="C4" s="4" t="s">
        <v>2</v>
      </c>
      <c r="D4" s="4"/>
      <c r="E4" s="5" t="s">
        <v>3</v>
      </c>
      <c r="F4" s="5"/>
      <c r="G4" s="6" t="s">
        <v>4</v>
      </c>
      <c r="H4" s="6"/>
      <c r="I4" s="7" t="s">
        <v>5</v>
      </c>
      <c r="J4" s="7"/>
    </row>
    <row r="5" customFormat="false" ht="36" hidden="false" customHeight="true" outlineLevel="0" collapsed="false">
      <c r="A5" s="8" t="n">
        <f aca="false">SUM('TỒN KHO'!$J$11:$J$76)</f>
        <v>2143</v>
      </c>
      <c r="B5" s="8"/>
      <c r="C5" s="9" t="n">
        <f aca="false">SUM('TỒN KHO'!$O$11:$O$76)</f>
        <v>6388899000</v>
      </c>
      <c r="D5" s="9"/>
      <c r="E5" s="10" t="n">
        <f aca="false">COUNTIF('TỒN KHO'!$P$11:$P$76,"HẾT HÀNG")</f>
        <v>0</v>
      </c>
      <c r="F5" s="10"/>
      <c r="G5" s="11" t="n">
        <f aca="false">COUNTIF('TỒN KHO'!$P$11:$P$76,"SẮP HẾT")</f>
        <v>1</v>
      </c>
      <c r="H5" s="11"/>
      <c r="I5" s="12" t="n">
        <f aca="false">COUNTIF('TỒN KHO'!$P$11:$P$76,"ÂM*")</f>
        <v>3</v>
      </c>
      <c r="J5" s="12"/>
    </row>
    <row r="7" customFormat="false" ht="15" hidden="false" customHeight="false" outlineLevel="0" collapsed="false">
      <c r="A7" s="13" t="s">
        <v>6</v>
      </c>
    </row>
    <row r="8" customFormat="false" ht="30" hidden="false" customHeight="true" outlineLevel="0" collapsed="false">
      <c r="A8" s="14" t="s">
        <v>7</v>
      </c>
      <c r="B8" s="14" t="s">
        <v>8</v>
      </c>
      <c r="C8" s="14" t="s">
        <v>9</v>
      </c>
      <c r="D8" s="14" t="s">
        <v>10</v>
      </c>
      <c r="E8" s="14" t="s">
        <v>11</v>
      </c>
      <c r="F8" s="14" t="s">
        <v>12</v>
      </c>
      <c r="G8" s="14" t="s">
        <v>13</v>
      </c>
      <c r="H8" s="14" t="s">
        <v>14</v>
      </c>
      <c r="I8" s="14" t="s">
        <v>15</v>
      </c>
      <c r="L8" s="15" t="s">
        <v>16</v>
      </c>
    </row>
    <row r="9" customFormat="false" ht="15" hidden="false" customHeight="false" outlineLevel="0" collapsed="false">
      <c r="A9" s="16" t="n">
        <v>1</v>
      </c>
      <c r="B9" s="16" t="str">
        <f aca="false">IF($L9="","",INDEX('TỒN KHO'!$C$11:$C$76,$L9))</f>
        <v>IEW</v>
      </c>
      <c r="C9" s="16" t="str">
        <f aca="false">IF($L9="","",INDEX('TỒN KHO'!$E$11:$E$76,$L9))</f>
        <v>18L</v>
      </c>
      <c r="D9" s="16" t="str">
        <f aca="false">IF($L9="","",INDEX('TỒN KHO'!$D$11:$D$76,$L9))</f>
        <v>Sơn nội thất siêu trắng Imperia IEW</v>
      </c>
      <c r="E9" s="17" t="n">
        <f aca="false">IF($L9="","",INDEX('TỒN KHO'!$J$11:$J$76,$L9))</f>
        <v>3</v>
      </c>
      <c r="F9" s="18" t="n">
        <f aca="false">IF($L9="","",INDEX('TỒN KHO'!$L$11:$L$76,$L9))</f>
        <v>0.222222222222222</v>
      </c>
      <c r="G9" s="19" t="n">
        <f aca="false">IF($L9="","",INDEX('TỒN KHO'!$M$11:$M$76,$L9))</f>
        <v>13.5</v>
      </c>
      <c r="H9" s="20" t="n">
        <f aca="false">IF($L9="","",INDEX('TỒN KHO'!$N$11:$N$76,$L9))</f>
        <v>7</v>
      </c>
      <c r="I9" s="16" t="str">
        <f aca="false">IF($L9="","",INDEX('TỒN KHO'!$P$11:$P$76,$L9))</f>
        <v>SẮP HẾT</v>
      </c>
      <c r="L9" s="21" t="n">
        <f aca="false">IFERROR(MATCH(SMALL('TỒN KHO'!$Q$11:$Q$76,A9),'TỒN KHO'!$Q$11:$Q$76,0),"")</f>
        <v>14</v>
      </c>
    </row>
    <row r="10" customFormat="false" ht="15" hidden="false" customHeight="false" outlineLevel="0" collapsed="false">
      <c r="A10" s="16" t="n">
        <v>2</v>
      </c>
      <c r="B10" s="16" t="str">
        <f aca="false">IF($L10="","",INDEX('TỒN KHO'!$C$11:$C$76,$L10))</f>
        <v/>
      </c>
      <c r="C10" s="16" t="str">
        <f aca="false">IF($L10="","",INDEX('TỒN KHO'!$E$11:$E$76,$L10))</f>
        <v/>
      </c>
      <c r="D10" s="16" t="str">
        <f aca="false">IF($L10="","",INDEX('TỒN KHO'!$D$11:$D$76,$L10))</f>
        <v/>
      </c>
      <c r="E10" s="16" t="str">
        <f aca="false">IF($L10="","",INDEX('TỒN KHO'!$J$11:$J$76,$L10))</f>
        <v/>
      </c>
      <c r="F10" s="18" t="str">
        <f aca="false">IF($L10="","",INDEX('TỒN KHO'!$L$11:$L$76,$L10))</f>
        <v/>
      </c>
      <c r="G10" s="19" t="str">
        <f aca="false">IF($L10="","",INDEX('TỒN KHO'!$M$11:$M$76,$L10))</f>
        <v/>
      </c>
      <c r="H10" s="20" t="str">
        <f aca="false">IF($L10="","",INDEX('TỒN KHO'!$N$11:$N$76,$L10))</f>
        <v/>
      </c>
      <c r="I10" s="16" t="str">
        <f aca="false">IF($L10="","",INDEX('TỒN KHO'!$P$11:$P$76,$L10))</f>
        <v/>
      </c>
      <c r="L10" s="21" t="str">
        <f aca="false">IFERROR(MATCH(SMALL('TỒN KHO'!$Q$11:$Q$76,A10),'TỒN KHO'!$Q$11:$Q$76,0),"")</f>
        <v/>
      </c>
    </row>
    <row r="11" customFormat="false" ht="15" hidden="false" customHeight="false" outlineLevel="0" collapsed="false">
      <c r="A11" s="16" t="n">
        <v>3</v>
      </c>
      <c r="B11" s="16" t="str">
        <f aca="false">IF($L11="","",INDEX('TỒN KHO'!$C$11:$C$76,$L11))</f>
        <v/>
      </c>
      <c r="C11" s="16" t="str">
        <f aca="false">IF($L11="","",INDEX('TỒN KHO'!$E$11:$E$76,$L11))</f>
        <v/>
      </c>
      <c r="D11" s="16" t="str">
        <f aca="false">IF($L11="","",INDEX('TỒN KHO'!$D$11:$D$76,$L11))</f>
        <v/>
      </c>
      <c r="E11" s="16" t="str">
        <f aca="false">IF($L11="","",INDEX('TỒN KHO'!$J$11:$J$76,$L11))</f>
        <v/>
      </c>
      <c r="F11" s="18" t="str">
        <f aca="false">IF($L11="","",INDEX('TỒN KHO'!$L$11:$L$76,$L11))</f>
        <v/>
      </c>
      <c r="G11" s="19" t="str">
        <f aca="false">IF($L11="","",INDEX('TỒN KHO'!$M$11:$M$76,$L11))</f>
        <v/>
      </c>
      <c r="H11" s="20" t="str">
        <f aca="false">IF($L11="","",INDEX('TỒN KHO'!$N$11:$N$76,$L11))</f>
        <v/>
      </c>
      <c r="I11" s="16" t="str">
        <f aca="false">IF($L11="","",INDEX('TỒN KHO'!$P$11:$P$76,$L11))</f>
        <v/>
      </c>
      <c r="L11" s="21" t="str">
        <f aca="false">IFERROR(MATCH(SMALL('TỒN KHO'!$Q$11:$Q$76,A11),'TỒN KHO'!$Q$11:$Q$76,0),"")</f>
        <v/>
      </c>
    </row>
    <row r="12" customFormat="false" ht="15" hidden="false" customHeight="false" outlineLevel="0" collapsed="false">
      <c r="A12" s="16" t="n">
        <v>4</v>
      </c>
      <c r="B12" s="16" t="str">
        <f aca="false">IF($L12="","",INDEX('TỒN KHO'!$C$11:$C$76,$L12))</f>
        <v/>
      </c>
      <c r="C12" s="16" t="str">
        <f aca="false">IF($L12="","",INDEX('TỒN KHO'!$E$11:$E$76,$L12))</f>
        <v/>
      </c>
      <c r="D12" s="16" t="str">
        <f aca="false">IF($L12="","",INDEX('TỒN KHO'!$D$11:$D$76,$L12))</f>
        <v/>
      </c>
      <c r="E12" s="16" t="str">
        <f aca="false">IF($L12="","",INDEX('TỒN KHO'!$J$11:$J$76,$L12))</f>
        <v/>
      </c>
      <c r="F12" s="18" t="str">
        <f aca="false">IF($L12="","",INDEX('TỒN KHO'!$L$11:$L$76,$L12))</f>
        <v/>
      </c>
      <c r="G12" s="19" t="str">
        <f aca="false">IF($L12="","",INDEX('TỒN KHO'!$M$11:$M$76,$L12))</f>
        <v/>
      </c>
      <c r="H12" s="20" t="str">
        <f aca="false">IF($L12="","",INDEX('TỒN KHO'!$N$11:$N$76,$L12))</f>
        <v/>
      </c>
      <c r="I12" s="16" t="str">
        <f aca="false">IF($L12="","",INDEX('TỒN KHO'!$P$11:$P$76,$L12))</f>
        <v/>
      </c>
      <c r="L12" s="21" t="str">
        <f aca="false">IFERROR(MATCH(SMALL('TỒN KHO'!$Q$11:$Q$76,A12),'TỒN KHO'!$Q$11:$Q$76,0),"")</f>
        <v/>
      </c>
    </row>
    <row r="13" customFormat="false" ht="15" hidden="false" customHeight="false" outlineLevel="0" collapsed="false">
      <c r="A13" s="16" t="n">
        <v>5</v>
      </c>
      <c r="B13" s="16" t="str">
        <f aca="false">IF($L13="","",INDEX('TỒN KHO'!$C$11:$C$76,$L13))</f>
        <v/>
      </c>
      <c r="C13" s="16" t="str">
        <f aca="false">IF($L13="","",INDEX('TỒN KHO'!$E$11:$E$76,$L13))</f>
        <v/>
      </c>
      <c r="D13" s="16" t="str">
        <f aca="false">IF($L13="","",INDEX('TỒN KHO'!$D$11:$D$76,$L13))</f>
        <v/>
      </c>
      <c r="E13" s="16" t="str">
        <f aca="false">IF($L13="","",INDEX('TỒN KHO'!$J$11:$J$76,$L13))</f>
        <v/>
      </c>
      <c r="F13" s="18" t="str">
        <f aca="false">IF($L13="","",INDEX('TỒN KHO'!$L$11:$L$76,$L13))</f>
        <v/>
      </c>
      <c r="G13" s="19" t="str">
        <f aca="false">IF($L13="","",INDEX('TỒN KHO'!$M$11:$M$76,$L13))</f>
        <v/>
      </c>
      <c r="H13" s="20" t="str">
        <f aca="false">IF($L13="","",INDEX('TỒN KHO'!$N$11:$N$76,$L13))</f>
        <v/>
      </c>
      <c r="I13" s="16" t="str">
        <f aca="false">IF($L13="","",INDEX('TỒN KHO'!$P$11:$P$76,$L13))</f>
        <v/>
      </c>
      <c r="L13" s="21" t="str">
        <f aca="false">IFERROR(MATCH(SMALL('TỒN KHO'!$Q$11:$Q$76,A13),'TỒN KHO'!$Q$11:$Q$76,0),"")</f>
        <v/>
      </c>
    </row>
    <row r="14" customFormat="false" ht="15" hidden="false" customHeight="false" outlineLevel="0" collapsed="false">
      <c r="A14" s="16" t="n">
        <v>6</v>
      </c>
      <c r="B14" s="16" t="str">
        <f aca="false">IF($L14="","",INDEX('TỒN KHO'!$C$11:$C$76,$L14))</f>
        <v/>
      </c>
      <c r="C14" s="16" t="str">
        <f aca="false">IF($L14="","",INDEX('TỒN KHO'!$E$11:$E$76,$L14))</f>
        <v/>
      </c>
      <c r="D14" s="16" t="str">
        <f aca="false">IF($L14="","",INDEX('TỒN KHO'!$D$11:$D$76,$L14))</f>
        <v/>
      </c>
      <c r="E14" s="16" t="str">
        <f aca="false">IF($L14="","",INDEX('TỒN KHO'!$J$11:$J$76,$L14))</f>
        <v/>
      </c>
      <c r="F14" s="18" t="str">
        <f aca="false">IF($L14="","",INDEX('TỒN KHO'!$L$11:$L$76,$L14))</f>
        <v/>
      </c>
      <c r="G14" s="19" t="str">
        <f aca="false">IF($L14="","",INDEX('TỒN KHO'!$M$11:$M$76,$L14))</f>
        <v/>
      </c>
      <c r="H14" s="20" t="str">
        <f aca="false">IF($L14="","",INDEX('TỒN KHO'!$N$11:$N$76,$L14))</f>
        <v/>
      </c>
      <c r="I14" s="16" t="str">
        <f aca="false">IF($L14="","",INDEX('TỒN KHO'!$P$11:$P$76,$L14))</f>
        <v/>
      </c>
      <c r="L14" s="21" t="str">
        <f aca="false">IFERROR(MATCH(SMALL('TỒN KHO'!$Q$11:$Q$76,A14),'TỒN KHO'!$Q$11:$Q$76,0),"")</f>
        <v/>
      </c>
    </row>
    <row r="15" customFormat="false" ht="15" hidden="false" customHeight="false" outlineLevel="0" collapsed="false">
      <c r="A15" s="16" t="n">
        <v>7</v>
      </c>
      <c r="B15" s="16" t="str">
        <f aca="false">IF($L15="","",INDEX('TỒN KHO'!$C$11:$C$76,$L15))</f>
        <v/>
      </c>
      <c r="C15" s="16" t="str">
        <f aca="false">IF($L15="","",INDEX('TỒN KHO'!$E$11:$E$76,$L15))</f>
        <v/>
      </c>
      <c r="D15" s="16" t="str">
        <f aca="false">IF($L15="","",INDEX('TỒN KHO'!$D$11:$D$76,$L15))</f>
        <v/>
      </c>
      <c r="E15" s="16" t="str">
        <f aca="false">IF($L15="","",INDEX('TỒN KHO'!$J$11:$J$76,$L15))</f>
        <v/>
      </c>
      <c r="F15" s="18" t="str">
        <f aca="false">IF($L15="","",INDEX('TỒN KHO'!$L$11:$L$76,$L15))</f>
        <v/>
      </c>
      <c r="G15" s="19" t="str">
        <f aca="false">IF($L15="","",INDEX('TỒN KHO'!$M$11:$M$76,$L15))</f>
        <v/>
      </c>
      <c r="H15" s="20" t="str">
        <f aca="false">IF($L15="","",INDEX('TỒN KHO'!$N$11:$N$76,$L15))</f>
        <v/>
      </c>
      <c r="I15" s="16" t="str">
        <f aca="false">IF($L15="","",INDEX('TỒN KHO'!$P$11:$P$76,$L15))</f>
        <v/>
      </c>
      <c r="L15" s="21" t="str">
        <f aca="false">IFERROR(MATCH(SMALL('TỒN KHO'!$Q$11:$Q$76,A15),'TỒN KHO'!$Q$11:$Q$76,0),"")</f>
        <v/>
      </c>
    </row>
    <row r="16" customFormat="false" ht="15" hidden="false" customHeight="false" outlineLevel="0" collapsed="false">
      <c r="A16" s="16" t="n">
        <v>8</v>
      </c>
      <c r="B16" s="16" t="str">
        <f aca="false">IF($L16="","",INDEX('TỒN KHO'!$C$11:$C$76,$L16))</f>
        <v/>
      </c>
      <c r="C16" s="16" t="str">
        <f aca="false">IF($L16="","",INDEX('TỒN KHO'!$E$11:$E$76,$L16))</f>
        <v/>
      </c>
      <c r="D16" s="16" t="str">
        <f aca="false">IF($L16="","",INDEX('TỒN KHO'!$D$11:$D$76,$L16))</f>
        <v/>
      </c>
      <c r="E16" s="16" t="str">
        <f aca="false">IF($L16="","",INDEX('TỒN KHO'!$J$11:$J$76,$L16))</f>
        <v/>
      </c>
      <c r="F16" s="18" t="str">
        <f aca="false">IF($L16="","",INDEX('TỒN KHO'!$L$11:$L$76,$L16))</f>
        <v/>
      </c>
      <c r="G16" s="19" t="str">
        <f aca="false">IF($L16="","",INDEX('TỒN KHO'!$M$11:$M$76,$L16))</f>
        <v/>
      </c>
      <c r="H16" s="20" t="str">
        <f aca="false">IF($L16="","",INDEX('TỒN KHO'!$N$11:$N$76,$L16))</f>
        <v/>
      </c>
      <c r="I16" s="16" t="str">
        <f aca="false">IF($L16="","",INDEX('TỒN KHO'!$P$11:$P$76,$L16))</f>
        <v/>
      </c>
      <c r="L16" s="21" t="str">
        <f aca="false">IFERROR(MATCH(SMALL('TỒN KHO'!$Q$11:$Q$76,A16),'TỒN KHO'!$Q$11:$Q$76,0),"")</f>
        <v/>
      </c>
    </row>
    <row r="17" customFormat="false" ht="15" hidden="false" customHeight="false" outlineLevel="0" collapsed="false">
      <c r="A17" s="16" t="n">
        <v>9</v>
      </c>
      <c r="B17" s="16" t="str">
        <f aca="false">IF($L17="","",INDEX('TỒN KHO'!$C$11:$C$76,$L17))</f>
        <v/>
      </c>
      <c r="C17" s="16" t="str">
        <f aca="false">IF($L17="","",INDEX('TỒN KHO'!$E$11:$E$76,$L17))</f>
        <v/>
      </c>
      <c r="D17" s="16" t="str">
        <f aca="false">IF($L17="","",INDEX('TỒN KHO'!$D$11:$D$76,$L17))</f>
        <v/>
      </c>
      <c r="E17" s="16" t="str">
        <f aca="false">IF($L17="","",INDEX('TỒN KHO'!$J$11:$J$76,$L17))</f>
        <v/>
      </c>
      <c r="F17" s="18" t="str">
        <f aca="false">IF($L17="","",INDEX('TỒN KHO'!$L$11:$L$76,$L17))</f>
        <v/>
      </c>
      <c r="G17" s="19" t="str">
        <f aca="false">IF($L17="","",INDEX('TỒN KHO'!$M$11:$M$76,$L17))</f>
        <v/>
      </c>
      <c r="H17" s="20" t="str">
        <f aca="false">IF($L17="","",INDEX('TỒN KHO'!$N$11:$N$76,$L17))</f>
        <v/>
      </c>
      <c r="I17" s="16" t="str">
        <f aca="false">IF($L17="","",INDEX('TỒN KHO'!$P$11:$P$76,$L17))</f>
        <v/>
      </c>
      <c r="L17" s="21" t="str">
        <f aca="false">IFERROR(MATCH(SMALL('TỒN KHO'!$Q$11:$Q$76,A17),'TỒN KHO'!$Q$11:$Q$76,0),"")</f>
        <v/>
      </c>
    </row>
    <row r="18" customFormat="false" ht="15" hidden="false" customHeight="false" outlineLevel="0" collapsed="false">
      <c r="A18" s="16" t="n">
        <v>10</v>
      </c>
      <c r="B18" s="16" t="str">
        <f aca="false">IF($L18="","",INDEX('TỒN KHO'!$C$11:$C$76,$L18))</f>
        <v/>
      </c>
      <c r="C18" s="16" t="str">
        <f aca="false">IF($L18="","",INDEX('TỒN KHO'!$E$11:$E$76,$L18))</f>
        <v/>
      </c>
      <c r="D18" s="16" t="str">
        <f aca="false">IF($L18="","",INDEX('TỒN KHO'!$D$11:$D$76,$L18))</f>
        <v/>
      </c>
      <c r="E18" s="16" t="str">
        <f aca="false">IF($L18="","",INDEX('TỒN KHO'!$J$11:$J$76,$L18))</f>
        <v/>
      </c>
      <c r="F18" s="18" t="str">
        <f aca="false">IF($L18="","",INDEX('TỒN KHO'!$L$11:$L$76,$L18))</f>
        <v/>
      </c>
      <c r="G18" s="19" t="str">
        <f aca="false">IF($L18="","",INDEX('TỒN KHO'!$M$11:$M$76,$L18))</f>
        <v/>
      </c>
      <c r="H18" s="20" t="str">
        <f aca="false">IF($L18="","",INDEX('TỒN KHO'!$N$11:$N$76,$L18))</f>
        <v/>
      </c>
      <c r="I18" s="16" t="str">
        <f aca="false">IF($L18="","",INDEX('TỒN KHO'!$P$11:$P$76,$L18))</f>
        <v/>
      </c>
      <c r="L18" s="21" t="str">
        <f aca="false">IFERROR(MATCH(SMALL('TỒN KHO'!$Q$11:$Q$76,A18),'TỒN KHO'!$Q$11:$Q$76,0),"")</f>
        <v/>
      </c>
    </row>
    <row r="19" customFormat="false" ht="15" hidden="false" customHeight="false" outlineLevel="0" collapsed="false">
      <c r="A19" s="16" t="n">
        <v>11</v>
      </c>
      <c r="B19" s="16" t="str">
        <f aca="false">IF($L19="","",INDEX('TỒN KHO'!$C$11:$C$76,$L19))</f>
        <v/>
      </c>
      <c r="C19" s="16" t="str">
        <f aca="false">IF($L19="","",INDEX('TỒN KHO'!$E$11:$E$76,$L19))</f>
        <v/>
      </c>
      <c r="D19" s="16" t="str">
        <f aca="false">IF($L19="","",INDEX('TỒN KHO'!$D$11:$D$76,$L19))</f>
        <v/>
      </c>
      <c r="E19" s="16" t="str">
        <f aca="false">IF($L19="","",INDEX('TỒN KHO'!$J$11:$J$76,$L19))</f>
        <v/>
      </c>
      <c r="F19" s="18" t="str">
        <f aca="false">IF($L19="","",INDEX('TỒN KHO'!$L$11:$L$76,$L19))</f>
        <v/>
      </c>
      <c r="G19" s="19" t="str">
        <f aca="false">IF($L19="","",INDEX('TỒN KHO'!$M$11:$M$76,$L19))</f>
        <v/>
      </c>
      <c r="H19" s="20" t="str">
        <f aca="false">IF($L19="","",INDEX('TỒN KHO'!$N$11:$N$76,$L19))</f>
        <v/>
      </c>
      <c r="I19" s="16" t="str">
        <f aca="false">IF($L19="","",INDEX('TỒN KHO'!$P$11:$P$76,$L19))</f>
        <v/>
      </c>
      <c r="L19" s="21" t="str">
        <f aca="false">IFERROR(MATCH(SMALL('TỒN KHO'!$Q$11:$Q$76,A19),'TỒN KHO'!$Q$11:$Q$76,0),"")</f>
        <v/>
      </c>
    </row>
    <row r="20" customFormat="false" ht="15" hidden="false" customHeight="false" outlineLevel="0" collapsed="false">
      <c r="A20" s="16" t="n">
        <v>12</v>
      </c>
      <c r="B20" s="16" t="str">
        <f aca="false">IF($L20="","",INDEX('TỒN KHO'!$C$11:$C$76,$L20))</f>
        <v/>
      </c>
      <c r="C20" s="16" t="str">
        <f aca="false">IF($L20="","",INDEX('TỒN KHO'!$E$11:$E$76,$L20))</f>
        <v/>
      </c>
      <c r="D20" s="16" t="str">
        <f aca="false">IF($L20="","",INDEX('TỒN KHO'!$D$11:$D$76,$L20))</f>
        <v/>
      </c>
      <c r="E20" s="16" t="str">
        <f aca="false">IF($L20="","",INDEX('TỒN KHO'!$J$11:$J$76,$L20))</f>
        <v/>
      </c>
      <c r="F20" s="18" t="str">
        <f aca="false">IF($L20="","",INDEX('TỒN KHO'!$L$11:$L$76,$L20))</f>
        <v/>
      </c>
      <c r="G20" s="19" t="str">
        <f aca="false">IF($L20="","",INDEX('TỒN KHO'!$M$11:$M$76,$L20))</f>
        <v/>
      </c>
      <c r="H20" s="20" t="str">
        <f aca="false">IF($L20="","",INDEX('TỒN KHO'!$N$11:$N$76,$L20))</f>
        <v/>
      </c>
      <c r="I20" s="16" t="str">
        <f aca="false">IF($L20="","",INDEX('TỒN KHO'!$P$11:$P$76,$L20))</f>
        <v/>
      </c>
      <c r="L20" s="21" t="str">
        <f aca="false">IFERROR(MATCH(SMALL('TỒN KHO'!$Q$11:$Q$76,A20),'TỒN KHO'!$Q$11:$Q$76,0),"")</f>
        <v/>
      </c>
    </row>
    <row r="21" customFormat="false" ht="15" hidden="false" customHeight="false" outlineLevel="0" collapsed="false">
      <c r="A21" s="16" t="n">
        <v>13</v>
      </c>
      <c r="B21" s="16" t="str">
        <f aca="false">IF($L21="","",INDEX('TỒN KHO'!$C$11:$C$76,$L21))</f>
        <v/>
      </c>
      <c r="C21" s="16" t="str">
        <f aca="false">IF($L21="","",INDEX('TỒN KHO'!$E$11:$E$76,$L21))</f>
        <v/>
      </c>
      <c r="D21" s="16" t="str">
        <f aca="false">IF($L21="","",INDEX('TỒN KHO'!$D$11:$D$76,$L21))</f>
        <v/>
      </c>
      <c r="E21" s="16" t="str">
        <f aca="false">IF($L21="","",INDEX('TỒN KHO'!$J$11:$J$76,$L21))</f>
        <v/>
      </c>
      <c r="F21" s="18" t="str">
        <f aca="false">IF($L21="","",INDEX('TỒN KHO'!$L$11:$L$76,$L21))</f>
        <v/>
      </c>
      <c r="G21" s="19" t="str">
        <f aca="false">IF($L21="","",INDEX('TỒN KHO'!$M$11:$M$76,$L21))</f>
        <v/>
      </c>
      <c r="H21" s="20" t="str">
        <f aca="false">IF($L21="","",INDEX('TỒN KHO'!$N$11:$N$76,$L21))</f>
        <v/>
      </c>
      <c r="I21" s="16" t="str">
        <f aca="false">IF($L21="","",INDEX('TỒN KHO'!$P$11:$P$76,$L21))</f>
        <v/>
      </c>
      <c r="L21" s="21" t="str">
        <f aca="false">IFERROR(MATCH(SMALL('TỒN KHO'!$Q$11:$Q$76,A21),'TỒN KHO'!$Q$11:$Q$76,0),"")</f>
        <v/>
      </c>
    </row>
    <row r="22" customFormat="false" ht="15" hidden="false" customHeight="false" outlineLevel="0" collapsed="false">
      <c r="A22" s="16" t="n">
        <v>14</v>
      </c>
      <c r="B22" s="16" t="str">
        <f aca="false">IF($L22="","",INDEX('TỒN KHO'!$C$11:$C$76,$L22))</f>
        <v/>
      </c>
      <c r="C22" s="16" t="str">
        <f aca="false">IF($L22="","",INDEX('TỒN KHO'!$E$11:$E$76,$L22))</f>
        <v/>
      </c>
      <c r="D22" s="16" t="str">
        <f aca="false">IF($L22="","",INDEX('TỒN KHO'!$D$11:$D$76,$L22))</f>
        <v/>
      </c>
      <c r="E22" s="16" t="str">
        <f aca="false">IF($L22="","",INDEX('TỒN KHO'!$J$11:$J$76,$L22))</f>
        <v/>
      </c>
      <c r="F22" s="18" t="str">
        <f aca="false">IF($L22="","",INDEX('TỒN KHO'!$L$11:$L$76,$L22))</f>
        <v/>
      </c>
      <c r="G22" s="19" t="str">
        <f aca="false">IF($L22="","",INDEX('TỒN KHO'!$M$11:$M$76,$L22))</f>
        <v/>
      </c>
      <c r="H22" s="20" t="str">
        <f aca="false">IF($L22="","",INDEX('TỒN KHO'!$N$11:$N$76,$L22))</f>
        <v/>
      </c>
      <c r="I22" s="16" t="str">
        <f aca="false">IF($L22="","",INDEX('TỒN KHO'!$P$11:$P$76,$L22))</f>
        <v/>
      </c>
      <c r="L22" s="21" t="str">
        <f aca="false">IFERROR(MATCH(SMALL('TỒN KHO'!$Q$11:$Q$76,A22),'TỒN KHO'!$Q$11:$Q$76,0),"")</f>
        <v/>
      </c>
    </row>
    <row r="23" customFormat="false" ht="15" hidden="false" customHeight="false" outlineLevel="0" collapsed="false">
      <c r="A23" s="16" t="n">
        <v>15</v>
      </c>
      <c r="B23" s="16" t="str">
        <f aca="false">IF($L23="","",INDEX('TỒN KHO'!$C$11:$C$76,$L23))</f>
        <v/>
      </c>
      <c r="C23" s="16" t="str">
        <f aca="false">IF($L23="","",INDEX('TỒN KHO'!$E$11:$E$76,$L23))</f>
        <v/>
      </c>
      <c r="D23" s="16" t="str">
        <f aca="false">IF($L23="","",INDEX('TỒN KHO'!$D$11:$D$76,$L23))</f>
        <v/>
      </c>
      <c r="E23" s="16" t="str">
        <f aca="false">IF($L23="","",INDEX('TỒN KHO'!$J$11:$J$76,$L23))</f>
        <v/>
      </c>
      <c r="F23" s="18" t="str">
        <f aca="false">IF($L23="","",INDEX('TỒN KHO'!$L$11:$L$76,$L23))</f>
        <v/>
      </c>
      <c r="G23" s="19" t="str">
        <f aca="false">IF($L23="","",INDEX('TỒN KHO'!$M$11:$M$76,$L23))</f>
        <v/>
      </c>
      <c r="H23" s="20" t="str">
        <f aca="false">IF($L23="","",INDEX('TỒN KHO'!$N$11:$N$76,$L23))</f>
        <v/>
      </c>
      <c r="I23" s="16" t="str">
        <f aca="false">IF($L23="","",INDEX('TỒN KHO'!$P$11:$P$76,$L23))</f>
        <v/>
      </c>
      <c r="L23" s="21" t="str">
        <f aca="false">IFERROR(MATCH(SMALL('TỒN KHO'!$Q$11:$Q$76,A23),'TỒN KHO'!$Q$11:$Q$76,0),"")</f>
        <v/>
      </c>
    </row>
    <row r="25" customFormat="false" ht="15" hidden="false" customHeight="false" outlineLevel="0" collapsed="false">
      <c r="A25" s="22" t="s">
        <v>17</v>
      </c>
    </row>
    <row r="26" customFormat="false" ht="30" hidden="false" customHeight="true" outlineLevel="0" collapsed="false">
      <c r="A26" s="14" t="s">
        <v>7</v>
      </c>
      <c r="B26" s="14" t="s">
        <v>8</v>
      </c>
      <c r="C26" s="14" t="s">
        <v>9</v>
      </c>
      <c r="D26" s="14" t="s">
        <v>10</v>
      </c>
      <c r="E26" s="14" t="s">
        <v>18</v>
      </c>
      <c r="F26" s="14" t="s">
        <v>19</v>
      </c>
      <c r="G26" s="14" t="s">
        <v>13</v>
      </c>
      <c r="H26" s="14" t="s">
        <v>15</v>
      </c>
    </row>
    <row r="27" customFormat="false" ht="15" hidden="false" customHeight="false" outlineLevel="0" collapsed="false">
      <c r="A27" s="16" t="n">
        <v>1</v>
      </c>
      <c r="B27" s="16" t="str">
        <f aca="false">IF($L27="","",INDEX('TỒN KHO'!$C$11:$C$76,$L27))</f>
        <v>IG05</v>
      </c>
      <c r="C27" s="16" t="str">
        <f aca="false">IF($L27="","",INDEX('TỒN KHO'!$E$11:$E$76,$L27))</f>
        <v>18L</v>
      </c>
      <c r="D27" s="16" t="str">
        <f aca="false">IF($L27="","",INDEX('TỒN KHO'!$D$11:$D$76,$L27))</f>
        <v>Sơn nội thất siêu bóng cao cấp Imperia IG05</v>
      </c>
      <c r="E27" s="17" t="n">
        <f aca="false">IF($L27="","",INDEX('TỒN KHO'!$K$11:$K$76,$L27))</f>
        <v>56</v>
      </c>
      <c r="F27" s="17" t="n">
        <f aca="false">IF($L27="","",INDEX('TỒN KHO'!$J$11:$J$76,$L27))</f>
        <v>107</v>
      </c>
      <c r="G27" s="19" t="n">
        <f aca="false">IF($L27="","",INDEX('TỒN KHO'!$M$11:$M$76,$L27))</f>
        <v>171.964285714286</v>
      </c>
      <c r="H27" s="16" t="str">
        <f aca="false">IF($L27="","",INDEX('TỒN KHO'!$P$11:$P$76,$L27))</f>
        <v>Đủ hàng</v>
      </c>
      <c r="L27" s="21" t="n">
        <f aca="false">IFERROR(MATCH(LARGE('TỒN KHO'!$R$11:$R$76,A27),'TỒN KHO'!$R$11:$R$76,0),"")</f>
        <v>20</v>
      </c>
    </row>
    <row r="28" customFormat="false" ht="15" hidden="false" customHeight="false" outlineLevel="0" collapsed="false">
      <c r="A28" s="16" t="n">
        <v>2</v>
      </c>
      <c r="B28" s="16" t="str">
        <f aca="false">IF($L28="","",INDEX('TỒN KHO'!$C$11:$C$76,$L28))</f>
        <v>PI04</v>
      </c>
      <c r="C28" s="16" t="str">
        <f aca="false">IF($L28="","",INDEX('TỒN KHO'!$E$11:$E$76,$L28))</f>
        <v>18L</v>
      </c>
      <c r="D28" s="16" t="str">
        <f aca="false">IF($L28="","",INDEX('TỒN KHO'!$D$11:$D$76,$L28))</f>
        <v>Sơn lót nội thất kháng kiềm cao cấp Imperia PI04</v>
      </c>
      <c r="E28" s="17" t="n">
        <f aca="false">IF($L28="","",INDEX('TỒN KHO'!$K$11:$K$76,$L28))</f>
        <v>50</v>
      </c>
      <c r="F28" s="17" t="n">
        <f aca="false">IF($L28="","",INDEX('TỒN KHO'!$J$11:$J$76,$L28))</f>
        <v>117</v>
      </c>
      <c r="G28" s="19" t="n">
        <f aca="false">IF($L28="","",INDEX('TỒN KHO'!$M$11:$M$76,$L28))</f>
        <v>210.6</v>
      </c>
      <c r="H28" s="16" t="str">
        <f aca="false">IF($L28="","",INDEX('TỒN KHO'!$P$11:$P$76,$L28))</f>
        <v>Đủ hàng</v>
      </c>
      <c r="L28" s="21" t="n">
        <f aca="false">IFERROR(MATCH(LARGE('TỒN KHO'!$R$11:$R$76,A28),'TỒN KHO'!$R$11:$R$76,0),"")</f>
        <v>2</v>
      </c>
    </row>
    <row r="29" customFormat="false" ht="15" hidden="false" customHeight="false" outlineLevel="0" collapsed="false">
      <c r="A29" s="16" t="n">
        <v>3</v>
      </c>
      <c r="B29" s="16" t="str">
        <f aca="false">IF($L29="","",INDEX('TỒN KHO'!$C$11:$C$76,$L29))</f>
        <v>ETM-309</v>
      </c>
      <c r="C29" s="16" t="str">
        <f aca="false">IF($L29="","",INDEX('TỒN KHO'!$E$11:$E$76,$L29))</f>
        <v>18L</v>
      </c>
      <c r="D29" s="16" t="str">
        <f aca="false">IF($L29="","",INDEX('TỒN KHO'!$D$11:$D$76,$L29))</f>
        <v>Sơn chống thấm màu ETM 309 (ghi đậm)</v>
      </c>
      <c r="E29" s="17" t="n">
        <f aca="false">IF($L29="","",INDEX('TỒN KHO'!$K$11:$K$76,$L29))</f>
        <v>31</v>
      </c>
      <c r="F29" s="17" t="n">
        <f aca="false">IF($L29="","",INDEX('TỒN KHO'!$J$11:$J$76,$L29))</f>
        <v>81</v>
      </c>
      <c r="G29" s="19" t="n">
        <f aca="false">IF($L29="","",INDEX('TỒN KHO'!$M$11:$M$76,$L29))</f>
        <v>235.161290322581</v>
      </c>
      <c r="H29" s="16" t="str">
        <f aca="false">IF($L29="","",INDEX('TỒN KHO'!$P$11:$P$76,$L29))</f>
        <v>Đủ hàng</v>
      </c>
      <c r="L29" s="21" t="n">
        <f aca="false">IFERROR(MATCH(LARGE('TỒN KHO'!$R$11:$R$76,A29),'TỒN KHO'!$R$11:$R$76,0),"")</f>
        <v>38</v>
      </c>
    </row>
    <row r="30" customFormat="false" ht="15" hidden="false" customHeight="false" outlineLevel="0" collapsed="false">
      <c r="A30" s="16" t="n">
        <v>4</v>
      </c>
      <c r="B30" s="16" t="str">
        <f aca="false">IF($L30="","",INDEX('TỒN KHO'!$C$11:$C$76,$L30))</f>
        <v>BA-NOI</v>
      </c>
      <c r="C30" s="16" t="str">
        <f aca="false">IF($L30="","",INDEX('TỒN KHO'!$E$11:$E$76,$L30))</f>
        <v>Bao</v>
      </c>
      <c r="D30" s="16" t="str">
        <f aca="false">IF($L30="","",INDEX('TỒN KHO'!$D$11:$D$76,$L30))</f>
        <v>Bột bả nội thất Imperia IP15 (40kg)</v>
      </c>
      <c r="E30" s="17" t="n">
        <f aca="false">IF($L30="","",INDEX('TỒN KHO'!$K$11:$K$76,$L30))</f>
        <v>23</v>
      </c>
      <c r="F30" s="17" t="n">
        <f aca="false">IF($L30="","",INDEX('TỒN KHO'!$J$11:$J$76,$L30))</f>
        <v>-21</v>
      </c>
      <c r="G30" s="19" t="n">
        <f aca="false">IF($L30="","",INDEX('TỒN KHO'!$M$11:$M$76,$L30))</f>
        <v>0</v>
      </c>
      <c r="H30" s="16" t="str">
        <f aca="false">IF($L30="","",INDEX('TỒN KHO'!$P$11:$P$76,$L30))</f>
        <v>ÂM KHO – kiểm tra</v>
      </c>
      <c r="L30" s="21" t="n">
        <f aca="false">IFERROR(MATCH(LARGE('TỒN KHO'!$R$11:$R$76,A30),'TỒN KHO'!$R$11:$R$76,0),"")</f>
        <v>45</v>
      </c>
    </row>
    <row r="31" customFormat="false" ht="15" hidden="false" customHeight="false" outlineLevel="0" collapsed="false">
      <c r="A31" s="16" t="n">
        <v>5</v>
      </c>
      <c r="B31" s="16" t="str">
        <f aca="false">IF($L31="","",INDEX('TỒN KHO'!$C$11:$C$76,$L31))</f>
        <v>IEW</v>
      </c>
      <c r="C31" s="16" t="str">
        <f aca="false">IF($L31="","",INDEX('TỒN KHO'!$E$11:$E$76,$L31))</f>
        <v>18L</v>
      </c>
      <c r="D31" s="16" t="str">
        <f aca="false">IF($L31="","",INDEX('TỒN KHO'!$D$11:$D$76,$L31))</f>
        <v>Sơn nội thất siêu trắng Imperia IEW</v>
      </c>
      <c r="E31" s="17" t="n">
        <f aca="false">IF($L31="","",INDEX('TỒN KHO'!$K$11:$K$76,$L31))</f>
        <v>20</v>
      </c>
      <c r="F31" s="17" t="n">
        <f aca="false">IF($L31="","",INDEX('TỒN KHO'!$J$11:$J$76,$L31))</f>
        <v>3</v>
      </c>
      <c r="G31" s="19" t="n">
        <f aca="false">IF($L31="","",INDEX('TỒN KHO'!$M$11:$M$76,$L31))</f>
        <v>13.5</v>
      </c>
      <c r="H31" s="16" t="str">
        <f aca="false">IF($L31="","",INDEX('TỒN KHO'!$P$11:$P$76,$L31))</f>
        <v>SẮP HẾT</v>
      </c>
      <c r="L31" s="21" t="n">
        <f aca="false">IFERROR(MATCH(LARGE('TỒN KHO'!$R$11:$R$76,A31),'TỒN KHO'!$R$11:$R$76,0),"")</f>
        <v>14</v>
      </c>
    </row>
    <row r="32" customFormat="false" ht="15" hidden="false" customHeight="false" outlineLevel="0" collapsed="false">
      <c r="A32" s="16" t="n">
        <v>6</v>
      </c>
      <c r="B32" s="16" t="str">
        <f aca="false">IF($L32="","",INDEX('TỒN KHO'!$C$11:$C$76,$L32))</f>
        <v>IL5</v>
      </c>
      <c r="C32" s="16" t="str">
        <f aca="false">IF($L32="","",INDEX('TỒN KHO'!$E$11:$E$76,$L32))</f>
        <v>18L</v>
      </c>
      <c r="D32" s="16" t="str">
        <f aca="false">IF($L32="","",INDEX('TỒN KHO'!$D$11:$D$76,$L32))</f>
        <v>Sơn lót nội thất kháng kiềm Silver IL5</v>
      </c>
      <c r="E32" s="17" t="n">
        <f aca="false">IF($L32="","",INDEX('TỒN KHO'!$K$11:$K$76,$L32))</f>
        <v>20</v>
      </c>
      <c r="F32" s="17" t="n">
        <f aca="false">IF($L32="","",INDEX('TỒN KHO'!$J$11:$J$76,$L32))</f>
        <v>62</v>
      </c>
      <c r="G32" s="19" t="n">
        <f aca="false">IF($L32="","",INDEX('TỒN KHO'!$M$11:$M$76,$L32))</f>
        <v>279</v>
      </c>
      <c r="H32" s="16" t="str">
        <f aca="false">IF($L32="","",INDEX('TỒN KHO'!$P$11:$P$76,$L32))</f>
        <v>Đủ hàng</v>
      </c>
      <c r="L32" s="21" t="n">
        <f aca="false">IFERROR(MATCH(LARGE('TỒN KHO'!$R$11:$R$76,A32),'TỒN KHO'!$R$11:$R$76,0),"")</f>
        <v>10</v>
      </c>
    </row>
    <row r="33" customFormat="false" ht="15" hidden="false" customHeight="false" outlineLevel="0" collapsed="false">
      <c r="A33" s="16" t="n">
        <v>7</v>
      </c>
      <c r="B33" s="16" t="str">
        <f aca="false">IF($L33="","",INDEX('TỒN KHO'!$C$11:$C$76,$L33))</f>
        <v>PE02</v>
      </c>
      <c r="C33" s="16" t="str">
        <f aca="false">IF($L33="","",INDEX('TỒN KHO'!$E$11:$E$76,$L33))</f>
        <v>18L</v>
      </c>
      <c r="D33" s="16" t="str">
        <f aca="false">IF($L33="","",INDEX('TỒN KHO'!$D$11:$D$76,$L33))</f>
        <v>Sơn lót ngoại thất kháng kiềm cao cấp Imperia PE02</v>
      </c>
      <c r="E33" s="17" t="n">
        <f aca="false">IF($L33="","",INDEX('TỒN KHO'!$K$11:$K$76,$L33))</f>
        <v>18</v>
      </c>
      <c r="F33" s="17" t="n">
        <f aca="false">IF($L33="","",INDEX('TỒN KHO'!$J$11:$J$76,$L33))</f>
        <v>225</v>
      </c>
      <c r="G33" s="19" t="n">
        <f aca="false">IF($L33="","",INDEX('TỒN KHO'!$M$11:$M$76,$L33))</f>
        <v>1125</v>
      </c>
      <c r="H33" s="16" t="str">
        <f aca="false">IF($L33="","",INDEX('TỒN KHO'!$P$11:$P$76,$L33))</f>
        <v>Đủ hàng</v>
      </c>
      <c r="L33" s="21" t="n">
        <f aca="false">IFERROR(MATCH(LARGE('TỒN KHO'!$R$11:$R$76,A33),'TỒN KHO'!$R$11:$R$76,0),"")</f>
        <v>4</v>
      </c>
    </row>
    <row r="34" customFormat="false" ht="15" hidden="false" customHeight="false" outlineLevel="0" collapsed="false">
      <c r="A34" s="16" t="n">
        <v>8</v>
      </c>
      <c r="B34" s="16" t="str">
        <f aca="false">IF($L34="","",INDEX('TỒN KHO'!$C$11:$C$76,$L34))</f>
        <v>EG09</v>
      </c>
      <c r="C34" s="16" t="str">
        <f aca="false">IF($L34="","",INDEX('TỒN KHO'!$E$11:$E$76,$L34))</f>
        <v>5L</v>
      </c>
      <c r="D34" s="16" t="str">
        <f aca="false">IF($L34="","",INDEX('TỒN KHO'!$D$11:$D$76,$L34))</f>
        <v>Sơn ngoại thất siêu bóng cao cấp Imperia EG09</v>
      </c>
      <c r="E34" s="17" t="n">
        <f aca="false">IF($L34="","",INDEX('TỒN KHO'!$K$11:$K$76,$L34))</f>
        <v>17</v>
      </c>
      <c r="F34" s="17" t="n">
        <f aca="false">IF($L34="","",INDEX('TỒN KHO'!$J$11:$J$76,$L34))</f>
        <v>203</v>
      </c>
      <c r="G34" s="19" t="n">
        <f aca="false">IF($L34="","",INDEX('TỒN KHO'!$M$11:$M$76,$L34))</f>
        <v>1074.70588235294</v>
      </c>
      <c r="H34" s="16" t="str">
        <f aca="false">IF($L34="","",INDEX('TỒN KHO'!$P$11:$P$76,$L34))</f>
        <v>Đủ hàng</v>
      </c>
      <c r="L34" s="21" t="n">
        <f aca="false">IFERROR(MATCH(LARGE('TỒN KHO'!$R$11:$R$76,A34),'TỒN KHO'!$R$11:$R$76,0),"")</f>
        <v>31</v>
      </c>
    </row>
    <row r="35" customFormat="false" ht="15" hidden="false" customHeight="false" outlineLevel="0" collapsed="false">
      <c r="A35" s="16" t="n">
        <v>9</v>
      </c>
      <c r="B35" s="16" t="str">
        <f aca="false">IF($L35="","",INDEX('TỒN KHO'!$C$11:$C$76,$L35))</f>
        <v>ISG06</v>
      </c>
      <c r="C35" s="16" t="str">
        <f aca="false">IF($L35="","",INDEX('TỒN KHO'!$E$11:$E$76,$L35))</f>
        <v>18L</v>
      </c>
      <c r="D35" s="16" t="str">
        <f aca="false">IF($L35="","",INDEX('TỒN KHO'!$D$11:$D$76,$L35))</f>
        <v>Sơn nội thất cao cấp bóng mờ Imperia ISG06</v>
      </c>
      <c r="E35" s="17" t="n">
        <f aca="false">IF($L35="","",INDEX('TỒN KHO'!$K$11:$K$76,$L35))</f>
        <v>15</v>
      </c>
      <c r="F35" s="17" t="n">
        <f aca="false">IF($L35="","",INDEX('TỒN KHO'!$J$11:$J$76,$L35))</f>
        <v>29</v>
      </c>
      <c r="G35" s="19" t="n">
        <f aca="false">IF($L35="","",INDEX('TỒN KHO'!$M$11:$M$76,$L35))</f>
        <v>174</v>
      </c>
      <c r="H35" s="16" t="str">
        <f aca="false">IF($L35="","",INDEX('TỒN KHO'!$P$11:$P$76,$L35))</f>
        <v>Đủ hàng</v>
      </c>
      <c r="L35" s="21" t="n">
        <f aca="false">IFERROR(MATCH(LARGE('TỒN KHO'!$R$11:$R$76,A35),'TỒN KHO'!$R$11:$R$76,0),"")</f>
        <v>18</v>
      </c>
    </row>
    <row r="36" customFormat="false" ht="15" hidden="false" customHeight="false" outlineLevel="0" collapsed="false">
      <c r="A36" s="16" t="n">
        <v>10</v>
      </c>
      <c r="B36" s="16" t="str">
        <f aca="false">IF($L36="","",INDEX('TỒN KHO'!$C$11:$C$76,$L36))</f>
        <v>CT12</v>
      </c>
      <c r="C36" s="16" t="str">
        <f aca="false">IF($L36="","",INDEX('TỒN KHO'!$E$11:$E$76,$L36))</f>
        <v>18L</v>
      </c>
      <c r="D36" s="16" t="str">
        <f aca="false">IF($L36="","",INDEX('TỒN KHO'!$D$11:$D$76,$L36))</f>
        <v>Sơn chống thấm đa năng Imperia CT12</v>
      </c>
      <c r="E36" s="17" t="n">
        <f aca="false">IF($L36="","",INDEX('TỒN KHO'!$K$11:$K$76,$L36))</f>
        <v>14</v>
      </c>
      <c r="F36" s="17" t="n">
        <f aca="false">IF($L36="","",INDEX('TỒN KHO'!$J$11:$J$76,$L36))</f>
        <v>23</v>
      </c>
      <c r="G36" s="19" t="n">
        <f aca="false">IF($L36="","",INDEX('TỒN KHO'!$M$11:$M$76,$L36))</f>
        <v>147.857142857143</v>
      </c>
      <c r="H36" s="16" t="str">
        <f aca="false">IF($L36="","",INDEX('TỒN KHO'!$P$11:$P$76,$L36))</f>
        <v>Đủ hàng</v>
      </c>
      <c r="L36" s="21" t="n">
        <f aca="false">IFERROR(MATCH(LARGE('TỒN KHO'!$R$11:$R$76,A36),'TỒN KHO'!$R$11:$R$76,0),"")</f>
        <v>36</v>
      </c>
    </row>
    <row r="39" customFormat="false" ht="15" hidden="false" customHeight="false" outlineLevel="0" collapsed="false">
      <c r="A39" s="22" t="s">
        <v>20</v>
      </c>
    </row>
    <row r="40" customFormat="false" ht="30" hidden="false" customHeight="true" outlineLevel="0" collapsed="false">
      <c r="A40" s="14"/>
      <c r="B40" s="14" t="s">
        <v>21</v>
      </c>
      <c r="C40" s="14"/>
      <c r="D40" s="14"/>
      <c r="E40" s="14" t="s">
        <v>22</v>
      </c>
      <c r="F40" s="14" t="s">
        <v>23</v>
      </c>
      <c r="G40" s="14" t="s">
        <v>24</v>
      </c>
    </row>
    <row r="41" customFormat="false" ht="15" hidden="false" customHeight="false" outlineLevel="0" collapsed="false">
      <c r="A41" s="16"/>
      <c r="B41" s="16" t="s">
        <v>25</v>
      </c>
      <c r="C41" s="16"/>
      <c r="D41" s="16"/>
      <c r="E41" s="20" t="n">
        <f aca="false">SUMIFS('TỒN KHO'!$J$11:$J$76,'TỒN KHO'!$B$11:$B$76,$B41)</f>
        <v>549</v>
      </c>
      <c r="F41" s="20" t="n">
        <f aca="false">SUMIFS('TỒN KHO'!$O$11:$O$76,'TỒN KHO'!$B$11:$B$76,$B41)</f>
        <v>1793191000</v>
      </c>
      <c r="G41" s="16" t="n">
        <f aca="false">COUNTIFS('TỒN KHO'!$B$11:$B$76,$B41,'TỒN KHO'!$P$11:$P$76,"HẾT HÀNG")+COUNTIFS('TỒN KHO'!$B$11:$B$76,$B41,'TỒN KHO'!$P$11:$P$76,"SẮP HẾT")</f>
        <v>0</v>
      </c>
    </row>
    <row r="42" customFormat="false" ht="15" hidden="false" customHeight="false" outlineLevel="0" collapsed="false">
      <c r="A42" s="16"/>
      <c r="B42" s="16" t="s">
        <v>26</v>
      </c>
      <c r="C42" s="16"/>
      <c r="D42" s="16"/>
      <c r="E42" s="20" t="n">
        <f aca="false">SUMIFS('TỒN KHO'!$J$11:$J$76,'TỒN KHO'!$B$11:$B$76,$B42)</f>
        <v>398</v>
      </c>
      <c r="F42" s="20" t="n">
        <f aca="false">SUMIFS('TỒN KHO'!$O$11:$O$76,'TỒN KHO'!$B$11:$B$76,$B42)</f>
        <v>1277705000</v>
      </c>
      <c r="G42" s="16" t="n">
        <f aca="false">COUNTIFS('TỒN KHO'!$B$11:$B$76,$B42,'TỒN KHO'!$P$11:$P$76,"HẾT HÀNG")+COUNTIFS('TỒN KHO'!$B$11:$B$76,$B42,'TỒN KHO'!$P$11:$P$76,"SẮP HẾT")</f>
        <v>1</v>
      </c>
    </row>
    <row r="43" customFormat="false" ht="15" hidden="false" customHeight="false" outlineLevel="0" collapsed="false">
      <c r="A43" s="16"/>
      <c r="B43" s="16" t="s">
        <v>27</v>
      </c>
      <c r="C43" s="16"/>
      <c r="D43" s="16"/>
      <c r="E43" s="20" t="n">
        <f aca="false">SUMIFS('TỒN KHO'!$J$11:$J$76,'TỒN KHO'!$B$11:$B$76,$B43)</f>
        <v>1055</v>
      </c>
      <c r="F43" s="20" t="n">
        <f aca="false">SUMIFS('TỒN KHO'!$O$11:$O$76,'TỒN KHO'!$B$11:$B$76,$B43)</f>
        <v>2719271000</v>
      </c>
      <c r="G43" s="16" t="n">
        <f aca="false">COUNTIFS('TỒN KHO'!$B$11:$B$76,$B43,'TỒN KHO'!$P$11:$P$76,"HẾT HÀNG")+COUNTIFS('TỒN KHO'!$B$11:$B$76,$B43,'TỒN KHO'!$P$11:$P$76,"SẮP HẾT")</f>
        <v>0</v>
      </c>
    </row>
    <row r="44" customFormat="false" ht="15" hidden="false" customHeight="false" outlineLevel="0" collapsed="false">
      <c r="A44" s="16"/>
      <c r="B44" s="16" t="s">
        <v>28</v>
      </c>
      <c r="C44" s="16"/>
      <c r="D44" s="16"/>
      <c r="E44" s="20" t="n">
        <f aca="false">SUMIFS('TỒN KHO'!$J$11:$J$76,'TỒN KHO'!$B$11:$B$76,$B44)</f>
        <v>158</v>
      </c>
      <c r="F44" s="20" t="n">
        <f aca="false">SUMIFS('TỒN KHO'!$O$11:$O$76,'TỒN KHO'!$B$11:$B$76,$B44)</f>
        <v>596356000</v>
      </c>
      <c r="G44" s="16" t="n">
        <f aca="false">COUNTIFS('TỒN KHO'!$B$11:$B$76,$B44,'TỒN KHO'!$P$11:$P$76,"HẾT HÀNG")+COUNTIFS('TỒN KHO'!$B$11:$B$76,$B44,'TỒN KHO'!$P$11:$P$76,"SẮP HẾT")</f>
        <v>0</v>
      </c>
    </row>
    <row r="45" customFormat="false" ht="15" hidden="false" customHeight="false" outlineLevel="0" collapsed="false">
      <c r="A45" s="16"/>
      <c r="B45" s="16" t="s">
        <v>29</v>
      </c>
      <c r="C45" s="16"/>
      <c r="D45" s="16"/>
      <c r="E45" s="20" t="n">
        <f aca="false">SUMIFS('TỒN KHO'!$J$11:$J$76,'TỒN KHO'!$B$11:$B$76,$B45)</f>
        <v>-17</v>
      </c>
      <c r="F45" s="20" t="n">
        <f aca="false">SUMIFS('TỒN KHO'!$O$11:$O$76,'TỒN KHO'!$B$11:$B$76,$B45)</f>
        <v>2376000</v>
      </c>
      <c r="G45" s="16" t="n">
        <f aca="false">COUNTIFS('TỒN KHO'!$B$11:$B$76,$B45,'TỒN KHO'!$P$11:$P$76,"HẾT HÀNG")+COUNTIFS('TỒN KHO'!$B$11:$B$76,$B45,'TỒN KHO'!$P$11:$P$76,"SẮP HẾT")</f>
        <v>0</v>
      </c>
    </row>
  </sheetData>
  <mergeCells count="10"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</mergeCells>
  <conditionalFormatting sqref="I9:I23">
    <cfRule type="expression" priority="2" aboveAverage="0" equalAverage="0" bottom="0" percent="0" rank="0" text="" dxfId="0">
      <formula>I9="HẾT HÀNG"</formula>
    </cfRule>
    <cfRule type="expression" priority="3" aboveAverage="0" equalAverage="0" bottom="0" percent="0" rank="0" text="" dxfId="1">
      <formula>I9="SẮP HẾT"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R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4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9" min="8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10"/>
    <col collapsed="false" customWidth="true" hidden="false" outlineLevel="0" max="15" min="15" style="0" width="15"/>
    <col collapsed="false" customWidth="true" hidden="false" outlineLevel="0" max="16" min="16" style="0" width="19"/>
    <col collapsed="false" customWidth="true" hidden="true" outlineLevel="0" max="18" min="17" style="0" width="9"/>
  </cols>
  <sheetData>
    <row r="1" customFormat="false" ht="19.7" hidden="false" customHeight="false" outlineLevel="0" collapsed="false">
      <c r="A1" s="23" t="s">
        <v>30</v>
      </c>
    </row>
    <row r="2" customFormat="false" ht="15" hidden="false" customHeight="false" outlineLevel="0" collapsed="false">
      <c r="A2" s="2" t="s">
        <v>31</v>
      </c>
    </row>
    <row r="3" customFormat="false" ht="15" hidden="false" customHeight="false" outlineLevel="0" collapsed="false">
      <c r="A3" s="24" t="s">
        <v>32</v>
      </c>
      <c r="B3" s="24"/>
      <c r="C3" s="24"/>
      <c r="D3" s="24"/>
      <c r="E3" s="25" t="n">
        <f aca="false">MAX(MAX('XUẤT KHO'!$A$5:$A$2004),MAX('NHẬP KHO'!$A$5:$A$2004))</f>
        <v>46294</v>
      </c>
    </row>
    <row r="4" customFormat="false" ht="15" hidden="false" customHeight="false" outlineLevel="0" collapsed="false">
      <c r="A4" s="24" t="s">
        <v>33</v>
      </c>
      <c r="B4" s="24"/>
      <c r="C4" s="24"/>
      <c r="D4" s="24"/>
      <c r="E4" s="25" t="n">
        <v>46180</v>
      </c>
    </row>
    <row r="5" customFormat="false" ht="15" hidden="false" customHeight="false" outlineLevel="0" collapsed="false">
      <c r="A5" s="24" t="s">
        <v>34</v>
      </c>
      <c r="B5" s="24"/>
      <c r="C5" s="24"/>
      <c r="D5" s="24"/>
      <c r="E5" s="26" t="n">
        <v>90</v>
      </c>
    </row>
    <row r="6" customFormat="false" ht="15" hidden="false" customHeight="false" outlineLevel="0" collapsed="false">
      <c r="A6" s="24" t="s">
        <v>35</v>
      </c>
      <c r="B6" s="24"/>
      <c r="C6" s="24"/>
      <c r="D6" s="24"/>
      <c r="E6" s="26" t="n">
        <v>30</v>
      </c>
    </row>
    <row r="7" customFormat="false" ht="15" hidden="false" customHeight="false" outlineLevel="0" collapsed="false">
      <c r="A7" s="24" t="s">
        <v>36</v>
      </c>
      <c r="B7" s="24"/>
      <c r="C7" s="24"/>
      <c r="D7" s="24"/>
      <c r="E7" s="26" t="n">
        <v>45</v>
      </c>
    </row>
    <row r="8" customFormat="false" ht="15" hidden="false" customHeight="false" outlineLevel="0" collapsed="false">
      <c r="G8" s="3" t="str">
        <f aca="false">IF(ABS(SUMIFS('XUẤT KHO'!$E$5:$E$2004,'XUẤT KHO'!$A$5:$A$2004,"&gt;"&amp;$E$4)-I77)+ABS(SUMIFS('NHẬP KHO'!$E$5:$E$2004,'NHẬP KHO'!$A$5:$A$2004,"&gt;"&amp;$E$4)-H77)&gt;0,"⚠ Có phiếu XUẤT/NHẬP ghi mã hoặc dung tích chưa có trong bảng dưới (số lượng lệch: "&amp;TEXT(SUMIFS('XUẤT KHO'!$E$5:$E$2004,'XUẤT KHO'!$A$5:$A$2004,"&gt;"&amp;$E$4)-I77,"#,##0")&amp;" xuất, "&amp;TEXT(SUMIFS('NHẬP KHO'!$E$5:$E$2004,'NHẬP KHO'!$A$5:$A$2004,"&gt;"&amp;$E$4)-H77,"#,##0")&amp;" nhập) – thêm dòng mới ở TỒN KHO","")</f>
        <v/>
      </c>
    </row>
    <row r="10" customFormat="false" ht="48" hidden="false" customHeight="true" outlineLevel="0" collapsed="false">
      <c r="A10" s="14" t="s">
        <v>37</v>
      </c>
      <c r="B10" s="14" t="s">
        <v>21</v>
      </c>
      <c r="C10" s="14" t="s">
        <v>8</v>
      </c>
      <c r="D10" s="14" t="s">
        <v>10</v>
      </c>
      <c r="E10" s="14" t="s">
        <v>9</v>
      </c>
      <c r="F10" s="14" t="s">
        <v>38</v>
      </c>
      <c r="G10" s="14" t="s">
        <v>39</v>
      </c>
      <c r="H10" s="14" t="s">
        <v>40</v>
      </c>
      <c r="I10" s="14" t="s">
        <v>41</v>
      </c>
      <c r="J10" s="14" t="s">
        <v>42</v>
      </c>
      <c r="K10" s="14" t="s">
        <v>43</v>
      </c>
      <c r="L10" s="14" t="s">
        <v>44</v>
      </c>
      <c r="M10" s="14" t="s">
        <v>45</v>
      </c>
      <c r="N10" s="14" t="s">
        <v>46</v>
      </c>
      <c r="O10" s="14" t="s">
        <v>47</v>
      </c>
      <c r="P10" s="14" t="s">
        <v>48</v>
      </c>
      <c r="Q10" s="14" t="s">
        <v>49</v>
      </c>
      <c r="R10" s="14" t="s">
        <v>50</v>
      </c>
    </row>
    <row r="11" customFormat="false" ht="15" hidden="false" customHeight="false" outlineLevel="0" collapsed="false">
      <c r="A11" s="27" t="n">
        <f aca="false">IF(C11="","",ROW()-10)</f>
        <v>1</v>
      </c>
      <c r="B11" s="28" t="str">
        <f aca="false">IF(C11="","",IFERROR(INDEX('DANH MỤC'!$C$5:$C$200,MATCH(C11,'DANH MỤC'!$A$5:$A$200,0)),"⚠ Mã chưa có trong DANH MỤC"))</f>
        <v>Sơn lót</v>
      </c>
      <c r="C11" s="29" t="s">
        <v>51</v>
      </c>
      <c r="D11" s="28" t="str">
        <f aca="false">IF(C11="","",IFERROR(INDEX('DANH MỤC'!$B$5:$B$200,MATCH(C11,'DANH MỤC'!$A$5:$A$200,0)),"⚠ Mã chưa có trong DANH MỤC"))</f>
        <v>Sơn lót nội thất kháng kiềm cao cấp Imperia PI04</v>
      </c>
      <c r="E11" s="30" t="s">
        <v>52</v>
      </c>
      <c r="F11" s="31" t="n">
        <v>999000</v>
      </c>
      <c r="G11" s="32" t="n">
        <f aca="false">IF($C11="","",SUMIFS('TỒN ĐẦU KỲ'!$E$5:$E$123,'TỒN ĐẦU KỲ'!$B$5:$B$123,$C11,'TỒN ĐẦU KỲ'!$D$5:$D$123,$E11))</f>
        <v>6</v>
      </c>
      <c r="H11" s="32" t="n">
        <f aca="false">IF($C11="","",SUMIFS('NHẬP KHO'!$E$5:$E$2004,'NHẬP KHO'!$C$5:$C$2004,$C11,'NHẬP KHO'!$D$5:$D$2004,$E11,'NHẬP KHO'!$A$5:$A$2004,"&gt;"&amp;$E$4))</f>
        <v>0</v>
      </c>
      <c r="I11" s="32" t="n">
        <f aca="false">IF($C11="","",SUMIFS('XUẤT KHO'!$E$5:$E$2004,'XUẤT KHO'!$C$5:$C$2004,$C11,'XUẤT KHO'!$D$5:$D$2004,$E11,'XUẤT KHO'!$A$5:$A$2004,"&gt;"&amp;$E$4))</f>
        <v>4</v>
      </c>
      <c r="J11" s="33" t="n">
        <f aca="false">IF($C11="","",G11+H11-I11)</f>
        <v>2</v>
      </c>
      <c r="K11" s="32" t="n">
        <f aca="false">IF($C11="","",SUMIFS('XUẤT KHO'!$E$5:$E$2004,'XUẤT KHO'!$C$5:$C$2004,$C11,'XUẤT KHO'!$D$5:$D$2004,$E11,'XUẤT KHO'!$A$5:$A$2004,"&gt;"&amp;($E$3-$E$5),'XUẤT KHO'!$A$5:$A$2004,"&lt;="&amp;$E$3))</f>
        <v>0</v>
      </c>
      <c r="L11" s="34" t="n">
        <f aca="false">IF($C11="","",K11/$E$5)</f>
        <v>0</v>
      </c>
      <c r="M11" s="35" t="str">
        <f aca="false">IF($C11="","",IF(L11=0,"-",IF(J11&lt;=0,0,J11/L11)))</f>
        <v>-</v>
      </c>
      <c r="N11" s="32" t="n">
        <f aca="false">IF($C11="","",IF(L11=0,0,MAX(0,ROUNDUP(L11*$E$7,0)-J11)))</f>
        <v>0</v>
      </c>
      <c r="O11" s="32" t="n">
        <f aca="false">IF($C11="","",IF(F11="",0,MAX(J11,0)*F11))</f>
        <v>1998000</v>
      </c>
      <c r="P11" s="36" t="str">
        <f aca="false">IF($C11="","",IF(J11&lt;0,"ÂM KHO – kiểm tra",IF(AND(J11=0,K11&gt;0),"HẾT HÀNG",IF(J11=0,"Hết (ít bán)",IF(K11=0,"Chậm bán",IF(M11&lt;$E$6,"SẮP HẾT","Đủ hàng"))))))</f>
        <v>Chậm bán</v>
      </c>
      <c r="Q11" s="37" t="str">
        <f aca="false">IF(OR(P11="HẾT HÀNG",P11="SẮP HẾT"),IF(ISNUMBER(M11),M11,0)+ROW()/100000,"")</f>
        <v/>
      </c>
      <c r="R11" s="37" t="str">
        <f aca="false">IF(N(K11)&gt;0,K11+ROW()/100000,"")</f>
        <v/>
      </c>
    </row>
    <row r="12" customFormat="false" ht="15" hidden="false" customHeight="false" outlineLevel="0" collapsed="false">
      <c r="A12" s="27" t="n">
        <f aca="false">IF(C12="","",ROW()-10)</f>
        <v>2</v>
      </c>
      <c r="B12" s="28" t="str">
        <f aca="false">IF(C12="","",IFERROR(INDEX('DANH MỤC'!$C$5:$C$200,MATCH(C12,'DANH MỤC'!$A$5:$A$200,0)),"⚠ Mã chưa có trong DANH MỤC"))</f>
        <v>Sơn lót</v>
      </c>
      <c r="C12" s="29" t="s">
        <v>51</v>
      </c>
      <c r="D12" s="28" t="str">
        <f aca="false">IF(C12="","",IFERROR(INDEX('DANH MỤC'!$B$5:$B$200,MATCH(C12,'DANH MỤC'!$A$5:$A$200,0)),"⚠ Mã chưa có trong DANH MỤC"))</f>
        <v>Sơn lót nội thất kháng kiềm cao cấp Imperia PI04</v>
      </c>
      <c r="E12" s="30" t="s">
        <v>53</v>
      </c>
      <c r="F12" s="31" t="n">
        <v>3012000</v>
      </c>
      <c r="G12" s="32" t="n">
        <f aca="false">IF($C12="","",SUMIFS('TỒN ĐẦU KỲ'!$E$5:$E$123,'TỒN ĐẦU KỲ'!$B$5:$B$123,$C12,'TỒN ĐẦU KỲ'!$D$5:$D$123,$E12))</f>
        <v>195</v>
      </c>
      <c r="H12" s="32" t="n">
        <f aca="false">IF($C12="","",SUMIFS('NHẬP KHO'!$E$5:$E$2004,'NHẬP KHO'!$C$5:$C$2004,$C12,'NHẬP KHO'!$D$5:$D$2004,$E12,'NHẬP KHO'!$A$5:$A$2004,"&gt;"&amp;$E$4))</f>
        <v>5</v>
      </c>
      <c r="I12" s="32" t="n">
        <f aca="false">IF($C12="","",SUMIFS('XUẤT KHO'!$E$5:$E$2004,'XUẤT KHO'!$C$5:$C$2004,$C12,'XUẤT KHO'!$D$5:$D$2004,$E12,'XUẤT KHO'!$A$5:$A$2004,"&gt;"&amp;$E$4))</f>
        <v>83</v>
      </c>
      <c r="J12" s="33" t="n">
        <f aca="false">IF($C12="","",G12+H12-I12)</f>
        <v>117</v>
      </c>
      <c r="K12" s="32" t="n">
        <f aca="false">IF($C12="","",SUMIFS('XUẤT KHO'!$E$5:$E$2004,'XUẤT KHO'!$C$5:$C$2004,$C12,'XUẤT KHO'!$D$5:$D$2004,$E12,'XUẤT KHO'!$A$5:$A$2004,"&gt;"&amp;($E$3-$E$5),'XUẤT KHO'!$A$5:$A$2004,"&lt;="&amp;$E$3))</f>
        <v>50</v>
      </c>
      <c r="L12" s="34" t="n">
        <f aca="false">IF($C12="","",K12/$E$5)</f>
        <v>0.555555555555556</v>
      </c>
      <c r="M12" s="35" t="n">
        <f aca="false">IF($C12="","",IF(L12=0,"-",IF(J12&lt;=0,0,J12/L12)))</f>
        <v>210.6</v>
      </c>
      <c r="N12" s="32" t="n">
        <f aca="false">IF($C12="","",IF(L12=0,0,MAX(0,ROUNDUP(L12*$E$7,0)-J12)))</f>
        <v>0</v>
      </c>
      <c r="O12" s="32" t="n">
        <f aca="false">IF($C12="","",IF(F12="",0,MAX(J12,0)*F12))</f>
        <v>352404000</v>
      </c>
      <c r="P12" s="36" t="str">
        <f aca="false">IF($C12="","",IF(J12&lt;0,"ÂM KHO – kiểm tra",IF(AND(J12=0,K12&gt;0),"HẾT HÀNG",IF(J12=0,"Hết (ít bán)",IF(K12=0,"Chậm bán",IF(M12&lt;$E$6,"SẮP HẾT","Đủ hàng"))))))</f>
        <v>Đủ hàng</v>
      </c>
      <c r="Q12" s="37" t="str">
        <f aca="false">IF(OR(P12="HẾT HÀNG",P12="SẮP HẾT"),IF(ISNUMBER(M12),M12,0)+ROW()/100000,"")</f>
        <v/>
      </c>
      <c r="R12" s="37" t="n">
        <f aca="false">IF(N(K12)&gt;0,K12+ROW()/100000,"")</f>
        <v>50.00012</v>
      </c>
    </row>
    <row r="13" customFormat="false" ht="15" hidden="false" customHeight="false" outlineLevel="0" collapsed="false">
      <c r="A13" s="27" t="n">
        <f aca="false">IF(C13="","",ROW()-10)</f>
        <v>3</v>
      </c>
      <c r="B13" s="28" t="str">
        <f aca="false">IF(C13="","",IFERROR(INDEX('DANH MỤC'!$C$5:$C$200,MATCH(C13,'DANH MỤC'!$A$5:$A$200,0)),"⚠ Mã chưa có trong DANH MỤC"))</f>
        <v>Sơn lót</v>
      </c>
      <c r="C13" s="29" t="s">
        <v>54</v>
      </c>
      <c r="D13" s="28" t="str">
        <f aca="false">IF(C13="","",IFERROR(INDEX('DANH MỤC'!$B$5:$B$200,MATCH(C13,'DANH MỤC'!$A$5:$A$200,0)),"⚠ Mã chưa có trong DANH MỤC"))</f>
        <v>Sơn lót ngoại thất kháng kiềm cao cấp Imperia PE02</v>
      </c>
      <c r="E13" s="30" t="s">
        <v>52</v>
      </c>
      <c r="F13" s="31" t="n">
        <v>1419000</v>
      </c>
      <c r="G13" s="32" t="n">
        <f aca="false">IF($C13="","",SUMIFS('TỒN ĐẦU KỲ'!$E$5:$E$123,'TỒN ĐẦU KỲ'!$B$5:$B$123,$C13,'TỒN ĐẦU KỲ'!$D$5:$D$123,$E13))</f>
        <v>0</v>
      </c>
      <c r="H13" s="32" t="n">
        <f aca="false">IF($C13="","",SUMIFS('NHẬP KHO'!$E$5:$E$2004,'NHẬP KHO'!$C$5:$C$2004,$C13,'NHẬP KHO'!$D$5:$D$2004,$E13,'NHẬP KHO'!$A$5:$A$2004,"&gt;"&amp;$E$4))</f>
        <v>0</v>
      </c>
      <c r="I13" s="32" t="n">
        <f aca="false">IF($C13="","",SUMIFS('XUẤT KHO'!$E$5:$E$2004,'XUẤT KHO'!$C$5:$C$2004,$C13,'XUẤT KHO'!$D$5:$D$2004,$E13,'XUẤT KHO'!$A$5:$A$2004,"&gt;"&amp;$E$4))</f>
        <v>4</v>
      </c>
      <c r="J13" s="33" t="n">
        <f aca="false">IF($C13="","",G13+H13-I13)</f>
        <v>-4</v>
      </c>
      <c r="K13" s="32" t="n">
        <f aca="false">IF($C13="","",SUMIFS('XUẤT KHO'!$E$5:$E$2004,'XUẤT KHO'!$C$5:$C$2004,$C13,'XUẤT KHO'!$D$5:$D$2004,$E13,'XUẤT KHO'!$A$5:$A$2004,"&gt;"&amp;($E$3-$E$5),'XUẤT KHO'!$A$5:$A$2004,"&lt;="&amp;$E$3))</f>
        <v>4</v>
      </c>
      <c r="L13" s="34" t="n">
        <f aca="false">IF($C13="","",K13/$E$5)</f>
        <v>0.0444444444444444</v>
      </c>
      <c r="M13" s="35" t="n">
        <f aca="false">IF($C13="","",IF(L13=0,"-",IF(J13&lt;=0,0,J13/L13)))</f>
        <v>0</v>
      </c>
      <c r="N13" s="32" t="n">
        <f aca="false">IF($C13="","",IF(L13=0,0,MAX(0,ROUNDUP(L13*$E$7,0)-J13)))</f>
        <v>6</v>
      </c>
      <c r="O13" s="32" t="n">
        <f aca="false">IF($C13="","",IF(F13="",0,MAX(J13,0)*F13))</f>
        <v>0</v>
      </c>
      <c r="P13" s="36" t="str">
        <f aca="false">IF($C13="","",IF(J13&lt;0,"ÂM KHO – kiểm tra",IF(AND(J13=0,K13&gt;0),"HẾT HÀNG",IF(J13=0,"Hết (ít bán)",IF(K13=0,"Chậm bán",IF(M13&lt;$E$6,"SẮP HẾT","Đủ hàng"))))))</f>
        <v>ÂM KHO – kiểm tra</v>
      </c>
      <c r="Q13" s="37" t="str">
        <f aca="false">IF(OR(P13="HẾT HÀNG",P13="SẮP HẾT"),IF(ISNUMBER(M13),M13,0)+ROW()/100000,"")</f>
        <v/>
      </c>
      <c r="R13" s="37" t="n">
        <f aca="false">IF(N(K13)&gt;0,K13+ROW()/100000,"")</f>
        <v>4.00013</v>
      </c>
    </row>
    <row r="14" customFormat="false" ht="15" hidden="false" customHeight="false" outlineLevel="0" collapsed="false">
      <c r="A14" s="27" t="n">
        <f aca="false">IF(C14="","",ROW()-10)</f>
        <v>4</v>
      </c>
      <c r="B14" s="28" t="str">
        <f aca="false">IF(C14="","",IFERROR(INDEX('DANH MỤC'!$C$5:$C$200,MATCH(C14,'DANH MỤC'!$A$5:$A$200,0)),"⚠ Mã chưa có trong DANH MỤC"))</f>
        <v>Sơn lót</v>
      </c>
      <c r="C14" s="29" t="s">
        <v>54</v>
      </c>
      <c r="D14" s="28" t="str">
        <f aca="false">IF(C14="","",IFERROR(INDEX('DANH MỤC'!$B$5:$B$200,MATCH(C14,'DANH MỤC'!$A$5:$A$200,0)),"⚠ Mã chưa có trong DANH MỤC"))</f>
        <v>Sơn lót ngoại thất kháng kiềm cao cấp Imperia PE02</v>
      </c>
      <c r="E14" s="30" t="s">
        <v>53</v>
      </c>
      <c r="F14" s="31" t="n">
        <v>4106000</v>
      </c>
      <c r="G14" s="32" t="n">
        <f aca="false">IF($C14="","",SUMIFS('TỒN ĐẦU KỲ'!$E$5:$E$123,'TỒN ĐẦU KỲ'!$B$5:$B$123,$C14,'TỒN ĐẦU KỲ'!$D$5:$D$123,$E14))</f>
        <v>253</v>
      </c>
      <c r="H14" s="32" t="n">
        <f aca="false">IF($C14="","",SUMIFS('NHẬP KHO'!$E$5:$E$2004,'NHẬP KHO'!$C$5:$C$2004,$C14,'NHẬP KHO'!$D$5:$D$2004,$E14,'NHẬP KHO'!$A$5:$A$2004,"&gt;"&amp;$E$4))</f>
        <v>1</v>
      </c>
      <c r="I14" s="32" t="n">
        <f aca="false">IF($C14="","",SUMIFS('XUẤT KHO'!$E$5:$E$2004,'XUẤT KHO'!$C$5:$C$2004,$C14,'XUẤT KHO'!$D$5:$D$2004,$E14,'XUẤT KHO'!$A$5:$A$2004,"&gt;"&amp;$E$4))</f>
        <v>29</v>
      </c>
      <c r="J14" s="33" t="n">
        <f aca="false">IF($C14="","",G14+H14-I14)</f>
        <v>225</v>
      </c>
      <c r="K14" s="32" t="n">
        <f aca="false">IF($C14="","",SUMIFS('XUẤT KHO'!$E$5:$E$2004,'XUẤT KHO'!$C$5:$C$2004,$C14,'XUẤT KHO'!$D$5:$D$2004,$E14,'XUẤT KHO'!$A$5:$A$2004,"&gt;"&amp;($E$3-$E$5),'XUẤT KHO'!$A$5:$A$2004,"&lt;="&amp;$E$3))</f>
        <v>18</v>
      </c>
      <c r="L14" s="34" t="n">
        <f aca="false">IF($C14="","",K14/$E$5)</f>
        <v>0.2</v>
      </c>
      <c r="M14" s="35" t="n">
        <f aca="false">IF($C14="","",IF(L14=0,"-",IF(J14&lt;=0,0,J14/L14)))</f>
        <v>1125</v>
      </c>
      <c r="N14" s="32" t="n">
        <f aca="false">IF($C14="","",IF(L14=0,0,MAX(0,ROUNDUP(L14*$E$7,0)-J14)))</f>
        <v>0</v>
      </c>
      <c r="O14" s="32" t="n">
        <f aca="false">IF($C14="","",IF(F14="",0,MAX(J14,0)*F14))</f>
        <v>923850000</v>
      </c>
      <c r="P14" s="36" t="str">
        <f aca="false">IF($C14="","",IF(J14&lt;0,"ÂM KHO – kiểm tra",IF(AND(J14=0,K14&gt;0),"HẾT HÀNG",IF(J14=0,"Hết (ít bán)",IF(K14=0,"Chậm bán",IF(M14&lt;$E$6,"SẮP HẾT","Đủ hàng"))))))</f>
        <v>Đủ hàng</v>
      </c>
      <c r="Q14" s="37" t="str">
        <f aca="false">IF(OR(P14="HẾT HÀNG",P14="SẮP HẾT"),IF(ISNUMBER(M14),M14,0)+ROW()/100000,"")</f>
        <v/>
      </c>
      <c r="R14" s="37" t="n">
        <f aca="false">IF(N(K14)&gt;0,K14+ROW()/100000,"")</f>
        <v>18.00014</v>
      </c>
    </row>
    <row r="15" customFormat="false" ht="15" hidden="false" customHeight="false" outlineLevel="0" collapsed="false">
      <c r="A15" s="27" t="n">
        <f aca="false">IF(C15="","",ROW()-10)</f>
        <v>5</v>
      </c>
      <c r="B15" s="28" t="str">
        <f aca="false">IF(C15="","",IFERROR(INDEX('DANH MỤC'!$C$5:$C$200,MATCH(C15,'DANH MỤC'!$A$5:$A$200,0)),"⚠ Mã chưa có trong DANH MỤC"))</f>
        <v>Sơn lót</v>
      </c>
      <c r="C15" s="29" t="s">
        <v>55</v>
      </c>
      <c r="D15" s="28" t="str">
        <f aca="false">IF(C15="","",IFERROR(INDEX('DANH MỤC'!$B$5:$B$200,MATCH(C15,'DANH MỤC'!$A$5:$A$200,0)),"⚠ Mã chưa có trong DANH MỤC"))</f>
        <v>Sơn lót nội thất kháng kiềm siêu cao cấp SPI03</v>
      </c>
      <c r="E15" s="30" t="s">
        <v>52</v>
      </c>
      <c r="F15" s="31" t="n">
        <v>1181000</v>
      </c>
      <c r="G15" s="32" t="n">
        <f aca="false">IF($C15="","",SUMIFS('TỒN ĐẦU KỲ'!$E$5:$E$123,'TỒN ĐẦU KỲ'!$B$5:$B$123,$C15,'TỒN ĐẦU KỲ'!$D$5:$D$123,$E15))</f>
        <v>7</v>
      </c>
      <c r="H15" s="32" t="n">
        <f aca="false">IF($C15="","",SUMIFS('NHẬP KHO'!$E$5:$E$2004,'NHẬP KHO'!$C$5:$C$2004,$C15,'NHẬP KHO'!$D$5:$D$2004,$E15,'NHẬP KHO'!$A$5:$A$2004,"&gt;"&amp;$E$4))</f>
        <v>0</v>
      </c>
      <c r="I15" s="32" t="n">
        <f aca="false">IF($C15="","",SUMIFS('XUẤT KHO'!$E$5:$E$2004,'XUẤT KHO'!$C$5:$C$2004,$C15,'XUẤT KHO'!$D$5:$D$2004,$E15,'XUẤT KHO'!$A$5:$A$2004,"&gt;"&amp;$E$4))</f>
        <v>0</v>
      </c>
      <c r="J15" s="33" t="n">
        <f aca="false">IF($C15="","",G15+H15-I15)</f>
        <v>7</v>
      </c>
      <c r="K15" s="32" t="n">
        <f aca="false">IF($C15="","",SUMIFS('XUẤT KHO'!$E$5:$E$2004,'XUẤT KHO'!$C$5:$C$2004,$C15,'XUẤT KHO'!$D$5:$D$2004,$E15,'XUẤT KHO'!$A$5:$A$2004,"&gt;"&amp;($E$3-$E$5),'XUẤT KHO'!$A$5:$A$2004,"&lt;="&amp;$E$3))</f>
        <v>0</v>
      </c>
      <c r="L15" s="34" t="n">
        <f aca="false">IF($C15="","",K15/$E$5)</f>
        <v>0</v>
      </c>
      <c r="M15" s="35" t="str">
        <f aca="false">IF($C15="","",IF(L15=0,"-",IF(J15&lt;=0,0,J15/L15)))</f>
        <v>-</v>
      </c>
      <c r="N15" s="32" t="n">
        <f aca="false">IF($C15="","",IF(L15=0,0,MAX(0,ROUNDUP(L15*$E$7,0)-J15)))</f>
        <v>0</v>
      </c>
      <c r="O15" s="32" t="n">
        <f aca="false">IF($C15="","",IF(F15="",0,MAX(J15,0)*F15))</f>
        <v>8267000</v>
      </c>
      <c r="P15" s="36" t="str">
        <f aca="false">IF($C15="","",IF(J15&lt;0,"ÂM KHO – kiểm tra",IF(AND(J15=0,K15&gt;0),"HẾT HÀNG",IF(J15=0,"Hết (ít bán)",IF(K15=0,"Chậm bán",IF(M15&lt;$E$6,"SẮP HẾT","Đủ hàng"))))))</f>
        <v>Chậm bán</v>
      </c>
      <c r="Q15" s="37" t="str">
        <f aca="false">IF(OR(P15="HẾT HÀNG",P15="SẮP HẾT"),IF(ISNUMBER(M15),M15,0)+ROW()/100000,"")</f>
        <v/>
      </c>
      <c r="R15" s="37" t="str">
        <f aca="false">IF(N(K15)&gt;0,K15+ROW()/100000,"")</f>
        <v/>
      </c>
    </row>
    <row r="16" customFormat="false" ht="15" hidden="false" customHeight="false" outlineLevel="0" collapsed="false">
      <c r="A16" s="27" t="n">
        <f aca="false">IF(C16="","",ROW()-10)</f>
        <v>6</v>
      </c>
      <c r="B16" s="28" t="str">
        <f aca="false">IF(C16="","",IFERROR(INDEX('DANH MỤC'!$C$5:$C$200,MATCH(C16,'DANH MỤC'!$A$5:$A$200,0)),"⚠ Mã chưa có trong DANH MỤC"))</f>
        <v>Sơn lót</v>
      </c>
      <c r="C16" s="29" t="s">
        <v>55</v>
      </c>
      <c r="D16" s="28" t="str">
        <f aca="false">IF(C16="","",IFERROR(INDEX('DANH MỤC'!$B$5:$B$200,MATCH(C16,'DANH MỤC'!$A$5:$A$200,0)),"⚠ Mã chưa có trong DANH MỤC"))</f>
        <v>Sơn lót nội thất kháng kiềm siêu cao cấp SPI03</v>
      </c>
      <c r="E16" s="30" t="s">
        <v>53</v>
      </c>
      <c r="F16" s="31" t="n">
        <v>3596000</v>
      </c>
      <c r="G16" s="32" t="n">
        <f aca="false">IF($C16="","",SUMIFS('TỒN ĐẦU KỲ'!$E$5:$E$123,'TỒN ĐẦU KỲ'!$B$5:$B$123,$C16,'TỒN ĐẦU KỲ'!$D$5:$D$123,$E16))</f>
        <v>25</v>
      </c>
      <c r="H16" s="32" t="n">
        <f aca="false">IF($C16="","",SUMIFS('NHẬP KHO'!$E$5:$E$2004,'NHẬP KHO'!$C$5:$C$2004,$C16,'NHẬP KHO'!$D$5:$D$2004,$E16,'NHẬP KHO'!$A$5:$A$2004,"&gt;"&amp;$E$4))</f>
        <v>0</v>
      </c>
      <c r="I16" s="32" t="n">
        <f aca="false">IF($C16="","",SUMIFS('XUẤT KHO'!$E$5:$E$2004,'XUẤT KHO'!$C$5:$C$2004,$C16,'XUẤT KHO'!$D$5:$D$2004,$E16,'XUẤT KHO'!$A$5:$A$2004,"&gt;"&amp;$E$4))</f>
        <v>0</v>
      </c>
      <c r="J16" s="33" t="n">
        <f aca="false">IF($C16="","",G16+H16-I16)</f>
        <v>25</v>
      </c>
      <c r="K16" s="32" t="n">
        <f aca="false">IF($C16="","",SUMIFS('XUẤT KHO'!$E$5:$E$2004,'XUẤT KHO'!$C$5:$C$2004,$C16,'XUẤT KHO'!$D$5:$D$2004,$E16,'XUẤT KHO'!$A$5:$A$2004,"&gt;"&amp;($E$3-$E$5),'XUẤT KHO'!$A$5:$A$2004,"&lt;="&amp;$E$3))</f>
        <v>0</v>
      </c>
      <c r="L16" s="34" t="n">
        <f aca="false">IF($C16="","",K16/$E$5)</f>
        <v>0</v>
      </c>
      <c r="M16" s="35" t="str">
        <f aca="false">IF($C16="","",IF(L16=0,"-",IF(J16&lt;=0,0,J16/L16)))</f>
        <v>-</v>
      </c>
      <c r="N16" s="32" t="n">
        <f aca="false">IF($C16="","",IF(L16=0,0,MAX(0,ROUNDUP(L16*$E$7,0)-J16)))</f>
        <v>0</v>
      </c>
      <c r="O16" s="32" t="n">
        <f aca="false">IF($C16="","",IF(F16="",0,MAX(J16,0)*F16))</f>
        <v>89900000</v>
      </c>
      <c r="P16" s="36" t="str">
        <f aca="false">IF($C16="","",IF(J16&lt;0,"ÂM KHO – kiểm tra",IF(AND(J16=0,K16&gt;0),"HẾT HÀNG",IF(J16=0,"Hết (ít bán)",IF(K16=0,"Chậm bán",IF(M16&lt;$E$6,"SẮP HẾT","Đủ hàng"))))))</f>
        <v>Chậm bán</v>
      </c>
      <c r="Q16" s="37" t="str">
        <f aca="false">IF(OR(P16="HẾT HÀNG",P16="SẮP HẾT"),IF(ISNUMBER(M16),M16,0)+ROW()/100000,"")</f>
        <v/>
      </c>
      <c r="R16" s="37" t="str">
        <f aca="false">IF(N(K16)&gt;0,K16+ROW()/100000,"")</f>
        <v/>
      </c>
    </row>
    <row r="17" customFormat="false" ht="15" hidden="false" customHeight="false" outlineLevel="0" collapsed="false">
      <c r="A17" s="27" t="n">
        <f aca="false">IF(C17="","",ROW()-10)</f>
        <v>7</v>
      </c>
      <c r="B17" s="28" t="str">
        <f aca="false">IF(C17="","",IFERROR(INDEX('DANH MỤC'!$C$5:$C$200,MATCH(C17,'DANH MỤC'!$A$5:$A$200,0)),"⚠ Mã chưa có trong DANH MỤC"))</f>
        <v>Sơn lót</v>
      </c>
      <c r="C17" s="29" t="s">
        <v>56</v>
      </c>
      <c r="D17" s="28" t="str">
        <f aca="false">IF(C17="","",IFERROR(INDEX('DANH MỤC'!$B$5:$B$200,MATCH(C17,'DANH MỤC'!$A$5:$A$200,0)),"⚠ Mã chưa có trong DANH MỤC"))</f>
        <v>Sơn lót ngoại thất kháng kiềm siêu cao cấp SPE01</v>
      </c>
      <c r="E17" s="30" t="s">
        <v>52</v>
      </c>
      <c r="F17" s="31" t="n">
        <v>1555000</v>
      </c>
      <c r="G17" s="32" t="n">
        <f aca="false">IF($C17="","",SUMIFS('TỒN ĐẦU KỲ'!$E$5:$E$123,'TỒN ĐẦU KỲ'!$B$5:$B$123,$C17,'TỒN ĐẦU KỲ'!$D$5:$D$123,$E17))</f>
        <v>4</v>
      </c>
      <c r="H17" s="32" t="n">
        <f aca="false">IF($C17="","",SUMIFS('NHẬP KHO'!$E$5:$E$2004,'NHẬP KHO'!$C$5:$C$2004,$C17,'NHẬP KHO'!$D$5:$D$2004,$E17,'NHẬP KHO'!$A$5:$A$2004,"&gt;"&amp;$E$4))</f>
        <v>0</v>
      </c>
      <c r="I17" s="32" t="n">
        <f aca="false">IF($C17="","",SUMIFS('XUẤT KHO'!$E$5:$E$2004,'XUẤT KHO'!$C$5:$C$2004,$C17,'XUẤT KHO'!$D$5:$D$2004,$E17,'XUẤT KHO'!$A$5:$A$2004,"&gt;"&amp;$E$4))</f>
        <v>0</v>
      </c>
      <c r="J17" s="33" t="n">
        <f aca="false">IF($C17="","",G17+H17-I17)</f>
        <v>4</v>
      </c>
      <c r="K17" s="32" t="n">
        <f aca="false">IF($C17="","",SUMIFS('XUẤT KHO'!$E$5:$E$2004,'XUẤT KHO'!$C$5:$C$2004,$C17,'XUẤT KHO'!$D$5:$D$2004,$E17,'XUẤT KHO'!$A$5:$A$2004,"&gt;"&amp;($E$3-$E$5),'XUẤT KHO'!$A$5:$A$2004,"&lt;="&amp;$E$3))</f>
        <v>0</v>
      </c>
      <c r="L17" s="34" t="n">
        <f aca="false">IF($C17="","",K17/$E$5)</f>
        <v>0</v>
      </c>
      <c r="M17" s="35" t="str">
        <f aca="false">IF($C17="","",IF(L17=0,"-",IF(J17&lt;=0,0,J17/L17)))</f>
        <v>-</v>
      </c>
      <c r="N17" s="32" t="n">
        <f aca="false">IF($C17="","",IF(L17=0,0,MAX(0,ROUNDUP(L17*$E$7,0)-J17)))</f>
        <v>0</v>
      </c>
      <c r="O17" s="32" t="n">
        <f aca="false">IF($C17="","",IF(F17="",0,MAX(J17,0)*F17))</f>
        <v>6220000</v>
      </c>
      <c r="P17" s="36" t="str">
        <f aca="false">IF($C17="","",IF(J17&lt;0,"ÂM KHO – kiểm tra",IF(AND(J17=0,K17&gt;0),"HẾT HÀNG",IF(J17=0,"Hết (ít bán)",IF(K17=0,"Chậm bán",IF(M17&lt;$E$6,"SẮP HẾT","Đủ hàng"))))))</f>
        <v>Chậm bán</v>
      </c>
      <c r="Q17" s="37" t="str">
        <f aca="false">IF(OR(P17="HẾT HÀNG",P17="SẮP HẾT"),IF(ISNUMBER(M17),M17,0)+ROW()/100000,"")</f>
        <v/>
      </c>
      <c r="R17" s="37" t="str">
        <f aca="false">IF(N(K17)&gt;0,K17+ROW()/100000,"")</f>
        <v/>
      </c>
    </row>
    <row r="18" customFormat="false" ht="15" hidden="false" customHeight="false" outlineLevel="0" collapsed="false">
      <c r="A18" s="27" t="n">
        <f aca="false">IF(C18="","",ROW()-10)</f>
        <v>8</v>
      </c>
      <c r="B18" s="28" t="str">
        <f aca="false">IF(C18="","",IFERROR(INDEX('DANH MỤC'!$C$5:$C$200,MATCH(C18,'DANH MỤC'!$A$5:$A$200,0)),"⚠ Mã chưa có trong DANH MỤC"))</f>
        <v>Sơn lót</v>
      </c>
      <c r="C18" s="29" t="s">
        <v>56</v>
      </c>
      <c r="D18" s="28" t="str">
        <f aca="false">IF(C18="","",IFERROR(INDEX('DANH MỤC'!$B$5:$B$200,MATCH(C18,'DANH MỤC'!$A$5:$A$200,0)),"⚠ Mã chưa có trong DANH MỤC"))</f>
        <v>Sơn lót ngoại thất kháng kiềm siêu cao cấp SPE01</v>
      </c>
      <c r="E18" s="30" t="s">
        <v>53</v>
      </c>
      <c r="F18" s="31" t="n">
        <v>4725000</v>
      </c>
      <c r="G18" s="32" t="n">
        <f aca="false">IF($C18="","",SUMIFS('TỒN ĐẦU KỲ'!$E$5:$E$123,'TỒN ĐẦU KỲ'!$B$5:$B$123,$C18,'TỒN ĐẦU KỲ'!$D$5:$D$123,$E18))</f>
        <v>14</v>
      </c>
      <c r="H18" s="32" t="n">
        <f aca="false">IF($C18="","",SUMIFS('NHẬP KHO'!$E$5:$E$2004,'NHẬP KHO'!$C$5:$C$2004,$C18,'NHẬP KHO'!$D$5:$D$2004,$E18,'NHẬP KHO'!$A$5:$A$2004,"&gt;"&amp;$E$4))</f>
        <v>0</v>
      </c>
      <c r="I18" s="32" t="n">
        <f aca="false">IF($C18="","",SUMIFS('XUẤT KHO'!$E$5:$E$2004,'XUẤT KHO'!$C$5:$C$2004,$C18,'XUẤT KHO'!$D$5:$D$2004,$E18,'XUẤT KHO'!$A$5:$A$2004,"&gt;"&amp;$E$4))</f>
        <v>0</v>
      </c>
      <c r="J18" s="33" t="n">
        <f aca="false">IF($C18="","",G18+H18-I18)</f>
        <v>14</v>
      </c>
      <c r="K18" s="32" t="n">
        <f aca="false">IF($C18="","",SUMIFS('XUẤT KHO'!$E$5:$E$2004,'XUẤT KHO'!$C$5:$C$2004,$C18,'XUẤT KHO'!$D$5:$D$2004,$E18,'XUẤT KHO'!$A$5:$A$2004,"&gt;"&amp;($E$3-$E$5),'XUẤT KHO'!$A$5:$A$2004,"&lt;="&amp;$E$3))</f>
        <v>0</v>
      </c>
      <c r="L18" s="34" t="n">
        <f aca="false">IF($C18="","",K18/$E$5)</f>
        <v>0</v>
      </c>
      <c r="M18" s="35" t="str">
        <f aca="false">IF($C18="","",IF(L18=0,"-",IF(J18&lt;=0,0,J18/L18)))</f>
        <v>-</v>
      </c>
      <c r="N18" s="32" t="n">
        <f aca="false">IF($C18="","",IF(L18=0,0,MAX(0,ROUNDUP(L18*$E$7,0)-J18)))</f>
        <v>0</v>
      </c>
      <c r="O18" s="32" t="n">
        <f aca="false">IF($C18="","",IF(F18="",0,MAX(J18,0)*F18))</f>
        <v>66150000</v>
      </c>
      <c r="P18" s="36" t="str">
        <f aca="false">IF($C18="","",IF(J18&lt;0,"ÂM KHO – kiểm tra",IF(AND(J18=0,K18&gt;0),"HẾT HÀNG",IF(J18=0,"Hết (ít bán)",IF(K18=0,"Chậm bán",IF(M18&lt;$E$6,"SẮP HẾT","Đủ hàng"))))))</f>
        <v>Chậm bán</v>
      </c>
      <c r="Q18" s="37" t="str">
        <f aca="false">IF(OR(P18="HẾT HÀNG",P18="SẮP HẾT"),IF(ISNUMBER(M18),M18,0)+ROW()/100000,"")</f>
        <v/>
      </c>
      <c r="R18" s="37" t="str">
        <f aca="false">IF(N(K18)&gt;0,K18+ROW()/100000,"")</f>
        <v/>
      </c>
    </row>
    <row r="19" customFormat="false" ht="15" hidden="false" customHeight="false" outlineLevel="0" collapsed="false">
      <c r="A19" s="27" t="n">
        <f aca="false">IF(C19="","",ROW()-10)</f>
        <v>9</v>
      </c>
      <c r="B19" s="28" t="str">
        <f aca="false">IF(C19="","",IFERROR(INDEX('DANH MỤC'!$C$5:$C$200,MATCH(C19,'DANH MỤC'!$A$5:$A$200,0)),"⚠ Mã chưa có trong DANH MỤC"))</f>
        <v>Sơn lót</v>
      </c>
      <c r="C19" s="29" t="s">
        <v>57</v>
      </c>
      <c r="D19" s="28" t="str">
        <f aca="false">IF(C19="","",IFERROR(INDEX('DANH MỤC'!$B$5:$B$200,MATCH(C19,'DANH MỤC'!$A$5:$A$200,0)),"⚠ Mã chưa có trong DANH MỤC"))</f>
        <v>Sơn lót nội thất kháng kiềm Silver IL5</v>
      </c>
      <c r="E19" s="30" t="s">
        <v>52</v>
      </c>
      <c r="F19" s="31" t="n">
        <v>767000</v>
      </c>
      <c r="G19" s="32" t="n">
        <f aca="false">IF($C19="","",SUMIFS('TỒN ĐẦU KỲ'!$E$5:$E$123,'TỒN ĐẦU KỲ'!$B$5:$B$123,$C19,'TỒN ĐẦU KỲ'!$D$5:$D$123,$E19))</f>
        <v>21</v>
      </c>
      <c r="H19" s="32" t="n">
        <f aca="false">IF($C19="","",SUMIFS('NHẬP KHO'!$E$5:$E$2004,'NHẬP KHO'!$C$5:$C$2004,$C19,'NHẬP KHO'!$D$5:$D$2004,$E19,'NHẬP KHO'!$A$5:$A$2004,"&gt;"&amp;$E$4))</f>
        <v>0</v>
      </c>
      <c r="I19" s="32" t="n">
        <f aca="false">IF($C19="","",SUMIFS('XUẤT KHO'!$E$5:$E$2004,'XUẤT KHO'!$C$5:$C$2004,$C19,'XUẤT KHO'!$D$5:$D$2004,$E19,'XUẤT KHO'!$A$5:$A$2004,"&gt;"&amp;$E$4))</f>
        <v>1</v>
      </c>
      <c r="J19" s="33" t="n">
        <f aca="false">IF($C19="","",G19+H19-I19)</f>
        <v>20</v>
      </c>
      <c r="K19" s="32" t="n">
        <f aca="false">IF($C19="","",SUMIFS('XUẤT KHO'!$E$5:$E$2004,'XUẤT KHO'!$C$5:$C$2004,$C19,'XUẤT KHO'!$D$5:$D$2004,$E19,'XUẤT KHO'!$A$5:$A$2004,"&gt;"&amp;($E$3-$E$5),'XUẤT KHO'!$A$5:$A$2004,"&lt;="&amp;$E$3))</f>
        <v>0</v>
      </c>
      <c r="L19" s="34" t="n">
        <f aca="false">IF($C19="","",K19/$E$5)</f>
        <v>0</v>
      </c>
      <c r="M19" s="35" t="str">
        <f aca="false">IF($C19="","",IF(L19=0,"-",IF(J19&lt;=0,0,J19/L19)))</f>
        <v>-</v>
      </c>
      <c r="N19" s="32" t="n">
        <f aca="false">IF($C19="","",IF(L19=0,0,MAX(0,ROUNDUP(L19*$E$7,0)-J19)))</f>
        <v>0</v>
      </c>
      <c r="O19" s="32" t="n">
        <f aca="false">IF($C19="","",IF(F19="",0,MAX(J19,0)*F19))</f>
        <v>15340000</v>
      </c>
      <c r="P19" s="36" t="str">
        <f aca="false">IF($C19="","",IF(J19&lt;0,"ÂM KHO – kiểm tra",IF(AND(J19=0,K19&gt;0),"HẾT HÀNG",IF(J19=0,"Hết (ít bán)",IF(K19=0,"Chậm bán",IF(M19&lt;$E$6,"SẮP HẾT","Đủ hàng"))))))</f>
        <v>Chậm bán</v>
      </c>
      <c r="Q19" s="37" t="str">
        <f aca="false">IF(OR(P19="HẾT HÀNG",P19="SẮP HẾT"),IF(ISNUMBER(M19),M19,0)+ROW()/100000,"")</f>
        <v/>
      </c>
      <c r="R19" s="37" t="str">
        <f aca="false">IF(N(K19)&gt;0,K19+ROW()/100000,"")</f>
        <v/>
      </c>
    </row>
    <row r="20" customFormat="false" ht="15" hidden="false" customHeight="false" outlineLevel="0" collapsed="false">
      <c r="A20" s="27" t="n">
        <f aca="false">IF(C20="","",ROW()-10)</f>
        <v>10</v>
      </c>
      <c r="B20" s="28" t="str">
        <f aca="false">IF(C20="","",IFERROR(INDEX('DANH MỤC'!$C$5:$C$200,MATCH(C20,'DANH MỤC'!$A$5:$A$200,0)),"⚠ Mã chưa có trong DANH MỤC"))</f>
        <v>Sơn lót</v>
      </c>
      <c r="C20" s="29" t="s">
        <v>57</v>
      </c>
      <c r="D20" s="28" t="str">
        <f aca="false">IF(C20="","",IFERROR(INDEX('DANH MỤC'!$B$5:$B$200,MATCH(C20,'DANH MỤC'!$A$5:$A$200,0)),"⚠ Mã chưa có trong DANH MỤC"))</f>
        <v>Sơn lót nội thất kháng kiềm Silver IL5</v>
      </c>
      <c r="E20" s="30" t="s">
        <v>53</v>
      </c>
      <c r="F20" s="31" t="n">
        <v>2185000</v>
      </c>
      <c r="G20" s="32" t="n">
        <f aca="false">IF($C20="","",SUMIFS('TỒN ĐẦU KỲ'!$E$5:$E$123,'TỒN ĐẦU KỲ'!$B$5:$B$123,$C20,'TỒN ĐẦU KỲ'!$D$5:$D$123,$E20))</f>
        <v>94</v>
      </c>
      <c r="H20" s="32" t="n">
        <f aca="false">IF($C20="","",SUMIFS('NHẬP KHO'!$E$5:$E$2004,'NHẬP KHO'!$C$5:$C$2004,$C20,'NHẬP KHO'!$D$5:$D$2004,$E20,'NHẬP KHO'!$A$5:$A$2004,"&gt;"&amp;$E$4))</f>
        <v>0</v>
      </c>
      <c r="I20" s="32" t="n">
        <f aca="false">IF($C20="","",SUMIFS('XUẤT KHO'!$E$5:$E$2004,'XUẤT KHO'!$C$5:$C$2004,$C20,'XUẤT KHO'!$D$5:$D$2004,$E20,'XUẤT KHO'!$A$5:$A$2004,"&gt;"&amp;$E$4))</f>
        <v>32</v>
      </c>
      <c r="J20" s="33" t="n">
        <f aca="false">IF($C20="","",G20+H20-I20)</f>
        <v>62</v>
      </c>
      <c r="K20" s="32" t="n">
        <f aca="false">IF($C20="","",SUMIFS('XUẤT KHO'!$E$5:$E$2004,'XUẤT KHO'!$C$5:$C$2004,$C20,'XUẤT KHO'!$D$5:$D$2004,$E20,'XUẤT KHO'!$A$5:$A$2004,"&gt;"&amp;($E$3-$E$5),'XUẤT KHO'!$A$5:$A$2004,"&lt;="&amp;$E$3))</f>
        <v>20</v>
      </c>
      <c r="L20" s="34" t="n">
        <f aca="false">IF($C20="","",K20/$E$5)</f>
        <v>0.222222222222222</v>
      </c>
      <c r="M20" s="35" t="n">
        <f aca="false">IF($C20="","",IF(L20=0,"-",IF(J20&lt;=0,0,J20/L20)))</f>
        <v>279</v>
      </c>
      <c r="N20" s="32" t="n">
        <f aca="false">IF($C20="","",IF(L20=0,0,MAX(0,ROUNDUP(L20*$E$7,0)-J20)))</f>
        <v>0</v>
      </c>
      <c r="O20" s="32" t="n">
        <f aca="false">IF($C20="","",IF(F20="",0,MAX(J20,0)*F20))</f>
        <v>135470000</v>
      </c>
      <c r="P20" s="36" t="str">
        <f aca="false">IF($C20="","",IF(J20&lt;0,"ÂM KHO – kiểm tra",IF(AND(J20=0,K20&gt;0),"HẾT HÀNG",IF(J20=0,"Hết (ít bán)",IF(K20=0,"Chậm bán",IF(M20&lt;$E$6,"SẮP HẾT","Đủ hàng"))))))</f>
        <v>Đủ hàng</v>
      </c>
      <c r="Q20" s="37" t="str">
        <f aca="false">IF(OR(P20="HẾT HÀNG",P20="SẮP HẾT"),IF(ISNUMBER(M20),M20,0)+ROW()/100000,"")</f>
        <v/>
      </c>
      <c r="R20" s="37" t="n">
        <f aca="false">IF(N(K20)&gt;0,K20+ROW()/100000,"")</f>
        <v>20.0002</v>
      </c>
    </row>
    <row r="21" customFormat="false" ht="15" hidden="false" customHeight="false" outlineLevel="0" collapsed="false">
      <c r="A21" s="27" t="n">
        <f aca="false">IF(C21="","",ROW()-10)</f>
        <v>11</v>
      </c>
      <c r="B21" s="28" t="str">
        <f aca="false">IF(C21="","",IFERROR(INDEX('DANH MỤC'!$C$5:$C$200,MATCH(C21,'DANH MỤC'!$A$5:$A$200,0)),"⚠ Mã chưa có trong DANH MỤC"))</f>
        <v>Sơn lót</v>
      </c>
      <c r="C21" s="29" t="s">
        <v>58</v>
      </c>
      <c r="D21" s="28" t="str">
        <f aca="false">IF(C21="","",IFERROR(INDEX('DANH MỤC'!$B$5:$B$200,MATCH(C21,'DANH MỤC'!$A$5:$A$200,0)),"⚠ Mã chưa có trong DANH MỤC"))</f>
        <v>Sơn lót ngoại thất kháng kiềm Silver EL5</v>
      </c>
      <c r="E21" s="30" t="s">
        <v>52</v>
      </c>
      <c r="F21" s="31" t="n">
        <v>960000</v>
      </c>
      <c r="G21" s="32" t="n">
        <f aca="false">IF($C21="","",SUMIFS('TỒN ĐẦU KỲ'!$E$5:$E$123,'TỒN ĐẦU KỲ'!$B$5:$B$123,$C21,'TỒN ĐẦU KỲ'!$D$5:$D$123,$E21))</f>
        <v>21</v>
      </c>
      <c r="H21" s="32" t="n">
        <f aca="false">IF($C21="","",SUMIFS('NHẬP KHO'!$E$5:$E$2004,'NHẬP KHO'!$C$5:$C$2004,$C21,'NHẬP KHO'!$D$5:$D$2004,$E21,'NHẬP KHO'!$A$5:$A$2004,"&gt;"&amp;$E$4))</f>
        <v>2</v>
      </c>
      <c r="I21" s="32" t="n">
        <f aca="false">IF($C21="","",SUMIFS('XUẤT KHO'!$E$5:$E$2004,'XUẤT KHO'!$C$5:$C$2004,$C21,'XUẤT KHO'!$D$5:$D$2004,$E21,'XUẤT KHO'!$A$5:$A$2004,"&gt;"&amp;$E$4))</f>
        <v>2</v>
      </c>
      <c r="J21" s="33" t="n">
        <f aca="false">IF($C21="","",G21+H21-I21)</f>
        <v>21</v>
      </c>
      <c r="K21" s="32" t="n">
        <f aca="false">IF($C21="","",SUMIFS('XUẤT KHO'!$E$5:$E$2004,'XUẤT KHO'!$C$5:$C$2004,$C21,'XUẤT KHO'!$D$5:$D$2004,$E21,'XUẤT KHO'!$A$5:$A$2004,"&gt;"&amp;($E$3-$E$5),'XUẤT KHO'!$A$5:$A$2004,"&lt;="&amp;$E$3))</f>
        <v>0</v>
      </c>
      <c r="L21" s="34" t="n">
        <f aca="false">IF($C21="","",K21/$E$5)</f>
        <v>0</v>
      </c>
      <c r="M21" s="35" t="str">
        <f aca="false">IF($C21="","",IF(L21=0,"-",IF(J21&lt;=0,0,J21/L21)))</f>
        <v>-</v>
      </c>
      <c r="N21" s="32" t="n">
        <f aca="false">IF($C21="","",IF(L21=0,0,MAX(0,ROUNDUP(L21*$E$7,0)-J21)))</f>
        <v>0</v>
      </c>
      <c r="O21" s="32" t="n">
        <f aca="false">IF($C21="","",IF(F21="",0,MAX(J21,0)*F21))</f>
        <v>20160000</v>
      </c>
      <c r="P21" s="36" t="str">
        <f aca="false">IF($C21="","",IF(J21&lt;0,"ÂM KHO – kiểm tra",IF(AND(J21=0,K21&gt;0),"HẾT HÀNG",IF(J21=0,"Hết (ít bán)",IF(K21=0,"Chậm bán",IF(M21&lt;$E$6,"SẮP HẾT","Đủ hàng"))))))</f>
        <v>Chậm bán</v>
      </c>
      <c r="Q21" s="37" t="str">
        <f aca="false">IF(OR(P21="HẾT HÀNG",P21="SẮP HẾT"),IF(ISNUMBER(M21),M21,0)+ROW()/100000,"")</f>
        <v/>
      </c>
      <c r="R21" s="37" t="str">
        <f aca="false">IF(N(K21)&gt;0,K21+ROW()/100000,"")</f>
        <v/>
      </c>
    </row>
    <row r="22" customFormat="false" ht="15" hidden="false" customHeight="false" outlineLevel="0" collapsed="false">
      <c r="A22" s="27" t="n">
        <f aca="false">IF(C22="","",ROW()-10)</f>
        <v>12</v>
      </c>
      <c r="B22" s="28" t="str">
        <f aca="false">IF(C22="","",IFERROR(INDEX('DANH MỤC'!$C$5:$C$200,MATCH(C22,'DANH MỤC'!$A$5:$A$200,0)),"⚠ Mã chưa có trong DANH MỤC"))</f>
        <v>Sơn lót</v>
      </c>
      <c r="C22" s="29" t="s">
        <v>58</v>
      </c>
      <c r="D22" s="28" t="str">
        <f aca="false">IF(C22="","",IFERROR(INDEX('DANH MỤC'!$B$5:$B$200,MATCH(C22,'DANH MỤC'!$A$5:$A$200,0)),"⚠ Mã chưa có trong DANH MỤC"))</f>
        <v>Sơn lót ngoại thất kháng kiềm Silver EL5</v>
      </c>
      <c r="E22" s="30" t="s">
        <v>53</v>
      </c>
      <c r="F22" s="31" t="n">
        <v>3097000</v>
      </c>
      <c r="G22" s="32" t="n">
        <f aca="false">IF($C22="","",SUMIFS('TỒN ĐẦU KỲ'!$E$5:$E$123,'TỒN ĐẦU KỲ'!$B$5:$B$123,$C22,'TỒN ĐẦU KỲ'!$D$5:$D$123,$E22))</f>
        <v>68</v>
      </c>
      <c r="H22" s="32" t="n">
        <f aca="false">IF($C22="","",SUMIFS('NHẬP KHO'!$E$5:$E$2004,'NHẬP KHO'!$C$5:$C$2004,$C22,'NHẬP KHO'!$D$5:$D$2004,$E22,'NHẬP KHO'!$A$5:$A$2004,"&gt;"&amp;$E$4))</f>
        <v>0</v>
      </c>
      <c r="I22" s="32" t="n">
        <f aca="false">IF($C22="","",SUMIFS('XUẤT KHO'!$E$5:$E$2004,'XUẤT KHO'!$C$5:$C$2004,$C22,'XUẤT KHO'!$D$5:$D$2004,$E22,'XUẤT KHO'!$A$5:$A$2004,"&gt;"&amp;$E$4))</f>
        <v>12</v>
      </c>
      <c r="J22" s="33" t="n">
        <f aca="false">IF($C22="","",G22+H22-I22)</f>
        <v>56</v>
      </c>
      <c r="K22" s="32" t="n">
        <f aca="false">IF($C22="","",SUMIFS('XUẤT KHO'!$E$5:$E$2004,'XUẤT KHO'!$C$5:$C$2004,$C22,'XUẤT KHO'!$D$5:$D$2004,$E22,'XUẤT KHO'!$A$5:$A$2004,"&gt;"&amp;($E$3-$E$5),'XUẤT KHO'!$A$5:$A$2004,"&lt;="&amp;$E$3))</f>
        <v>10</v>
      </c>
      <c r="L22" s="34" t="n">
        <f aca="false">IF($C22="","",K22/$E$5)</f>
        <v>0.111111111111111</v>
      </c>
      <c r="M22" s="35" t="n">
        <f aca="false">IF($C22="","",IF(L22=0,"-",IF(J22&lt;=0,0,J22/L22)))</f>
        <v>504</v>
      </c>
      <c r="N22" s="32" t="n">
        <f aca="false">IF($C22="","",IF(L22=0,0,MAX(0,ROUNDUP(L22*$E$7,0)-J22)))</f>
        <v>0</v>
      </c>
      <c r="O22" s="32" t="n">
        <f aca="false">IF($C22="","",IF(F22="",0,MAX(J22,0)*F22))</f>
        <v>173432000</v>
      </c>
      <c r="P22" s="36" t="str">
        <f aca="false">IF($C22="","",IF(J22&lt;0,"ÂM KHO – kiểm tra",IF(AND(J22=0,K22&gt;0),"HẾT HÀNG",IF(J22=0,"Hết (ít bán)",IF(K22=0,"Chậm bán",IF(M22&lt;$E$6,"SẮP HẾT","Đủ hàng"))))))</f>
        <v>Đủ hàng</v>
      </c>
      <c r="Q22" s="37" t="str">
        <f aca="false">IF(OR(P22="HẾT HÀNG",P22="SẮP HẾT"),IF(ISNUMBER(M22),M22,0)+ROW()/100000,"")</f>
        <v/>
      </c>
      <c r="R22" s="37" t="n">
        <f aca="false">IF(N(K22)&gt;0,K22+ROW()/100000,"")</f>
        <v>10.00022</v>
      </c>
    </row>
    <row r="23" customFormat="false" ht="15" hidden="false" customHeight="false" outlineLevel="0" collapsed="false">
      <c r="A23" s="27" t="n">
        <f aca="false">IF(C23="","",ROW()-10)</f>
        <v>13</v>
      </c>
      <c r="B23" s="28" t="str">
        <f aca="false">IF(C23="","",IFERROR(INDEX('DANH MỤC'!$C$5:$C$200,MATCH(C23,'DANH MỤC'!$A$5:$A$200,0)),"⚠ Mã chưa có trong DANH MỤC"))</f>
        <v>Nội thất</v>
      </c>
      <c r="C23" s="29" t="s">
        <v>59</v>
      </c>
      <c r="D23" s="28" t="str">
        <f aca="false">IF(C23="","",IFERROR(INDEX('DANH MỤC'!$B$5:$B$200,MATCH(C23,'DANH MỤC'!$A$5:$A$200,0)),"⚠ Mã chưa có trong DANH MỤC"))</f>
        <v>Sơn nội thất siêu trắng Imperia IEW</v>
      </c>
      <c r="E23" s="30" t="s">
        <v>52</v>
      </c>
      <c r="F23" s="31" t="n">
        <v>867000</v>
      </c>
      <c r="G23" s="32" t="n">
        <f aca="false">IF($C23="","",SUMIFS('TỒN ĐẦU KỲ'!$E$5:$E$123,'TỒN ĐẦU KỲ'!$B$5:$B$123,$C23,'TỒN ĐẦU KỲ'!$D$5:$D$123,$E23))</f>
        <v>12</v>
      </c>
      <c r="H23" s="32" t="n">
        <f aca="false">IF($C23="","",SUMIFS('NHẬP KHO'!$E$5:$E$2004,'NHẬP KHO'!$C$5:$C$2004,$C23,'NHẬP KHO'!$D$5:$D$2004,$E23,'NHẬP KHO'!$A$5:$A$2004,"&gt;"&amp;$E$4))</f>
        <v>2</v>
      </c>
      <c r="I23" s="32" t="n">
        <f aca="false">IF($C23="","",SUMIFS('XUẤT KHO'!$E$5:$E$2004,'XUẤT KHO'!$C$5:$C$2004,$C23,'XUẤT KHO'!$D$5:$D$2004,$E23,'XUẤT KHO'!$A$5:$A$2004,"&gt;"&amp;$E$4))</f>
        <v>4</v>
      </c>
      <c r="J23" s="33" t="n">
        <f aca="false">IF($C23="","",G23+H23-I23)</f>
        <v>10</v>
      </c>
      <c r="K23" s="32" t="n">
        <f aca="false">IF($C23="","",SUMIFS('XUẤT KHO'!$E$5:$E$2004,'XUẤT KHO'!$C$5:$C$2004,$C23,'XUẤT KHO'!$D$5:$D$2004,$E23,'XUẤT KHO'!$A$5:$A$2004,"&gt;"&amp;($E$3-$E$5),'XUẤT KHO'!$A$5:$A$2004,"&lt;="&amp;$E$3))</f>
        <v>4</v>
      </c>
      <c r="L23" s="34" t="n">
        <f aca="false">IF($C23="","",K23/$E$5)</f>
        <v>0.0444444444444444</v>
      </c>
      <c r="M23" s="35" t="n">
        <f aca="false">IF($C23="","",IF(L23=0,"-",IF(J23&lt;=0,0,J23/L23)))</f>
        <v>225</v>
      </c>
      <c r="N23" s="32" t="n">
        <f aca="false">IF($C23="","",IF(L23=0,0,MAX(0,ROUNDUP(L23*$E$7,0)-J23)))</f>
        <v>0</v>
      </c>
      <c r="O23" s="32" t="n">
        <f aca="false">IF($C23="","",IF(F23="",0,MAX(J23,0)*F23))</f>
        <v>8670000</v>
      </c>
      <c r="P23" s="36" t="str">
        <f aca="false">IF($C23="","",IF(J23&lt;0,"ÂM KHO – kiểm tra",IF(AND(J23=0,K23&gt;0),"HẾT HÀNG",IF(J23=0,"Hết (ít bán)",IF(K23=0,"Chậm bán",IF(M23&lt;$E$6,"SẮP HẾT","Đủ hàng"))))))</f>
        <v>Đủ hàng</v>
      </c>
      <c r="Q23" s="37" t="str">
        <f aca="false">IF(OR(P23="HẾT HÀNG",P23="SẮP HẾT"),IF(ISNUMBER(M23),M23,0)+ROW()/100000,"")</f>
        <v/>
      </c>
      <c r="R23" s="37" t="n">
        <f aca="false">IF(N(K23)&gt;0,K23+ROW()/100000,"")</f>
        <v>4.00023</v>
      </c>
    </row>
    <row r="24" customFormat="false" ht="15" hidden="false" customHeight="false" outlineLevel="0" collapsed="false">
      <c r="A24" s="27" t="n">
        <f aca="false">IF(C24="","",ROW()-10)</f>
        <v>14</v>
      </c>
      <c r="B24" s="28" t="str">
        <f aca="false">IF(C24="","",IFERROR(INDEX('DANH MỤC'!$C$5:$C$200,MATCH(C24,'DANH MỤC'!$A$5:$A$200,0)),"⚠ Mã chưa có trong DANH MỤC"))</f>
        <v>Nội thất</v>
      </c>
      <c r="C24" s="29" t="s">
        <v>59</v>
      </c>
      <c r="D24" s="28" t="str">
        <f aca="false">IF(C24="","",IFERROR(INDEX('DANH MỤC'!$B$5:$B$200,MATCH(C24,'DANH MỤC'!$A$5:$A$200,0)),"⚠ Mã chưa có trong DANH MỤC"))</f>
        <v>Sơn nội thất siêu trắng Imperia IEW</v>
      </c>
      <c r="E24" s="30" t="s">
        <v>53</v>
      </c>
      <c r="F24" s="31" t="n">
        <v>2465000</v>
      </c>
      <c r="G24" s="32" t="n">
        <f aca="false">IF($C24="","",SUMIFS('TỒN ĐẦU KỲ'!$E$5:$E$123,'TỒN ĐẦU KỲ'!$B$5:$B$123,$C24,'TỒN ĐẦU KỲ'!$D$5:$D$123,$E24))</f>
        <v>34</v>
      </c>
      <c r="H24" s="32" t="n">
        <f aca="false">IF($C24="","",SUMIFS('NHẬP KHO'!$E$5:$E$2004,'NHẬP KHO'!$C$5:$C$2004,$C24,'NHẬP KHO'!$D$5:$D$2004,$E24,'NHẬP KHO'!$A$5:$A$2004,"&gt;"&amp;$E$4))</f>
        <v>0</v>
      </c>
      <c r="I24" s="32" t="n">
        <f aca="false">IF($C24="","",SUMIFS('XUẤT KHO'!$E$5:$E$2004,'XUẤT KHO'!$C$5:$C$2004,$C24,'XUẤT KHO'!$D$5:$D$2004,$E24,'XUẤT KHO'!$A$5:$A$2004,"&gt;"&amp;$E$4))</f>
        <v>31</v>
      </c>
      <c r="J24" s="33" t="n">
        <f aca="false">IF($C24="","",G24+H24-I24)</f>
        <v>3</v>
      </c>
      <c r="K24" s="32" t="n">
        <f aca="false">IF($C24="","",SUMIFS('XUẤT KHO'!$E$5:$E$2004,'XUẤT KHO'!$C$5:$C$2004,$C24,'XUẤT KHO'!$D$5:$D$2004,$E24,'XUẤT KHO'!$A$5:$A$2004,"&gt;"&amp;($E$3-$E$5),'XUẤT KHO'!$A$5:$A$2004,"&lt;="&amp;$E$3))</f>
        <v>20</v>
      </c>
      <c r="L24" s="34" t="n">
        <f aca="false">IF($C24="","",K24/$E$5)</f>
        <v>0.222222222222222</v>
      </c>
      <c r="M24" s="35" t="n">
        <f aca="false">IF($C24="","",IF(L24=0,"-",IF(J24&lt;=0,0,J24/L24)))</f>
        <v>13.5</v>
      </c>
      <c r="N24" s="32" t="n">
        <f aca="false">IF($C24="","",IF(L24=0,0,MAX(0,ROUNDUP(L24*$E$7,0)-J24)))</f>
        <v>7</v>
      </c>
      <c r="O24" s="32" t="n">
        <f aca="false">IF($C24="","",IF(F24="",0,MAX(J24,0)*F24))</f>
        <v>7395000</v>
      </c>
      <c r="P24" s="36" t="str">
        <f aca="false">IF($C24="","",IF(J24&lt;0,"ÂM KHO – kiểm tra",IF(AND(J24=0,K24&gt;0),"HẾT HÀNG",IF(J24=0,"Hết (ít bán)",IF(K24=0,"Chậm bán",IF(M24&lt;$E$6,"SẮP HẾT","Đủ hàng"))))))</f>
        <v>SẮP HẾT</v>
      </c>
      <c r="Q24" s="37" t="n">
        <f aca="false">IF(OR(P24="HẾT HÀNG",P24="SẮP HẾT"),IF(ISNUMBER(M24),M24,0)+ROW()/100000,"")</f>
        <v>13.50024</v>
      </c>
      <c r="R24" s="37" t="n">
        <f aca="false">IF(N(K24)&gt;0,K24+ROW()/100000,"")</f>
        <v>20.00024</v>
      </c>
    </row>
    <row r="25" customFormat="false" ht="15" hidden="false" customHeight="false" outlineLevel="0" collapsed="false">
      <c r="A25" s="27" t="n">
        <f aca="false">IF(C25="","",ROW()-10)</f>
        <v>15</v>
      </c>
      <c r="B25" s="28" t="str">
        <f aca="false">IF(C25="","",IFERROR(INDEX('DANH MỤC'!$C$5:$C$200,MATCH(C25,'DANH MỤC'!$A$5:$A$200,0)),"⚠ Mã chưa có trong DANH MỤC"))</f>
        <v>Nội thất</v>
      </c>
      <c r="C25" s="29" t="s">
        <v>60</v>
      </c>
      <c r="D25" s="28" t="str">
        <f aca="false">IF(C25="","",IFERROR(INDEX('DANH MỤC'!$B$5:$B$200,MATCH(C25,'DANH MỤC'!$A$5:$A$200,0)),"⚠ Mã chưa có trong DANH MỤC"))</f>
        <v>Sơn nội thất bền màu Silver ISI</v>
      </c>
      <c r="E25" s="30" t="s">
        <v>52</v>
      </c>
      <c r="F25" s="31" t="n">
        <v>631000</v>
      </c>
      <c r="G25" s="32" t="n">
        <f aca="false">IF($C25="","",SUMIFS('TỒN ĐẦU KỲ'!$E$5:$E$123,'TỒN ĐẦU KỲ'!$B$5:$B$123,$C25,'TỒN ĐẦU KỲ'!$D$5:$D$123,$E25))</f>
        <v>24</v>
      </c>
      <c r="H25" s="32" t="n">
        <f aca="false">IF($C25="","",SUMIFS('NHẬP KHO'!$E$5:$E$2004,'NHẬP KHO'!$C$5:$C$2004,$C25,'NHẬP KHO'!$D$5:$D$2004,$E25,'NHẬP KHO'!$A$5:$A$2004,"&gt;"&amp;$E$4))</f>
        <v>0</v>
      </c>
      <c r="I25" s="32" t="n">
        <f aca="false">IF($C25="","",SUMIFS('XUẤT KHO'!$E$5:$E$2004,'XUẤT KHO'!$C$5:$C$2004,$C25,'XUẤT KHO'!$D$5:$D$2004,$E25,'XUẤT KHO'!$A$5:$A$2004,"&gt;"&amp;$E$4))</f>
        <v>3</v>
      </c>
      <c r="J25" s="33" t="n">
        <f aca="false">IF($C25="","",G25+H25-I25)</f>
        <v>21</v>
      </c>
      <c r="K25" s="32" t="n">
        <f aca="false">IF($C25="","",SUMIFS('XUẤT KHO'!$E$5:$E$2004,'XUẤT KHO'!$C$5:$C$2004,$C25,'XUẤT KHO'!$D$5:$D$2004,$E25,'XUẤT KHO'!$A$5:$A$2004,"&gt;"&amp;($E$3-$E$5),'XUẤT KHO'!$A$5:$A$2004,"&lt;="&amp;$E$3))</f>
        <v>3</v>
      </c>
      <c r="L25" s="34" t="n">
        <f aca="false">IF($C25="","",K25/$E$5)</f>
        <v>0.0333333333333333</v>
      </c>
      <c r="M25" s="35" t="n">
        <f aca="false">IF($C25="","",IF(L25=0,"-",IF(J25&lt;=0,0,J25/L25)))</f>
        <v>630</v>
      </c>
      <c r="N25" s="32" t="n">
        <f aca="false">IF($C25="","",IF(L25=0,0,MAX(0,ROUNDUP(L25*$E$7,0)-J25)))</f>
        <v>0</v>
      </c>
      <c r="O25" s="32" t="n">
        <f aca="false">IF($C25="","",IF(F25="",0,MAX(J25,0)*F25))</f>
        <v>13251000</v>
      </c>
      <c r="P25" s="36" t="str">
        <f aca="false">IF($C25="","",IF(J25&lt;0,"ÂM KHO – kiểm tra",IF(AND(J25=0,K25&gt;0),"HẾT HÀNG",IF(J25=0,"Hết (ít bán)",IF(K25=0,"Chậm bán",IF(M25&lt;$E$6,"SẮP HẾT","Đủ hàng"))))))</f>
        <v>Đủ hàng</v>
      </c>
      <c r="Q25" s="37" t="str">
        <f aca="false">IF(OR(P25="HẾT HÀNG",P25="SẮP HẾT"),IF(ISNUMBER(M25),M25,0)+ROW()/100000,"")</f>
        <v/>
      </c>
      <c r="R25" s="37" t="n">
        <f aca="false">IF(N(K25)&gt;0,K25+ROW()/100000,"")</f>
        <v>3.00025</v>
      </c>
    </row>
    <row r="26" customFormat="false" ht="15" hidden="false" customHeight="false" outlineLevel="0" collapsed="false">
      <c r="A26" s="27" t="n">
        <f aca="false">IF(C26="","",ROW()-10)</f>
        <v>16</v>
      </c>
      <c r="B26" s="28" t="str">
        <f aca="false">IF(C26="","",IFERROR(INDEX('DANH MỤC'!$C$5:$C$200,MATCH(C26,'DANH MỤC'!$A$5:$A$200,0)),"⚠ Mã chưa có trong DANH MỤC"))</f>
        <v>Nội thất</v>
      </c>
      <c r="C26" s="29" t="s">
        <v>60</v>
      </c>
      <c r="D26" s="28" t="str">
        <f aca="false">IF(C26="","",IFERROR(INDEX('DANH MỤC'!$B$5:$B$200,MATCH(C26,'DANH MỤC'!$A$5:$A$200,0)),"⚠ Mã chưa có trong DANH MỤC"))</f>
        <v>Sơn nội thất bền màu Silver ISI</v>
      </c>
      <c r="E26" s="30" t="s">
        <v>53</v>
      </c>
      <c r="F26" s="31" t="n">
        <v>2128000</v>
      </c>
      <c r="G26" s="32" t="n">
        <f aca="false">IF($C26="","",SUMIFS('TỒN ĐẦU KỲ'!$E$5:$E$123,'TỒN ĐẦU KỲ'!$B$5:$B$123,$C26,'TỒN ĐẦU KỲ'!$D$5:$D$123,$E26))</f>
        <v>71</v>
      </c>
      <c r="H26" s="32" t="n">
        <f aca="false">IF($C26="","",SUMIFS('NHẬP KHO'!$E$5:$E$2004,'NHẬP KHO'!$C$5:$C$2004,$C26,'NHẬP KHO'!$D$5:$D$2004,$E26,'NHẬP KHO'!$A$5:$A$2004,"&gt;"&amp;$E$4))</f>
        <v>0</v>
      </c>
      <c r="I26" s="32" t="n">
        <f aca="false">IF($C26="","",SUMIFS('XUẤT KHO'!$E$5:$E$2004,'XUẤT KHO'!$C$5:$C$2004,$C26,'XUẤT KHO'!$D$5:$D$2004,$E26,'XUẤT KHO'!$A$5:$A$2004,"&gt;"&amp;$E$4))</f>
        <v>12</v>
      </c>
      <c r="J26" s="33" t="n">
        <f aca="false">IF($C26="","",G26+H26-I26)</f>
        <v>59</v>
      </c>
      <c r="K26" s="32" t="n">
        <f aca="false">IF($C26="","",SUMIFS('XUẤT KHO'!$E$5:$E$2004,'XUẤT KHO'!$C$5:$C$2004,$C26,'XUẤT KHO'!$D$5:$D$2004,$E26,'XUẤT KHO'!$A$5:$A$2004,"&gt;"&amp;($E$3-$E$5),'XUẤT KHO'!$A$5:$A$2004,"&lt;="&amp;$E$3))</f>
        <v>4</v>
      </c>
      <c r="L26" s="34" t="n">
        <f aca="false">IF($C26="","",K26/$E$5)</f>
        <v>0.0444444444444444</v>
      </c>
      <c r="M26" s="35" t="n">
        <f aca="false">IF($C26="","",IF(L26=0,"-",IF(J26&lt;=0,0,J26/L26)))</f>
        <v>1327.5</v>
      </c>
      <c r="N26" s="32" t="n">
        <f aca="false">IF($C26="","",IF(L26=0,0,MAX(0,ROUNDUP(L26*$E$7,0)-J26)))</f>
        <v>0</v>
      </c>
      <c r="O26" s="32" t="n">
        <f aca="false">IF($C26="","",IF(F26="",0,MAX(J26,0)*F26))</f>
        <v>125552000</v>
      </c>
      <c r="P26" s="36" t="str">
        <f aca="false">IF($C26="","",IF(J26&lt;0,"ÂM KHO – kiểm tra",IF(AND(J26=0,K26&gt;0),"HẾT HÀNG",IF(J26=0,"Hết (ít bán)",IF(K26=0,"Chậm bán",IF(M26&lt;$E$6,"SẮP HẾT","Đủ hàng"))))))</f>
        <v>Đủ hàng</v>
      </c>
      <c r="Q26" s="37" t="str">
        <f aca="false">IF(OR(P26="HẾT HÀNG",P26="SẮP HẾT"),IF(ISNUMBER(M26),M26,0)+ROW()/100000,"")</f>
        <v/>
      </c>
      <c r="R26" s="37" t="n">
        <f aca="false">IF(N(K26)&gt;0,K26+ROW()/100000,"")</f>
        <v>4.00026</v>
      </c>
    </row>
    <row r="27" customFormat="false" ht="15" hidden="false" customHeight="false" outlineLevel="0" collapsed="false">
      <c r="A27" s="27" t="n">
        <f aca="false">IF(C27="","",ROW()-10)</f>
        <v>17</v>
      </c>
      <c r="B27" s="28" t="str">
        <f aca="false">IF(C27="","",IFERROR(INDEX('DANH MỤC'!$C$5:$C$200,MATCH(C27,'DANH MỤC'!$A$5:$A$200,0)),"⚠ Mã chưa có trong DANH MỤC"))</f>
        <v>Nội thất</v>
      </c>
      <c r="C27" s="29" t="s">
        <v>61</v>
      </c>
      <c r="D27" s="28" t="str">
        <f aca="false">IF(C27="","",IFERROR(INDEX('DANH MỤC'!$B$5:$B$200,MATCH(C27,'DANH MỤC'!$A$5:$A$200,0)),"⚠ Mã chưa có trong DANH MỤC"))</f>
        <v>Sơn nội thất cao cấp bóng mờ Imperia ISG06</v>
      </c>
      <c r="E27" s="30" t="s">
        <v>52</v>
      </c>
      <c r="F27" s="31" t="n">
        <v>1302000</v>
      </c>
      <c r="G27" s="32" t="n">
        <f aca="false">IF($C27="","",SUMIFS('TỒN ĐẦU KỲ'!$E$5:$E$123,'TỒN ĐẦU KỲ'!$B$5:$B$123,$C27,'TỒN ĐẦU KỲ'!$D$5:$D$123,$E27))</f>
        <v>44</v>
      </c>
      <c r="H27" s="32" t="n">
        <f aca="false">IF($C27="","",SUMIFS('NHẬP KHO'!$E$5:$E$2004,'NHẬP KHO'!$C$5:$C$2004,$C27,'NHẬP KHO'!$D$5:$D$2004,$E27,'NHẬP KHO'!$A$5:$A$2004,"&gt;"&amp;$E$4))</f>
        <v>0</v>
      </c>
      <c r="I27" s="32" t="n">
        <f aca="false">IF($C27="","",SUMIFS('XUẤT KHO'!$E$5:$E$2004,'XUẤT KHO'!$C$5:$C$2004,$C27,'XUẤT KHO'!$D$5:$D$2004,$E27,'XUẤT KHO'!$A$5:$A$2004,"&gt;"&amp;$E$4))</f>
        <v>23</v>
      </c>
      <c r="J27" s="33" t="n">
        <f aca="false">IF($C27="","",G27+H27-I27)</f>
        <v>21</v>
      </c>
      <c r="K27" s="32" t="n">
        <f aca="false">IF($C27="","",SUMIFS('XUẤT KHO'!$E$5:$E$2004,'XUẤT KHO'!$C$5:$C$2004,$C27,'XUẤT KHO'!$D$5:$D$2004,$E27,'XUẤT KHO'!$A$5:$A$2004,"&gt;"&amp;($E$3-$E$5),'XUẤT KHO'!$A$5:$A$2004,"&lt;="&amp;$E$3))</f>
        <v>9</v>
      </c>
      <c r="L27" s="34" t="n">
        <f aca="false">IF($C27="","",K27/$E$5)</f>
        <v>0.1</v>
      </c>
      <c r="M27" s="35" t="n">
        <f aca="false">IF($C27="","",IF(L27=0,"-",IF(J27&lt;=0,0,J27/L27)))</f>
        <v>210</v>
      </c>
      <c r="N27" s="32" t="n">
        <f aca="false">IF($C27="","",IF(L27=0,0,MAX(0,ROUNDUP(L27*$E$7,0)-J27)))</f>
        <v>0</v>
      </c>
      <c r="O27" s="32" t="n">
        <f aca="false">IF($C27="","",IF(F27="",0,MAX(J27,0)*F27))</f>
        <v>27342000</v>
      </c>
      <c r="P27" s="36" t="str">
        <f aca="false">IF($C27="","",IF(J27&lt;0,"ÂM KHO – kiểm tra",IF(AND(J27=0,K27&gt;0),"HẾT HÀNG",IF(J27=0,"Hết (ít bán)",IF(K27=0,"Chậm bán",IF(M27&lt;$E$6,"SẮP HẾT","Đủ hàng"))))))</f>
        <v>Đủ hàng</v>
      </c>
      <c r="Q27" s="37" t="str">
        <f aca="false">IF(OR(P27="HẾT HÀNG",P27="SẮP HẾT"),IF(ISNUMBER(M27),M27,0)+ROW()/100000,"")</f>
        <v/>
      </c>
      <c r="R27" s="37" t="n">
        <f aca="false">IF(N(K27)&gt;0,K27+ROW()/100000,"")</f>
        <v>9.00027</v>
      </c>
    </row>
    <row r="28" customFormat="false" ht="15" hidden="false" customHeight="false" outlineLevel="0" collapsed="false">
      <c r="A28" s="27" t="n">
        <f aca="false">IF(C28="","",ROW()-10)</f>
        <v>18</v>
      </c>
      <c r="B28" s="28" t="str">
        <f aca="false">IF(C28="","",IFERROR(INDEX('DANH MỤC'!$C$5:$C$200,MATCH(C28,'DANH MỤC'!$A$5:$A$200,0)),"⚠ Mã chưa có trong DANH MỤC"))</f>
        <v>Nội thất</v>
      </c>
      <c r="C28" s="29" t="s">
        <v>61</v>
      </c>
      <c r="D28" s="28" t="str">
        <f aca="false">IF(C28="","",IFERROR(INDEX('DANH MỤC'!$B$5:$B$200,MATCH(C28,'DANH MỤC'!$A$5:$A$200,0)),"⚠ Mã chưa có trong DANH MỤC"))</f>
        <v>Sơn nội thất cao cấp bóng mờ Imperia ISG06</v>
      </c>
      <c r="E28" s="30" t="s">
        <v>53</v>
      </c>
      <c r="F28" s="31" t="n">
        <v>4597000</v>
      </c>
      <c r="G28" s="32" t="n">
        <f aca="false">IF($C28="","",SUMIFS('TỒN ĐẦU KỲ'!$E$5:$E$123,'TỒN ĐẦU KỲ'!$B$5:$B$123,$C28,'TỒN ĐẦU KỲ'!$D$5:$D$123,$E28))</f>
        <v>52</v>
      </c>
      <c r="H28" s="32" t="n">
        <f aca="false">IF($C28="","",SUMIFS('NHẬP KHO'!$E$5:$E$2004,'NHẬP KHO'!$C$5:$C$2004,$C28,'NHẬP KHO'!$D$5:$D$2004,$E28,'NHẬP KHO'!$A$5:$A$2004,"&gt;"&amp;$E$4))</f>
        <v>3</v>
      </c>
      <c r="I28" s="32" t="n">
        <f aca="false">IF($C28="","",SUMIFS('XUẤT KHO'!$E$5:$E$2004,'XUẤT KHO'!$C$5:$C$2004,$C28,'XUẤT KHO'!$D$5:$D$2004,$E28,'XUẤT KHO'!$A$5:$A$2004,"&gt;"&amp;$E$4))</f>
        <v>26</v>
      </c>
      <c r="J28" s="33" t="n">
        <f aca="false">IF($C28="","",G28+H28-I28)</f>
        <v>29</v>
      </c>
      <c r="K28" s="32" t="n">
        <f aca="false">IF($C28="","",SUMIFS('XUẤT KHO'!$E$5:$E$2004,'XUẤT KHO'!$C$5:$C$2004,$C28,'XUẤT KHO'!$D$5:$D$2004,$E28,'XUẤT KHO'!$A$5:$A$2004,"&gt;"&amp;($E$3-$E$5),'XUẤT KHO'!$A$5:$A$2004,"&lt;="&amp;$E$3))</f>
        <v>15</v>
      </c>
      <c r="L28" s="34" t="n">
        <f aca="false">IF($C28="","",K28/$E$5)</f>
        <v>0.166666666666667</v>
      </c>
      <c r="M28" s="35" t="n">
        <f aca="false">IF($C28="","",IF(L28=0,"-",IF(J28&lt;=0,0,J28/L28)))</f>
        <v>174</v>
      </c>
      <c r="N28" s="32" t="n">
        <f aca="false">IF($C28="","",IF(L28=0,0,MAX(0,ROUNDUP(L28*$E$7,0)-J28)))</f>
        <v>0</v>
      </c>
      <c r="O28" s="32" t="n">
        <f aca="false">IF($C28="","",IF(F28="",0,MAX(J28,0)*F28))</f>
        <v>133313000</v>
      </c>
      <c r="P28" s="36" t="str">
        <f aca="false">IF($C28="","",IF(J28&lt;0,"ÂM KHO – kiểm tra",IF(AND(J28=0,K28&gt;0),"HẾT HÀNG",IF(J28=0,"Hết (ít bán)",IF(K28=0,"Chậm bán",IF(M28&lt;$E$6,"SẮP HẾT","Đủ hàng"))))))</f>
        <v>Đủ hàng</v>
      </c>
      <c r="Q28" s="37" t="str">
        <f aca="false">IF(OR(P28="HẾT HÀNG",P28="SẮP HẾT"),IF(ISNUMBER(M28),M28,0)+ROW()/100000,"")</f>
        <v/>
      </c>
      <c r="R28" s="37" t="n">
        <f aca="false">IF(N(K28)&gt;0,K28+ROW()/100000,"")</f>
        <v>15.00028</v>
      </c>
    </row>
    <row r="29" customFormat="false" ht="15" hidden="false" customHeight="false" outlineLevel="0" collapsed="false">
      <c r="A29" s="27" t="n">
        <f aca="false">IF(C29="","",ROW()-10)</f>
        <v>19</v>
      </c>
      <c r="B29" s="28" t="str">
        <f aca="false">IF(C29="","",IFERROR(INDEX('DANH MỤC'!$C$5:$C$200,MATCH(C29,'DANH MỤC'!$A$5:$A$200,0)),"⚠ Mã chưa có trong DANH MỤC"))</f>
        <v>Nội thất</v>
      </c>
      <c r="C29" s="29" t="s">
        <v>62</v>
      </c>
      <c r="D29" s="28" t="str">
        <f aca="false">IF(C29="","",IFERROR(INDEX('DANH MỤC'!$B$5:$B$200,MATCH(C29,'DANH MỤC'!$A$5:$A$200,0)),"⚠ Mã chưa có trong DANH MỤC"))</f>
        <v>Sơn nội thất siêu bóng cao cấp Imperia IG05</v>
      </c>
      <c r="E29" s="30" t="s">
        <v>52</v>
      </c>
      <c r="F29" s="31" t="n">
        <v>1874000</v>
      </c>
      <c r="G29" s="32" t="n">
        <f aca="false">IF($C29="","",SUMIFS('TỒN ĐẦU KỲ'!$E$5:$E$123,'TỒN ĐẦU KỲ'!$B$5:$B$123,$C29,'TỒN ĐẦU KỲ'!$D$5:$D$123,$E29))</f>
        <v>107</v>
      </c>
      <c r="H29" s="32" t="n">
        <f aca="false">IF($C29="","",SUMIFS('NHẬP KHO'!$E$5:$E$2004,'NHẬP KHO'!$C$5:$C$2004,$C29,'NHẬP KHO'!$D$5:$D$2004,$E29,'NHẬP KHO'!$A$5:$A$2004,"&gt;"&amp;$E$4))</f>
        <v>0</v>
      </c>
      <c r="I29" s="32" t="n">
        <f aca="false">IF($C29="","",SUMIFS('XUẤT KHO'!$E$5:$E$2004,'XUẤT KHO'!$C$5:$C$2004,$C29,'XUẤT KHO'!$D$5:$D$2004,$E29,'XUẤT KHO'!$A$5:$A$2004,"&gt;"&amp;$E$4))</f>
        <v>12</v>
      </c>
      <c r="J29" s="33" t="n">
        <f aca="false">IF($C29="","",G29+H29-I29)</f>
        <v>95</v>
      </c>
      <c r="K29" s="32" t="n">
        <f aca="false">IF($C29="","",SUMIFS('XUẤT KHO'!$E$5:$E$2004,'XUẤT KHO'!$C$5:$C$2004,$C29,'XUẤT KHO'!$D$5:$D$2004,$E29,'XUẤT KHO'!$A$5:$A$2004,"&gt;"&amp;($E$3-$E$5),'XUẤT KHO'!$A$5:$A$2004,"&lt;="&amp;$E$3))</f>
        <v>5</v>
      </c>
      <c r="L29" s="34" t="n">
        <f aca="false">IF($C29="","",K29/$E$5)</f>
        <v>0.0555555555555556</v>
      </c>
      <c r="M29" s="35" t="n">
        <f aca="false">IF($C29="","",IF(L29=0,"-",IF(J29&lt;=0,0,J29/L29)))</f>
        <v>1710</v>
      </c>
      <c r="N29" s="32" t="n">
        <f aca="false">IF($C29="","",IF(L29=0,0,MAX(0,ROUNDUP(L29*$E$7,0)-J29)))</f>
        <v>0</v>
      </c>
      <c r="O29" s="32" t="n">
        <f aca="false">IF($C29="","",IF(F29="",0,MAX(J29,0)*F29))</f>
        <v>178030000</v>
      </c>
      <c r="P29" s="36" t="str">
        <f aca="false">IF($C29="","",IF(J29&lt;0,"ÂM KHO – kiểm tra",IF(AND(J29=0,K29&gt;0),"HẾT HÀNG",IF(J29=0,"Hết (ít bán)",IF(K29=0,"Chậm bán",IF(M29&lt;$E$6,"SẮP HẾT","Đủ hàng"))))))</f>
        <v>Đủ hàng</v>
      </c>
      <c r="Q29" s="37" t="str">
        <f aca="false">IF(OR(P29="HẾT HÀNG",P29="SẮP HẾT"),IF(ISNUMBER(M29),M29,0)+ROW()/100000,"")</f>
        <v/>
      </c>
      <c r="R29" s="37" t="n">
        <f aca="false">IF(N(K29)&gt;0,K29+ROW()/100000,"")</f>
        <v>5.00029</v>
      </c>
    </row>
    <row r="30" customFormat="false" ht="15" hidden="false" customHeight="false" outlineLevel="0" collapsed="false">
      <c r="A30" s="27" t="n">
        <f aca="false">IF(C30="","",ROW()-10)</f>
        <v>20</v>
      </c>
      <c r="B30" s="28" t="str">
        <f aca="false">IF(C30="","",IFERROR(INDEX('DANH MỤC'!$C$5:$C$200,MATCH(C30,'DANH MỤC'!$A$5:$A$200,0)),"⚠ Mã chưa có trong DANH MỤC"))</f>
        <v>Nội thất</v>
      </c>
      <c r="C30" s="29" t="s">
        <v>62</v>
      </c>
      <c r="D30" s="28" t="str">
        <f aca="false">IF(C30="","",IFERROR(INDEX('DANH MỤC'!$B$5:$B$200,MATCH(C30,'DANH MỤC'!$A$5:$A$200,0)),"⚠ Mã chưa có trong DANH MỤC"))</f>
        <v>Sơn nội thất siêu bóng cao cấp Imperia IG05</v>
      </c>
      <c r="E30" s="30" t="s">
        <v>53</v>
      </c>
      <c r="F30" s="31" t="n">
        <v>5530000</v>
      </c>
      <c r="G30" s="32" t="n">
        <f aca="false">IF($C30="","",SUMIFS('TỒN ĐẦU KỲ'!$E$5:$E$123,'TỒN ĐẦU KỲ'!$B$5:$B$123,$C30,'TỒN ĐẦU KỲ'!$D$5:$D$123,$E30))</f>
        <v>185</v>
      </c>
      <c r="H30" s="32" t="n">
        <f aca="false">IF($C30="","",SUMIFS('NHẬP KHO'!$E$5:$E$2004,'NHẬP KHO'!$C$5:$C$2004,$C30,'NHẬP KHO'!$D$5:$D$2004,$E30,'NHẬP KHO'!$A$5:$A$2004,"&gt;"&amp;$E$4))</f>
        <v>1</v>
      </c>
      <c r="I30" s="32" t="n">
        <f aca="false">IF($C30="","",SUMIFS('XUẤT KHO'!$E$5:$E$2004,'XUẤT KHO'!$C$5:$C$2004,$C30,'XUẤT KHO'!$D$5:$D$2004,$E30,'XUẤT KHO'!$A$5:$A$2004,"&gt;"&amp;$E$4))</f>
        <v>79</v>
      </c>
      <c r="J30" s="33" t="n">
        <f aca="false">IF($C30="","",G30+H30-I30)</f>
        <v>107</v>
      </c>
      <c r="K30" s="32" t="n">
        <f aca="false">IF($C30="","",SUMIFS('XUẤT KHO'!$E$5:$E$2004,'XUẤT KHO'!$C$5:$C$2004,$C30,'XUẤT KHO'!$D$5:$D$2004,$E30,'XUẤT KHO'!$A$5:$A$2004,"&gt;"&amp;($E$3-$E$5),'XUẤT KHO'!$A$5:$A$2004,"&lt;="&amp;$E$3))</f>
        <v>56</v>
      </c>
      <c r="L30" s="34" t="n">
        <f aca="false">IF($C30="","",K30/$E$5)</f>
        <v>0.622222222222222</v>
      </c>
      <c r="M30" s="35" t="n">
        <f aca="false">IF($C30="","",IF(L30=0,"-",IF(J30&lt;=0,0,J30/L30)))</f>
        <v>171.964285714286</v>
      </c>
      <c r="N30" s="32" t="n">
        <f aca="false">IF($C30="","",IF(L30=0,0,MAX(0,ROUNDUP(L30*$E$7,0)-J30)))</f>
        <v>0</v>
      </c>
      <c r="O30" s="32" t="n">
        <f aca="false">IF($C30="","",IF(F30="",0,MAX(J30,0)*F30))</f>
        <v>591710000</v>
      </c>
      <c r="P30" s="36" t="str">
        <f aca="false">IF($C30="","",IF(J30&lt;0,"ÂM KHO – kiểm tra",IF(AND(J30=0,K30&gt;0),"HẾT HÀNG",IF(J30=0,"Hết (ít bán)",IF(K30=0,"Chậm bán",IF(M30&lt;$E$6,"SẮP HẾT","Đủ hàng"))))))</f>
        <v>Đủ hàng</v>
      </c>
      <c r="Q30" s="37" t="str">
        <f aca="false">IF(OR(P30="HẾT HÀNG",P30="SẮP HẾT"),IF(ISNUMBER(M30),M30,0)+ROW()/100000,"")</f>
        <v/>
      </c>
      <c r="R30" s="37" t="n">
        <f aca="false">IF(N(K30)&gt;0,K30+ROW()/100000,"")</f>
        <v>56.0003</v>
      </c>
    </row>
    <row r="31" customFormat="false" ht="15" hidden="false" customHeight="false" outlineLevel="0" collapsed="false">
      <c r="A31" s="27" t="n">
        <f aca="false">IF(C31="","",ROW()-10)</f>
        <v>21</v>
      </c>
      <c r="B31" s="28" t="str">
        <f aca="false">IF(C31="","",IFERROR(INDEX('DANH MỤC'!$C$5:$C$200,MATCH(C31,'DANH MỤC'!$A$5:$A$200,0)),"⚠ Mã chưa có trong DANH MỤC"))</f>
        <v>Nội thất</v>
      </c>
      <c r="C31" s="29" t="s">
        <v>63</v>
      </c>
      <c r="D31" s="28" t="str">
        <f aca="false">IF(C31="","",IFERROR(INDEX('DANH MỤC'!$B$5:$B$200,MATCH(C31,'DANH MỤC'!$A$5:$A$200,0)),"⚠ Mã chưa có trong DANH MỤC"))</f>
        <v>Sơn nội thất siêu bóng cao cấp Saphir I9</v>
      </c>
      <c r="E31" s="30" t="s">
        <v>52</v>
      </c>
      <c r="F31" s="31" t="n">
        <v>2078000</v>
      </c>
      <c r="G31" s="32" t="n">
        <f aca="false">IF($C31="","",SUMIFS('TỒN ĐẦU KỲ'!$E$5:$E$123,'TỒN ĐẦU KỲ'!$B$5:$B$123,$C31,'TỒN ĐẦU KỲ'!$D$5:$D$123,$E31))</f>
        <v>12</v>
      </c>
      <c r="H31" s="32" t="n">
        <f aca="false">IF($C31="","",SUMIFS('NHẬP KHO'!$E$5:$E$2004,'NHẬP KHO'!$C$5:$C$2004,$C31,'NHẬP KHO'!$D$5:$D$2004,$E31,'NHẬP KHO'!$A$5:$A$2004,"&gt;"&amp;$E$4))</f>
        <v>0</v>
      </c>
      <c r="I31" s="32" t="n">
        <f aca="false">IF($C31="","",SUMIFS('XUẤT KHO'!$E$5:$E$2004,'XUẤT KHO'!$C$5:$C$2004,$C31,'XUẤT KHO'!$D$5:$D$2004,$E31,'XUẤT KHO'!$A$5:$A$2004,"&gt;"&amp;$E$4))</f>
        <v>1</v>
      </c>
      <c r="J31" s="33" t="n">
        <f aca="false">IF($C31="","",G31+H31-I31)</f>
        <v>11</v>
      </c>
      <c r="K31" s="32" t="n">
        <f aca="false">IF($C31="","",SUMIFS('XUẤT KHO'!$E$5:$E$2004,'XUẤT KHO'!$C$5:$C$2004,$C31,'XUẤT KHO'!$D$5:$D$2004,$E31,'XUẤT KHO'!$A$5:$A$2004,"&gt;"&amp;($E$3-$E$5),'XUẤT KHO'!$A$5:$A$2004,"&lt;="&amp;$E$3))</f>
        <v>1</v>
      </c>
      <c r="L31" s="34" t="n">
        <f aca="false">IF($C31="","",K31/$E$5)</f>
        <v>0.0111111111111111</v>
      </c>
      <c r="M31" s="35" t="n">
        <f aca="false">IF($C31="","",IF(L31=0,"-",IF(J31&lt;=0,0,J31/L31)))</f>
        <v>990</v>
      </c>
      <c r="N31" s="32" t="n">
        <f aca="false">IF($C31="","",IF(L31=0,0,MAX(0,ROUNDUP(L31*$E$7,0)-J31)))</f>
        <v>0</v>
      </c>
      <c r="O31" s="32" t="n">
        <f aca="false">IF($C31="","",IF(F31="",0,MAX(J31,0)*F31))</f>
        <v>22858000</v>
      </c>
      <c r="P31" s="36" t="str">
        <f aca="false">IF($C31="","",IF(J31&lt;0,"ÂM KHO – kiểm tra",IF(AND(J31=0,K31&gt;0),"HẾT HÀNG",IF(J31=0,"Hết (ít bán)",IF(K31=0,"Chậm bán",IF(M31&lt;$E$6,"SẮP HẾT","Đủ hàng"))))))</f>
        <v>Đủ hàng</v>
      </c>
      <c r="Q31" s="37" t="str">
        <f aca="false">IF(OR(P31="HẾT HÀNG",P31="SẮP HẾT"),IF(ISNUMBER(M31),M31,0)+ROW()/100000,"")</f>
        <v/>
      </c>
      <c r="R31" s="37" t="n">
        <f aca="false">IF(N(K31)&gt;0,K31+ROW()/100000,"")</f>
        <v>1.00031</v>
      </c>
    </row>
    <row r="32" customFormat="false" ht="15" hidden="false" customHeight="false" outlineLevel="0" collapsed="false">
      <c r="A32" s="27" t="n">
        <f aca="false">IF(C32="","",ROW()-10)</f>
        <v>22</v>
      </c>
      <c r="B32" s="28" t="str">
        <f aca="false">IF(C32="","",IFERROR(INDEX('DANH MỤC'!$C$5:$C$200,MATCH(C32,'DANH MỤC'!$A$5:$A$200,0)),"⚠ Mã chưa có trong DANH MỤC"))</f>
        <v>Nội thất</v>
      </c>
      <c r="C32" s="29" t="s">
        <v>63</v>
      </c>
      <c r="D32" s="28" t="str">
        <f aca="false">IF(C32="","",IFERROR(INDEX('DANH MỤC'!$B$5:$B$200,MATCH(C32,'DANH MỤC'!$A$5:$A$200,0)),"⚠ Mã chưa có trong DANH MỤC"))</f>
        <v>Sơn nội thất siêu bóng cao cấp Saphir I9</v>
      </c>
      <c r="E32" s="30" t="s">
        <v>53</v>
      </c>
      <c r="F32" s="31" t="n">
        <v>6394000</v>
      </c>
      <c r="G32" s="32" t="n">
        <f aca="false">IF($C32="","",SUMIFS('TỒN ĐẦU KỲ'!$E$5:$E$123,'TỒN ĐẦU KỲ'!$B$5:$B$123,$C32,'TỒN ĐẦU KỲ'!$D$5:$D$123,$E32))</f>
        <v>24</v>
      </c>
      <c r="H32" s="32" t="n">
        <f aca="false">IF($C32="","",SUMIFS('NHẬP KHO'!$E$5:$E$2004,'NHẬP KHO'!$C$5:$C$2004,$C32,'NHẬP KHO'!$D$5:$D$2004,$E32,'NHẬP KHO'!$A$5:$A$2004,"&gt;"&amp;$E$4))</f>
        <v>0</v>
      </c>
      <c r="I32" s="32" t="n">
        <f aca="false">IF($C32="","",SUMIFS('XUẤT KHO'!$E$5:$E$2004,'XUẤT KHO'!$C$5:$C$2004,$C32,'XUẤT KHO'!$D$5:$D$2004,$E32,'XUẤT KHO'!$A$5:$A$2004,"&gt;"&amp;$E$4))</f>
        <v>0</v>
      </c>
      <c r="J32" s="33" t="n">
        <f aca="false">IF($C32="","",G32+H32-I32)</f>
        <v>24</v>
      </c>
      <c r="K32" s="32" t="n">
        <f aca="false">IF($C32="","",SUMIFS('XUẤT KHO'!$E$5:$E$2004,'XUẤT KHO'!$C$5:$C$2004,$C32,'XUẤT KHO'!$D$5:$D$2004,$E32,'XUẤT KHO'!$A$5:$A$2004,"&gt;"&amp;($E$3-$E$5),'XUẤT KHO'!$A$5:$A$2004,"&lt;="&amp;$E$3))</f>
        <v>0</v>
      </c>
      <c r="L32" s="34" t="n">
        <f aca="false">IF($C32="","",K32/$E$5)</f>
        <v>0</v>
      </c>
      <c r="M32" s="35" t="str">
        <f aca="false">IF($C32="","",IF(L32=0,"-",IF(J32&lt;=0,0,J32/L32)))</f>
        <v>-</v>
      </c>
      <c r="N32" s="32" t="n">
        <f aca="false">IF($C32="","",IF(L32=0,0,MAX(0,ROUNDUP(L32*$E$7,0)-J32)))</f>
        <v>0</v>
      </c>
      <c r="O32" s="32" t="n">
        <f aca="false">IF($C32="","",IF(F32="",0,MAX(J32,0)*F32))</f>
        <v>153456000</v>
      </c>
      <c r="P32" s="36" t="str">
        <f aca="false">IF($C32="","",IF(J32&lt;0,"ÂM KHO – kiểm tra",IF(AND(J32=0,K32&gt;0),"HẾT HÀNG",IF(J32=0,"Hết (ít bán)",IF(K32=0,"Chậm bán",IF(M32&lt;$E$6,"SẮP HẾT","Đủ hàng"))))))</f>
        <v>Chậm bán</v>
      </c>
      <c r="Q32" s="37" t="str">
        <f aca="false">IF(OR(P32="HẾT HÀNG",P32="SẮP HẾT"),IF(ISNUMBER(M32),M32,0)+ROW()/100000,"")</f>
        <v/>
      </c>
      <c r="R32" s="37" t="str">
        <f aca="false">IF(N(K32)&gt;0,K32+ROW()/100000,"")</f>
        <v/>
      </c>
    </row>
    <row r="33" customFormat="false" ht="15" hidden="false" customHeight="false" outlineLevel="0" collapsed="false">
      <c r="A33" s="27" t="n">
        <f aca="false">IF(C33="","",ROW()-10)</f>
        <v>23</v>
      </c>
      <c r="B33" s="28" t="str">
        <f aca="false">IF(C33="","",IFERROR(INDEX('DANH MỤC'!$C$5:$C$200,MATCH(C33,'DANH MỤC'!$A$5:$A$200,0)),"⚠ Mã chưa có trong DANH MỤC"))</f>
        <v>Nội thất</v>
      </c>
      <c r="C33" s="29" t="s">
        <v>64</v>
      </c>
      <c r="D33" s="28" t="str">
        <f aca="false">IF(C33="","",IFERROR(INDEX('DANH MỤC'!$B$5:$B$200,MATCH(C33,'DANH MỤC'!$A$5:$A$200,0)),"⚠ Mã chưa có trong DANH MỤC"))</f>
        <v>Sơn nội thất kinh tế Deco IDC</v>
      </c>
      <c r="E33" s="30" t="s">
        <v>53</v>
      </c>
      <c r="F33" s="31" t="n">
        <v>1113000</v>
      </c>
      <c r="G33" s="32" t="n">
        <f aca="false">IF($C33="","",SUMIFS('TỒN ĐẦU KỲ'!$E$5:$E$123,'TỒN ĐẦU KỲ'!$B$5:$B$123,$C33,'TỒN ĐẦU KỲ'!$D$5:$D$123,$E33))</f>
        <v>22</v>
      </c>
      <c r="H33" s="32" t="n">
        <f aca="false">IF($C33="","",SUMIFS('NHẬP KHO'!$E$5:$E$2004,'NHẬP KHO'!$C$5:$C$2004,$C33,'NHẬP KHO'!$D$5:$D$2004,$E33,'NHẬP KHO'!$A$5:$A$2004,"&gt;"&amp;$E$4))</f>
        <v>1</v>
      </c>
      <c r="I33" s="32" t="n">
        <f aca="false">IF($C33="","",SUMIFS('XUẤT KHO'!$E$5:$E$2004,'XUẤT KHO'!$C$5:$C$2004,$C33,'XUẤT KHO'!$D$5:$D$2004,$E33,'XUẤT KHO'!$A$5:$A$2004,"&gt;"&amp;$E$4))</f>
        <v>11</v>
      </c>
      <c r="J33" s="33" t="n">
        <f aca="false">IF($C33="","",G33+H33-I33)</f>
        <v>12</v>
      </c>
      <c r="K33" s="32" t="n">
        <f aca="false">IF($C33="","",SUMIFS('XUẤT KHO'!$E$5:$E$2004,'XUẤT KHO'!$C$5:$C$2004,$C33,'XUẤT KHO'!$D$5:$D$2004,$E33,'XUẤT KHO'!$A$5:$A$2004,"&gt;"&amp;($E$3-$E$5),'XUẤT KHO'!$A$5:$A$2004,"&lt;="&amp;$E$3))</f>
        <v>6</v>
      </c>
      <c r="L33" s="34" t="n">
        <f aca="false">IF($C33="","",K33/$E$5)</f>
        <v>0.0666666666666667</v>
      </c>
      <c r="M33" s="35" t="n">
        <f aca="false">IF($C33="","",IF(L33=0,"-",IF(J33&lt;=0,0,J33/L33)))</f>
        <v>180</v>
      </c>
      <c r="N33" s="32" t="n">
        <f aca="false">IF($C33="","",IF(L33=0,0,MAX(0,ROUNDUP(L33*$E$7,0)-J33)))</f>
        <v>0</v>
      </c>
      <c r="O33" s="32" t="n">
        <f aca="false">IF($C33="","",IF(F33="",0,MAX(J33,0)*F33))</f>
        <v>13356000</v>
      </c>
      <c r="P33" s="36" t="str">
        <f aca="false">IF($C33="","",IF(J33&lt;0,"ÂM KHO – kiểm tra",IF(AND(J33=0,K33&gt;0),"HẾT HÀNG",IF(J33=0,"Hết (ít bán)",IF(K33=0,"Chậm bán",IF(M33&lt;$E$6,"SẮP HẾT","Đủ hàng"))))))</f>
        <v>Đủ hàng</v>
      </c>
      <c r="Q33" s="37" t="str">
        <f aca="false">IF(OR(P33="HẾT HÀNG",P33="SẮP HẾT"),IF(ISNUMBER(M33),M33,0)+ROW()/100000,"")</f>
        <v/>
      </c>
      <c r="R33" s="37" t="n">
        <f aca="false">IF(N(K33)&gt;0,K33+ROW()/100000,"")</f>
        <v>6.00033</v>
      </c>
    </row>
    <row r="34" customFormat="false" ht="15" hidden="false" customHeight="false" outlineLevel="0" collapsed="false">
      <c r="A34" s="27" t="n">
        <f aca="false">IF(C34="","",ROW()-10)</f>
        <v>24</v>
      </c>
      <c r="B34" s="28" t="str">
        <f aca="false">IF(C34="","",IFERROR(INDEX('DANH MỤC'!$C$5:$C$200,MATCH(C34,'DANH MỤC'!$A$5:$A$200,0)),"⚠ Mã chưa có trong DANH MỤC"))</f>
        <v>Nội thất</v>
      </c>
      <c r="C34" s="29" t="s">
        <v>65</v>
      </c>
      <c r="D34" s="28" t="str">
        <f aca="false">IF(C34="","",IFERROR(INDEX('DANH MỤC'!$B$5:$B$200,MATCH(C34,'DANH MỤC'!$A$5:$A$200,0)),"⚠ Mã chưa có trong DANH MỤC"))</f>
        <v>Sơn phủ nội thất bóng cao cấp ICL</v>
      </c>
      <c r="E34" s="30" t="s">
        <v>66</v>
      </c>
      <c r="F34" s="31" t="n">
        <v>462000</v>
      </c>
      <c r="G34" s="32" t="n">
        <f aca="false">IF($C34="","",SUMIFS('TỒN ĐẦU KỲ'!$E$5:$E$123,'TỒN ĐẦU KỲ'!$B$5:$B$123,$C34,'TỒN ĐẦU KỲ'!$D$5:$D$123,$E34))</f>
        <v>11</v>
      </c>
      <c r="H34" s="32" t="n">
        <f aca="false">IF($C34="","",SUMIFS('NHẬP KHO'!$E$5:$E$2004,'NHẬP KHO'!$C$5:$C$2004,$C34,'NHẬP KHO'!$D$5:$D$2004,$E34,'NHẬP KHO'!$A$5:$A$2004,"&gt;"&amp;$E$4))</f>
        <v>0</v>
      </c>
      <c r="I34" s="32" t="n">
        <f aca="false">IF($C34="","",SUMIFS('XUẤT KHO'!$E$5:$E$2004,'XUẤT KHO'!$C$5:$C$2004,$C34,'XUẤT KHO'!$D$5:$D$2004,$E34,'XUẤT KHO'!$A$5:$A$2004,"&gt;"&amp;$E$4))</f>
        <v>5</v>
      </c>
      <c r="J34" s="33" t="n">
        <f aca="false">IF($C34="","",G34+H34-I34)</f>
        <v>6</v>
      </c>
      <c r="K34" s="32" t="n">
        <f aca="false">IF($C34="","",SUMIFS('XUẤT KHO'!$E$5:$E$2004,'XUẤT KHO'!$C$5:$C$2004,$C34,'XUẤT KHO'!$D$5:$D$2004,$E34,'XUẤT KHO'!$A$5:$A$2004,"&gt;"&amp;($E$3-$E$5),'XUẤT KHO'!$A$5:$A$2004,"&lt;="&amp;$E$3))</f>
        <v>4</v>
      </c>
      <c r="L34" s="34" t="n">
        <f aca="false">IF($C34="","",K34/$E$5)</f>
        <v>0.0444444444444444</v>
      </c>
      <c r="M34" s="35" t="n">
        <f aca="false">IF($C34="","",IF(L34=0,"-",IF(J34&lt;=0,0,J34/L34)))</f>
        <v>135</v>
      </c>
      <c r="N34" s="32" t="n">
        <f aca="false">IF($C34="","",IF(L34=0,0,MAX(0,ROUNDUP(L34*$E$7,0)-J34)))</f>
        <v>0</v>
      </c>
      <c r="O34" s="32" t="n">
        <f aca="false">IF($C34="","",IF(F34="",0,MAX(J34,0)*F34))</f>
        <v>2772000</v>
      </c>
      <c r="P34" s="36" t="str">
        <f aca="false">IF($C34="","",IF(J34&lt;0,"ÂM KHO – kiểm tra",IF(AND(J34=0,K34&gt;0),"HẾT HÀNG",IF(J34=0,"Hết (ít bán)",IF(K34=0,"Chậm bán",IF(M34&lt;$E$6,"SẮP HẾT","Đủ hàng"))))))</f>
        <v>Đủ hàng</v>
      </c>
      <c r="Q34" s="37" t="str">
        <f aca="false">IF(OR(P34="HẾT HÀNG",P34="SẮP HẾT"),IF(ISNUMBER(M34),M34,0)+ROW()/100000,"")</f>
        <v/>
      </c>
      <c r="R34" s="37" t="n">
        <f aca="false">IF(N(K34)&gt;0,K34+ROW()/100000,"")</f>
        <v>4.00034</v>
      </c>
    </row>
    <row r="35" customFormat="false" ht="15" hidden="false" customHeight="false" outlineLevel="0" collapsed="false">
      <c r="A35" s="27" t="n">
        <f aca="false">IF(C35="","",ROW()-10)</f>
        <v>25</v>
      </c>
      <c r="B35" s="28" t="str">
        <f aca="false">IF(C35="","",IFERROR(INDEX('DANH MỤC'!$C$5:$C$200,MATCH(C35,'DANH MỤC'!$A$5:$A$200,0)),"⚠ Mã chưa có trong DANH MỤC"))</f>
        <v>Ngoại thất</v>
      </c>
      <c r="C35" s="29" t="s">
        <v>67</v>
      </c>
      <c r="D35" s="28" t="str">
        <f aca="false">IF(C35="","",IFERROR(INDEX('DANH MỤC'!$B$5:$B$200,MATCH(C35,'DANH MỤC'!$A$5:$A$200,0)),"⚠ Mã chưa có trong DANH MỤC"))</f>
        <v>Sơn ngoại thất bền màu Silver ESI</v>
      </c>
      <c r="E35" s="30" t="s">
        <v>52</v>
      </c>
      <c r="F35" s="31" t="n">
        <v>971000</v>
      </c>
      <c r="G35" s="32" t="n">
        <f aca="false">IF($C35="","",SUMIFS('TỒN ĐẦU KỲ'!$E$5:$E$123,'TỒN ĐẦU KỲ'!$B$5:$B$123,$C35,'TỒN ĐẦU KỲ'!$D$5:$D$123,$E35))</f>
        <v>25</v>
      </c>
      <c r="H35" s="32" t="n">
        <f aca="false">IF($C35="","",SUMIFS('NHẬP KHO'!$E$5:$E$2004,'NHẬP KHO'!$C$5:$C$2004,$C35,'NHẬP KHO'!$D$5:$D$2004,$E35,'NHẬP KHO'!$A$5:$A$2004,"&gt;"&amp;$E$4))</f>
        <v>0</v>
      </c>
      <c r="I35" s="32" t="n">
        <f aca="false">IF($C35="","",SUMIFS('XUẤT KHO'!$E$5:$E$2004,'XUẤT KHO'!$C$5:$C$2004,$C35,'XUẤT KHO'!$D$5:$D$2004,$E35,'XUẤT KHO'!$A$5:$A$2004,"&gt;"&amp;$E$4))</f>
        <v>0</v>
      </c>
      <c r="J35" s="33" t="n">
        <f aca="false">IF($C35="","",G35+H35-I35)</f>
        <v>25</v>
      </c>
      <c r="K35" s="32" t="n">
        <f aca="false">IF($C35="","",SUMIFS('XUẤT KHO'!$E$5:$E$2004,'XUẤT KHO'!$C$5:$C$2004,$C35,'XUẤT KHO'!$D$5:$D$2004,$E35,'XUẤT KHO'!$A$5:$A$2004,"&gt;"&amp;($E$3-$E$5),'XUẤT KHO'!$A$5:$A$2004,"&lt;="&amp;$E$3))</f>
        <v>0</v>
      </c>
      <c r="L35" s="34" t="n">
        <f aca="false">IF($C35="","",K35/$E$5)</f>
        <v>0</v>
      </c>
      <c r="M35" s="35" t="str">
        <f aca="false">IF($C35="","",IF(L35=0,"-",IF(J35&lt;=0,0,J35/L35)))</f>
        <v>-</v>
      </c>
      <c r="N35" s="32" t="n">
        <f aca="false">IF($C35="","",IF(L35=0,0,MAX(0,ROUNDUP(L35*$E$7,0)-J35)))</f>
        <v>0</v>
      </c>
      <c r="O35" s="32" t="n">
        <f aca="false">IF($C35="","",IF(F35="",0,MAX(J35,0)*F35))</f>
        <v>24275000</v>
      </c>
      <c r="P35" s="36" t="str">
        <f aca="false">IF($C35="","",IF(J35&lt;0,"ÂM KHO – kiểm tra",IF(AND(J35=0,K35&gt;0),"HẾT HÀNG",IF(J35=0,"Hết (ít bán)",IF(K35=0,"Chậm bán",IF(M35&lt;$E$6,"SẮP HẾT","Đủ hàng"))))))</f>
        <v>Chậm bán</v>
      </c>
      <c r="Q35" s="37" t="str">
        <f aca="false">IF(OR(P35="HẾT HÀNG",P35="SẮP HẾT"),IF(ISNUMBER(M35),M35,0)+ROW()/100000,"")</f>
        <v/>
      </c>
      <c r="R35" s="37" t="str">
        <f aca="false">IF(N(K35)&gt;0,K35+ROW()/100000,"")</f>
        <v/>
      </c>
    </row>
    <row r="36" customFormat="false" ht="15" hidden="false" customHeight="false" outlineLevel="0" collapsed="false">
      <c r="A36" s="27" t="n">
        <f aca="false">IF(C36="","",ROW()-10)</f>
        <v>26</v>
      </c>
      <c r="B36" s="28" t="str">
        <f aca="false">IF(C36="","",IFERROR(INDEX('DANH MỤC'!$C$5:$C$200,MATCH(C36,'DANH MỤC'!$A$5:$A$200,0)),"⚠ Mã chưa có trong DANH MỤC"))</f>
        <v>Ngoại thất</v>
      </c>
      <c r="C36" s="29" t="s">
        <v>67</v>
      </c>
      <c r="D36" s="28" t="str">
        <f aca="false">IF(C36="","",IFERROR(INDEX('DANH MỤC'!$B$5:$B$200,MATCH(C36,'DANH MỤC'!$A$5:$A$200,0)),"⚠ Mã chưa có trong DANH MỤC"))</f>
        <v>Sơn ngoại thất bền màu Silver ESI</v>
      </c>
      <c r="E36" s="30" t="s">
        <v>53</v>
      </c>
      <c r="F36" s="31" t="n">
        <v>3131000</v>
      </c>
      <c r="G36" s="32" t="n">
        <f aca="false">IF($C36="","",SUMIFS('TỒN ĐẦU KỲ'!$E$5:$E$123,'TỒN ĐẦU KỲ'!$B$5:$B$123,$C36,'TỒN ĐẦU KỲ'!$D$5:$D$123,$E36))</f>
        <v>72</v>
      </c>
      <c r="H36" s="32" t="n">
        <f aca="false">IF($C36="","",SUMIFS('NHẬP KHO'!$E$5:$E$2004,'NHẬP KHO'!$C$5:$C$2004,$C36,'NHẬP KHO'!$D$5:$D$2004,$E36,'NHẬP KHO'!$A$5:$A$2004,"&gt;"&amp;$E$4))</f>
        <v>0</v>
      </c>
      <c r="I36" s="32" t="n">
        <f aca="false">IF($C36="","",SUMIFS('XUẤT KHO'!$E$5:$E$2004,'XUẤT KHO'!$C$5:$C$2004,$C36,'XUẤT KHO'!$D$5:$D$2004,$E36,'XUẤT KHO'!$A$5:$A$2004,"&gt;"&amp;$E$4))</f>
        <v>5</v>
      </c>
      <c r="J36" s="33" t="n">
        <f aca="false">IF($C36="","",G36+H36-I36)</f>
        <v>67</v>
      </c>
      <c r="K36" s="32" t="n">
        <f aca="false">IF($C36="","",SUMIFS('XUẤT KHO'!$E$5:$E$2004,'XUẤT KHO'!$C$5:$C$2004,$C36,'XUẤT KHO'!$D$5:$D$2004,$E36,'XUẤT KHO'!$A$5:$A$2004,"&gt;"&amp;($E$3-$E$5),'XUẤT KHO'!$A$5:$A$2004,"&lt;="&amp;$E$3))</f>
        <v>4</v>
      </c>
      <c r="L36" s="34" t="n">
        <f aca="false">IF($C36="","",K36/$E$5)</f>
        <v>0.0444444444444444</v>
      </c>
      <c r="M36" s="35" t="n">
        <f aca="false">IF($C36="","",IF(L36=0,"-",IF(J36&lt;=0,0,J36/L36)))</f>
        <v>1507.5</v>
      </c>
      <c r="N36" s="32" t="n">
        <f aca="false">IF($C36="","",IF(L36=0,0,MAX(0,ROUNDUP(L36*$E$7,0)-J36)))</f>
        <v>0</v>
      </c>
      <c r="O36" s="32" t="n">
        <f aca="false">IF($C36="","",IF(F36="",0,MAX(J36,0)*F36))</f>
        <v>209777000</v>
      </c>
      <c r="P36" s="36" t="str">
        <f aca="false">IF($C36="","",IF(J36&lt;0,"ÂM KHO – kiểm tra",IF(AND(J36=0,K36&gt;0),"HẾT HÀNG",IF(J36=0,"Hết (ít bán)",IF(K36=0,"Chậm bán",IF(M36&lt;$E$6,"SẮP HẾT","Đủ hàng"))))))</f>
        <v>Đủ hàng</v>
      </c>
      <c r="Q36" s="37" t="str">
        <f aca="false">IF(OR(P36="HẾT HÀNG",P36="SẮP HẾT"),IF(ISNUMBER(M36),M36,0)+ROW()/100000,"")</f>
        <v/>
      </c>
      <c r="R36" s="37" t="n">
        <f aca="false">IF(N(K36)&gt;0,K36+ROW()/100000,"")</f>
        <v>4.00036</v>
      </c>
    </row>
    <row r="37" customFormat="false" ht="15" hidden="false" customHeight="false" outlineLevel="0" collapsed="false">
      <c r="A37" s="27" t="n">
        <f aca="false">IF(C37="","",ROW()-10)</f>
        <v>27</v>
      </c>
      <c r="B37" s="28" t="str">
        <f aca="false">IF(C37="","",IFERROR(INDEX('DANH MỤC'!$C$5:$C$200,MATCH(C37,'DANH MỤC'!$A$5:$A$200,0)),"⚠ Mã chưa có trong DANH MỤC"))</f>
        <v>Ngoại thất</v>
      </c>
      <c r="C37" s="29" t="s">
        <v>68</v>
      </c>
      <c r="D37" s="28" t="str">
        <f aca="false">IF(C37="","",IFERROR(INDEX('DANH MỤC'!$B$5:$B$200,MATCH(C37,'DANH MỤC'!$A$5:$A$200,0)),"⚠ Mã chưa có trong DANH MỤC"))</f>
        <v>Sơn ngoại thất cao cấp bóng mờ Imperia ESG10</v>
      </c>
      <c r="E37" s="30" t="s">
        <v>66</v>
      </c>
      <c r="F37" s="31" t="n">
        <v>409000</v>
      </c>
      <c r="G37" s="32" t="n">
        <f aca="false">IF($C37="","",SUMIFS('TỒN ĐẦU KỲ'!$E$5:$E$123,'TỒN ĐẦU KỲ'!$B$5:$B$123,$C37,'TỒN ĐẦU KỲ'!$D$5:$D$123,$E37))</f>
        <v>111</v>
      </c>
      <c r="H37" s="32" t="n">
        <f aca="false">IF($C37="","",SUMIFS('NHẬP KHO'!$E$5:$E$2004,'NHẬP KHO'!$C$5:$C$2004,$C37,'NHẬP KHO'!$D$5:$D$2004,$E37,'NHẬP KHO'!$A$5:$A$2004,"&gt;"&amp;$E$4))</f>
        <v>0</v>
      </c>
      <c r="I37" s="32" t="n">
        <f aca="false">IF($C37="","",SUMIFS('XUẤT KHO'!$E$5:$E$2004,'XUẤT KHO'!$C$5:$C$2004,$C37,'XUẤT KHO'!$D$5:$D$2004,$E37,'XUẤT KHO'!$A$5:$A$2004,"&gt;"&amp;$E$4))</f>
        <v>5</v>
      </c>
      <c r="J37" s="33" t="n">
        <f aca="false">IF($C37="","",G37+H37-I37)</f>
        <v>106</v>
      </c>
      <c r="K37" s="32" t="n">
        <f aca="false">IF($C37="","",SUMIFS('XUẤT KHO'!$E$5:$E$2004,'XUẤT KHO'!$C$5:$C$2004,$C37,'XUẤT KHO'!$D$5:$D$2004,$E37,'XUẤT KHO'!$A$5:$A$2004,"&gt;"&amp;($E$3-$E$5),'XUẤT KHO'!$A$5:$A$2004,"&lt;="&amp;$E$3))</f>
        <v>4</v>
      </c>
      <c r="L37" s="34" t="n">
        <f aca="false">IF($C37="","",K37/$E$5)</f>
        <v>0.0444444444444444</v>
      </c>
      <c r="M37" s="35" t="n">
        <f aca="false">IF($C37="","",IF(L37=0,"-",IF(J37&lt;=0,0,J37/L37)))</f>
        <v>2385</v>
      </c>
      <c r="N37" s="32" t="n">
        <f aca="false">IF($C37="","",IF(L37=0,0,MAX(0,ROUNDUP(L37*$E$7,0)-J37)))</f>
        <v>0</v>
      </c>
      <c r="O37" s="32" t="n">
        <f aca="false">IF($C37="","",IF(F37="",0,MAX(J37,0)*F37))</f>
        <v>43354000</v>
      </c>
      <c r="P37" s="36" t="str">
        <f aca="false">IF($C37="","",IF(J37&lt;0,"ÂM KHO – kiểm tra",IF(AND(J37=0,K37&gt;0),"HẾT HÀNG",IF(J37=0,"Hết (ít bán)",IF(K37=0,"Chậm bán",IF(M37&lt;$E$6,"SẮP HẾT","Đủ hàng"))))))</f>
        <v>Đủ hàng</v>
      </c>
      <c r="Q37" s="37" t="str">
        <f aca="false">IF(OR(P37="HẾT HÀNG",P37="SẮP HẾT"),IF(ISNUMBER(M37),M37,0)+ROW()/100000,"")</f>
        <v/>
      </c>
      <c r="R37" s="37" t="n">
        <f aca="false">IF(N(K37)&gt;0,K37+ROW()/100000,"")</f>
        <v>4.00037</v>
      </c>
    </row>
    <row r="38" customFormat="false" ht="15" hidden="false" customHeight="false" outlineLevel="0" collapsed="false">
      <c r="A38" s="27" t="n">
        <f aca="false">IF(C38="","",ROW()-10)</f>
        <v>28</v>
      </c>
      <c r="B38" s="28" t="str">
        <f aca="false">IF(C38="","",IFERROR(INDEX('DANH MỤC'!$C$5:$C$200,MATCH(C38,'DANH MỤC'!$A$5:$A$200,0)),"⚠ Mã chưa có trong DANH MỤC"))</f>
        <v>Ngoại thất</v>
      </c>
      <c r="C38" s="29" t="s">
        <v>68</v>
      </c>
      <c r="D38" s="28" t="str">
        <f aca="false">IF(C38="","",IFERROR(INDEX('DANH MỤC'!$B$5:$B$200,MATCH(C38,'DANH MỤC'!$A$5:$A$200,0)),"⚠ Mã chưa có trong DANH MỤC"))</f>
        <v>Sơn ngoại thất cao cấp bóng mờ Imperia ESG10</v>
      </c>
      <c r="E38" s="30" t="s">
        <v>52</v>
      </c>
      <c r="F38" s="31" t="n">
        <v>1536000</v>
      </c>
      <c r="G38" s="32" t="n">
        <f aca="false">IF($C38="","",SUMIFS('TỒN ĐẦU KỲ'!$E$5:$E$123,'TỒN ĐẦU KỲ'!$B$5:$B$123,$C38,'TỒN ĐẦU KỲ'!$D$5:$D$123,$E38))</f>
        <v>140</v>
      </c>
      <c r="H38" s="32" t="n">
        <f aca="false">IF($C38="","",SUMIFS('NHẬP KHO'!$E$5:$E$2004,'NHẬP KHO'!$C$5:$C$2004,$C38,'NHẬP KHO'!$D$5:$D$2004,$E38,'NHẬP KHO'!$A$5:$A$2004,"&gt;"&amp;$E$4))</f>
        <v>1</v>
      </c>
      <c r="I38" s="32" t="n">
        <f aca="false">IF($C38="","",SUMIFS('XUẤT KHO'!$E$5:$E$2004,'XUẤT KHO'!$C$5:$C$2004,$C38,'XUẤT KHO'!$D$5:$D$2004,$E38,'XUẤT KHO'!$A$5:$A$2004,"&gt;"&amp;$E$4))</f>
        <v>13</v>
      </c>
      <c r="J38" s="33" t="n">
        <f aca="false">IF($C38="","",G38+H38-I38)</f>
        <v>128</v>
      </c>
      <c r="K38" s="32" t="n">
        <f aca="false">IF($C38="","",SUMIFS('XUẤT KHO'!$E$5:$E$2004,'XUẤT KHO'!$C$5:$C$2004,$C38,'XUẤT KHO'!$D$5:$D$2004,$E38,'XUẤT KHO'!$A$5:$A$2004,"&gt;"&amp;($E$3-$E$5),'XUẤT KHO'!$A$5:$A$2004,"&lt;="&amp;$E$3))</f>
        <v>5</v>
      </c>
      <c r="L38" s="34" t="n">
        <f aca="false">IF($C38="","",K38/$E$5)</f>
        <v>0.0555555555555556</v>
      </c>
      <c r="M38" s="35" t="n">
        <f aca="false">IF($C38="","",IF(L38=0,"-",IF(J38&lt;=0,0,J38/L38)))</f>
        <v>2304</v>
      </c>
      <c r="N38" s="32" t="n">
        <f aca="false">IF($C38="","",IF(L38=0,0,MAX(0,ROUNDUP(L38*$E$7,0)-J38)))</f>
        <v>0</v>
      </c>
      <c r="O38" s="32" t="n">
        <f aca="false">IF($C38="","",IF(F38="",0,MAX(J38,0)*F38))</f>
        <v>196608000</v>
      </c>
      <c r="P38" s="36" t="str">
        <f aca="false">IF($C38="","",IF(J38&lt;0,"ÂM KHO – kiểm tra",IF(AND(J38=0,K38&gt;0),"HẾT HÀNG",IF(J38=0,"Hết (ít bán)",IF(K38=0,"Chậm bán",IF(M38&lt;$E$6,"SẮP HẾT","Đủ hàng"))))))</f>
        <v>Đủ hàng</v>
      </c>
      <c r="Q38" s="37" t="str">
        <f aca="false">IF(OR(P38="HẾT HÀNG",P38="SẮP HẾT"),IF(ISNUMBER(M38),M38,0)+ROW()/100000,"")</f>
        <v/>
      </c>
      <c r="R38" s="37" t="n">
        <f aca="false">IF(N(K38)&gt;0,K38+ROW()/100000,"")</f>
        <v>5.00038</v>
      </c>
    </row>
    <row r="39" customFormat="false" ht="15" hidden="false" customHeight="false" outlineLevel="0" collapsed="false">
      <c r="A39" s="27" t="n">
        <f aca="false">IF(C39="","",ROW()-10)</f>
        <v>29</v>
      </c>
      <c r="B39" s="28" t="str">
        <f aca="false">IF(C39="","",IFERROR(INDEX('DANH MỤC'!$C$5:$C$200,MATCH(C39,'DANH MỤC'!$A$5:$A$200,0)),"⚠ Mã chưa có trong DANH MỤC"))</f>
        <v>Ngoại thất</v>
      </c>
      <c r="C39" s="29" t="s">
        <v>68</v>
      </c>
      <c r="D39" s="28" t="str">
        <f aca="false">IF(C39="","",IFERROR(INDEX('DANH MỤC'!$B$5:$B$200,MATCH(C39,'DANH MỤC'!$A$5:$A$200,0)),"⚠ Mã chưa có trong DANH MỤC"))</f>
        <v>Sơn ngoại thất cao cấp bóng mờ Imperia ESG10</v>
      </c>
      <c r="E39" s="30" t="s">
        <v>53</v>
      </c>
      <c r="F39" s="31" t="n">
        <v>5331000</v>
      </c>
      <c r="G39" s="32" t="n">
        <f aca="false">IF($C39="","",SUMIFS('TỒN ĐẦU KỲ'!$E$5:$E$123,'TỒN ĐẦU KỲ'!$B$5:$B$123,$C39,'TỒN ĐẦU KỲ'!$D$5:$D$123,$E39))</f>
        <v>30</v>
      </c>
      <c r="H39" s="32" t="n">
        <f aca="false">IF($C39="","",SUMIFS('NHẬP KHO'!$E$5:$E$2004,'NHẬP KHO'!$C$5:$C$2004,$C39,'NHẬP KHO'!$D$5:$D$2004,$E39,'NHẬP KHO'!$A$5:$A$2004,"&gt;"&amp;$E$4))</f>
        <v>0</v>
      </c>
      <c r="I39" s="32" t="n">
        <f aca="false">IF($C39="","",SUMIFS('XUẤT KHO'!$E$5:$E$2004,'XUẤT KHO'!$C$5:$C$2004,$C39,'XUẤT KHO'!$D$5:$D$2004,$E39,'XUẤT KHO'!$A$5:$A$2004,"&gt;"&amp;$E$4))</f>
        <v>8</v>
      </c>
      <c r="J39" s="33" t="n">
        <f aca="false">IF($C39="","",G39+H39-I39)</f>
        <v>22</v>
      </c>
      <c r="K39" s="32" t="n">
        <f aca="false">IF($C39="","",SUMIFS('XUẤT KHO'!$E$5:$E$2004,'XUẤT KHO'!$C$5:$C$2004,$C39,'XUẤT KHO'!$D$5:$D$2004,$E39,'XUẤT KHO'!$A$5:$A$2004,"&gt;"&amp;($E$3-$E$5),'XUẤT KHO'!$A$5:$A$2004,"&lt;="&amp;$E$3))</f>
        <v>8</v>
      </c>
      <c r="L39" s="34" t="n">
        <f aca="false">IF($C39="","",K39/$E$5)</f>
        <v>0.0888888888888889</v>
      </c>
      <c r="M39" s="35" t="n">
        <f aca="false">IF($C39="","",IF(L39=0,"-",IF(J39&lt;=0,0,J39/L39)))</f>
        <v>247.5</v>
      </c>
      <c r="N39" s="32" t="n">
        <f aca="false">IF($C39="","",IF(L39=0,0,MAX(0,ROUNDUP(L39*$E$7,0)-J39)))</f>
        <v>0</v>
      </c>
      <c r="O39" s="32" t="n">
        <f aca="false">IF($C39="","",IF(F39="",0,MAX(J39,0)*F39))</f>
        <v>117282000</v>
      </c>
      <c r="P39" s="36" t="str">
        <f aca="false">IF($C39="","",IF(J39&lt;0,"ÂM KHO – kiểm tra",IF(AND(J39=0,K39&gt;0),"HẾT HÀNG",IF(J39=0,"Hết (ít bán)",IF(K39=0,"Chậm bán",IF(M39&lt;$E$6,"SẮP HẾT","Đủ hàng"))))))</f>
        <v>Đủ hàng</v>
      </c>
      <c r="Q39" s="37" t="str">
        <f aca="false">IF(OR(P39="HẾT HÀNG",P39="SẮP HẾT"),IF(ISNUMBER(M39),M39,0)+ROW()/100000,"")</f>
        <v/>
      </c>
      <c r="R39" s="37" t="n">
        <f aca="false">IF(N(K39)&gt;0,K39+ROW()/100000,"")</f>
        <v>8.00039</v>
      </c>
    </row>
    <row r="40" customFormat="false" ht="15" hidden="false" customHeight="false" outlineLevel="0" collapsed="false">
      <c r="A40" s="27" t="n">
        <f aca="false">IF(C40="","",ROW()-10)</f>
        <v>30</v>
      </c>
      <c r="B40" s="28" t="str">
        <f aca="false">IF(C40="","",IFERROR(INDEX('DANH MỤC'!$C$5:$C$200,MATCH(C40,'DANH MỤC'!$A$5:$A$200,0)),"⚠ Mã chưa có trong DANH MỤC"))</f>
        <v>Ngoại thất</v>
      </c>
      <c r="C40" s="29" t="s">
        <v>69</v>
      </c>
      <c r="D40" s="28" t="str">
        <f aca="false">IF(C40="","",IFERROR(INDEX('DANH MỤC'!$B$5:$B$200,MATCH(C40,'DANH MỤC'!$A$5:$A$200,0)),"⚠ Mã chưa có trong DANH MỤC"))</f>
        <v>Sơn ngoại thất siêu bóng cao cấp Imperia EG09</v>
      </c>
      <c r="E40" s="30" t="s">
        <v>66</v>
      </c>
      <c r="F40" s="31" t="n">
        <v>479000</v>
      </c>
      <c r="G40" s="32" t="n">
        <f aca="false">IF($C40="","",SUMIFS('TỒN ĐẦU KỲ'!$E$5:$E$123,'TỒN ĐẦU KỲ'!$B$5:$B$123,$C40,'TỒN ĐẦU KỲ'!$D$5:$D$123,$E40))</f>
        <v>225</v>
      </c>
      <c r="H40" s="32" t="n">
        <f aca="false">IF($C40="","",SUMIFS('NHẬP KHO'!$E$5:$E$2004,'NHẬP KHO'!$C$5:$C$2004,$C40,'NHẬP KHO'!$D$5:$D$2004,$E40,'NHẬP KHO'!$A$5:$A$2004,"&gt;"&amp;$E$4))</f>
        <v>0</v>
      </c>
      <c r="I40" s="32" t="n">
        <f aca="false">IF($C40="","",SUMIFS('XUẤT KHO'!$E$5:$E$2004,'XUẤT KHO'!$C$5:$C$2004,$C40,'XUẤT KHO'!$D$5:$D$2004,$E40,'XUẤT KHO'!$A$5:$A$2004,"&gt;"&amp;$E$4))</f>
        <v>25</v>
      </c>
      <c r="J40" s="33" t="n">
        <f aca="false">IF($C40="","",G40+H40-I40)</f>
        <v>200</v>
      </c>
      <c r="K40" s="32" t="n">
        <f aca="false">IF($C40="","",SUMIFS('XUẤT KHO'!$E$5:$E$2004,'XUẤT KHO'!$C$5:$C$2004,$C40,'XUẤT KHO'!$D$5:$D$2004,$E40,'XUẤT KHO'!$A$5:$A$2004,"&gt;"&amp;($E$3-$E$5),'XUẤT KHO'!$A$5:$A$2004,"&lt;="&amp;$E$3))</f>
        <v>8</v>
      </c>
      <c r="L40" s="34" t="n">
        <f aca="false">IF($C40="","",K40/$E$5)</f>
        <v>0.0888888888888889</v>
      </c>
      <c r="M40" s="35" t="n">
        <f aca="false">IF($C40="","",IF(L40=0,"-",IF(J40&lt;=0,0,J40/L40)))</f>
        <v>2250</v>
      </c>
      <c r="N40" s="32" t="n">
        <f aca="false">IF($C40="","",IF(L40=0,0,MAX(0,ROUNDUP(L40*$E$7,0)-J40)))</f>
        <v>0</v>
      </c>
      <c r="O40" s="32" t="n">
        <f aca="false">IF($C40="","",IF(F40="",0,MAX(J40,0)*F40))</f>
        <v>95800000</v>
      </c>
      <c r="P40" s="36" t="str">
        <f aca="false">IF($C40="","",IF(J40&lt;0,"ÂM KHO – kiểm tra",IF(AND(J40=0,K40&gt;0),"HẾT HÀNG",IF(J40=0,"Hết (ít bán)",IF(K40=0,"Chậm bán",IF(M40&lt;$E$6,"SẮP HẾT","Đủ hàng"))))))</f>
        <v>Đủ hàng</v>
      </c>
      <c r="Q40" s="37" t="str">
        <f aca="false">IF(OR(P40="HẾT HÀNG",P40="SẮP HẾT"),IF(ISNUMBER(M40),M40,0)+ROW()/100000,"")</f>
        <v/>
      </c>
      <c r="R40" s="37" t="n">
        <f aca="false">IF(N(K40)&gt;0,K40+ROW()/100000,"")</f>
        <v>8.0004</v>
      </c>
    </row>
    <row r="41" customFormat="false" ht="15" hidden="false" customHeight="false" outlineLevel="0" collapsed="false">
      <c r="A41" s="27" t="n">
        <f aca="false">IF(C41="","",ROW()-10)</f>
        <v>31</v>
      </c>
      <c r="B41" s="28" t="str">
        <f aca="false">IF(C41="","",IFERROR(INDEX('DANH MỤC'!$C$5:$C$200,MATCH(C41,'DANH MỤC'!$A$5:$A$200,0)),"⚠ Mã chưa có trong DANH MỤC"))</f>
        <v>Ngoại thất</v>
      </c>
      <c r="C41" s="29" t="s">
        <v>69</v>
      </c>
      <c r="D41" s="28" t="str">
        <f aca="false">IF(C41="","",IFERROR(INDEX('DANH MỤC'!$B$5:$B$200,MATCH(C41,'DANH MỤC'!$A$5:$A$200,0)),"⚠ Mã chưa có trong DANH MỤC"))</f>
        <v>Sơn ngoại thất siêu bóng cao cấp Imperia EG09</v>
      </c>
      <c r="E41" s="30" t="s">
        <v>52</v>
      </c>
      <c r="F41" s="31" t="n">
        <v>2089000</v>
      </c>
      <c r="G41" s="32" t="n">
        <f aca="false">IF($C41="","",SUMIFS('TỒN ĐẦU KỲ'!$E$5:$E$123,'TỒN ĐẦU KỲ'!$B$5:$B$123,$C41,'TỒN ĐẦU KỲ'!$D$5:$D$123,$E41))</f>
        <v>230</v>
      </c>
      <c r="H41" s="32" t="n">
        <f aca="false">IF($C41="","",SUMIFS('NHẬP KHO'!$E$5:$E$2004,'NHẬP KHO'!$C$5:$C$2004,$C41,'NHẬP KHO'!$D$5:$D$2004,$E41,'NHẬP KHO'!$A$5:$A$2004,"&gt;"&amp;$E$4))</f>
        <v>0</v>
      </c>
      <c r="I41" s="32" t="n">
        <f aca="false">IF($C41="","",SUMIFS('XUẤT KHO'!$E$5:$E$2004,'XUẤT KHO'!$C$5:$C$2004,$C41,'XUẤT KHO'!$D$5:$D$2004,$E41,'XUẤT KHO'!$A$5:$A$2004,"&gt;"&amp;$E$4))</f>
        <v>27</v>
      </c>
      <c r="J41" s="33" t="n">
        <f aca="false">IF($C41="","",G41+H41-I41)</f>
        <v>203</v>
      </c>
      <c r="K41" s="32" t="n">
        <f aca="false">IF($C41="","",SUMIFS('XUẤT KHO'!$E$5:$E$2004,'XUẤT KHO'!$C$5:$C$2004,$C41,'XUẤT KHO'!$D$5:$D$2004,$E41,'XUẤT KHO'!$A$5:$A$2004,"&gt;"&amp;($E$3-$E$5),'XUẤT KHO'!$A$5:$A$2004,"&lt;="&amp;$E$3))</f>
        <v>17</v>
      </c>
      <c r="L41" s="34" t="n">
        <f aca="false">IF($C41="","",K41/$E$5)</f>
        <v>0.188888888888889</v>
      </c>
      <c r="M41" s="35" t="n">
        <f aca="false">IF($C41="","",IF(L41=0,"-",IF(J41&lt;=0,0,J41/L41)))</f>
        <v>1074.70588235294</v>
      </c>
      <c r="N41" s="32" t="n">
        <f aca="false">IF($C41="","",IF(L41=0,0,MAX(0,ROUNDUP(L41*$E$7,0)-J41)))</f>
        <v>0</v>
      </c>
      <c r="O41" s="32" t="n">
        <f aca="false">IF($C41="","",IF(F41="",0,MAX(J41,0)*F41))</f>
        <v>424067000</v>
      </c>
      <c r="P41" s="36" t="str">
        <f aca="false">IF($C41="","",IF(J41&lt;0,"ÂM KHO – kiểm tra",IF(AND(J41=0,K41&gt;0),"HẾT HÀNG",IF(J41=0,"Hết (ít bán)",IF(K41=0,"Chậm bán",IF(M41&lt;$E$6,"SẮP HẾT","Đủ hàng"))))))</f>
        <v>Đủ hàng</v>
      </c>
      <c r="Q41" s="37" t="str">
        <f aca="false">IF(OR(P41="HẾT HÀNG",P41="SẮP HẾT"),IF(ISNUMBER(M41),M41,0)+ROW()/100000,"")</f>
        <v/>
      </c>
      <c r="R41" s="37" t="n">
        <f aca="false">IF(N(K41)&gt;0,K41+ROW()/100000,"")</f>
        <v>17.00041</v>
      </c>
    </row>
    <row r="42" customFormat="false" ht="15" hidden="false" customHeight="false" outlineLevel="0" collapsed="false">
      <c r="A42" s="27" t="n">
        <f aca="false">IF(C42="","",ROW()-10)</f>
        <v>32</v>
      </c>
      <c r="B42" s="28" t="str">
        <f aca="false">IF(C42="","",IFERROR(INDEX('DANH MỤC'!$C$5:$C$200,MATCH(C42,'DANH MỤC'!$A$5:$A$200,0)),"⚠ Mã chưa có trong DANH MỤC"))</f>
        <v>Ngoại thất</v>
      </c>
      <c r="C42" s="29" t="s">
        <v>69</v>
      </c>
      <c r="D42" s="28" t="str">
        <f aca="false">IF(C42="","",IFERROR(INDEX('DANH MỤC'!$B$5:$B$200,MATCH(C42,'DANH MỤC'!$A$5:$A$200,0)),"⚠ Mã chưa có trong DANH MỤC"))</f>
        <v>Sơn ngoại thất siêu bóng cao cấp Imperia EG09</v>
      </c>
      <c r="E42" s="30" t="s">
        <v>53</v>
      </c>
      <c r="F42" s="31" t="n">
        <v>6504000</v>
      </c>
      <c r="G42" s="32" t="n">
        <f aca="false">IF($C42="","",SUMIFS('TỒN ĐẦU KỲ'!$E$5:$E$123,'TỒN ĐẦU KỲ'!$B$5:$B$123,$C42,'TỒN ĐẦU KỲ'!$D$5:$D$123,$E42))</f>
        <v>239</v>
      </c>
      <c r="H42" s="32" t="n">
        <f aca="false">IF($C42="","",SUMIFS('NHẬP KHO'!$E$5:$E$2004,'NHẬP KHO'!$C$5:$C$2004,$C42,'NHẬP KHO'!$D$5:$D$2004,$E42,'NHẬP KHO'!$A$5:$A$2004,"&gt;"&amp;$E$4))</f>
        <v>1</v>
      </c>
      <c r="I42" s="32" t="n">
        <f aca="false">IF($C42="","",SUMIFS('XUẤT KHO'!$E$5:$E$2004,'XUẤT KHO'!$C$5:$C$2004,$C42,'XUẤT KHO'!$D$5:$D$2004,$E42,'XUẤT KHO'!$A$5:$A$2004,"&gt;"&amp;$E$4))</f>
        <v>23</v>
      </c>
      <c r="J42" s="33" t="n">
        <f aca="false">IF($C42="","",G42+H42-I42)</f>
        <v>217</v>
      </c>
      <c r="K42" s="32" t="n">
        <f aca="false">IF($C42="","",SUMIFS('XUẤT KHO'!$E$5:$E$2004,'XUẤT KHO'!$C$5:$C$2004,$C42,'XUẤT KHO'!$D$5:$D$2004,$E42,'XUẤT KHO'!$A$5:$A$2004,"&gt;"&amp;($E$3-$E$5),'XUẤT KHO'!$A$5:$A$2004,"&lt;="&amp;$E$3))</f>
        <v>14</v>
      </c>
      <c r="L42" s="34" t="n">
        <f aca="false">IF($C42="","",K42/$E$5)</f>
        <v>0.155555555555556</v>
      </c>
      <c r="M42" s="35" t="n">
        <f aca="false">IF($C42="","",IF(L42=0,"-",IF(J42&lt;=0,0,J42/L42)))</f>
        <v>1395</v>
      </c>
      <c r="N42" s="32" t="n">
        <f aca="false">IF($C42="","",IF(L42=0,0,MAX(0,ROUNDUP(L42*$E$7,0)-J42)))</f>
        <v>0</v>
      </c>
      <c r="O42" s="32" t="n">
        <f aca="false">IF($C42="","",IF(F42="",0,MAX(J42,0)*F42))</f>
        <v>1411368000</v>
      </c>
      <c r="P42" s="36" t="str">
        <f aca="false">IF($C42="","",IF(J42&lt;0,"ÂM KHO – kiểm tra",IF(AND(J42=0,K42&gt;0),"HẾT HÀNG",IF(J42=0,"Hết (ít bán)",IF(K42=0,"Chậm bán",IF(M42&lt;$E$6,"SẮP HẾT","Đủ hàng"))))))</f>
        <v>Đủ hàng</v>
      </c>
      <c r="Q42" s="37" t="str">
        <f aca="false">IF(OR(P42="HẾT HÀNG",P42="SẮP HẾT"),IF(ISNUMBER(M42),M42,0)+ROW()/100000,"")</f>
        <v/>
      </c>
      <c r="R42" s="37" t="n">
        <f aca="false">IF(N(K42)&gt;0,K42+ROW()/100000,"")</f>
        <v>14.00042</v>
      </c>
    </row>
    <row r="43" customFormat="false" ht="15" hidden="false" customHeight="false" outlineLevel="0" collapsed="false">
      <c r="A43" s="27" t="n">
        <f aca="false">IF(C43="","",ROW()-10)</f>
        <v>33</v>
      </c>
      <c r="B43" s="28" t="str">
        <f aca="false">IF(C43="","",IFERROR(INDEX('DANH MỤC'!$C$5:$C$200,MATCH(C43,'DANH MỤC'!$A$5:$A$200,0)),"⚠ Mã chưa có trong DANH MỤC"))</f>
        <v>Ngoại thất</v>
      </c>
      <c r="C43" s="29" t="s">
        <v>70</v>
      </c>
      <c r="D43" s="28" t="str">
        <f aca="false">IF(C43="","",IFERROR(INDEX('DANH MỤC'!$B$5:$B$200,MATCH(C43,'DANH MỤC'!$A$5:$A$200,0)),"⚠ Mã chưa có trong DANH MỤC"))</f>
        <v>Sơn ngoại thất siêu bóng cao cấp Saphir E9</v>
      </c>
      <c r="E43" s="30" t="s">
        <v>66</v>
      </c>
      <c r="F43" s="31" t="n">
        <v>579000</v>
      </c>
      <c r="G43" s="32" t="n">
        <f aca="false">IF($C43="","",SUMIFS('TỒN ĐẦU KỲ'!$E$5:$E$123,'TỒN ĐẦU KỲ'!$B$5:$B$123,$C43,'TỒN ĐẦU KỲ'!$D$5:$D$123,$E43))</f>
        <v>6</v>
      </c>
      <c r="H43" s="32" t="n">
        <f aca="false">IF($C43="","",SUMIFS('NHẬP KHO'!$E$5:$E$2004,'NHẬP KHO'!$C$5:$C$2004,$C43,'NHẬP KHO'!$D$5:$D$2004,$E43,'NHẬP KHO'!$A$5:$A$2004,"&gt;"&amp;$E$4))</f>
        <v>0</v>
      </c>
      <c r="I43" s="32" t="n">
        <f aca="false">IF($C43="","",SUMIFS('XUẤT KHO'!$E$5:$E$2004,'XUẤT KHO'!$C$5:$C$2004,$C43,'XUẤT KHO'!$D$5:$D$2004,$E43,'XUẤT KHO'!$A$5:$A$2004,"&gt;"&amp;$E$4))</f>
        <v>0</v>
      </c>
      <c r="J43" s="33" t="n">
        <f aca="false">IF($C43="","",G43+H43-I43)</f>
        <v>6</v>
      </c>
      <c r="K43" s="32" t="n">
        <f aca="false">IF($C43="","",SUMIFS('XUẤT KHO'!$E$5:$E$2004,'XUẤT KHO'!$C$5:$C$2004,$C43,'XUẤT KHO'!$D$5:$D$2004,$E43,'XUẤT KHO'!$A$5:$A$2004,"&gt;"&amp;($E$3-$E$5),'XUẤT KHO'!$A$5:$A$2004,"&lt;="&amp;$E$3))</f>
        <v>0</v>
      </c>
      <c r="L43" s="34" t="n">
        <f aca="false">IF($C43="","",K43/$E$5)</f>
        <v>0</v>
      </c>
      <c r="M43" s="35" t="str">
        <f aca="false">IF($C43="","",IF(L43=0,"-",IF(J43&lt;=0,0,J43/L43)))</f>
        <v>-</v>
      </c>
      <c r="N43" s="32" t="n">
        <f aca="false">IF($C43="","",IF(L43=0,0,MAX(0,ROUNDUP(L43*$E$7,0)-J43)))</f>
        <v>0</v>
      </c>
      <c r="O43" s="32" t="n">
        <f aca="false">IF($C43="","",IF(F43="",0,MAX(J43,0)*F43))</f>
        <v>3474000</v>
      </c>
      <c r="P43" s="36" t="str">
        <f aca="false">IF($C43="","",IF(J43&lt;0,"ÂM KHO – kiểm tra",IF(AND(J43=0,K43&gt;0),"HẾT HÀNG",IF(J43=0,"Hết (ít bán)",IF(K43=0,"Chậm bán",IF(M43&lt;$E$6,"SẮP HẾT","Đủ hàng"))))))</f>
        <v>Chậm bán</v>
      </c>
      <c r="Q43" s="37" t="str">
        <f aca="false">IF(OR(P43="HẾT HÀNG",P43="SẮP HẾT"),IF(ISNUMBER(M43),M43,0)+ROW()/100000,"")</f>
        <v/>
      </c>
      <c r="R43" s="37" t="str">
        <f aca="false">IF(N(K43)&gt;0,K43+ROW()/100000,"")</f>
        <v/>
      </c>
    </row>
    <row r="44" customFormat="false" ht="15" hidden="false" customHeight="false" outlineLevel="0" collapsed="false">
      <c r="A44" s="27" t="n">
        <f aca="false">IF(C44="","",ROW()-10)</f>
        <v>34</v>
      </c>
      <c r="B44" s="28" t="str">
        <f aca="false">IF(C44="","",IFERROR(INDEX('DANH MỤC'!$C$5:$C$200,MATCH(C44,'DANH MỤC'!$A$5:$A$200,0)),"⚠ Mã chưa có trong DANH MỤC"))</f>
        <v>Ngoại thất</v>
      </c>
      <c r="C44" s="29" t="s">
        <v>70</v>
      </c>
      <c r="D44" s="28" t="str">
        <f aca="false">IF(C44="","",IFERROR(INDEX('DANH MỤC'!$B$5:$B$200,MATCH(C44,'DANH MỤC'!$A$5:$A$200,0)),"⚠ Mã chưa có trong DANH MỤC"))</f>
        <v>Sơn ngoại thất siêu bóng cao cấp Saphir E9</v>
      </c>
      <c r="E44" s="30" t="s">
        <v>52</v>
      </c>
      <c r="F44" s="31" t="n">
        <v>2386000</v>
      </c>
      <c r="G44" s="32" t="n">
        <f aca="false">IF($C44="","",SUMIFS('TỒN ĐẦU KỲ'!$E$5:$E$123,'TỒN ĐẦU KỲ'!$B$5:$B$123,$C44,'TỒN ĐẦU KỲ'!$D$5:$D$123,$E44))</f>
        <v>81</v>
      </c>
      <c r="H44" s="32" t="n">
        <f aca="false">IF($C44="","",SUMIFS('NHẬP KHO'!$E$5:$E$2004,'NHẬP KHO'!$C$5:$C$2004,$C44,'NHẬP KHO'!$D$5:$D$2004,$E44,'NHẬP KHO'!$A$5:$A$2004,"&gt;"&amp;$E$4))</f>
        <v>0</v>
      </c>
      <c r="I44" s="32" t="n">
        <f aca="false">IF($C44="","",SUMIFS('XUẤT KHO'!$E$5:$E$2004,'XUẤT KHO'!$C$5:$C$2004,$C44,'XUẤT KHO'!$D$5:$D$2004,$E44,'XUẤT KHO'!$A$5:$A$2004,"&gt;"&amp;$E$4))</f>
        <v>0</v>
      </c>
      <c r="J44" s="33" t="n">
        <f aca="false">IF($C44="","",G44+H44-I44)</f>
        <v>81</v>
      </c>
      <c r="K44" s="32" t="n">
        <f aca="false">IF($C44="","",SUMIFS('XUẤT KHO'!$E$5:$E$2004,'XUẤT KHO'!$C$5:$C$2004,$C44,'XUẤT KHO'!$D$5:$D$2004,$E44,'XUẤT KHO'!$A$5:$A$2004,"&gt;"&amp;($E$3-$E$5),'XUẤT KHO'!$A$5:$A$2004,"&lt;="&amp;$E$3))</f>
        <v>0</v>
      </c>
      <c r="L44" s="34" t="n">
        <f aca="false">IF($C44="","",K44/$E$5)</f>
        <v>0</v>
      </c>
      <c r="M44" s="35" t="str">
        <f aca="false">IF($C44="","",IF(L44=0,"-",IF(J44&lt;=0,0,J44/L44)))</f>
        <v>-</v>
      </c>
      <c r="N44" s="32" t="n">
        <f aca="false">IF($C44="","",IF(L44=0,0,MAX(0,ROUNDUP(L44*$E$7,0)-J44)))</f>
        <v>0</v>
      </c>
      <c r="O44" s="32" t="n">
        <f aca="false">IF($C44="","",IF(F44="",0,MAX(J44,0)*F44))</f>
        <v>193266000</v>
      </c>
      <c r="P44" s="36" t="str">
        <f aca="false">IF($C44="","",IF(J44&lt;0,"ÂM KHO – kiểm tra",IF(AND(J44=0,K44&gt;0),"HẾT HÀNG",IF(J44=0,"Hết (ít bán)",IF(K44=0,"Chậm bán",IF(M44&lt;$E$6,"SẮP HẾT","Đủ hàng"))))))</f>
        <v>Chậm bán</v>
      </c>
      <c r="Q44" s="37" t="str">
        <f aca="false">IF(OR(P44="HẾT HÀNG",P44="SẮP HẾT"),IF(ISNUMBER(M44),M44,0)+ROW()/100000,"")</f>
        <v/>
      </c>
      <c r="R44" s="37" t="str">
        <f aca="false">IF(N(K44)&gt;0,K44+ROW()/100000,"")</f>
        <v/>
      </c>
    </row>
    <row r="45" customFormat="false" ht="15" hidden="false" customHeight="false" outlineLevel="0" collapsed="false">
      <c r="A45" s="27" t="n">
        <f aca="false">IF(C45="","",ROW()-10)</f>
        <v>35</v>
      </c>
      <c r="B45" s="28" t="str">
        <f aca="false">IF(C45="","",IFERROR(INDEX('DANH MỤC'!$C$5:$C$200,MATCH(C45,'DANH MỤC'!$A$5:$A$200,0)),"⚠ Mã chưa có trong DANH MỤC"))</f>
        <v>Chống thấm</v>
      </c>
      <c r="C45" s="29" t="s">
        <v>71</v>
      </c>
      <c r="D45" s="28" t="str">
        <f aca="false">IF(C45="","",IFERROR(INDEX('DANH MỤC'!$B$5:$B$200,MATCH(C45,'DANH MỤC'!$A$5:$A$200,0)),"⚠ Mã chưa có trong DANH MỤC"))</f>
        <v>Sơn chống thấm đa năng Imperia CT12</v>
      </c>
      <c r="E45" s="30" t="s">
        <v>52</v>
      </c>
      <c r="F45" s="31" t="n">
        <v>1339000</v>
      </c>
      <c r="G45" s="32" t="n">
        <f aca="false">IF($C45="","",SUMIFS('TỒN ĐẦU KỲ'!$E$5:$E$123,'TỒN ĐẦU KỲ'!$B$5:$B$123,$C45,'TỒN ĐẦU KỲ'!$D$5:$D$123,$E45))</f>
        <v>33</v>
      </c>
      <c r="H45" s="32" t="n">
        <f aca="false">IF($C45="","",SUMIFS('NHẬP KHO'!$E$5:$E$2004,'NHẬP KHO'!$C$5:$C$2004,$C45,'NHẬP KHO'!$D$5:$D$2004,$E45,'NHẬP KHO'!$A$5:$A$2004,"&gt;"&amp;$E$4))</f>
        <v>0</v>
      </c>
      <c r="I45" s="32" t="n">
        <f aca="false">IF($C45="","",SUMIFS('XUẤT KHO'!$E$5:$E$2004,'XUẤT KHO'!$C$5:$C$2004,$C45,'XUẤT KHO'!$D$5:$D$2004,$E45,'XUẤT KHO'!$A$5:$A$2004,"&gt;"&amp;$E$4))</f>
        <v>4</v>
      </c>
      <c r="J45" s="33" t="n">
        <f aca="false">IF($C45="","",G45+H45-I45)</f>
        <v>29</v>
      </c>
      <c r="K45" s="32" t="n">
        <f aca="false">IF($C45="","",SUMIFS('XUẤT KHO'!$E$5:$E$2004,'XUẤT KHO'!$C$5:$C$2004,$C45,'XUẤT KHO'!$D$5:$D$2004,$E45,'XUẤT KHO'!$A$5:$A$2004,"&gt;"&amp;($E$3-$E$5),'XUẤT KHO'!$A$5:$A$2004,"&lt;="&amp;$E$3))</f>
        <v>2</v>
      </c>
      <c r="L45" s="34" t="n">
        <f aca="false">IF($C45="","",K45/$E$5)</f>
        <v>0.0222222222222222</v>
      </c>
      <c r="M45" s="35" t="n">
        <f aca="false">IF($C45="","",IF(L45=0,"-",IF(J45&lt;=0,0,J45/L45)))</f>
        <v>1305</v>
      </c>
      <c r="N45" s="32" t="n">
        <f aca="false">IF($C45="","",IF(L45=0,0,MAX(0,ROUNDUP(L45*$E$7,0)-J45)))</f>
        <v>0</v>
      </c>
      <c r="O45" s="32" t="n">
        <f aca="false">IF($C45="","",IF(F45="",0,MAX(J45,0)*F45))</f>
        <v>38831000</v>
      </c>
      <c r="P45" s="36" t="str">
        <f aca="false">IF($C45="","",IF(J45&lt;0,"ÂM KHO – kiểm tra",IF(AND(J45=0,K45&gt;0),"HẾT HÀNG",IF(J45=0,"Hết (ít bán)",IF(K45=0,"Chậm bán",IF(M45&lt;$E$6,"SẮP HẾT","Đủ hàng"))))))</f>
        <v>Đủ hàng</v>
      </c>
      <c r="Q45" s="37" t="str">
        <f aca="false">IF(OR(P45="HẾT HÀNG",P45="SẮP HẾT"),IF(ISNUMBER(M45),M45,0)+ROW()/100000,"")</f>
        <v/>
      </c>
      <c r="R45" s="37" t="n">
        <f aca="false">IF(N(K45)&gt;0,K45+ROW()/100000,"")</f>
        <v>2.00045</v>
      </c>
    </row>
    <row r="46" customFormat="false" ht="15" hidden="false" customHeight="false" outlineLevel="0" collapsed="false">
      <c r="A46" s="27" t="n">
        <f aca="false">IF(C46="","",ROW()-10)</f>
        <v>36</v>
      </c>
      <c r="B46" s="28" t="str">
        <f aca="false">IF(C46="","",IFERROR(INDEX('DANH MỤC'!$C$5:$C$200,MATCH(C46,'DANH MỤC'!$A$5:$A$200,0)),"⚠ Mã chưa có trong DANH MỤC"))</f>
        <v>Chống thấm</v>
      </c>
      <c r="C46" s="29" t="s">
        <v>71</v>
      </c>
      <c r="D46" s="28" t="str">
        <f aca="false">IF(C46="","",IFERROR(INDEX('DANH MỤC'!$B$5:$B$200,MATCH(C46,'DANH MỤC'!$A$5:$A$200,0)),"⚠ Mã chưa có trong DANH MỤC"))</f>
        <v>Sơn chống thấm đa năng Imperia CT12</v>
      </c>
      <c r="E46" s="30" t="s">
        <v>53</v>
      </c>
      <c r="F46" s="31" t="n">
        <v>4106000</v>
      </c>
      <c r="G46" s="32" t="n">
        <f aca="false">IF($C46="","",SUMIFS('TỒN ĐẦU KỲ'!$E$5:$E$123,'TỒN ĐẦU KỲ'!$B$5:$B$123,$C46,'TỒN ĐẦU KỲ'!$D$5:$D$123,$E46))</f>
        <v>46</v>
      </c>
      <c r="H46" s="32" t="n">
        <f aca="false">IF($C46="","",SUMIFS('NHẬP KHO'!$E$5:$E$2004,'NHẬP KHO'!$C$5:$C$2004,$C46,'NHẬP KHO'!$D$5:$D$2004,$E46,'NHẬP KHO'!$A$5:$A$2004,"&gt;"&amp;$E$4))</f>
        <v>1</v>
      </c>
      <c r="I46" s="32" t="n">
        <f aca="false">IF($C46="","",SUMIFS('XUẤT KHO'!$E$5:$E$2004,'XUẤT KHO'!$C$5:$C$2004,$C46,'XUẤT KHO'!$D$5:$D$2004,$E46,'XUẤT KHO'!$A$5:$A$2004,"&gt;"&amp;$E$4))</f>
        <v>24</v>
      </c>
      <c r="J46" s="33" t="n">
        <f aca="false">IF($C46="","",G46+H46-I46)</f>
        <v>23</v>
      </c>
      <c r="K46" s="32" t="n">
        <f aca="false">IF($C46="","",SUMIFS('XUẤT KHO'!$E$5:$E$2004,'XUẤT KHO'!$C$5:$C$2004,$C46,'XUẤT KHO'!$D$5:$D$2004,$E46,'XUẤT KHO'!$A$5:$A$2004,"&gt;"&amp;($E$3-$E$5),'XUẤT KHO'!$A$5:$A$2004,"&lt;="&amp;$E$3))</f>
        <v>14</v>
      </c>
      <c r="L46" s="34" t="n">
        <f aca="false">IF($C46="","",K46/$E$5)</f>
        <v>0.155555555555556</v>
      </c>
      <c r="M46" s="35" t="n">
        <f aca="false">IF($C46="","",IF(L46=0,"-",IF(J46&lt;=0,0,J46/L46)))</f>
        <v>147.857142857143</v>
      </c>
      <c r="N46" s="32" t="n">
        <f aca="false">IF($C46="","",IF(L46=0,0,MAX(0,ROUNDUP(L46*$E$7,0)-J46)))</f>
        <v>0</v>
      </c>
      <c r="O46" s="32" t="n">
        <f aca="false">IF($C46="","",IF(F46="",0,MAX(J46,0)*F46))</f>
        <v>94438000</v>
      </c>
      <c r="P46" s="36" t="str">
        <f aca="false">IF($C46="","",IF(J46&lt;0,"ÂM KHO – kiểm tra",IF(AND(J46=0,K46&gt;0),"HẾT HÀNG",IF(J46=0,"Hết (ít bán)",IF(K46=0,"Chậm bán",IF(M46&lt;$E$6,"SẮP HẾT","Đủ hàng"))))))</f>
        <v>Đủ hàng</v>
      </c>
      <c r="Q46" s="37" t="str">
        <f aca="false">IF(OR(P46="HẾT HÀNG",P46="SẮP HẾT"),IF(ISNUMBER(M46),M46,0)+ROW()/100000,"")</f>
        <v/>
      </c>
      <c r="R46" s="37" t="n">
        <f aca="false">IF(N(K46)&gt;0,K46+ROW()/100000,"")</f>
        <v>14.00046</v>
      </c>
    </row>
    <row r="47" customFormat="false" ht="15" hidden="false" customHeight="false" outlineLevel="0" collapsed="false">
      <c r="A47" s="27" t="n">
        <f aca="false">IF(C47="","",ROW()-10)</f>
        <v>37</v>
      </c>
      <c r="B47" s="28" t="str">
        <f aca="false">IF(C47="","",IFERROR(INDEX('DANH MỤC'!$C$5:$C$200,MATCH(C47,'DANH MỤC'!$A$5:$A$200,0)),"⚠ Mã chưa có trong DANH MỤC"))</f>
        <v>Chống thấm</v>
      </c>
      <c r="C47" s="29" t="s">
        <v>72</v>
      </c>
      <c r="D47" s="28" t="str">
        <f aca="false">IF(C47="","",IFERROR(INDEX('DANH MỤC'!$B$5:$B$200,MATCH(C47,'DANH MỤC'!$A$5:$A$200,0)),"⚠ Mã chưa có trong DANH MỤC"))</f>
        <v>Sơn chống thấm màu ETM 309 (ghi đậm)</v>
      </c>
      <c r="E47" s="30" t="s">
        <v>52</v>
      </c>
      <c r="F47" s="31" t="n">
        <v>1447000</v>
      </c>
      <c r="G47" s="32" t="n">
        <f aca="false">IF($C47="","",SUMIFS('TỒN ĐẦU KỲ'!$E$5:$E$123,'TỒN ĐẦU KỲ'!$B$5:$B$123,$C47,'TỒN ĐẦU KỲ'!$D$5:$D$123,$E47))</f>
        <v>23</v>
      </c>
      <c r="H47" s="32" t="n">
        <f aca="false">IF($C47="","",SUMIFS('NHẬP KHO'!$E$5:$E$2004,'NHẬP KHO'!$C$5:$C$2004,$C47,'NHẬP KHO'!$D$5:$D$2004,$E47,'NHẬP KHO'!$A$5:$A$2004,"&gt;"&amp;$E$4))</f>
        <v>0</v>
      </c>
      <c r="I47" s="32" t="n">
        <f aca="false">IF($C47="","",SUMIFS('XUẤT KHO'!$E$5:$E$2004,'XUẤT KHO'!$C$5:$C$2004,$C47,'XUẤT KHO'!$D$5:$D$2004,$E47,'XUẤT KHO'!$A$5:$A$2004,"&gt;"&amp;$E$4))</f>
        <v>10</v>
      </c>
      <c r="J47" s="33" t="n">
        <f aca="false">IF($C47="","",G47+H47-I47)</f>
        <v>13</v>
      </c>
      <c r="K47" s="32" t="n">
        <f aca="false">IF($C47="","",SUMIFS('XUẤT KHO'!$E$5:$E$2004,'XUẤT KHO'!$C$5:$C$2004,$C47,'XUẤT KHO'!$D$5:$D$2004,$E47,'XUẤT KHO'!$A$5:$A$2004,"&gt;"&amp;($E$3-$E$5),'XUẤT KHO'!$A$5:$A$2004,"&lt;="&amp;$E$3))</f>
        <v>3</v>
      </c>
      <c r="L47" s="34" t="n">
        <f aca="false">IF($C47="","",K47/$E$5)</f>
        <v>0.0333333333333333</v>
      </c>
      <c r="M47" s="35" t="n">
        <f aca="false">IF($C47="","",IF(L47=0,"-",IF(J47&lt;=0,0,J47/L47)))</f>
        <v>390</v>
      </c>
      <c r="N47" s="32" t="n">
        <f aca="false">IF($C47="","",IF(L47=0,0,MAX(0,ROUNDUP(L47*$E$7,0)-J47)))</f>
        <v>0</v>
      </c>
      <c r="O47" s="32" t="n">
        <f aca="false">IF($C47="","",IF(F47="",0,MAX(J47,0)*F47))</f>
        <v>18811000</v>
      </c>
      <c r="P47" s="36" t="str">
        <f aca="false">IF($C47="","",IF(J47&lt;0,"ÂM KHO – kiểm tra",IF(AND(J47=0,K47&gt;0),"HẾT HÀNG",IF(J47=0,"Hết (ít bán)",IF(K47=0,"Chậm bán",IF(M47&lt;$E$6,"SẮP HẾT","Đủ hàng"))))))</f>
        <v>Đủ hàng</v>
      </c>
      <c r="Q47" s="37" t="str">
        <f aca="false">IF(OR(P47="HẾT HÀNG",P47="SẮP HẾT"),IF(ISNUMBER(M47),M47,0)+ROW()/100000,"")</f>
        <v/>
      </c>
      <c r="R47" s="37" t="n">
        <f aca="false">IF(N(K47)&gt;0,K47+ROW()/100000,"")</f>
        <v>3.00047</v>
      </c>
    </row>
    <row r="48" customFormat="false" ht="15" hidden="false" customHeight="false" outlineLevel="0" collapsed="false">
      <c r="A48" s="27" t="n">
        <f aca="false">IF(C48="","",ROW()-10)</f>
        <v>38</v>
      </c>
      <c r="B48" s="28" t="str">
        <f aca="false">IF(C48="","",IFERROR(INDEX('DANH MỤC'!$C$5:$C$200,MATCH(C48,'DANH MỤC'!$A$5:$A$200,0)),"⚠ Mã chưa có trong DANH MỤC"))</f>
        <v>Chống thấm</v>
      </c>
      <c r="C48" s="29" t="s">
        <v>72</v>
      </c>
      <c r="D48" s="28" t="str">
        <f aca="false">IF(C48="","",IFERROR(INDEX('DANH MỤC'!$B$5:$B$200,MATCH(C48,'DANH MỤC'!$A$5:$A$200,0)),"⚠ Mã chưa có trong DANH MỤC"))</f>
        <v>Sơn chống thấm màu ETM 309 (ghi đậm)</v>
      </c>
      <c r="E48" s="30" t="s">
        <v>53</v>
      </c>
      <c r="F48" s="31" t="n">
        <v>4821000</v>
      </c>
      <c r="G48" s="32" t="n">
        <f aca="false">IF($C48="","",SUMIFS('TỒN ĐẦU KỲ'!$E$5:$E$123,'TỒN ĐẦU KỲ'!$B$5:$B$123,$C48,'TỒN ĐẦU KỲ'!$D$5:$D$123,$E48))</f>
        <v>120</v>
      </c>
      <c r="H48" s="32" t="n">
        <f aca="false">IF($C48="","",SUMIFS('NHẬP KHO'!$E$5:$E$2004,'NHẬP KHO'!$C$5:$C$2004,$C48,'NHẬP KHO'!$D$5:$D$2004,$E48,'NHẬP KHO'!$A$5:$A$2004,"&gt;"&amp;$E$4))</f>
        <v>1</v>
      </c>
      <c r="I48" s="32" t="n">
        <f aca="false">IF($C48="","",SUMIFS('XUẤT KHO'!$E$5:$E$2004,'XUẤT KHO'!$C$5:$C$2004,$C48,'XUẤT KHO'!$D$5:$D$2004,$E48,'XUẤT KHO'!$A$5:$A$2004,"&gt;"&amp;$E$4))</f>
        <v>40</v>
      </c>
      <c r="J48" s="33" t="n">
        <f aca="false">IF($C48="","",G48+H48-I48)</f>
        <v>81</v>
      </c>
      <c r="K48" s="32" t="n">
        <f aca="false">IF($C48="","",SUMIFS('XUẤT KHO'!$E$5:$E$2004,'XUẤT KHO'!$C$5:$C$2004,$C48,'XUẤT KHO'!$D$5:$D$2004,$E48,'XUẤT KHO'!$A$5:$A$2004,"&gt;"&amp;($E$3-$E$5),'XUẤT KHO'!$A$5:$A$2004,"&lt;="&amp;$E$3))</f>
        <v>31</v>
      </c>
      <c r="L48" s="34" t="n">
        <f aca="false">IF($C48="","",K48/$E$5)</f>
        <v>0.344444444444444</v>
      </c>
      <c r="M48" s="35" t="n">
        <f aca="false">IF($C48="","",IF(L48=0,"-",IF(J48&lt;=0,0,J48/L48)))</f>
        <v>235.161290322581</v>
      </c>
      <c r="N48" s="32" t="n">
        <f aca="false">IF($C48="","",IF(L48=0,0,MAX(0,ROUNDUP(L48*$E$7,0)-J48)))</f>
        <v>0</v>
      </c>
      <c r="O48" s="32" t="n">
        <f aca="false">IF($C48="","",IF(F48="",0,MAX(J48,0)*F48))</f>
        <v>390501000</v>
      </c>
      <c r="P48" s="36" t="str">
        <f aca="false">IF($C48="","",IF(J48&lt;0,"ÂM KHO – kiểm tra",IF(AND(J48=0,K48&gt;0),"HẾT HÀNG",IF(J48=0,"Hết (ít bán)",IF(K48=0,"Chậm bán",IF(M48&lt;$E$6,"SẮP HẾT","Đủ hàng"))))))</f>
        <v>Đủ hàng</v>
      </c>
      <c r="Q48" s="37" t="str">
        <f aca="false">IF(OR(P48="HẾT HÀNG",P48="SẮP HẾT"),IF(ISNUMBER(M48),M48,0)+ROW()/100000,"")</f>
        <v/>
      </c>
      <c r="R48" s="37" t="n">
        <f aca="false">IF(N(K48)&gt;0,K48+ROW()/100000,"")</f>
        <v>31.00048</v>
      </c>
    </row>
    <row r="49" customFormat="false" ht="15" hidden="false" customHeight="false" outlineLevel="0" collapsed="false">
      <c r="A49" s="27" t="n">
        <f aca="false">IF(C49="","",ROW()-10)</f>
        <v>39</v>
      </c>
      <c r="B49" s="28" t="str">
        <f aca="false">IF(C49="","",IFERROR(INDEX('DANH MỤC'!$C$5:$C$200,MATCH(C49,'DANH MỤC'!$A$5:$A$200,0)),"⚠ Mã chưa có trong DANH MỤC"))</f>
        <v>Chống thấm</v>
      </c>
      <c r="C49" s="29" t="s">
        <v>73</v>
      </c>
      <c r="D49" s="28" t="str">
        <f aca="false">IF(C49="","",IFERROR(INDEX('DANH MỤC'!$B$5:$B$200,MATCH(C49,'DANH MỤC'!$A$5:$A$200,0)),"⚠ Mã chưa có trong DANH MỤC"))</f>
        <v>Sơn chống thấm ETM 99 (trắng)</v>
      </c>
      <c r="E49" s="30" t="s">
        <v>52</v>
      </c>
      <c r="F49" s="31" t="n">
        <v>1447000</v>
      </c>
      <c r="G49" s="32" t="n">
        <f aca="false">IF($C49="","",SUMIFS('TỒN ĐẦU KỲ'!$E$5:$E$123,'TỒN ĐẦU KỲ'!$B$5:$B$123,$C49,'TỒN ĐẦU KỲ'!$D$5:$D$123,$E49))</f>
        <v>0</v>
      </c>
      <c r="H49" s="32" t="n">
        <f aca="false">IF($C49="","",SUMIFS('NHẬP KHO'!$E$5:$E$2004,'NHẬP KHO'!$C$5:$C$2004,$C49,'NHẬP KHO'!$D$5:$D$2004,$E49,'NHẬP KHO'!$A$5:$A$2004,"&gt;"&amp;$E$4))</f>
        <v>0</v>
      </c>
      <c r="I49" s="32" t="n">
        <f aca="false">IF($C49="","",SUMIFS('XUẤT KHO'!$E$5:$E$2004,'XUẤT KHO'!$C$5:$C$2004,$C49,'XUẤT KHO'!$D$5:$D$2004,$E49,'XUẤT KHO'!$A$5:$A$2004,"&gt;"&amp;$E$4))</f>
        <v>0</v>
      </c>
      <c r="J49" s="33" t="n">
        <f aca="false">IF($C49="","",G49+H49-I49)</f>
        <v>0</v>
      </c>
      <c r="K49" s="32" t="n">
        <f aca="false">IF($C49="","",SUMIFS('XUẤT KHO'!$E$5:$E$2004,'XUẤT KHO'!$C$5:$C$2004,$C49,'XUẤT KHO'!$D$5:$D$2004,$E49,'XUẤT KHO'!$A$5:$A$2004,"&gt;"&amp;($E$3-$E$5),'XUẤT KHO'!$A$5:$A$2004,"&lt;="&amp;$E$3))</f>
        <v>0</v>
      </c>
      <c r="L49" s="34" t="n">
        <f aca="false">IF($C49="","",K49/$E$5)</f>
        <v>0</v>
      </c>
      <c r="M49" s="35" t="str">
        <f aca="false">IF($C49="","",IF(L49=0,"-",IF(J49&lt;=0,0,J49/L49)))</f>
        <v>-</v>
      </c>
      <c r="N49" s="32" t="n">
        <f aca="false">IF($C49="","",IF(L49=0,0,MAX(0,ROUNDUP(L49*$E$7,0)-J49)))</f>
        <v>0</v>
      </c>
      <c r="O49" s="32" t="n">
        <f aca="false">IF($C49="","",IF(F49="",0,MAX(J49,0)*F49))</f>
        <v>0</v>
      </c>
      <c r="P49" s="36" t="str">
        <f aca="false">IF($C49="","",IF(J49&lt;0,"ÂM KHO – kiểm tra",IF(AND(J49=0,K49&gt;0),"HẾT HÀNG",IF(J49=0,"Hết (ít bán)",IF(K49=0,"Chậm bán",IF(M49&lt;$E$6,"SẮP HẾT","Đủ hàng"))))))</f>
        <v>Hết (ít bán)</v>
      </c>
      <c r="Q49" s="37" t="str">
        <f aca="false">IF(OR(P49="HẾT HÀNG",P49="SẮP HẾT"),IF(ISNUMBER(M49),M49,0)+ROW()/100000,"")</f>
        <v/>
      </c>
      <c r="R49" s="37" t="str">
        <f aca="false">IF(N(K49)&gt;0,K49+ROW()/100000,"")</f>
        <v/>
      </c>
    </row>
    <row r="50" customFormat="false" ht="15" hidden="false" customHeight="false" outlineLevel="0" collapsed="false">
      <c r="A50" s="27" t="n">
        <f aca="false">IF(C50="","",ROW()-10)</f>
        <v>40</v>
      </c>
      <c r="B50" s="28" t="str">
        <f aca="false">IF(C50="","",IFERROR(INDEX('DANH MỤC'!$C$5:$C$200,MATCH(C50,'DANH MỤC'!$A$5:$A$200,0)),"⚠ Mã chưa có trong DANH MỤC"))</f>
        <v>Chống thấm</v>
      </c>
      <c r="C50" s="29" t="s">
        <v>73</v>
      </c>
      <c r="D50" s="28" t="str">
        <f aca="false">IF(C50="","",IFERROR(INDEX('DANH MỤC'!$B$5:$B$200,MATCH(C50,'DANH MỤC'!$A$5:$A$200,0)),"⚠ Mã chưa có trong DANH MỤC"))</f>
        <v>Sơn chống thấm ETM 99 (trắng)</v>
      </c>
      <c r="E50" s="30" t="s">
        <v>53</v>
      </c>
      <c r="F50" s="31" t="n">
        <v>4821000</v>
      </c>
      <c r="G50" s="32" t="n">
        <f aca="false">IF($C50="","",SUMIFS('TỒN ĐẦU KỲ'!$E$5:$E$123,'TỒN ĐẦU KỲ'!$B$5:$B$123,$C50,'TỒN ĐẦU KỲ'!$D$5:$D$123,$E50))</f>
        <v>7</v>
      </c>
      <c r="H50" s="32" t="n">
        <f aca="false">IF($C50="","",SUMIFS('NHẬP KHO'!$E$5:$E$2004,'NHẬP KHO'!$C$5:$C$2004,$C50,'NHẬP KHO'!$D$5:$D$2004,$E50,'NHẬP KHO'!$A$5:$A$2004,"&gt;"&amp;$E$4))</f>
        <v>0</v>
      </c>
      <c r="I50" s="32" t="n">
        <f aca="false">IF($C50="","",SUMIFS('XUẤT KHO'!$E$5:$E$2004,'XUẤT KHO'!$C$5:$C$2004,$C50,'XUẤT KHO'!$D$5:$D$2004,$E50,'XUẤT KHO'!$A$5:$A$2004,"&gt;"&amp;$E$4))</f>
        <v>3</v>
      </c>
      <c r="J50" s="33" t="n">
        <f aca="false">IF($C50="","",G50+H50-I50)</f>
        <v>4</v>
      </c>
      <c r="K50" s="32" t="n">
        <f aca="false">IF($C50="","",SUMIFS('XUẤT KHO'!$E$5:$E$2004,'XUẤT KHO'!$C$5:$C$2004,$C50,'XUẤT KHO'!$D$5:$D$2004,$E50,'XUẤT KHO'!$A$5:$A$2004,"&gt;"&amp;($E$3-$E$5),'XUẤT KHO'!$A$5:$A$2004,"&lt;="&amp;$E$3))</f>
        <v>0</v>
      </c>
      <c r="L50" s="34" t="n">
        <f aca="false">IF($C50="","",K50/$E$5)</f>
        <v>0</v>
      </c>
      <c r="M50" s="35" t="str">
        <f aca="false">IF($C50="","",IF(L50=0,"-",IF(J50&lt;=0,0,J50/L50)))</f>
        <v>-</v>
      </c>
      <c r="N50" s="32" t="n">
        <f aca="false">IF($C50="","",IF(L50=0,0,MAX(0,ROUNDUP(L50*$E$7,0)-J50)))</f>
        <v>0</v>
      </c>
      <c r="O50" s="32" t="n">
        <f aca="false">IF($C50="","",IF(F50="",0,MAX(J50,0)*F50))</f>
        <v>19284000</v>
      </c>
      <c r="P50" s="36" t="str">
        <f aca="false">IF($C50="","",IF(J50&lt;0,"ÂM KHO – kiểm tra",IF(AND(J50=0,K50&gt;0),"HẾT HÀNG",IF(J50=0,"Hết (ít bán)",IF(K50=0,"Chậm bán",IF(M50&lt;$E$6,"SẮP HẾT","Đủ hàng"))))))</f>
        <v>Chậm bán</v>
      </c>
      <c r="Q50" s="37" t="str">
        <f aca="false">IF(OR(P50="HẾT HÀNG",P50="SẮP HẾT"),IF(ISNUMBER(M50),M50,0)+ROW()/100000,"")</f>
        <v/>
      </c>
      <c r="R50" s="37" t="str">
        <f aca="false">IF(N(K50)&gt;0,K50+ROW()/100000,"")</f>
        <v/>
      </c>
    </row>
    <row r="51" customFormat="false" ht="15" hidden="false" customHeight="false" outlineLevel="0" collapsed="false">
      <c r="A51" s="27" t="n">
        <f aca="false">IF(C51="","",ROW()-10)</f>
        <v>41</v>
      </c>
      <c r="B51" s="28" t="str">
        <f aca="false">IF(C51="","",IFERROR(INDEX('DANH MỤC'!$C$5:$C$200,MATCH(C51,'DANH MỤC'!$A$5:$A$200,0)),"⚠ Mã chưa có trong DANH MỤC"))</f>
        <v>Chống thấm</v>
      </c>
      <c r="C51" s="29" t="s">
        <v>74</v>
      </c>
      <c r="D51" s="28" t="str">
        <f aca="false">IF(C51="","",IFERROR(INDEX('DANH MỤC'!$B$5:$B$200,MATCH(C51,'DANH MỤC'!$A$5:$A$200,0)),"⚠ Mã chưa có trong DANH MỤC"))</f>
        <v>Sơn chống thấm màu ETM 303 (ghi nhạt)</v>
      </c>
      <c r="E51" s="30" t="s">
        <v>52</v>
      </c>
      <c r="F51" s="31" t="n">
        <v>1447000</v>
      </c>
      <c r="G51" s="32" t="n">
        <f aca="false">IF($C51="","",SUMIFS('TỒN ĐẦU KỲ'!$E$5:$E$123,'TỒN ĐẦU KỲ'!$B$5:$B$123,$C51,'TỒN ĐẦU KỲ'!$D$5:$D$123,$E51))</f>
        <v>3</v>
      </c>
      <c r="H51" s="32" t="n">
        <f aca="false">IF($C51="","",SUMIFS('NHẬP KHO'!$E$5:$E$2004,'NHẬP KHO'!$C$5:$C$2004,$C51,'NHẬP KHO'!$D$5:$D$2004,$E51,'NHẬP KHO'!$A$5:$A$2004,"&gt;"&amp;$E$4))</f>
        <v>0</v>
      </c>
      <c r="I51" s="32" t="n">
        <f aca="false">IF($C51="","",SUMIFS('XUẤT KHO'!$E$5:$E$2004,'XUẤT KHO'!$C$5:$C$2004,$C51,'XUẤT KHO'!$D$5:$D$2004,$E51,'XUẤT KHO'!$A$5:$A$2004,"&gt;"&amp;$E$4))</f>
        <v>0</v>
      </c>
      <c r="J51" s="33" t="n">
        <f aca="false">IF($C51="","",G51+H51-I51)</f>
        <v>3</v>
      </c>
      <c r="K51" s="32" t="n">
        <f aca="false">IF($C51="","",SUMIFS('XUẤT KHO'!$E$5:$E$2004,'XUẤT KHO'!$C$5:$C$2004,$C51,'XUẤT KHO'!$D$5:$D$2004,$E51,'XUẤT KHO'!$A$5:$A$2004,"&gt;"&amp;($E$3-$E$5),'XUẤT KHO'!$A$5:$A$2004,"&lt;="&amp;$E$3))</f>
        <v>0</v>
      </c>
      <c r="L51" s="34" t="n">
        <f aca="false">IF($C51="","",K51/$E$5)</f>
        <v>0</v>
      </c>
      <c r="M51" s="35" t="str">
        <f aca="false">IF($C51="","",IF(L51=0,"-",IF(J51&lt;=0,0,J51/L51)))</f>
        <v>-</v>
      </c>
      <c r="N51" s="32" t="n">
        <f aca="false">IF($C51="","",IF(L51=0,0,MAX(0,ROUNDUP(L51*$E$7,0)-J51)))</f>
        <v>0</v>
      </c>
      <c r="O51" s="32" t="n">
        <f aca="false">IF($C51="","",IF(F51="",0,MAX(J51,0)*F51))</f>
        <v>4341000</v>
      </c>
      <c r="P51" s="36" t="str">
        <f aca="false">IF($C51="","",IF(J51&lt;0,"ÂM KHO – kiểm tra",IF(AND(J51=0,K51&gt;0),"HẾT HÀNG",IF(J51=0,"Hết (ít bán)",IF(K51=0,"Chậm bán",IF(M51&lt;$E$6,"SẮP HẾT","Đủ hàng"))))))</f>
        <v>Chậm bán</v>
      </c>
      <c r="Q51" s="37" t="str">
        <f aca="false">IF(OR(P51="HẾT HÀNG",P51="SẮP HẾT"),IF(ISNUMBER(M51),M51,0)+ROW()/100000,"")</f>
        <v/>
      </c>
      <c r="R51" s="37" t="str">
        <f aca="false">IF(N(K51)&gt;0,K51+ROW()/100000,"")</f>
        <v/>
      </c>
    </row>
    <row r="52" customFormat="false" ht="15" hidden="false" customHeight="false" outlineLevel="0" collapsed="false">
      <c r="A52" s="27" t="n">
        <f aca="false">IF(C52="","",ROW()-10)</f>
        <v>42</v>
      </c>
      <c r="B52" s="28" t="str">
        <f aca="false">IF(C52="","",IFERROR(INDEX('DANH MỤC'!$C$5:$C$200,MATCH(C52,'DANH MỤC'!$A$5:$A$200,0)),"⚠ Mã chưa có trong DANH MỤC"))</f>
        <v>Chống thấm</v>
      </c>
      <c r="C52" s="29" t="s">
        <v>74</v>
      </c>
      <c r="D52" s="28" t="str">
        <f aca="false">IF(C52="","",IFERROR(INDEX('DANH MỤC'!$B$5:$B$200,MATCH(C52,'DANH MỤC'!$A$5:$A$200,0)),"⚠ Mã chưa có trong DANH MỤC"))</f>
        <v>Sơn chống thấm màu ETM 303 (ghi nhạt)</v>
      </c>
      <c r="E52" s="30" t="s">
        <v>53</v>
      </c>
      <c r="F52" s="31" t="n">
        <v>4821000</v>
      </c>
      <c r="G52" s="32" t="n">
        <f aca="false">IF($C52="","",SUMIFS('TỒN ĐẦU KỲ'!$E$5:$E$123,'TỒN ĐẦU KỲ'!$B$5:$B$123,$C52,'TỒN ĐẦU KỲ'!$D$5:$D$123,$E52))</f>
        <v>0</v>
      </c>
      <c r="H52" s="32" t="n">
        <f aca="false">IF($C52="","",SUMIFS('NHẬP KHO'!$E$5:$E$2004,'NHẬP KHO'!$C$5:$C$2004,$C52,'NHẬP KHO'!$D$5:$D$2004,$E52,'NHẬP KHO'!$A$5:$A$2004,"&gt;"&amp;$E$4))</f>
        <v>0</v>
      </c>
      <c r="I52" s="32" t="n">
        <f aca="false">IF($C52="","",SUMIFS('XUẤT KHO'!$E$5:$E$2004,'XUẤT KHO'!$C$5:$C$2004,$C52,'XUẤT KHO'!$D$5:$D$2004,$E52,'XUẤT KHO'!$A$5:$A$2004,"&gt;"&amp;$E$4))</f>
        <v>0</v>
      </c>
      <c r="J52" s="33" t="n">
        <f aca="false">IF($C52="","",G52+H52-I52)</f>
        <v>0</v>
      </c>
      <c r="K52" s="32" t="n">
        <f aca="false">IF($C52="","",SUMIFS('XUẤT KHO'!$E$5:$E$2004,'XUẤT KHO'!$C$5:$C$2004,$C52,'XUẤT KHO'!$D$5:$D$2004,$E52,'XUẤT KHO'!$A$5:$A$2004,"&gt;"&amp;($E$3-$E$5),'XUẤT KHO'!$A$5:$A$2004,"&lt;="&amp;$E$3))</f>
        <v>0</v>
      </c>
      <c r="L52" s="34" t="n">
        <f aca="false">IF($C52="","",K52/$E$5)</f>
        <v>0</v>
      </c>
      <c r="M52" s="35" t="str">
        <f aca="false">IF($C52="","",IF(L52=0,"-",IF(J52&lt;=0,0,J52/L52)))</f>
        <v>-</v>
      </c>
      <c r="N52" s="32" t="n">
        <f aca="false">IF($C52="","",IF(L52=0,0,MAX(0,ROUNDUP(L52*$E$7,0)-J52)))</f>
        <v>0</v>
      </c>
      <c r="O52" s="32" t="n">
        <f aca="false">IF($C52="","",IF(F52="",0,MAX(J52,0)*F52))</f>
        <v>0</v>
      </c>
      <c r="P52" s="36" t="str">
        <f aca="false">IF($C52="","",IF(J52&lt;0,"ÂM KHO – kiểm tra",IF(AND(J52=0,K52&gt;0),"HẾT HÀNG",IF(J52=0,"Hết (ít bán)",IF(K52=0,"Chậm bán",IF(M52&lt;$E$6,"SẮP HẾT","Đủ hàng"))))))</f>
        <v>Hết (ít bán)</v>
      </c>
      <c r="Q52" s="37" t="str">
        <f aca="false">IF(OR(P52="HẾT HÀNG",P52="SẮP HẾT"),IF(ISNUMBER(M52),M52,0)+ROW()/100000,"")</f>
        <v/>
      </c>
      <c r="R52" s="37" t="str">
        <f aca="false">IF(N(K52)&gt;0,K52+ROW()/100000,"")</f>
        <v/>
      </c>
    </row>
    <row r="53" customFormat="false" ht="15" hidden="false" customHeight="false" outlineLevel="0" collapsed="false">
      <c r="A53" s="27" t="n">
        <f aca="false">IF(C53="","",ROW()-10)</f>
        <v>43</v>
      </c>
      <c r="B53" s="28" t="str">
        <f aca="false">IF(C53="","",IFERROR(INDEX('DANH MỤC'!$C$5:$C$200,MATCH(C53,'DANH MỤC'!$A$5:$A$200,0)),"⚠ Mã chưa có trong DANH MỤC"))</f>
        <v>Chống thấm</v>
      </c>
      <c r="C53" s="29" t="s">
        <v>75</v>
      </c>
      <c r="D53" s="28" t="str">
        <f aca="false">IF(C53="","",IFERROR(INDEX('DANH MỤC'!$B$5:$B$200,MATCH(C53,'DANH MỤC'!$A$5:$A$200,0)),"⚠ Mã chưa có trong DANH MỤC"))</f>
        <v>Sơn chống thấm siêu co giãn CTS-01</v>
      </c>
      <c r="E53" s="30" t="s">
        <v>52</v>
      </c>
      <c r="F53" s="31" t="n">
        <v>1470000</v>
      </c>
      <c r="G53" s="32" t="n">
        <f aca="false">IF($C53="","",SUMIFS('TỒN ĐẦU KỲ'!$E$5:$E$123,'TỒN ĐẦU KỲ'!$B$5:$B$123,$C53,'TỒN ĐẦU KỲ'!$D$5:$D$123,$E53))</f>
        <v>0</v>
      </c>
      <c r="H53" s="32" t="n">
        <f aca="false">IF($C53="","",SUMIFS('NHẬP KHO'!$E$5:$E$2004,'NHẬP KHO'!$C$5:$C$2004,$C53,'NHẬP KHO'!$D$5:$D$2004,$E53,'NHẬP KHO'!$A$5:$A$2004,"&gt;"&amp;$E$4))</f>
        <v>0</v>
      </c>
      <c r="I53" s="32" t="n">
        <f aca="false">IF($C53="","",SUMIFS('XUẤT KHO'!$E$5:$E$2004,'XUẤT KHO'!$C$5:$C$2004,$C53,'XUẤT KHO'!$D$5:$D$2004,$E53,'XUẤT KHO'!$A$5:$A$2004,"&gt;"&amp;$E$4))</f>
        <v>1</v>
      </c>
      <c r="J53" s="33" t="n">
        <f aca="false">IF($C53="","",G53+H53-I53)</f>
        <v>-1</v>
      </c>
      <c r="K53" s="32" t="n">
        <f aca="false">IF($C53="","",SUMIFS('XUẤT KHO'!$E$5:$E$2004,'XUẤT KHO'!$C$5:$C$2004,$C53,'XUẤT KHO'!$D$5:$D$2004,$E53,'XUẤT KHO'!$A$5:$A$2004,"&gt;"&amp;($E$3-$E$5),'XUẤT KHO'!$A$5:$A$2004,"&lt;="&amp;$E$3))</f>
        <v>1</v>
      </c>
      <c r="L53" s="34" t="n">
        <f aca="false">IF($C53="","",K53/$E$5)</f>
        <v>0.0111111111111111</v>
      </c>
      <c r="M53" s="35" t="n">
        <f aca="false">IF($C53="","",IF(L53=0,"-",IF(J53&lt;=0,0,J53/L53)))</f>
        <v>0</v>
      </c>
      <c r="N53" s="32" t="n">
        <f aca="false">IF($C53="","",IF(L53=0,0,MAX(0,ROUNDUP(L53*$E$7,0)-J53)))</f>
        <v>2</v>
      </c>
      <c r="O53" s="32" t="n">
        <f aca="false">IF($C53="","",IF(F53="",0,MAX(J53,0)*F53))</f>
        <v>0</v>
      </c>
      <c r="P53" s="36" t="str">
        <f aca="false">IF($C53="","",IF(J53&lt;0,"ÂM KHO – kiểm tra",IF(AND(J53=0,K53&gt;0),"HẾT HÀNG",IF(J53=0,"Hết (ít bán)",IF(K53=0,"Chậm bán",IF(M53&lt;$E$6,"SẮP HẾT","Đủ hàng"))))))</f>
        <v>ÂM KHO – kiểm tra</v>
      </c>
      <c r="Q53" s="37" t="str">
        <f aca="false">IF(OR(P53="HẾT HÀNG",P53="SẮP HẾT"),IF(ISNUMBER(M53),M53,0)+ROW()/100000,"")</f>
        <v/>
      </c>
      <c r="R53" s="37" t="n">
        <f aca="false">IF(N(K53)&gt;0,K53+ROW()/100000,"")</f>
        <v>1.00053</v>
      </c>
    </row>
    <row r="54" customFormat="false" ht="15" hidden="false" customHeight="false" outlineLevel="0" collapsed="false">
      <c r="A54" s="27" t="n">
        <f aca="false">IF(C54="","",ROW()-10)</f>
        <v>44</v>
      </c>
      <c r="B54" s="28" t="str">
        <f aca="false">IF(C54="","",IFERROR(INDEX('DANH MỤC'!$C$5:$C$200,MATCH(C54,'DANH MỤC'!$A$5:$A$200,0)),"⚠ Mã chưa có trong DANH MỤC"))</f>
        <v>Chống thấm</v>
      </c>
      <c r="C54" s="29" t="s">
        <v>75</v>
      </c>
      <c r="D54" s="28" t="str">
        <f aca="false">IF(C54="","",IFERROR(INDEX('DANH MỤC'!$B$5:$B$200,MATCH(C54,'DANH MỤC'!$A$5:$A$200,0)),"⚠ Mã chưa có trong DANH MỤC"))</f>
        <v>Sơn chống thấm siêu co giãn CTS-01</v>
      </c>
      <c r="E54" s="30" t="s">
        <v>53</v>
      </c>
      <c r="F54" s="31" t="n">
        <v>5025000</v>
      </c>
      <c r="G54" s="32" t="n">
        <f aca="false">IF($C54="","",SUMIFS('TỒN ĐẦU KỲ'!$E$5:$E$123,'TỒN ĐẦU KỲ'!$B$5:$B$123,$C54,'TỒN ĐẦU KỲ'!$D$5:$D$123,$E54))</f>
        <v>9</v>
      </c>
      <c r="H54" s="32" t="n">
        <f aca="false">IF($C54="","",SUMIFS('NHẬP KHO'!$E$5:$E$2004,'NHẬP KHO'!$C$5:$C$2004,$C54,'NHẬP KHO'!$D$5:$D$2004,$E54,'NHẬP KHO'!$A$5:$A$2004,"&gt;"&amp;$E$4))</f>
        <v>0</v>
      </c>
      <c r="I54" s="32" t="n">
        <f aca="false">IF($C54="","",SUMIFS('XUẤT KHO'!$E$5:$E$2004,'XUẤT KHO'!$C$5:$C$2004,$C54,'XUẤT KHO'!$D$5:$D$2004,$E54,'XUẤT KHO'!$A$5:$A$2004,"&gt;"&amp;$E$4))</f>
        <v>3</v>
      </c>
      <c r="J54" s="33" t="n">
        <f aca="false">IF($C54="","",G54+H54-I54)</f>
        <v>6</v>
      </c>
      <c r="K54" s="32" t="n">
        <f aca="false">IF($C54="","",SUMIFS('XUẤT KHO'!$E$5:$E$2004,'XUẤT KHO'!$C$5:$C$2004,$C54,'XUẤT KHO'!$D$5:$D$2004,$E54,'XUẤT KHO'!$A$5:$A$2004,"&gt;"&amp;($E$3-$E$5),'XUẤT KHO'!$A$5:$A$2004,"&lt;="&amp;$E$3))</f>
        <v>3</v>
      </c>
      <c r="L54" s="34" t="n">
        <f aca="false">IF($C54="","",K54/$E$5)</f>
        <v>0.0333333333333333</v>
      </c>
      <c r="M54" s="35" t="n">
        <f aca="false">IF($C54="","",IF(L54=0,"-",IF(J54&lt;=0,0,J54/L54)))</f>
        <v>180</v>
      </c>
      <c r="N54" s="32" t="n">
        <f aca="false">IF($C54="","",IF(L54=0,0,MAX(0,ROUNDUP(L54*$E$7,0)-J54)))</f>
        <v>0</v>
      </c>
      <c r="O54" s="32" t="n">
        <f aca="false">IF($C54="","",IF(F54="",0,MAX(J54,0)*F54))</f>
        <v>30150000</v>
      </c>
      <c r="P54" s="36" t="str">
        <f aca="false">IF($C54="","",IF(J54&lt;0,"ÂM KHO – kiểm tra",IF(AND(J54=0,K54&gt;0),"HẾT HÀNG",IF(J54=0,"Hết (ít bán)",IF(K54=0,"Chậm bán",IF(M54&lt;$E$6,"SẮP HẾT","Đủ hàng"))))))</f>
        <v>Đủ hàng</v>
      </c>
      <c r="Q54" s="37" t="str">
        <f aca="false">IF(OR(P54="HẾT HÀNG",P54="SẮP HẾT"),IF(ISNUMBER(M54),M54,0)+ROW()/100000,"")</f>
        <v/>
      </c>
      <c r="R54" s="37" t="n">
        <f aca="false">IF(N(K54)&gt;0,K54+ROW()/100000,"")</f>
        <v>3.00054</v>
      </c>
    </row>
    <row r="55" customFormat="false" ht="15" hidden="false" customHeight="false" outlineLevel="0" collapsed="false">
      <c r="A55" s="27" t="n">
        <f aca="false">IF(C55="","",ROW()-10)</f>
        <v>45</v>
      </c>
      <c r="B55" s="28" t="str">
        <f aca="false">IF(C55="","",IFERROR(INDEX('DANH MỤC'!$C$5:$C$200,MATCH(C55,'DANH MỤC'!$A$5:$A$200,0)),"⚠ Mã chưa có trong DANH MỤC"))</f>
        <v>Bột bả</v>
      </c>
      <c r="C55" s="29" t="s">
        <v>76</v>
      </c>
      <c r="D55" s="28" t="str">
        <f aca="false">IF(C55="","",IFERROR(INDEX('DANH MỤC'!$B$5:$B$200,MATCH(C55,'DANH MỤC'!$A$5:$A$200,0)),"⚠ Mã chưa có trong DANH MỤC"))</f>
        <v>Bột bả nội thất Imperia IP15 (40kg)</v>
      </c>
      <c r="E55" s="30" t="s">
        <v>77</v>
      </c>
      <c r="F55" s="31" t="n">
        <v>481000</v>
      </c>
      <c r="G55" s="32" t="n">
        <f aca="false">IF($C55="","",SUMIFS('TỒN ĐẦU KỲ'!$E$5:$E$123,'TỒN ĐẦU KỲ'!$B$5:$B$123,$C55,'TỒN ĐẦU KỲ'!$D$5:$D$123,$E55))</f>
        <v>11</v>
      </c>
      <c r="H55" s="32" t="n">
        <f aca="false">IF($C55="","",SUMIFS('NHẬP KHO'!$E$5:$E$2004,'NHẬP KHO'!$C$5:$C$2004,$C55,'NHẬP KHO'!$D$5:$D$2004,$E55,'NHẬP KHO'!$A$5:$A$2004,"&gt;"&amp;$E$4))</f>
        <v>0</v>
      </c>
      <c r="I55" s="32" t="n">
        <f aca="false">IF($C55="","",SUMIFS('XUẤT KHO'!$E$5:$E$2004,'XUẤT KHO'!$C$5:$C$2004,$C55,'XUẤT KHO'!$D$5:$D$2004,$E55,'XUẤT KHO'!$A$5:$A$2004,"&gt;"&amp;$E$4))</f>
        <v>32</v>
      </c>
      <c r="J55" s="33" t="n">
        <f aca="false">IF($C55="","",G55+H55-I55)</f>
        <v>-21</v>
      </c>
      <c r="K55" s="32" t="n">
        <f aca="false">IF($C55="","",SUMIFS('XUẤT KHO'!$E$5:$E$2004,'XUẤT KHO'!$C$5:$C$2004,$C55,'XUẤT KHO'!$D$5:$D$2004,$E55,'XUẤT KHO'!$A$5:$A$2004,"&gt;"&amp;($E$3-$E$5),'XUẤT KHO'!$A$5:$A$2004,"&lt;="&amp;$E$3))</f>
        <v>23</v>
      </c>
      <c r="L55" s="34" t="n">
        <f aca="false">IF($C55="","",K55/$E$5)</f>
        <v>0.255555555555556</v>
      </c>
      <c r="M55" s="35" t="n">
        <f aca="false">IF($C55="","",IF(L55=0,"-",IF(J55&lt;=0,0,J55/L55)))</f>
        <v>0</v>
      </c>
      <c r="N55" s="32" t="n">
        <f aca="false">IF($C55="","",IF(L55=0,0,MAX(0,ROUNDUP(L55*$E$7,0)-J55)))</f>
        <v>33</v>
      </c>
      <c r="O55" s="32" t="n">
        <f aca="false">IF($C55="","",IF(F55="",0,MAX(J55,0)*F55))</f>
        <v>0</v>
      </c>
      <c r="P55" s="36" t="str">
        <f aca="false">IF($C55="","",IF(J55&lt;0,"ÂM KHO – kiểm tra",IF(AND(J55=0,K55&gt;0),"HẾT HÀNG",IF(J55=0,"Hết (ít bán)",IF(K55=0,"Chậm bán",IF(M55&lt;$E$6,"SẮP HẾT","Đủ hàng"))))))</f>
        <v>ÂM KHO – kiểm tra</v>
      </c>
      <c r="Q55" s="37" t="str">
        <f aca="false">IF(OR(P55="HẾT HÀNG",P55="SẮP HẾT"),IF(ISNUMBER(M55),M55,0)+ROW()/100000,"")</f>
        <v/>
      </c>
      <c r="R55" s="37" t="n">
        <f aca="false">IF(N(K55)&gt;0,K55+ROW()/100000,"")</f>
        <v>23.00055</v>
      </c>
    </row>
    <row r="56" customFormat="false" ht="15" hidden="false" customHeight="false" outlineLevel="0" collapsed="false">
      <c r="A56" s="27" t="n">
        <f aca="false">IF(C56="","",ROW()-10)</f>
        <v>46</v>
      </c>
      <c r="B56" s="28" t="str">
        <f aca="false">IF(C56="","",IFERROR(INDEX('DANH MỤC'!$C$5:$C$200,MATCH(C56,'DANH MỤC'!$A$5:$A$200,0)),"⚠ Mã chưa có trong DANH MỤC"))</f>
        <v>Bột bả</v>
      </c>
      <c r="C56" s="29" t="s">
        <v>78</v>
      </c>
      <c r="D56" s="28" t="str">
        <f aca="false">IF(C56="","",IFERROR(INDEX('DANH MỤC'!$B$5:$B$200,MATCH(C56,'DANH MỤC'!$A$5:$A$200,0)),"⚠ Mã chưa có trong DANH MỤC"))</f>
        <v>Bột bả ngoại thất Imperia EP14 (40kg)</v>
      </c>
      <c r="E56" s="30" t="s">
        <v>77</v>
      </c>
      <c r="F56" s="31" t="n">
        <v>594000</v>
      </c>
      <c r="G56" s="32" t="n">
        <f aca="false">IF($C56="","",SUMIFS('TỒN ĐẦU KỲ'!$E$5:$E$123,'TỒN ĐẦU KỲ'!$B$5:$B$123,$C56,'TỒN ĐẦU KỲ'!$D$5:$D$123,$E56))</f>
        <v>13</v>
      </c>
      <c r="H56" s="32" t="n">
        <f aca="false">IF($C56="","",SUMIFS('NHẬP KHO'!$E$5:$E$2004,'NHẬP KHO'!$C$5:$C$2004,$C56,'NHẬP KHO'!$D$5:$D$2004,$E56,'NHẬP KHO'!$A$5:$A$2004,"&gt;"&amp;$E$4))</f>
        <v>0</v>
      </c>
      <c r="I56" s="32" t="n">
        <f aca="false">IF($C56="","",SUMIFS('XUẤT KHO'!$E$5:$E$2004,'XUẤT KHO'!$C$5:$C$2004,$C56,'XUẤT KHO'!$D$5:$D$2004,$E56,'XUẤT KHO'!$A$5:$A$2004,"&gt;"&amp;$E$4))</f>
        <v>9</v>
      </c>
      <c r="J56" s="33" t="n">
        <f aca="false">IF($C56="","",G56+H56-I56)</f>
        <v>4</v>
      </c>
      <c r="K56" s="32" t="n">
        <f aca="false">IF($C56="","",SUMIFS('XUẤT KHO'!$E$5:$E$2004,'XUẤT KHO'!$C$5:$C$2004,$C56,'XUẤT KHO'!$D$5:$D$2004,$E56,'XUẤT KHO'!$A$5:$A$2004,"&gt;"&amp;($E$3-$E$5),'XUẤT KHO'!$A$5:$A$2004,"&lt;="&amp;$E$3))</f>
        <v>9</v>
      </c>
      <c r="L56" s="34" t="n">
        <f aca="false">IF($C56="","",K56/$E$5)</f>
        <v>0.1</v>
      </c>
      <c r="M56" s="35" t="n">
        <f aca="false">IF($C56="","",IF(L56=0,"-",IF(J56&lt;=0,0,J56/L56)))</f>
        <v>40</v>
      </c>
      <c r="N56" s="32" t="n">
        <f aca="false">IF($C56="","",IF(L56=0,0,MAX(0,ROUNDUP(L56*$E$7,0)-J56)))</f>
        <v>1</v>
      </c>
      <c r="O56" s="32" t="n">
        <f aca="false">IF($C56="","",IF(F56="",0,MAX(J56,0)*F56))</f>
        <v>2376000</v>
      </c>
      <c r="P56" s="36" t="str">
        <f aca="false">IF($C56="","",IF(J56&lt;0,"ÂM KHO – kiểm tra",IF(AND(J56=0,K56&gt;0),"HẾT HÀNG",IF(J56=0,"Hết (ít bán)",IF(K56=0,"Chậm bán",IF(M56&lt;$E$6,"SẮP HẾT","Đủ hàng"))))))</f>
        <v>Đủ hàng</v>
      </c>
      <c r="Q56" s="37" t="str">
        <f aca="false">IF(OR(P56="HẾT HÀNG",P56="SẮP HẾT"),IF(ISNUMBER(M56),M56,0)+ROW()/100000,"")</f>
        <v/>
      </c>
      <c r="R56" s="37" t="n">
        <f aca="false">IF(N(K56)&gt;0,K56+ROW()/100000,"")</f>
        <v>9.00056</v>
      </c>
    </row>
    <row r="57" customFormat="false" ht="15" hidden="false" customHeight="false" outlineLevel="0" collapsed="false">
      <c r="A57" s="27" t="str">
        <f aca="false">IF(C57="","",ROW()-10)</f>
        <v/>
      </c>
      <c r="B57" s="28" t="str">
        <f aca="false">IF(C57="","",IFERROR(INDEX('DANH MỤC'!$C$5:$C$200,MATCH(C57,'DANH MỤC'!$A$5:$A$200,0)),"⚠ Mã chưa có trong DANH MỤC"))</f>
        <v/>
      </c>
      <c r="C57" s="38"/>
      <c r="D57" s="28" t="str">
        <f aca="false">IF(C57="","",IFERROR(INDEX('DANH MỤC'!$B$5:$B$200,MATCH(C57,'DANH MỤC'!$A$5:$A$200,0)),"⚠ Mã chưa có trong DANH MỤC"))</f>
        <v/>
      </c>
      <c r="E57" s="39"/>
      <c r="F57" s="40"/>
      <c r="G57" s="32" t="str">
        <f aca="false">IF($C57="","",SUMIFS('TỒN ĐẦU KỲ'!$E$5:$E$123,'TỒN ĐẦU KỲ'!$B$5:$B$123,$C57,'TỒN ĐẦU KỲ'!$D$5:$D$123,$E57))</f>
        <v/>
      </c>
      <c r="H57" s="32" t="str">
        <f aca="false">IF($C57="","",SUMIFS('NHẬP KHO'!$E$5:$E$2004,'NHẬP KHO'!$C$5:$C$2004,$C57,'NHẬP KHO'!$D$5:$D$2004,$E57,'NHẬP KHO'!$A$5:$A$2004,"&gt;"&amp;$E$4))</f>
        <v/>
      </c>
      <c r="I57" s="32" t="str">
        <f aca="false">IF($C57="","",SUMIFS('XUẤT KHO'!$E$5:$E$2004,'XUẤT KHO'!$C$5:$C$2004,$C57,'XUẤT KHO'!$D$5:$D$2004,$E57,'XUẤT KHO'!$A$5:$A$2004,"&gt;"&amp;$E$4))</f>
        <v/>
      </c>
      <c r="J57" s="33" t="str">
        <f aca="false">IF($C57="","",G57+H57-I57)</f>
        <v/>
      </c>
      <c r="K57" s="32" t="str">
        <f aca="false">IF($C57="","",SUMIFS('XUẤT KHO'!$E$5:$E$2004,'XUẤT KHO'!$C$5:$C$2004,$C57,'XUẤT KHO'!$D$5:$D$2004,$E57,'XUẤT KHO'!$A$5:$A$2004,"&gt;"&amp;($E$3-$E$5),'XUẤT KHO'!$A$5:$A$2004,"&lt;="&amp;$E$3))</f>
        <v/>
      </c>
      <c r="L57" s="34" t="str">
        <f aca="false">IF($C57="","",K57/$E$5)</f>
        <v/>
      </c>
      <c r="M57" s="35" t="str">
        <f aca="false">IF($C57="","",IF(L57=0,"-",IF(J57&lt;=0,0,J57/L57)))</f>
        <v/>
      </c>
      <c r="N57" s="32" t="str">
        <f aca="false">IF($C57="","",IF(L57=0,0,MAX(0,ROUNDUP(L57*$E$7,0)-J57)))</f>
        <v/>
      </c>
      <c r="O57" s="32" t="str">
        <f aca="false">IF($C57="","",IF(F57="",0,MAX(J57,0)*F57))</f>
        <v/>
      </c>
      <c r="P57" s="36" t="str">
        <f aca="false">IF($C57="","",IF(J57&lt;0,"ÂM KHO – kiểm tra",IF(AND(J57=0,K57&gt;0),"HẾT HÀNG",IF(J57=0,"Hết (ít bán)",IF(K57=0,"Chậm bán",IF(M57&lt;$E$6,"SẮP HẾT","Đủ hàng"))))))</f>
        <v/>
      </c>
      <c r="Q57" s="37" t="str">
        <f aca="false">IF(OR(P57="HẾT HÀNG",P57="SẮP HẾT"),IF(ISNUMBER(M57),M57,0)+ROW()/100000,"")</f>
        <v/>
      </c>
      <c r="R57" s="37" t="str">
        <f aca="false">IF(N(K57)&gt;0,K57+ROW()/100000,"")</f>
        <v/>
      </c>
    </row>
    <row r="58" customFormat="false" ht="15" hidden="false" customHeight="false" outlineLevel="0" collapsed="false">
      <c r="A58" s="27" t="str">
        <f aca="false">IF(C58="","",ROW()-10)</f>
        <v/>
      </c>
      <c r="B58" s="28" t="str">
        <f aca="false">IF(C58="","",IFERROR(INDEX('DANH MỤC'!$C$5:$C$200,MATCH(C58,'DANH MỤC'!$A$5:$A$200,0)),"⚠ Mã chưa có trong DANH MỤC"))</f>
        <v/>
      </c>
      <c r="C58" s="38"/>
      <c r="D58" s="28" t="str">
        <f aca="false">IF(C58="","",IFERROR(INDEX('DANH MỤC'!$B$5:$B$200,MATCH(C58,'DANH MỤC'!$A$5:$A$200,0)),"⚠ Mã chưa có trong DANH MỤC"))</f>
        <v/>
      </c>
      <c r="E58" s="39"/>
      <c r="F58" s="40"/>
      <c r="G58" s="32" t="str">
        <f aca="false">IF($C58="","",SUMIFS('TỒN ĐẦU KỲ'!$E$5:$E$123,'TỒN ĐẦU KỲ'!$B$5:$B$123,$C58,'TỒN ĐẦU KỲ'!$D$5:$D$123,$E58))</f>
        <v/>
      </c>
      <c r="H58" s="32" t="str">
        <f aca="false">IF($C58="","",SUMIFS('NHẬP KHO'!$E$5:$E$2004,'NHẬP KHO'!$C$5:$C$2004,$C58,'NHẬP KHO'!$D$5:$D$2004,$E58,'NHẬP KHO'!$A$5:$A$2004,"&gt;"&amp;$E$4))</f>
        <v/>
      </c>
      <c r="I58" s="32" t="str">
        <f aca="false">IF($C58="","",SUMIFS('XUẤT KHO'!$E$5:$E$2004,'XUẤT KHO'!$C$5:$C$2004,$C58,'XUẤT KHO'!$D$5:$D$2004,$E58,'XUẤT KHO'!$A$5:$A$2004,"&gt;"&amp;$E$4))</f>
        <v/>
      </c>
      <c r="J58" s="33" t="str">
        <f aca="false">IF($C58="","",G58+H58-I58)</f>
        <v/>
      </c>
      <c r="K58" s="32" t="str">
        <f aca="false">IF($C58="","",SUMIFS('XUẤT KHO'!$E$5:$E$2004,'XUẤT KHO'!$C$5:$C$2004,$C58,'XUẤT KHO'!$D$5:$D$2004,$E58,'XUẤT KHO'!$A$5:$A$2004,"&gt;"&amp;($E$3-$E$5),'XUẤT KHO'!$A$5:$A$2004,"&lt;="&amp;$E$3))</f>
        <v/>
      </c>
      <c r="L58" s="34" t="str">
        <f aca="false">IF($C58="","",K58/$E$5)</f>
        <v/>
      </c>
      <c r="M58" s="35" t="str">
        <f aca="false">IF($C58="","",IF(L58=0,"-",IF(J58&lt;=0,0,J58/L58)))</f>
        <v/>
      </c>
      <c r="N58" s="32" t="str">
        <f aca="false">IF($C58="","",IF(L58=0,0,MAX(0,ROUNDUP(L58*$E$7,0)-J58)))</f>
        <v/>
      </c>
      <c r="O58" s="32" t="str">
        <f aca="false">IF($C58="","",IF(F58="",0,MAX(J58,0)*F58))</f>
        <v/>
      </c>
      <c r="P58" s="36" t="str">
        <f aca="false">IF($C58="","",IF(J58&lt;0,"ÂM KHO – kiểm tra",IF(AND(J58=0,K58&gt;0),"HẾT HÀNG",IF(J58=0,"Hết (ít bán)",IF(K58=0,"Chậm bán",IF(M58&lt;$E$6,"SẮP HẾT","Đủ hàng"))))))</f>
        <v/>
      </c>
      <c r="Q58" s="37" t="str">
        <f aca="false">IF(OR(P58="HẾT HÀNG",P58="SẮP HẾT"),IF(ISNUMBER(M58),M58,0)+ROW()/100000,"")</f>
        <v/>
      </c>
      <c r="R58" s="37" t="str">
        <f aca="false">IF(N(K58)&gt;0,K58+ROW()/100000,"")</f>
        <v/>
      </c>
    </row>
    <row r="59" customFormat="false" ht="15" hidden="false" customHeight="false" outlineLevel="0" collapsed="false">
      <c r="A59" s="27" t="str">
        <f aca="false">IF(C59="","",ROW()-10)</f>
        <v/>
      </c>
      <c r="B59" s="28" t="str">
        <f aca="false">IF(C59="","",IFERROR(INDEX('DANH MỤC'!$C$5:$C$200,MATCH(C59,'DANH MỤC'!$A$5:$A$200,0)),"⚠ Mã chưa có trong DANH MỤC"))</f>
        <v/>
      </c>
      <c r="C59" s="38"/>
      <c r="D59" s="28" t="str">
        <f aca="false">IF(C59="","",IFERROR(INDEX('DANH MỤC'!$B$5:$B$200,MATCH(C59,'DANH MỤC'!$A$5:$A$200,0)),"⚠ Mã chưa có trong DANH MỤC"))</f>
        <v/>
      </c>
      <c r="E59" s="39"/>
      <c r="F59" s="40"/>
      <c r="G59" s="32" t="str">
        <f aca="false">IF($C59="","",SUMIFS('TỒN ĐẦU KỲ'!$E$5:$E$123,'TỒN ĐẦU KỲ'!$B$5:$B$123,$C59,'TỒN ĐẦU KỲ'!$D$5:$D$123,$E59))</f>
        <v/>
      </c>
      <c r="H59" s="32" t="str">
        <f aca="false">IF($C59="","",SUMIFS('NHẬP KHO'!$E$5:$E$2004,'NHẬP KHO'!$C$5:$C$2004,$C59,'NHẬP KHO'!$D$5:$D$2004,$E59,'NHẬP KHO'!$A$5:$A$2004,"&gt;"&amp;$E$4))</f>
        <v/>
      </c>
      <c r="I59" s="32" t="str">
        <f aca="false">IF($C59="","",SUMIFS('XUẤT KHO'!$E$5:$E$2004,'XUẤT KHO'!$C$5:$C$2004,$C59,'XUẤT KHO'!$D$5:$D$2004,$E59,'XUẤT KHO'!$A$5:$A$2004,"&gt;"&amp;$E$4))</f>
        <v/>
      </c>
      <c r="J59" s="33" t="str">
        <f aca="false">IF($C59="","",G59+H59-I59)</f>
        <v/>
      </c>
      <c r="K59" s="32" t="str">
        <f aca="false">IF($C59="","",SUMIFS('XUẤT KHO'!$E$5:$E$2004,'XUẤT KHO'!$C$5:$C$2004,$C59,'XUẤT KHO'!$D$5:$D$2004,$E59,'XUẤT KHO'!$A$5:$A$2004,"&gt;"&amp;($E$3-$E$5),'XUẤT KHO'!$A$5:$A$2004,"&lt;="&amp;$E$3))</f>
        <v/>
      </c>
      <c r="L59" s="34" t="str">
        <f aca="false">IF($C59="","",K59/$E$5)</f>
        <v/>
      </c>
      <c r="M59" s="35" t="str">
        <f aca="false">IF($C59="","",IF(L59=0,"-",IF(J59&lt;=0,0,J59/L59)))</f>
        <v/>
      </c>
      <c r="N59" s="32" t="str">
        <f aca="false">IF($C59="","",IF(L59=0,0,MAX(0,ROUNDUP(L59*$E$7,0)-J59)))</f>
        <v/>
      </c>
      <c r="O59" s="32" t="str">
        <f aca="false">IF($C59="","",IF(F59="",0,MAX(J59,0)*F59))</f>
        <v/>
      </c>
      <c r="P59" s="36" t="str">
        <f aca="false">IF($C59="","",IF(J59&lt;0,"ÂM KHO – kiểm tra",IF(AND(J59=0,K59&gt;0),"HẾT HÀNG",IF(J59=0,"Hết (ít bán)",IF(K59=0,"Chậm bán",IF(M59&lt;$E$6,"SẮP HẾT","Đủ hàng"))))))</f>
        <v/>
      </c>
      <c r="Q59" s="37" t="str">
        <f aca="false">IF(OR(P59="HẾT HÀNG",P59="SẮP HẾT"),IF(ISNUMBER(M59),M59,0)+ROW()/100000,"")</f>
        <v/>
      </c>
      <c r="R59" s="37" t="str">
        <f aca="false">IF(N(K59)&gt;0,K59+ROW()/100000,"")</f>
        <v/>
      </c>
    </row>
    <row r="60" customFormat="false" ht="15" hidden="false" customHeight="false" outlineLevel="0" collapsed="false">
      <c r="A60" s="27" t="str">
        <f aca="false">IF(C60="","",ROW()-10)</f>
        <v/>
      </c>
      <c r="B60" s="28" t="str">
        <f aca="false">IF(C60="","",IFERROR(INDEX('DANH MỤC'!$C$5:$C$200,MATCH(C60,'DANH MỤC'!$A$5:$A$200,0)),"⚠ Mã chưa có trong DANH MỤC"))</f>
        <v/>
      </c>
      <c r="C60" s="38"/>
      <c r="D60" s="28" t="str">
        <f aca="false">IF(C60="","",IFERROR(INDEX('DANH MỤC'!$B$5:$B$200,MATCH(C60,'DANH MỤC'!$A$5:$A$200,0)),"⚠ Mã chưa có trong DANH MỤC"))</f>
        <v/>
      </c>
      <c r="E60" s="39"/>
      <c r="F60" s="40"/>
      <c r="G60" s="32" t="str">
        <f aca="false">IF($C60="","",SUMIFS('TỒN ĐẦU KỲ'!$E$5:$E$123,'TỒN ĐẦU KỲ'!$B$5:$B$123,$C60,'TỒN ĐẦU KỲ'!$D$5:$D$123,$E60))</f>
        <v/>
      </c>
      <c r="H60" s="32" t="str">
        <f aca="false">IF($C60="","",SUMIFS('NHẬP KHO'!$E$5:$E$2004,'NHẬP KHO'!$C$5:$C$2004,$C60,'NHẬP KHO'!$D$5:$D$2004,$E60,'NHẬP KHO'!$A$5:$A$2004,"&gt;"&amp;$E$4))</f>
        <v/>
      </c>
      <c r="I60" s="32" t="str">
        <f aca="false">IF($C60="","",SUMIFS('XUẤT KHO'!$E$5:$E$2004,'XUẤT KHO'!$C$5:$C$2004,$C60,'XUẤT KHO'!$D$5:$D$2004,$E60,'XUẤT KHO'!$A$5:$A$2004,"&gt;"&amp;$E$4))</f>
        <v/>
      </c>
      <c r="J60" s="33" t="str">
        <f aca="false">IF($C60="","",G60+H60-I60)</f>
        <v/>
      </c>
      <c r="K60" s="32" t="str">
        <f aca="false">IF($C60="","",SUMIFS('XUẤT KHO'!$E$5:$E$2004,'XUẤT KHO'!$C$5:$C$2004,$C60,'XUẤT KHO'!$D$5:$D$2004,$E60,'XUẤT KHO'!$A$5:$A$2004,"&gt;"&amp;($E$3-$E$5),'XUẤT KHO'!$A$5:$A$2004,"&lt;="&amp;$E$3))</f>
        <v/>
      </c>
      <c r="L60" s="34" t="str">
        <f aca="false">IF($C60="","",K60/$E$5)</f>
        <v/>
      </c>
      <c r="M60" s="35" t="str">
        <f aca="false">IF($C60="","",IF(L60=0,"-",IF(J60&lt;=0,0,J60/L60)))</f>
        <v/>
      </c>
      <c r="N60" s="32" t="str">
        <f aca="false">IF($C60="","",IF(L60=0,0,MAX(0,ROUNDUP(L60*$E$7,0)-J60)))</f>
        <v/>
      </c>
      <c r="O60" s="32" t="str">
        <f aca="false">IF($C60="","",IF(F60="",0,MAX(J60,0)*F60))</f>
        <v/>
      </c>
      <c r="P60" s="36" t="str">
        <f aca="false">IF($C60="","",IF(J60&lt;0,"ÂM KHO – kiểm tra",IF(AND(J60=0,K60&gt;0),"HẾT HÀNG",IF(J60=0,"Hết (ít bán)",IF(K60=0,"Chậm bán",IF(M60&lt;$E$6,"SẮP HẾT","Đủ hàng"))))))</f>
        <v/>
      </c>
      <c r="Q60" s="37" t="str">
        <f aca="false">IF(OR(P60="HẾT HÀNG",P60="SẮP HẾT"),IF(ISNUMBER(M60),M60,0)+ROW()/100000,"")</f>
        <v/>
      </c>
      <c r="R60" s="37" t="str">
        <f aca="false">IF(N(K60)&gt;0,K60+ROW()/100000,"")</f>
        <v/>
      </c>
    </row>
    <row r="61" customFormat="false" ht="15" hidden="false" customHeight="false" outlineLevel="0" collapsed="false">
      <c r="A61" s="27" t="str">
        <f aca="false">IF(C61="","",ROW()-10)</f>
        <v/>
      </c>
      <c r="B61" s="28" t="str">
        <f aca="false">IF(C61="","",IFERROR(INDEX('DANH MỤC'!$C$5:$C$200,MATCH(C61,'DANH MỤC'!$A$5:$A$200,0)),"⚠ Mã chưa có trong DANH MỤC"))</f>
        <v/>
      </c>
      <c r="C61" s="38"/>
      <c r="D61" s="28" t="str">
        <f aca="false">IF(C61="","",IFERROR(INDEX('DANH MỤC'!$B$5:$B$200,MATCH(C61,'DANH MỤC'!$A$5:$A$200,0)),"⚠ Mã chưa có trong DANH MỤC"))</f>
        <v/>
      </c>
      <c r="E61" s="39"/>
      <c r="F61" s="40"/>
      <c r="G61" s="32" t="str">
        <f aca="false">IF($C61="","",SUMIFS('TỒN ĐẦU KỲ'!$E$5:$E$123,'TỒN ĐẦU KỲ'!$B$5:$B$123,$C61,'TỒN ĐẦU KỲ'!$D$5:$D$123,$E61))</f>
        <v/>
      </c>
      <c r="H61" s="32" t="str">
        <f aca="false">IF($C61="","",SUMIFS('NHẬP KHO'!$E$5:$E$2004,'NHẬP KHO'!$C$5:$C$2004,$C61,'NHẬP KHO'!$D$5:$D$2004,$E61,'NHẬP KHO'!$A$5:$A$2004,"&gt;"&amp;$E$4))</f>
        <v/>
      </c>
      <c r="I61" s="32" t="str">
        <f aca="false">IF($C61="","",SUMIFS('XUẤT KHO'!$E$5:$E$2004,'XUẤT KHO'!$C$5:$C$2004,$C61,'XUẤT KHO'!$D$5:$D$2004,$E61,'XUẤT KHO'!$A$5:$A$2004,"&gt;"&amp;$E$4))</f>
        <v/>
      </c>
      <c r="J61" s="33" t="str">
        <f aca="false">IF($C61="","",G61+H61-I61)</f>
        <v/>
      </c>
      <c r="K61" s="32" t="str">
        <f aca="false">IF($C61="","",SUMIFS('XUẤT KHO'!$E$5:$E$2004,'XUẤT KHO'!$C$5:$C$2004,$C61,'XUẤT KHO'!$D$5:$D$2004,$E61,'XUẤT KHO'!$A$5:$A$2004,"&gt;"&amp;($E$3-$E$5),'XUẤT KHO'!$A$5:$A$2004,"&lt;="&amp;$E$3))</f>
        <v/>
      </c>
      <c r="L61" s="34" t="str">
        <f aca="false">IF($C61="","",K61/$E$5)</f>
        <v/>
      </c>
      <c r="M61" s="35" t="str">
        <f aca="false">IF($C61="","",IF(L61=0,"-",IF(J61&lt;=0,0,J61/L61)))</f>
        <v/>
      </c>
      <c r="N61" s="32" t="str">
        <f aca="false">IF($C61="","",IF(L61=0,0,MAX(0,ROUNDUP(L61*$E$7,0)-J61)))</f>
        <v/>
      </c>
      <c r="O61" s="32" t="str">
        <f aca="false">IF($C61="","",IF(F61="",0,MAX(J61,0)*F61))</f>
        <v/>
      </c>
      <c r="P61" s="36" t="str">
        <f aca="false">IF($C61="","",IF(J61&lt;0,"ÂM KHO – kiểm tra",IF(AND(J61=0,K61&gt;0),"HẾT HÀNG",IF(J61=0,"Hết (ít bán)",IF(K61=0,"Chậm bán",IF(M61&lt;$E$6,"SẮP HẾT","Đủ hàng"))))))</f>
        <v/>
      </c>
      <c r="Q61" s="37" t="str">
        <f aca="false">IF(OR(P61="HẾT HÀNG",P61="SẮP HẾT"),IF(ISNUMBER(M61),M61,0)+ROW()/100000,"")</f>
        <v/>
      </c>
      <c r="R61" s="37" t="str">
        <f aca="false">IF(N(K61)&gt;0,K61+ROW()/100000,"")</f>
        <v/>
      </c>
    </row>
    <row r="62" customFormat="false" ht="15" hidden="false" customHeight="false" outlineLevel="0" collapsed="false">
      <c r="A62" s="27" t="str">
        <f aca="false">IF(C62="","",ROW()-10)</f>
        <v/>
      </c>
      <c r="B62" s="28" t="str">
        <f aca="false">IF(C62="","",IFERROR(INDEX('DANH MỤC'!$C$5:$C$200,MATCH(C62,'DANH MỤC'!$A$5:$A$200,0)),"⚠ Mã chưa có trong DANH MỤC"))</f>
        <v/>
      </c>
      <c r="C62" s="38"/>
      <c r="D62" s="28" t="str">
        <f aca="false">IF(C62="","",IFERROR(INDEX('DANH MỤC'!$B$5:$B$200,MATCH(C62,'DANH MỤC'!$A$5:$A$200,0)),"⚠ Mã chưa có trong DANH MỤC"))</f>
        <v/>
      </c>
      <c r="E62" s="39"/>
      <c r="F62" s="40"/>
      <c r="G62" s="32" t="str">
        <f aca="false">IF($C62="","",SUMIFS('TỒN ĐẦU KỲ'!$E$5:$E$123,'TỒN ĐẦU KỲ'!$B$5:$B$123,$C62,'TỒN ĐẦU KỲ'!$D$5:$D$123,$E62))</f>
        <v/>
      </c>
      <c r="H62" s="32" t="str">
        <f aca="false">IF($C62="","",SUMIFS('NHẬP KHO'!$E$5:$E$2004,'NHẬP KHO'!$C$5:$C$2004,$C62,'NHẬP KHO'!$D$5:$D$2004,$E62,'NHẬP KHO'!$A$5:$A$2004,"&gt;"&amp;$E$4))</f>
        <v/>
      </c>
      <c r="I62" s="32" t="str">
        <f aca="false">IF($C62="","",SUMIFS('XUẤT KHO'!$E$5:$E$2004,'XUẤT KHO'!$C$5:$C$2004,$C62,'XUẤT KHO'!$D$5:$D$2004,$E62,'XUẤT KHO'!$A$5:$A$2004,"&gt;"&amp;$E$4))</f>
        <v/>
      </c>
      <c r="J62" s="33" t="str">
        <f aca="false">IF($C62="","",G62+H62-I62)</f>
        <v/>
      </c>
      <c r="K62" s="32" t="str">
        <f aca="false">IF($C62="","",SUMIFS('XUẤT KHO'!$E$5:$E$2004,'XUẤT KHO'!$C$5:$C$2004,$C62,'XUẤT KHO'!$D$5:$D$2004,$E62,'XUẤT KHO'!$A$5:$A$2004,"&gt;"&amp;($E$3-$E$5),'XUẤT KHO'!$A$5:$A$2004,"&lt;="&amp;$E$3))</f>
        <v/>
      </c>
      <c r="L62" s="34" t="str">
        <f aca="false">IF($C62="","",K62/$E$5)</f>
        <v/>
      </c>
      <c r="M62" s="35" t="str">
        <f aca="false">IF($C62="","",IF(L62=0,"-",IF(J62&lt;=0,0,J62/L62)))</f>
        <v/>
      </c>
      <c r="N62" s="32" t="str">
        <f aca="false">IF($C62="","",IF(L62=0,0,MAX(0,ROUNDUP(L62*$E$7,0)-J62)))</f>
        <v/>
      </c>
      <c r="O62" s="32" t="str">
        <f aca="false">IF($C62="","",IF(F62="",0,MAX(J62,0)*F62))</f>
        <v/>
      </c>
      <c r="P62" s="36" t="str">
        <f aca="false">IF($C62="","",IF(J62&lt;0,"ÂM KHO – kiểm tra",IF(AND(J62=0,K62&gt;0),"HẾT HÀNG",IF(J62=0,"Hết (ít bán)",IF(K62=0,"Chậm bán",IF(M62&lt;$E$6,"SẮP HẾT","Đủ hàng"))))))</f>
        <v/>
      </c>
      <c r="Q62" s="37" t="str">
        <f aca="false">IF(OR(P62="HẾT HÀNG",P62="SẮP HẾT"),IF(ISNUMBER(M62),M62,0)+ROW()/100000,"")</f>
        <v/>
      </c>
      <c r="R62" s="37" t="str">
        <f aca="false">IF(N(K62)&gt;0,K62+ROW()/100000,"")</f>
        <v/>
      </c>
    </row>
    <row r="63" customFormat="false" ht="15" hidden="false" customHeight="false" outlineLevel="0" collapsed="false">
      <c r="A63" s="27" t="str">
        <f aca="false">IF(C63="","",ROW()-10)</f>
        <v/>
      </c>
      <c r="B63" s="28" t="str">
        <f aca="false">IF(C63="","",IFERROR(INDEX('DANH MỤC'!$C$5:$C$200,MATCH(C63,'DANH MỤC'!$A$5:$A$200,0)),"⚠ Mã chưa có trong DANH MỤC"))</f>
        <v/>
      </c>
      <c r="C63" s="38"/>
      <c r="D63" s="28" t="str">
        <f aca="false">IF(C63="","",IFERROR(INDEX('DANH MỤC'!$B$5:$B$200,MATCH(C63,'DANH MỤC'!$A$5:$A$200,0)),"⚠ Mã chưa có trong DANH MỤC"))</f>
        <v/>
      </c>
      <c r="E63" s="39"/>
      <c r="F63" s="40"/>
      <c r="G63" s="32" t="str">
        <f aca="false">IF($C63="","",SUMIFS('TỒN ĐẦU KỲ'!$E$5:$E$123,'TỒN ĐẦU KỲ'!$B$5:$B$123,$C63,'TỒN ĐẦU KỲ'!$D$5:$D$123,$E63))</f>
        <v/>
      </c>
      <c r="H63" s="32" t="str">
        <f aca="false">IF($C63="","",SUMIFS('NHẬP KHO'!$E$5:$E$2004,'NHẬP KHO'!$C$5:$C$2004,$C63,'NHẬP KHO'!$D$5:$D$2004,$E63,'NHẬP KHO'!$A$5:$A$2004,"&gt;"&amp;$E$4))</f>
        <v/>
      </c>
      <c r="I63" s="32" t="str">
        <f aca="false">IF($C63="","",SUMIFS('XUẤT KHO'!$E$5:$E$2004,'XUẤT KHO'!$C$5:$C$2004,$C63,'XUẤT KHO'!$D$5:$D$2004,$E63,'XUẤT KHO'!$A$5:$A$2004,"&gt;"&amp;$E$4))</f>
        <v/>
      </c>
      <c r="J63" s="33" t="str">
        <f aca="false">IF($C63="","",G63+H63-I63)</f>
        <v/>
      </c>
      <c r="K63" s="32" t="str">
        <f aca="false">IF($C63="","",SUMIFS('XUẤT KHO'!$E$5:$E$2004,'XUẤT KHO'!$C$5:$C$2004,$C63,'XUẤT KHO'!$D$5:$D$2004,$E63,'XUẤT KHO'!$A$5:$A$2004,"&gt;"&amp;($E$3-$E$5),'XUẤT KHO'!$A$5:$A$2004,"&lt;="&amp;$E$3))</f>
        <v/>
      </c>
      <c r="L63" s="34" t="str">
        <f aca="false">IF($C63="","",K63/$E$5)</f>
        <v/>
      </c>
      <c r="M63" s="35" t="str">
        <f aca="false">IF($C63="","",IF(L63=0,"-",IF(J63&lt;=0,0,J63/L63)))</f>
        <v/>
      </c>
      <c r="N63" s="32" t="str">
        <f aca="false">IF($C63="","",IF(L63=0,0,MAX(0,ROUNDUP(L63*$E$7,0)-J63)))</f>
        <v/>
      </c>
      <c r="O63" s="32" t="str">
        <f aca="false">IF($C63="","",IF(F63="",0,MAX(J63,0)*F63))</f>
        <v/>
      </c>
      <c r="P63" s="36" t="str">
        <f aca="false">IF($C63="","",IF(J63&lt;0,"ÂM KHO – kiểm tra",IF(AND(J63=0,K63&gt;0),"HẾT HÀNG",IF(J63=0,"Hết (ít bán)",IF(K63=0,"Chậm bán",IF(M63&lt;$E$6,"SẮP HẾT","Đủ hàng"))))))</f>
        <v/>
      </c>
      <c r="Q63" s="37" t="str">
        <f aca="false">IF(OR(P63="HẾT HÀNG",P63="SẮP HẾT"),IF(ISNUMBER(M63),M63,0)+ROW()/100000,"")</f>
        <v/>
      </c>
      <c r="R63" s="37" t="str">
        <f aca="false">IF(N(K63)&gt;0,K63+ROW()/100000,"")</f>
        <v/>
      </c>
    </row>
    <row r="64" customFormat="false" ht="15" hidden="false" customHeight="false" outlineLevel="0" collapsed="false">
      <c r="A64" s="27" t="str">
        <f aca="false">IF(C64="","",ROW()-10)</f>
        <v/>
      </c>
      <c r="B64" s="28" t="str">
        <f aca="false">IF(C64="","",IFERROR(INDEX('DANH MỤC'!$C$5:$C$200,MATCH(C64,'DANH MỤC'!$A$5:$A$200,0)),"⚠ Mã chưa có trong DANH MỤC"))</f>
        <v/>
      </c>
      <c r="C64" s="38"/>
      <c r="D64" s="28" t="str">
        <f aca="false">IF(C64="","",IFERROR(INDEX('DANH MỤC'!$B$5:$B$200,MATCH(C64,'DANH MỤC'!$A$5:$A$200,0)),"⚠ Mã chưa có trong DANH MỤC"))</f>
        <v/>
      </c>
      <c r="E64" s="39"/>
      <c r="F64" s="40"/>
      <c r="G64" s="32" t="str">
        <f aca="false">IF($C64="","",SUMIFS('TỒN ĐẦU KỲ'!$E$5:$E$123,'TỒN ĐẦU KỲ'!$B$5:$B$123,$C64,'TỒN ĐẦU KỲ'!$D$5:$D$123,$E64))</f>
        <v/>
      </c>
      <c r="H64" s="32" t="str">
        <f aca="false">IF($C64="","",SUMIFS('NHẬP KHO'!$E$5:$E$2004,'NHẬP KHO'!$C$5:$C$2004,$C64,'NHẬP KHO'!$D$5:$D$2004,$E64,'NHẬP KHO'!$A$5:$A$2004,"&gt;"&amp;$E$4))</f>
        <v/>
      </c>
      <c r="I64" s="32" t="str">
        <f aca="false">IF($C64="","",SUMIFS('XUẤT KHO'!$E$5:$E$2004,'XUẤT KHO'!$C$5:$C$2004,$C64,'XUẤT KHO'!$D$5:$D$2004,$E64,'XUẤT KHO'!$A$5:$A$2004,"&gt;"&amp;$E$4))</f>
        <v/>
      </c>
      <c r="J64" s="33" t="str">
        <f aca="false">IF($C64="","",G64+H64-I64)</f>
        <v/>
      </c>
      <c r="K64" s="32" t="str">
        <f aca="false">IF($C64="","",SUMIFS('XUẤT KHO'!$E$5:$E$2004,'XUẤT KHO'!$C$5:$C$2004,$C64,'XUẤT KHO'!$D$5:$D$2004,$E64,'XUẤT KHO'!$A$5:$A$2004,"&gt;"&amp;($E$3-$E$5),'XUẤT KHO'!$A$5:$A$2004,"&lt;="&amp;$E$3))</f>
        <v/>
      </c>
      <c r="L64" s="34" t="str">
        <f aca="false">IF($C64="","",K64/$E$5)</f>
        <v/>
      </c>
      <c r="M64" s="35" t="str">
        <f aca="false">IF($C64="","",IF(L64=0,"-",IF(J64&lt;=0,0,J64/L64)))</f>
        <v/>
      </c>
      <c r="N64" s="32" t="str">
        <f aca="false">IF($C64="","",IF(L64=0,0,MAX(0,ROUNDUP(L64*$E$7,0)-J64)))</f>
        <v/>
      </c>
      <c r="O64" s="32" t="str">
        <f aca="false">IF($C64="","",IF(F64="",0,MAX(J64,0)*F64))</f>
        <v/>
      </c>
      <c r="P64" s="36" t="str">
        <f aca="false">IF($C64="","",IF(J64&lt;0,"ÂM KHO – kiểm tra",IF(AND(J64=0,K64&gt;0),"HẾT HÀNG",IF(J64=0,"Hết (ít bán)",IF(K64=0,"Chậm bán",IF(M64&lt;$E$6,"SẮP HẾT","Đủ hàng"))))))</f>
        <v/>
      </c>
      <c r="Q64" s="37" t="str">
        <f aca="false">IF(OR(P64="HẾT HÀNG",P64="SẮP HẾT"),IF(ISNUMBER(M64),M64,0)+ROW()/100000,"")</f>
        <v/>
      </c>
      <c r="R64" s="37" t="str">
        <f aca="false">IF(N(K64)&gt;0,K64+ROW()/100000,"")</f>
        <v/>
      </c>
    </row>
    <row r="65" customFormat="false" ht="15" hidden="false" customHeight="false" outlineLevel="0" collapsed="false">
      <c r="A65" s="27" t="str">
        <f aca="false">IF(C65="","",ROW()-10)</f>
        <v/>
      </c>
      <c r="B65" s="28" t="str">
        <f aca="false">IF(C65="","",IFERROR(INDEX('DANH MỤC'!$C$5:$C$200,MATCH(C65,'DANH MỤC'!$A$5:$A$200,0)),"⚠ Mã chưa có trong DANH MỤC"))</f>
        <v/>
      </c>
      <c r="C65" s="38"/>
      <c r="D65" s="28" t="str">
        <f aca="false">IF(C65="","",IFERROR(INDEX('DANH MỤC'!$B$5:$B$200,MATCH(C65,'DANH MỤC'!$A$5:$A$200,0)),"⚠ Mã chưa có trong DANH MỤC"))</f>
        <v/>
      </c>
      <c r="E65" s="39"/>
      <c r="F65" s="40"/>
      <c r="G65" s="32" t="str">
        <f aca="false">IF($C65="","",SUMIFS('TỒN ĐẦU KỲ'!$E$5:$E$123,'TỒN ĐẦU KỲ'!$B$5:$B$123,$C65,'TỒN ĐẦU KỲ'!$D$5:$D$123,$E65))</f>
        <v/>
      </c>
      <c r="H65" s="32" t="str">
        <f aca="false">IF($C65="","",SUMIFS('NHẬP KHO'!$E$5:$E$2004,'NHẬP KHO'!$C$5:$C$2004,$C65,'NHẬP KHO'!$D$5:$D$2004,$E65,'NHẬP KHO'!$A$5:$A$2004,"&gt;"&amp;$E$4))</f>
        <v/>
      </c>
      <c r="I65" s="32" t="str">
        <f aca="false">IF($C65="","",SUMIFS('XUẤT KHO'!$E$5:$E$2004,'XUẤT KHO'!$C$5:$C$2004,$C65,'XUẤT KHO'!$D$5:$D$2004,$E65,'XUẤT KHO'!$A$5:$A$2004,"&gt;"&amp;$E$4))</f>
        <v/>
      </c>
      <c r="J65" s="33" t="str">
        <f aca="false">IF($C65="","",G65+H65-I65)</f>
        <v/>
      </c>
      <c r="K65" s="32" t="str">
        <f aca="false">IF($C65="","",SUMIFS('XUẤT KHO'!$E$5:$E$2004,'XUẤT KHO'!$C$5:$C$2004,$C65,'XUẤT KHO'!$D$5:$D$2004,$E65,'XUẤT KHO'!$A$5:$A$2004,"&gt;"&amp;($E$3-$E$5),'XUẤT KHO'!$A$5:$A$2004,"&lt;="&amp;$E$3))</f>
        <v/>
      </c>
      <c r="L65" s="34" t="str">
        <f aca="false">IF($C65="","",K65/$E$5)</f>
        <v/>
      </c>
      <c r="M65" s="35" t="str">
        <f aca="false">IF($C65="","",IF(L65=0,"-",IF(J65&lt;=0,0,J65/L65)))</f>
        <v/>
      </c>
      <c r="N65" s="32" t="str">
        <f aca="false">IF($C65="","",IF(L65=0,0,MAX(0,ROUNDUP(L65*$E$7,0)-J65)))</f>
        <v/>
      </c>
      <c r="O65" s="32" t="str">
        <f aca="false">IF($C65="","",IF(F65="",0,MAX(J65,0)*F65))</f>
        <v/>
      </c>
      <c r="P65" s="36" t="str">
        <f aca="false">IF($C65="","",IF(J65&lt;0,"ÂM KHO – kiểm tra",IF(AND(J65=0,K65&gt;0),"HẾT HÀNG",IF(J65=0,"Hết (ít bán)",IF(K65=0,"Chậm bán",IF(M65&lt;$E$6,"SẮP HẾT","Đủ hàng"))))))</f>
        <v/>
      </c>
      <c r="Q65" s="37" t="str">
        <f aca="false">IF(OR(P65="HẾT HÀNG",P65="SẮP HẾT"),IF(ISNUMBER(M65),M65,0)+ROW()/100000,"")</f>
        <v/>
      </c>
      <c r="R65" s="37" t="str">
        <f aca="false">IF(N(K65)&gt;0,K65+ROW()/100000,"")</f>
        <v/>
      </c>
    </row>
    <row r="66" customFormat="false" ht="15" hidden="false" customHeight="false" outlineLevel="0" collapsed="false">
      <c r="A66" s="27" t="str">
        <f aca="false">IF(C66="","",ROW()-10)</f>
        <v/>
      </c>
      <c r="B66" s="28" t="str">
        <f aca="false">IF(C66="","",IFERROR(INDEX('DANH MỤC'!$C$5:$C$200,MATCH(C66,'DANH MỤC'!$A$5:$A$200,0)),"⚠ Mã chưa có trong DANH MỤC"))</f>
        <v/>
      </c>
      <c r="C66" s="38"/>
      <c r="D66" s="28" t="str">
        <f aca="false">IF(C66="","",IFERROR(INDEX('DANH MỤC'!$B$5:$B$200,MATCH(C66,'DANH MỤC'!$A$5:$A$200,0)),"⚠ Mã chưa có trong DANH MỤC"))</f>
        <v/>
      </c>
      <c r="E66" s="39"/>
      <c r="F66" s="40"/>
      <c r="G66" s="32" t="str">
        <f aca="false">IF($C66="","",SUMIFS('TỒN ĐẦU KỲ'!$E$5:$E$123,'TỒN ĐẦU KỲ'!$B$5:$B$123,$C66,'TỒN ĐẦU KỲ'!$D$5:$D$123,$E66))</f>
        <v/>
      </c>
      <c r="H66" s="32" t="str">
        <f aca="false">IF($C66="","",SUMIFS('NHẬP KHO'!$E$5:$E$2004,'NHẬP KHO'!$C$5:$C$2004,$C66,'NHẬP KHO'!$D$5:$D$2004,$E66,'NHẬP KHO'!$A$5:$A$2004,"&gt;"&amp;$E$4))</f>
        <v/>
      </c>
      <c r="I66" s="32" t="str">
        <f aca="false">IF($C66="","",SUMIFS('XUẤT KHO'!$E$5:$E$2004,'XUẤT KHO'!$C$5:$C$2004,$C66,'XUẤT KHO'!$D$5:$D$2004,$E66,'XUẤT KHO'!$A$5:$A$2004,"&gt;"&amp;$E$4))</f>
        <v/>
      </c>
      <c r="J66" s="33" t="str">
        <f aca="false">IF($C66="","",G66+H66-I66)</f>
        <v/>
      </c>
      <c r="K66" s="32" t="str">
        <f aca="false">IF($C66="","",SUMIFS('XUẤT KHO'!$E$5:$E$2004,'XUẤT KHO'!$C$5:$C$2004,$C66,'XUẤT KHO'!$D$5:$D$2004,$E66,'XUẤT KHO'!$A$5:$A$2004,"&gt;"&amp;($E$3-$E$5),'XUẤT KHO'!$A$5:$A$2004,"&lt;="&amp;$E$3))</f>
        <v/>
      </c>
      <c r="L66" s="34" t="str">
        <f aca="false">IF($C66="","",K66/$E$5)</f>
        <v/>
      </c>
      <c r="M66" s="35" t="str">
        <f aca="false">IF($C66="","",IF(L66=0,"-",IF(J66&lt;=0,0,J66/L66)))</f>
        <v/>
      </c>
      <c r="N66" s="32" t="str">
        <f aca="false">IF($C66="","",IF(L66=0,0,MAX(0,ROUNDUP(L66*$E$7,0)-J66)))</f>
        <v/>
      </c>
      <c r="O66" s="32" t="str">
        <f aca="false">IF($C66="","",IF(F66="",0,MAX(J66,0)*F66))</f>
        <v/>
      </c>
      <c r="P66" s="36" t="str">
        <f aca="false">IF($C66="","",IF(J66&lt;0,"ÂM KHO – kiểm tra",IF(AND(J66=0,K66&gt;0),"HẾT HÀNG",IF(J66=0,"Hết (ít bán)",IF(K66=0,"Chậm bán",IF(M66&lt;$E$6,"SẮP HẾT","Đủ hàng"))))))</f>
        <v/>
      </c>
      <c r="Q66" s="37" t="str">
        <f aca="false">IF(OR(P66="HẾT HÀNG",P66="SẮP HẾT"),IF(ISNUMBER(M66),M66,0)+ROW()/100000,"")</f>
        <v/>
      </c>
      <c r="R66" s="37" t="str">
        <f aca="false">IF(N(K66)&gt;0,K66+ROW()/100000,"")</f>
        <v/>
      </c>
    </row>
    <row r="67" customFormat="false" ht="15" hidden="false" customHeight="false" outlineLevel="0" collapsed="false">
      <c r="A67" s="27" t="str">
        <f aca="false">IF(C67="","",ROW()-10)</f>
        <v/>
      </c>
      <c r="B67" s="28" t="str">
        <f aca="false">IF(C67="","",IFERROR(INDEX('DANH MỤC'!$C$5:$C$200,MATCH(C67,'DANH MỤC'!$A$5:$A$200,0)),"⚠ Mã chưa có trong DANH MỤC"))</f>
        <v/>
      </c>
      <c r="C67" s="38"/>
      <c r="D67" s="28" t="str">
        <f aca="false">IF(C67="","",IFERROR(INDEX('DANH MỤC'!$B$5:$B$200,MATCH(C67,'DANH MỤC'!$A$5:$A$200,0)),"⚠ Mã chưa có trong DANH MỤC"))</f>
        <v/>
      </c>
      <c r="E67" s="39"/>
      <c r="F67" s="40"/>
      <c r="G67" s="32" t="str">
        <f aca="false">IF($C67="","",SUMIFS('TỒN ĐẦU KỲ'!$E$5:$E$123,'TỒN ĐẦU KỲ'!$B$5:$B$123,$C67,'TỒN ĐẦU KỲ'!$D$5:$D$123,$E67))</f>
        <v/>
      </c>
      <c r="H67" s="32" t="str">
        <f aca="false">IF($C67="","",SUMIFS('NHẬP KHO'!$E$5:$E$2004,'NHẬP KHO'!$C$5:$C$2004,$C67,'NHẬP KHO'!$D$5:$D$2004,$E67,'NHẬP KHO'!$A$5:$A$2004,"&gt;"&amp;$E$4))</f>
        <v/>
      </c>
      <c r="I67" s="32" t="str">
        <f aca="false">IF($C67="","",SUMIFS('XUẤT KHO'!$E$5:$E$2004,'XUẤT KHO'!$C$5:$C$2004,$C67,'XUẤT KHO'!$D$5:$D$2004,$E67,'XUẤT KHO'!$A$5:$A$2004,"&gt;"&amp;$E$4))</f>
        <v/>
      </c>
      <c r="J67" s="33" t="str">
        <f aca="false">IF($C67="","",G67+H67-I67)</f>
        <v/>
      </c>
      <c r="K67" s="32" t="str">
        <f aca="false">IF($C67="","",SUMIFS('XUẤT KHO'!$E$5:$E$2004,'XUẤT KHO'!$C$5:$C$2004,$C67,'XUẤT KHO'!$D$5:$D$2004,$E67,'XUẤT KHO'!$A$5:$A$2004,"&gt;"&amp;($E$3-$E$5),'XUẤT KHO'!$A$5:$A$2004,"&lt;="&amp;$E$3))</f>
        <v/>
      </c>
      <c r="L67" s="34" t="str">
        <f aca="false">IF($C67="","",K67/$E$5)</f>
        <v/>
      </c>
      <c r="M67" s="35" t="str">
        <f aca="false">IF($C67="","",IF(L67=0,"-",IF(J67&lt;=0,0,J67/L67)))</f>
        <v/>
      </c>
      <c r="N67" s="32" t="str">
        <f aca="false">IF($C67="","",IF(L67=0,0,MAX(0,ROUNDUP(L67*$E$7,0)-J67)))</f>
        <v/>
      </c>
      <c r="O67" s="32" t="str">
        <f aca="false">IF($C67="","",IF(F67="",0,MAX(J67,0)*F67))</f>
        <v/>
      </c>
      <c r="P67" s="36" t="str">
        <f aca="false">IF($C67="","",IF(J67&lt;0,"ÂM KHO – kiểm tra",IF(AND(J67=0,K67&gt;0),"HẾT HÀNG",IF(J67=0,"Hết (ít bán)",IF(K67=0,"Chậm bán",IF(M67&lt;$E$6,"SẮP HẾT","Đủ hàng"))))))</f>
        <v/>
      </c>
      <c r="Q67" s="37" t="str">
        <f aca="false">IF(OR(P67="HẾT HÀNG",P67="SẮP HẾT"),IF(ISNUMBER(M67),M67,0)+ROW()/100000,"")</f>
        <v/>
      </c>
      <c r="R67" s="37" t="str">
        <f aca="false">IF(N(K67)&gt;0,K67+ROW()/100000,"")</f>
        <v/>
      </c>
    </row>
    <row r="68" customFormat="false" ht="15" hidden="false" customHeight="false" outlineLevel="0" collapsed="false">
      <c r="A68" s="27" t="str">
        <f aca="false">IF(C68="","",ROW()-10)</f>
        <v/>
      </c>
      <c r="B68" s="28" t="str">
        <f aca="false">IF(C68="","",IFERROR(INDEX('DANH MỤC'!$C$5:$C$200,MATCH(C68,'DANH MỤC'!$A$5:$A$200,0)),"⚠ Mã chưa có trong DANH MỤC"))</f>
        <v/>
      </c>
      <c r="C68" s="38"/>
      <c r="D68" s="28" t="str">
        <f aca="false">IF(C68="","",IFERROR(INDEX('DANH MỤC'!$B$5:$B$200,MATCH(C68,'DANH MỤC'!$A$5:$A$200,0)),"⚠ Mã chưa có trong DANH MỤC"))</f>
        <v/>
      </c>
      <c r="E68" s="39"/>
      <c r="F68" s="40"/>
      <c r="G68" s="32" t="str">
        <f aca="false">IF($C68="","",SUMIFS('TỒN ĐẦU KỲ'!$E$5:$E$123,'TỒN ĐẦU KỲ'!$B$5:$B$123,$C68,'TỒN ĐẦU KỲ'!$D$5:$D$123,$E68))</f>
        <v/>
      </c>
      <c r="H68" s="32" t="str">
        <f aca="false">IF($C68="","",SUMIFS('NHẬP KHO'!$E$5:$E$2004,'NHẬP KHO'!$C$5:$C$2004,$C68,'NHẬP KHO'!$D$5:$D$2004,$E68,'NHẬP KHO'!$A$5:$A$2004,"&gt;"&amp;$E$4))</f>
        <v/>
      </c>
      <c r="I68" s="32" t="str">
        <f aca="false">IF($C68="","",SUMIFS('XUẤT KHO'!$E$5:$E$2004,'XUẤT KHO'!$C$5:$C$2004,$C68,'XUẤT KHO'!$D$5:$D$2004,$E68,'XUẤT KHO'!$A$5:$A$2004,"&gt;"&amp;$E$4))</f>
        <v/>
      </c>
      <c r="J68" s="33" t="str">
        <f aca="false">IF($C68="","",G68+H68-I68)</f>
        <v/>
      </c>
      <c r="K68" s="32" t="str">
        <f aca="false">IF($C68="","",SUMIFS('XUẤT KHO'!$E$5:$E$2004,'XUẤT KHO'!$C$5:$C$2004,$C68,'XUẤT KHO'!$D$5:$D$2004,$E68,'XUẤT KHO'!$A$5:$A$2004,"&gt;"&amp;($E$3-$E$5),'XUẤT KHO'!$A$5:$A$2004,"&lt;="&amp;$E$3))</f>
        <v/>
      </c>
      <c r="L68" s="34" t="str">
        <f aca="false">IF($C68="","",K68/$E$5)</f>
        <v/>
      </c>
      <c r="M68" s="35" t="str">
        <f aca="false">IF($C68="","",IF(L68=0,"-",IF(J68&lt;=0,0,J68/L68)))</f>
        <v/>
      </c>
      <c r="N68" s="32" t="str">
        <f aca="false">IF($C68="","",IF(L68=0,0,MAX(0,ROUNDUP(L68*$E$7,0)-J68)))</f>
        <v/>
      </c>
      <c r="O68" s="32" t="str">
        <f aca="false">IF($C68="","",IF(F68="",0,MAX(J68,0)*F68))</f>
        <v/>
      </c>
      <c r="P68" s="36" t="str">
        <f aca="false">IF($C68="","",IF(J68&lt;0,"ÂM KHO – kiểm tra",IF(AND(J68=0,K68&gt;0),"HẾT HÀNG",IF(J68=0,"Hết (ít bán)",IF(K68=0,"Chậm bán",IF(M68&lt;$E$6,"SẮP HẾT","Đủ hàng"))))))</f>
        <v/>
      </c>
      <c r="Q68" s="37" t="str">
        <f aca="false">IF(OR(P68="HẾT HÀNG",P68="SẮP HẾT"),IF(ISNUMBER(M68),M68,0)+ROW()/100000,"")</f>
        <v/>
      </c>
      <c r="R68" s="37" t="str">
        <f aca="false">IF(N(K68)&gt;0,K68+ROW()/100000,"")</f>
        <v/>
      </c>
    </row>
    <row r="69" customFormat="false" ht="15" hidden="false" customHeight="false" outlineLevel="0" collapsed="false">
      <c r="A69" s="27" t="str">
        <f aca="false">IF(C69="","",ROW()-10)</f>
        <v/>
      </c>
      <c r="B69" s="28" t="str">
        <f aca="false">IF(C69="","",IFERROR(INDEX('DANH MỤC'!$C$5:$C$200,MATCH(C69,'DANH MỤC'!$A$5:$A$200,0)),"⚠ Mã chưa có trong DANH MỤC"))</f>
        <v/>
      </c>
      <c r="C69" s="38"/>
      <c r="D69" s="28" t="str">
        <f aca="false">IF(C69="","",IFERROR(INDEX('DANH MỤC'!$B$5:$B$200,MATCH(C69,'DANH MỤC'!$A$5:$A$200,0)),"⚠ Mã chưa có trong DANH MỤC"))</f>
        <v/>
      </c>
      <c r="E69" s="39"/>
      <c r="F69" s="40"/>
      <c r="G69" s="32" t="str">
        <f aca="false">IF($C69="","",SUMIFS('TỒN ĐẦU KỲ'!$E$5:$E$123,'TỒN ĐẦU KỲ'!$B$5:$B$123,$C69,'TỒN ĐẦU KỲ'!$D$5:$D$123,$E69))</f>
        <v/>
      </c>
      <c r="H69" s="32" t="str">
        <f aca="false">IF($C69="","",SUMIFS('NHẬP KHO'!$E$5:$E$2004,'NHẬP KHO'!$C$5:$C$2004,$C69,'NHẬP KHO'!$D$5:$D$2004,$E69,'NHẬP KHO'!$A$5:$A$2004,"&gt;"&amp;$E$4))</f>
        <v/>
      </c>
      <c r="I69" s="32" t="str">
        <f aca="false">IF($C69="","",SUMIFS('XUẤT KHO'!$E$5:$E$2004,'XUẤT KHO'!$C$5:$C$2004,$C69,'XUẤT KHO'!$D$5:$D$2004,$E69,'XUẤT KHO'!$A$5:$A$2004,"&gt;"&amp;$E$4))</f>
        <v/>
      </c>
      <c r="J69" s="33" t="str">
        <f aca="false">IF($C69="","",G69+H69-I69)</f>
        <v/>
      </c>
      <c r="K69" s="32" t="str">
        <f aca="false">IF($C69="","",SUMIFS('XUẤT KHO'!$E$5:$E$2004,'XUẤT KHO'!$C$5:$C$2004,$C69,'XUẤT KHO'!$D$5:$D$2004,$E69,'XUẤT KHO'!$A$5:$A$2004,"&gt;"&amp;($E$3-$E$5),'XUẤT KHO'!$A$5:$A$2004,"&lt;="&amp;$E$3))</f>
        <v/>
      </c>
      <c r="L69" s="34" t="str">
        <f aca="false">IF($C69="","",K69/$E$5)</f>
        <v/>
      </c>
      <c r="M69" s="35" t="str">
        <f aca="false">IF($C69="","",IF(L69=0,"-",IF(J69&lt;=0,0,J69/L69)))</f>
        <v/>
      </c>
      <c r="N69" s="32" t="str">
        <f aca="false">IF($C69="","",IF(L69=0,0,MAX(0,ROUNDUP(L69*$E$7,0)-J69)))</f>
        <v/>
      </c>
      <c r="O69" s="32" t="str">
        <f aca="false">IF($C69="","",IF(F69="",0,MAX(J69,0)*F69))</f>
        <v/>
      </c>
      <c r="P69" s="36" t="str">
        <f aca="false">IF($C69="","",IF(J69&lt;0,"ÂM KHO – kiểm tra",IF(AND(J69=0,K69&gt;0),"HẾT HÀNG",IF(J69=0,"Hết (ít bán)",IF(K69=0,"Chậm bán",IF(M69&lt;$E$6,"SẮP HẾT","Đủ hàng"))))))</f>
        <v/>
      </c>
      <c r="Q69" s="37" t="str">
        <f aca="false">IF(OR(P69="HẾT HÀNG",P69="SẮP HẾT"),IF(ISNUMBER(M69),M69,0)+ROW()/100000,"")</f>
        <v/>
      </c>
      <c r="R69" s="37" t="str">
        <f aca="false">IF(N(K69)&gt;0,K69+ROW()/100000,"")</f>
        <v/>
      </c>
    </row>
    <row r="70" customFormat="false" ht="15" hidden="false" customHeight="false" outlineLevel="0" collapsed="false">
      <c r="A70" s="27" t="str">
        <f aca="false">IF(C70="","",ROW()-10)</f>
        <v/>
      </c>
      <c r="B70" s="28" t="str">
        <f aca="false">IF(C70="","",IFERROR(INDEX('DANH MỤC'!$C$5:$C$200,MATCH(C70,'DANH MỤC'!$A$5:$A$200,0)),"⚠ Mã chưa có trong DANH MỤC"))</f>
        <v/>
      </c>
      <c r="C70" s="38"/>
      <c r="D70" s="28" t="str">
        <f aca="false">IF(C70="","",IFERROR(INDEX('DANH MỤC'!$B$5:$B$200,MATCH(C70,'DANH MỤC'!$A$5:$A$200,0)),"⚠ Mã chưa có trong DANH MỤC"))</f>
        <v/>
      </c>
      <c r="E70" s="39"/>
      <c r="F70" s="40"/>
      <c r="G70" s="32" t="str">
        <f aca="false">IF($C70="","",SUMIFS('TỒN ĐẦU KỲ'!$E$5:$E$123,'TỒN ĐẦU KỲ'!$B$5:$B$123,$C70,'TỒN ĐẦU KỲ'!$D$5:$D$123,$E70))</f>
        <v/>
      </c>
      <c r="H70" s="32" t="str">
        <f aca="false">IF($C70="","",SUMIFS('NHẬP KHO'!$E$5:$E$2004,'NHẬP KHO'!$C$5:$C$2004,$C70,'NHẬP KHO'!$D$5:$D$2004,$E70,'NHẬP KHO'!$A$5:$A$2004,"&gt;"&amp;$E$4))</f>
        <v/>
      </c>
      <c r="I70" s="32" t="str">
        <f aca="false">IF($C70="","",SUMIFS('XUẤT KHO'!$E$5:$E$2004,'XUẤT KHO'!$C$5:$C$2004,$C70,'XUẤT KHO'!$D$5:$D$2004,$E70,'XUẤT KHO'!$A$5:$A$2004,"&gt;"&amp;$E$4))</f>
        <v/>
      </c>
      <c r="J70" s="33" t="str">
        <f aca="false">IF($C70="","",G70+H70-I70)</f>
        <v/>
      </c>
      <c r="K70" s="32" t="str">
        <f aca="false">IF($C70="","",SUMIFS('XUẤT KHO'!$E$5:$E$2004,'XUẤT KHO'!$C$5:$C$2004,$C70,'XUẤT KHO'!$D$5:$D$2004,$E70,'XUẤT KHO'!$A$5:$A$2004,"&gt;"&amp;($E$3-$E$5),'XUẤT KHO'!$A$5:$A$2004,"&lt;="&amp;$E$3))</f>
        <v/>
      </c>
      <c r="L70" s="34" t="str">
        <f aca="false">IF($C70="","",K70/$E$5)</f>
        <v/>
      </c>
      <c r="M70" s="35" t="str">
        <f aca="false">IF($C70="","",IF(L70=0,"-",IF(J70&lt;=0,0,J70/L70)))</f>
        <v/>
      </c>
      <c r="N70" s="32" t="str">
        <f aca="false">IF($C70="","",IF(L70=0,0,MAX(0,ROUNDUP(L70*$E$7,0)-J70)))</f>
        <v/>
      </c>
      <c r="O70" s="32" t="str">
        <f aca="false">IF($C70="","",IF(F70="",0,MAX(J70,0)*F70))</f>
        <v/>
      </c>
      <c r="P70" s="36" t="str">
        <f aca="false">IF($C70="","",IF(J70&lt;0,"ÂM KHO – kiểm tra",IF(AND(J70=0,K70&gt;0),"HẾT HÀNG",IF(J70=0,"Hết (ít bán)",IF(K70=0,"Chậm bán",IF(M70&lt;$E$6,"SẮP HẾT","Đủ hàng"))))))</f>
        <v/>
      </c>
      <c r="Q70" s="37" t="str">
        <f aca="false">IF(OR(P70="HẾT HÀNG",P70="SẮP HẾT"),IF(ISNUMBER(M70),M70,0)+ROW()/100000,"")</f>
        <v/>
      </c>
      <c r="R70" s="37" t="str">
        <f aca="false">IF(N(K70)&gt;0,K70+ROW()/100000,"")</f>
        <v/>
      </c>
    </row>
    <row r="71" customFormat="false" ht="15" hidden="false" customHeight="false" outlineLevel="0" collapsed="false">
      <c r="A71" s="27" t="str">
        <f aca="false">IF(C71="","",ROW()-10)</f>
        <v/>
      </c>
      <c r="B71" s="28" t="str">
        <f aca="false">IF(C71="","",IFERROR(INDEX('DANH MỤC'!$C$5:$C$200,MATCH(C71,'DANH MỤC'!$A$5:$A$200,0)),"⚠ Mã chưa có trong DANH MỤC"))</f>
        <v/>
      </c>
      <c r="C71" s="38"/>
      <c r="D71" s="28" t="str">
        <f aca="false">IF(C71="","",IFERROR(INDEX('DANH MỤC'!$B$5:$B$200,MATCH(C71,'DANH MỤC'!$A$5:$A$200,0)),"⚠ Mã chưa có trong DANH MỤC"))</f>
        <v/>
      </c>
      <c r="E71" s="39"/>
      <c r="F71" s="40"/>
      <c r="G71" s="32" t="str">
        <f aca="false">IF($C71="","",SUMIFS('TỒN ĐẦU KỲ'!$E$5:$E$123,'TỒN ĐẦU KỲ'!$B$5:$B$123,$C71,'TỒN ĐẦU KỲ'!$D$5:$D$123,$E71))</f>
        <v/>
      </c>
      <c r="H71" s="32" t="str">
        <f aca="false">IF($C71="","",SUMIFS('NHẬP KHO'!$E$5:$E$2004,'NHẬP KHO'!$C$5:$C$2004,$C71,'NHẬP KHO'!$D$5:$D$2004,$E71,'NHẬP KHO'!$A$5:$A$2004,"&gt;"&amp;$E$4))</f>
        <v/>
      </c>
      <c r="I71" s="32" t="str">
        <f aca="false">IF($C71="","",SUMIFS('XUẤT KHO'!$E$5:$E$2004,'XUẤT KHO'!$C$5:$C$2004,$C71,'XUẤT KHO'!$D$5:$D$2004,$E71,'XUẤT KHO'!$A$5:$A$2004,"&gt;"&amp;$E$4))</f>
        <v/>
      </c>
      <c r="J71" s="33" t="str">
        <f aca="false">IF($C71="","",G71+H71-I71)</f>
        <v/>
      </c>
      <c r="K71" s="32" t="str">
        <f aca="false">IF($C71="","",SUMIFS('XUẤT KHO'!$E$5:$E$2004,'XUẤT KHO'!$C$5:$C$2004,$C71,'XUẤT KHO'!$D$5:$D$2004,$E71,'XUẤT KHO'!$A$5:$A$2004,"&gt;"&amp;($E$3-$E$5),'XUẤT KHO'!$A$5:$A$2004,"&lt;="&amp;$E$3))</f>
        <v/>
      </c>
      <c r="L71" s="34" t="str">
        <f aca="false">IF($C71="","",K71/$E$5)</f>
        <v/>
      </c>
      <c r="M71" s="35" t="str">
        <f aca="false">IF($C71="","",IF(L71=0,"-",IF(J71&lt;=0,0,J71/L71)))</f>
        <v/>
      </c>
      <c r="N71" s="32" t="str">
        <f aca="false">IF($C71="","",IF(L71=0,0,MAX(0,ROUNDUP(L71*$E$7,0)-J71)))</f>
        <v/>
      </c>
      <c r="O71" s="32" t="str">
        <f aca="false">IF($C71="","",IF(F71="",0,MAX(J71,0)*F71))</f>
        <v/>
      </c>
      <c r="P71" s="36" t="str">
        <f aca="false">IF($C71="","",IF(J71&lt;0,"ÂM KHO – kiểm tra",IF(AND(J71=0,K71&gt;0),"HẾT HÀNG",IF(J71=0,"Hết (ít bán)",IF(K71=0,"Chậm bán",IF(M71&lt;$E$6,"SẮP HẾT","Đủ hàng"))))))</f>
        <v/>
      </c>
      <c r="Q71" s="37" t="str">
        <f aca="false">IF(OR(P71="HẾT HÀNG",P71="SẮP HẾT"),IF(ISNUMBER(M71),M71,0)+ROW()/100000,"")</f>
        <v/>
      </c>
      <c r="R71" s="37" t="str">
        <f aca="false">IF(N(K71)&gt;0,K71+ROW()/100000,"")</f>
        <v/>
      </c>
    </row>
    <row r="72" customFormat="false" ht="15" hidden="false" customHeight="false" outlineLevel="0" collapsed="false">
      <c r="A72" s="27" t="str">
        <f aca="false">IF(C72="","",ROW()-10)</f>
        <v/>
      </c>
      <c r="B72" s="28" t="str">
        <f aca="false">IF(C72="","",IFERROR(INDEX('DANH MỤC'!$C$5:$C$200,MATCH(C72,'DANH MỤC'!$A$5:$A$200,0)),"⚠ Mã chưa có trong DANH MỤC"))</f>
        <v/>
      </c>
      <c r="C72" s="38"/>
      <c r="D72" s="28" t="str">
        <f aca="false">IF(C72="","",IFERROR(INDEX('DANH MỤC'!$B$5:$B$200,MATCH(C72,'DANH MỤC'!$A$5:$A$200,0)),"⚠ Mã chưa có trong DANH MỤC"))</f>
        <v/>
      </c>
      <c r="E72" s="39"/>
      <c r="F72" s="40"/>
      <c r="G72" s="32" t="str">
        <f aca="false">IF($C72="","",SUMIFS('TỒN ĐẦU KỲ'!$E$5:$E$123,'TỒN ĐẦU KỲ'!$B$5:$B$123,$C72,'TỒN ĐẦU KỲ'!$D$5:$D$123,$E72))</f>
        <v/>
      </c>
      <c r="H72" s="32" t="str">
        <f aca="false">IF($C72="","",SUMIFS('NHẬP KHO'!$E$5:$E$2004,'NHẬP KHO'!$C$5:$C$2004,$C72,'NHẬP KHO'!$D$5:$D$2004,$E72,'NHẬP KHO'!$A$5:$A$2004,"&gt;"&amp;$E$4))</f>
        <v/>
      </c>
      <c r="I72" s="32" t="str">
        <f aca="false">IF($C72="","",SUMIFS('XUẤT KHO'!$E$5:$E$2004,'XUẤT KHO'!$C$5:$C$2004,$C72,'XUẤT KHO'!$D$5:$D$2004,$E72,'XUẤT KHO'!$A$5:$A$2004,"&gt;"&amp;$E$4))</f>
        <v/>
      </c>
      <c r="J72" s="33" t="str">
        <f aca="false">IF($C72="","",G72+H72-I72)</f>
        <v/>
      </c>
      <c r="K72" s="32" t="str">
        <f aca="false">IF($C72="","",SUMIFS('XUẤT KHO'!$E$5:$E$2004,'XUẤT KHO'!$C$5:$C$2004,$C72,'XUẤT KHO'!$D$5:$D$2004,$E72,'XUẤT KHO'!$A$5:$A$2004,"&gt;"&amp;($E$3-$E$5),'XUẤT KHO'!$A$5:$A$2004,"&lt;="&amp;$E$3))</f>
        <v/>
      </c>
      <c r="L72" s="34" t="str">
        <f aca="false">IF($C72="","",K72/$E$5)</f>
        <v/>
      </c>
      <c r="M72" s="35" t="str">
        <f aca="false">IF($C72="","",IF(L72=0,"-",IF(J72&lt;=0,0,J72/L72)))</f>
        <v/>
      </c>
      <c r="N72" s="32" t="str">
        <f aca="false">IF($C72="","",IF(L72=0,0,MAX(0,ROUNDUP(L72*$E$7,0)-J72)))</f>
        <v/>
      </c>
      <c r="O72" s="32" t="str">
        <f aca="false">IF($C72="","",IF(F72="",0,MAX(J72,0)*F72))</f>
        <v/>
      </c>
      <c r="P72" s="36" t="str">
        <f aca="false">IF($C72="","",IF(J72&lt;0,"ÂM KHO – kiểm tra",IF(AND(J72=0,K72&gt;0),"HẾT HÀNG",IF(J72=0,"Hết (ít bán)",IF(K72=0,"Chậm bán",IF(M72&lt;$E$6,"SẮP HẾT","Đủ hàng"))))))</f>
        <v/>
      </c>
      <c r="Q72" s="37" t="str">
        <f aca="false">IF(OR(P72="HẾT HÀNG",P72="SẮP HẾT"),IF(ISNUMBER(M72),M72,0)+ROW()/100000,"")</f>
        <v/>
      </c>
      <c r="R72" s="37" t="str">
        <f aca="false">IF(N(K72)&gt;0,K72+ROW()/100000,"")</f>
        <v/>
      </c>
    </row>
    <row r="73" customFormat="false" ht="15" hidden="false" customHeight="false" outlineLevel="0" collapsed="false">
      <c r="A73" s="27" t="str">
        <f aca="false">IF(C73="","",ROW()-10)</f>
        <v/>
      </c>
      <c r="B73" s="28" t="str">
        <f aca="false">IF(C73="","",IFERROR(INDEX('DANH MỤC'!$C$5:$C$200,MATCH(C73,'DANH MỤC'!$A$5:$A$200,0)),"⚠ Mã chưa có trong DANH MỤC"))</f>
        <v/>
      </c>
      <c r="C73" s="38"/>
      <c r="D73" s="28" t="str">
        <f aca="false">IF(C73="","",IFERROR(INDEX('DANH MỤC'!$B$5:$B$200,MATCH(C73,'DANH MỤC'!$A$5:$A$200,0)),"⚠ Mã chưa có trong DANH MỤC"))</f>
        <v/>
      </c>
      <c r="E73" s="39"/>
      <c r="F73" s="40"/>
      <c r="G73" s="32" t="str">
        <f aca="false">IF($C73="","",SUMIFS('TỒN ĐẦU KỲ'!$E$5:$E$123,'TỒN ĐẦU KỲ'!$B$5:$B$123,$C73,'TỒN ĐẦU KỲ'!$D$5:$D$123,$E73))</f>
        <v/>
      </c>
      <c r="H73" s="32" t="str">
        <f aca="false">IF($C73="","",SUMIFS('NHẬP KHO'!$E$5:$E$2004,'NHẬP KHO'!$C$5:$C$2004,$C73,'NHẬP KHO'!$D$5:$D$2004,$E73,'NHẬP KHO'!$A$5:$A$2004,"&gt;"&amp;$E$4))</f>
        <v/>
      </c>
      <c r="I73" s="32" t="str">
        <f aca="false">IF($C73="","",SUMIFS('XUẤT KHO'!$E$5:$E$2004,'XUẤT KHO'!$C$5:$C$2004,$C73,'XUẤT KHO'!$D$5:$D$2004,$E73,'XUẤT KHO'!$A$5:$A$2004,"&gt;"&amp;$E$4))</f>
        <v/>
      </c>
      <c r="J73" s="33" t="str">
        <f aca="false">IF($C73="","",G73+H73-I73)</f>
        <v/>
      </c>
      <c r="K73" s="32" t="str">
        <f aca="false">IF($C73="","",SUMIFS('XUẤT KHO'!$E$5:$E$2004,'XUẤT KHO'!$C$5:$C$2004,$C73,'XUẤT KHO'!$D$5:$D$2004,$E73,'XUẤT KHO'!$A$5:$A$2004,"&gt;"&amp;($E$3-$E$5),'XUẤT KHO'!$A$5:$A$2004,"&lt;="&amp;$E$3))</f>
        <v/>
      </c>
      <c r="L73" s="34" t="str">
        <f aca="false">IF($C73="","",K73/$E$5)</f>
        <v/>
      </c>
      <c r="M73" s="35" t="str">
        <f aca="false">IF($C73="","",IF(L73=0,"-",IF(J73&lt;=0,0,J73/L73)))</f>
        <v/>
      </c>
      <c r="N73" s="32" t="str">
        <f aca="false">IF($C73="","",IF(L73=0,0,MAX(0,ROUNDUP(L73*$E$7,0)-J73)))</f>
        <v/>
      </c>
      <c r="O73" s="32" t="str">
        <f aca="false">IF($C73="","",IF(F73="",0,MAX(J73,0)*F73))</f>
        <v/>
      </c>
      <c r="P73" s="36" t="str">
        <f aca="false">IF($C73="","",IF(J73&lt;0,"ÂM KHO – kiểm tra",IF(AND(J73=0,K73&gt;0),"HẾT HÀNG",IF(J73=0,"Hết (ít bán)",IF(K73=0,"Chậm bán",IF(M73&lt;$E$6,"SẮP HẾT","Đủ hàng"))))))</f>
        <v/>
      </c>
      <c r="Q73" s="37" t="str">
        <f aca="false">IF(OR(P73="HẾT HÀNG",P73="SẮP HẾT"),IF(ISNUMBER(M73),M73,0)+ROW()/100000,"")</f>
        <v/>
      </c>
      <c r="R73" s="37" t="str">
        <f aca="false">IF(N(K73)&gt;0,K73+ROW()/100000,"")</f>
        <v/>
      </c>
    </row>
    <row r="74" customFormat="false" ht="15" hidden="false" customHeight="false" outlineLevel="0" collapsed="false">
      <c r="A74" s="27" t="str">
        <f aca="false">IF(C74="","",ROW()-10)</f>
        <v/>
      </c>
      <c r="B74" s="28" t="str">
        <f aca="false">IF(C74="","",IFERROR(INDEX('DANH MỤC'!$C$5:$C$200,MATCH(C74,'DANH MỤC'!$A$5:$A$200,0)),"⚠ Mã chưa có trong DANH MỤC"))</f>
        <v/>
      </c>
      <c r="C74" s="38"/>
      <c r="D74" s="28" t="str">
        <f aca="false">IF(C74="","",IFERROR(INDEX('DANH MỤC'!$B$5:$B$200,MATCH(C74,'DANH MỤC'!$A$5:$A$200,0)),"⚠ Mã chưa có trong DANH MỤC"))</f>
        <v/>
      </c>
      <c r="E74" s="39"/>
      <c r="F74" s="40"/>
      <c r="G74" s="32" t="str">
        <f aca="false">IF($C74="","",SUMIFS('TỒN ĐẦU KỲ'!$E$5:$E$123,'TỒN ĐẦU KỲ'!$B$5:$B$123,$C74,'TỒN ĐẦU KỲ'!$D$5:$D$123,$E74))</f>
        <v/>
      </c>
      <c r="H74" s="32" t="str">
        <f aca="false">IF($C74="","",SUMIFS('NHẬP KHO'!$E$5:$E$2004,'NHẬP KHO'!$C$5:$C$2004,$C74,'NHẬP KHO'!$D$5:$D$2004,$E74,'NHẬP KHO'!$A$5:$A$2004,"&gt;"&amp;$E$4))</f>
        <v/>
      </c>
      <c r="I74" s="32" t="str">
        <f aca="false">IF($C74="","",SUMIFS('XUẤT KHO'!$E$5:$E$2004,'XUẤT KHO'!$C$5:$C$2004,$C74,'XUẤT KHO'!$D$5:$D$2004,$E74,'XUẤT KHO'!$A$5:$A$2004,"&gt;"&amp;$E$4))</f>
        <v/>
      </c>
      <c r="J74" s="33" t="str">
        <f aca="false">IF($C74="","",G74+H74-I74)</f>
        <v/>
      </c>
      <c r="K74" s="32" t="str">
        <f aca="false">IF($C74="","",SUMIFS('XUẤT KHO'!$E$5:$E$2004,'XUẤT KHO'!$C$5:$C$2004,$C74,'XUẤT KHO'!$D$5:$D$2004,$E74,'XUẤT KHO'!$A$5:$A$2004,"&gt;"&amp;($E$3-$E$5),'XUẤT KHO'!$A$5:$A$2004,"&lt;="&amp;$E$3))</f>
        <v/>
      </c>
      <c r="L74" s="34" t="str">
        <f aca="false">IF($C74="","",K74/$E$5)</f>
        <v/>
      </c>
      <c r="M74" s="35" t="str">
        <f aca="false">IF($C74="","",IF(L74=0,"-",IF(J74&lt;=0,0,J74/L74)))</f>
        <v/>
      </c>
      <c r="N74" s="32" t="str">
        <f aca="false">IF($C74="","",IF(L74=0,0,MAX(0,ROUNDUP(L74*$E$7,0)-J74)))</f>
        <v/>
      </c>
      <c r="O74" s="32" t="str">
        <f aca="false">IF($C74="","",IF(F74="",0,MAX(J74,0)*F74))</f>
        <v/>
      </c>
      <c r="P74" s="36" t="str">
        <f aca="false">IF($C74="","",IF(J74&lt;0,"ÂM KHO – kiểm tra",IF(AND(J74=0,K74&gt;0),"HẾT HÀNG",IF(J74=0,"Hết (ít bán)",IF(K74=0,"Chậm bán",IF(M74&lt;$E$6,"SẮP HẾT","Đủ hàng"))))))</f>
        <v/>
      </c>
      <c r="Q74" s="37" t="str">
        <f aca="false">IF(OR(P74="HẾT HÀNG",P74="SẮP HẾT"),IF(ISNUMBER(M74),M74,0)+ROW()/100000,"")</f>
        <v/>
      </c>
      <c r="R74" s="37" t="str">
        <f aca="false">IF(N(K74)&gt;0,K74+ROW()/100000,"")</f>
        <v/>
      </c>
    </row>
    <row r="75" customFormat="false" ht="15" hidden="false" customHeight="false" outlineLevel="0" collapsed="false">
      <c r="A75" s="27" t="str">
        <f aca="false">IF(C75="","",ROW()-10)</f>
        <v/>
      </c>
      <c r="B75" s="28" t="str">
        <f aca="false">IF(C75="","",IFERROR(INDEX('DANH MỤC'!$C$5:$C$200,MATCH(C75,'DANH MỤC'!$A$5:$A$200,0)),"⚠ Mã chưa có trong DANH MỤC"))</f>
        <v/>
      </c>
      <c r="C75" s="38"/>
      <c r="D75" s="28" t="str">
        <f aca="false">IF(C75="","",IFERROR(INDEX('DANH MỤC'!$B$5:$B$200,MATCH(C75,'DANH MỤC'!$A$5:$A$200,0)),"⚠ Mã chưa có trong DANH MỤC"))</f>
        <v/>
      </c>
      <c r="E75" s="39"/>
      <c r="F75" s="40"/>
      <c r="G75" s="32" t="str">
        <f aca="false">IF($C75="","",SUMIFS('TỒN ĐẦU KỲ'!$E$5:$E$123,'TỒN ĐẦU KỲ'!$B$5:$B$123,$C75,'TỒN ĐẦU KỲ'!$D$5:$D$123,$E75))</f>
        <v/>
      </c>
      <c r="H75" s="32" t="str">
        <f aca="false">IF($C75="","",SUMIFS('NHẬP KHO'!$E$5:$E$2004,'NHẬP KHO'!$C$5:$C$2004,$C75,'NHẬP KHO'!$D$5:$D$2004,$E75,'NHẬP KHO'!$A$5:$A$2004,"&gt;"&amp;$E$4))</f>
        <v/>
      </c>
      <c r="I75" s="32" t="str">
        <f aca="false">IF($C75="","",SUMIFS('XUẤT KHO'!$E$5:$E$2004,'XUẤT KHO'!$C$5:$C$2004,$C75,'XUẤT KHO'!$D$5:$D$2004,$E75,'XUẤT KHO'!$A$5:$A$2004,"&gt;"&amp;$E$4))</f>
        <v/>
      </c>
      <c r="J75" s="33" t="str">
        <f aca="false">IF($C75="","",G75+H75-I75)</f>
        <v/>
      </c>
      <c r="K75" s="32" t="str">
        <f aca="false">IF($C75="","",SUMIFS('XUẤT KHO'!$E$5:$E$2004,'XUẤT KHO'!$C$5:$C$2004,$C75,'XUẤT KHO'!$D$5:$D$2004,$E75,'XUẤT KHO'!$A$5:$A$2004,"&gt;"&amp;($E$3-$E$5),'XUẤT KHO'!$A$5:$A$2004,"&lt;="&amp;$E$3))</f>
        <v/>
      </c>
      <c r="L75" s="34" t="str">
        <f aca="false">IF($C75="","",K75/$E$5)</f>
        <v/>
      </c>
      <c r="M75" s="35" t="str">
        <f aca="false">IF($C75="","",IF(L75=0,"-",IF(J75&lt;=0,0,J75/L75)))</f>
        <v/>
      </c>
      <c r="N75" s="32" t="str">
        <f aca="false">IF($C75="","",IF(L75=0,0,MAX(0,ROUNDUP(L75*$E$7,0)-J75)))</f>
        <v/>
      </c>
      <c r="O75" s="32" t="str">
        <f aca="false">IF($C75="","",IF(F75="",0,MAX(J75,0)*F75))</f>
        <v/>
      </c>
      <c r="P75" s="36" t="str">
        <f aca="false">IF($C75="","",IF(J75&lt;0,"ÂM KHO – kiểm tra",IF(AND(J75=0,K75&gt;0),"HẾT HÀNG",IF(J75=0,"Hết (ít bán)",IF(K75=0,"Chậm bán",IF(M75&lt;$E$6,"SẮP HẾT","Đủ hàng"))))))</f>
        <v/>
      </c>
      <c r="Q75" s="37" t="str">
        <f aca="false">IF(OR(P75="HẾT HÀNG",P75="SẮP HẾT"),IF(ISNUMBER(M75),M75,0)+ROW()/100000,"")</f>
        <v/>
      </c>
      <c r="R75" s="37" t="str">
        <f aca="false">IF(N(K75)&gt;0,K75+ROW()/100000,"")</f>
        <v/>
      </c>
    </row>
    <row r="76" customFormat="false" ht="15" hidden="false" customHeight="false" outlineLevel="0" collapsed="false">
      <c r="A76" s="27" t="str">
        <f aca="false">IF(C76="","",ROW()-10)</f>
        <v/>
      </c>
      <c r="B76" s="28" t="str">
        <f aca="false">IF(C76="","",IFERROR(INDEX('DANH MỤC'!$C$5:$C$200,MATCH(C76,'DANH MỤC'!$A$5:$A$200,0)),"⚠ Mã chưa có trong DANH MỤC"))</f>
        <v/>
      </c>
      <c r="C76" s="38"/>
      <c r="D76" s="28" t="str">
        <f aca="false">IF(C76="","",IFERROR(INDEX('DANH MỤC'!$B$5:$B$200,MATCH(C76,'DANH MỤC'!$A$5:$A$200,0)),"⚠ Mã chưa có trong DANH MỤC"))</f>
        <v/>
      </c>
      <c r="E76" s="39"/>
      <c r="F76" s="40"/>
      <c r="G76" s="32" t="str">
        <f aca="false">IF($C76="","",SUMIFS('TỒN ĐẦU KỲ'!$E$5:$E$123,'TỒN ĐẦU KỲ'!$B$5:$B$123,$C76,'TỒN ĐẦU KỲ'!$D$5:$D$123,$E76))</f>
        <v/>
      </c>
      <c r="H76" s="32" t="str">
        <f aca="false">IF($C76="","",SUMIFS('NHẬP KHO'!$E$5:$E$2004,'NHẬP KHO'!$C$5:$C$2004,$C76,'NHẬP KHO'!$D$5:$D$2004,$E76,'NHẬP KHO'!$A$5:$A$2004,"&gt;"&amp;$E$4))</f>
        <v/>
      </c>
      <c r="I76" s="32" t="str">
        <f aca="false">IF($C76="","",SUMIFS('XUẤT KHO'!$E$5:$E$2004,'XUẤT KHO'!$C$5:$C$2004,$C76,'XUẤT KHO'!$D$5:$D$2004,$E76,'XUẤT KHO'!$A$5:$A$2004,"&gt;"&amp;$E$4))</f>
        <v/>
      </c>
      <c r="J76" s="33" t="str">
        <f aca="false">IF($C76="","",G76+H76-I76)</f>
        <v/>
      </c>
      <c r="K76" s="32" t="str">
        <f aca="false">IF($C76="","",SUMIFS('XUẤT KHO'!$E$5:$E$2004,'XUẤT KHO'!$C$5:$C$2004,$C76,'XUẤT KHO'!$D$5:$D$2004,$E76,'XUẤT KHO'!$A$5:$A$2004,"&gt;"&amp;($E$3-$E$5),'XUẤT KHO'!$A$5:$A$2004,"&lt;="&amp;$E$3))</f>
        <v/>
      </c>
      <c r="L76" s="34" t="str">
        <f aca="false">IF($C76="","",K76/$E$5)</f>
        <v/>
      </c>
      <c r="M76" s="35" t="str">
        <f aca="false">IF($C76="","",IF(L76=0,"-",IF(J76&lt;=0,0,J76/L76)))</f>
        <v/>
      </c>
      <c r="N76" s="32" t="str">
        <f aca="false">IF($C76="","",IF(L76=0,0,MAX(0,ROUNDUP(L76*$E$7,0)-J76)))</f>
        <v/>
      </c>
      <c r="O76" s="32" t="str">
        <f aca="false">IF($C76="","",IF(F76="",0,MAX(J76,0)*F76))</f>
        <v/>
      </c>
      <c r="P76" s="36" t="str">
        <f aca="false">IF($C76="","",IF(J76&lt;0,"ÂM KHO – kiểm tra",IF(AND(J76=0,K76&gt;0),"HẾT HÀNG",IF(J76=0,"Hết (ít bán)",IF(K76=0,"Chậm bán",IF(M76&lt;$E$6,"SẮP HẾT","Đủ hàng"))))))</f>
        <v/>
      </c>
      <c r="Q76" s="37" t="str">
        <f aca="false">IF(OR(P76="HẾT HÀNG",P76="SẮP HẾT"),IF(ISNUMBER(M76),M76,0)+ROW()/100000,"")</f>
        <v/>
      </c>
      <c r="R76" s="37" t="str">
        <f aca="false">IF(N(K76)&gt;0,K76+ROW()/100000,"")</f>
        <v/>
      </c>
    </row>
    <row r="77" customFormat="false" ht="15" hidden="false" customHeight="false" outlineLevel="0" collapsed="false">
      <c r="A77" s="41"/>
      <c r="B77" s="42" t="s">
        <v>79</v>
      </c>
      <c r="C77" s="41"/>
      <c r="D77" s="41"/>
      <c r="E77" s="41"/>
      <c r="F77" s="41"/>
      <c r="G77" s="43" t="n">
        <f aca="false">SUM(G11:G76)</f>
        <v>2730</v>
      </c>
      <c r="H77" s="43" t="n">
        <f aca="false">SUM(H11:H76)</f>
        <v>19</v>
      </c>
      <c r="I77" s="43" t="n">
        <f aca="false">SUM(I11:I76)</f>
        <v>606</v>
      </c>
      <c r="J77" s="43" t="n">
        <f aca="false">SUM(J11:J76)</f>
        <v>2143</v>
      </c>
      <c r="K77" s="43" t="n">
        <f aca="false">SUM(K11:K76)</f>
        <v>375</v>
      </c>
      <c r="L77" s="41"/>
      <c r="M77" s="41"/>
      <c r="N77" s="41"/>
      <c r="O77" s="43" t="n">
        <f aca="false">SUM(O11:O76)</f>
        <v>6388899000</v>
      </c>
      <c r="P77" s="41"/>
    </row>
    <row r="79" customFormat="false" ht="15" hidden="false" customHeight="false" outlineLevel="0" collapsed="false">
      <c r="A79" s="2" t="s">
        <v>80</v>
      </c>
    </row>
    <row r="80" customFormat="false" ht="15" hidden="false" customHeight="false" outlineLevel="0" collapsed="false">
      <c r="A80" s="2" t="s">
        <v>81</v>
      </c>
    </row>
  </sheetData>
  <autoFilter ref="A10:P76"/>
  <mergeCells count="5">
    <mergeCell ref="A3:D3"/>
    <mergeCell ref="A4:D4"/>
    <mergeCell ref="A5:D5"/>
    <mergeCell ref="A6:D6"/>
    <mergeCell ref="A7:D7"/>
  </mergeCells>
  <conditionalFormatting sqref="P11:P76">
    <cfRule type="expression" priority="2" aboveAverage="0" equalAverage="0" bottom="0" percent="0" rank="0" text="" dxfId="0">
      <formula>LEFT(P11,3)=LEFT("HẾT HÀNG",3)</formula>
    </cfRule>
    <cfRule type="expression" priority="3" aboveAverage="0" equalAverage="0" bottom="0" percent="0" rank="0" text="" dxfId="14">
      <formula>LEFT(P11,3)=LEFT("SẮP HẾT",3)</formula>
    </cfRule>
    <cfRule type="expression" priority="4" aboveAverage="0" equalAverage="0" bottom="0" percent="0" rank="0" text="" dxfId="15">
      <formula>LEFT(P11,2)=LEFT("ÂM",2)</formula>
    </cfRule>
    <cfRule type="expression" priority="5" aboveAverage="0" equalAverage="0" bottom="0" percent="0" rank="0" text="" dxfId="16">
      <formula>LEFT(P11,3)=LEFT("Chậm bán",3)</formula>
    </cfRule>
    <cfRule type="expression" priority="6" aboveAverage="0" equalAverage="0" bottom="0" percent="0" rank="0" text="" dxfId="17">
      <formula>LEFT(P11,3)=LEFT("Hết (ít bán)",3)</formula>
    </cfRule>
    <cfRule type="expression" priority="7" aboveAverage="0" equalAverage="0" bottom="0" percent="0" rank="0" text="" dxfId="18">
      <formula>LEFT(P11,3)=LEFT("Đủ hàng",3)</formula>
    </cfRule>
  </conditionalFormatting>
  <conditionalFormatting sqref="J11:J76">
    <cfRule type="dataBar" priority="8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{53799241-E010-4771-925B-645C2A7FC469}</x14:id>
        </ext>
      </extLst>
    </cfRule>
  </conditionalFormatting>
  <dataValidations count="2">
    <dataValidation allowBlank="true" errorStyle="stop" operator="between" showDropDown="false" showErrorMessage="false" showInputMessage="false" sqref="C11:C76" type="list">
      <formula1>'DANH MỤC'!$A$5:$A$200</formula1>
      <formula2>0</formula2>
    </dataValidation>
    <dataValidation allowBlank="true" errorStyle="stop" operator="between" showDropDown="false" showErrorMessage="false" showInputMessage="false" sqref="E11:E76" type="list">
      <formula1>"1L,5L,18L,Bao"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799241-E010-4771-925B-645C2A7FC469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J11:J76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L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7" topLeftCell="E8" activePane="bottomRight" state="frozen"/>
      <selection pane="topLeft" activeCell="A1" activeCellId="0" sqref="A1"/>
      <selection pane="topRight" activeCell="E1" activeCellId="0" sqref="E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9" min="9" style="0" width="15"/>
    <col collapsed="false" customWidth="true" hidden="false" outlineLevel="0" max="10" min="10" style="0" width="12"/>
    <col collapsed="false" customWidth="true" hidden="false" outlineLevel="0" max="12" min="11" style="0" width="17"/>
  </cols>
  <sheetData>
    <row r="1" customFormat="false" ht="19.7" hidden="false" customHeight="false" outlineLevel="0" collapsed="false">
      <c r="A1" s="23" t="s">
        <v>82</v>
      </c>
    </row>
    <row r="2" customFormat="false" ht="15" hidden="false" customHeight="false" outlineLevel="0" collapsed="false">
      <c r="A2" s="2" t="s">
        <v>83</v>
      </c>
    </row>
    <row r="3" customFormat="false" ht="15" hidden="false" customHeight="false" outlineLevel="0" collapsed="false">
      <c r="A3" s="44" t="s">
        <v>84</v>
      </c>
      <c r="B3" s="45" t="n">
        <v>9</v>
      </c>
      <c r="D3" s="44" t="s">
        <v>85</v>
      </c>
      <c r="E3" s="46" t="n">
        <f aca="false">DATE($B$4,$B$3,1)</f>
        <v>46266</v>
      </c>
      <c r="G3" s="47" t="str">
        <f aca="false">IF($E$3&lt;='TỒN KHO'!$E$4,"Lưu ý: tồn đầu kỳ chốt hết ngày "&amp;TEXT('TỒN KHO'!$E$4,"dd/mm/yyyy")&amp;" nên tháng này chỉ tính phiếu sau ngày đó.","")</f>
        <v/>
      </c>
    </row>
    <row r="4" customFormat="false" ht="15" hidden="false" customHeight="false" outlineLevel="0" collapsed="false">
      <c r="A4" s="44" t="s">
        <v>86</v>
      </c>
      <c r="B4" s="45" t="n">
        <v>2026</v>
      </c>
      <c r="D4" s="44" t="s">
        <v>87</v>
      </c>
      <c r="E4" s="46" t="n">
        <f aca="false">EOMONTH(E3,0)</f>
        <v>46295</v>
      </c>
    </row>
    <row r="7" customFormat="false" ht="39.75" hidden="false" customHeight="true" outlineLevel="0" collapsed="false">
      <c r="A7" s="14" t="s">
        <v>37</v>
      </c>
      <c r="B7" s="14" t="s">
        <v>21</v>
      </c>
      <c r="C7" s="14" t="s">
        <v>8</v>
      </c>
      <c r="D7" s="14" t="s">
        <v>88</v>
      </c>
      <c r="E7" s="14" t="s">
        <v>9</v>
      </c>
      <c r="F7" s="14" t="s">
        <v>89</v>
      </c>
      <c r="G7" s="14" t="s">
        <v>90</v>
      </c>
      <c r="H7" s="14" t="s">
        <v>91</v>
      </c>
      <c r="I7" s="14" t="s">
        <v>92</v>
      </c>
      <c r="J7" s="14" t="s">
        <v>38</v>
      </c>
      <c r="K7" s="14" t="s">
        <v>93</v>
      </c>
      <c r="L7" s="14" t="s">
        <v>94</v>
      </c>
    </row>
    <row r="8" customFormat="false" ht="15" hidden="false" customHeight="false" outlineLevel="0" collapsed="false">
      <c r="A8" s="48" t="n">
        <f aca="false">IF('TỒN KHO'!$C11="","",'TỒN KHO'!A11)</f>
        <v>1</v>
      </c>
      <c r="B8" s="16" t="str">
        <f aca="false">IF('TỒN KHO'!$C11="","",'TỒN KHO'!B11)</f>
        <v>Sơn lót</v>
      </c>
      <c r="C8" s="16" t="str">
        <f aca="false">IF('TỒN KHO'!$C11="","",'TỒN KHO'!C11)</f>
        <v>PI04</v>
      </c>
      <c r="D8" s="16" t="str">
        <f aca="false">IF('TỒN KHO'!$C11="","",'TỒN KHO'!D11)</f>
        <v>Sơn lót nội thất kháng kiềm cao cấp Imperia PI04</v>
      </c>
      <c r="E8" s="48" t="str">
        <f aca="false">IF('TỒN KHO'!$C11="","",'TỒN KHO'!E11)</f>
        <v>5L</v>
      </c>
      <c r="F8" s="17" t="n">
        <f aca="false">IF($C8="","",'TỒN KHO'!G11+SUMIFS('NHẬP KHO'!$E$5:$E$2004,'NHẬP KHO'!$C$5:$C$2004,$C8,'NHẬP KHO'!$D$5:$D$2004,$E8,'NHẬP KHO'!$A$5:$A$2004,"&gt;"&amp;'TỒN KHO'!$E$4,'NHẬP KHO'!$A$5:$A$2004,"&lt;"&amp;$E$3)-SUMIFS('XUẤT KHO'!$E$5:$E$2004,'XUẤT KHO'!$C$5:$C$2004,$C8,'XUẤT KHO'!$D$5:$D$2004,$E8,'XUẤT KHO'!$A$5:$A$2004,"&gt;"&amp;'TỒN KHO'!$E$4,'XUẤT KHO'!$A$5:$A$2004,"&lt;"&amp;$E$3))</f>
        <v>2</v>
      </c>
      <c r="G8" s="17" t="n">
        <f aca="false">IF($C8="","",SUMIFS('NHẬP KHO'!$E$5:$E$2004,'NHẬP KHO'!$C$5:$C$2004,$C8,'NHẬP KHO'!$D$5:$D$2004,$E8,'NHẬP KHO'!$A$5:$A$2004,"&gt;"&amp;MAX($E$3-1,'TỒN KHO'!$E$4),'NHẬP KHO'!$A$5:$A$2004,"&lt;"&amp;EDATE($E$3,1)))</f>
        <v>0</v>
      </c>
      <c r="H8" s="17" t="n">
        <f aca="false">IF($C8="","",SUMIFS('XUẤT KHO'!$E$5:$E$2004,'XUẤT KHO'!$C$5:$C$2004,$C8,'XUẤT KHO'!$D$5:$D$2004,$E8,'XUẤT KHO'!$A$5:$A$2004,"&gt;"&amp;MAX($E$3-1,'TỒN KHO'!$E$4),'XUẤT KHO'!$A$5:$A$2004,"&lt;"&amp;EDATE($E$3,1)))</f>
        <v>0</v>
      </c>
      <c r="I8" s="49" t="n">
        <f aca="false">IF($C8="","",F8+G8-H8)</f>
        <v>2</v>
      </c>
      <c r="J8" s="17" t="n">
        <f aca="false">IF($C8="","",IF('TỒN KHO'!F11="","",'TỒN KHO'!F11))</f>
        <v>999000</v>
      </c>
      <c r="K8" s="17" t="n">
        <f aca="false">IF($C8="","",IF(J8="",0,MAX(I8,0)*J8))</f>
        <v>1998000</v>
      </c>
      <c r="L8" s="17" t="n">
        <f aca="false">IF($C8="","",SUMIFS('XUẤT KHO'!$H$5:$H$2004,'XUẤT KHO'!$C$5:$C$2004,$C8,'XUẤT KHO'!$D$5:$D$2004,$E8,'XUẤT KHO'!$A$5:$A$2004,"&gt;="&amp;$E$3,'XUẤT KHO'!$A$5:$A$2004,"&lt;"&amp;EDATE($E$3,1)))</f>
        <v>0</v>
      </c>
    </row>
    <row r="9" customFormat="false" ht="15" hidden="false" customHeight="false" outlineLevel="0" collapsed="false">
      <c r="A9" s="48" t="n">
        <f aca="false">IF('TỒN KHO'!$C12="","",'TỒN KHO'!A12)</f>
        <v>2</v>
      </c>
      <c r="B9" s="16" t="str">
        <f aca="false">IF('TỒN KHO'!$C12="","",'TỒN KHO'!B12)</f>
        <v>Sơn lót</v>
      </c>
      <c r="C9" s="16" t="str">
        <f aca="false">IF('TỒN KHO'!$C12="","",'TỒN KHO'!C12)</f>
        <v>PI04</v>
      </c>
      <c r="D9" s="16" t="str">
        <f aca="false">IF('TỒN KHO'!$C12="","",'TỒN KHO'!D12)</f>
        <v>Sơn lót nội thất kháng kiềm cao cấp Imperia PI04</v>
      </c>
      <c r="E9" s="48" t="str">
        <f aca="false">IF('TỒN KHO'!$C12="","",'TỒN KHO'!E12)</f>
        <v>18L</v>
      </c>
      <c r="F9" s="17" t="n">
        <f aca="false">IF($C9="","",'TỒN KHO'!G12+SUMIFS('NHẬP KHO'!$E$5:$E$2004,'NHẬP KHO'!$C$5:$C$2004,$C9,'NHẬP KHO'!$D$5:$D$2004,$E9,'NHẬP KHO'!$A$5:$A$2004,"&gt;"&amp;'TỒN KHO'!$E$4,'NHẬP KHO'!$A$5:$A$2004,"&lt;"&amp;$E$3)-SUMIFS('XUẤT KHO'!$E$5:$E$2004,'XUẤT KHO'!$C$5:$C$2004,$C9,'XUẤT KHO'!$D$5:$D$2004,$E9,'XUẤT KHO'!$A$5:$A$2004,"&gt;"&amp;'TỒN KHO'!$E$4,'XUẤT KHO'!$A$5:$A$2004,"&lt;"&amp;$E$3))</f>
        <v>129</v>
      </c>
      <c r="G9" s="17" t="n">
        <f aca="false">IF($C9="","",SUMIFS('NHẬP KHO'!$E$5:$E$2004,'NHẬP KHO'!$C$5:$C$2004,$C9,'NHẬP KHO'!$D$5:$D$2004,$E9,'NHẬP KHO'!$A$5:$A$2004,"&gt;"&amp;MAX($E$3-1,'TỒN KHO'!$E$4),'NHẬP KHO'!$A$5:$A$2004,"&lt;"&amp;EDATE($E$3,1)))</f>
        <v>0</v>
      </c>
      <c r="H9" s="17" t="n">
        <f aca="false">IF($C9="","",SUMIFS('XUẤT KHO'!$E$5:$E$2004,'XUẤT KHO'!$C$5:$C$2004,$C9,'XUẤT KHO'!$D$5:$D$2004,$E9,'XUẤT KHO'!$A$5:$A$2004,"&gt;"&amp;MAX($E$3-1,'TỒN KHO'!$E$4),'XUẤT KHO'!$A$5:$A$2004,"&lt;"&amp;EDATE($E$3,1)))</f>
        <v>12</v>
      </c>
      <c r="I9" s="49" t="n">
        <f aca="false">IF($C9="","",F9+G9-H9)</f>
        <v>117</v>
      </c>
      <c r="J9" s="17" t="n">
        <f aca="false">IF($C9="","",IF('TỒN KHO'!F12="","",'TỒN KHO'!F12))</f>
        <v>3012000</v>
      </c>
      <c r="K9" s="17" t="n">
        <f aca="false">IF($C9="","",IF(J9="",0,MAX(I9,0)*J9))</f>
        <v>352404000</v>
      </c>
      <c r="L9" s="17" t="n">
        <f aca="false">IF($C9="","",SUMIFS('XUẤT KHO'!$H$5:$H$2004,'XUẤT KHO'!$C$5:$C$2004,$C9,'XUẤT KHO'!$D$5:$D$2004,$E9,'XUẤT KHO'!$A$5:$A$2004,"&gt;="&amp;$E$3,'XUẤT KHO'!$A$5:$A$2004,"&lt;"&amp;EDATE($E$3,1)))</f>
        <v>33132000</v>
      </c>
    </row>
    <row r="10" customFormat="false" ht="15" hidden="false" customHeight="false" outlineLevel="0" collapsed="false">
      <c r="A10" s="48" t="n">
        <f aca="false">IF('TỒN KHO'!$C13="","",'TỒN KHO'!A13)</f>
        <v>3</v>
      </c>
      <c r="B10" s="16" t="str">
        <f aca="false">IF('TỒN KHO'!$C13="","",'TỒN KHO'!B13)</f>
        <v>Sơn lót</v>
      </c>
      <c r="C10" s="16" t="str">
        <f aca="false">IF('TỒN KHO'!$C13="","",'TỒN KHO'!C13)</f>
        <v>PE02</v>
      </c>
      <c r="D10" s="16" t="str">
        <f aca="false">IF('TỒN KHO'!$C13="","",'TỒN KHO'!D13)</f>
        <v>Sơn lót ngoại thất kháng kiềm cao cấp Imperia PE02</v>
      </c>
      <c r="E10" s="48" t="str">
        <f aca="false">IF('TỒN KHO'!$C13="","",'TỒN KHO'!E13)</f>
        <v>5L</v>
      </c>
      <c r="F10" s="17" t="n">
        <f aca="false">IF($C10="","",'TỒN KHO'!G13+SUMIFS('NHẬP KHO'!$E$5:$E$2004,'NHẬP KHO'!$C$5:$C$2004,$C10,'NHẬP KHO'!$D$5:$D$2004,$E10,'NHẬP KHO'!$A$5:$A$2004,"&gt;"&amp;'TỒN KHO'!$E$4,'NHẬP KHO'!$A$5:$A$2004,"&lt;"&amp;$E$3)-SUMIFS('XUẤT KHO'!$E$5:$E$2004,'XUẤT KHO'!$C$5:$C$2004,$C10,'XUẤT KHO'!$D$5:$D$2004,$E10,'XUẤT KHO'!$A$5:$A$2004,"&gt;"&amp;'TỒN KHO'!$E$4,'XUẤT KHO'!$A$5:$A$2004,"&lt;"&amp;$E$3))</f>
        <v>-1</v>
      </c>
      <c r="G10" s="17" t="n">
        <f aca="false">IF($C10="","",SUMIFS('NHẬP KHO'!$E$5:$E$2004,'NHẬP KHO'!$C$5:$C$2004,$C10,'NHẬP KHO'!$D$5:$D$2004,$E10,'NHẬP KHO'!$A$5:$A$2004,"&gt;"&amp;MAX($E$3-1,'TỒN KHO'!$E$4),'NHẬP KHO'!$A$5:$A$2004,"&lt;"&amp;EDATE($E$3,1)))</f>
        <v>0</v>
      </c>
      <c r="H10" s="17" t="n">
        <f aca="false">IF($C10="","",SUMIFS('XUẤT KHO'!$E$5:$E$2004,'XUẤT KHO'!$C$5:$C$2004,$C10,'XUẤT KHO'!$D$5:$D$2004,$E10,'XUẤT KHO'!$A$5:$A$2004,"&gt;"&amp;MAX($E$3-1,'TỒN KHO'!$E$4),'XUẤT KHO'!$A$5:$A$2004,"&lt;"&amp;EDATE($E$3,1)))</f>
        <v>3</v>
      </c>
      <c r="I10" s="49" t="n">
        <f aca="false">IF($C10="","",F10+G10-H10)</f>
        <v>-4</v>
      </c>
      <c r="J10" s="17" t="n">
        <f aca="false">IF($C10="","",IF('TỒN KHO'!F13="","",'TỒN KHO'!F13))</f>
        <v>1419000</v>
      </c>
      <c r="K10" s="17" t="n">
        <f aca="false">IF($C10="","",IF(J10="",0,MAX(I10,0)*J10))</f>
        <v>0</v>
      </c>
      <c r="L10" s="17" t="n">
        <f aca="false">IF($C10="","",SUMIFS('XUẤT KHO'!$H$5:$H$2004,'XUẤT KHO'!$C$5:$C$2004,$C10,'XUẤT KHO'!$D$5:$D$2004,$E10,'XUẤT KHO'!$A$5:$A$2004,"&gt;="&amp;$E$3,'XUẤT KHO'!$A$5:$A$2004,"&lt;"&amp;EDATE($E$3,1)))</f>
        <v>4257000</v>
      </c>
    </row>
    <row r="11" customFormat="false" ht="15" hidden="false" customHeight="false" outlineLevel="0" collapsed="false">
      <c r="A11" s="48" t="n">
        <f aca="false">IF('TỒN KHO'!$C14="","",'TỒN KHO'!A14)</f>
        <v>4</v>
      </c>
      <c r="B11" s="16" t="str">
        <f aca="false">IF('TỒN KHO'!$C14="","",'TỒN KHO'!B14)</f>
        <v>Sơn lót</v>
      </c>
      <c r="C11" s="16" t="str">
        <f aca="false">IF('TỒN KHO'!$C14="","",'TỒN KHO'!C14)</f>
        <v>PE02</v>
      </c>
      <c r="D11" s="16" t="str">
        <f aca="false">IF('TỒN KHO'!$C14="","",'TỒN KHO'!D14)</f>
        <v>Sơn lót ngoại thất kháng kiềm cao cấp Imperia PE02</v>
      </c>
      <c r="E11" s="48" t="str">
        <f aca="false">IF('TỒN KHO'!$C14="","",'TỒN KHO'!E14)</f>
        <v>18L</v>
      </c>
      <c r="F11" s="17" t="n">
        <f aca="false">IF($C11="","",'TỒN KHO'!G14+SUMIFS('NHẬP KHO'!$E$5:$E$2004,'NHẬP KHO'!$C$5:$C$2004,$C11,'NHẬP KHO'!$D$5:$D$2004,$E11,'NHẬP KHO'!$A$5:$A$2004,"&gt;"&amp;'TỒN KHO'!$E$4,'NHẬP KHO'!$A$5:$A$2004,"&lt;"&amp;$E$3)-SUMIFS('XUẤT KHO'!$E$5:$E$2004,'XUẤT KHO'!$C$5:$C$2004,$C11,'XUẤT KHO'!$D$5:$D$2004,$E11,'XUẤT KHO'!$A$5:$A$2004,"&gt;"&amp;'TỒN KHO'!$E$4,'XUẤT KHO'!$A$5:$A$2004,"&lt;"&amp;$E$3))</f>
        <v>229</v>
      </c>
      <c r="G11" s="17" t="n">
        <f aca="false">IF($C11="","",SUMIFS('NHẬP KHO'!$E$5:$E$2004,'NHẬP KHO'!$C$5:$C$2004,$C11,'NHẬP KHO'!$D$5:$D$2004,$E11,'NHẬP KHO'!$A$5:$A$2004,"&gt;"&amp;MAX($E$3-1,'TỒN KHO'!$E$4),'NHẬP KHO'!$A$5:$A$2004,"&lt;"&amp;EDATE($E$3,1)))</f>
        <v>0</v>
      </c>
      <c r="H11" s="17" t="n">
        <f aca="false">IF($C11="","",SUMIFS('XUẤT KHO'!$E$5:$E$2004,'XUẤT KHO'!$C$5:$C$2004,$C11,'XUẤT KHO'!$D$5:$D$2004,$E11,'XUẤT KHO'!$A$5:$A$2004,"&gt;"&amp;MAX($E$3-1,'TỒN KHO'!$E$4),'XUẤT KHO'!$A$5:$A$2004,"&lt;"&amp;EDATE($E$3,1)))</f>
        <v>4</v>
      </c>
      <c r="I11" s="49" t="n">
        <f aca="false">IF($C11="","",F11+G11-H11)</f>
        <v>225</v>
      </c>
      <c r="J11" s="17" t="n">
        <f aca="false">IF($C11="","",IF('TỒN KHO'!F14="","",'TỒN KHO'!F14))</f>
        <v>4106000</v>
      </c>
      <c r="K11" s="17" t="n">
        <f aca="false">IF($C11="","",IF(J11="",0,MAX(I11,0)*J11))</f>
        <v>923850000</v>
      </c>
      <c r="L11" s="17" t="n">
        <f aca="false">IF($C11="","",SUMIFS('XUẤT KHO'!$H$5:$H$2004,'XUẤT KHO'!$C$5:$C$2004,$C11,'XUẤT KHO'!$D$5:$D$2004,$E11,'XUẤT KHO'!$A$5:$A$2004,"&gt;="&amp;$E$3,'XUẤT KHO'!$A$5:$A$2004,"&lt;"&amp;EDATE($E$3,1)))</f>
        <v>16424000</v>
      </c>
    </row>
    <row r="12" customFormat="false" ht="15" hidden="false" customHeight="false" outlineLevel="0" collapsed="false">
      <c r="A12" s="48" t="n">
        <f aca="false">IF('TỒN KHO'!$C15="","",'TỒN KHO'!A15)</f>
        <v>5</v>
      </c>
      <c r="B12" s="16" t="str">
        <f aca="false">IF('TỒN KHO'!$C15="","",'TỒN KHO'!B15)</f>
        <v>Sơn lót</v>
      </c>
      <c r="C12" s="16" t="str">
        <f aca="false">IF('TỒN KHO'!$C15="","",'TỒN KHO'!C15)</f>
        <v>SPI03</v>
      </c>
      <c r="D12" s="16" t="str">
        <f aca="false">IF('TỒN KHO'!$C15="","",'TỒN KHO'!D15)</f>
        <v>Sơn lót nội thất kháng kiềm siêu cao cấp SPI03</v>
      </c>
      <c r="E12" s="48" t="str">
        <f aca="false">IF('TỒN KHO'!$C15="","",'TỒN KHO'!E15)</f>
        <v>5L</v>
      </c>
      <c r="F12" s="17" t="n">
        <f aca="false">IF($C12="","",'TỒN KHO'!G15+SUMIFS('NHẬP KHO'!$E$5:$E$2004,'NHẬP KHO'!$C$5:$C$2004,$C12,'NHẬP KHO'!$D$5:$D$2004,$E12,'NHẬP KHO'!$A$5:$A$2004,"&gt;"&amp;'TỒN KHO'!$E$4,'NHẬP KHO'!$A$5:$A$2004,"&lt;"&amp;$E$3)-SUMIFS('XUẤT KHO'!$E$5:$E$2004,'XUẤT KHO'!$C$5:$C$2004,$C12,'XUẤT KHO'!$D$5:$D$2004,$E12,'XUẤT KHO'!$A$5:$A$2004,"&gt;"&amp;'TỒN KHO'!$E$4,'XUẤT KHO'!$A$5:$A$2004,"&lt;"&amp;$E$3))</f>
        <v>7</v>
      </c>
      <c r="G12" s="17" t="n">
        <f aca="false">IF($C12="","",SUMIFS('NHẬP KHO'!$E$5:$E$2004,'NHẬP KHO'!$C$5:$C$2004,$C12,'NHẬP KHO'!$D$5:$D$2004,$E12,'NHẬP KHO'!$A$5:$A$2004,"&gt;"&amp;MAX($E$3-1,'TỒN KHO'!$E$4),'NHẬP KHO'!$A$5:$A$2004,"&lt;"&amp;EDATE($E$3,1)))</f>
        <v>0</v>
      </c>
      <c r="H12" s="17" t="n">
        <f aca="false">IF($C12="","",SUMIFS('XUẤT KHO'!$E$5:$E$2004,'XUẤT KHO'!$C$5:$C$2004,$C12,'XUẤT KHO'!$D$5:$D$2004,$E12,'XUẤT KHO'!$A$5:$A$2004,"&gt;"&amp;MAX($E$3-1,'TỒN KHO'!$E$4),'XUẤT KHO'!$A$5:$A$2004,"&lt;"&amp;EDATE($E$3,1)))</f>
        <v>0</v>
      </c>
      <c r="I12" s="49" t="n">
        <f aca="false">IF($C12="","",F12+G12-H12)</f>
        <v>7</v>
      </c>
      <c r="J12" s="17" t="n">
        <f aca="false">IF($C12="","",IF('TỒN KHO'!F15="","",'TỒN KHO'!F15))</f>
        <v>1181000</v>
      </c>
      <c r="K12" s="17" t="n">
        <f aca="false">IF($C12="","",IF(J12="",0,MAX(I12,0)*J12))</f>
        <v>8267000</v>
      </c>
      <c r="L12" s="17" t="n">
        <f aca="false">IF($C12="","",SUMIFS('XUẤT KHO'!$H$5:$H$2004,'XUẤT KHO'!$C$5:$C$2004,$C12,'XUẤT KHO'!$D$5:$D$2004,$E12,'XUẤT KHO'!$A$5:$A$2004,"&gt;="&amp;$E$3,'XUẤT KHO'!$A$5:$A$2004,"&lt;"&amp;EDATE($E$3,1)))</f>
        <v>0</v>
      </c>
    </row>
    <row r="13" customFormat="false" ht="15" hidden="false" customHeight="false" outlineLevel="0" collapsed="false">
      <c r="A13" s="48" t="n">
        <f aca="false">IF('TỒN KHO'!$C16="","",'TỒN KHO'!A16)</f>
        <v>6</v>
      </c>
      <c r="B13" s="16" t="str">
        <f aca="false">IF('TỒN KHO'!$C16="","",'TỒN KHO'!B16)</f>
        <v>Sơn lót</v>
      </c>
      <c r="C13" s="16" t="str">
        <f aca="false">IF('TỒN KHO'!$C16="","",'TỒN KHO'!C16)</f>
        <v>SPI03</v>
      </c>
      <c r="D13" s="16" t="str">
        <f aca="false">IF('TỒN KHO'!$C16="","",'TỒN KHO'!D16)</f>
        <v>Sơn lót nội thất kháng kiềm siêu cao cấp SPI03</v>
      </c>
      <c r="E13" s="48" t="str">
        <f aca="false">IF('TỒN KHO'!$C16="","",'TỒN KHO'!E16)</f>
        <v>18L</v>
      </c>
      <c r="F13" s="17" t="n">
        <f aca="false">IF($C13="","",'TỒN KHO'!G16+SUMIFS('NHẬP KHO'!$E$5:$E$2004,'NHẬP KHO'!$C$5:$C$2004,$C13,'NHẬP KHO'!$D$5:$D$2004,$E13,'NHẬP KHO'!$A$5:$A$2004,"&gt;"&amp;'TỒN KHO'!$E$4,'NHẬP KHO'!$A$5:$A$2004,"&lt;"&amp;$E$3)-SUMIFS('XUẤT KHO'!$E$5:$E$2004,'XUẤT KHO'!$C$5:$C$2004,$C13,'XUẤT KHO'!$D$5:$D$2004,$E13,'XUẤT KHO'!$A$5:$A$2004,"&gt;"&amp;'TỒN KHO'!$E$4,'XUẤT KHO'!$A$5:$A$2004,"&lt;"&amp;$E$3))</f>
        <v>25</v>
      </c>
      <c r="G13" s="17" t="n">
        <f aca="false">IF($C13="","",SUMIFS('NHẬP KHO'!$E$5:$E$2004,'NHẬP KHO'!$C$5:$C$2004,$C13,'NHẬP KHO'!$D$5:$D$2004,$E13,'NHẬP KHO'!$A$5:$A$2004,"&gt;"&amp;MAX($E$3-1,'TỒN KHO'!$E$4),'NHẬP KHO'!$A$5:$A$2004,"&lt;"&amp;EDATE($E$3,1)))</f>
        <v>0</v>
      </c>
      <c r="H13" s="17" t="n">
        <f aca="false">IF($C13="","",SUMIFS('XUẤT KHO'!$E$5:$E$2004,'XUẤT KHO'!$C$5:$C$2004,$C13,'XUẤT KHO'!$D$5:$D$2004,$E13,'XUẤT KHO'!$A$5:$A$2004,"&gt;"&amp;MAX($E$3-1,'TỒN KHO'!$E$4),'XUẤT KHO'!$A$5:$A$2004,"&lt;"&amp;EDATE($E$3,1)))</f>
        <v>0</v>
      </c>
      <c r="I13" s="49" t="n">
        <f aca="false">IF($C13="","",F13+G13-H13)</f>
        <v>25</v>
      </c>
      <c r="J13" s="17" t="n">
        <f aca="false">IF($C13="","",IF('TỒN KHO'!F16="","",'TỒN KHO'!F16))</f>
        <v>3596000</v>
      </c>
      <c r="K13" s="17" t="n">
        <f aca="false">IF($C13="","",IF(J13="",0,MAX(I13,0)*J13))</f>
        <v>89900000</v>
      </c>
      <c r="L13" s="17" t="n">
        <f aca="false">IF($C13="","",SUMIFS('XUẤT KHO'!$H$5:$H$2004,'XUẤT KHO'!$C$5:$C$2004,$C13,'XUẤT KHO'!$D$5:$D$2004,$E13,'XUẤT KHO'!$A$5:$A$2004,"&gt;="&amp;$E$3,'XUẤT KHO'!$A$5:$A$2004,"&lt;"&amp;EDATE($E$3,1)))</f>
        <v>0</v>
      </c>
    </row>
    <row r="14" customFormat="false" ht="15" hidden="false" customHeight="false" outlineLevel="0" collapsed="false">
      <c r="A14" s="48" t="n">
        <f aca="false">IF('TỒN KHO'!$C17="","",'TỒN KHO'!A17)</f>
        <v>7</v>
      </c>
      <c r="B14" s="16" t="str">
        <f aca="false">IF('TỒN KHO'!$C17="","",'TỒN KHO'!B17)</f>
        <v>Sơn lót</v>
      </c>
      <c r="C14" s="16" t="str">
        <f aca="false">IF('TỒN KHO'!$C17="","",'TỒN KHO'!C17)</f>
        <v>SPE01</v>
      </c>
      <c r="D14" s="16" t="str">
        <f aca="false">IF('TỒN KHO'!$C17="","",'TỒN KHO'!D17)</f>
        <v>Sơn lót ngoại thất kháng kiềm siêu cao cấp SPE01</v>
      </c>
      <c r="E14" s="48" t="str">
        <f aca="false">IF('TỒN KHO'!$C17="","",'TỒN KHO'!E17)</f>
        <v>5L</v>
      </c>
      <c r="F14" s="17" t="n">
        <f aca="false">IF($C14="","",'TỒN KHO'!G17+SUMIFS('NHẬP KHO'!$E$5:$E$2004,'NHẬP KHO'!$C$5:$C$2004,$C14,'NHẬP KHO'!$D$5:$D$2004,$E14,'NHẬP KHO'!$A$5:$A$2004,"&gt;"&amp;'TỒN KHO'!$E$4,'NHẬP KHO'!$A$5:$A$2004,"&lt;"&amp;$E$3)-SUMIFS('XUẤT KHO'!$E$5:$E$2004,'XUẤT KHO'!$C$5:$C$2004,$C14,'XUẤT KHO'!$D$5:$D$2004,$E14,'XUẤT KHO'!$A$5:$A$2004,"&gt;"&amp;'TỒN KHO'!$E$4,'XUẤT KHO'!$A$5:$A$2004,"&lt;"&amp;$E$3))</f>
        <v>4</v>
      </c>
      <c r="G14" s="17" t="n">
        <f aca="false">IF($C14="","",SUMIFS('NHẬP KHO'!$E$5:$E$2004,'NHẬP KHO'!$C$5:$C$2004,$C14,'NHẬP KHO'!$D$5:$D$2004,$E14,'NHẬP KHO'!$A$5:$A$2004,"&gt;"&amp;MAX($E$3-1,'TỒN KHO'!$E$4),'NHẬP KHO'!$A$5:$A$2004,"&lt;"&amp;EDATE($E$3,1)))</f>
        <v>0</v>
      </c>
      <c r="H14" s="17" t="n">
        <f aca="false">IF($C14="","",SUMIFS('XUẤT KHO'!$E$5:$E$2004,'XUẤT KHO'!$C$5:$C$2004,$C14,'XUẤT KHO'!$D$5:$D$2004,$E14,'XUẤT KHO'!$A$5:$A$2004,"&gt;"&amp;MAX($E$3-1,'TỒN KHO'!$E$4),'XUẤT KHO'!$A$5:$A$2004,"&lt;"&amp;EDATE($E$3,1)))</f>
        <v>0</v>
      </c>
      <c r="I14" s="49" t="n">
        <f aca="false">IF($C14="","",F14+G14-H14)</f>
        <v>4</v>
      </c>
      <c r="J14" s="17" t="n">
        <f aca="false">IF($C14="","",IF('TỒN KHO'!F17="","",'TỒN KHO'!F17))</f>
        <v>1555000</v>
      </c>
      <c r="K14" s="17" t="n">
        <f aca="false">IF($C14="","",IF(J14="",0,MAX(I14,0)*J14))</f>
        <v>6220000</v>
      </c>
      <c r="L14" s="17" t="n">
        <f aca="false">IF($C14="","",SUMIFS('XUẤT KHO'!$H$5:$H$2004,'XUẤT KHO'!$C$5:$C$2004,$C14,'XUẤT KHO'!$D$5:$D$2004,$E14,'XUẤT KHO'!$A$5:$A$2004,"&gt;="&amp;$E$3,'XUẤT KHO'!$A$5:$A$2004,"&lt;"&amp;EDATE($E$3,1)))</f>
        <v>0</v>
      </c>
    </row>
    <row r="15" customFormat="false" ht="15" hidden="false" customHeight="false" outlineLevel="0" collapsed="false">
      <c r="A15" s="48" t="n">
        <f aca="false">IF('TỒN KHO'!$C18="","",'TỒN KHO'!A18)</f>
        <v>8</v>
      </c>
      <c r="B15" s="16" t="str">
        <f aca="false">IF('TỒN KHO'!$C18="","",'TỒN KHO'!B18)</f>
        <v>Sơn lót</v>
      </c>
      <c r="C15" s="16" t="str">
        <f aca="false">IF('TỒN KHO'!$C18="","",'TỒN KHO'!C18)</f>
        <v>SPE01</v>
      </c>
      <c r="D15" s="16" t="str">
        <f aca="false">IF('TỒN KHO'!$C18="","",'TỒN KHO'!D18)</f>
        <v>Sơn lót ngoại thất kháng kiềm siêu cao cấp SPE01</v>
      </c>
      <c r="E15" s="48" t="str">
        <f aca="false">IF('TỒN KHO'!$C18="","",'TỒN KHO'!E18)</f>
        <v>18L</v>
      </c>
      <c r="F15" s="17" t="n">
        <f aca="false">IF($C15="","",'TỒN KHO'!G18+SUMIFS('NHẬP KHO'!$E$5:$E$2004,'NHẬP KHO'!$C$5:$C$2004,$C15,'NHẬP KHO'!$D$5:$D$2004,$E15,'NHẬP KHO'!$A$5:$A$2004,"&gt;"&amp;'TỒN KHO'!$E$4,'NHẬP KHO'!$A$5:$A$2004,"&lt;"&amp;$E$3)-SUMIFS('XUẤT KHO'!$E$5:$E$2004,'XUẤT KHO'!$C$5:$C$2004,$C15,'XUẤT KHO'!$D$5:$D$2004,$E15,'XUẤT KHO'!$A$5:$A$2004,"&gt;"&amp;'TỒN KHO'!$E$4,'XUẤT KHO'!$A$5:$A$2004,"&lt;"&amp;$E$3))</f>
        <v>14</v>
      </c>
      <c r="G15" s="17" t="n">
        <f aca="false">IF($C15="","",SUMIFS('NHẬP KHO'!$E$5:$E$2004,'NHẬP KHO'!$C$5:$C$2004,$C15,'NHẬP KHO'!$D$5:$D$2004,$E15,'NHẬP KHO'!$A$5:$A$2004,"&gt;"&amp;MAX($E$3-1,'TỒN KHO'!$E$4),'NHẬP KHO'!$A$5:$A$2004,"&lt;"&amp;EDATE($E$3,1)))</f>
        <v>0</v>
      </c>
      <c r="H15" s="17" t="n">
        <f aca="false">IF($C15="","",SUMIFS('XUẤT KHO'!$E$5:$E$2004,'XUẤT KHO'!$C$5:$C$2004,$C15,'XUẤT KHO'!$D$5:$D$2004,$E15,'XUẤT KHO'!$A$5:$A$2004,"&gt;"&amp;MAX($E$3-1,'TỒN KHO'!$E$4),'XUẤT KHO'!$A$5:$A$2004,"&lt;"&amp;EDATE($E$3,1)))</f>
        <v>0</v>
      </c>
      <c r="I15" s="49" t="n">
        <f aca="false">IF($C15="","",F15+G15-H15)</f>
        <v>14</v>
      </c>
      <c r="J15" s="17" t="n">
        <f aca="false">IF($C15="","",IF('TỒN KHO'!F18="","",'TỒN KHO'!F18))</f>
        <v>4725000</v>
      </c>
      <c r="K15" s="17" t="n">
        <f aca="false">IF($C15="","",IF(J15="",0,MAX(I15,0)*J15))</f>
        <v>66150000</v>
      </c>
      <c r="L15" s="17" t="n">
        <f aca="false">IF($C15="","",SUMIFS('XUẤT KHO'!$H$5:$H$2004,'XUẤT KHO'!$C$5:$C$2004,$C15,'XUẤT KHO'!$D$5:$D$2004,$E15,'XUẤT KHO'!$A$5:$A$2004,"&gt;="&amp;$E$3,'XUẤT KHO'!$A$5:$A$2004,"&lt;"&amp;EDATE($E$3,1)))</f>
        <v>0</v>
      </c>
    </row>
    <row r="16" customFormat="false" ht="15" hidden="false" customHeight="false" outlineLevel="0" collapsed="false">
      <c r="A16" s="48" t="n">
        <f aca="false">IF('TỒN KHO'!$C19="","",'TỒN KHO'!A19)</f>
        <v>9</v>
      </c>
      <c r="B16" s="16" t="str">
        <f aca="false">IF('TỒN KHO'!$C19="","",'TỒN KHO'!B19)</f>
        <v>Sơn lót</v>
      </c>
      <c r="C16" s="16" t="str">
        <f aca="false">IF('TỒN KHO'!$C19="","",'TỒN KHO'!C19)</f>
        <v>IL5</v>
      </c>
      <c r="D16" s="16" t="str">
        <f aca="false">IF('TỒN KHO'!$C19="","",'TỒN KHO'!D19)</f>
        <v>Sơn lót nội thất kháng kiềm Silver IL5</v>
      </c>
      <c r="E16" s="48" t="str">
        <f aca="false">IF('TỒN KHO'!$C19="","",'TỒN KHO'!E19)</f>
        <v>5L</v>
      </c>
      <c r="F16" s="17" t="n">
        <f aca="false">IF($C16="","",'TỒN KHO'!G19+SUMIFS('NHẬP KHO'!$E$5:$E$2004,'NHẬP KHO'!$C$5:$C$2004,$C16,'NHẬP KHO'!$D$5:$D$2004,$E16,'NHẬP KHO'!$A$5:$A$2004,"&gt;"&amp;'TỒN KHO'!$E$4,'NHẬP KHO'!$A$5:$A$2004,"&lt;"&amp;$E$3)-SUMIFS('XUẤT KHO'!$E$5:$E$2004,'XUẤT KHO'!$C$5:$C$2004,$C16,'XUẤT KHO'!$D$5:$D$2004,$E16,'XUẤT KHO'!$A$5:$A$2004,"&gt;"&amp;'TỒN KHO'!$E$4,'XUẤT KHO'!$A$5:$A$2004,"&lt;"&amp;$E$3))</f>
        <v>20</v>
      </c>
      <c r="G16" s="17" t="n">
        <f aca="false">IF($C16="","",SUMIFS('NHẬP KHO'!$E$5:$E$2004,'NHẬP KHO'!$C$5:$C$2004,$C16,'NHẬP KHO'!$D$5:$D$2004,$E16,'NHẬP KHO'!$A$5:$A$2004,"&gt;"&amp;MAX($E$3-1,'TỒN KHO'!$E$4),'NHẬP KHO'!$A$5:$A$2004,"&lt;"&amp;EDATE($E$3,1)))</f>
        <v>0</v>
      </c>
      <c r="H16" s="17" t="n">
        <f aca="false">IF($C16="","",SUMIFS('XUẤT KHO'!$E$5:$E$2004,'XUẤT KHO'!$C$5:$C$2004,$C16,'XUẤT KHO'!$D$5:$D$2004,$E16,'XUẤT KHO'!$A$5:$A$2004,"&gt;"&amp;MAX($E$3-1,'TỒN KHO'!$E$4),'XUẤT KHO'!$A$5:$A$2004,"&lt;"&amp;EDATE($E$3,1)))</f>
        <v>0</v>
      </c>
      <c r="I16" s="49" t="n">
        <f aca="false">IF($C16="","",F16+G16-H16)</f>
        <v>20</v>
      </c>
      <c r="J16" s="17" t="n">
        <f aca="false">IF($C16="","",IF('TỒN KHO'!F19="","",'TỒN KHO'!F19))</f>
        <v>767000</v>
      </c>
      <c r="K16" s="17" t="n">
        <f aca="false">IF($C16="","",IF(J16="",0,MAX(I16,0)*J16))</f>
        <v>15340000</v>
      </c>
      <c r="L16" s="17" t="n">
        <f aca="false">IF($C16="","",SUMIFS('XUẤT KHO'!$H$5:$H$2004,'XUẤT KHO'!$C$5:$C$2004,$C16,'XUẤT KHO'!$D$5:$D$2004,$E16,'XUẤT KHO'!$A$5:$A$2004,"&gt;="&amp;$E$3,'XUẤT KHO'!$A$5:$A$2004,"&lt;"&amp;EDATE($E$3,1)))</f>
        <v>0</v>
      </c>
    </row>
    <row r="17" customFormat="false" ht="15" hidden="false" customHeight="false" outlineLevel="0" collapsed="false">
      <c r="A17" s="48" t="n">
        <f aca="false">IF('TỒN KHO'!$C20="","",'TỒN KHO'!A20)</f>
        <v>10</v>
      </c>
      <c r="B17" s="16" t="str">
        <f aca="false">IF('TỒN KHO'!$C20="","",'TỒN KHO'!B20)</f>
        <v>Sơn lót</v>
      </c>
      <c r="C17" s="16" t="str">
        <f aca="false">IF('TỒN KHO'!$C20="","",'TỒN KHO'!C20)</f>
        <v>IL5</v>
      </c>
      <c r="D17" s="16" t="str">
        <f aca="false">IF('TỒN KHO'!$C20="","",'TỒN KHO'!D20)</f>
        <v>Sơn lót nội thất kháng kiềm Silver IL5</v>
      </c>
      <c r="E17" s="48" t="str">
        <f aca="false">IF('TỒN KHO'!$C20="","",'TỒN KHO'!E20)</f>
        <v>18L</v>
      </c>
      <c r="F17" s="17" t="n">
        <f aca="false">IF($C17="","",'TỒN KHO'!G20+SUMIFS('NHẬP KHO'!$E$5:$E$2004,'NHẬP KHO'!$C$5:$C$2004,$C17,'NHẬP KHO'!$D$5:$D$2004,$E17,'NHẬP KHO'!$A$5:$A$2004,"&gt;"&amp;'TỒN KHO'!$E$4,'NHẬP KHO'!$A$5:$A$2004,"&lt;"&amp;$E$3)-SUMIFS('XUẤT KHO'!$E$5:$E$2004,'XUẤT KHO'!$C$5:$C$2004,$C17,'XUẤT KHO'!$D$5:$D$2004,$E17,'XUẤT KHO'!$A$5:$A$2004,"&gt;"&amp;'TỒN KHO'!$E$4,'XUẤT KHO'!$A$5:$A$2004,"&lt;"&amp;$E$3))</f>
        <v>70</v>
      </c>
      <c r="G17" s="17" t="n">
        <f aca="false">IF($C17="","",SUMIFS('NHẬP KHO'!$E$5:$E$2004,'NHẬP KHO'!$C$5:$C$2004,$C17,'NHẬP KHO'!$D$5:$D$2004,$E17,'NHẬP KHO'!$A$5:$A$2004,"&gt;"&amp;MAX($E$3-1,'TỒN KHO'!$E$4),'NHẬP KHO'!$A$5:$A$2004,"&lt;"&amp;EDATE($E$3,1)))</f>
        <v>0</v>
      </c>
      <c r="H17" s="17" t="n">
        <f aca="false">IF($C17="","",SUMIFS('XUẤT KHO'!$E$5:$E$2004,'XUẤT KHO'!$C$5:$C$2004,$C17,'XUẤT KHO'!$D$5:$D$2004,$E17,'XUẤT KHO'!$A$5:$A$2004,"&gt;"&amp;MAX($E$3-1,'TỒN KHO'!$E$4),'XUẤT KHO'!$A$5:$A$2004,"&lt;"&amp;EDATE($E$3,1)))</f>
        <v>8</v>
      </c>
      <c r="I17" s="49" t="n">
        <f aca="false">IF($C17="","",F17+G17-H17)</f>
        <v>62</v>
      </c>
      <c r="J17" s="17" t="n">
        <f aca="false">IF($C17="","",IF('TỒN KHO'!F20="","",'TỒN KHO'!F20))</f>
        <v>2185000</v>
      </c>
      <c r="K17" s="17" t="n">
        <f aca="false">IF($C17="","",IF(J17="",0,MAX(I17,0)*J17))</f>
        <v>135470000</v>
      </c>
      <c r="L17" s="17" t="n">
        <f aca="false">IF($C17="","",SUMIFS('XUẤT KHO'!$H$5:$H$2004,'XUẤT KHO'!$C$5:$C$2004,$C17,'XUẤT KHO'!$D$5:$D$2004,$E17,'XUẤT KHO'!$A$5:$A$2004,"&gt;="&amp;$E$3,'XUẤT KHO'!$A$5:$A$2004,"&lt;"&amp;EDATE($E$3,1)))</f>
        <v>17480000</v>
      </c>
    </row>
    <row r="18" customFormat="false" ht="15" hidden="false" customHeight="false" outlineLevel="0" collapsed="false">
      <c r="A18" s="48" t="n">
        <f aca="false">IF('TỒN KHO'!$C21="","",'TỒN KHO'!A21)</f>
        <v>11</v>
      </c>
      <c r="B18" s="16" t="str">
        <f aca="false">IF('TỒN KHO'!$C21="","",'TỒN KHO'!B21)</f>
        <v>Sơn lót</v>
      </c>
      <c r="C18" s="16" t="str">
        <f aca="false">IF('TỒN KHO'!$C21="","",'TỒN KHO'!C21)</f>
        <v>EL5</v>
      </c>
      <c r="D18" s="16" t="str">
        <f aca="false">IF('TỒN KHO'!$C21="","",'TỒN KHO'!D21)</f>
        <v>Sơn lót ngoại thất kháng kiềm Silver EL5</v>
      </c>
      <c r="E18" s="48" t="str">
        <f aca="false">IF('TỒN KHO'!$C21="","",'TỒN KHO'!E21)</f>
        <v>5L</v>
      </c>
      <c r="F18" s="17" t="n">
        <f aca="false">IF($C18="","",'TỒN KHO'!G21+SUMIFS('NHẬP KHO'!$E$5:$E$2004,'NHẬP KHO'!$C$5:$C$2004,$C18,'NHẬP KHO'!$D$5:$D$2004,$E18,'NHẬP KHO'!$A$5:$A$2004,"&gt;"&amp;'TỒN KHO'!$E$4,'NHẬP KHO'!$A$5:$A$2004,"&lt;"&amp;$E$3)-SUMIFS('XUẤT KHO'!$E$5:$E$2004,'XUẤT KHO'!$C$5:$C$2004,$C18,'XUẤT KHO'!$D$5:$D$2004,$E18,'XUẤT KHO'!$A$5:$A$2004,"&gt;"&amp;'TỒN KHO'!$E$4,'XUẤT KHO'!$A$5:$A$2004,"&lt;"&amp;$E$3))</f>
        <v>21</v>
      </c>
      <c r="G18" s="17" t="n">
        <f aca="false">IF($C18="","",SUMIFS('NHẬP KHO'!$E$5:$E$2004,'NHẬP KHO'!$C$5:$C$2004,$C18,'NHẬP KHO'!$D$5:$D$2004,$E18,'NHẬP KHO'!$A$5:$A$2004,"&gt;"&amp;MAX($E$3-1,'TỒN KHO'!$E$4),'NHẬP KHO'!$A$5:$A$2004,"&lt;"&amp;EDATE($E$3,1)))</f>
        <v>0</v>
      </c>
      <c r="H18" s="17" t="n">
        <f aca="false">IF($C18="","",SUMIFS('XUẤT KHO'!$E$5:$E$2004,'XUẤT KHO'!$C$5:$C$2004,$C18,'XUẤT KHO'!$D$5:$D$2004,$E18,'XUẤT KHO'!$A$5:$A$2004,"&gt;"&amp;MAX($E$3-1,'TỒN KHO'!$E$4),'XUẤT KHO'!$A$5:$A$2004,"&lt;"&amp;EDATE($E$3,1)))</f>
        <v>0</v>
      </c>
      <c r="I18" s="49" t="n">
        <f aca="false">IF($C18="","",F18+G18-H18)</f>
        <v>21</v>
      </c>
      <c r="J18" s="17" t="n">
        <f aca="false">IF($C18="","",IF('TỒN KHO'!F21="","",'TỒN KHO'!F21))</f>
        <v>960000</v>
      </c>
      <c r="K18" s="17" t="n">
        <f aca="false">IF($C18="","",IF(J18="",0,MAX(I18,0)*J18))</f>
        <v>20160000</v>
      </c>
      <c r="L18" s="17" t="n">
        <f aca="false">IF($C18="","",SUMIFS('XUẤT KHO'!$H$5:$H$2004,'XUẤT KHO'!$C$5:$C$2004,$C18,'XUẤT KHO'!$D$5:$D$2004,$E18,'XUẤT KHO'!$A$5:$A$2004,"&gt;="&amp;$E$3,'XUẤT KHO'!$A$5:$A$2004,"&lt;"&amp;EDATE($E$3,1)))</f>
        <v>0</v>
      </c>
    </row>
    <row r="19" customFormat="false" ht="15" hidden="false" customHeight="false" outlineLevel="0" collapsed="false">
      <c r="A19" s="48" t="n">
        <f aca="false">IF('TỒN KHO'!$C22="","",'TỒN KHO'!A22)</f>
        <v>12</v>
      </c>
      <c r="B19" s="16" t="str">
        <f aca="false">IF('TỒN KHO'!$C22="","",'TỒN KHO'!B22)</f>
        <v>Sơn lót</v>
      </c>
      <c r="C19" s="16" t="str">
        <f aca="false">IF('TỒN KHO'!$C22="","",'TỒN KHO'!C22)</f>
        <v>EL5</v>
      </c>
      <c r="D19" s="16" t="str">
        <f aca="false">IF('TỒN KHO'!$C22="","",'TỒN KHO'!D22)</f>
        <v>Sơn lót ngoại thất kháng kiềm Silver EL5</v>
      </c>
      <c r="E19" s="48" t="str">
        <f aca="false">IF('TỒN KHO'!$C22="","",'TỒN KHO'!E22)</f>
        <v>18L</v>
      </c>
      <c r="F19" s="17" t="n">
        <f aca="false">IF($C19="","",'TỒN KHO'!G22+SUMIFS('NHẬP KHO'!$E$5:$E$2004,'NHẬP KHO'!$C$5:$C$2004,$C19,'NHẬP KHO'!$D$5:$D$2004,$E19,'NHẬP KHO'!$A$5:$A$2004,"&gt;"&amp;'TỒN KHO'!$E$4,'NHẬP KHO'!$A$5:$A$2004,"&lt;"&amp;$E$3)-SUMIFS('XUẤT KHO'!$E$5:$E$2004,'XUẤT KHO'!$C$5:$C$2004,$C19,'XUẤT KHO'!$D$5:$D$2004,$E19,'XUẤT KHO'!$A$5:$A$2004,"&gt;"&amp;'TỒN KHO'!$E$4,'XUẤT KHO'!$A$5:$A$2004,"&lt;"&amp;$E$3))</f>
        <v>61</v>
      </c>
      <c r="G19" s="17" t="n">
        <f aca="false">IF($C19="","",SUMIFS('NHẬP KHO'!$E$5:$E$2004,'NHẬP KHO'!$C$5:$C$2004,$C19,'NHẬP KHO'!$D$5:$D$2004,$E19,'NHẬP KHO'!$A$5:$A$2004,"&gt;"&amp;MAX($E$3-1,'TỒN KHO'!$E$4),'NHẬP KHO'!$A$5:$A$2004,"&lt;"&amp;EDATE($E$3,1)))</f>
        <v>0</v>
      </c>
      <c r="H19" s="17" t="n">
        <f aca="false">IF($C19="","",SUMIFS('XUẤT KHO'!$E$5:$E$2004,'XUẤT KHO'!$C$5:$C$2004,$C19,'XUẤT KHO'!$D$5:$D$2004,$E19,'XUẤT KHO'!$A$5:$A$2004,"&gt;"&amp;MAX($E$3-1,'TỒN KHO'!$E$4),'XUẤT KHO'!$A$5:$A$2004,"&lt;"&amp;EDATE($E$3,1)))</f>
        <v>5</v>
      </c>
      <c r="I19" s="49" t="n">
        <f aca="false">IF($C19="","",F19+G19-H19)</f>
        <v>56</v>
      </c>
      <c r="J19" s="17" t="n">
        <f aca="false">IF($C19="","",IF('TỒN KHO'!F22="","",'TỒN KHO'!F22))</f>
        <v>3097000</v>
      </c>
      <c r="K19" s="17" t="n">
        <f aca="false">IF($C19="","",IF(J19="",0,MAX(I19,0)*J19))</f>
        <v>173432000</v>
      </c>
      <c r="L19" s="17" t="n">
        <f aca="false">IF($C19="","",SUMIFS('XUẤT KHO'!$H$5:$H$2004,'XUẤT KHO'!$C$5:$C$2004,$C19,'XUẤT KHO'!$D$5:$D$2004,$E19,'XUẤT KHO'!$A$5:$A$2004,"&gt;="&amp;$E$3,'XUẤT KHO'!$A$5:$A$2004,"&lt;"&amp;EDATE($E$3,1)))</f>
        <v>15485000</v>
      </c>
    </row>
    <row r="20" customFormat="false" ht="15" hidden="false" customHeight="false" outlineLevel="0" collapsed="false">
      <c r="A20" s="48" t="n">
        <f aca="false">IF('TỒN KHO'!$C23="","",'TỒN KHO'!A23)</f>
        <v>13</v>
      </c>
      <c r="B20" s="16" t="str">
        <f aca="false">IF('TỒN KHO'!$C23="","",'TỒN KHO'!B23)</f>
        <v>Nội thất</v>
      </c>
      <c r="C20" s="16" t="str">
        <f aca="false">IF('TỒN KHO'!$C23="","",'TỒN KHO'!C23)</f>
        <v>IEW</v>
      </c>
      <c r="D20" s="16" t="str">
        <f aca="false">IF('TỒN KHO'!$C23="","",'TỒN KHO'!D23)</f>
        <v>Sơn nội thất siêu trắng Imperia IEW</v>
      </c>
      <c r="E20" s="48" t="str">
        <f aca="false">IF('TỒN KHO'!$C23="","",'TỒN KHO'!E23)</f>
        <v>5L</v>
      </c>
      <c r="F20" s="17" t="n">
        <f aca="false">IF($C20="","",'TỒN KHO'!G23+SUMIFS('NHẬP KHO'!$E$5:$E$2004,'NHẬP KHO'!$C$5:$C$2004,$C20,'NHẬP KHO'!$D$5:$D$2004,$E20,'NHẬP KHO'!$A$5:$A$2004,"&gt;"&amp;'TỒN KHO'!$E$4,'NHẬP KHO'!$A$5:$A$2004,"&lt;"&amp;$E$3)-SUMIFS('XUẤT KHO'!$E$5:$E$2004,'XUẤT KHO'!$C$5:$C$2004,$C20,'XUẤT KHO'!$D$5:$D$2004,$E20,'XUẤT KHO'!$A$5:$A$2004,"&gt;"&amp;'TỒN KHO'!$E$4,'XUẤT KHO'!$A$5:$A$2004,"&lt;"&amp;$E$3))</f>
        <v>11</v>
      </c>
      <c r="G20" s="17" t="n">
        <f aca="false">IF($C20="","",SUMIFS('NHẬP KHO'!$E$5:$E$2004,'NHẬP KHO'!$C$5:$C$2004,$C20,'NHẬP KHO'!$D$5:$D$2004,$E20,'NHẬP KHO'!$A$5:$A$2004,"&gt;"&amp;MAX($E$3-1,'TỒN KHO'!$E$4),'NHẬP KHO'!$A$5:$A$2004,"&lt;"&amp;EDATE($E$3,1)))</f>
        <v>0</v>
      </c>
      <c r="H20" s="17" t="n">
        <f aca="false">IF($C20="","",SUMIFS('XUẤT KHO'!$E$5:$E$2004,'XUẤT KHO'!$C$5:$C$2004,$C20,'XUẤT KHO'!$D$5:$D$2004,$E20,'XUẤT KHO'!$A$5:$A$2004,"&gt;"&amp;MAX($E$3-1,'TỒN KHO'!$E$4),'XUẤT KHO'!$A$5:$A$2004,"&lt;"&amp;EDATE($E$3,1)))</f>
        <v>1</v>
      </c>
      <c r="I20" s="49" t="n">
        <f aca="false">IF($C20="","",F20+G20-H20)</f>
        <v>10</v>
      </c>
      <c r="J20" s="17" t="n">
        <f aca="false">IF($C20="","",IF('TỒN KHO'!F23="","",'TỒN KHO'!F23))</f>
        <v>867000</v>
      </c>
      <c r="K20" s="17" t="n">
        <f aca="false">IF($C20="","",IF(J20="",0,MAX(I20,0)*J20))</f>
        <v>8670000</v>
      </c>
      <c r="L20" s="17" t="n">
        <f aca="false">IF($C20="","",SUMIFS('XUẤT KHO'!$H$5:$H$2004,'XUẤT KHO'!$C$5:$C$2004,$C20,'XUẤT KHO'!$D$5:$D$2004,$E20,'XUẤT KHO'!$A$5:$A$2004,"&gt;="&amp;$E$3,'XUẤT KHO'!$A$5:$A$2004,"&lt;"&amp;EDATE($E$3,1)))</f>
        <v>954000</v>
      </c>
    </row>
    <row r="21" customFormat="false" ht="15" hidden="false" customHeight="false" outlineLevel="0" collapsed="false">
      <c r="A21" s="48" t="n">
        <f aca="false">IF('TỒN KHO'!$C24="","",'TỒN KHO'!A24)</f>
        <v>14</v>
      </c>
      <c r="B21" s="16" t="str">
        <f aca="false">IF('TỒN KHO'!$C24="","",'TỒN KHO'!B24)</f>
        <v>Nội thất</v>
      </c>
      <c r="C21" s="16" t="str">
        <f aca="false">IF('TỒN KHO'!$C24="","",'TỒN KHO'!C24)</f>
        <v>IEW</v>
      </c>
      <c r="D21" s="16" t="str">
        <f aca="false">IF('TỒN KHO'!$C24="","",'TỒN KHO'!D24)</f>
        <v>Sơn nội thất siêu trắng Imperia IEW</v>
      </c>
      <c r="E21" s="48" t="str">
        <f aca="false">IF('TỒN KHO'!$C24="","",'TỒN KHO'!E24)</f>
        <v>18L</v>
      </c>
      <c r="F21" s="17" t="n">
        <f aca="false">IF($C21="","",'TỒN KHO'!G24+SUMIFS('NHẬP KHO'!$E$5:$E$2004,'NHẬP KHO'!$C$5:$C$2004,$C21,'NHẬP KHO'!$D$5:$D$2004,$E21,'NHẬP KHO'!$A$5:$A$2004,"&gt;"&amp;'TỒN KHO'!$E$4,'NHẬP KHO'!$A$5:$A$2004,"&lt;"&amp;$E$3)-SUMIFS('XUẤT KHO'!$E$5:$E$2004,'XUẤT KHO'!$C$5:$C$2004,$C21,'XUẤT KHO'!$D$5:$D$2004,$E21,'XUẤT KHO'!$A$5:$A$2004,"&gt;"&amp;'TỒN KHO'!$E$4,'XUẤT KHO'!$A$5:$A$2004,"&lt;"&amp;$E$3))</f>
        <v>12</v>
      </c>
      <c r="G21" s="17" t="n">
        <f aca="false">IF($C21="","",SUMIFS('NHẬP KHO'!$E$5:$E$2004,'NHẬP KHO'!$C$5:$C$2004,$C21,'NHẬP KHO'!$D$5:$D$2004,$E21,'NHẬP KHO'!$A$5:$A$2004,"&gt;"&amp;MAX($E$3-1,'TỒN KHO'!$E$4),'NHẬP KHO'!$A$5:$A$2004,"&lt;"&amp;EDATE($E$3,1)))</f>
        <v>0</v>
      </c>
      <c r="H21" s="17" t="n">
        <f aca="false">IF($C21="","",SUMIFS('XUẤT KHO'!$E$5:$E$2004,'XUẤT KHO'!$C$5:$C$2004,$C21,'XUẤT KHO'!$D$5:$D$2004,$E21,'XUẤT KHO'!$A$5:$A$2004,"&gt;"&amp;MAX($E$3-1,'TỒN KHO'!$E$4),'XUẤT KHO'!$A$5:$A$2004,"&lt;"&amp;EDATE($E$3,1)))</f>
        <v>9</v>
      </c>
      <c r="I21" s="49" t="n">
        <f aca="false">IF($C21="","",F21+G21-H21)</f>
        <v>3</v>
      </c>
      <c r="J21" s="17" t="n">
        <f aca="false">IF($C21="","",IF('TỒN KHO'!F24="","",'TỒN KHO'!F24))</f>
        <v>2465000</v>
      </c>
      <c r="K21" s="17" t="n">
        <f aca="false">IF($C21="","",IF(J21="",0,MAX(I21,0)*J21))</f>
        <v>7395000</v>
      </c>
      <c r="L21" s="17" t="n">
        <f aca="false">IF($C21="","",SUMIFS('XUẤT KHO'!$H$5:$H$2004,'XUẤT KHO'!$C$5:$C$2004,$C21,'XUẤT KHO'!$D$5:$D$2004,$E21,'XUẤT KHO'!$A$5:$A$2004,"&gt;="&amp;$E$3,'XUẤT KHO'!$A$5:$A$2004,"&lt;"&amp;EDATE($E$3,1)))</f>
        <v>24408000</v>
      </c>
    </row>
    <row r="22" customFormat="false" ht="15" hidden="false" customHeight="false" outlineLevel="0" collapsed="false">
      <c r="A22" s="48" t="n">
        <f aca="false">IF('TỒN KHO'!$C25="","",'TỒN KHO'!A25)</f>
        <v>15</v>
      </c>
      <c r="B22" s="16" t="str">
        <f aca="false">IF('TỒN KHO'!$C25="","",'TỒN KHO'!B25)</f>
        <v>Nội thất</v>
      </c>
      <c r="C22" s="16" t="str">
        <f aca="false">IF('TỒN KHO'!$C25="","",'TỒN KHO'!C25)</f>
        <v>ISI</v>
      </c>
      <c r="D22" s="16" t="str">
        <f aca="false">IF('TỒN KHO'!$C25="","",'TỒN KHO'!D25)</f>
        <v>Sơn nội thất bền màu Silver ISI</v>
      </c>
      <c r="E22" s="48" t="str">
        <f aca="false">IF('TỒN KHO'!$C25="","",'TỒN KHO'!E25)</f>
        <v>5L</v>
      </c>
      <c r="F22" s="17" t="n">
        <f aca="false">IF($C22="","",'TỒN KHO'!G25+SUMIFS('NHẬP KHO'!$E$5:$E$2004,'NHẬP KHO'!$C$5:$C$2004,$C22,'NHẬP KHO'!$D$5:$D$2004,$E22,'NHẬP KHO'!$A$5:$A$2004,"&gt;"&amp;'TỒN KHO'!$E$4,'NHẬP KHO'!$A$5:$A$2004,"&lt;"&amp;$E$3)-SUMIFS('XUẤT KHO'!$E$5:$E$2004,'XUẤT KHO'!$C$5:$C$2004,$C22,'XUẤT KHO'!$D$5:$D$2004,$E22,'XUẤT KHO'!$A$5:$A$2004,"&gt;"&amp;'TỒN KHO'!$E$4,'XUẤT KHO'!$A$5:$A$2004,"&lt;"&amp;$E$3))</f>
        <v>23</v>
      </c>
      <c r="G22" s="17" t="n">
        <f aca="false">IF($C22="","",SUMIFS('NHẬP KHO'!$E$5:$E$2004,'NHẬP KHO'!$C$5:$C$2004,$C22,'NHẬP KHO'!$D$5:$D$2004,$E22,'NHẬP KHO'!$A$5:$A$2004,"&gt;"&amp;MAX($E$3-1,'TỒN KHO'!$E$4),'NHẬP KHO'!$A$5:$A$2004,"&lt;"&amp;EDATE($E$3,1)))</f>
        <v>0</v>
      </c>
      <c r="H22" s="17" t="n">
        <f aca="false">IF($C22="","",SUMIFS('XUẤT KHO'!$E$5:$E$2004,'XUẤT KHO'!$C$5:$C$2004,$C22,'XUẤT KHO'!$D$5:$D$2004,$E22,'XUẤT KHO'!$A$5:$A$2004,"&gt;"&amp;MAX($E$3-1,'TỒN KHO'!$E$4),'XUẤT KHO'!$A$5:$A$2004,"&lt;"&amp;EDATE($E$3,1)))</f>
        <v>2</v>
      </c>
      <c r="I22" s="49" t="n">
        <f aca="false">IF($C22="","",F22+G22-H22)</f>
        <v>21</v>
      </c>
      <c r="J22" s="17" t="n">
        <f aca="false">IF($C22="","",IF('TỒN KHO'!F25="","",'TỒN KHO'!F25))</f>
        <v>631000</v>
      </c>
      <c r="K22" s="17" t="n">
        <f aca="false">IF($C22="","",IF(J22="",0,MAX(I22,0)*J22))</f>
        <v>13251000</v>
      </c>
      <c r="L22" s="17" t="n">
        <f aca="false">IF($C22="","",SUMIFS('XUẤT KHO'!$H$5:$H$2004,'XUẤT KHO'!$C$5:$C$2004,$C22,'XUẤT KHO'!$D$5:$D$2004,$E22,'XUẤT KHO'!$A$5:$A$2004,"&gt;="&amp;$E$3,'XUẤT KHO'!$A$5:$A$2004,"&lt;"&amp;EDATE($E$3,1)))</f>
        <v>1262000</v>
      </c>
    </row>
    <row r="23" customFormat="false" ht="15" hidden="false" customHeight="false" outlineLevel="0" collapsed="false">
      <c r="A23" s="48" t="n">
        <f aca="false">IF('TỒN KHO'!$C26="","",'TỒN KHO'!A26)</f>
        <v>16</v>
      </c>
      <c r="B23" s="16" t="str">
        <f aca="false">IF('TỒN KHO'!$C26="","",'TỒN KHO'!B26)</f>
        <v>Nội thất</v>
      </c>
      <c r="C23" s="16" t="str">
        <f aca="false">IF('TỒN KHO'!$C26="","",'TỒN KHO'!C26)</f>
        <v>ISI</v>
      </c>
      <c r="D23" s="16" t="str">
        <f aca="false">IF('TỒN KHO'!$C26="","",'TỒN KHO'!D26)</f>
        <v>Sơn nội thất bền màu Silver ISI</v>
      </c>
      <c r="E23" s="48" t="str">
        <f aca="false">IF('TỒN KHO'!$C26="","",'TỒN KHO'!E26)</f>
        <v>18L</v>
      </c>
      <c r="F23" s="17" t="n">
        <f aca="false">IF($C23="","",'TỒN KHO'!G26+SUMIFS('NHẬP KHO'!$E$5:$E$2004,'NHẬP KHO'!$C$5:$C$2004,$C23,'NHẬP KHO'!$D$5:$D$2004,$E23,'NHẬP KHO'!$A$5:$A$2004,"&gt;"&amp;'TỒN KHO'!$E$4,'NHẬP KHO'!$A$5:$A$2004,"&lt;"&amp;$E$3)-SUMIFS('XUẤT KHO'!$E$5:$E$2004,'XUẤT KHO'!$C$5:$C$2004,$C23,'XUẤT KHO'!$D$5:$D$2004,$E23,'XUẤT KHO'!$A$5:$A$2004,"&gt;"&amp;'TỒN KHO'!$E$4,'XUẤT KHO'!$A$5:$A$2004,"&lt;"&amp;$E$3))</f>
        <v>60</v>
      </c>
      <c r="G23" s="17" t="n">
        <f aca="false">IF($C23="","",SUMIFS('NHẬP KHO'!$E$5:$E$2004,'NHẬP KHO'!$C$5:$C$2004,$C23,'NHẬP KHO'!$D$5:$D$2004,$E23,'NHẬP KHO'!$A$5:$A$2004,"&gt;"&amp;MAX($E$3-1,'TỒN KHO'!$E$4),'NHẬP KHO'!$A$5:$A$2004,"&lt;"&amp;EDATE($E$3,1)))</f>
        <v>0</v>
      </c>
      <c r="H23" s="17" t="n">
        <f aca="false">IF($C23="","",SUMIFS('XUẤT KHO'!$E$5:$E$2004,'XUẤT KHO'!$C$5:$C$2004,$C23,'XUẤT KHO'!$D$5:$D$2004,$E23,'XUẤT KHO'!$A$5:$A$2004,"&gt;"&amp;MAX($E$3-1,'TỒN KHO'!$E$4),'XUẤT KHO'!$A$5:$A$2004,"&lt;"&amp;EDATE($E$3,1)))</f>
        <v>1</v>
      </c>
      <c r="I23" s="49" t="n">
        <f aca="false">IF($C23="","",F23+G23-H23)</f>
        <v>59</v>
      </c>
      <c r="J23" s="17" t="n">
        <f aca="false">IF($C23="","",IF('TỒN KHO'!F26="","",'TỒN KHO'!F26))</f>
        <v>2128000</v>
      </c>
      <c r="K23" s="17" t="n">
        <f aca="false">IF($C23="","",IF(J23="",0,MAX(I23,0)*J23))</f>
        <v>125552000</v>
      </c>
      <c r="L23" s="17" t="n">
        <f aca="false">IF($C23="","",SUMIFS('XUẤT KHO'!$H$5:$H$2004,'XUẤT KHO'!$C$5:$C$2004,$C23,'XUẤT KHO'!$D$5:$D$2004,$E23,'XUẤT KHO'!$A$5:$A$2004,"&gt;="&amp;$E$3,'XUẤT KHO'!$A$5:$A$2004,"&lt;"&amp;EDATE($E$3,1)))</f>
        <v>2128000</v>
      </c>
    </row>
    <row r="24" customFormat="false" ht="15" hidden="false" customHeight="false" outlineLevel="0" collapsed="false">
      <c r="A24" s="48" t="n">
        <f aca="false">IF('TỒN KHO'!$C27="","",'TỒN KHO'!A27)</f>
        <v>17</v>
      </c>
      <c r="B24" s="16" t="str">
        <f aca="false">IF('TỒN KHO'!$C27="","",'TỒN KHO'!B27)</f>
        <v>Nội thất</v>
      </c>
      <c r="C24" s="16" t="str">
        <f aca="false">IF('TỒN KHO'!$C27="","",'TỒN KHO'!C27)</f>
        <v>ISG06</v>
      </c>
      <c r="D24" s="16" t="str">
        <f aca="false">IF('TỒN KHO'!$C27="","",'TỒN KHO'!D27)</f>
        <v>Sơn nội thất cao cấp bóng mờ Imperia ISG06</v>
      </c>
      <c r="E24" s="48" t="str">
        <f aca="false">IF('TỒN KHO'!$C27="","",'TỒN KHO'!E27)</f>
        <v>5L</v>
      </c>
      <c r="F24" s="17" t="n">
        <f aca="false">IF($C24="","",'TỒN KHO'!G27+SUMIFS('NHẬP KHO'!$E$5:$E$2004,'NHẬP KHO'!$C$5:$C$2004,$C24,'NHẬP KHO'!$D$5:$D$2004,$E24,'NHẬP KHO'!$A$5:$A$2004,"&gt;"&amp;'TỒN KHO'!$E$4,'NHẬP KHO'!$A$5:$A$2004,"&lt;"&amp;$E$3)-SUMIFS('XUẤT KHO'!$E$5:$E$2004,'XUẤT KHO'!$C$5:$C$2004,$C24,'XUẤT KHO'!$D$5:$D$2004,$E24,'XUẤT KHO'!$A$5:$A$2004,"&gt;"&amp;'TỒN KHO'!$E$4,'XUẤT KHO'!$A$5:$A$2004,"&lt;"&amp;$E$3))</f>
        <v>26</v>
      </c>
      <c r="G24" s="17" t="n">
        <f aca="false">IF($C24="","",SUMIFS('NHẬP KHO'!$E$5:$E$2004,'NHẬP KHO'!$C$5:$C$2004,$C24,'NHẬP KHO'!$D$5:$D$2004,$E24,'NHẬP KHO'!$A$5:$A$2004,"&gt;"&amp;MAX($E$3-1,'TỒN KHO'!$E$4),'NHẬP KHO'!$A$5:$A$2004,"&lt;"&amp;EDATE($E$3,1)))</f>
        <v>0</v>
      </c>
      <c r="H24" s="17" t="n">
        <f aca="false">IF($C24="","",SUMIFS('XUẤT KHO'!$E$5:$E$2004,'XUẤT KHO'!$C$5:$C$2004,$C24,'XUẤT KHO'!$D$5:$D$2004,$E24,'XUẤT KHO'!$A$5:$A$2004,"&gt;"&amp;MAX($E$3-1,'TỒN KHO'!$E$4),'XUẤT KHO'!$A$5:$A$2004,"&lt;"&amp;EDATE($E$3,1)))</f>
        <v>5</v>
      </c>
      <c r="I24" s="49" t="n">
        <f aca="false">IF($C24="","",F24+G24-H24)</f>
        <v>21</v>
      </c>
      <c r="J24" s="17" t="n">
        <f aca="false">IF($C24="","",IF('TỒN KHO'!F27="","",'TỒN KHO'!F27))</f>
        <v>1302000</v>
      </c>
      <c r="K24" s="17" t="n">
        <f aca="false">IF($C24="","",IF(J24="",0,MAX(I24,0)*J24))</f>
        <v>27342000</v>
      </c>
      <c r="L24" s="17" t="n">
        <f aca="false">IF($C24="","",SUMIFS('XUẤT KHO'!$H$5:$H$2004,'XUẤT KHO'!$C$5:$C$2004,$C24,'XUẤT KHO'!$D$5:$D$2004,$E24,'XUẤT KHO'!$A$5:$A$2004,"&gt;="&amp;$E$3,'XUẤT KHO'!$A$5:$A$2004,"&lt;"&amp;EDATE($E$3,1)))</f>
        <v>6510000</v>
      </c>
    </row>
    <row r="25" customFormat="false" ht="15" hidden="false" customHeight="false" outlineLevel="0" collapsed="false">
      <c r="A25" s="48" t="n">
        <f aca="false">IF('TỒN KHO'!$C28="","",'TỒN KHO'!A28)</f>
        <v>18</v>
      </c>
      <c r="B25" s="16" t="str">
        <f aca="false">IF('TỒN KHO'!$C28="","",'TỒN KHO'!B28)</f>
        <v>Nội thất</v>
      </c>
      <c r="C25" s="16" t="str">
        <f aca="false">IF('TỒN KHO'!$C28="","",'TỒN KHO'!C28)</f>
        <v>ISG06</v>
      </c>
      <c r="D25" s="16" t="str">
        <f aca="false">IF('TỒN KHO'!$C28="","",'TỒN KHO'!D28)</f>
        <v>Sơn nội thất cao cấp bóng mờ Imperia ISG06</v>
      </c>
      <c r="E25" s="48" t="str">
        <f aca="false">IF('TỒN KHO'!$C28="","",'TỒN KHO'!E28)</f>
        <v>18L</v>
      </c>
      <c r="F25" s="17" t="n">
        <f aca="false">IF($C25="","",'TỒN KHO'!G28+SUMIFS('NHẬP KHO'!$E$5:$E$2004,'NHẬP KHO'!$C$5:$C$2004,$C25,'NHẬP KHO'!$D$5:$D$2004,$E25,'NHẬP KHO'!$A$5:$A$2004,"&gt;"&amp;'TỒN KHO'!$E$4,'NHẬP KHO'!$A$5:$A$2004,"&lt;"&amp;$E$3)-SUMIFS('XUẤT KHO'!$E$5:$E$2004,'XUẤT KHO'!$C$5:$C$2004,$C25,'XUẤT KHO'!$D$5:$D$2004,$E25,'XUẤT KHO'!$A$5:$A$2004,"&gt;"&amp;'TỒN KHO'!$E$4,'XUẤT KHO'!$A$5:$A$2004,"&lt;"&amp;$E$3))</f>
        <v>35</v>
      </c>
      <c r="G25" s="17" t="n">
        <f aca="false">IF($C25="","",SUMIFS('NHẬP KHO'!$E$5:$E$2004,'NHẬP KHO'!$C$5:$C$2004,$C25,'NHẬP KHO'!$D$5:$D$2004,$E25,'NHẬP KHO'!$A$5:$A$2004,"&gt;"&amp;MAX($E$3-1,'TỒN KHO'!$E$4),'NHẬP KHO'!$A$5:$A$2004,"&lt;"&amp;EDATE($E$3,1)))</f>
        <v>0</v>
      </c>
      <c r="H25" s="17" t="n">
        <f aca="false">IF($C25="","",SUMIFS('XUẤT KHO'!$E$5:$E$2004,'XUẤT KHO'!$C$5:$C$2004,$C25,'XUẤT KHO'!$D$5:$D$2004,$E25,'XUẤT KHO'!$A$5:$A$2004,"&gt;"&amp;MAX($E$3-1,'TỒN KHO'!$E$4),'XUẤT KHO'!$A$5:$A$2004,"&lt;"&amp;EDATE($E$3,1)))</f>
        <v>6</v>
      </c>
      <c r="I25" s="49" t="n">
        <f aca="false">IF($C25="","",F25+G25-H25)</f>
        <v>29</v>
      </c>
      <c r="J25" s="17" t="n">
        <f aca="false">IF($C25="","",IF('TỒN KHO'!F28="","",'TỒN KHO'!F28))</f>
        <v>4597000</v>
      </c>
      <c r="K25" s="17" t="n">
        <f aca="false">IF($C25="","",IF(J25="",0,MAX(I25,0)*J25))</f>
        <v>133313000</v>
      </c>
      <c r="L25" s="17" t="n">
        <f aca="false">IF($C25="","",SUMIFS('XUẤT KHO'!$H$5:$H$2004,'XUẤT KHO'!$C$5:$C$2004,$C25,'XUẤT KHO'!$D$5:$D$2004,$E25,'XUẤT KHO'!$A$5:$A$2004,"&gt;="&amp;$E$3,'XUẤT KHO'!$A$5:$A$2004,"&lt;"&amp;EDATE($E$3,1)))</f>
        <v>27582000</v>
      </c>
    </row>
    <row r="26" customFormat="false" ht="15" hidden="false" customHeight="false" outlineLevel="0" collapsed="false">
      <c r="A26" s="48" t="n">
        <f aca="false">IF('TỒN KHO'!$C29="","",'TỒN KHO'!A29)</f>
        <v>19</v>
      </c>
      <c r="B26" s="16" t="str">
        <f aca="false">IF('TỒN KHO'!$C29="","",'TỒN KHO'!B29)</f>
        <v>Nội thất</v>
      </c>
      <c r="C26" s="16" t="str">
        <f aca="false">IF('TỒN KHO'!$C29="","",'TỒN KHO'!C29)</f>
        <v>IG05</v>
      </c>
      <c r="D26" s="16" t="str">
        <f aca="false">IF('TỒN KHO'!$C29="","",'TỒN KHO'!D29)</f>
        <v>Sơn nội thất siêu bóng cao cấp Imperia IG05</v>
      </c>
      <c r="E26" s="48" t="str">
        <f aca="false">IF('TỒN KHO'!$C29="","",'TỒN KHO'!E29)</f>
        <v>5L</v>
      </c>
      <c r="F26" s="17" t="n">
        <f aca="false">IF($C26="","",'TỒN KHO'!G29+SUMIFS('NHẬP KHO'!$E$5:$E$2004,'NHẬP KHO'!$C$5:$C$2004,$C26,'NHẬP KHO'!$D$5:$D$2004,$E26,'NHẬP KHO'!$A$5:$A$2004,"&gt;"&amp;'TỒN KHO'!$E$4,'NHẬP KHO'!$A$5:$A$2004,"&lt;"&amp;$E$3)-SUMIFS('XUẤT KHO'!$E$5:$E$2004,'XUẤT KHO'!$C$5:$C$2004,$C26,'XUẤT KHO'!$D$5:$D$2004,$E26,'XUẤT KHO'!$A$5:$A$2004,"&gt;"&amp;'TỒN KHO'!$E$4,'XUẤT KHO'!$A$5:$A$2004,"&lt;"&amp;$E$3))</f>
        <v>96</v>
      </c>
      <c r="G26" s="17" t="n">
        <f aca="false">IF($C26="","",SUMIFS('NHẬP KHO'!$E$5:$E$2004,'NHẬP KHO'!$C$5:$C$2004,$C26,'NHẬP KHO'!$D$5:$D$2004,$E26,'NHẬP KHO'!$A$5:$A$2004,"&gt;"&amp;MAX($E$3-1,'TỒN KHO'!$E$4),'NHẬP KHO'!$A$5:$A$2004,"&lt;"&amp;EDATE($E$3,1)))</f>
        <v>0</v>
      </c>
      <c r="H26" s="17" t="n">
        <f aca="false">IF($C26="","",SUMIFS('XUẤT KHO'!$E$5:$E$2004,'XUẤT KHO'!$C$5:$C$2004,$C26,'XUẤT KHO'!$D$5:$D$2004,$E26,'XUẤT KHO'!$A$5:$A$2004,"&gt;"&amp;MAX($E$3-1,'TỒN KHO'!$E$4),'XUẤT KHO'!$A$5:$A$2004,"&lt;"&amp;EDATE($E$3,1)))</f>
        <v>1</v>
      </c>
      <c r="I26" s="49" t="n">
        <f aca="false">IF($C26="","",F26+G26-H26)</f>
        <v>95</v>
      </c>
      <c r="J26" s="17" t="n">
        <f aca="false">IF($C26="","",IF('TỒN KHO'!F29="","",'TỒN KHO'!F29))</f>
        <v>1874000</v>
      </c>
      <c r="K26" s="17" t="n">
        <f aca="false">IF($C26="","",IF(J26="",0,MAX(I26,0)*J26))</f>
        <v>178030000</v>
      </c>
      <c r="L26" s="17" t="n">
        <f aca="false">IF($C26="","",SUMIFS('XUẤT KHO'!$H$5:$H$2004,'XUẤT KHO'!$C$5:$C$2004,$C26,'XUẤT KHO'!$D$5:$D$2004,$E26,'XUẤT KHO'!$A$5:$A$2004,"&gt;="&amp;$E$3,'XUẤT KHO'!$A$5:$A$2004,"&lt;"&amp;EDATE($E$3,1)))</f>
        <v>1874000</v>
      </c>
    </row>
    <row r="27" customFormat="false" ht="15" hidden="false" customHeight="false" outlineLevel="0" collapsed="false">
      <c r="A27" s="48" t="n">
        <f aca="false">IF('TỒN KHO'!$C30="","",'TỒN KHO'!A30)</f>
        <v>20</v>
      </c>
      <c r="B27" s="16" t="str">
        <f aca="false">IF('TỒN KHO'!$C30="","",'TỒN KHO'!B30)</f>
        <v>Nội thất</v>
      </c>
      <c r="C27" s="16" t="str">
        <f aca="false">IF('TỒN KHO'!$C30="","",'TỒN KHO'!C30)</f>
        <v>IG05</v>
      </c>
      <c r="D27" s="16" t="str">
        <f aca="false">IF('TỒN KHO'!$C30="","",'TỒN KHO'!D30)</f>
        <v>Sơn nội thất siêu bóng cao cấp Imperia IG05</v>
      </c>
      <c r="E27" s="48" t="str">
        <f aca="false">IF('TỒN KHO'!$C30="","",'TỒN KHO'!E30)</f>
        <v>18L</v>
      </c>
      <c r="F27" s="17" t="n">
        <f aca="false">IF($C27="","",'TỒN KHO'!G30+SUMIFS('NHẬP KHO'!$E$5:$E$2004,'NHẬP KHO'!$C$5:$C$2004,$C27,'NHẬP KHO'!$D$5:$D$2004,$E27,'NHẬP KHO'!$A$5:$A$2004,"&gt;"&amp;'TỒN KHO'!$E$4,'NHẬP KHO'!$A$5:$A$2004,"&lt;"&amp;$E$3)-SUMIFS('XUẤT KHO'!$E$5:$E$2004,'XUẤT KHO'!$C$5:$C$2004,$C27,'XUẤT KHO'!$D$5:$D$2004,$E27,'XUẤT KHO'!$A$5:$A$2004,"&gt;"&amp;'TỒN KHO'!$E$4,'XUẤT KHO'!$A$5:$A$2004,"&lt;"&amp;$E$3))</f>
        <v>126</v>
      </c>
      <c r="G27" s="17" t="n">
        <f aca="false">IF($C27="","",SUMIFS('NHẬP KHO'!$E$5:$E$2004,'NHẬP KHO'!$C$5:$C$2004,$C27,'NHẬP KHO'!$D$5:$D$2004,$E27,'NHẬP KHO'!$A$5:$A$2004,"&gt;"&amp;MAX($E$3-1,'TỒN KHO'!$E$4),'NHẬP KHO'!$A$5:$A$2004,"&lt;"&amp;EDATE($E$3,1)))</f>
        <v>0</v>
      </c>
      <c r="H27" s="17" t="n">
        <f aca="false">IF($C27="","",SUMIFS('XUẤT KHO'!$E$5:$E$2004,'XUẤT KHO'!$C$5:$C$2004,$C27,'XUẤT KHO'!$D$5:$D$2004,$E27,'XUẤT KHO'!$A$5:$A$2004,"&gt;"&amp;MAX($E$3-1,'TỒN KHO'!$E$4),'XUẤT KHO'!$A$5:$A$2004,"&lt;"&amp;EDATE($E$3,1)))</f>
        <v>19</v>
      </c>
      <c r="I27" s="49" t="n">
        <f aca="false">IF($C27="","",F27+G27-H27)</f>
        <v>107</v>
      </c>
      <c r="J27" s="17" t="n">
        <f aca="false">IF($C27="","",IF('TỒN KHO'!F30="","",'TỒN KHO'!F30))</f>
        <v>5530000</v>
      </c>
      <c r="K27" s="17" t="n">
        <f aca="false">IF($C27="","",IF(J27="",0,MAX(I27,0)*J27))</f>
        <v>591710000</v>
      </c>
      <c r="L27" s="17" t="n">
        <f aca="false">IF($C27="","",SUMIFS('XUẤT KHO'!$H$5:$H$2004,'XUẤT KHO'!$C$5:$C$2004,$C27,'XUẤT KHO'!$D$5:$D$2004,$E27,'XUẤT KHO'!$A$5:$A$2004,"&gt;="&amp;$E$3,'XUẤT KHO'!$A$5:$A$2004,"&lt;"&amp;EDATE($E$3,1)))</f>
        <v>102052000</v>
      </c>
    </row>
    <row r="28" customFormat="false" ht="15" hidden="false" customHeight="false" outlineLevel="0" collapsed="false">
      <c r="A28" s="48" t="n">
        <f aca="false">IF('TỒN KHO'!$C31="","",'TỒN KHO'!A31)</f>
        <v>21</v>
      </c>
      <c r="B28" s="16" t="str">
        <f aca="false">IF('TỒN KHO'!$C31="","",'TỒN KHO'!B31)</f>
        <v>Nội thất</v>
      </c>
      <c r="C28" s="16" t="str">
        <f aca="false">IF('TỒN KHO'!$C31="","",'TỒN KHO'!C31)</f>
        <v>I9</v>
      </c>
      <c r="D28" s="16" t="str">
        <f aca="false">IF('TỒN KHO'!$C31="","",'TỒN KHO'!D31)</f>
        <v>Sơn nội thất siêu bóng cao cấp Saphir I9</v>
      </c>
      <c r="E28" s="48" t="str">
        <f aca="false">IF('TỒN KHO'!$C31="","",'TỒN KHO'!E31)</f>
        <v>5L</v>
      </c>
      <c r="F28" s="17" t="n">
        <f aca="false">IF($C28="","",'TỒN KHO'!G31+SUMIFS('NHẬP KHO'!$E$5:$E$2004,'NHẬP KHO'!$C$5:$C$2004,$C28,'NHẬP KHO'!$D$5:$D$2004,$E28,'NHẬP KHO'!$A$5:$A$2004,"&gt;"&amp;'TỒN KHO'!$E$4,'NHẬP KHO'!$A$5:$A$2004,"&lt;"&amp;$E$3)-SUMIFS('XUẤT KHO'!$E$5:$E$2004,'XUẤT KHO'!$C$5:$C$2004,$C28,'XUẤT KHO'!$D$5:$D$2004,$E28,'XUẤT KHO'!$A$5:$A$2004,"&gt;"&amp;'TỒN KHO'!$E$4,'XUẤT KHO'!$A$5:$A$2004,"&lt;"&amp;$E$3))</f>
        <v>11</v>
      </c>
      <c r="G28" s="17" t="n">
        <f aca="false">IF($C28="","",SUMIFS('NHẬP KHO'!$E$5:$E$2004,'NHẬP KHO'!$C$5:$C$2004,$C28,'NHẬP KHO'!$D$5:$D$2004,$E28,'NHẬP KHO'!$A$5:$A$2004,"&gt;"&amp;MAX($E$3-1,'TỒN KHO'!$E$4),'NHẬP KHO'!$A$5:$A$2004,"&lt;"&amp;EDATE($E$3,1)))</f>
        <v>0</v>
      </c>
      <c r="H28" s="17" t="n">
        <f aca="false">IF($C28="","",SUMIFS('XUẤT KHO'!$E$5:$E$2004,'XUẤT KHO'!$C$5:$C$2004,$C28,'XUẤT KHO'!$D$5:$D$2004,$E28,'XUẤT KHO'!$A$5:$A$2004,"&gt;"&amp;MAX($E$3-1,'TỒN KHO'!$E$4),'XUẤT KHO'!$A$5:$A$2004,"&lt;"&amp;EDATE($E$3,1)))</f>
        <v>0</v>
      </c>
      <c r="I28" s="49" t="n">
        <f aca="false">IF($C28="","",F28+G28-H28)</f>
        <v>11</v>
      </c>
      <c r="J28" s="17" t="n">
        <f aca="false">IF($C28="","",IF('TỒN KHO'!F31="","",'TỒN KHO'!F31))</f>
        <v>2078000</v>
      </c>
      <c r="K28" s="17" t="n">
        <f aca="false">IF($C28="","",IF(J28="",0,MAX(I28,0)*J28))</f>
        <v>22858000</v>
      </c>
      <c r="L28" s="17" t="n">
        <f aca="false">IF($C28="","",SUMIFS('XUẤT KHO'!$H$5:$H$2004,'XUẤT KHO'!$C$5:$C$2004,$C28,'XUẤT KHO'!$D$5:$D$2004,$E28,'XUẤT KHO'!$A$5:$A$2004,"&gt;="&amp;$E$3,'XUẤT KHO'!$A$5:$A$2004,"&lt;"&amp;EDATE($E$3,1)))</f>
        <v>0</v>
      </c>
    </row>
    <row r="29" customFormat="false" ht="15" hidden="false" customHeight="false" outlineLevel="0" collapsed="false">
      <c r="A29" s="48" t="n">
        <f aca="false">IF('TỒN KHO'!$C32="","",'TỒN KHO'!A32)</f>
        <v>22</v>
      </c>
      <c r="B29" s="16" t="str">
        <f aca="false">IF('TỒN KHO'!$C32="","",'TỒN KHO'!B32)</f>
        <v>Nội thất</v>
      </c>
      <c r="C29" s="16" t="str">
        <f aca="false">IF('TỒN KHO'!$C32="","",'TỒN KHO'!C32)</f>
        <v>I9</v>
      </c>
      <c r="D29" s="16" t="str">
        <f aca="false">IF('TỒN KHO'!$C32="","",'TỒN KHO'!D32)</f>
        <v>Sơn nội thất siêu bóng cao cấp Saphir I9</v>
      </c>
      <c r="E29" s="48" t="str">
        <f aca="false">IF('TỒN KHO'!$C32="","",'TỒN KHO'!E32)</f>
        <v>18L</v>
      </c>
      <c r="F29" s="17" t="n">
        <f aca="false">IF($C29="","",'TỒN KHO'!G32+SUMIFS('NHẬP KHO'!$E$5:$E$2004,'NHẬP KHO'!$C$5:$C$2004,$C29,'NHẬP KHO'!$D$5:$D$2004,$E29,'NHẬP KHO'!$A$5:$A$2004,"&gt;"&amp;'TỒN KHO'!$E$4,'NHẬP KHO'!$A$5:$A$2004,"&lt;"&amp;$E$3)-SUMIFS('XUẤT KHO'!$E$5:$E$2004,'XUẤT KHO'!$C$5:$C$2004,$C29,'XUẤT KHO'!$D$5:$D$2004,$E29,'XUẤT KHO'!$A$5:$A$2004,"&gt;"&amp;'TỒN KHO'!$E$4,'XUẤT KHO'!$A$5:$A$2004,"&lt;"&amp;$E$3))</f>
        <v>24</v>
      </c>
      <c r="G29" s="17" t="n">
        <f aca="false">IF($C29="","",SUMIFS('NHẬP KHO'!$E$5:$E$2004,'NHẬP KHO'!$C$5:$C$2004,$C29,'NHẬP KHO'!$D$5:$D$2004,$E29,'NHẬP KHO'!$A$5:$A$2004,"&gt;"&amp;MAX($E$3-1,'TỒN KHO'!$E$4),'NHẬP KHO'!$A$5:$A$2004,"&lt;"&amp;EDATE($E$3,1)))</f>
        <v>0</v>
      </c>
      <c r="H29" s="17" t="n">
        <f aca="false">IF($C29="","",SUMIFS('XUẤT KHO'!$E$5:$E$2004,'XUẤT KHO'!$C$5:$C$2004,$C29,'XUẤT KHO'!$D$5:$D$2004,$E29,'XUẤT KHO'!$A$5:$A$2004,"&gt;"&amp;MAX($E$3-1,'TỒN KHO'!$E$4),'XUẤT KHO'!$A$5:$A$2004,"&lt;"&amp;EDATE($E$3,1)))</f>
        <v>0</v>
      </c>
      <c r="I29" s="49" t="n">
        <f aca="false">IF($C29="","",F29+G29-H29)</f>
        <v>24</v>
      </c>
      <c r="J29" s="17" t="n">
        <f aca="false">IF($C29="","",IF('TỒN KHO'!F32="","",'TỒN KHO'!F32))</f>
        <v>6394000</v>
      </c>
      <c r="K29" s="17" t="n">
        <f aca="false">IF($C29="","",IF(J29="",0,MAX(I29,0)*J29))</f>
        <v>153456000</v>
      </c>
      <c r="L29" s="17" t="n">
        <f aca="false">IF($C29="","",SUMIFS('XUẤT KHO'!$H$5:$H$2004,'XUẤT KHO'!$C$5:$C$2004,$C29,'XUẤT KHO'!$D$5:$D$2004,$E29,'XUẤT KHO'!$A$5:$A$2004,"&gt;="&amp;$E$3,'XUẤT KHO'!$A$5:$A$2004,"&lt;"&amp;EDATE($E$3,1)))</f>
        <v>0</v>
      </c>
    </row>
    <row r="30" customFormat="false" ht="15" hidden="false" customHeight="false" outlineLevel="0" collapsed="false">
      <c r="A30" s="48" t="n">
        <f aca="false">IF('TỒN KHO'!$C33="","",'TỒN KHO'!A33)</f>
        <v>23</v>
      </c>
      <c r="B30" s="16" t="str">
        <f aca="false">IF('TỒN KHO'!$C33="","",'TỒN KHO'!B33)</f>
        <v>Nội thất</v>
      </c>
      <c r="C30" s="16" t="str">
        <f aca="false">IF('TỒN KHO'!$C33="","",'TỒN KHO'!C33)</f>
        <v>IDC</v>
      </c>
      <c r="D30" s="16" t="str">
        <f aca="false">IF('TỒN KHO'!$C33="","",'TỒN KHO'!D33)</f>
        <v>Sơn nội thất kinh tế Deco IDC</v>
      </c>
      <c r="E30" s="48" t="str">
        <f aca="false">IF('TỒN KHO'!$C33="","",'TỒN KHO'!E33)</f>
        <v>18L</v>
      </c>
      <c r="F30" s="17" t="n">
        <f aca="false">IF($C30="","",'TỒN KHO'!G33+SUMIFS('NHẬP KHO'!$E$5:$E$2004,'NHẬP KHO'!$C$5:$C$2004,$C30,'NHẬP KHO'!$D$5:$D$2004,$E30,'NHẬP KHO'!$A$5:$A$2004,"&gt;"&amp;'TỒN KHO'!$E$4,'NHẬP KHO'!$A$5:$A$2004,"&lt;"&amp;$E$3)-SUMIFS('XUẤT KHO'!$E$5:$E$2004,'XUẤT KHO'!$C$5:$C$2004,$C30,'XUẤT KHO'!$D$5:$D$2004,$E30,'XUẤT KHO'!$A$5:$A$2004,"&gt;"&amp;'TỒN KHO'!$E$4,'XUẤT KHO'!$A$5:$A$2004,"&lt;"&amp;$E$3))</f>
        <v>12</v>
      </c>
      <c r="G30" s="17" t="n">
        <f aca="false">IF($C30="","",SUMIFS('NHẬP KHO'!$E$5:$E$2004,'NHẬP KHO'!$C$5:$C$2004,$C30,'NHẬP KHO'!$D$5:$D$2004,$E30,'NHẬP KHO'!$A$5:$A$2004,"&gt;"&amp;MAX($E$3-1,'TỒN KHO'!$E$4),'NHẬP KHO'!$A$5:$A$2004,"&lt;"&amp;EDATE($E$3,1)))</f>
        <v>0</v>
      </c>
      <c r="H30" s="17" t="n">
        <f aca="false">IF($C30="","",SUMIFS('XUẤT KHO'!$E$5:$E$2004,'XUẤT KHO'!$C$5:$C$2004,$C30,'XUẤT KHO'!$D$5:$D$2004,$E30,'XUẤT KHO'!$A$5:$A$2004,"&gt;"&amp;MAX($E$3-1,'TỒN KHO'!$E$4),'XUẤT KHO'!$A$5:$A$2004,"&lt;"&amp;EDATE($E$3,1)))</f>
        <v>0</v>
      </c>
      <c r="I30" s="49" t="n">
        <f aca="false">IF($C30="","",F30+G30-H30)</f>
        <v>12</v>
      </c>
      <c r="J30" s="17" t="n">
        <f aca="false">IF($C30="","",IF('TỒN KHO'!F33="","",'TỒN KHO'!F33))</f>
        <v>1113000</v>
      </c>
      <c r="K30" s="17" t="n">
        <f aca="false">IF($C30="","",IF(J30="",0,MAX(I30,0)*J30))</f>
        <v>13356000</v>
      </c>
      <c r="L30" s="17" t="n">
        <f aca="false">IF($C30="","",SUMIFS('XUẤT KHO'!$H$5:$H$2004,'XUẤT KHO'!$C$5:$C$2004,$C30,'XUẤT KHO'!$D$5:$D$2004,$E30,'XUẤT KHO'!$A$5:$A$2004,"&gt;="&amp;$E$3,'XUẤT KHO'!$A$5:$A$2004,"&lt;"&amp;EDATE($E$3,1)))</f>
        <v>0</v>
      </c>
    </row>
    <row r="31" customFormat="false" ht="15" hidden="false" customHeight="false" outlineLevel="0" collapsed="false">
      <c r="A31" s="48" t="n">
        <f aca="false">IF('TỒN KHO'!$C34="","",'TỒN KHO'!A34)</f>
        <v>24</v>
      </c>
      <c r="B31" s="16" t="str">
        <f aca="false">IF('TỒN KHO'!$C34="","",'TỒN KHO'!B34)</f>
        <v>Nội thất</v>
      </c>
      <c r="C31" s="16" t="str">
        <f aca="false">IF('TỒN KHO'!$C34="","",'TỒN KHO'!C34)</f>
        <v>ICL</v>
      </c>
      <c r="D31" s="16" t="str">
        <f aca="false">IF('TỒN KHO'!$C34="","",'TỒN KHO'!D34)</f>
        <v>Sơn phủ nội thất bóng cao cấp ICL</v>
      </c>
      <c r="E31" s="48" t="str">
        <f aca="false">IF('TỒN KHO'!$C34="","",'TỒN KHO'!E34)</f>
        <v>1L</v>
      </c>
      <c r="F31" s="17" t="n">
        <f aca="false">IF($C31="","",'TỒN KHO'!G34+SUMIFS('NHẬP KHO'!$E$5:$E$2004,'NHẬP KHO'!$C$5:$C$2004,$C31,'NHẬP KHO'!$D$5:$D$2004,$E31,'NHẬP KHO'!$A$5:$A$2004,"&gt;"&amp;'TỒN KHO'!$E$4,'NHẬP KHO'!$A$5:$A$2004,"&lt;"&amp;$E$3)-SUMIFS('XUẤT KHO'!$E$5:$E$2004,'XUẤT KHO'!$C$5:$C$2004,$C31,'XUẤT KHO'!$D$5:$D$2004,$E31,'XUẤT KHO'!$A$5:$A$2004,"&gt;"&amp;'TỒN KHO'!$E$4,'XUẤT KHO'!$A$5:$A$2004,"&lt;"&amp;$E$3))</f>
        <v>6</v>
      </c>
      <c r="G31" s="17" t="n">
        <f aca="false">IF($C31="","",SUMIFS('NHẬP KHO'!$E$5:$E$2004,'NHẬP KHO'!$C$5:$C$2004,$C31,'NHẬP KHO'!$D$5:$D$2004,$E31,'NHẬP KHO'!$A$5:$A$2004,"&gt;"&amp;MAX($E$3-1,'TỒN KHO'!$E$4),'NHẬP KHO'!$A$5:$A$2004,"&lt;"&amp;EDATE($E$3,1)))</f>
        <v>0</v>
      </c>
      <c r="H31" s="17" t="n">
        <f aca="false">IF($C31="","",SUMIFS('XUẤT KHO'!$E$5:$E$2004,'XUẤT KHO'!$C$5:$C$2004,$C31,'XUẤT KHO'!$D$5:$D$2004,$E31,'XUẤT KHO'!$A$5:$A$2004,"&gt;"&amp;MAX($E$3-1,'TỒN KHO'!$E$4),'XUẤT KHO'!$A$5:$A$2004,"&lt;"&amp;EDATE($E$3,1)))</f>
        <v>0</v>
      </c>
      <c r="I31" s="49" t="n">
        <f aca="false">IF($C31="","",F31+G31-H31)</f>
        <v>6</v>
      </c>
      <c r="J31" s="17" t="n">
        <f aca="false">IF($C31="","",IF('TỒN KHO'!F34="","",'TỒN KHO'!F34))</f>
        <v>462000</v>
      </c>
      <c r="K31" s="17" t="n">
        <f aca="false">IF($C31="","",IF(J31="",0,MAX(I31,0)*J31))</f>
        <v>2772000</v>
      </c>
      <c r="L31" s="17" t="n">
        <f aca="false">IF($C31="","",SUMIFS('XUẤT KHO'!$H$5:$H$2004,'XUẤT KHO'!$C$5:$C$2004,$C31,'XUẤT KHO'!$D$5:$D$2004,$E31,'XUẤT KHO'!$A$5:$A$2004,"&gt;="&amp;$E$3,'XUẤT KHO'!$A$5:$A$2004,"&lt;"&amp;EDATE($E$3,1)))</f>
        <v>0</v>
      </c>
    </row>
    <row r="32" customFormat="false" ht="15" hidden="false" customHeight="false" outlineLevel="0" collapsed="false">
      <c r="A32" s="48" t="n">
        <f aca="false">IF('TỒN KHO'!$C35="","",'TỒN KHO'!A35)</f>
        <v>25</v>
      </c>
      <c r="B32" s="16" t="str">
        <f aca="false">IF('TỒN KHO'!$C35="","",'TỒN KHO'!B35)</f>
        <v>Ngoại thất</v>
      </c>
      <c r="C32" s="16" t="str">
        <f aca="false">IF('TỒN KHO'!$C35="","",'TỒN KHO'!C35)</f>
        <v>ESI</v>
      </c>
      <c r="D32" s="16" t="str">
        <f aca="false">IF('TỒN KHO'!$C35="","",'TỒN KHO'!D35)</f>
        <v>Sơn ngoại thất bền màu Silver ESI</v>
      </c>
      <c r="E32" s="48" t="str">
        <f aca="false">IF('TỒN KHO'!$C35="","",'TỒN KHO'!E35)</f>
        <v>5L</v>
      </c>
      <c r="F32" s="17" t="n">
        <f aca="false">IF($C32="","",'TỒN KHO'!G35+SUMIFS('NHẬP KHO'!$E$5:$E$2004,'NHẬP KHO'!$C$5:$C$2004,$C32,'NHẬP KHO'!$D$5:$D$2004,$E32,'NHẬP KHO'!$A$5:$A$2004,"&gt;"&amp;'TỒN KHO'!$E$4,'NHẬP KHO'!$A$5:$A$2004,"&lt;"&amp;$E$3)-SUMIFS('XUẤT KHO'!$E$5:$E$2004,'XUẤT KHO'!$C$5:$C$2004,$C32,'XUẤT KHO'!$D$5:$D$2004,$E32,'XUẤT KHO'!$A$5:$A$2004,"&gt;"&amp;'TỒN KHO'!$E$4,'XUẤT KHO'!$A$5:$A$2004,"&lt;"&amp;$E$3))</f>
        <v>25</v>
      </c>
      <c r="G32" s="17" t="n">
        <f aca="false">IF($C32="","",SUMIFS('NHẬP KHO'!$E$5:$E$2004,'NHẬP KHO'!$C$5:$C$2004,$C32,'NHẬP KHO'!$D$5:$D$2004,$E32,'NHẬP KHO'!$A$5:$A$2004,"&gt;"&amp;MAX($E$3-1,'TỒN KHO'!$E$4),'NHẬP KHO'!$A$5:$A$2004,"&lt;"&amp;EDATE($E$3,1)))</f>
        <v>0</v>
      </c>
      <c r="H32" s="17" t="n">
        <f aca="false">IF($C32="","",SUMIFS('XUẤT KHO'!$E$5:$E$2004,'XUẤT KHO'!$C$5:$C$2004,$C32,'XUẤT KHO'!$D$5:$D$2004,$E32,'XUẤT KHO'!$A$5:$A$2004,"&gt;"&amp;MAX($E$3-1,'TỒN KHO'!$E$4),'XUẤT KHO'!$A$5:$A$2004,"&lt;"&amp;EDATE($E$3,1)))</f>
        <v>0</v>
      </c>
      <c r="I32" s="49" t="n">
        <f aca="false">IF($C32="","",F32+G32-H32)</f>
        <v>25</v>
      </c>
      <c r="J32" s="17" t="n">
        <f aca="false">IF($C32="","",IF('TỒN KHO'!F35="","",'TỒN KHO'!F35))</f>
        <v>971000</v>
      </c>
      <c r="K32" s="17" t="n">
        <f aca="false">IF($C32="","",IF(J32="",0,MAX(I32,0)*J32))</f>
        <v>24275000</v>
      </c>
      <c r="L32" s="17" t="n">
        <f aca="false">IF($C32="","",SUMIFS('XUẤT KHO'!$H$5:$H$2004,'XUẤT KHO'!$C$5:$C$2004,$C32,'XUẤT KHO'!$D$5:$D$2004,$E32,'XUẤT KHO'!$A$5:$A$2004,"&gt;="&amp;$E$3,'XUẤT KHO'!$A$5:$A$2004,"&lt;"&amp;EDATE($E$3,1)))</f>
        <v>0</v>
      </c>
    </row>
    <row r="33" customFormat="false" ht="15" hidden="false" customHeight="false" outlineLevel="0" collapsed="false">
      <c r="A33" s="48" t="n">
        <f aca="false">IF('TỒN KHO'!$C36="","",'TỒN KHO'!A36)</f>
        <v>26</v>
      </c>
      <c r="B33" s="16" t="str">
        <f aca="false">IF('TỒN KHO'!$C36="","",'TỒN KHO'!B36)</f>
        <v>Ngoại thất</v>
      </c>
      <c r="C33" s="16" t="str">
        <f aca="false">IF('TỒN KHO'!$C36="","",'TỒN KHO'!C36)</f>
        <v>ESI</v>
      </c>
      <c r="D33" s="16" t="str">
        <f aca="false">IF('TỒN KHO'!$C36="","",'TỒN KHO'!D36)</f>
        <v>Sơn ngoại thất bền màu Silver ESI</v>
      </c>
      <c r="E33" s="48" t="str">
        <f aca="false">IF('TỒN KHO'!$C36="","",'TỒN KHO'!E36)</f>
        <v>18L</v>
      </c>
      <c r="F33" s="17" t="n">
        <f aca="false">IF($C33="","",'TỒN KHO'!G36+SUMIFS('NHẬP KHO'!$E$5:$E$2004,'NHẬP KHO'!$C$5:$C$2004,$C33,'NHẬP KHO'!$D$5:$D$2004,$E33,'NHẬP KHO'!$A$5:$A$2004,"&gt;"&amp;'TỒN KHO'!$E$4,'NHẬP KHO'!$A$5:$A$2004,"&lt;"&amp;$E$3)-SUMIFS('XUẤT KHO'!$E$5:$E$2004,'XUẤT KHO'!$C$5:$C$2004,$C33,'XUẤT KHO'!$D$5:$D$2004,$E33,'XUẤT KHO'!$A$5:$A$2004,"&gt;"&amp;'TỒN KHO'!$E$4,'XUẤT KHO'!$A$5:$A$2004,"&lt;"&amp;$E$3))</f>
        <v>67</v>
      </c>
      <c r="G33" s="17" t="n">
        <f aca="false">IF($C33="","",SUMIFS('NHẬP KHO'!$E$5:$E$2004,'NHẬP KHO'!$C$5:$C$2004,$C33,'NHẬP KHO'!$D$5:$D$2004,$E33,'NHẬP KHO'!$A$5:$A$2004,"&gt;"&amp;MAX($E$3-1,'TỒN KHO'!$E$4),'NHẬP KHO'!$A$5:$A$2004,"&lt;"&amp;EDATE($E$3,1)))</f>
        <v>0</v>
      </c>
      <c r="H33" s="17" t="n">
        <f aca="false">IF($C33="","",SUMIFS('XUẤT KHO'!$E$5:$E$2004,'XUẤT KHO'!$C$5:$C$2004,$C33,'XUẤT KHO'!$D$5:$D$2004,$E33,'XUẤT KHO'!$A$5:$A$2004,"&gt;"&amp;MAX($E$3-1,'TỒN KHO'!$E$4),'XUẤT KHO'!$A$5:$A$2004,"&lt;"&amp;EDATE($E$3,1)))</f>
        <v>0</v>
      </c>
      <c r="I33" s="49" t="n">
        <f aca="false">IF($C33="","",F33+G33-H33)</f>
        <v>67</v>
      </c>
      <c r="J33" s="17" t="n">
        <f aca="false">IF($C33="","",IF('TỒN KHO'!F36="","",'TỒN KHO'!F36))</f>
        <v>3131000</v>
      </c>
      <c r="K33" s="17" t="n">
        <f aca="false">IF($C33="","",IF(J33="",0,MAX(I33,0)*J33))</f>
        <v>209777000</v>
      </c>
      <c r="L33" s="17" t="n">
        <f aca="false">IF($C33="","",SUMIFS('XUẤT KHO'!$H$5:$H$2004,'XUẤT KHO'!$C$5:$C$2004,$C33,'XUẤT KHO'!$D$5:$D$2004,$E33,'XUẤT KHO'!$A$5:$A$2004,"&gt;="&amp;$E$3,'XUẤT KHO'!$A$5:$A$2004,"&lt;"&amp;EDATE($E$3,1)))</f>
        <v>0</v>
      </c>
    </row>
    <row r="34" customFormat="false" ht="15" hidden="false" customHeight="false" outlineLevel="0" collapsed="false">
      <c r="A34" s="48" t="n">
        <f aca="false">IF('TỒN KHO'!$C37="","",'TỒN KHO'!A37)</f>
        <v>27</v>
      </c>
      <c r="B34" s="16" t="str">
        <f aca="false">IF('TỒN KHO'!$C37="","",'TỒN KHO'!B37)</f>
        <v>Ngoại thất</v>
      </c>
      <c r="C34" s="16" t="str">
        <f aca="false">IF('TỒN KHO'!$C37="","",'TỒN KHO'!C37)</f>
        <v>ESG10</v>
      </c>
      <c r="D34" s="16" t="str">
        <f aca="false">IF('TỒN KHO'!$C37="","",'TỒN KHO'!D37)</f>
        <v>Sơn ngoại thất cao cấp bóng mờ Imperia ESG10</v>
      </c>
      <c r="E34" s="48" t="str">
        <f aca="false">IF('TỒN KHO'!$C37="","",'TỒN KHO'!E37)</f>
        <v>1L</v>
      </c>
      <c r="F34" s="17" t="n">
        <f aca="false">IF($C34="","",'TỒN KHO'!G37+SUMIFS('NHẬP KHO'!$E$5:$E$2004,'NHẬP KHO'!$C$5:$C$2004,$C34,'NHẬP KHO'!$D$5:$D$2004,$E34,'NHẬP KHO'!$A$5:$A$2004,"&gt;"&amp;'TỒN KHO'!$E$4,'NHẬP KHO'!$A$5:$A$2004,"&lt;"&amp;$E$3)-SUMIFS('XUẤT KHO'!$E$5:$E$2004,'XUẤT KHO'!$C$5:$C$2004,$C34,'XUẤT KHO'!$D$5:$D$2004,$E34,'XUẤT KHO'!$A$5:$A$2004,"&gt;"&amp;'TỒN KHO'!$E$4,'XUẤT KHO'!$A$5:$A$2004,"&lt;"&amp;$E$3))</f>
        <v>110</v>
      </c>
      <c r="G34" s="17" t="n">
        <f aca="false">IF($C34="","",SUMIFS('NHẬP KHO'!$E$5:$E$2004,'NHẬP KHO'!$C$5:$C$2004,$C34,'NHẬP KHO'!$D$5:$D$2004,$E34,'NHẬP KHO'!$A$5:$A$2004,"&gt;"&amp;MAX($E$3-1,'TỒN KHO'!$E$4),'NHẬP KHO'!$A$5:$A$2004,"&lt;"&amp;EDATE($E$3,1)))</f>
        <v>0</v>
      </c>
      <c r="H34" s="17" t="n">
        <f aca="false">IF($C34="","",SUMIFS('XUẤT KHO'!$E$5:$E$2004,'XUẤT KHO'!$C$5:$C$2004,$C34,'XUẤT KHO'!$D$5:$D$2004,$E34,'XUẤT KHO'!$A$5:$A$2004,"&gt;"&amp;MAX($E$3-1,'TỒN KHO'!$E$4),'XUẤT KHO'!$A$5:$A$2004,"&lt;"&amp;EDATE($E$3,1)))</f>
        <v>4</v>
      </c>
      <c r="I34" s="49" t="n">
        <f aca="false">IF($C34="","",F34+G34-H34)</f>
        <v>106</v>
      </c>
      <c r="J34" s="17" t="n">
        <f aca="false">IF($C34="","",IF('TỒN KHO'!F37="","",'TỒN KHO'!F37))</f>
        <v>409000</v>
      </c>
      <c r="K34" s="17" t="n">
        <f aca="false">IF($C34="","",IF(J34="",0,MAX(I34,0)*J34))</f>
        <v>43354000</v>
      </c>
      <c r="L34" s="17" t="n">
        <f aca="false">IF($C34="","",SUMIFS('XUẤT KHO'!$H$5:$H$2004,'XUẤT KHO'!$C$5:$C$2004,$C34,'XUẤT KHO'!$D$5:$D$2004,$E34,'XUẤT KHO'!$A$5:$A$2004,"&gt;="&amp;$E$3,'XUẤT KHO'!$A$5:$A$2004,"&lt;"&amp;EDATE($E$3,1)))</f>
        <v>1636000</v>
      </c>
    </row>
    <row r="35" customFormat="false" ht="15" hidden="false" customHeight="false" outlineLevel="0" collapsed="false">
      <c r="A35" s="48" t="n">
        <f aca="false">IF('TỒN KHO'!$C38="","",'TỒN KHO'!A38)</f>
        <v>28</v>
      </c>
      <c r="B35" s="16" t="str">
        <f aca="false">IF('TỒN KHO'!$C38="","",'TỒN KHO'!B38)</f>
        <v>Ngoại thất</v>
      </c>
      <c r="C35" s="16" t="str">
        <f aca="false">IF('TỒN KHO'!$C38="","",'TỒN KHO'!C38)</f>
        <v>ESG10</v>
      </c>
      <c r="D35" s="16" t="str">
        <f aca="false">IF('TỒN KHO'!$C38="","",'TỒN KHO'!D38)</f>
        <v>Sơn ngoại thất cao cấp bóng mờ Imperia ESG10</v>
      </c>
      <c r="E35" s="48" t="str">
        <f aca="false">IF('TỒN KHO'!$C38="","",'TỒN KHO'!E38)</f>
        <v>5L</v>
      </c>
      <c r="F35" s="17" t="n">
        <f aca="false">IF($C35="","",'TỒN KHO'!G38+SUMIFS('NHẬP KHO'!$E$5:$E$2004,'NHẬP KHO'!$C$5:$C$2004,$C35,'NHẬP KHO'!$D$5:$D$2004,$E35,'NHẬP KHO'!$A$5:$A$2004,"&gt;"&amp;'TỒN KHO'!$E$4,'NHẬP KHO'!$A$5:$A$2004,"&lt;"&amp;$E$3)-SUMIFS('XUẤT KHO'!$E$5:$E$2004,'XUẤT KHO'!$C$5:$C$2004,$C35,'XUẤT KHO'!$D$5:$D$2004,$E35,'XUẤT KHO'!$A$5:$A$2004,"&gt;"&amp;'TỒN KHO'!$E$4,'XUẤT KHO'!$A$5:$A$2004,"&lt;"&amp;$E$3))</f>
        <v>130</v>
      </c>
      <c r="G35" s="17" t="n">
        <f aca="false">IF($C35="","",SUMIFS('NHẬP KHO'!$E$5:$E$2004,'NHẬP KHO'!$C$5:$C$2004,$C35,'NHẬP KHO'!$D$5:$D$2004,$E35,'NHẬP KHO'!$A$5:$A$2004,"&gt;"&amp;MAX($E$3-1,'TỒN KHO'!$E$4),'NHẬP KHO'!$A$5:$A$2004,"&lt;"&amp;EDATE($E$3,1)))</f>
        <v>0</v>
      </c>
      <c r="H35" s="17" t="n">
        <f aca="false">IF($C35="","",SUMIFS('XUẤT KHO'!$E$5:$E$2004,'XUẤT KHO'!$C$5:$C$2004,$C35,'XUẤT KHO'!$D$5:$D$2004,$E35,'XUẤT KHO'!$A$5:$A$2004,"&gt;"&amp;MAX($E$3-1,'TỒN KHO'!$E$4),'XUẤT KHO'!$A$5:$A$2004,"&lt;"&amp;EDATE($E$3,1)))</f>
        <v>2</v>
      </c>
      <c r="I35" s="49" t="n">
        <f aca="false">IF($C35="","",F35+G35-H35)</f>
        <v>128</v>
      </c>
      <c r="J35" s="17" t="n">
        <f aca="false">IF($C35="","",IF('TỒN KHO'!F38="","",'TỒN KHO'!F38))</f>
        <v>1536000</v>
      </c>
      <c r="K35" s="17" t="n">
        <f aca="false">IF($C35="","",IF(J35="",0,MAX(I35,0)*J35))</f>
        <v>196608000</v>
      </c>
      <c r="L35" s="17" t="n">
        <f aca="false">IF($C35="","",SUMIFS('XUẤT KHO'!$H$5:$H$2004,'XUẤT KHO'!$C$5:$C$2004,$C35,'XUẤT KHO'!$D$5:$D$2004,$E35,'XUẤT KHO'!$A$5:$A$2004,"&gt;="&amp;$E$3,'XUẤT KHO'!$A$5:$A$2004,"&lt;"&amp;EDATE($E$3,1)))</f>
        <v>3456000</v>
      </c>
    </row>
    <row r="36" customFormat="false" ht="15" hidden="false" customHeight="false" outlineLevel="0" collapsed="false">
      <c r="A36" s="48" t="n">
        <f aca="false">IF('TỒN KHO'!$C39="","",'TỒN KHO'!A39)</f>
        <v>29</v>
      </c>
      <c r="B36" s="16" t="str">
        <f aca="false">IF('TỒN KHO'!$C39="","",'TỒN KHO'!B39)</f>
        <v>Ngoại thất</v>
      </c>
      <c r="C36" s="16" t="str">
        <f aca="false">IF('TỒN KHO'!$C39="","",'TỒN KHO'!C39)</f>
        <v>ESG10</v>
      </c>
      <c r="D36" s="16" t="str">
        <f aca="false">IF('TỒN KHO'!$C39="","",'TỒN KHO'!D39)</f>
        <v>Sơn ngoại thất cao cấp bóng mờ Imperia ESG10</v>
      </c>
      <c r="E36" s="48" t="str">
        <f aca="false">IF('TỒN KHO'!$C39="","",'TỒN KHO'!E39)</f>
        <v>18L</v>
      </c>
      <c r="F36" s="17" t="n">
        <f aca="false">IF($C36="","",'TỒN KHO'!G39+SUMIFS('NHẬP KHO'!$E$5:$E$2004,'NHẬP KHO'!$C$5:$C$2004,$C36,'NHẬP KHO'!$D$5:$D$2004,$E36,'NHẬP KHO'!$A$5:$A$2004,"&gt;"&amp;'TỒN KHO'!$E$4,'NHẬP KHO'!$A$5:$A$2004,"&lt;"&amp;$E$3)-SUMIFS('XUẤT KHO'!$E$5:$E$2004,'XUẤT KHO'!$C$5:$C$2004,$C36,'XUẤT KHO'!$D$5:$D$2004,$E36,'XUẤT KHO'!$A$5:$A$2004,"&gt;"&amp;'TỒN KHO'!$E$4,'XUẤT KHO'!$A$5:$A$2004,"&lt;"&amp;$E$3))</f>
        <v>24</v>
      </c>
      <c r="G36" s="17" t="n">
        <f aca="false">IF($C36="","",SUMIFS('NHẬP KHO'!$E$5:$E$2004,'NHẬP KHO'!$C$5:$C$2004,$C36,'NHẬP KHO'!$D$5:$D$2004,$E36,'NHẬP KHO'!$A$5:$A$2004,"&gt;"&amp;MAX($E$3-1,'TỒN KHO'!$E$4),'NHẬP KHO'!$A$5:$A$2004,"&lt;"&amp;EDATE($E$3,1)))</f>
        <v>0</v>
      </c>
      <c r="H36" s="17" t="n">
        <f aca="false">IF($C36="","",SUMIFS('XUẤT KHO'!$E$5:$E$2004,'XUẤT KHO'!$C$5:$C$2004,$C36,'XUẤT KHO'!$D$5:$D$2004,$E36,'XUẤT KHO'!$A$5:$A$2004,"&gt;"&amp;MAX($E$3-1,'TỒN KHO'!$E$4),'XUẤT KHO'!$A$5:$A$2004,"&lt;"&amp;EDATE($E$3,1)))</f>
        <v>2</v>
      </c>
      <c r="I36" s="49" t="n">
        <f aca="false">IF($C36="","",F36+G36-H36)</f>
        <v>22</v>
      </c>
      <c r="J36" s="17" t="n">
        <f aca="false">IF($C36="","",IF('TỒN KHO'!F39="","",'TỒN KHO'!F39))</f>
        <v>5331000</v>
      </c>
      <c r="K36" s="17" t="n">
        <f aca="false">IF($C36="","",IF(J36="",0,MAX(I36,0)*J36))</f>
        <v>117282000</v>
      </c>
      <c r="L36" s="17" t="n">
        <f aca="false">IF($C36="","",SUMIFS('XUẤT KHO'!$H$5:$H$2004,'XUẤT KHO'!$C$5:$C$2004,$C36,'XUẤT KHO'!$D$5:$D$2004,$E36,'XUẤT KHO'!$A$5:$A$2004,"&gt;="&amp;$E$3,'XUẤT KHO'!$A$5:$A$2004,"&lt;"&amp;EDATE($E$3,1)))</f>
        <v>10662000</v>
      </c>
    </row>
    <row r="37" customFormat="false" ht="15" hidden="false" customHeight="false" outlineLevel="0" collapsed="false">
      <c r="A37" s="48" t="n">
        <f aca="false">IF('TỒN KHO'!$C40="","",'TỒN KHO'!A40)</f>
        <v>30</v>
      </c>
      <c r="B37" s="16" t="str">
        <f aca="false">IF('TỒN KHO'!$C40="","",'TỒN KHO'!B40)</f>
        <v>Ngoại thất</v>
      </c>
      <c r="C37" s="16" t="str">
        <f aca="false">IF('TỒN KHO'!$C40="","",'TỒN KHO'!C40)</f>
        <v>EG09</v>
      </c>
      <c r="D37" s="16" t="str">
        <f aca="false">IF('TỒN KHO'!$C40="","",'TỒN KHO'!D40)</f>
        <v>Sơn ngoại thất siêu bóng cao cấp Imperia EG09</v>
      </c>
      <c r="E37" s="48" t="str">
        <f aca="false">IF('TỒN KHO'!$C40="","",'TỒN KHO'!E40)</f>
        <v>1L</v>
      </c>
      <c r="F37" s="17" t="n">
        <f aca="false">IF($C37="","",'TỒN KHO'!G40+SUMIFS('NHẬP KHO'!$E$5:$E$2004,'NHẬP KHO'!$C$5:$C$2004,$C37,'NHẬP KHO'!$D$5:$D$2004,$E37,'NHẬP KHO'!$A$5:$A$2004,"&gt;"&amp;'TỒN KHO'!$E$4,'NHẬP KHO'!$A$5:$A$2004,"&lt;"&amp;$E$3)-SUMIFS('XUẤT KHO'!$E$5:$E$2004,'XUẤT KHO'!$C$5:$C$2004,$C37,'XUẤT KHO'!$D$5:$D$2004,$E37,'XUẤT KHO'!$A$5:$A$2004,"&gt;"&amp;'TỒN KHO'!$E$4,'XUẤT KHO'!$A$5:$A$2004,"&lt;"&amp;$E$3))</f>
        <v>204</v>
      </c>
      <c r="G37" s="17" t="n">
        <f aca="false">IF($C37="","",SUMIFS('NHẬP KHO'!$E$5:$E$2004,'NHẬP KHO'!$C$5:$C$2004,$C37,'NHẬP KHO'!$D$5:$D$2004,$E37,'NHẬP KHO'!$A$5:$A$2004,"&gt;"&amp;MAX($E$3-1,'TỒN KHO'!$E$4),'NHẬP KHO'!$A$5:$A$2004,"&lt;"&amp;EDATE($E$3,1)))</f>
        <v>0</v>
      </c>
      <c r="H37" s="17" t="n">
        <f aca="false">IF($C37="","",SUMIFS('XUẤT KHO'!$E$5:$E$2004,'XUẤT KHO'!$C$5:$C$2004,$C37,'XUẤT KHO'!$D$5:$D$2004,$E37,'XUẤT KHO'!$A$5:$A$2004,"&gt;"&amp;MAX($E$3-1,'TỒN KHO'!$E$4),'XUẤT KHO'!$A$5:$A$2004,"&lt;"&amp;EDATE($E$3,1)))</f>
        <v>4</v>
      </c>
      <c r="I37" s="49" t="n">
        <f aca="false">IF($C37="","",F37+G37-H37)</f>
        <v>200</v>
      </c>
      <c r="J37" s="17" t="n">
        <f aca="false">IF($C37="","",IF('TỒN KHO'!F40="","",'TỒN KHO'!F40))</f>
        <v>479000</v>
      </c>
      <c r="K37" s="17" t="n">
        <f aca="false">IF($C37="","",IF(J37="",0,MAX(I37,0)*J37))</f>
        <v>95800000</v>
      </c>
      <c r="L37" s="17" t="n">
        <f aca="false">IF($C37="","",SUMIFS('XUẤT KHO'!$H$5:$H$2004,'XUẤT KHO'!$C$5:$C$2004,$C37,'XUẤT KHO'!$D$5:$D$2004,$E37,'XUẤT KHO'!$A$5:$A$2004,"&gt;="&amp;$E$3,'XUẤT KHO'!$A$5:$A$2004,"&lt;"&amp;EDATE($E$3,1)))</f>
        <v>1971700</v>
      </c>
    </row>
    <row r="38" customFormat="false" ht="15" hidden="false" customHeight="false" outlineLevel="0" collapsed="false">
      <c r="A38" s="48" t="n">
        <f aca="false">IF('TỒN KHO'!$C41="","",'TỒN KHO'!A41)</f>
        <v>31</v>
      </c>
      <c r="B38" s="16" t="str">
        <f aca="false">IF('TỒN KHO'!$C41="","",'TỒN KHO'!B41)</f>
        <v>Ngoại thất</v>
      </c>
      <c r="C38" s="16" t="str">
        <f aca="false">IF('TỒN KHO'!$C41="","",'TỒN KHO'!C41)</f>
        <v>EG09</v>
      </c>
      <c r="D38" s="16" t="str">
        <f aca="false">IF('TỒN KHO'!$C41="","",'TỒN KHO'!D41)</f>
        <v>Sơn ngoại thất siêu bóng cao cấp Imperia EG09</v>
      </c>
      <c r="E38" s="48" t="str">
        <f aca="false">IF('TỒN KHO'!$C41="","",'TỒN KHO'!E41)</f>
        <v>5L</v>
      </c>
      <c r="F38" s="17" t="n">
        <f aca="false">IF($C38="","",'TỒN KHO'!G41+SUMIFS('NHẬP KHO'!$E$5:$E$2004,'NHẬP KHO'!$C$5:$C$2004,$C38,'NHẬP KHO'!$D$5:$D$2004,$E38,'NHẬP KHO'!$A$5:$A$2004,"&gt;"&amp;'TỒN KHO'!$E$4,'NHẬP KHO'!$A$5:$A$2004,"&lt;"&amp;$E$3)-SUMIFS('XUẤT KHO'!$E$5:$E$2004,'XUẤT KHO'!$C$5:$C$2004,$C38,'XUẤT KHO'!$D$5:$D$2004,$E38,'XUẤT KHO'!$A$5:$A$2004,"&gt;"&amp;'TỒN KHO'!$E$4,'XUẤT KHO'!$A$5:$A$2004,"&lt;"&amp;$E$3))</f>
        <v>211</v>
      </c>
      <c r="G38" s="17" t="n">
        <f aca="false">IF($C38="","",SUMIFS('NHẬP KHO'!$E$5:$E$2004,'NHẬP KHO'!$C$5:$C$2004,$C38,'NHẬP KHO'!$D$5:$D$2004,$E38,'NHẬP KHO'!$A$5:$A$2004,"&gt;"&amp;MAX($E$3-1,'TỒN KHO'!$E$4),'NHẬP KHO'!$A$5:$A$2004,"&lt;"&amp;EDATE($E$3,1)))</f>
        <v>0</v>
      </c>
      <c r="H38" s="17" t="n">
        <f aca="false">IF($C38="","",SUMIFS('XUẤT KHO'!$E$5:$E$2004,'XUẤT KHO'!$C$5:$C$2004,$C38,'XUẤT KHO'!$D$5:$D$2004,$E38,'XUẤT KHO'!$A$5:$A$2004,"&gt;"&amp;MAX($E$3-1,'TỒN KHO'!$E$4),'XUẤT KHO'!$A$5:$A$2004,"&lt;"&amp;EDATE($E$3,1)))</f>
        <v>8</v>
      </c>
      <c r="I38" s="49" t="n">
        <f aca="false">IF($C38="","",F38+G38-H38)</f>
        <v>203</v>
      </c>
      <c r="J38" s="17" t="n">
        <f aca="false">IF($C38="","",IF('TỒN KHO'!F41="","",'TỒN KHO'!F41))</f>
        <v>2089000</v>
      </c>
      <c r="K38" s="17" t="n">
        <f aca="false">IF($C38="","",IF(J38="",0,MAX(I38,0)*J38))</f>
        <v>424067000</v>
      </c>
      <c r="L38" s="17" t="n">
        <f aca="false">IF($C38="","",SUMIFS('XUẤT KHO'!$H$5:$H$2004,'XUẤT KHO'!$C$5:$C$2004,$C38,'XUẤT KHO'!$D$5:$D$2004,$E38,'XUẤT KHO'!$A$5:$A$2004,"&gt;="&amp;$E$3,'XUẤT KHO'!$A$5:$A$2004,"&lt;"&amp;EDATE($E$3,1)))</f>
        <v>17357600</v>
      </c>
    </row>
    <row r="39" customFormat="false" ht="15" hidden="false" customHeight="false" outlineLevel="0" collapsed="false">
      <c r="A39" s="48" t="n">
        <f aca="false">IF('TỒN KHO'!$C42="","",'TỒN KHO'!A42)</f>
        <v>32</v>
      </c>
      <c r="B39" s="16" t="str">
        <f aca="false">IF('TỒN KHO'!$C42="","",'TỒN KHO'!B42)</f>
        <v>Ngoại thất</v>
      </c>
      <c r="C39" s="16" t="str">
        <f aca="false">IF('TỒN KHO'!$C42="","",'TỒN KHO'!C42)</f>
        <v>EG09</v>
      </c>
      <c r="D39" s="16" t="str">
        <f aca="false">IF('TỒN KHO'!$C42="","",'TỒN KHO'!D42)</f>
        <v>Sơn ngoại thất siêu bóng cao cấp Imperia EG09</v>
      </c>
      <c r="E39" s="48" t="str">
        <f aca="false">IF('TỒN KHO'!$C42="","",'TỒN KHO'!E42)</f>
        <v>18L</v>
      </c>
      <c r="F39" s="17" t="n">
        <f aca="false">IF($C39="","",'TỒN KHO'!G42+SUMIFS('NHẬP KHO'!$E$5:$E$2004,'NHẬP KHO'!$C$5:$C$2004,$C39,'NHẬP KHO'!$D$5:$D$2004,$E39,'NHẬP KHO'!$A$5:$A$2004,"&gt;"&amp;'TỒN KHO'!$E$4,'NHẬP KHO'!$A$5:$A$2004,"&lt;"&amp;$E$3)-SUMIFS('XUẤT KHO'!$E$5:$E$2004,'XUẤT KHO'!$C$5:$C$2004,$C39,'XUẤT KHO'!$D$5:$D$2004,$E39,'XUẤT KHO'!$A$5:$A$2004,"&gt;"&amp;'TỒN KHO'!$E$4,'XUẤT KHO'!$A$5:$A$2004,"&lt;"&amp;$E$3))</f>
        <v>221</v>
      </c>
      <c r="G39" s="17" t="n">
        <f aca="false">IF($C39="","",SUMIFS('NHẬP KHO'!$E$5:$E$2004,'NHẬP KHO'!$C$5:$C$2004,$C39,'NHẬP KHO'!$D$5:$D$2004,$E39,'NHẬP KHO'!$A$5:$A$2004,"&gt;"&amp;MAX($E$3-1,'TỒN KHO'!$E$4),'NHẬP KHO'!$A$5:$A$2004,"&lt;"&amp;EDATE($E$3,1)))</f>
        <v>0</v>
      </c>
      <c r="H39" s="17" t="n">
        <f aca="false">IF($C39="","",SUMIFS('XUẤT KHO'!$E$5:$E$2004,'XUẤT KHO'!$C$5:$C$2004,$C39,'XUẤT KHO'!$D$5:$D$2004,$E39,'XUẤT KHO'!$A$5:$A$2004,"&gt;"&amp;MAX($E$3-1,'TỒN KHO'!$E$4),'XUẤT KHO'!$A$5:$A$2004,"&lt;"&amp;EDATE($E$3,1)))</f>
        <v>4</v>
      </c>
      <c r="I39" s="49" t="n">
        <f aca="false">IF($C39="","",F39+G39-H39)</f>
        <v>217</v>
      </c>
      <c r="J39" s="17" t="n">
        <f aca="false">IF($C39="","",IF('TỒN KHO'!F42="","",'TỒN KHO'!F42))</f>
        <v>6504000</v>
      </c>
      <c r="K39" s="17" t="n">
        <f aca="false">IF($C39="","",IF(J39="",0,MAX(I39,0)*J39))</f>
        <v>1411368000</v>
      </c>
      <c r="L39" s="17" t="n">
        <f aca="false">IF($C39="","",SUMIFS('XUẤT KHO'!$H$5:$H$2004,'XUẤT KHO'!$C$5:$C$2004,$C39,'XUẤT KHO'!$D$5:$D$2004,$E39,'XUẤT KHO'!$A$5:$A$2004,"&gt;="&amp;$E$3,'XUẤT KHO'!$A$5:$A$2004,"&lt;"&amp;EDATE($E$3,1)))</f>
        <v>26016000</v>
      </c>
    </row>
    <row r="40" customFormat="false" ht="15" hidden="false" customHeight="false" outlineLevel="0" collapsed="false">
      <c r="A40" s="48" t="n">
        <f aca="false">IF('TỒN KHO'!$C43="","",'TỒN KHO'!A43)</f>
        <v>33</v>
      </c>
      <c r="B40" s="16" t="str">
        <f aca="false">IF('TỒN KHO'!$C43="","",'TỒN KHO'!B43)</f>
        <v>Ngoại thất</v>
      </c>
      <c r="C40" s="16" t="str">
        <f aca="false">IF('TỒN KHO'!$C43="","",'TỒN KHO'!C43)</f>
        <v>E9</v>
      </c>
      <c r="D40" s="16" t="str">
        <f aca="false">IF('TỒN KHO'!$C43="","",'TỒN KHO'!D43)</f>
        <v>Sơn ngoại thất siêu bóng cao cấp Saphir E9</v>
      </c>
      <c r="E40" s="48" t="str">
        <f aca="false">IF('TỒN KHO'!$C43="","",'TỒN KHO'!E43)</f>
        <v>1L</v>
      </c>
      <c r="F40" s="17" t="n">
        <f aca="false">IF($C40="","",'TỒN KHO'!G43+SUMIFS('NHẬP KHO'!$E$5:$E$2004,'NHẬP KHO'!$C$5:$C$2004,$C40,'NHẬP KHO'!$D$5:$D$2004,$E40,'NHẬP KHO'!$A$5:$A$2004,"&gt;"&amp;'TỒN KHO'!$E$4,'NHẬP KHO'!$A$5:$A$2004,"&lt;"&amp;$E$3)-SUMIFS('XUẤT KHO'!$E$5:$E$2004,'XUẤT KHO'!$C$5:$C$2004,$C40,'XUẤT KHO'!$D$5:$D$2004,$E40,'XUẤT KHO'!$A$5:$A$2004,"&gt;"&amp;'TỒN KHO'!$E$4,'XUẤT KHO'!$A$5:$A$2004,"&lt;"&amp;$E$3))</f>
        <v>6</v>
      </c>
      <c r="G40" s="17" t="n">
        <f aca="false">IF($C40="","",SUMIFS('NHẬP KHO'!$E$5:$E$2004,'NHẬP KHO'!$C$5:$C$2004,$C40,'NHẬP KHO'!$D$5:$D$2004,$E40,'NHẬP KHO'!$A$5:$A$2004,"&gt;"&amp;MAX($E$3-1,'TỒN KHO'!$E$4),'NHẬP KHO'!$A$5:$A$2004,"&lt;"&amp;EDATE($E$3,1)))</f>
        <v>0</v>
      </c>
      <c r="H40" s="17" t="n">
        <f aca="false">IF($C40="","",SUMIFS('XUẤT KHO'!$E$5:$E$2004,'XUẤT KHO'!$C$5:$C$2004,$C40,'XUẤT KHO'!$D$5:$D$2004,$E40,'XUẤT KHO'!$A$5:$A$2004,"&gt;"&amp;MAX($E$3-1,'TỒN KHO'!$E$4),'XUẤT KHO'!$A$5:$A$2004,"&lt;"&amp;EDATE($E$3,1)))</f>
        <v>0</v>
      </c>
      <c r="I40" s="49" t="n">
        <f aca="false">IF($C40="","",F40+G40-H40)</f>
        <v>6</v>
      </c>
      <c r="J40" s="17" t="n">
        <f aca="false">IF($C40="","",IF('TỒN KHO'!F43="","",'TỒN KHO'!F43))</f>
        <v>579000</v>
      </c>
      <c r="K40" s="17" t="n">
        <f aca="false">IF($C40="","",IF(J40="",0,MAX(I40,0)*J40))</f>
        <v>3474000</v>
      </c>
      <c r="L40" s="17" t="n">
        <f aca="false">IF($C40="","",SUMIFS('XUẤT KHO'!$H$5:$H$2004,'XUẤT KHO'!$C$5:$C$2004,$C40,'XUẤT KHO'!$D$5:$D$2004,$E40,'XUẤT KHO'!$A$5:$A$2004,"&gt;="&amp;$E$3,'XUẤT KHO'!$A$5:$A$2004,"&lt;"&amp;EDATE($E$3,1)))</f>
        <v>0</v>
      </c>
    </row>
    <row r="41" customFormat="false" ht="15" hidden="false" customHeight="false" outlineLevel="0" collapsed="false">
      <c r="A41" s="48" t="n">
        <f aca="false">IF('TỒN KHO'!$C44="","",'TỒN KHO'!A44)</f>
        <v>34</v>
      </c>
      <c r="B41" s="16" t="str">
        <f aca="false">IF('TỒN KHO'!$C44="","",'TỒN KHO'!B44)</f>
        <v>Ngoại thất</v>
      </c>
      <c r="C41" s="16" t="str">
        <f aca="false">IF('TỒN KHO'!$C44="","",'TỒN KHO'!C44)</f>
        <v>E9</v>
      </c>
      <c r="D41" s="16" t="str">
        <f aca="false">IF('TỒN KHO'!$C44="","",'TỒN KHO'!D44)</f>
        <v>Sơn ngoại thất siêu bóng cao cấp Saphir E9</v>
      </c>
      <c r="E41" s="48" t="str">
        <f aca="false">IF('TỒN KHO'!$C44="","",'TỒN KHO'!E44)</f>
        <v>5L</v>
      </c>
      <c r="F41" s="17" t="n">
        <f aca="false">IF($C41="","",'TỒN KHO'!G44+SUMIFS('NHẬP KHO'!$E$5:$E$2004,'NHẬP KHO'!$C$5:$C$2004,$C41,'NHẬP KHO'!$D$5:$D$2004,$E41,'NHẬP KHO'!$A$5:$A$2004,"&gt;"&amp;'TỒN KHO'!$E$4,'NHẬP KHO'!$A$5:$A$2004,"&lt;"&amp;$E$3)-SUMIFS('XUẤT KHO'!$E$5:$E$2004,'XUẤT KHO'!$C$5:$C$2004,$C41,'XUẤT KHO'!$D$5:$D$2004,$E41,'XUẤT KHO'!$A$5:$A$2004,"&gt;"&amp;'TỒN KHO'!$E$4,'XUẤT KHO'!$A$5:$A$2004,"&lt;"&amp;$E$3))</f>
        <v>81</v>
      </c>
      <c r="G41" s="17" t="n">
        <f aca="false">IF($C41="","",SUMIFS('NHẬP KHO'!$E$5:$E$2004,'NHẬP KHO'!$C$5:$C$2004,$C41,'NHẬP KHO'!$D$5:$D$2004,$E41,'NHẬP KHO'!$A$5:$A$2004,"&gt;"&amp;MAX($E$3-1,'TỒN KHO'!$E$4),'NHẬP KHO'!$A$5:$A$2004,"&lt;"&amp;EDATE($E$3,1)))</f>
        <v>0</v>
      </c>
      <c r="H41" s="17" t="n">
        <f aca="false">IF($C41="","",SUMIFS('XUẤT KHO'!$E$5:$E$2004,'XUẤT KHO'!$C$5:$C$2004,$C41,'XUẤT KHO'!$D$5:$D$2004,$E41,'XUẤT KHO'!$A$5:$A$2004,"&gt;"&amp;MAX($E$3-1,'TỒN KHO'!$E$4),'XUẤT KHO'!$A$5:$A$2004,"&lt;"&amp;EDATE($E$3,1)))</f>
        <v>0</v>
      </c>
      <c r="I41" s="49" t="n">
        <f aca="false">IF($C41="","",F41+G41-H41)</f>
        <v>81</v>
      </c>
      <c r="J41" s="17" t="n">
        <f aca="false">IF($C41="","",IF('TỒN KHO'!F44="","",'TỒN KHO'!F44))</f>
        <v>2386000</v>
      </c>
      <c r="K41" s="17" t="n">
        <f aca="false">IF($C41="","",IF(J41="",0,MAX(I41,0)*J41))</f>
        <v>193266000</v>
      </c>
      <c r="L41" s="17" t="n">
        <f aca="false">IF($C41="","",SUMIFS('XUẤT KHO'!$H$5:$H$2004,'XUẤT KHO'!$C$5:$C$2004,$C41,'XUẤT KHO'!$D$5:$D$2004,$E41,'XUẤT KHO'!$A$5:$A$2004,"&gt;="&amp;$E$3,'XUẤT KHO'!$A$5:$A$2004,"&lt;"&amp;EDATE($E$3,1)))</f>
        <v>0</v>
      </c>
    </row>
    <row r="42" customFormat="false" ht="15" hidden="false" customHeight="false" outlineLevel="0" collapsed="false">
      <c r="A42" s="48" t="n">
        <f aca="false">IF('TỒN KHO'!$C45="","",'TỒN KHO'!A45)</f>
        <v>35</v>
      </c>
      <c r="B42" s="16" t="str">
        <f aca="false">IF('TỒN KHO'!$C45="","",'TỒN KHO'!B45)</f>
        <v>Chống thấm</v>
      </c>
      <c r="C42" s="16" t="str">
        <f aca="false">IF('TỒN KHO'!$C45="","",'TỒN KHO'!C45)</f>
        <v>CT12</v>
      </c>
      <c r="D42" s="16" t="str">
        <f aca="false">IF('TỒN KHO'!$C45="","",'TỒN KHO'!D45)</f>
        <v>Sơn chống thấm đa năng Imperia CT12</v>
      </c>
      <c r="E42" s="48" t="str">
        <f aca="false">IF('TỒN KHO'!$C45="","",'TỒN KHO'!E45)</f>
        <v>5L</v>
      </c>
      <c r="F42" s="17" t="n">
        <f aca="false">IF($C42="","",'TỒN KHO'!G45+SUMIFS('NHẬP KHO'!$E$5:$E$2004,'NHẬP KHO'!$C$5:$C$2004,$C42,'NHẬP KHO'!$D$5:$D$2004,$E42,'NHẬP KHO'!$A$5:$A$2004,"&gt;"&amp;'TỒN KHO'!$E$4,'NHẬP KHO'!$A$5:$A$2004,"&lt;"&amp;$E$3)-SUMIFS('XUẤT KHO'!$E$5:$E$2004,'XUẤT KHO'!$C$5:$C$2004,$C42,'XUẤT KHO'!$D$5:$D$2004,$E42,'XUẤT KHO'!$A$5:$A$2004,"&gt;"&amp;'TỒN KHO'!$E$4,'XUẤT KHO'!$A$5:$A$2004,"&lt;"&amp;$E$3))</f>
        <v>30</v>
      </c>
      <c r="G42" s="17" t="n">
        <f aca="false">IF($C42="","",SUMIFS('NHẬP KHO'!$E$5:$E$2004,'NHẬP KHO'!$C$5:$C$2004,$C42,'NHẬP KHO'!$D$5:$D$2004,$E42,'NHẬP KHO'!$A$5:$A$2004,"&gt;"&amp;MAX($E$3-1,'TỒN KHO'!$E$4),'NHẬP KHO'!$A$5:$A$2004,"&lt;"&amp;EDATE($E$3,1)))</f>
        <v>0</v>
      </c>
      <c r="H42" s="17" t="n">
        <f aca="false">IF($C42="","",SUMIFS('XUẤT KHO'!$E$5:$E$2004,'XUẤT KHO'!$C$5:$C$2004,$C42,'XUẤT KHO'!$D$5:$D$2004,$E42,'XUẤT KHO'!$A$5:$A$2004,"&gt;"&amp;MAX($E$3-1,'TỒN KHO'!$E$4),'XUẤT KHO'!$A$5:$A$2004,"&lt;"&amp;EDATE($E$3,1)))</f>
        <v>1</v>
      </c>
      <c r="I42" s="49" t="n">
        <f aca="false">IF($C42="","",F42+G42-H42)</f>
        <v>29</v>
      </c>
      <c r="J42" s="17" t="n">
        <f aca="false">IF($C42="","",IF('TỒN KHO'!F45="","",'TỒN KHO'!F45))</f>
        <v>1339000</v>
      </c>
      <c r="K42" s="17" t="n">
        <f aca="false">IF($C42="","",IF(J42="",0,MAX(I42,0)*J42))</f>
        <v>38831000</v>
      </c>
      <c r="L42" s="17" t="n">
        <f aca="false">IF($C42="","",SUMIFS('XUẤT KHO'!$H$5:$H$2004,'XUẤT KHO'!$C$5:$C$2004,$C42,'XUẤT KHO'!$D$5:$D$2004,$E42,'XUẤT KHO'!$A$5:$A$2004,"&gt;="&amp;$E$3,'XUẤT KHO'!$A$5:$A$2004,"&lt;"&amp;EDATE($E$3,1)))</f>
        <v>1339000</v>
      </c>
    </row>
    <row r="43" customFormat="false" ht="15" hidden="false" customHeight="false" outlineLevel="0" collapsed="false">
      <c r="A43" s="48" t="n">
        <f aca="false">IF('TỒN KHO'!$C46="","",'TỒN KHO'!A46)</f>
        <v>36</v>
      </c>
      <c r="B43" s="16" t="str">
        <f aca="false">IF('TỒN KHO'!$C46="","",'TỒN KHO'!B46)</f>
        <v>Chống thấm</v>
      </c>
      <c r="C43" s="16" t="str">
        <f aca="false">IF('TỒN KHO'!$C46="","",'TỒN KHO'!C46)</f>
        <v>CT12</v>
      </c>
      <c r="D43" s="16" t="str">
        <f aca="false">IF('TỒN KHO'!$C46="","",'TỒN KHO'!D46)</f>
        <v>Sơn chống thấm đa năng Imperia CT12</v>
      </c>
      <c r="E43" s="48" t="str">
        <f aca="false">IF('TỒN KHO'!$C46="","",'TỒN KHO'!E46)</f>
        <v>18L</v>
      </c>
      <c r="F43" s="17" t="n">
        <f aca="false">IF($C43="","",'TỒN KHO'!G46+SUMIFS('NHẬP KHO'!$E$5:$E$2004,'NHẬP KHO'!$C$5:$C$2004,$C43,'NHẬP KHO'!$D$5:$D$2004,$E43,'NHẬP KHO'!$A$5:$A$2004,"&gt;"&amp;'TỒN KHO'!$E$4,'NHẬP KHO'!$A$5:$A$2004,"&lt;"&amp;$E$3)-SUMIFS('XUẤT KHO'!$E$5:$E$2004,'XUẤT KHO'!$C$5:$C$2004,$C43,'XUẤT KHO'!$D$5:$D$2004,$E43,'XUẤT KHO'!$A$5:$A$2004,"&gt;"&amp;'TỒN KHO'!$E$4,'XUẤT KHO'!$A$5:$A$2004,"&lt;"&amp;$E$3))</f>
        <v>23</v>
      </c>
      <c r="G43" s="17" t="n">
        <f aca="false">IF($C43="","",SUMIFS('NHẬP KHO'!$E$5:$E$2004,'NHẬP KHO'!$C$5:$C$2004,$C43,'NHẬP KHO'!$D$5:$D$2004,$E43,'NHẬP KHO'!$A$5:$A$2004,"&gt;"&amp;MAX($E$3-1,'TỒN KHO'!$E$4),'NHẬP KHO'!$A$5:$A$2004,"&lt;"&amp;EDATE($E$3,1)))</f>
        <v>0</v>
      </c>
      <c r="H43" s="17" t="n">
        <f aca="false">IF($C43="","",SUMIFS('XUẤT KHO'!$E$5:$E$2004,'XUẤT KHO'!$C$5:$C$2004,$C43,'XUẤT KHO'!$D$5:$D$2004,$E43,'XUẤT KHO'!$A$5:$A$2004,"&gt;"&amp;MAX($E$3-1,'TỒN KHO'!$E$4),'XUẤT KHO'!$A$5:$A$2004,"&lt;"&amp;EDATE($E$3,1)))</f>
        <v>0</v>
      </c>
      <c r="I43" s="49" t="n">
        <f aca="false">IF($C43="","",F43+G43-H43)</f>
        <v>23</v>
      </c>
      <c r="J43" s="17" t="n">
        <f aca="false">IF($C43="","",IF('TỒN KHO'!F46="","",'TỒN KHO'!F46))</f>
        <v>4106000</v>
      </c>
      <c r="K43" s="17" t="n">
        <f aca="false">IF($C43="","",IF(J43="",0,MAX(I43,0)*J43))</f>
        <v>94438000</v>
      </c>
      <c r="L43" s="17" t="n">
        <f aca="false">IF($C43="","",SUMIFS('XUẤT KHO'!$H$5:$H$2004,'XUẤT KHO'!$C$5:$C$2004,$C43,'XUẤT KHO'!$D$5:$D$2004,$E43,'XUẤT KHO'!$A$5:$A$2004,"&gt;="&amp;$E$3,'XUẤT KHO'!$A$5:$A$2004,"&lt;"&amp;EDATE($E$3,1)))</f>
        <v>0</v>
      </c>
    </row>
    <row r="44" customFormat="false" ht="15" hidden="false" customHeight="false" outlineLevel="0" collapsed="false">
      <c r="A44" s="48" t="n">
        <f aca="false">IF('TỒN KHO'!$C47="","",'TỒN KHO'!A47)</f>
        <v>37</v>
      </c>
      <c r="B44" s="16" t="str">
        <f aca="false">IF('TỒN KHO'!$C47="","",'TỒN KHO'!B47)</f>
        <v>Chống thấm</v>
      </c>
      <c r="C44" s="16" t="str">
        <f aca="false">IF('TỒN KHO'!$C47="","",'TỒN KHO'!C47)</f>
        <v>ETM-309</v>
      </c>
      <c r="D44" s="16" t="str">
        <f aca="false">IF('TỒN KHO'!$C47="","",'TỒN KHO'!D47)</f>
        <v>Sơn chống thấm màu ETM 309 (ghi đậm)</v>
      </c>
      <c r="E44" s="48" t="str">
        <f aca="false">IF('TỒN KHO'!$C47="","",'TỒN KHO'!E47)</f>
        <v>5L</v>
      </c>
      <c r="F44" s="17" t="n">
        <f aca="false">IF($C44="","",'TỒN KHO'!G47+SUMIFS('NHẬP KHO'!$E$5:$E$2004,'NHẬP KHO'!$C$5:$C$2004,$C44,'NHẬP KHO'!$D$5:$D$2004,$E44,'NHẬP KHO'!$A$5:$A$2004,"&gt;"&amp;'TỒN KHO'!$E$4,'NHẬP KHO'!$A$5:$A$2004,"&lt;"&amp;$E$3)-SUMIFS('XUẤT KHO'!$E$5:$E$2004,'XUẤT KHO'!$C$5:$C$2004,$C44,'XUẤT KHO'!$D$5:$D$2004,$E44,'XUẤT KHO'!$A$5:$A$2004,"&gt;"&amp;'TỒN KHO'!$E$4,'XUẤT KHO'!$A$5:$A$2004,"&lt;"&amp;$E$3))</f>
        <v>14</v>
      </c>
      <c r="G44" s="17" t="n">
        <f aca="false">IF($C44="","",SUMIFS('NHẬP KHO'!$E$5:$E$2004,'NHẬP KHO'!$C$5:$C$2004,$C44,'NHẬP KHO'!$D$5:$D$2004,$E44,'NHẬP KHO'!$A$5:$A$2004,"&gt;"&amp;MAX($E$3-1,'TỒN KHO'!$E$4),'NHẬP KHO'!$A$5:$A$2004,"&lt;"&amp;EDATE($E$3,1)))</f>
        <v>0</v>
      </c>
      <c r="H44" s="17" t="n">
        <f aca="false">IF($C44="","",SUMIFS('XUẤT KHO'!$E$5:$E$2004,'XUẤT KHO'!$C$5:$C$2004,$C44,'XUẤT KHO'!$D$5:$D$2004,$E44,'XUẤT KHO'!$A$5:$A$2004,"&gt;"&amp;MAX($E$3-1,'TỒN KHO'!$E$4),'XUẤT KHO'!$A$5:$A$2004,"&lt;"&amp;EDATE($E$3,1)))</f>
        <v>1</v>
      </c>
      <c r="I44" s="49" t="n">
        <f aca="false">IF($C44="","",F44+G44-H44)</f>
        <v>13</v>
      </c>
      <c r="J44" s="17" t="n">
        <f aca="false">IF($C44="","",IF('TỒN KHO'!F47="","",'TỒN KHO'!F47))</f>
        <v>1447000</v>
      </c>
      <c r="K44" s="17" t="n">
        <f aca="false">IF($C44="","",IF(J44="",0,MAX(I44,0)*J44))</f>
        <v>18811000</v>
      </c>
      <c r="L44" s="17" t="n">
        <f aca="false">IF($C44="","",SUMIFS('XUẤT KHO'!$H$5:$H$2004,'XUẤT KHO'!$C$5:$C$2004,$C44,'XUẤT KHO'!$D$5:$D$2004,$E44,'XUẤT KHO'!$A$5:$A$2004,"&gt;="&amp;$E$3,'XUẤT KHO'!$A$5:$A$2004,"&lt;"&amp;EDATE($E$3,1)))</f>
        <v>1447000</v>
      </c>
    </row>
    <row r="45" customFormat="false" ht="15" hidden="false" customHeight="false" outlineLevel="0" collapsed="false">
      <c r="A45" s="48" t="n">
        <f aca="false">IF('TỒN KHO'!$C48="","",'TỒN KHO'!A48)</f>
        <v>38</v>
      </c>
      <c r="B45" s="16" t="str">
        <f aca="false">IF('TỒN KHO'!$C48="","",'TỒN KHO'!B48)</f>
        <v>Chống thấm</v>
      </c>
      <c r="C45" s="16" t="str">
        <f aca="false">IF('TỒN KHO'!$C48="","",'TỒN KHO'!C48)</f>
        <v>ETM-309</v>
      </c>
      <c r="D45" s="16" t="str">
        <f aca="false">IF('TỒN KHO'!$C48="","",'TỒN KHO'!D48)</f>
        <v>Sơn chống thấm màu ETM 309 (ghi đậm)</v>
      </c>
      <c r="E45" s="48" t="str">
        <f aca="false">IF('TỒN KHO'!$C48="","",'TỒN KHO'!E48)</f>
        <v>18L</v>
      </c>
      <c r="F45" s="17" t="n">
        <f aca="false">IF($C45="","",'TỒN KHO'!G48+SUMIFS('NHẬP KHO'!$E$5:$E$2004,'NHẬP KHO'!$C$5:$C$2004,$C45,'NHẬP KHO'!$D$5:$D$2004,$E45,'NHẬP KHO'!$A$5:$A$2004,"&gt;"&amp;'TỒN KHO'!$E$4,'NHẬP KHO'!$A$5:$A$2004,"&lt;"&amp;$E$3)-SUMIFS('XUẤT KHO'!$E$5:$E$2004,'XUẤT KHO'!$C$5:$C$2004,$C45,'XUẤT KHO'!$D$5:$D$2004,$E45,'XUẤT KHO'!$A$5:$A$2004,"&gt;"&amp;'TỒN KHO'!$E$4,'XUẤT KHO'!$A$5:$A$2004,"&lt;"&amp;$E$3))</f>
        <v>87</v>
      </c>
      <c r="G45" s="17" t="n">
        <f aca="false">IF($C45="","",SUMIFS('NHẬP KHO'!$E$5:$E$2004,'NHẬP KHO'!$C$5:$C$2004,$C45,'NHẬP KHO'!$D$5:$D$2004,$E45,'NHẬP KHO'!$A$5:$A$2004,"&gt;"&amp;MAX($E$3-1,'TỒN KHO'!$E$4),'NHẬP KHO'!$A$5:$A$2004,"&lt;"&amp;EDATE($E$3,1)))</f>
        <v>0</v>
      </c>
      <c r="H45" s="17" t="n">
        <f aca="false">IF($C45="","",SUMIFS('XUẤT KHO'!$E$5:$E$2004,'XUẤT KHO'!$C$5:$C$2004,$C45,'XUẤT KHO'!$D$5:$D$2004,$E45,'XUẤT KHO'!$A$5:$A$2004,"&gt;"&amp;MAX($E$3-1,'TỒN KHO'!$E$4),'XUẤT KHO'!$A$5:$A$2004,"&lt;"&amp;EDATE($E$3,1)))</f>
        <v>6</v>
      </c>
      <c r="I45" s="49" t="n">
        <f aca="false">IF($C45="","",F45+G45-H45)</f>
        <v>81</v>
      </c>
      <c r="J45" s="17" t="n">
        <f aca="false">IF($C45="","",IF('TỒN KHO'!F48="","",'TỒN KHO'!F48))</f>
        <v>4821000</v>
      </c>
      <c r="K45" s="17" t="n">
        <f aca="false">IF($C45="","",IF(J45="",0,MAX(I45,0)*J45))</f>
        <v>390501000</v>
      </c>
      <c r="L45" s="17" t="n">
        <f aca="false">IF($C45="","",SUMIFS('XUẤT KHO'!$H$5:$H$2004,'XUẤT KHO'!$C$5:$C$2004,$C45,'XUẤT KHO'!$D$5:$D$2004,$E45,'XUẤT KHO'!$A$5:$A$2004,"&gt;="&amp;$E$3,'XUẤT KHO'!$A$5:$A$2004,"&lt;"&amp;EDATE($E$3,1)))</f>
        <v>28926000</v>
      </c>
    </row>
    <row r="46" customFormat="false" ht="15" hidden="false" customHeight="false" outlineLevel="0" collapsed="false">
      <c r="A46" s="48" t="n">
        <f aca="false">IF('TỒN KHO'!$C49="","",'TỒN KHO'!A49)</f>
        <v>39</v>
      </c>
      <c r="B46" s="16" t="str">
        <f aca="false">IF('TỒN KHO'!$C49="","",'TỒN KHO'!B49)</f>
        <v>Chống thấm</v>
      </c>
      <c r="C46" s="16" t="str">
        <f aca="false">IF('TỒN KHO'!$C49="","",'TỒN KHO'!C49)</f>
        <v>ETM-99</v>
      </c>
      <c r="D46" s="16" t="str">
        <f aca="false">IF('TỒN KHO'!$C49="","",'TỒN KHO'!D49)</f>
        <v>Sơn chống thấm ETM 99 (trắng)</v>
      </c>
      <c r="E46" s="48" t="str">
        <f aca="false">IF('TỒN KHO'!$C49="","",'TỒN KHO'!E49)</f>
        <v>5L</v>
      </c>
      <c r="F46" s="17" t="n">
        <f aca="false">IF($C46="","",'TỒN KHO'!G49+SUMIFS('NHẬP KHO'!$E$5:$E$2004,'NHẬP KHO'!$C$5:$C$2004,$C46,'NHẬP KHO'!$D$5:$D$2004,$E46,'NHẬP KHO'!$A$5:$A$2004,"&gt;"&amp;'TỒN KHO'!$E$4,'NHẬP KHO'!$A$5:$A$2004,"&lt;"&amp;$E$3)-SUMIFS('XUẤT KHO'!$E$5:$E$2004,'XUẤT KHO'!$C$5:$C$2004,$C46,'XUẤT KHO'!$D$5:$D$2004,$E46,'XUẤT KHO'!$A$5:$A$2004,"&gt;"&amp;'TỒN KHO'!$E$4,'XUẤT KHO'!$A$5:$A$2004,"&lt;"&amp;$E$3))</f>
        <v>0</v>
      </c>
      <c r="G46" s="17" t="n">
        <f aca="false">IF($C46="","",SUMIFS('NHẬP KHO'!$E$5:$E$2004,'NHẬP KHO'!$C$5:$C$2004,$C46,'NHẬP KHO'!$D$5:$D$2004,$E46,'NHẬP KHO'!$A$5:$A$2004,"&gt;"&amp;MAX($E$3-1,'TỒN KHO'!$E$4),'NHẬP KHO'!$A$5:$A$2004,"&lt;"&amp;EDATE($E$3,1)))</f>
        <v>0</v>
      </c>
      <c r="H46" s="17" t="n">
        <f aca="false">IF($C46="","",SUMIFS('XUẤT KHO'!$E$5:$E$2004,'XUẤT KHO'!$C$5:$C$2004,$C46,'XUẤT KHO'!$D$5:$D$2004,$E46,'XUẤT KHO'!$A$5:$A$2004,"&gt;"&amp;MAX($E$3-1,'TỒN KHO'!$E$4),'XUẤT KHO'!$A$5:$A$2004,"&lt;"&amp;EDATE($E$3,1)))</f>
        <v>0</v>
      </c>
      <c r="I46" s="49" t="n">
        <f aca="false">IF($C46="","",F46+G46-H46)</f>
        <v>0</v>
      </c>
      <c r="J46" s="17" t="n">
        <f aca="false">IF($C46="","",IF('TỒN KHO'!F49="","",'TỒN KHO'!F49))</f>
        <v>1447000</v>
      </c>
      <c r="K46" s="17" t="n">
        <f aca="false">IF($C46="","",IF(J46="",0,MAX(I46,0)*J46))</f>
        <v>0</v>
      </c>
      <c r="L46" s="17" t="n">
        <f aca="false">IF($C46="","",SUMIFS('XUẤT KHO'!$H$5:$H$2004,'XUẤT KHO'!$C$5:$C$2004,$C46,'XUẤT KHO'!$D$5:$D$2004,$E46,'XUẤT KHO'!$A$5:$A$2004,"&gt;="&amp;$E$3,'XUẤT KHO'!$A$5:$A$2004,"&lt;"&amp;EDATE($E$3,1)))</f>
        <v>0</v>
      </c>
    </row>
    <row r="47" customFormat="false" ht="15" hidden="false" customHeight="false" outlineLevel="0" collapsed="false">
      <c r="A47" s="48" t="n">
        <f aca="false">IF('TỒN KHO'!$C50="","",'TỒN KHO'!A50)</f>
        <v>40</v>
      </c>
      <c r="B47" s="16" t="str">
        <f aca="false">IF('TỒN KHO'!$C50="","",'TỒN KHO'!B50)</f>
        <v>Chống thấm</v>
      </c>
      <c r="C47" s="16" t="str">
        <f aca="false">IF('TỒN KHO'!$C50="","",'TỒN KHO'!C50)</f>
        <v>ETM-99</v>
      </c>
      <c r="D47" s="16" t="str">
        <f aca="false">IF('TỒN KHO'!$C50="","",'TỒN KHO'!D50)</f>
        <v>Sơn chống thấm ETM 99 (trắng)</v>
      </c>
      <c r="E47" s="48" t="str">
        <f aca="false">IF('TỒN KHO'!$C50="","",'TỒN KHO'!E50)</f>
        <v>18L</v>
      </c>
      <c r="F47" s="17" t="n">
        <f aca="false">IF($C47="","",'TỒN KHO'!G50+SUMIFS('NHẬP KHO'!$E$5:$E$2004,'NHẬP KHO'!$C$5:$C$2004,$C47,'NHẬP KHO'!$D$5:$D$2004,$E47,'NHẬP KHO'!$A$5:$A$2004,"&gt;"&amp;'TỒN KHO'!$E$4,'NHẬP KHO'!$A$5:$A$2004,"&lt;"&amp;$E$3)-SUMIFS('XUẤT KHO'!$E$5:$E$2004,'XUẤT KHO'!$C$5:$C$2004,$C47,'XUẤT KHO'!$D$5:$D$2004,$E47,'XUẤT KHO'!$A$5:$A$2004,"&gt;"&amp;'TỒN KHO'!$E$4,'XUẤT KHO'!$A$5:$A$2004,"&lt;"&amp;$E$3))</f>
        <v>4</v>
      </c>
      <c r="G47" s="17" t="n">
        <f aca="false">IF($C47="","",SUMIFS('NHẬP KHO'!$E$5:$E$2004,'NHẬP KHO'!$C$5:$C$2004,$C47,'NHẬP KHO'!$D$5:$D$2004,$E47,'NHẬP KHO'!$A$5:$A$2004,"&gt;"&amp;MAX($E$3-1,'TỒN KHO'!$E$4),'NHẬP KHO'!$A$5:$A$2004,"&lt;"&amp;EDATE($E$3,1)))</f>
        <v>0</v>
      </c>
      <c r="H47" s="17" t="n">
        <f aca="false">IF($C47="","",SUMIFS('XUẤT KHO'!$E$5:$E$2004,'XUẤT KHO'!$C$5:$C$2004,$C47,'XUẤT KHO'!$D$5:$D$2004,$E47,'XUẤT KHO'!$A$5:$A$2004,"&gt;"&amp;MAX($E$3-1,'TỒN KHO'!$E$4),'XUẤT KHO'!$A$5:$A$2004,"&lt;"&amp;EDATE($E$3,1)))</f>
        <v>0</v>
      </c>
      <c r="I47" s="49" t="n">
        <f aca="false">IF($C47="","",F47+G47-H47)</f>
        <v>4</v>
      </c>
      <c r="J47" s="17" t="n">
        <f aca="false">IF($C47="","",IF('TỒN KHO'!F50="","",'TỒN KHO'!F50))</f>
        <v>4821000</v>
      </c>
      <c r="K47" s="17" t="n">
        <f aca="false">IF($C47="","",IF(J47="",0,MAX(I47,0)*J47))</f>
        <v>19284000</v>
      </c>
      <c r="L47" s="17" t="n">
        <f aca="false">IF($C47="","",SUMIFS('XUẤT KHO'!$H$5:$H$2004,'XUẤT KHO'!$C$5:$C$2004,$C47,'XUẤT KHO'!$D$5:$D$2004,$E47,'XUẤT KHO'!$A$5:$A$2004,"&gt;="&amp;$E$3,'XUẤT KHO'!$A$5:$A$2004,"&lt;"&amp;EDATE($E$3,1)))</f>
        <v>0</v>
      </c>
    </row>
    <row r="48" customFormat="false" ht="15" hidden="false" customHeight="false" outlineLevel="0" collapsed="false">
      <c r="A48" s="48" t="n">
        <f aca="false">IF('TỒN KHO'!$C51="","",'TỒN KHO'!A51)</f>
        <v>41</v>
      </c>
      <c r="B48" s="16" t="str">
        <f aca="false">IF('TỒN KHO'!$C51="","",'TỒN KHO'!B51)</f>
        <v>Chống thấm</v>
      </c>
      <c r="C48" s="16" t="str">
        <f aca="false">IF('TỒN KHO'!$C51="","",'TỒN KHO'!C51)</f>
        <v>ETM-303</v>
      </c>
      <c r="D48" s="16" t="str">
        <f aca="false">IF('TỒN KHO'!$C51="","",'TỒN KHO'!D51)</f>
        <v>Sơn chống thấm màu ETM 303 (ghi nhạt)</v>
      </c>
      <c r="E48" s="48" t="str">
        <f aca="false">IF('TỒN KHO'!$C51="","",'TỒN KHO'!E51)</f>
        <v>5L</v>
      </c>
      <c r="F48" s="17" t="n">
        <f aca="false">IF($C48="","",'TỒN KHO'!G51+SUMIFS('NHẬP KHO'!$E$5:$E$2004,'NHẬP KHO'!$C$5:$C$2004,$C48,'NHẬP KHO'!$D$5:$D$2004,$E48,'NHẬP KHO'!$A$5:$A$2004,"&gt;"&amp;'TỒN KHO'!$E$4,'NHẬP KHO'!$A$5:$A$2004,"&lt;"&amp;$E$3)-SUMIFS('XUẤT KHO'!$E$5:$E$2004,'XUẤT KHO'!$C$5:$C$2004,$C48,'XUẤT KHO'!$D$5:$D$2004,$E48,'XUẤT KHO'!$A$5:$A$2004,"&gt;"&amp;'TỒN KHO'!$E$4,'XUẤT KHO'!$A$5:$A$2004,"&lt;"&amp;$E$3))</f>
        <v>3</v>
      </c>
      <c r="G48" s="17" t="n">
        <f aca="false">IF($C48="","",SUMIFS('NHẬP KHO'!$E$5:$E$2004,'NHẬP KHO'!$C$5:$C$2004,$C48,'NHẬP KHO'!$D$5:$D$2004,$E48,'NHẬP KHO'!$A$5:$A$2004,"&gt;"&amp;MAX($E$3-1,'TỒN KHO'!$E$4),'NHẬP KHO'!$A$5:$A$2004,"&lt;"&amp;EDATE($E$3,1)))</f>
        <v>0</v>
      </c>
      <c r="H48" s="17" t="n">
        <f aca="false">IF($C48="","",SUMIFS('XUẤT KHO'!$E$5:$E$2004,'XUẤT KHO'!$C$5:$C$2004,$C48,'XUẤT KHO'!$D$5:$D$2004,$E48,'XUẤT KHO'!$A$5:$A$2004,"&gt;"&amp;MAX($E$3-1,'TỒN KHO'!$E$4),'XUẤT KHO'!$A$5:$A$2004,"&lt;"&amp;EDATE($E$3,1)))</f>
        <v>0</v>
      </c>
      <c r="I48" s="49" t="n">
        <f aca="false">IF($C48="","",F48+G48-H48)</f>
        <v>3</v>
      </c>
      <c r="J48" s="17" t="n">
        <f aca="false">IF($C48="","",IF('TỒN KHO'!F51="","",'TỒN KHO'!F51))</f>
        <v>1447000</v>
      </c>
      <c r="K48" s="17" t="n">
        <f aca="false">IF($C48="","",IF(J48="",0,MAX(I48,0)*J48))</f>
        <v>4341000</v>
      </c>
      <c r="L48" s="17" t="n">
        <f aca="false">IF($C48="","",SUMIFS('XUẤT KHO'!$H$5:$H$2004,'XUẤT KHO'!$C$5:$C$2004,$C48,'XUẤT KHO'!$D$5:$D$2004,$E48,'XUẤT KHO'!$A$5:$A$2004,"&gt;="&amp;$E$3,'XUẤT KHO'!$A$5:$A$2004,"&lt;"&amp;EDATE($E$3,1)))</f>
        <v>0</v>
      </c>
    </row>
    <row r="49" customFormat="false" ht="15" hidden="false" customHeight="false" outlineLevel="0" collapsed="false">
      <c r="A49" s="48" t="n">
        <f aca="false">IF('TỒN KHO'!$C52="","",'TỒN KHO'!A52)</f>
        <v>42</v>
      </c>
      <c r="B49" s="16" t="str">
        <f aca="false">IF('TỒN KHO'!$C52="","",'TỒN KHO'!B52)</f>
        <v>Chống thấm</v>
      </c>
      <c r="C49" s="16" t="str">
        <f aca="false">IF('TỒN KHO'!$C52="","",'TỒN KHO'!C52)</f>
        <v>ETM-303</v>
      </c>
      <c r="D49" s="16" t="str">
        <f aca="false">IF('TỒN KHO'!$C52="","",'TỒN KHO'!D52)</f>
        <v>Sơn chống thấm màu ETM 303 (ghi nhạt)</v>
      </c>
      <c r="E49" s="48" t="str">
        <f aca="false">IF('TỒN KHO'!$C52="","",'TỒN KHO'!E52)</f>
        <v>18L</v>
      </c>
      <c r="F49" s="17" t="n">
        <f aca="false">IF($C49="","",'TỒN KHO'!G52+SUMIFS('NHẬP KHO'!$E$5:$E$2004,'NHẬP KHO'!$C$5:$C$2004,$C49,'NHẬP KHO'!$D$5:$D$2004,$E49,'NHẬP KHO'!$A$5:$A$2004,"&gt;"&amp;'TỒN KHO'!$E$4,'NHẬP KHO'!$A$5:$A$2004,"&lt;"&amp;$E$3)-SUMIFS('XUẤT KHO'!$E$5:$E$2004,'XUẤT KHO'!$C$5:$C$2004,$C49,'XUẤT KHO'!$D$5:$D$2004,$E49,'XUẤT KHO'!$A$5:$A$2004,"&gt;"&amp;'TỒN KHO'!$E$4,'XUẤT KHO'!$A$5:$A$2004,"&lt;"&amp;$E$3))</f>
        <v>0</v>
      </c>
      <c r="G49" s="17" t="n">
        <f aca="false">IF($C49="","",SUMIFS('NHẬP KHO'!$E$5:$E$2004,'NHẬP KHO'!$C$5:$C$2004,$C49,'NHẬP KHO'!$D$5:$D$2004,$E49,'NHẬP KHO'!$A$5:$A$2004,"&gt;"&amp;MAX($E$3-1,'TỒN KHO'!$E$4),'NHẬP KHO'!$A$5:$A$2004,"&lt;"&amp;EDATE($E$3,1)))</f>
        <v>0</v>
      </c>
      <c r="H49" s="17" t="n">
        <f aca="false">IF($C49="","",SUMIFS('XUẤT KHO'!$E$5:$E$2004,'XUẤT KHO'!$C$5:$C$2004,$C49,'XUẤT KHO'!$D$5:$D$2004,$E49,'XUẤT KHO'!$A$5:$A$2004,"&gt;"&amp;MAX($E$3-1,'TỒN KHO'!$E$4),'XUẤT KHO'!$A$5:$A$2004,"&lt;"&amp;EDATE($E$3,1)))</f>
        <v>0</v>
      </c>
      <c r="I49" s="49" t="n">
        <f aca="false">IF($C49="","",F49+G49-H49)</f>
        <v>0</v>
      </c>
      <c r="J49" s="17" t="n">
        <f aca="false">IF($C49="","",IF('TỒN KHO'!F52="","",'TỒN KHO'!F52))</f>
        <v>4821000</v>
      </c>
      <c r="K49" s="17" t="n">
        <f aca="false">IF($C49="","",IF(J49="",0,MAX(I49,0)*J49))</f>
        <v>0</v>
      </c>
      <c r="L49" s="17" t="n">
        <f aca="false">IF($C49="","",SUMIFS('XUẤT KHO'!$H$5:$H$2004,'XUẤT KHO'!$C$5:$C$2004,$C49,'XUẤT KHO'!$D$5:$D$2004,$E49,'XUẤT KHO'!$A$5:$A$2004,"&gt;="&amp;$E$3,'XUẤT KHO'!$A$5:$A$2004,"&lt;"&amp;EDATE($E$3,1)))</f>
        <v>0</v>
      </c>
    </row>
    <row r="50" customFormat="false" ht="15" hidden="false" customHeight="false" outlineLevel="0" collapsed="false">
      <c r="A50" s="48" t="n">
        <f aca="false">IF('TỒN KHO'!$C53="","",'TỒN KHO'!A53)</f>
        <v>43</v>
      </c>
      <c r="B50" s="16" t="str">
        <f aca="false">IF('TỒN KHO'!$C53="","",'TỒN KHO'!B53)</f>
        <v>Chống thấm</v>
      </c>
      <c r="C50" s="16" t="str">
        <f aca="false">IF('TỒN KHO'!$C53="","",'TỒN KHO'!C53)</f>
        <v>CTS</v>
      </c>
      <c r="D50" s="16" t="str">
        <f aca="false">IF('TỒN KHO'!$C53="","",'TỒN KHO'!D53)</f>
        <v>Sơn chống thấm siêu co giãn CTS-01</v>
      </c>
      <c r="E50" s="48" t="str">
        <f aca="false">IF('TỒN KHO'!$C53="","",'TỒN KHO'!E53)</f>
        <v>5L</v>
      </c>
      <c r="F50" s="17" t="n">
        <f aca="false">IF($C50="","",'TỒN KHO'!G53+SUMIFS('NHẬP KHO'!$E$5:$E$2004,'NHẬP KHO'!$C$5:$C$2004,$C50,'NHẬP KHO'!$D$5:$D$2004,$E50,'NHẬP KHO'!$A$5:$A$2004,"&gt;"&amp;'TỒN KHO'!$E$4,'NHẬP KHO'!$A$5:$A$2004,"&lt;"&amp;$E$3)-SUMIFS('XUẤT KHO'!$E$5:$E$2004,'XUẤT KHO'!$C$5:$C$2004,$C50,'XUẤT KHO'!$D$5:$D$2004,$E50,'XUẤT KHO'!$A$5:$A$2004,"&gt;"&amp;'TỒN KHO'!$E$4,'XUẤT KHO'!$A$5:$A$2004,"&lt;"&amp;$E$3))</f>
        <v>0</v>
      </c>
      <c r="G50" s="17" t="n">
        <f aca="false">IF($C50="","",SUMIFS('NHẬP KHO'!$E$5:$E$2004,'NHẬP KHO'!$C$5:$C$2004,$C50,'NHẬP KHO'!$D$5:$D$2004,$E50,'NHẬP KHO'!$A$5:$A$2004,"&gt;"&amp;MAX($E$3-1,'TỒN KHO'!$E$4),'NHẬP KHO'!$A$5:$A$2004,"&lt;"&amp;EDATE($E$3,1)))</f>
        <v>0</v>
      </c>
      <c r="H50" s="17" t="n">
        <f aca="false">IF($C50="","",SUMIFS('XUẤT KHO'!$E$5:$E$2004,'XUẤT KHO'!$C$5:$C$2004,$C50,'XUẤT KHO'!$D$5:$D$2004,$E50,'XUẤT KHO'!$A$5:$A$2004,"&gt;"&amp;MAX($E$3-1,'TỒN KHO'!$E$4),'XUẤT KHO'!$A$5:$A$2004,"&lt;"&amp;EDATE($E$3,1)))</f>
        <v>1</v>
      </c>
      <c r="I50" s="49" t="n">
        <f aca="false">IF($C50="","",F50+G50-H50)</f>
        <v>-1</v>
      </c>
      <c r="J50" s="17" t="n">
        <f aca="false">IF($C50="","",IF('TỒN KHO'!F53="","",'TỒN KHO'!F53))</f>
        <v>1470000</v>
      </c>
      <c r="K50" s="17" t="n">
        <f aca="false">IF($C50="","",IF(J50="",0,MAX(I50,0)*J50))</f>
        <v>0</v>
      </c>
      <c r="L50" s="17" t="n">
        <f aca="false">IF($C50="","",SUMIFS('XUẤT KHO'!$H$5:$H$2004,'XUẤT KHO'!$C$5:$C$2004,$C50,'XUẤT KHO'!$D$5:$D$2004,$E50,'XUẤT KHO'!$A$5:$A$2004,"&gt;="&amp;$E$3,'XUẤT KHO'!$A$5:$A$2004,"&lt;"&amp;EDATE($E$3,1)))</f>
        <v>1470000</v>
      </c>
    </row>
    <row r="51" customFormat="false" ht="15" hidden="false" customHeight="false" outlineLevel="0" collapsed="false">
      <c r="A51" s="48" t="n">
        <f aca="false">IF('TỒN KHO'!$C54="","",'TỒN KHO'!A54)</f>
        <v>44</v>
      </c>
      <c r="B51" s="16" t="str">
        <f aca="false">IF('TỒN KHO'!$C54="","",'TỒN KHO'!B54)</f>
        <v>Chống thấm</v>
      </c>
      <c r="C51" s="16" t="str">
        <f aca="false">IF('TỒN KHO'!$C54="","",'TỒN KHO'!C54)</f>
        <v>CTS</v>
      </c>
      <c r="D51" s="16" t="str">
        <f aca="false">IF('TỒN KHO'!$C54="","",'TỒN KHO'!D54)</f>
        <v>Sơn chống thấm siêu co giãn CTS-01</v>
      </c>
      <c r="E51" s="48" t="str">
        <f aca="false">IF('TỒN KHO'!$C54="","",'TỒN KHO'!E54)</f>
        <v>18L</v>
      </c>
      <c r="F51" s="17" t="n">
        <f aca="false">IF($C51="","",'TỒN KHO'!G54+SUMIFS('NHẬP KHO'!$E$5:$E$2004,'NHẬP KHO'!$C$5:$C$2004,$C51,'NHẬP KHO'!$D$5:$D$2004,$E51,'NHẬP KHO'!$A$5:$A$2004,"&gt;"&amp;'TỒN KHO'!$E$4,'NHẬP KHO'!$A$5:$A$2004,"&lt;"&amp;$E$3)-SUMIFS('XUẤT KHO'!$E$5:$E$2004,'XUẤT KHO'!$C$5:$C$2004,$C51,'XUẤT KHO'!$D$5:$D$2004,$E51,'XUẤT KHO'!$A$5:$A$2004,"&gt;"&amp;'TỒN KHO'!$E$4,'XUẤT KHO'!$A$5:$A$2004,"&lt;"&amp;$E$3))</f>
        <v>9</v>
      </c>
      <c r="G51" s="17" t="n">
        <f aca="false">IF($C51="","",SUMIFS('NHẬP KHO'!$E$5:$E$2004,'NHẬP KHO'!$C$5:$C$2004,$C51,'NHẬP KHO'!$D$5:$D$2004,$E51,'NHẬP KHO'!$A$5:$A$2004,"&gt;"&amp;MAX($E$3-1,'TỒN KHO'!$E$4),'NHẬP KHO'!$A$5:$A$2004,"&lt;"&amp;EDATE($E$3,1)))</f>
        <v>0</v>
      </c>
      <c r="H51" s="17" t="n">
        <f aca="false">IF($C51="","",SUMIFS('XUẤT KHO'!$E$5:$E$2004,'XUẤT KHO'!$C$5:$C$2004,$C51,'XUẤT KHO'!$D$5:$D$2004,$E51,'XUẤT KHO'!$A$5:$A$2004,"&gt;"&amp;MAX($E$3-1,'TỒN KHO'!$E$4),'XUẤT KHO'!$A$5:$A$2004,"&lt;"&amp;EDATE($E$3,1)))</f>
        <v>3</v>
      </c>
      <c r="I51" s="49" t="n">
        <f aca="false">IF($C51="","",F51+G51-H51)</f>
        <v>6</v>
      </c>
      <c r="J51" s="17" t="n">
        <f aca="false">IF($C51="","",IF('TỒN KHO'!F54="","",'TỒN KHO'!F54))</f>
        <v>5025000</v>
      </c>
      <c r="K51" s="17" t="n">
        <f aca="false">IF($C51="","",IF(J51="",0,MAX(I51,0)*J51))</f>
        <v>30150000</v>
      </c>
      <c r="L51" s="17" t="n">
        <f aca="false">IF($C51="","",SUMIFS('XUẤT KHO'!$H$5:$H$2004,'XUẤT KHO'!$C$5:$C$2004,$C51,'XUẤT KHO'!$D$5:$D$2004,$E51,'XUẤT KHO'!$A$5:$A$2004,"&gt;="&amp;$E$3,'XUẤT KHO'!$A$5:$A$2004,"&lt;"&amp;EDATE($E$3,1)))</f>
        <v>15075000</v>
      </c>
    </row>
    <row r="52" customFormat="false" ht="15" hidden="false" customHeight="false" outlineLevel="0" collapsed="false">
      <c r="A52" s="48" t="n">
        <f aca="false">IF('TỒN KHO'!$C55="","",'TỒN KHO'!A55)</f>
        <v>45</v>
      </c>
      <c r="B52" s="16" t="str">
        <f aca="false">IF('TỒN KHO'!$C55="","",'TỒN KHO'!B55)</f>
        <v>Bột bả</v>
      </c>
      <c r="C52" s="16" t="str">
        <f aca="false">IF('TỒN KHO'!$C55="","",'TỒN KHO'!C55)</f>
        <v>BA-NOI</v>
      </c>
      <c r="D52" s="16" t="str">
        <f aca="false">IF('TỒN KHO'!$C55="","",'TỒN KHO'!D55)</f>
        <v>Bột bả nội thất Imperia IP15 (40kg)</v>
      </c>
      <c r="E52" s="48" t="str">
        <f aca="false">IF('TỒN KHO'!$C55="","",'TỒN KHO'!E55)</f>
        <v>Bao</v>
      </c>
      <c r="F52" s="17" t="n">
        <f aca="false">IF($C52="","",'TỒN KHO'!G55+SUMIFS('NHẬP KHO'!$E$5:$E$2004,'NHẬP KHO'!$C$5:$C$2004,$C52,'NHẬP KHO'!$D$5:$D$2004,$E52,'NHẬP KHO'!$A$5:$A$2004,"&gt;"&amp;'TỒN KHO'!$E$4,'NHẬP KHO'!$A$5:$A$2004,"&lt;"&amp;$E$3)-SUMIFS('XUẤT KHO'!$E$5:$E$2004,'XUẤT KHO'!$C$5:$C$2004,$C52,'XUẤT KHO'!$D$5:$D$2004,$E52,'XUẤT KHO'!$A$5:$A$2004,"&gt;"&amp;'TỒN KHO'!$E$4,'XUẤT KHO'!$A$5:$A$2004,"&lt;"&amp;$E$3))</f>
        <v>-13</v>
      </c>
      <c r="G52" s="17" t="n">
        <f aca="false">IF($C52="","",SUMIFS('NHẬP KHO'!$E$5:$E$2004,'NHẬP KHO'!$C$5:$C$2004,$C52,'NHẬP KHO'!$D$5:$D$2004,$E52,'NHẬP KHO'!$A$5:$A$2004,"&gt;"&amp;MAX($E$3-1,'TỒN KHO'!$E$4),'NHẬP KHO'!$A$5:$A$2004,"&lt;"&amp;EDATE($E$3,1)))</f>
        <v>0</v>
      </c>
      <c r="H52" s="17" t="n">
        <f aca="false">IF($C52="","",SUMIFS('XUẤT KHO'!$E$5:$E$2004,'XUẤT KHO'!$C$5:$C$2004,$C52,'XUẤT KHO'!$D$5:$D$2004,$E52,'XUẤT KHO'!$A$5:$A$2004,"&gt;"&amp;MAX($E$3-1,'TỒN KHO'!$E$4),'XUẤT KHO'!$A$5:$A$2004,"&lt;"&amp;EDATE($E$3,1)))</f>
        <v>8</v>
      </c>
      <c r="I52" s="49" t="n">
        <f aca="false">IF($C52="","",F52+G52-H52)</f>
        <v>-21</v>
      </c>
      <c r="J52" s="17" t="n">
        <f aca="false">IF($C52="","",IF('TỒN KHO'!F55="","",'TỒN KHO'!F55))</f>
        <v>481000</v>
      </c>
      <c r="K52" s="17" t="n">
        <f aca="false">IF($C52="","",IF(J52="",0,MAX(I52,0)*J52))</f>
        <v>0</v>
      </c>
      <c r="L52" s="17" t="n">
        <f aca="false">IF($C52="","",SUMIFS('XUẤT KHO'!$H$5:$H$2004,'XUẤT KHO'!$C$5:$C$2004,$C52,'XUẤT KHO'!$D$5:$D$2004,$E52,'XUẤT KHO'!$A$5:$A$2004,"&gt;="&amp;$E$3,'XUẤT KHO'!$A$5:$A$2004,"&lt;"&amp;EDATE($E$3,1)))</f>
        <v>3848000</v>
      </c>
    </row>
    <row r="53" customFormat="false" ht="15" hidden="false" customHeight="false" outlineLevel="0" collapsed="false">
      <c r="A53" s="48" t="n">
        <f aca="false">IF('TỒN KHO'!$C56="","",'TỒN KHO'!A56)</f>
        <v>46</v>
      </c>
      <c r="B53" s="16" t="str">
        <f aca="false">IF('TỒN KHO'!$C56="","",'TỒN KHO'!B56)</f>
        <v>Bột bả</v>
      </c>
      <c r="C53" s="16" t="str">
        <f aca="false">IF('TỒN KHO'!$C56="","",'TỒN KHO'!C56)</f>
        <v>BA-NGOAI</v>
      </c>
      <c r="D53" s="16" t="str">
        <f aca="false">IF('TỒN KHO'!$C56="","",'TỒN KHO'!D56)</f>
        <v>Bột bả ngoại thất Imperia EP14 (40kg)</v>
      </c>
      <c r="E53" s="48" t="str">
        <f aca="false">IF('TỒN KHO'!$C56="","",'TỒN KHO'!E56)</f>
        <v>Bao</v>
      </c>
      <c r="F53" s="17" t="n">
        <f aca="false">IF($C53="","",'TỒN KHO'!G56+SUMIFS('NHẬP KHO'!$E$5:$E$2004,'NHẬP KHO'!$C$5:$C$2004,$C53,'NHẬP KHO'!$D$5:$D$2004,$E53,'NHẬP KHO'!$A$5:$A$2004,"&gt;"&amp;'TỒN KHO'!$E$4,'NHẬP KHO'!$A$5:$A$2004,"&lt;"&amp;$E$3)-SUMIFS('XUẤT KHO'!$E$5:$E$2004,'XUẤT KHO'!$C$5:$C$2004,$C53,'XUẤT KHO'!$D$5:$D$2004,$E53,'XUẤT KHO'!$A$5:$A$2004,"&gt;"&amp;'TỒN KHO'!$E$4,'XUẤT KHO'!$A$5:$A$2004,"&lt;"&amp;$E$3))</f>
        <v>7</v>
      </c>
      <c r="G53" s="17" t="n">
        <f aca="false">IF($C53="","",SUMIFS('NHẬP KHO'!$E$5:$E$2004,'NHẬP KHO'!$C$5:$C$2004,$C53,'NHẬP KHO'!$D$5:$D$2004,$E53,'NHẬP KHO'!$A$5:$A$2004,"&gt;"&amp;MAX($E$3-1,'TỒN KHO'!$E$4),'NHẬP KHO'!$A$5:$A$2004,"&lt;"&amp;EDATE($E$3,1)))</f>
        <v>0</v>
      </c>
      <c r="H53" s="17" t="n">
        <f aca="false">IF($C53="","",SUMIFS('XUẤT KHO'!$E$5:$E$2004,'XUẤT KHO'!$C$5:$C$2004,$C53,'XUẤT KHO'!$D$5:$D$2004,$E53,'XUẤT KHO'!$A$5:$A$2004,"&gt;"&amp;MAX($E$3-1,'TỒN KHO'!$E$4),'XUẤT KHO'!$A$5:$A$2004,"&lt;"&amp;EDATE($E$3,1)))</f>
        <v>3</v>
      </c>
      <c r="I53" s="49" t="n">
        <f aca="false">IF($C53="","",F53+G53-H53)</f>
        <v>4</v>
      </c>
      <c r="J53" s="17" t="n">
        <f aca="false">IF($C53="","",IF('TỒN KHO'!F56="","",'TỒN KHO'!F56))</f>
        <v>594000</v>
      </c>
      <c r="K53" s="17" t="n">
        <f aca="false">IF($C53="","",IF(J53="",0,MAX(I53,0)*J53))</f>
        <v>2376000</v>
      </c>
      <c r="L53" s="17" t="n">
        <f aca="false">IF($C53="","",SUMIFS('XUẤT KHO'!$H$5:$H$2004,'XUẤT KHO'!$C$5:$C$2004,$C53,'XUẤT KHO'!$D$5:$D$2004,$E53,'XUẤT KHO'!$A$5:$A$2004,"&gt;="&amp;$E$3,'XUẤT KHO'!$A$5:$A$2004,"&lt;"&amp;EDATE($E$3,1)))</f>
        <v>1443000</v>
      </c>
    </row>
    <row r="54" customFormat="false" ht="15" hidden="false" customHeight="false" outlineLevel="0" collapsed="false">
      <c r="A54" s="48" t="str">
        <f aca="false">IF('TỒN KHO'!$C57="","",'TỒN KHO'!A57)</f>
        <v/>
      </c>
      <c r="B54" s="16" t="str">
        <f aca="false">IF('TỒN KHO'!$C57="","",'TỒN KHO'!B57)</f>
        <v/>
      </c>
      <c r="C54" s="16" t="str">
        <f aca="false">IF('TỒN KHO'!$C57="","",'TỒN KHO'!C57)</f>
        <v/>
      </c>
      <c r="D54" s="16" t="str">
        <f aca="false">IF('TỒN KHO'!$C57="","",'TỒN KHO'!D57)</f>
        <v/>
      </c>
      <c r="E54" s="48" t="str">
        <f aca="false">IF('TỒN KHO'!$C57="","",'TỒN KHO'!E57)</f>
        <v/>
      </c>
      <c r="F54" s="17" t="str">
        <f aca="false">IF($C54="","",'TỒN KHO'!G57+SUMIFS('NHẬP KHO'!$E$5:$E$2004,'NHẬP KHO'!$C$5:$C$2004,$C54,'NHẬP KHO'!$D$5:$D$2004,$E54,'NHẬP KHO'!$A$5:$A$2004,"&gt;"&amp;'TỒN KHO'!$E$4,'NHẬP KHO'!$A$5:$A$2004,"&lt;"&amp;$E$3)-SUMIFS('XUẤT KHO'!$E$5:$E$2004,'XUẤT KHO'!$C$5:$C$2004,$C54,'XUẤT KHO'!$D$5:$D$2004,$E54,'XUẤT KHO'!$A$5:$A$2004,"&gt;"&amp;'TỒN KHO'!$E$4,'XUẤT KHO'!$A$5:$A$2004,"&lt;"&amp;$E$3))</f>
        <v/>
      </c>
      <c r="G54" s="17" t="str">
        <f aca="false">IF($C54="","",SUMIFS('NHẬP KHO'!$E$5:$E$2004,'NHẬP KHO'!$C$5:$C$2004,$C54,'NHẬP KHO'!$D$5:$D$2004,$E54,'NHẬP KHO'!$A$5:$A$2004,"&gt;"&amp;MAX($E$3-1,'TỒN KHO'!$E$4),'NHẬP KHO'!$A$5:$A$2004,"&lt;"&amp;EDATE($E$3,1)))</f>
        <v/>
      </c>
      <c r="H54" s="17" t="str">
        <f aca="false">IF($C54="","",SUMIFS('XUẤT KHO'!$E$5:$E$2004,'XUẤT KHO'!$C$5:$C$2004,$C54,'XUẤT KHO'!$D$5:$D$2004,$E54,'XUẤT KHO'!$A$5:$A$2004,"&gt;"&amp;MAX($E$3-1,'TỒN KHO'!$E$4),'XUẤT KHO'!$A$5:$A$2004,"&lt;"&amp;EDATE($E$3,1)))</f>
        <v/>
      </c>
      <c r="I54" s="49" t="str">
        <f aca="false">IF($C54="","",F54+G54-H54)</f>
        <v/>
      </c>
      <c r="J54" s="17" t="str">
        <f aca="false">IF($C54="","",IF('TỒN KHO'!F57="","",'TỒN KHO'!F57))</f>
        <v/>
      </c>
      <c r="K54" s="17" t="str">
        <f aca="false">IF($C54="","",IF(J54="",0,MAX(I54,0)*J54))</f>
        <v/>
      </c>
      <c r="L54" s="17" t="str">
        <f aca="false">IF($C54="","",SUMIFS('XUẤT KHO'!$H$5:$H$2004,'XUẤT KHO'!$C$5:$C$2004,$C54,'XUẤT KHO'!$D$5:$D$2004,$E54,'XUẤT KHO'!$A$5:$A$2004,"&gt;="&amp;$E$3,'XUẤT KHO'!$A$5:$A$2004,"&lt;"&amp;EDATE($E$3,1)))</f>
        <v/>
      </c>
    </row>
    <row r="55" customFormat="false" ht="15" hidden="false" customHeight="false" outlineLevel="0" collapsed="false">
      <c r="A55" s="48" t="str">
        <f aca="false">IF('TỒN KHO'!$C58="","",'TỒN KHO'!A58)</f>
        <v/>
      </c>
      <c r="B55" s="16" t="str">
        <f aca="false">IF('TỒN KHO'!$C58="","",'TỒN KHO'!B58)</f>
        <v/>
      </c>
      <c r="C55" s="16" t="str">
        <f aca="false">IF('TỒN KHO'!$C58="","",'TỒN KHO'!C58)</f>
        <v/>
      </c>
      <c r="D55" s="16" t="str">
        <f aca="false">IF('TỒN KHO'!$C58="","",'TỒN KHO'!D58)</f>
        <v/>
      </c>
      <c r="E55" s="48" t="str">
        <f aca="false">IF('TỒN KHO'!$C58="","",'TỒN KHO'!E58)</f>
        <v/>
      </c>
      <c r="F55" s="17" t="str">
        <f aca="false">IF($C55="","",'TỒN KHO'!G58+SUMIFS('NHẬP KHO'!$E$5:$E$2004,'NHẬP KHO'!$C$5:$C$2004,$C55,'NHẬP KHO'!$D$5:$D$2004,$E55,'NHẬP KHO'!$A$5:$A$2004,"&gt;"&amp;'TỒN KHO'!$E$4,'NHẬP KHO'!$A$5:$A$2004,"&lt;"&amp;$E$3)-SUMIFS('XUẤT KHO'!$E$5:$E$2004,'XUẤT KHO'!$C$5:$C$2004,$C55,'XUẤT KHO'!$D$5:$D$2004,$E55,'XUẤT KHO'!$A$5:$A$2004,"&gt;"&amp;'TỒN KHO'!$E$4,'XUẤT KHO'!$A$5:$A$2004,"&lt;"&amp;$E$3))</f>
        <v/>
      </c>
      <c r="G55" s="17" t="str">
        <f aca="false">IF($C55="","",SUMIFS('NHẬP KHO'!$E$5:$E$2004,'NHẬP KHO'!$C$5:$C$2004,$C55,'NHẬP KHO'!$D$5:$D$2004,$E55,'NHẬP KHO'!$A$5:$A$2004,"&gt;"&amp;MAX($E$3-1,'TỒN KHO'!$E$4),'NHẬP KHO'!$A$5:$A$2004,"&lt;"&amp;EDATE($E$3,1)))</f>
        <v/>
      </c>
      <c r="H55" s="17" t="str">
        <f aca="false">IF($C55="","",SUMIFS('XUẤT KHO'!$E$5:$E$2004,'XUẤT KHO'!$C$5:$C$2004,$C55,'XUẤT KHO'!$D$5:$D$2004,$E55,'XUẤT KHO'!$A$5:$A$2004,"&gt;"&amp;MAX($E$3-1,'TỒN KHO'!$E$4),'XUẤT KHO'!$A$5:$A$2004,"&lt;"&amp;EDATE($E$3,1)))</f>
        <v/>
      </c>
      <c r="I55" s="49" t="str">
        <f aca="false">IF($C55="","",F55+G55-H55)</f>
        <v/>
      </c>
      <c r="J55" s="17" t="str">
        <f aca="false">IF($C55="","",IF('TỒN KHO'!F58="","",'TỒN KHO'!F58))</f>
        <v/>
      </c>
      <c r="K55" s="17" t="str">
        <f aca="false">IF($C55="","",IF(J55="",0,MAX(I55,0)*J55))</f>
        <v/>
      </c>
      <c r="L55" s="17" t="str">
        <f aca="false">IF($C55="","",SUMIFS('XUẤT KHO'!$H$5:$H$2004,'XUẤT KHO'!$C$5:$C$2004,$C55,'XUẤT KHO'!$D$5:$D$2004,$E55,'XUẤT KHO'!$A$5:$A$2004,"&gt;="&amp;$E$3,'XUẤT KHO'!$A$5:$A$2004,"&lt;"&amp;EDATE($E$3,1)))</f>
        <v/>
      </c>
    </row>
    <row r="56" customFormat="false" ht="15" hidden="false" customHeight="false" outlineLevel="0" collapsed="false">
      <c r="A56" s="48" t="str">
        <f aca="false">IF('TỒN KHO'!$C59="","",'TỒN KHO'!A59)</f>
        <v/>
      </c>
      <c r="B56" s="16" t="str">
        <f aca="false">IF('TỒN KHO'!$C59="","",'TỒN KHO'!B59)</f>
        <v/>
      </c>
      <c r="C56" s="16" t="str">
        <f aca="false">IF('TỒN KHO'!$C59="","",'TỒN KHO'!C59)</f>
        <v/>
      </c>
      <c r="D56" s="16" t="str">
        <f aca="false">IF('TỒN KHO'!$C59="","",'TỒN KHO'!D59)</f>
        <v/>
      </c>
      <c r="E56" s="48" t="str">
        <f aca="false">IF('TỒN KHO'!$C59="","",'TỒN KHO'!E59)</f>
        <v/>
      </c>
      <c r="F56" s="17" t="str">
        <f aca="false">IF($C56="","",'TỒN KHO'!G59+SUMIFS('NHẬP KHO'!$E$5:$E$2004,'NHẬP KHO'!$C$5:$C$2004,$C56,'NHẬP KHO'!$D$5:$D$2004,$E56,'NHẬP KHO'!$A$5:$A$2004,"&gt;"&amp;'TỒN KHO'!$E$4,'NHẬP KHO'!$A$5:$A$2004,"&lt;"&amp;$E$3)-SUMIFS('XUẤT KHO'!$E$5:$E$2004,'XUẤT KHO'!$C$5:$C$2004,$C56,'XUẤT KHO'!$D$5:$D$2004,$E56,'XUẤT KHO'!$A$5:$A$2004,"&gt;"&amp;'TỒN KHO'!$E$4,'XUẤT KHO'!$A$5:$A$2004,"&lt;"&amp;$E$3))</f>
        <v/>
      </c>
      <c r="G56" s="17" t="str">
        <f aca="false">IF($C56="","",SUMIFS('NHẬP KHO'!$E$5:$E$2004,'NHẬP KHO'!$C$5:$C$2004,$C56,'NHẬP KHO'!$D$5:$D$2004,$E56,'NHẬP KHO'!$A$5:$A$2004,"&gt;"&amp;MAX($E$3-1,'TỒN KHO'!$E$4),'NHẬP KHO'!$A$5:$A$2004,"&lt;"&amp;EDATE($E$3,1)))</f>
        <v/>
      </c>
      <c r="H56" s="17" t="str">
        <f aca="false">IF($C56="","",SUMIFS('XUẤT KHO'!$E$5:$E$2004,'XUẤT KHO'!$C$5:$C$2004,$C56,'XUẤT KHO'!$D$5:$D$2004,$E56,'XUẤT KHO'!$A$5:$A$2004,"&gt;"&amp;MAX($E$3-1,'TỒN KHO'!$E$4),'XUẤT KHO'!$A$5:$A$2004,"&lt;"&amp;EDATE($E$3,1)))</f>
        <v/>
      </c>
      <c r="I56" s="49" t="str">
        <f aca="false">IF($C56="","",F56+G56-H56)</f>
        <v/>
      </c>
      <c r="J56" s="17" t="str">
        <f aca="false">IF($C56="","",IF('TỒN KHO'!F59="","",'TỒN KHO'!F59))</f>
        <v/>
      </c>
      <c r="K56" s="17" t="str">
        <f aca="false">IF($C56="","",IF(J56="",0,MAX(I56,0)*J56))</f>
        <v/>
      </c>
      <c r="L56" s="17" t="str">
        <f aca="false">IF($C56="","",SUMIFS('XUẤT KHO'!$H$5:$H$2004,'XUẤT KHO'!$C$5:$C$2004,$C56,'XUẤT KHO'!$D$5:$D$2004,$E56,'XUẤT KHO'!$A$5:$A$2004,"&gt;="&amp;$E$3,'XUẤT KHO'!$A$5:$A$2004,"&lt;"&amp;EDATE($E$3,1)))</f>
        <v/>
      </c>
    </row>
    <row r="57" customFormat="false" ht="15" hidden="false" customHeight="false" outlineLevel="0" collapsed="false">
      <c r="A57" s="48" t="str">
        <f aca="false">IF('TỒN KHO'!$C60="","",'TỒN KHO'!A60)</f>
        <v/>
      </c>
      <c r="B57" s="16" t="str">
        <f aca="false">IF('TỒN KHO'!$C60="","",'TỒN KHO'!B60)</f>
        <v/>
      </c>
      <c r="C57" s="16" t="str">
        <f aca="false">IF('TỒN KHO'!$C60="","",'TỒN KHO'!C60)</f>
        <v/>
      </c>
      <c r="D57" s="16" t="str">
        <f aca="false">IF('TỒN KHO'!$C60="","",'TỒN KHO'!D60)</f>
        <v/>
      </c>
      <c r="E57" s="48" t="str">
        <f aca="false">IF('TỒN KHO'!$C60="","",'TỒN KHO'!E60)</f>
        <v/>
      </c>
      <c r="F57" s="17" t="str">
        <f aca="false">IF($C57="","",'TỒN KHO'!G60+SUMIFS('NHẬP KHO'!$E$5:$E$2004,'NHẬP KHO'!$C$5:$C$2004,$C57,'NHẬP KHO'!$D$5:$D$2004,$E57,'NHẬP KHO'!$A$5:$A$2004,"&gt;"&amp;'TỒN KHO'!$E$4,'NHẬP KHO'!$A$5:$A$2004,"&lt;"&amp;$E$3)-SUMIFS('XUẤT KHO'!$E$5:$E$2004,'XUẤT KHO'!$C$5:$C$2004,$C57,'XUẤT KHO'!$D$5:$D$2004,$E57,'XUẤT KHO'!$A$5:$A$2004,"&gt;"&amp;'TỒN KHO'!$E$4,'XUẤT KHO'!$A$5:$A$2004,"&lt;"&amp;$E$3))</f>
        <v/>
      </c>
      <c r="G57" s="17" t="str">
        <f aca="false">IF($C57="","",SUMIFS('NHẬP KHO'!$E$5:$E$2004,'NHẬP KHO'!$C$5:$C$2004,$C57,'NHẬP KHO'!$D$5:$D$2004,$E57,'NHẬP KHO'!$A$5:$A$2004,"&gt;"&amp;MAX($E$3-1,'TỒN KHO'!$E$4),'NHẬP KHO'!$A$5:$A$2004,"&lt;"&amp;EDATE($E$3,1)))</f>
        <v/>
      </c>
      <c r="H57" s="17" t="str">
        <f aca="false">IF($C57="","",SUMIFS('XUẤT KHO'!$E$5:$E$2004,'XUẤT KHO'!$C$5:$C$2004,$C57,'XUẤT KHO'!$D$5:$D$2004,$E57,'XUẤT KHO'!$A$5:$A$2004,"&gt;"&amp;MAX($E$3-1,'TỒN KHO'!$E$4),'XUẤT KHO'!$A$5:$A$2004,"&lt;"&amp;EDATE($E$3,1)))</f>
        <v/>
      </c>
      <c r="I57" s="49" t="str">
        <f aca="false">IF($C57="","",F57+G57-H57)</f>
        <v/>
      </c>
      <c r="J57" s="17" t="str">
        <f aca="false">IF($C57="","",IF('TỒN KHO'!F60="","",'TỒN KHO'!F60))</f>
        <v/>
      </c>
      <c r="K57" s="17" t="str">
        <f aca="false">IF($C57="","",IF(J57="",0,MAX(I57,0)*J57))</f>
        <v/>
      </c>
      <c r="L57" s="17" t="str">
        <f aca="false">IF($C57="","",SUMIFS('XUẤT KHO'!$H$5:$H$2004,'XUẤT KHO'!$C$5:$C$2004,$C57,'XUẤT KHO'!$D$5:$D$2004,$E57,'XUẤT KHO'!$A$5:$A$2004,"&gt;="&amp;$E$3,'XUẤT KHO'!$A$5:$A$2004,"&lt;"&amp;EDATE($E$3,1)))</f>
        <v/>
      </c>
    </row>
    <row r="58" customFormat="false" ht="15" hidden="false" customHeight="false" outlineLevel="0" collapsed="false">
      <c r="A58" s="48" t="str">
        <f aca="false">IF('TỒN KHO'!$C61="","",'TỒN KHO'!A61)</f>
        <v/>
      </c>
      <c r="B58" s="16" t="str">
        <f aca="false">IF('TỒN KHO'!$C61="","",'TỒN KHO'!B61)</f>
        <v/>
      </c>
      <c r="C58" s="16" t="str">
        <f aca="false">IF('TỒN KHO'!$C61="","",'TỒN KHO'!C61)</f>
        <v/>
      </c>
      <c r="D58" s="16" t="str">
        <f aca="false">IF('TỒN KHO'!$C61="","",'TỒN KHO'!D61)</f>
        <v/>
      </c>
      <c r="E58" s="48" t="str">
        <f aca="false">IF('TỒN KHO'!$C61="","",'TỒN KHO'!E61)</f>
        <v/>
      </c>
      <c r="F58" s="17" t="str">
        <f aca="false">IF($C58="","",'TỒN KHO'!G61+SUMIFS('NHẬP KHO'!$E$5:$E$2004,'NHẬP KHO'!$C$5:$C$2004,$C58,'NHẬP KHO'!$D$5:$D$2004,$E58,'NHẬP KHO'!$A$5:$A$2004,"&gt;"&amp;'TỒN KHO'!$E$4,'NHẬP KHO'!$A$5:$A$2004,"&lt;"&amp;$E$3)-SUMIFS('XUẤT KHO'!$E$5:$E$2004,'XUẤT KHO'!$C$5:$C$2004,$C58,'XUẤT KHO'!$D$5:$D$2004,$E58,'XUẤT KHO'!$A$5:$A$2004,"&gt;"&amp;'TỒN KHO'!$E$4,'XUẤT KHO'!$A$5:$A$2004,"&lt;"&amp;$E$3))</f>
        <v/>
      </c>
      <c r="G58" s="17" t="str">
        <f aca="false">IF($C58="","",SUMIFS('NHẬP KHO'!$E$5:$E$2004,'NHẬP KHO'!$C$5:$C$2004,$C58,'NHẬP KHO'!$D$5:$D$2004,$E58,'NHẬP KHO'!$A$5:$A$2004,"&gt;"&amp;MAX($E$3-1,'TỒN KHO'!$E$4),'NHẬP KHO'!$A$5:$A$2004,"&lt;"&amp;EDATE($E$3,1)))</f>
        <v/>
      </c>
      <c r="H58" s="17" t="str">
        <f aca="false">IF($C58="","",SUMIFS('XUẤT KHO'!$E$5:$E$2004,'XUẤT KHO'!$C$5:$C$2004,$C58,'XUẤT KHO'!$D$5:$D$2004,$E58,'XUẤT KHO'!$A$5:$A$2004,"&gt;"&amp;MAX($E$3-1,'TỒN KHO'!$E$4),'XUẤT KHO'!$A$5:$A$2004,"&lt;"&amp;EDATE($E$3,1)))</f>
        <v/>
      </c>
      <c r="I58" s="49" t="str">
        <f aca="false">IF($C58="","",F58+G58-H58)</f>
        <v/>
      </c>
      <c r="J58" s="17" t="str">
        <f aca="false">IF($C58="","",IF('TỒN KHO'!F61="","",'TỒN KHO'!F61))</f>
        <v/>
      </c>
      <c r="K58" s="17" t="str">
        <f aca="false">IF($C58="","",IF(J58="",0,MAX(I58,0)*J58))</f>
        <v/>
      </c>
      <c r="L58" s="17" t="str">
        <f aca="false">IF($C58="","",SUMIFS('XUẤT KHO'!$H$5:$H$2004,'XUẤT KHO'!$C$5:$C$2004,$C58,'XUẤT KHO'!$D$5:$D$2004,$E58,'XUẤT KHO'!$A$5:$A$2004,"&gt;="&amp;$E$3,'XUẤT KHO'!$A$5:$A$2004,"&lt;"&amp;EDATE($E$3,1)))</f>
        <v/>
      </c>
    </row>
    <row r="59" customFormat="false" ht="15" hidden="false" customHeight="false" outlineLevel="0" collapsed="false">
      <c r="A59" s="48" t="str">
        <f aca="false">IF('TỒN KHO'!$C62="","",'TỒN KHO'!A62)</f>
        <v/>
      </c>
      <c r="B59" s="16" t="str">
        <f aca="false">IF('TỒN KHO'!$C62="","",'TỒN KHO'!B62)</f>
        <v/>
      </c>
      <c r="C59" s="16" t="str">
        <f aca="false">IF('TỒN KHO'!$C62="","",'TỒN KHO'!C62)</f>
        <v/>
      </c>
      <c r="D59" s="16" t="str">
        <f aca="false">IF('TỒN KHO'!$C62="","",'TỒN KHO'!D62)</f>
        <v/>
      </c>
      <c r="E59" s="48" t="str">
        <f aca="false">IF('TỒN KHO'!$C62="","",'TỒN KHO'!E62)</f>
        <v/>
      </c>
      <c r="F59" s="17" t="str">
        <f aca="false">IF($C59="","",'TỒN KHO'!G62+SUMIFS('NHẬP KHO'!$E$5:$E$2004,'NHẬP KHO'!$C$5:$C$2004,$C59,'NHẬP KHO'!$D$5:$D$2004,$E59,'NHẬP KHO'!$A$5:$A$2004,"&gt;"&amp;'TỒN KHO'!$E$4,'NHẬP KHO'!$A$5:$A$2004,"&lt;"&amp;$E$3)-SUMIFS('XUẤT KHO'!$E$5:$E$2004,'XUẤT KHO'!$C$5:$C$2004,$C59,'XUẤT KHO'!$D$5:$D$2004,$E59,'XUẤT KHO'!$A$5:$A$2004,"&gt;"&amp;'TỒN KHO'!$E$4,'XUẤT KHO'!$A$5:$A$2004,"&lt;"&amp;$E$3))</f>
        <v/>
      </c>
      <c r="G59" s="17" t="str">
        <f aca="false">IF($C59="","",SUMIFS('NHẬP KHO'!$E$5:$E$2004,'NHẬP KHO'!$C$5:$C$2004,$C59,'NHẬP KHO'!$D$5:$D$2004,$E59,'NHẬP KHO'!$A$5:$A$2004,"&gt;"&amp;MAX($E$3-1,'TỒN KHO'!$E$4),'NHẬP KHO'!$A$5:$A$2004,"&lt;"&amp;EDATE($E$3,1)))</f>
        <v/>
      </c>
      <c r="H59" s="17" t="str">
        <f aca="false">IF($C59="","",SUMIFS('XUẤT KHO'!$E$5:$E$2004,'XUẤT KHO'!$C$5:$C$2004,$C59,'XUẤT KHO'!$D$5:$D$2004,$E59,'XUẤT KHO'!$A$5:$A$2004,"&gt;"&amp;MAX($E$3-1,'TỒN KHO'!$E$4),'XUẤT KHO'!$A$5:$A$2004,"&lt;"&amp;EDATE($E$3,1)))</f>
        <v/>
      </c>
      <c r="I59" s="49" t="str">
        <f aca="false">IF($C59="","",F59+G59-H59)</f>
        <v/>
      </c>
      <c r="J59" s="17" t="str">
        <f aca="false">IF($C59="","",IF('TỒN KHO'!F62="","",'TỒN KHO'!F62))</f>
        <v/>
      </c>
      <c r="K59" s="17" t="str">
        <f aca="false">IF($C59="","",IF(J59="",0,MAX(I59,0)*J59))</f>
        <v/>
      </c>
      <c r="L59" s="17" t="str">
        <f aca="false">IF($C59="","",SUMIFS('XUẤT KHO'!$H$5:$H$2004,'XUẤT KHO'!$C$5:$C$2004,$C59,'XUẤT KHO'!$D$5:$D$2004,$E59,'XUẤT KHO'!$A$5:$A$2004,"&gt;="&amp;$E$3,'XUẤT KHO'!$A$5:$A$2004,"&lt;"&amp;EDATE($E$3,1)))</f>
        <v/>
      </c>
    </row>
    <row r="60" customFormat="false" ht="15" hidden="false" customHeight="false" outlineLevel="0" collapsed="false">
      <c r="A60" s="48" t="str">
        <f aca="false">IF('TỒN KHO'!$C63="","",'TỒN KHO'!A63)</f>
        <v/>
      </c>
      <c r="B60" s="16" t="str">
        <f aca="false">IF('TỒN KHO'!$C63="","",'TỒN KHO'!B63)</f>
        <v/>
      </c>
      <c r="C60" s="16" t="str">
        <f aca="false">IF('TỒN KHO'!$C63="","",'TỒN KHO'!C63)</f>
        <v/>
      </c>
      <c r="D60" s="16" t="str">
        <f aca="false">IF('TỒN KHO'!$C63="","",'TỒN KHO'!D63)</f>
        <v/>
      </c>
      <c r="E60" s="48" t="str">
        <f aca="false">IF('TỒN KHO'!$C63="","",'TỒN KHO'!E63)</f>
        <v/>
      </c>
      <c r="F60" s="17" t="str">
        <f aca="false">IF($C60="","",'TỒN KHO'!G63+SUMIFS('NHẬP KHO'!$E$5:$E$2004,'NHẬP KHO'!$C$5:$C$2004,$C60,'NHẬP KHO'!$D$5:$D$2004,$E60,'NHẬP KHO'!$A$5:$A$2004,"&gt;"&amp;'TỒN KHO'!$E$4,'NHẬP KHO'!$A$5:$A$2004,"&lt;"&amp;$E$3)-SUMIFS('XUẤT KHO'!$E$5:$E$2004,'XUẤT KHO'!$C$5:$C$2004,$C60,'XUẤT KHO'!$D$5:$D$2004,$E60,'XUẤT KHO'!$A$5:$A$2004,"&gt;"&amp;'TỒN KHO'!$E$4,'XUẤT KHO'!$A$5:$A$2004,"&lt;"&amp;$E$3))</f>
        <v/>
      </c>
      <c r="G60" s="17" t="str">
        <f aca="false">IF($C60="","",SUMIFS('NHẬP KHO'!$E$5:$E$2004,'NHẬP KHO'!$C$5:$C$2004,$C60,'NHẬP KHO'!$D$5:$D$2004,$E60,'NHẬP KHO'!$A$5:$A$2004,"&gt;"&amp;MAX($E$3-1,'TỒN KHO'!$E$4),'NHẬP KHO'!$A$5:$A$2004,"&lt;"&amp;EDATE($E$3,1)))</f>
        <v/>
      </c>
      <c r="H60" s="17" t="str">
        <f aca="false">IF($C60="","",SUMIFS('XUẤT KHO'!$E$5:$E$2004,'XUẤT KHO'!$C$5:$C$2004,$C60,'XUẤT KHO'!$D$5:$D$2004,$E60,'XUẤT KHO'!$A$5:$A$2004,"&gt;"&amp;MAX($E$3-1,'TỒN KHO'!$E$4),'XUẤT KHO'!$A$5:$A$2004,"&lt;"&amp;EDATE($E$3,1)))</f>
        <v/>
      </c>
      <c r="I60" s="49" t="str">
        <f aca="false">IF($C60="","",F60+G60-H60)</f>
        <v/>
      </c>
      <c r="J60" s="17" t="str">
        <f aca="false">IF($C60="","",IF('TỒN KHO'!F63="","",'TỒN KHO'!F63))</f>
        <v/>
      </c>
      <c r="K60" s="17" t="str">
        <f aca="false">IF($C60="","",IF(J60="",0,MAX(I60,0)*J60))</f>
        <v/>
      </c>
      <c r="L60" s="17" t="str">
        <f aca="false">IF($C60="","",SUMIFS('XUẤT KHO'!$H$5:$H$2004,'XUẤT KHO'!$C$5:$C$2004,$C60,'XUẤT KHO'!$D$5:$D$2004,$E60,'XUẤT KHO'!$A$5:$A$2004,"&gt;="&amp;$E$3,'XUẤT KHO'!$A$5:$A$2004,"&lt;"&amp;EDATE($E$3,1)))</f>
        <v/>
      </c>
    </row>
    <row r="61" customFormat="false" ht="15" hidden="false" customHeight="false" outlineLevel="0" collapsed="false">
      <c r="A61" s="48" t="str">
        <f aca="false">IF('TỒN KHO'!$C64="","",'TỒN KHO'!A64)</f>
        <v/>
      </c>
      <c r="B61" s="16" t="str">
        <f aca="false">IF('TỒN KHO'!$C64="","",'TỒN KHO'!B64)</f>
        <v/>
      </c>
      <c r="C61" s="16" t="str">
        <f aca="false">IF('TỒN KHO'!$C64="","",'TỒN KHO'!C64)</f>
        <v/>
      </c>
      <c r="D61" s="16" t="str">
        <f aca="false">IF('TỒN KHO'!$C64="","",'TỒN KHO'!D64)</f>
        <v/>
      </c>
      <c r="E61" s="48" t="str">
        <f aca="false">IF('TỒN KHO'!$C64="","",'TỒN KHO'!E64)</f>
        <v/>
      </c>
      <c r="F61" s="17" t="str">
        <f aca="false">IF($C61="","",'TỒN KHO'!G64+SUMIFS('NHẬP KHO'!$E$5:$E$2004,'NHẬP KHO'!$C$5:$C$2004,$C61,'NHẬP KHO'!$D$5:$D$2004,$E61,'NHẬP KHO'!$A$5:$A$2004,"&gt;"&amp;'TỒN KHO'!$E$4,'NHẬP KHO'!$A$5:$A$2004,"&lt;"&amp;$E$3)-SUMIFS('XUẤT KHO'!$E$5:$E$2004,'XUẤT KHO'!$C$5:$C$2004,$C61,'XUẤT KHO'!$D$5:$D$2004,$E61,'XUẤT KHO'!$A$5:$A$2004,"&gt;"&amp;'TỒN KHO'!$E$4,'XUẤT KHO'!$A$5:$A$2004,"&lt;"&amp;$E$3))</f>
        <v/>
      </c>
      <c r="G61" s="17" t="str">
        <f aca="false">IF($C61="","",SUMIFS('NHẬP KHO'!$E$5:$E$2004,'NHẬP KHO'!$C$5:$C$2004,$C61,'NHẬP KHO'!$D$5:$D$2004,$E61,'NHẬP KHO'!$A$5:$A$2004,"&gt;"&amp;MAX($E$3-1,'TỒN KHO'!$E$4),'NHẬP KHO'!$A$5:$A$2004,"&lt;"&amp;EDATE($E$3,1)))</f>
        <v/>
      </c>
      <c r="H61" s="17" t="str">
        <f aca="false">IF($C61="","",SUMIFS('XUẤT KHO'!$E$5:$E$2004,'XUẤT KHO'!$C$5:$C$2004,$C61,'XUẤT KHO'!$D$5:$D$2004,$E61,'XUẤT KHO'!$A$5:$A$2004,"&gt;"&amp;MAX($E$3-1,'TỒN KHO'!$E$4),'XUẤT KHO'!$A$5:$A$2004,"&lt;"&amp;EDATE($E$3,1)))</f>
        <v/>
      </c>
      <c r="I61" s="49" t="str">
        <f aca="false">IF($C61="","",F61+G61-H61)</f>
        <v/>
      </c>
      <c r="J61" s="17" t="str">
        <f aca="false">IF($C61="","",IF('TỒN KHO'!F64="","",'TỒN KHO'!F64))</f>
        <v/>
      </c>
      <c r="K61" s="17" t="str">
        <f aca="false">IF($C61="","",IF(J61="",0,MAX(I61,0)*J61))</f>
        <v/>
      </c>
      <c r="L61" s="17" t="str">
        <f aca="false">IF($C61="","",SUMIFS('XUẤT KHO'!$H$5:$H$2004,'XUẤT KHO'!$C$5:$C$2004,$C61,'XUẤT KHO'!$D$5:$D$2004,$E61,'XUẤT KHO'!$A$5:$A$2004,"&gt;="&amp;$E$3,'XUẤT KHO'!$A$5:$A$2004,"&lt;"&amp;EDATE($E$3,1)))</f>
        <v/>
      </c>
    </row>
    <row r="62" customFormat="false" ht="15" hidden="false" customHeight="false" outlineLevel="0" collapsed="false">
      <c r="A62" s="48" t="str">
        <f aca="false">IF('TỒN KHO'!$C65="","",'TỒN KHO'!A65)</f>
        <v/>
      </c>
      <c r="B62" s="16" t="str">
        <f aca="false">IF('TỒN KHO'!$C65="","",'TỒN KHO'!B65)</f>
        <v/>
      </c>
      <c r="C62" s="16" t="str">
        <f aca="false">IF('TỒN KHO'!$C65="","",'TỒN KHO'!C65)</f>
        <v/>
      </c>
      <c r="D62" s="16" t="str">
        <f aca="false">IF('TỒN KHO'!$C65="","",'TỒN KHO'!D65)</f>
        <v/>
      </c>
      <c r="E62" s="48" t="str">
        <f aca="false">IF('TỒN KHO'!$C65="","",'TỒN KHO'!E65)</f>
        <v/>
      </c>
      <c r="F62" s="17" t="str">
        <f aca="false">IF($C62="","",'TỒN KHO'!G65+SUMIFS('NHẬP KHO'!$E$5:$E$2004,'NHẬP KHO'!$C$5:$C$2004,$C62,'NHẬP KHO'!$D$5:$D$2004,$E62,'NHẬP KHO'!$A$5:$A$2004,"&gt;"&amp;'TỒN KHO'!$E$4,'NHẬP KHO'!$A$5:$A$2004,"&lt;"&amp;$E$3)-SUMIFS('XUẤT KHO'!$E$5:$E$2004,'XUẤT KHO'!$C$5:$C$2004,$C62,'XUẤT KHO'!$D$5:$D$2004,$E62,'XUẤT KHO'!$A$5:$A$2004,"&gt;"&amp;'TỒN KHO'!$E$4,'XUẤT KHO'!$A$5:$A$2004,"&lt;"&amp;$E$3))</f>
        <v/>
      </c>
      <c r="G62" s="17" t="str">
        <f aca="false">IF($C62="","",SUMIFS('NHẬP KHO'!$E$5:$E$2004,'NHẬP KHO'!$C$5:$C$2004,$C62,'NHẬP KHO'!$D$5:$D$2004,$E62,'NHẬP KHO'!$A$5:$A$2004,"&gt;"&amp;MAX($E$3-1,'TỒN KHO'!$E$4),'NHẬP KHO'!$A$5:$A$2004,"&lt;"&amp;EDATE($E$3,1)))</f>
        <v/>
      </c>
      <c r="H62" s="17" t="str">
        <f aca="false">IF($C62="","",SUMIFS('XUẤT KHO'!$E$5:$E$2004,'XUẤT KHO'!$C$5:$C$2004,$C62,'XUẤT KHO'!$D$5:$D$2004,$E62,'XUẤT KHO'!$A$5:$A$2004,"&gt;"&amp;MAX($E$3-1,'TỒN KHO'!$E$4),'XUẤT KHO'!$A$5:$A$2004,"&lt;"&amp;EDATE($E$3,1)))</f>
        <v/>
      </c>
      <c r="I62" s="49" t="str">
        <f aca="false">IF($C62="","",F62+G62-H62)</f>
        <v/>
      </c>
      <c r="J62" s="17" t="str">
        <f aca="false">IF($C62="","",IF('TỒN KHO'!F65="","",'TỒN KHO'!F65))</f>
        <v/>
      </c>
      <c r="K62" s="17" t="str">
        <f aca="false">IF($C62="","",IF(J62="",0,MAX(I62,0)*J62))</f>
        <v/>
      </c>
      <c r="L62" s="17" t="str">
        <f aca="false">IF($C62="","",SUMIFS('XUẤT KHO'!$H$5:$H$2004,'XUẤT KHO'!$C$5:$C$2004,$C62,'XUẤT KHO'!$D$5:$D$2004,$E62,'XUẤT KHO'!$A$5:$A$2004,"&gt;="&amp;$E$3,'XUẤT KHO'!$A$5:$A$2004,"&lt;"&amp;EDATE($E$3,1)))</f>
        <v/>
      </c>
    </row>
    <row r="63" customFormat="false" ht="15" hidden="false" customHeight="false" outlineLevel="0" collapsed="false">
      <c r="A63" s="48" t="str">
        <f aca="false">IF('TỒN KHO'!$C66="","",'TỒN KHO'!A66)</f>
        <v/>
      </c>
      <c r="B63" s="16" t="str">
        <f aca="false">IF('TỒN KHO'!$C66="","",'TỒN KHO'!B66)</f>
        <v/>
      </c>
      <c r="C63" s="16" t="str">
        <f aca="false">IF('TỒN KHO'!$C66="","",'TỒN KHO'!C66)</f>
        <v/>
      </c>
      <c r="D63" s="16" t="str">
        <f aca="false">IF('TỒN KHO'!$C66="","",'TỒN KHO'!D66)</f>
        <v/>
      </c>
      <c r="E63" s="48" t="str">
        <f aca="false">IF('TỒN KHO'!$C66="","",'TỒN KHO'!E66)</f>
        <v/>
      </c>
      <c r="F63" s="17" t="str">
        <f aca="false">IF($C63="","",'TỒN KHO'!G66+SUMIFS('NHẬP KHO'!$E$5:$E$2004,'NHẬP KHO'!$C$5:$C$2004,$C63,'NHẬP KHO'!$D$5:$D$2004,$E63,'NHẬP KHO'!$A$5:$A$2004,"&gt;"&amp;'TỒN KHO'!$E$4,'NHẬP KHO'!$A$5:$A$2004,"&lt;"&amp;$E$3)-SUMIFS('XUẤT KHO'!$E$5:$E$2004,'XUẤT KHO'!$C$5:$C$2004,$C63,'XUẤT KHO'!$D$5:$D$2004,$E63,'XUẤT KHO'!$A$5:$A$2004,"&gt;"&amp;'TỒN KHO'!$E$4,'XUẤT KHO'!$A$5:$A$2004,"&lt;"&amp;$E$3))</f>
        <v/>
      </c>
      <c r="G63" s="17" t="str">
        <f aca="false">IF($C63="","",SUMIFS('NHẬP KHO'!$E$5:$E$2004,'NHẬP KHO'!$C$5:$C$2004,$C63,'NHẬP KHO'!$D$5:$D$2004,$E63,'NHẬP KHO'!$A$5:$A$2004,"&gt;"&amp;MAX($E$3-1,'TỒN KHO'!$E$4),'NHẬP KHO'!$A$5:$A$2004,"&lt;"&amp;EDATE($E$3,1)))</f>
        <v/>
      </c>
      <c r="H63" s="17" t="str">
        <f aca="false">IF($C63="","",SUMIFS('XUẤT KHO'!$E$5:$E$2004,'XUẤT KHO'!$C$5:$C$2004,$C63,'XUẤT KHO'!$D$5:$D$2004,$E63,'XUẤT KHO'!$A$5:$A$2004,"&gt;"&amp;MAX($E$3-1,'TỒN KHO'!$E$4),'XUẤT KHO'!$A$5:$A$2004,"&lt;"&amp;EDATE($E$3,1)))</f>
        <v/>
      </c>
      <c r="I63" s="49" t="str">
        <f aca="false">IF($C63="","",F63+G63-H63)</f>
        <v/>
      </c>
      <c r="J63" s="17" t="str">
        <f aca="false">IF($C63="","",IF('TỒN KHO'!F66="","",'TỒN KHO'!F66))</f>
        <v/>
      </c>
      <c r="K63" s="17" t="str">
        <f aca="false">IF($C63="","",IF(J63="",0,MAX(I63,0)*J63))</f>
        <v/>
      </c>
      <c r="L63" s="17" t="str">
        <f aca="false">IF($C63="","",SUMIFS('XUẤT KHO'!$H$5:$H$2004,'XUẤT KHO'!$C$5:$C$2004,$C63,'XUẤT KHO'!$D$5:$D$2004,$E63,'XUẤT KHO'!$A$5:$A$2004,"&gt;="&amp;$E$3,'XUẤT KHO'!$A$5:$A$2004,"&lt;"&amp;EDATE($E$3,1)))</f>
        <v/>
      </c>
    </row>
    <row r="64" customFormat="false" ht="15" hidden="false" customHeight="false" outlineLevel="0" collapsed="false">
      <c r="A64" s="48" t="str">
        <f aca="false">IF('TỒN KHO'!$C67="","",'TỒN KHO'!A67)</f>
        <v/>
      </c>
      <c r="B64" s="16" t="str">
        <f aca="false">IF('TỒN KHO'!$C67="","",'TỒN KHO'!B67)</f>
        <v/>
      </c>
      <c r="C64" s="16" t="str">
        <f aca="false">IF('TỒN KHO'!$C67="","",'TỒN KHO'!C67)</f>
        <v/>
      </c>
      <c r="D64" s="16" t="str">
        <f aca="false">IF('TỒN KHO'!$C67="","",'TỒN KHO'!D67)</f>
        <v/>
      </c>
      <c r="E64" s="48" t="str">
        <f aca="false">IF('TỒN KHO'!$C67="","",'TỒN KHO'!E67)</f>
        <v/>
      </c>
      <c r="F64" s="17" t="str">
        <f aca="false">IF($C64="","",'TỒN KHO'!G67+SUMIFS('NHẬP KHO'!$E$5:$E$2004,'NHẬP KHO'!$C$5:$C$2004,$C64,'NHẬP KHO'!$D$5:$D$2004,$E64,'NHẬP KHO'!$A$5:$A$2004,"&gt;"&amp;'TỒN KHO'!$E$4,'NHẬP KHO'!$A$5:$A$2004,"&lt;"&amp;$E$3)-SUMIFS('XUẤT KHO'!$E$5:$E$2004,'XUẤT KHO'!$C$5:$C$2004,$C64,'XUẤT KHO'!$D$5:$D$2004,$E64,'XUẤT KHO'!$A$5:$A$2004,"&gt;"&amp;'TỒN KHO'!$E$4,'XUẤT KHO'!$A$5:$A$2004,"&lt;"&amp;$E$3))</f>
        <v/>
      </c>
      <c r="G64" s="17" t="str">
        <f aca="false">IF($C64="","",SUMIFS('NHẬP KHO'!$E$5:$E$2004,'NHẬP KHO'!$C$5:$C$2004,$C64,'NHẬP KHO'!$D$5:$D$2004,$E64,'NHẬP KHO'!$A$5:$A$2004,"&gt;"&amp;MAX($E$3-1,'TỒN KHO'!$E$4),'NHẬP KHO'!$A$5:$A$2004,"&lt;"&amp;EDATE($E$3,1)))</f>
        <v/>
      </c>
      <c r="H64" s="17" t="str">
        <f aca="false">IF($C64="","",SUMIFS('XUẤT KHO'!$E$5:$E$2004,'XUẤT KHO'!$C$5:$C$2004,$C64,'XUẤT KHO'!$D$5:$D$2004,$E64,'XUẤT KHO'!$A$5:$A$2004,"&gt;"&amp;MAX($E$3-1,'TỒN KHO'!$E$4),'XUẤT KHO'!$A$5:$A$2004,"&lt;"&amp;EDATE($E$3,1)))</f>
        <v/>
      </c>
      <c r="I64" s="49" t="str">
        <f aca="false">IF($C64="","",F64+G64-H64)</f>
        <v/>
      </c>
      <c r="J64" s="17" t="str">
        <f aca="false">IF($C64="","",IF('TỒN KHO'!F67="","",'TỒN KHO'!F67))</f>
        <v/>
      </c>
      <c r="K64" s="17" t="str">
        <f aca="false">IF($C64="","",IF(J64="",0,MAX(I64,0)*J64))</f>
        <v/>
      </c>
      <c r="L64" s="17" t="str">
        <f aca="false">IF($C64="","",SUMIFS('XUẤT KHO'!$H$5:$H$2004,'XUẤT KHO'!$C$5:$C$2004,$C64,'XUẤT KHO'!$D$5:$D$2004,$E64,'XUẤT KHO'!$A$5:$A$2004,"&gt;="&amp;$E$3,'XUẤT KHO'!$A$5:$A$2004,"&lt;"&amp;EDATE($E$3,1)))</f>
        <v/>
      </c>
    </row>
    <row r="65" customFormat="false" ht="15" hidden="false" customHeight="false" outlineLevel="0" collapsed="false">
      <c r="A65" s="48" t="str">
        <f aca="false">IF('TỒN KHO'!$C68="","",'TỒN KHO'!A68)</f>
        <v/>
      </c>
      <c r="B65" s="16" t="str">
        <f aca="false">IF('TỒN KHO'!$C68="","",'TỒN KHO'!B68)</f>
        <v/>
      </c>
      <c r="C65" s="16" t="str">
        <f aca="false">IF('TỒN KHO'!$C68="","",'TỒN KHO'!C68)</f>
        <v/>
      </c>
      <c r="D65" s="16" t="str">
        <f aca="false">IF('TỒN KHO'!$C68="","",'TỒN KHO'!D68)</f>
        <v/>
      </c>
      <c r="E65" s="48" t="str">
        <f aca="false">IF('TỒN KHO'!$C68="","",'TỒN KHO'!E68)</f>
        <v/>
      </c>
      <c r="F65" s="17" t="str">
        <f aca="false">IF($C65="","",'TỒN KHO'!G68+SUMIFS('NHẬP KHO'!$E$5:$E$2004,'NHẬP KHO'!$C$5:$C$2004,$C65,'NHẬP KHO'!$D$5:$D$2004,$E65,'NHẬP KHO'!$A$5:$A$2004,"&gt;"&amp;'TỒN KHO'!$E$4,'NHẬP KHO'!$A$5:$A$2004,"&lt;"&amp;$E$3)-SUMIFS('XUẤT KHO'!$E$5:$E$2004,'XUẤT KHO'!$C$5:$C$2004,$C65,'XUẤT KHO'!$D$5:$D$2004,$E65,'XUẤT KHO'!$A$5:$A$2004,"&gt;"&amp;'TỒN KHO'!$E$4,'XUẤT KHO'!$A$5:$A$2004,"&lt;"&amp;$E$3))</f>
        <v/>
      </c>
      <c r="G65" s="17" t="str">
        <f aca="false">IF($C65="","",SUMIFS('NHẬP KHO'!$E$5:$E$2004,'NHẬP KHO'!$C$5:$C$2004,$C65,'NHẬP KHO'!$D$5:$D$2004,$E65,'NHẬP KHO'!$A$5:$A$2004,"&gt;"&amp;MAX($E$3-1,'TỒN KHO'!$E$4),'NHẬP KHO'!$A$5:$A$2004,"&lt;"&amp;EDATE($E$3,1)))</f>
        <v/>
      </c>
      <c r="H65" s="17" t="str">
        <f aca="false">IF($C65="","",SUMIFS('XUẤT KHO'!$E$5:$E$2004,'XUẤT KHO'!$C$5:$C$2004,$C65,'XUẤT KHO'!$D$5:$D$2004,$E65,'XUẤT KHO'!$A$5:$A$2004,"&gt;"&amp;MAX($E$3-1,'TỒN KHO'!$E$4),'XUẤT KHO'!$A$5:$A$2004,"&lt;"&amp;EDATE($E$3,1)))</f>
        <v/>
      </c>
      <c r="I65" s="49" t="str">
        <f aca="false">IF($C65="","",F65+G65-H65)</f>
        <v/>
      </c>
      <c r="J65" s="17" t="str">
        <f aca="false">IF($C65="","",IF('TỒN KHO'!F68="","",'TỒN KHO'!F68))</f>
        <v/>
      </c>
      <c r="K65" s="17" t="str">
        <f aca="false">IF($C65="","",IF(J65="",0,MAX(I65,0)*J65))</f>
        <v/>
      </c>
      <c r="L65" s="17" t="str">
        <f aca="false">IF($C65="","",SUMIFS('XUẤT KHO'!$H$5:$H$2004,'XUẤT KHO'!$C$5:$C$2004,$C65,'XUẤT KHO'!$D$5:$D$2004,$E65,'XUẤT KHO'!$A$5:$A$2004,"&gt;="&amp;$E$3,'XUẤT KHO'!$A$5:$A$2004,"&lt;"&amp;EDATE($E$3,1)))</f>
        <v/>
      </c>
    </row>
    <row r="66" customFormat="false" ht="15" hidden="false" customHeight="false" outlineLevel="0" collapsed="false">
      <c r="A66" s="48" t="str">
        <f aca="false">IF('TỒN KHO'!$C69="","",'TỒN KHO'!A69)</f>
        <v/>
      </c>
      <c r="B66" s="16" t="str">
        <f aca="false">IF('TỒN KHO'!$C69="","",'TỒN KHO'!B69)</f>
        <v/>
      </c>
      <c r="C66" s="16" t="str">
        <f aca="false">IF('TỒN KHO'!$C69="","",'TỒN KHO'!C69)</f>
        <v/>
      </c>
      <c r="D66" s="16" t="str">
        <f aca="false">IF('TỒN KHO'!$C69="","",'TỒN KHO'!D69)</f>
        <v/>
      </c>
      <c r="E66" s="48" t="str">
        <f aca="false">IF('TỒN KHO'!$C69="","",'TỒN KHO'!E69)</f>
        <v/>
      </c>
      <c r="F66" s="17" t="str">
        <f aca="false">IF($C66="","",'TỒN KHO'!G69+SUMIFS('NHẬP KHO'!$E$5:$E$2004,'NHẬP KHO'!$C$5:$C$2004,$C66,'NHẬP KHO'!$D$5:$D$2004,$E66,'NHẬP KHO'!$A$5:$A$2004,"&gt;"&amp;'TỒN KHO'!$E$4,'NHẬP KHO'!$A$5:$A$2004,"&lt;"&amp;$E$3)-SUMIFS('XUẤT KHO'!$E$5:$E$2004,'XUẤT KHO'!$C$5:$C$2004,$C66,'XUẤT KHO'!$D$5:$D$2004,$E66,'XUẤT KHO'!$A$5:$A$2004,"&gt;"&amp;'TỒN KHO'!$E$4,'XUẤT KHO'!$A$5:$A$2004,"&lt;"&amp;$E$3))</f>
        <v/>
      </c>
      <c r="G66" s="17" t="str">
        <f aca="false">IF($C66="","",SUMIFS('NHẬP KHO'!$E$5:$E$2004,'NHẬP KHO'!$C$5:$C$2004,$C66,'NHẬP KHO'!$D$5:$D$2004,$E66,'NHẬP KHO'!$A$5:$A$2004,"&gt;"&amp;MAX($E$3-1,'TỒN KHO'!$E$4),'NHẬP KHO'!$A$5:$A$2004,"&lt;"&amp;EDATE($E$3,1)))</f>
        <v/>
      </c>
      <c r="H66" s="17" t="str">
        <f aca="false">IF($C66="","",SUMIFS('XUẤT KHO'!$E$5:$E$2004,'XUẤT KHO'!$C$5:$C$2004,$C66,'XUẤT KHO'!$D$5:$D$2004,$E66,'XUẤT KHO'!$A$5:$A$2004,"&gt;"&amp;MAX($E$3-1,'TỒN KHO'!$E$4),'XUẤT KHO'!$A$5:$A$2004,"&lt;"&amp;EDATE($E$3,1)))</f>
        <v/>
      </c>
      <c r="I66" s="49" t="str">
        <f aca="false">IF($C66="","",F66+G66-H66)</f>
        <v/>
      </c>
      <c r="J66" s="17" t="str">
        <f aca="false">IF($C66="","",IF('TỒN KHO'!F69="","",'TỒN KHO'!F69))</f>
        <v/>
      </c>
      <c r="K66" s="17" t="str">
        <f aca="false">IF($C66="","",IF(J66="",0,MAX(I66,0)*J66))</f>
        <v/>
      </c>
      <c r="L66" s="17" t="str">
        <f aca="false">IF($C66="","",SUMIFS('XUẤT KHO'!$H$5:$H$2004,'XUẤT KHO'!$C$5:$C$2004,$C66,'XUẤT KHO'!$D$5:$D$2004,$E66,'XUẤT KHO'!$A$5:$A$2004,"&gt;="&amp;$E$3,'XUẤT KHO'!$A$5:$A$2004,"&lt;"&amp;EDATE($E$3,1)))</f>
        <v/>
      </c>
    </row>
    <row r="67" customFormat="false" ht="15" hidden="false" customHeight="false" outlineLevel="0" collapsed="false">
      <c r="A67" s="48" t="str">
        <f aca="false">IF('TỒN KHO'!$C70="","",'TỒN KHO'!A70)</f>
        <v/>
      </c>
      <c r="B67" s="16" t="str">
        <f aca="false">IF('TỒN KHO'!$C70="","",'TỒN KHO'!B70)</f>
        <v/>
      </c>
      <c r="C67" s="16" t="str">
        <f aca="false">IF('TỒN KHO'!$C70="","",'TỒN KHO'!C70)</f>
        <v/>
      </c>
      <c r="D67" s="16" t="str">
        <f aca="false">IF('TỒN KHO'!$C70="","",'TỒN KHO'!D70)</f>
        <v/>
      </c>
      <c r="E67" s="48" t="str">
        <f aca="false">IF('TỒN KHO'!$C70="","",'TỒN KHO'!E70)</f>
        <v/>
      </c>
      <c r="F67" s="17" t="str">
        <f aca="false">IF($C67="","",'TỒN KHO'!G70+SUMIFS('NHẬP KHO'!$E$5:$E$2004,'NHẬP KHO'!$C$5:$C$2004,$C67,'NHẬP KHO'!$D$5:$D$2004,$E67,'NHẬP KHO'!$A$5:$A$2004,"&gt;"&amp;'TỒN KHO'!$E$4,'NHẬP KHO'!$A$5:$A$2004,"&lt;"&amp;$E$3)-SUMIFS('XUẤT KHO'!$E$5:$E$2004,'XUẤT KHO'!$C$5:$C$2004,$C67,'XUẤT KHO'!$D$5:$D$2004,$E67,'XUẤT KHO'!$A$5:$A$2004,"&gt;"&amp;'TỒN KHO'!$E$4,'XUẤT KHO'!$A$5:$A$2004,"&lt;"&amp;$E$3))</f>
        <v/>
      </c>
      <c r="G67" s="17" t="str">
        <f aca="false">IF($C67="","",SUMIFS('NHẬP KHO'!$E$5:$E$2004,'NHẬP KHO'!$C$5:$C$2004,$C67,'NHẬP KHO'!$D$5:$D$2004,$E67,'NHẬP KHO'!$A$5:$A$2004,"&gt;"&amp;MAX($E$3-1,'TỒN KHO'!$E$4),'NHẬP KHO'!$A$5:$A$2004,"&lt;"&amp;EDATE($E$3,1)))</f>
        <v/>
      </c>
      <c r="H67" s="17" t="str">
        <f aca="false">IF($C67="","",SUMIFS('XUẤT KHO'!$E$5:$E$2004,'XUẤT KHO'!$C$5:$C$2004,$C67,'XUẤT KHO'!$D$5:$D$2004,$E67,'XUẤT KHO'!$A$5:$A$2004,"&gt;"&amp;MAX($E$3-1,'TỒN KHO'!$E$4),'XUẤT KHO'!$A$5:$A$2004,"&lt;"&amp;EDATE($E$3,1)))</f>
        <v/>
      </c>
      <c r="I67" s="49" t="str">
        <f aca="false">IF($C67="","",F67+G67-H67)</f>
        <v/>
      </c>
      <c r="J67" s="17" t="str">
        <f aca="false">IF($C67="","",IF('TỒN KHO'!F70="","",'TỒN KHO'!F70))</f>
        <v/>
      </c>
      <c r="K67" s="17" t="str">
        <f aca="false">IF($C67="","",IF(J67="",0,MAX(I67,0)*J67))</f>
        <v/>
      </c>
      <c r="L67" s="17" t="str">
        <f aca="false">IF($C67="","",SUMIFS('XUẤT KHO'!$H$5:$H$2004,'XUẤT KHO'!$C$5:$C$2004,$C67,'XUẤT KHO'!$D$5:$D$2004,$E67,'XUẤT KHO'!$A$5:$A$2004,"&gt;="&amp;$E$3,'XUẤT KHO'!$A$5:$A$2004,"&lt;"&amp;EDATE($E$3,1)))</f>
        <v/>
      </c>
    </row>
    <row r="68" customFormat="false" ht="15" hidden="false" customHeight="false" outlineLevel="0" collapsed="false">
      <c r="A68" s="48" t="str">
        <f aca="false">IF('TỒN KHO'!$C71="","",'TỒN KHO'!A71)</f>
        <v/>
      </c>
      <c r="B68" s="16" t="str">
        <f aca="false">IF('TỒN KHO'!$C71="","",'TỒN KHO'!B71)</f>
        <v/>
      </c>
      <c r="C68" s="16" t="str">
        <f aca="false">IF('TỒN KHO'!$C71="","",'TỒN KHO'!C71)</f>
        <v/>
      </c>
      <c r="D68" s="16" t="str">
        <f aca="false">IF('TỒN KHO'!$C71="","",'TỒN KHO'!D71)</f>
        <v/>
      </c>
      <c r="E68" s="48" t="str">
        <f aca="false">IF('TỒN KHO'!$C71="","",'TỒN KHO'!E71)</f>
        <v/>
      </c>
      <c r="F68" s="17" t="str">
        <f aca="false">IF($C68="","",'TỒN KHO'!G71+SUMIFS('NHẬP KHO'!$E$5:$E$2004,'NHẬP KHO'!$C$5:$C$2004,$C68,'NHẬP KHO'!$D$5:$D$2004,$E68,'NHẬP KHO'!$A$5:$A$2004,"&gt;"&amp;'TỒN KHO'!$E$4,'NHẬP KHO'!$A$5:$A$2004,"&lt;"&amp;$E$3)-SUMIFS('XUẤT KHO'!$E$5:$E$2004,'XUẤT KHO'!$C$5:$C$2004,$C68,'XUẤT KHO'!$D$5:$D$2004,$E68,'XUẤT KHO'!$A$5:$A$2004,"&gt;"&amp;'TỒN KHO'!$E$4,'XUẤT KHO'!$A$5:$A$2004,"&lt;"&amp;$E$3))</f>
        <v/>
      </c>
      <c r="G68" s="17" t="str">
        <f aca="false">IF($C68="","",SUMIFS('NHẬP KHO'!$E$5:$E$2004,'NHẬP KHO'!$C$5:$C$2004,$C68,'NHẬP KHO'!$D$5:$D$2004,$E68,'NHẬP KHO'!$A$5:$A$2004,"&gt;"&amp;MAX($E$3-1,'TỒN KHO'!$E$4),'NHẬP KHO'!$A$5:$A$2004,"&lt;"&amp;EDATE($E$3,1)))</f>
        <v/>
      </c>
      <c r="H68" s="17" t="str">
        <f aca="false">IF($C68="","",SUMIFS('XUẤT KHO'!$E$5:$E$2004,'XUẤT KHO'!$C$5:$C$2004,$C68,'XUẤT KHO'!$D$5:$D$2004,$E68,'XUẤT KHO'!$A$5:$A$2004,"&gt;"&amp;MAX($E$3-1,'TỒN KHO'!$E$4),'XUẤT KHO'!$A$5:$A$2004,"&lt;"&amp;EDATE($E$3,1)))</f>
        <v/>
      </c>
      <c r="I68" s="49" t="str">
        <f aca="false">IF($C68="","",F68+G68-H68)</f>
        <v/>
      </c>
      <c r="J68" s="17" t="str">
        <f aca="false">IF($C68="","",IF('TỒN KHO'!F71="","",'TỒN KHO'!F71))</f>
        <v/>
      </c>
      <c r="K68" s="17" t="str">
        <f aca="false">IF($C68="","",IF(J68="",0,MAX(I68,0)*J68))</f>
        <v/>
      </c>
      <c r="L68" s="17" t="str">
        <f aca="false">IF($C68="","",SUMIFS('XUẤT KHO'!$H$5:$H$2004,'XUẤT KHO'!$C$5:$C$2004,$C68,'XUẤT KHO'!$D$5:$D$2004,$E68,'XUẤT KHO'!$A$5:$A$2004,"&gt;="&amp;$E$3,'XUẤT KHO'!$A$5:$A$2004,"&lt;"&amp;EDATE($E$3,1)))</f>
        <v/>
      </c>
    </row>
    <row r="69" customFormat="false" ht="15" hidden="false" customHeight="false" outlineLevel="0" collapsed="false">
      <c r="A69" s="48" t="str">
        <f aca="false">IF('TỒN KHO'!$C72="","",'TỒN KHO'!A72)</f>
        <v/>
      </c>
      <c r="B69" s="16" t="str">
        <f aca="false">IF('TỒN KHO'!$C72="","",'TỒN KHO'!B72)</f>
        <v/>
      </c>
      <c r="C69" s="16" t="str">
        <f aca="false">IF('TỒN KHO'!$C72="","",'TỒN KHO'!C72)</f>
        <v/>
      </c>
      <c r="D69" s="16" t="str">
        <f aca="false">IF('TỒN KHO'!$C72="","",'TỒN KHO'!D72)</f>
        <v/>
      </c>
      <c r="E69" s="48" t="str">
        <f aca="false">IF('TỒN KHO'!$C72="","",'TỒN KHO'!E72)</f>
        <v/>
      </c>
      <c r="F69" s="17" t="str">
        <f aca="false">IF($C69="","",'TỒN KHO'!G72+SUMIFS('NHẬP KHO'!$E$5:$E$2004,'NHẬP KHO'!$C$5:$C$2004,$C69,'NHẬP KHO'!$D$5:$D$2004,$E69,'NHẬP KHO'!$A$5:$A$2004,"&gt;"&amp;'TỒN KHO'!$E$4,'NHẬP KHO'!$A$5:$A$2004,"&lt;"&amp;$E$3)-SUMIFS('XUẤT KHO'!$E$5:$E$2004,'XUẤT KHO'!$C$5:$C$2004,$C69,'XUẤT KHO'!$D$5:$D$2004,$E69,'XUẤT KHO'!$A$5:$A$2004,"&gt;"&amp;'TỒN KHO'!$E$4,'XUẤT KHO'!$A$5:$A$2004,"&lt;"&amp;$E$3))</f>
        <v/>
      </c>
      <c r="G69" s="17" t="str">
        <f aca="false">IF($C69="","",SUMIFS('NHẬP KHO'!$E$5:$E$2004,'NHẬP KHO'!$C$5:$C$2004,$C69,'NHẬP KHO'!$D$5:$D$2004,$E69,'NHẬP KHO'!$A$5:$A$2004,"&gt;"&amp;MAX($E$3-1,'TỒN KHO'!$E$4),'NHẬP KHO'!$A$5:$A$2004,"&lt;"&amp;EDATE($E$3,1)))</f>
        <v/>
      </c>
      <c r="H69" s="17" t="str">
        <f aca="false">IF($C69="","",SUMIFS('XUẤT KHO'!$E$5:$E$2004,'XUẤT KHO'!$C$5:$C$2004,$C69,'XUẤT KHO'!$D$5:$D$2004,$E69,'XUẤT KHO'!$A$5:$A$2004,"&gt;"&amp;MAX($E$3-1,'TỒN KHO'!$E$4),'XUẤT KHO'!$A$5:$A$2004,"&lt;"&amp;EDATE($E$3,1)))</f>
        <v/>
      </c>
      <c r="I69" s="49" t="str">
        <f aca="false">IF($C69="","",F69+G69-H69)</f>
        <v/>
      </c>
      <c r="J69" s="17" t="str">
        <f aca="false">IF($C69="","",IF('TỒN KHO'!F72="","",'TỒN KHO'!F72))</f>
        <v/>
      </c>
      <c r="K69" s="17" t="str">
        <f aca="false">IF($C69="","",IF(J69="",0,MAX(I69,0)*J69))</f>
        <v/>
      </c>
      <c r="L69" s="17" t="str">
        <f aca="false">IF($C69="","",SUMIFS('XUẤT KHO'!$H$5:$H$2004,'XUẤT KHO'!$C$5:$C$2004,$C69,'XUẤT KHO'!$D$5:$D$2004,$E69,'XUẤT KHO'!$A$5:$A$2004,"&gt;="&amp;$E$3,'XUẤT KHO'!$A$5:$A$2004,"&lt;"&amp;EDATE($E$3,1)))</f>
        <v/>
      </c>
    </row>
    <row r="70" customFormat="false" ht="15" hidden="false" customHeight="false" outlineLevel="0" collapsed="false">
      <c r="A70" s="48" t="str">
        <f aca="false">IF('TỒN KHO'!$C73="","",'TỒN KHO'!A73)</f>
        <v/>
      </c>
      <c r="B70" s="16" t="str">
        <f aca="false">IF('TỒN KHO'!$C73="","",'TỒN KHO'!B73)</f>
        <v/>
      </c>
      <c r="C70" s="16" t="str">
        <f aca="false">IF('TỒN KHO'!$C73="","",'TỒN KHO'!C73)</f>
        <v/>
      </c>
      <c r="D70" s="16" t="str">
        <f aca="false">IF('TỒN KHO'!$C73="","",'TỒN KHO'!D73)</f>
        <v/>
      </c>
      <c r="E70" s="48" t="str">
        <f aca="false">IF('TỒN KHO'!$C73="","",'TỒN KHO'!E73)</f>
        <v/>
      </c>
      <c r="F70" s="17" t="str">
        <f aca="false">IF($C70="","",'TỒN KHO'!G73+SUMIFS('NHẬP KHO'!$E$5:$E$2004,'NHẬP KHO'!$C$5:$C$2004,$C70,'NHẬP KHO'!$D$5:$D$2004,$E70,'NHẬP KHO'!$A$5:$A$2004,"&gt;"&amp;'TỒN KHO'!$E$4,'NHẬP KHO'!$A$5:$A$2004,"&lt;"&amp;$E$3)-SUMIFS('XUẤT KHO'!$E$5:$E$2004,'XUẤT KHO'!$C$5:$C$2004,$C70,'XUẤT KHO'!$D$5:$D$2004,$E70,'XUẤT KHO'!$A$5:$A$2004,"&gt;"&amp;'TỒN KHO'!$E$4,'XUẤT KHO'!$A$5:$A$2004,"&lt;"&amp;$E$3))</f>
        <v/>
      </c>
      <c r="G70" s="17" t="str">
        <f aca="false">IF($C70="","",SUMIFS('NHẬP KHO'!$E$5:$E$2004,'NHẬP KHO'!$C$5:$C$2004,$C70,'NHẬP KHO'!$D$5:$D$2004,$E70,'NHẬP KHO'!$A$5:$A$2004,"&gt;"&amp;MAX($E$3-1,'TỒN KHO'!$E$4),'NHẬP KHO'!$A$5:$A$2004,"&lt;"&amp;EDATE($E$3,1)))</f>
        <v/>
      </c>
      <c r="H70" s="17" t="str">
        <f aca="false">IF($C70="","",SUMIFS('XUẤT KHO'!$E$5:$E$2004,'XUẤT KHO'!$C$5:$C$2004,$C70,'XUẤT KHO'!$D$5:$D$2004,$E70,'XUẤT KHO'!$A$5:$A$2004,"&gt;"&amp;MAX($E$3-1,'TỒN KHO'!$E$4),'XUẤT KHO'!$A$5:$A$2004,"&lt;"&amp;EDATE($E$3,1)))</f>
        <v/>
      </c>
      <c r="I70" s="49" t="str">
        <f aca="false">IF($C70="","",F70+G70-H70)</f>
        <v/>
      </c>
      <c r="J70" s="17" t="str">
        <f aca="false">IF($C70="","",IF('TỒN KHO'!F73="","",'TỒN KHO'!F73))</f>
        <v/>
      </c>
      <c r="K70" s="17" t="str">
        <f aca="false">IF($C70="","",IF(J70="",0,MAX(I70,0)*J70))</f>
        <v/>
      </c>
      <c r="L70" s="17" t="str">
        <f aca="false">IF($C70="","",SUMIFS('XUẤT KHO'!$H$5:$H$2004,'XUẤT KHO'!$C$5:$C$2004,$C70,'XUẤT KHO'!$D$5:$D$2004,$E70,'XUẤT KHO'!$A$5:$A$2004,"&gt;="&amp;$E$3,'XUẤT KHO'!$A$5:$A$2004,"&lt;"&amp;EDATE($E$3,1)))</f>
        <v/>
      </c>
    </row>
    <row r="71" customFormat="false" ht="15" hidden="false" customHeight="false" outlineLevel="0" collapsed="false">
      <c r="A71" s="48" t="str">
        <f aca="false">IF('TỒN KHO'!$C74="","",'TỒN KHO'!A74)</f>
        <v/>
      </c>
      <c r="B71" s="16" t="str">
        <f aca="false">IF('TỒN KHO'!$C74="","",'TỒN KHO'!B74)</f>
        <v/>
      </c>
      <c r="C71" s="16" t="str">
        <f aca="false">IF('TỒN KHO'!$C74="","",'TỒN KHO'!C74)</f>
        <v/>
      </c>
      <c r="D71" s="16" t="str">
        <f aca="false">IF('TỒN KHO'!$C74="","",'TỒN KHO'!D74)</f>
        <v/>
      </c>
      <c r="E71" s="48" t="str">
        <f aca="false">IF('TỒN KHO'!$C74="","",'TỒN KHO'!E74)</f>
        <v/>
      </c>
      <c r="F71" s="17" t="str">
        <f aca="false">IF($C71="","",'TỒN KHO'!G74+SUMIFS('NHẬP KHO'!$E$5:$E$2004,'NHẬP KHO'!$C$5:$C$2004,$C71,'NHẬP KHO'!$D$5:$D$2004,$E71,'NHẬP KHO'!$A$5:$A$2004,"&gt;"&amp;'TỒN KHO'!$E$4,'NHẬP KHO'!$A$5:$A$2004,"&lt;"&amp;$E$3)-SUMIFS('XUẤT KHO'!$E$5:$E$2004,'XUẤT KHO'!$C$5:$C$2004,$C71,'XUẤT KHO'!$D$5:$D$2004,$E71,'XUẤT KHO'!$A$5:$A$2004,"&gt;"&amp;'TỒN KHO'!$E$4,'XUẤT KHO'!$A$5:$A$2004,"&lt;"&amp;$E$3))</f>
        <v/>
      </c>
      <c r="G71" s="17" t="str">
        <f aca="false">IF($C71="","",SUMIFS('NHẬP KHO'!$E$5:$E$2004,'NHẬP KHO'!$C$5:$C$2004,$C71,'NHẬP KHO'!$D$5:$D$2004,$E71,'NHẬP KHO'!$A$5:$A$2004,"&gt;"&amp;MAX($E$3-1,'TỒN KHO'!$E$4),'NHẬP KHO'!$A$5:$A$2004,"&lt;"&amp;EDATE($E$3,1)))</f>
        <v/>
      </c>
      <c r="H71" s="17" t="str">
        <f aca="false">IF($C71="","",SUMIFS('XUẤT KHO'!$E$5:$E$2004,'XUẤT KHO'!$C$5:$C$2004,$C71,'XUẤT KHO'!$D$5:$D$2004,$E71,'XUẤT KHO'!$A$5:$A$2004,"&gt;"&amp;MAX($E$3-1,'TỒN KHO'!$E$4),'XUẤT KHO'!$A$5:$A$2004,"&lt;"&amp;EDATE($E$3,1)))</f>
        <v/>
      </c>
      <c r="I71" s="49" t="str">
        <f aca="false">IF($C71="","",F71+G71-H71)</f>
        <v/>
      </c>
      <c r="J71" s="17" t="str">
        <f aca="false">IF($C71="","",IF('TỒN KHO'!F74="","",'TỒN KHO'!F74))</f>
        <v/>
      </c>
      <c r="K71" s="17" t="str">
        <f aca="false">IF($C71="","",IF(J71="",0,MAX(I71,0)*J71))</f>
        <v/>
      </c>
      <c r="L71" s="17" t="str">
        <f aca="false">IF($C71="","",SUMIFS('XUẤT KHO'!$H$5:$H$2004,'XUẤT KHO'!$C$5:$C$2004,$C71,'XUẤT KHO'!$D$5:$D$2004,$E71,'XUẤT KHO'!$A$5:$A$2004,"&gt;="&amp;$E$3,'XUẤT KHO'!$A$5:$A$2004,"&lt;"&amp;EDATE($E$3,1)))</f>
        <v/>
      </c>
    </row>
    <row r="72" customFormat="false" ht="15" hidden="false" customHeight="false" outlineLevel="0" collapsed="false">
      <c r="A72" s="48" t="str">
        <f aca="false">IF('TỒN KHO'!$C75="","",'TỒN KHO'!A75)</f>
        <v/>
      </c>
      <c r="B72" s="16" t="str">
        <f aca="false">IF('TỒN KHO'!$C75="","",'TỒN KHO'!B75)</f>
        <v/>
      </c>
      <c r="C72" s="16" t="str">
        <f aca="false">IF('TỒN KHO'!$C75="","",'TỒN KHO'!C75)</f>
        <v/>
      </c>
      <c r="D72" s="16" t="str">
        <f aca="false">IF('TỒN KHO'!$C75="","",'TỒN KHO'!D75)</f>
        <v/>
      </c>
      <c r="E72" s="48" t="str">
        <f aca="false">IF('TỒN KHO'!$C75="","",'TỒN KHO'!E75)</f>
        <v/>
      </c>
      <c r="F72" s="17" t="str">
        <f aca="false">IF($C72="","",'TỒN KHO'!G75+SUMIFS('NHẬP KHO'!$E$5:$E$2004,'NHẬP KHO'!$C$5:$C$2004,$C72,'NHẬP KHO'!$D$5:$D$2004,$E72,'NHẬP KHO'!$A$5:$A$2004,"&gt;"&amp;'TỒN KHO'!$E$4,'NHẬP KHO'!$A$5:$A$2004,"&lt;"&amp;$E$3)-SUMIFS('XUẤT KHO'!$E$5:$E$2004,'XUẤT KHO'!$C$5:$C$2004,$C72,'XUẤT KHO'!$D$5:$D$2004,$E72,'XUẤT KHO'!$A$5:$A$2004,"&gt;"&amp;'TỒN KHO'!$E$4,'XUẤT KHO'!$A$5:$A$2004,"&lt;"&amp;$E$3))</f>
        <v/>
      </c>
      <c r="G72" s="17" t="str">
        <f aca="false">IF($C72="","",SUMIFS('NHẬP KHO'!$E$5:$E$2004,'NHẬP KHO'!$C$5:$C$2004,$C72,'NHẬP KHO'!$D$5:$D$2004,$E72,'NHẬP KHO'!$A$5:$A$2004,"&gt;"&amp;MAX($E$3-1,'TỒN KHO'!$E$4),'NHẬP KHO'!$A$5:$A$2004,"&lt;"&amp;EDATE($E$3,1)))</f>
        <v/>
      </c>
      <c r="H72" s="17" t="str">
        <f aca="false">IF($C72="","",SUMIFS('XUẤT KHO'!$E$5:$E$2004,'XUẤT KHO'!$C$5:$C$2004,$C72,'XUẤT KHO'!$D$5:$D$2004,$E72,'XUẤT KHO'!$A$5:$A$2004,"&gt;"&amp;MAX($E$3-1,'TỒN KHO'!$E$4),'XUẤT KHO'!$A$5:$A$2004,"&lt;"&amp;EDATE($E$3,1)))</f>
        <v/>
      </c>
      <c r="I72" s="49" t="str">
        <f aca="false">IF($C72="","",F72+G72-H72)</f>
        <v/>
      </c>
      <c r="J72" s="17" t="str">
        <f aca="false">IF($C72="","",IF('TỒN KHO'!F75="","",'TỒN KHO'!F75))</f>
        <v/>
      </c>
      <c r="K72" s="17" t="str">
        <f aca="false">IF($C72="","",IF(J72="",0,MAX(I72,0)*J72))</f>
        <v/>
      </c>
      <c r="L72" s="17" t="str">
        <f aca="false">IF($C72="","",SUMIFS('XUẤT KHO'!$H$5:$H$2004,'XUẤT KHO'!$C$5:$C$2004,$C72,'XUẤT KHO'!$D$5:$D$2004,$E72,'XUẤT KHO'!$A$5:$A$2004,"&gt;="&amp;$E$3,'XUẤT KHO'!$A$5:$A$2004,"&lt;"&amp;EDATE($E$3,1)))</f>
        <v/>
      </c>
    </row>
    <row r="73" customFormat="false" ht="15" hidden="false" customHeight="false" outlineLevel="0" collapsed="false">
      <c r="A73" s="48" t="str">
        <f aca="false">IF('TỒN KHO'!$C76="","",'TỒN KHO'!A76)</f>
        <v/>
      </c>
      <c r="B73" s="16" t="str">
        <f aca="false">IF('TỒN KHO'!$C76="","",'TỒN KHO'!B76)</f>
        <v/>
      </c>
      <c r="C73" s="16" t="str">
        <f aca="false">IF('TỒN KHO'!$C76="","",'TỒN KHO'!C76)</f>
        <v/>
      </c>
      <c r="D73" s="16" t="str">
        <f aca="false">IF('TỒN KHO'!$C76="","",'TỒN KHO'!D76)</f>
        <v/>
      </c>
      <c r="E73" s="48" t="str">
        <f aca="false">IF('TỒN KHO'!$C76="","",'TỒN KHO'!E76)</f>
        <v/>
      </c>
      <c r="F73" s="17" t="str">
        <f aca="false">IF($C73="","",'TỒN KHO'!G76+SUMIFS('NHẬP KHO'!$E$5:$E$2004,'NHẬP KHO'!$C$5:$C$2004,$C73,'NHẬP KHO'!$D$5:$D$2004,$E73,'NHẬP KHO'!$A$5:$A$2004,"&gt;"&amp;'TỒN KHO'!$E$4,'NHẬP KHO'!$A$5:$A$2004,"&lt;"&amp;$E$3)-SUMIFS('XUẤT KHO'!$E$5:$E$2004,'XUẤT KHO'!$C$5:$C$2004,$C73,'XUẤT KHO'!$D$5:$D$2004,$E73,'XUẤT KHO'!$A$5:$A$2004,"&gt;"&amp;'TỒN KHO'!$E$4,'XUẤT KHO'!$A$5:$A$2004,"&lt;"&amp;$E$3))</f>
        <v/>
      </c>
      <c r="G73" s="17" t="str">
        <f aca="false">IF($C73="","",SUMIFS('NHẬP KHO'!$E$5:$E$2004,'NHẬP KHO'!$C$5:$C$2004,$C73,'NHẬP KHO'!$D$5:$D$2004,$E73,'NHẬP KHO'!$A$5:$A$2004,"&gt;"&amp;MAX($E$3-1,'TỒN KHO'!$E$4),'NHẬP KHO'!$A$5:$A$2004,"&lt;"&amp;EDATE($E$3,1)))</f>
        <v/>
      </c>
      <c r="H73" s="17" t="str">
        <f aca="false">IF($C73="","",SUMIFS('XUẤT KHO'!$E$5:$E$2004,'XUẤT KHO'!$C$5:$C$2004,$C73,'XUẤT KHO'!$D$5:$D$2004,$E73,'XUẤT KHO'!$A$5:$A$2004,"&gt;"&amp;MAX($E$3-1,'TỒN KHO'!$E$4),'XUẤT KHO'!$A$5:$A$2004,"&lt;"&amp;EDATE($E$3,1)))</f>
        <v/>
      </c>
      <c r="I73" s="49" t="str">
        <f aca="false">IF($C73="","",F73+G73-H73)</f>
        <v/>
      </c>
      <c r="J73" s="17" t="str">
        <f aca="false">IF($C73="","",IF('TỒN KHO'!F76="","",'TỒN KHO'!F76))</f>
        <v/>
      </c>
      <c r="K73" s="17" t="str">
        <f aca="false">IF($C73="","",IF(J73="",0,MAX(I73,0)*J73))</f>
        <v/>
      </c>
      <c r="L73" s="17" t="str">
        <f aca="false">IF($C73="","",SUMIFS('XUẤT KHO'!$H$5:$H$2004,'XUẤT KHO'!$C$5:$C$2004,$C73,'XUẤT KHO'!$D$5:$D$2004,$E73,'XUẤT KHO'!$A$5:$A$2004,"&gt;="&amp;$E$3,'XUẤT KHO'!$A$5:$A$2004,"&lt;"&amp;EDATE($E$3,1)))</f>
        <v/>
      </c>
    </row>
    <row r="74" customFormat="false" ht="15" hidden="false" customHeight="false" outlineLevel="0" collapsed="false">
      <c r="A74" s="42"/>
      <c r="B74" s="42" t="s">
        <v>79</v>
      </c>
      <c r="C74" s="42"/>
      <c r="D74" s="42"/>
      <c r="E74" s="42"/>
      <c r="F74" s="43" t="n">
        <f aca="false">SUM(F8:F73)</f>
        <v>2266</v>
      </c>
      <c r="G74" s="43" t="n">
        <f aca="false">SUM(G8:G73)</f>
        <v>0</v>
      </c>
      <c r="H74" s="43" t="n">
        <f aca="false">SUM(H8:H73)</f>
        <v>123</v>
      </c>
      <c r="I74" s="43" t="n">
        <f aca="false">SUM(I8:I73)</f>
        <v>2143</v>
      </c>
      <c r="J74" s="42"/>
      <c r="K74" s="43" t="n">
        <f aca="false">SUM(K8:K73)</f>
        <v>6388899000</v>
      </c>
      <c r="L74" s="43" t="n">
        <f aca="false">SUM(L8:L73)</f>
        <v>368195300</v>
      </c>
    </row>
  </sheetData>
  <autoFilter ref="A7:L73"/>
  <conditionalFormatting sqref="I8:I73">
    <cfRule type="expression" priority="2" aboveAverage="0" equalAverage="0" bottom="0" percent="0" rank="0" text="" dxfId="22">
      <formula>AND(ISNUMBER(I8),I8&lt;0)</formula>
    </cfRule>
  </conditionalFormatting>
  <dataValidations count="2">
    <dataValidation allowBlank="false" errorStyle="stop" operator="between" showDropDown="false" showErrorMessage="false" showInputMessage="false" sqref="B3" type="list">
      <formula1>"1,2,3,4,5,6,7,8,9,10,11,12"</formula1>
      <formula2>0</formula2>
    </dataValidation>
    <dataValidation allowBlank="false" errorStyle="stop" operator="between" showDropDown="false" showErrorMessage="false" showInputMessage="false" sqref="B4" type="list">
      <formula1>"2026,2027,2028,2029,2030"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L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8" min="8" style="0" width="16"/>
    <col collapsed="false" customWidth="true" hidden="false" outlineLevel="0" max="9" min="9" style="0" width="46"/>
    <col collapsed="false" customWidth="true" hidden="false" outlineLevel="0" max="10" min="10" style="0" width="24"/>
    <col collapsed="false" customWidth="true" hidden="false" outlineLevel="0" max="11" min="11" style="0" width="16"/>
    <col collapsed="false" customWidth="true" hidden="false" outlineLevel="0" max="12" min="12" style="0" width="60"/>
  </cols>
  <sheetData>
    <row r="1" customFormat="false" ht="19.7" hidden="false" customHeight="false" outlineLevel="0" collapsed="false">
      <c r="A1" s="23" t="s">
        <v>95</v>
      </c>
    </row>
    <row r="2" customFormat="false" ht="15" hidden="false" customHeight="false" outlineLevel="0" collapsed="false">
      <c r="A2" s="2" t="s">
        <v>96</v>
      </c>
    </row>
    <row r="4" customFormat="false" ht="33.75" hidden="false" customHeight="true" outlineLevel="0" collapsed="false">
      <c r="A4" s="14" t="s">
        <v>97</v>
      </c>
      <c r="B4" s="14" t="s">
        <v>84</v>
      </c>
      <c r="C4" s="14" t="s">
        <v>8</v>
      </c>
      <c r="D4" s="14" t="s">
        <v>9</v>
      </c>
      <c r="E4" s="14" t="s">
        <v>98</v>
      </c>
      <c r="F4" s="14" t="s">
        <v>99</v>
      </c>
      <c r="G4" s="14" t="s">
        <v>100</v>
      </c>
      <c r="H4" s="14" t="s">
        <v>101</v>
      </c>
      <c r="I4" s="14" t="s">
        <v>102</v>
      </c>
      <c r="J4" s="14" t="s">
        <v>103</v>
      </c>
      <c r="K4" s="14" t="s">
        <v>104</v>
      </c>
      <c r="L4" s="14" t="s">
        <v>105</v>
      </c>
    </row>
    <row r="5" customFormat="false" ht="15" hidden="false" customHeight="false" outlineLevel="0" collapsed="false">
      <c r="A5" s="50" t="n">
        <v>46176</v>
      </c>
      <c r="B5" s="51" t="n">
        <f aca="false">IF(A5="","",MONTH(A5))</f>
        <v>6</v>
      </c>
      <c r="C5" s="52" t="s">
        <v>69</v>
      </c>
      <c r="D5" s="52" t="s">
        <v>53</v>
      </c>
      <c r="E5" s="52" t="n">
        <v>1</v>
      </c>
      <c r="F5" s="53" t="n">
        <v>6504000</v>
      </c>
      <c r="G5" s="52" t="n">
        <v>1</v>
      </c>
      <c r="H5" s="54" t="n">
        <f aca="false">IF(E5="","",E5*N(F5)*IF(G5="",1,G5))</f>
        <v>6504000</v>
      </c>
      <c r="I5" s="55" t="str">
        <f aca="false">IF(C5="","",IFERROR(INDEX('DANH MỤC'!$B$5:$B$200,MATCH(C5,'DANH MỤC'!$A$5:$A$200,0)),"⚠ Mã chưa có trong DANH MỤC"))</f>
        <v>Sơn ngoại thất siêu bóng cao cấp Imperia EG09</v>
      </c>
      <c r="J5" s="52" t="s">
        <v>106</v>
      </c>
      <c r="K5" s="52" t="s">
        <v>107</v>
      </c>
      <c r="L5" s="52"/>
    </row>
    <row r="6" customFormat="false" ht="15" hidden="false" customHeight="false" outlineLevel="0" collapsed="false">
      <c r="A6" s="50" t="n">
        <v>46176</v>
      </c>
      <c r="B6" s="51" t="n">
        <f aca="false">IF(A6="","",MONTH(A6))</f>
        <v>6</v>
      </c>
      <c r="C6" s="52" t="s">
        <v>62</v>
      </c>
      <c r="D6" s="52" t="s">
        <v>53</v>
      </c>
      <c r="E6" s="52" t="n">
        <v>1</v>
      </c>
      <c r="F6" s="53" t="n">
        <v>5530000</v>
      </c>
      <c r="G6" s="52" t="n">
        <v>1</v>
      </c>
      <c r="H6" s="54" t="n">
        <f aca="false">IF(E6="","",E6*N(F6)*IF(G6="",1,G6))</f>
        <v>5530000</v>
      </c>
      <c r="I6" s="55" t="str">
        <f aca="false">IF(C6="","",IFERROR(INDEX('DANH MỤC'!$B$5:$B$200,MATCH(C6,'DANH MỤC'!$A$5:$A$200,0)),"⚠ Mã chưa có trong DANH MỤC"))</f>
        <v>Sơn nội thất siêu bóng cao cấp Imperia IG05</v>
      </c>
      <c r="J6" s="52" t="s">
        <v>108</v>
      </c>
      <c r="K6" s="52" t="s">
        <v>109</v>
      </c>
      <c r="L6" s="52"/>
    </row>
    <row r="7" customFormat="false" ht="15" hidden="false" customHeight="false" outlineLevel="0" collapsed="false">
      <c r="A7" s="50" t="n">
        <v>46176</v>
      </c>
      <c r="B7" s="51" t="n">
        <f aca="false">IF(A7="","",MONTH(A7))</f>
        <v>6</v>
      </c>
      <c r="C7" s="52" t="s">
        <v>62</v>
      </c>
      <c r="D7" s="52" t="s">
        <v>53</v>
      </c>
      <c r="E7" s="52" t="n">
        <v>1</v>
      </c>
      <c r="F7" s="53" t="n">
        <v>5530000</v>
      </c>
      <c r="G7" s="52" t="n">
        <v>1</v>
      </c>
      <c r="H7" s="54" t="n">
        <f aca="false">IF(E7="","",E7*N(F7)*IF(G7="",1,G7))</f>
        <v>5530000</v>
      </c>
      <c r="I7" s="55" t="str">
        <f aca="false">IF(C7="","",IFERROR(INDEX('DANH MỤC'!$B$5:$B$200,MATCH(C7,'DANH MỤC'!$A$5:$A$200,0)),"⚠ Mã chưa có trong DANH MỤC"))</f>
        <v>Sơn nội thất siêu bóng cao cấp Imperia IG05</v>
      </c>
      <c r="J7" s="52" t="s">
        <v>110</v>
      </c>
      <c r="K7" s="52" t="s">
        <v>111</v>
      </c>
      <c r="L7" s="52"/>
    </row>
    <row r="8" customFormat="false" ht="15" hidden="false" customHeight="false" outlineLevel="0" collapsed="false">
      <c r="A8" s="50" t="n">
        <v>46176</v>
      </c>
      <c r="B8" s="51" t="n">
        <f aca="false">IF(A8="","",MONTH(A8))</f>
        <v>6</v>
      </c>
      <c r="C8" s="52" t="s">
        <v>62</v>
      </c>
      <c r="D8" s="52" t="s">
        <v>52</v>
      </c>
      <c r="E8" s="52" t="n">
        <v>1</v>
      </c>
      <c r="F8" s="53" t="n">
        <v>1874000</v>
      </c>
      <c r="G8" s="52" t="n">
        <v>1</v>
      </c>
      <c r="H8" s="54" t="n">
        <f aca="false">IF(E8="","",E8*N(F8)*IF(G8="",1,G8))</f>
        <v>1874000</v>
      </c>
      <c r="I8" s="55" t="str">
        <f aca="false">IF(C8="","",IFERROR(INDEX('DANH MỤC'!$B$5:$B$200,MATCH(C8,'DANH MỤC'!$A$5:$A$200,0)),"⚠ Mã chưa có trong DANH MỤC"))</f>
        <v>Sơn nội thất siêu bóng cao cấp Imperia IG05</v>
      </c>
      <c r="J8" s="52" t="s">
        <v>112</v>
      </c>
      <c r="K8" s="52" t="s">
        <v>113</v>
      </c>
      <c r="L8" s="52"/>
    </row>
    <row r="9" customFormat="false" ht="15" hidden="false" customHeight="false" outlineLevel="0" collapsed="false">
      <c r="A9" s="50" t="n">
        <v>46176</v>
      </c>
      <c r="B9" s="51" t="n">
        <f aca="false">IF(A9="","",MONTH(A9))</f>
        <v>6</v>
      </c>
      <c r="C9" s="52" t="s">
        <v>62</v>
      </c>
      <c r="D9" s="52" t="s">
        <v>52</v>
      </c>
      <c r="E9" s="52" t="n">
        <v>1</v>
      </c>
      <c r="F9" s="53" t="n">
        <v>1874000</v>
      </c>
      <c r="G9" s="52" t="n">
        <v>1</v>
      </c>
      <c r="H9" s="54" t="n">
        <f aca="false">IF(E9="","",E9*N(F9)*IF(G9="",1,G9))</f>
        <v>1874000</v>
      </c>
      <c r="I9" s="55" t="str">
        <f aca="false">IF(C9="","",IFERROR(INDEX('DANH MỤC'!$B$5:$B$200,MATCH(C9,'DANH MỤC'!$A$5:$A$200,0)),"⚠ Mã chưa có trong DANH MỤC"))</f>
        <v>Sơn nội thất siêu bóng cao cấp Imperia IG05</v>
      </c>
      <c r="J9" s="52" t="s">
        <v>114</v>
      </c>
      <c r="K9" s="52" t="s">
        <v>115</v>
      </c>
      <c r="L9" s="52"/>
    </row>
    <row r="10" customFormat="false" ht="15" hidden="false" customHeight="false" outlineLevel="0" collapsed="false">
      <c r="A10" s="50" t="n">
        <v>46176</v>
      </c>
      <c r="B10" s="51" t="n">
        <f aca="false">IF(A10="","",MONTH(A10))</f>
        <v>6</v>
      </c>
      <c r="C10" s="52" t="s">
        <v>69</v>
      </c>
      <c r="D10" s="52" t="s">
        <v>52</v>
      </c>
      <c r="E10" s="52" t="n">
        <v>1</v>
      </c>
      <c r="F10" s="53" t="n">
        <v>2089000</v>
      </c>
      <c r="G10" s="52" t="n">
        <v>1.15</v>
      </c>
      <c r="H10" s="54" t="n">
        <f aca="false">IF(E10="","",E10*N(F10)*IF(G10="",1,G10))</f>
        <v>2402350</v>
      </c>
      <c r="I10" s="55" t="str">
        <f aca="false">IF(C10="","",IFERROR(INDEX('DANH MỤC'!$B$5:$B$200,MATCH(C10,'DANH MỤC'!$A$5:$A$200,0)),"⚠ Mã chưa có trong DANH MỤC"))</f>
        <v>Sơn ngoại thất siêu bóng cao cấp Imperia EG09</v>
      </c>
      <c r="J10" s="52" t="s">
        <v>116</v>
      </c>
      <c r="K10" s="52" t="s">
        <v>117</v>
      </c>
      <c r="L10" s="52"/>
    </row>
    <row r="11" customFormat="false" ht="15" hidden="false" customHeight="false" outlineLevel="0" collapsed="false">
      <c r="A11" s="50" t="n">
        <v>46176</v>
      </c>
      <c r="B11" s="51" t="n">
        <f aca="false">IF(A11="","",MONTH(A11))</f>
        <v>6</v>
      </c>
      <c r="C11" s="52" t="s">
        <v>72</v>
      </c>
      <c r="D11" s="52" t="s">
        <v>53</v>
      </c>
      <c r="E11" s="52" t="n">
        <v>7</v>
      </c>
      <c r="F11" s="53" t="n">
        <v>4382000</v>
      </c>
      <c r="G11" s="52" t="n">
        <v>1</v>
      </c>
      <c r="H11" s="54" t="n">
        <f aca="false">IF(E11="","",E11*N(F11)*IF(G11="",1,G11))</f>
        <v>30674000</v>
      </c>
      <c r="I11" s="55" t="str">
        <f aca="false">IF(C11="","",IFERROR(INDEX('DANH MỤC'!$B$5:$B$200,MATCH(C11,'DANH MỤC'!$A$5:$A$200,0)),"⚠ Mã chưa có trong DANH MỤC"))</f>
        <v>Sơn chống thấm màu ETM 309 (ghi đậm)</v>
      </c>
      <c r="J11" s="52"/>
      <c r="K11" s="52" t="s">
        <v>118</v>
      </c>
      <c r="L11" s="52"/>
    </row>
    <row r="12" customFormat="false" ht="15" hidden="false" customHeight="false" outlineLevel="0" collapsed="false">
      <c r="A12" s="50" t="n">
        <v>46176</v>
      </c>
      <c r="B12" s="51" t="n">
        <f aca="false">IF(A12="","",MONTH(A12))</f>
        <v>6</v>
      </c>
      <c r="C12" s="52" t="s">
        <v>51</v>
      </c>
      <c r="D12" s="52" t="s">
        <v>53</v>
      </c>
      <c r="E12" s="52" t="n">
        <v>3</v>
      </c>
      <c r="F12" s="53" t="n">
        <v>2738000</v>
      </c>
      <c r="G12" s="52" t="n">
        <v>1</v>
      </c>
      <c r="H12" s="54" t="n">
        <f aca="false">IF(E12="","",E12*N(F12)*IF(G12="",1,G12))</f>
        <v>8214000</v>
      </c>
      <c r="I12" s="55" t="str">
        <f aca="false">IF(C12="","",IFERROR(INDEX('DANH MỤC'!$B$5:$B$200,MATCH(C12,'DANH MỤC'!$A$5:$A$200,0)),"⚠ Mã chưa có trong DANH MỤC"))</f>
        <v>Sơn lót nội thất kháng kiềm cao cấp Imperia PI04</v>
      </c>
      <c r="J12" s="52"/>
      <c r="K12" s="52" t="s">
        <v>119</v>
      </c>
      <c r="L12" s="52"/>
    </row>
    <row r="13" customFormat="false" ht="15" hidden="false" customHeight="false" outlineLevel="0" collapsed="false">
      <c r="A13" s="50" t="n">
        <v>46176</v>
      </c>
      <c r="B13" s="51" t="n">
        <f aca="false">IF(A13="","",MONTH(A13))</f>
        <v>6</v>
      </c>
      <c r="C13" s="52" t="s">
        <v>54</v>
      </c>
      <c r="D13" s="52" t="s">
        <v>53</v>
      </c>
      <c r="E13" s="52" t="n">
        <v>1</v>
      </c>
      <c r="F13" s="53" t="n">
        <v>3732000</v>
      </c>
      <c r="G13" s="52" t="n">
        <v>1</v>
      </c>
      <c r="H13" s="54" t="n">
        <f aca="false">IF(E13="","",E13*N(F13)*IF(G13="",1,G13))</f>
        <v>3732000</v>
      </c>
      <c r="I13" s="55" t="str">
        <f aca="false">IF(C13="","",IFERROR(INDEX('DANH MỤC'!$B$5:$B$200,MATCH(C13,'DANH MỤC'!$A$5:$A$200,0)),"⚠ Mã chưa có trong DANH MỤC"))</f>
        <v>Sơn lót ngoại thất kháng kiềm cao cấp Imperia PE02</v>
      </c>
      <c r="J13" s="52"/>
      <c r="K13" s="52" t="s">
        <v>120</v>
      </c>
      <c r="L13" s="52"/>
    </row>
    <row r="14" customFormat="false" ht="15" hidden="false" customHeight="false" outlineLevel="0" collapsed="false">
      <c r="A14" s="50" t="n">
        <v>46176</v>
      </c>
      <c r="B14" s="51" t="n">
        <f aca="false">IF(A14="","",MONTH(A14))</f>
        <v>6</v>
      </c>
      <c r="C14" s="52" t="s">
        <v>62</v>
      </c>
      <c r="D14" s="52" t="s">
        <v>53</v>
      </c>
      <c r="E14" s="52" t="n">
        <v>4</v>
      </c>
      <c r="F14" s="53" t="n">
        <v>5530000</v>
      </c>
      <c r="G14" s="52" t="n">
        <v>1</v>
      </c>
      <c r="H14" s="54" t="n">
        <f aca="false">IF(E14="","",E14*N(F14)*IF(G14="",1,G14))</f>
        <v>22120000</v>
      </c>
      <c r="I14" s="55" t="str">
        <f aca="false">IF(C14="","",IFERROR(INDEX('DANH MỤC'!$B$5:$B$200,MATCH(C14,'DANH MỤC'!$A$5:$A$200,0)),"⚠ Mã chưa có trong DANH MỤC"))</f>
        <v>Sơn nội thất siêu bóng cao cấp Imperia IG05</v>
      </c>
      <c r="J14" s="52" t="s">
        <v>121</v>
      </c>
      <c r="K14" s="52" t="s">
        <v>122</v>
      </c>
      <c r="L14" s="52"/>
    </row>
    <row r="15" customFormat="false" ht="15" hidden="false" customHeight="false" outlineLevel="0" collapsed="false">
      <c r="A15" s="50" t="n">
        <v>46176</v>
      </c>
      <c r="B15" s="51" t="n">
        <f aca="false">IF(A15="","",MONTH(A15))</f>
        <v>6</v>
      </c>
      <c r="C15" s="52" t="s">
        <v>69</v>
      </c>
      <c r="D15" s="52" t="s">
        <v>53</v>
      </c>
      <c r="E15" s="52" t="n">
        <v>1</v>
      </c>
      <c r="F15" s="53" t="n">
        <v>6504000</v>
      </c>
      <c r="G15" s="52" t="n">
        <v>1</v>
      </c>
      <c r="H15" s="54" t="n">
        <f aca="false">IF(E15="","",E15*N(F15)*IF(G15="",1,G15))</f>
        <v>6504000</v>
      </c>
      <c r="I15" s="55" t="str">
        <f aca="false">IF(C15="","",IFERROR(INDEX('DANH MỤC'!$B$5:$B$200,MATCH(C15,'DANH MỤC'!$A$5:$A$200,0)),"⚠ Mã chưa có trong DANH MỤC"))</f>
        <v>Sơn ngoại thất siêu bóng cao cấp Imperia EG09</v>
      </c>
      <c r="J15" s="52" t="s">
        <v>121</v>
      </c>
      <c r="K15" s="52" t="s">
        <v>123</v>
      </c>
      <c r="L15" s="52"/>
    </row>
    <row r="16" customFormat="false" ht="15" hidden="false" customHeight="false" outlineLevel="0" collapsed="false">
      <c r="A16" s="50" t="n">
        <v>46176</v>
      </c>
      <c r="B16" s="51" t="n">
        <f aca="false">IF(A16="","",MONTH(A16))</f>
        <v>6</v>
      </c>
      <c r="C16" s="52" t="s">
        <v>69</v>
      </c>
      <c r="D16" s="52" t="s">
        <v>52</v>
      </c>
      <c r="E16" s="52" t="n">
        <v>1</v>
      </c>
      <c r="F16" s="53" t="n">
        <v>2089000</v>
      </c>
      <c r="G16" s="52" t="n">
        <v>1.1</v>
      </c>
      <c r="H16" s="54" t="n">
        <f aca="false">IF(E16="","",E16*N(F16)*IF(G16="",1,G16))</f>
        <v>2297900</v>
      </c>
      <c r="I16" s="55" t="str">
        <f aca="false">IF(C16="","",IFERROR(INDEX('DANH MỤC'!$B$5:$B$200,MATCH(C16,'DANH MỤC'!$A$5:$A$200,0)),"⚠ Mã chưa có trong DANH MỤC"))</f>
        <v>Sơn ngoại thất siêu bóng cao cấp Imperia EG09</v>
      </c>
      <c r="J16" s="52" t="s">
        <v>124</v>
      </c>
      <c r="K16" s="52" t="s">
        <v>125</v>
      </c>
      <c r="L16" s="52"/>
    </row>
    <row r="17" customFormat="false" ht="15" hidden="false" customHeight="false" outlineLevel="0" collapsed="false">
      <c r="A17" s="50" t="n">
        <v>46176</v>
      </c>
      <c r="B17" s="51" t="n">
        <f aca="false">IF(A17="","",MONTH(A17))</f>
        <v>6</v>
      </c>
      <c r="C17" s="52" t="s">
        <v>68</v>
      </c>
      <c r="D17" s="52" t="s">
        <v>66</v>
      </c>
      <c r="E17" s="52" t="n">
        <v>1</v>
      </c>
      <c r="F17" s="53" t="n">
        <v>409000</v>
      </c>
      <c r="G17" s="52" t="n">
        <v>1</v>
      </c>
      <c r="H17" s="54" t="n">
        <f aca="false">IF(E17="","",E17*N(F17)*IF(G17="",1,G17))</f>
        <v>409000</v>
      </c>
      <c r="I17" s="55" t="str">
        <f aca="false">IF(C17="","",IFERROR(INDEX('DANH MỤC'!$B$5:$B$200,MATCH(C17,'DANH MỤC'!$A$5:$A$200,0)),"⚠ Mã chưa có trong DANH MỤC"))</f>
        <v>Sơn ngoại thất cao cấp bóng mờ Imperia ESG10</v>
      </c>
      <c r="J17" s="52" t="s">
        <v>126</v>
      </c>
      <c r="K17" s="52" t="s">
        <v>127</v>
      </c>
      <c r="L17" s="52"/>
    </row>
    <row r="18" customFormat="false" ht="15" hidden="false" customHeight="false" outlineLevel="0" collapsed="false">
      <c r="A18" s="50" t="n">
        <v>46177</v>
      </c>
      <c r="B18" s="51" t="n">
        <f aca="false">IF(A18="","",MONTH(A18))</f>
        <v>6</v>
      </c>
      <c r="C18" s="52" t="s">
        <v>72</v>
      </c>
      <c r="D18" s="52" t="s">
        <v>53</v>
      </c>
      <c r="E18" s="52" t="n">
        <v>3</v>
      </c>
      <c r="F18" s="53" t="n">
        <v>4821000</v>
      </c>
      <c r="G18" s="52" t="n">
        <v>1</v>
      </c>
      <c r="H18" s="54" t="n">
        <f aca="false">IF(E18="","",E18*N(F18)*IF(G18="",1,G18))</f>
        <v>14463000</v>
      </c>
      <c r="I18" s="55" t="str">
        <f aca="false">IF(C18="","",IFERROR(INDEX('DANH MỤC'!$B$5:$B$200,MATCH(C18,'DANH MỤC'!$A$5:$A$200,0)),"⚠ Mã chưa có trong DANH MỤC"))</f>
        <v>Sơn chống thấm màu ETM 309 (ghi đậm)</v>
      </c>
      <c r="J18" s="52"/>
      <c r="K18" s="52" t="s">
        <v>128</v>
      </c>
      <c r="L18" s="52"/>
    </row>
    <row r="19" customFormat="false" ht="15" hidden="false" customHeight="false" outlineLevel="0" collapsed="false">
      <c r="A19" s="50" t="n">
        <v>46177</v>
      </c>
      <c r="B19" s="51" t="n">
        <f aca="false">IF(A19="","",MONTH(A19))</f>
        <v>6</v>
      </c>
      <c r="C19" s="52" t="s">
        <v>51</v>
      </c>
      <c r="D19" s="52" t="s">
        <v>53</v>
      </c>
      <c r="E19" s="52" t="n">
        <v>3</v>
      </c>
      <c r="F19" s="53" t="n">
        <v>3012000</v>
      </c>
      <c r="G19" s="52" t="n">
        <v>1</v>
      </c>
      <c r="H19" s="54" t="n">
        <f aca="false">IF(E19="","",E19*N(F19)*IF(G19="",1,G19))</f>
        <v>9036000</v>
      </c>
      <c r="I19" s="55" t="str">
        <f aca="false">IF(C19="","",IFERROR(INDEX('DANH MỤC'!$B$5:$B$200,MATCH(C19,'DANH MỤC'!$A$5:$A$200,0)),"⚠ Mã chưa có trong DANH MỤC"))</f>
        <v>Sơn lót nội thất kháng kiềm cao cấp Imperia PI04</v>
      </c>
      <c r="J19" s="52"/>
      <c r="K19" s="52" t="s">
        <v>129</v>
      </c>
      <c r="L19" s="52"/>
    </row>
    <row r="20" customFormat="false" ht="15" hidden="false" customHeight="false" outlineLevel="0" collapsed="false">
      <c r="A20" s="50" t="n">
        <v>46177</v>
      </c>
      <c r="B20" s="51" t="n">
        <f aca="false">IF(A20="","",MONTH(A20))</f>
        <v>6</v>
      </c>
      <c r="C20" s="52" t="s">
        <v>54</v>
      </c>
      <c r="D20" s="52" t="s">
        <v>53</v>
      </c>
      <c r="E20" s="52" t="n">
        <v>1</v>
      </c>
      <c r="F20" s="53" t="n">
        <v>4106000</v>
      </c>
      <c r="G20" s="52" t="n">
        <v>1</v>
      </c>
      <c r="H20" s="54" t="n">
        <f aca="false">IF(E20="","",E20*N(F20)*IF(G20="",1,G20))</f>
        <v>4106000</v>
      </c>
      <c r="I20" s="55" t="str">
        <f aca="false">IF(C20="","",IFERROR(INDEX('DANH MỤC'!$B$5:$B$200,MATCH(C20,'DANH MỤC'!$A$5:$A$200,0)),"⚠ Mã chưa có trong DANH MỤC"))</f>
        <v>Sơn lót ngoại thất kháng kiềm cao cấp Imperia PE02</v>
      </c>
      <c r="J20" s="52"/>
      <c r="K20" s="52" t="s">
        <v>130</v>
      </c>
      <c r="L20" s="52"/>
    </row>
    <row r="21" customFormat="false" ht="15" hidden="false" customHeight="false" outlineLevel="0" collapsed="false">
      <c r="A21" s="50" t="n">
        <v>46177</v>
      </c>
      <c r="B21" s="51" t="n">
        <f aca="false">IF(A21="","",MONTH(A21))</f>
        <v>6</v>
      </c>
      <c r="C21" s="52" t="s">
        <v>62</v>
      </c>
      <c r="D21" s="52" t="s">
        <v>53</v>
      </c>
      <c r="E21" s="52" t="n">
        <v>2</v>
      </c>
      <c r="F21" s="53" t="n">
        <v>5530000</v>
      </c>
      <c r="G21" s="52" t="n">
        <v>1</v>
      </c>
      <c r="H21" s="54" t="n">
        <f aca="false">IF(E21="","",E21*N(F21)*IF(G21="",1,G21))</f>
        <v>11060000</v>
      </c>
      <c r="I21" s="55" t="str">
        <f aca="false">IF(C21="","",IFERROR(INDEX('DANH MỤC'!$B$5:$B$200,MATCH(C21,'DANH MỤC'!$A$5:$A$200,0)),"⚠ Mã chưa có trong DANH MỤC"))</f>
        <v>Sơn nội thất siêu bóng cao cấp Imperia IG05</v>
      </c>
      <c r="J21" s="52" t="s">
        <v>131</v>
      </c>
      <c r="K21" s="52" t="s">
        <v>132</v>
      </c>
      <c r="L21" s="52"/>
    </row>
    <row r="22" customFormat="false" ht="15" hidden="false" customHeight="false" outlineLevel="0" collapsed="false">
      <c r="A22" s="50" t="n">
        <v>46177</v>
      </c>
      <c r="B22" s="51" t="n">
        <f aca="false">IF(A22="","",MONTH(A22))</f>
        <v>6</v>
      </c>
      <c r="C22" s="52" t="s">
        <v>62</v>
      </c>
      <c r="D22" s="52" t="s">
        <v>53</v>
      </c>
      <c r="E22" s="52" t="n">
        <v>1</v>
      </c>
      <c r="F22" s="53" t="n">
        <v>5530000</v>
      </c>
      <c r="G22" s="52" t="n">
        <v>1</v>
      </c>
      <c r="H22" s="54" t="n">
        <f aca="false">IF(E22="","",E22*N(F22)*IF(G22="",1,G22))</f>
        <v>5530000</v>
      </c>
      <c r="I22" s="55" t="str">
        <f aca="false">IF(C22="","",IFERROR(INDEX('DANH MỤC'!$B$5:$B$200,MATCH(C22,'DANH MỤC'!$A$5:$A$200,0)),"⚠ Mã chưa có trong DANH MỤC"))</f>
        <v>Sơn nội thất siêu bóng cao cấp Imperia IG05</v>
      </c>
      <c r="J22" s="52" t="s">
        <v>133</v>
      </c>
      <c r="K22" s="52" t="s">
        <v>134</v>
      </c>
      <c r="L22" s="52"/>
    </row>
    <row r="23" customFormat="false" ht="15" hidden="false" customHeight="false" outlineLevel="0" collapsed="false">
      <c r="A23" s="50" t="n">
        <v>46177</v>
      </c>
      <c r="B23" s="51" t="n">
        <f aca="false">IF(A23="","",MONTH(A23))</f>
        <v>6</v>
      </c>
      <c r="C23" s="52" t="s">
        <v>69</v>
      </c>
      <c r="D23" s="52" t="s">
        <v>53</v>
      </c>
      <c r="E23" s="52" t="n">
        <v>1</v>
      </c>
      <c r="F23" s="53" t="n">
        <v>6504000</v>
      </c>
      <c r="G23" s="52" t="n">
        <v>1</v>
      </c>
      <c r="H23" s="54" t="n">
        <f aca="false">IF(E23="","",E23*N(F23)*IF(G23="",1,G23))</f>
        <v>6504000</v>
      </c>
      <c r="I23" s="55" t="str">
        <f aca="false">IF(C23="","",IFERROR(INDEX('DANH MỤC'!$B$5:$B$200,MATCH(C23,'DANH MỤC'!$A$5:$A$200,0)),"⚠ Mã chưa có trong DANH MỤC"))</f>
        <v>Sơn ngoại thất siêu bóng cao cấp Imperia EG09</v>
      </c>
      <c r="J23" s="52" t="s">
        <v>135</v>
      </c>
      <c r="K23" s="52" t="s">
        <v>136</v>
      </c>
      <c r="L23" s="52"/>
    </row>
    <row r="24" customFormat="false" ht="15" hidden="false" customHeight="false" outlineLevel="0" collapsed="false">
      <c r="A24" s="50" t="n">
        <v>46177</v>
      </c>
      <c r="B24" s="51" t="n">
        <f aca="false">IF(A24="","",MONTH(A24))</f>
        <v>6</v>
      </c>
      <c r="C24" s="52" t="s">
        <v>69</v>
      </c>
      <c r="D24" s="52" t="s">
        <v>52</v>
      </c>
      <c r="E24" s="52" t="n">
        <v>1</v>
      </c>
      <c r="F24" s="53" t="n">
        <v>2089000</v>
      </c>
      <c r="G24" s="52" t="n">
        <v>1.1</v>
      </c>
      <c r="H24" s="54" t="n">
        <f aca="false">IF(E24="","",E24*N(F24)*IF(G24="",1,G24))</f>
        <v>2297900</v>
      </c>
      <c r="I24" s="55" t="str">
        <f aca="false">IF(C24="","",IFERROR(INDEX('DANH MỤC'!$B$5:$B$200,MATCH(C24,'DANH MỤC'!$A$5:$A$200,0)),"⚠ Mã chưa có trong DANH MỤC"))</f>
        <v>Sơn ngoại thất siêu bóng cao cấp Imperia EG09</v>
      </c>
      <c r="J24" s="52" t="s">
        <v>137</v>
      </c>
      <c r="K24" s="52" t="s">
        <v>138</v>
      </c>
      <c r="L24" s="52"/>
    </row>
    <row r="25" customFormat="false" ht="15" hidden="false" customHeight="false" outlineLevel="0" collapsed="false">
      <c r="A25" s="50" t="n">
        <v>46177</v>
      </c>
      <c r="B25" s="51" t="n">
        <f aca="false">IF(A25="","",MONTH(A25))</f>
        <v>6</v>
      </c>
      <c r="C25" s="52" t="s">
        <v>69</v>
      </c>
      <c r="D25" s="52" t="s">
        <v>66</v>
      </c>
      <c r="E25" s="52" t="n">
        <v>2</v>
      </c>
      <c r="F25" s="53" t="n">
        <v>479000</v>
      </c>
      <c r="G25" s="52" t="n">
        <v>1</v>
      </c>
      <c r="H25" s="54" t="n">
        <f aca="false">IF(E25="","",E25*N(F25)*IF(G25="",1,G25))</f>
        <v>958000</v>
      </c>
      <c r="I25" s="55" t="str">
        <f aca="false">IF(C25="","",IFERROR(INDEX('DANH MỤC'!$B$5:$B$200,MATCH(C25,'DANH MỤC'!$A$5:$A$200,0)),"⚠ Mã chưa có trong DANH MỤC"))</f>
        <v>Sơn ngoại thất siêu bóng cao cấp Imperia EG09</v>
      </c>
      <c r="J25" s="52" t="s">
        <v>139</v>
      </c>
      <c r="K25" s="52" t="s">
        <v>140</v>
      </c>
      <c r="L25" s="52"/>
    </row>
    <row r="26" customFormat="false" ht="15" hidden="false" customHeight="false" outlineLevel="0" collapsed="false">
      <c r="A26" s="50" t="n">
        <v>46177</v>
      </c>
      <c r="B26" s="51" t="n">
        <f aca="false">IF(A26="","",MONTH(A26))</f>
        <v>6</v>
      </c>
      <c r="C26" s="52" t="s">
        <v>69</v>
      </c>
      <c r="D26" s="52" t="s">
        <v>66</v>
      </c>
      <c r="E26" s="52" t="n">
        <v>2</v>
      </c>
      <c r="F26" s="53" t="n">
        <v>479000</v>
      </c>
      <c r="G26" s="52" t="n">
        <v>1.2</v>
      </c>
      <c r="H26" s="54" t="n">
        <f aca="false">IF(E26="","",E26*N(F26)*IF(G26="",1,G26))</f>
        <v>1149600</v>
      </c>
      <c r="I26" s="55" t="str">
        <f aca="false">IF(C26="","",IFERROR(INDEX('DANH MỤC'!$B$5:$B$200,MATCH(C26,'DANH MỤC'!$A$5:$A$200,0)),"⚠ Mã chưa có trong DANH MỤC"))</f>
        <v>Sơn ngoại thất siêu bóng cao cấp Imperia EG09</v>
      </c>
      <c r="J26" s="52" t="s">
        <v>141</v>
      </c>
      <c r="K26" s="52" t="s">
        <v>142</v>
      </c>
      <c r="L26" s="52"/>
    </row>
    <row r="27" customFormat="false" ht="15" hidden="false" customHeight="false" outlineLevel="0" collapsed="false">
      <c r="A27" s="50" t="n">
        <v>46178</v>
      </c>
      <c r="B27" s="51" t="n">
        <f aca="false">IF(A27="","",MONTH(A27))</f>
        <v>6</v>
      </c>
      <c r="C27" s="52" t="s">
        <v>51</v>
      </c>
      <c r="D27" s="52" t="s">
        <v>53</v>
      </c>
      <c r="E27" s="52" t="n">
        <v>3</v>
      </c>
      <c r="F27" s="53" t="n">
        <v>2738000</v>
      </c>
      <c r="G27" s="52" t="n">
        <v>1</v>
      </c>
      <c r="H27" s="54" t="n">
        <f aca="false">IF(E27="","",E27*N(F27)*IF(G27="",1,G27))</f>
        <v>8214000</v>
      </c>
      <c r="I27" s="55" t="str">
        <f aca="false">IF(C27="","",IFERROR(INDEX('DANH MỤC'!$B$5:$B$200,MATCH(C27,'DANH MỤC'!$A$5:$A$200,0)),"⚠ Mã chưa có trong DANH MỤC"))</f>
        <v>Sơn lót nội thất kháng kiềm cao cấp Imperia PI04</v>
      </c>
      <c r="J27" s="52"/>
      <c r="K27" s="52" t="s">
        <v>143</v>
      </c>
      <c r="L27" s="52"/>
    </row>
    <row r="28" customFormat="false" ht="15" hidden="false" customHeight="false" outlineLevel="0" collapsed="false">
      <c r="A28" s="50" t="n">
        <v>46178</v>
      </c>
      <c r="B28" s="51" t="n">
        <f aca="false">IF(A28="","",MONTH(A28))</f>
        <v>6</v>
      </c>
      <c r="C28" s="52" t="s">
        <v>69</v>
      </c>
      <c r="D28" s="52" t="s">
        <v>66</v>
      </c>
      <c r="E28" s="52" t="n">
        <v>3</v>
      </c>
      <c r="F28" s="53" t="n">
        <v>479000</v>
      </c>
      <c r="G28" s="52" t="n">
        <v>1.1</v>
      </c>
      <c r="H28" s="54" t="n">
        <f aca="false">IF(E28="","",E28*N(F28)*IF(G28="",1,G28))</f>
        <v>1580700</v>
      </c>
      <c r="I28" s="55" t="str">
        <f aca="false">IF(C28="","",IFERROR(INDEX('DANH MỤC'!$B$5:$B$200,MATCH(C28,'DANH MỤC'!$A$5:$A$200,0)),"⚠ Mã chưa có trong DANH MỤC"))</f>
        <v>Sơn ngoại thất siêu bóng cao cấp Imperia EG09</v>
      </c>
      <c r="J28" s="52" t="s">
        <v>124</v>
      </c>
      <c r="K28" s="52" t="s">
        <v>144</v>
      </c>
      <c r="L28" s="52"/>
    </row>
    <row r="29" customFormat="false" ht="15" hidden="false" customHeight="false" outlineLevel="0" collapsed="false">
      <c r="A29" s="50" t="n">
        <v>46180</v>
      </c>
      <c r="B29" s="51" t="n">
        <f aca="false">IF(A29="","",MONTH(A29))</f>
        <v>6</v>
      </c>
      <c r="C29" s="52" t="s">
        <v>51</v>
      </c>
      <c r="D29" s="52" t="s">
        <v>53</v>
      </c>
      <c r="E29" s="52" t="n">
        <v>1</v>
      </c>
      <c r="F29" s="53" t="n">
        <v>3012000</v>
      </c>
      <c r="G29" s="52" t="n">
        <v>1</v>
      </c>
      <c r="H29" s="54" t="n">
        <f aca="false">IF(E29="","",E29*N(F29)*IF(G29="",1,G29))</f>
        <v>3012000</v>
      </c>
      <c r="I29" s="55" t="str">
        <f aca="false">IF(C29="","",IFERROR(INDEX('DANH MỤC'!$B$5:$B$200,MATCH(C29,'DANH MỤC'!$A$5:$A$200,0)),"⚠ Mã chưa có trong DANH MỤC"))</f>
        <v>Sơn lót nội thất kháng kiềm cao cấp Imperia PI04</v>
      </c>
      <c r="J29" s="52"/>
      <c r="K29" s="52" t="s">
        <v>145</v>
      </c>
      <c r="L29" s="52"/>
    </row>
    <row r="30" customFormat="false" ht="15" hidden="false" customHeight="false" outlineLevel="0" collapsed="false">
      <c r="A30" s="50" t="n">
        <v>46180</v>
      </c>
      <c r="B30" s="51" t="n">
        <f aca="false">IF(A30="","",MONTH(A30))</f>
        <v>6</v>
      </c>
      <c r="C30" s="52" t="s">
        <v>62</v>
      </c>
      <c r="D30" s="52" t="s">
        <v>53</v>
      </c>
      <c r="E30" s="52" t="n">
        <v>2</v>
      </c>
      <c r="F30" s="53" t="n">
        <v>5530000</v>
      </c>
      <c r="G30" s="52" t="n">
        <v>1</v>
      </c>
      <c r="H30" s="54" t="n">
        <f aca="false">IF(E30="","",E30*N(F30)*IF(G30="",1,G30))</f>
        <v>11060000</v>
      </c>
      <c r="I30" s="55" t="str">
        <f aca="false">IF(C30="","",IFERROR(INDEX('DANH MỤC'!$B$5:$B$200,MATCH(C30,'DANH MỤC'!$A$5:$A$200,0)),"⚠ Mã chưa có trong DANH MỤC"))</f>
        <v>Sơn nội thất siêu bóng cao cấp Imperia IG05</v>
      </c>
      <c r="J30" s="52" t="s">
        <v>131</v>
      </c>
      <c r="K30" s="52" t="s">
        <v>146</v>
      </c>
      <c r="L30" s="52"/>
    </row>
    <row r="31" customFormat="false" ht="15" hidden="false" customHeight="false" outlineLevel="0" collapsed="false">
      <c r="A31" s="50" t="n">
        <v>46180</v>
      </c>
      <c r="B31" s="51" t="n">
        <f aca="false">IF(A31="","",MONTH(A31))</f>
        <v>6</v>
      </c>
      <c r="C31" s="52" t="s">
        <v>69</v>
      </c>
      <c r="D31" s="52" t="s">
        <v>66</v>
      </c>
      <c r="E31" s="52" t="n">
        <v>2</v>
      </c>
      <c r="F31" s="53" t="n">
        <v>479000</v>
      </c>
      <c r="G31" s="52" t="n">
        <v>1</v>
      </c>
      <c r="H31" s="54" t="n">
        <f aca="false">IF(E31="","",E31*N(F31)*IF(G31="",1,G31))</f>
        <v>958000</v>
      </c>
      <c r="I31" s="55" t="str">
        <f aca="false">IF(C31="","",IFERROR(INDEX('DANH MỤC'!$B$5:$B$200,MATCH(C31,'DANH MỤC'!$A$5:$A$200,0)),"⚠ Mã chưa có trong DANH MỤC"))</f>
        <v>Sơn ngoại thất siêu bóng cao cấp Imperia EG09</v>
      </c>
      <c r="J31" s="52" t="s">
        <v>147</v>
      </c>
      <c r="K31" s="52" t="s">
        <v>148</v>
      </c>
      <c r="L31" s="52"/>
    </row>
    <row r="32" customFormat="false" ht="15" hidden="false" customHeight="false" outlineLevel="0" collapsed="false">
      <c r="A32" s="50" t="n">
        <v>46180</v>
      </c>
      <c r="B32" s="51" t="n">
        <f aca="false">IF(A32="","",MONTH(A32))</f>
        <v>6</v>
      </c>
      <c r="C32" s="52" t="s">
        <v>72</v>
      </c>
      <c r="D32" s="52" t="s">
        <v>53</v>
      </c>
      <c r="E32" s="52" t="n">
        <v>3</v>
      </c>
      <c r="F32" s="53" t="n">
        <v>4382000</v>
      </c>
      <c r="G32" s="52" t="n">
        <v>1</v>
      </c>
      <c r="H32" s="54" t="n">
        <f aca="false">IF(E32="","",E32*N(F32)*IF(G32="",1,G32))</f>
        <v>13146000</v>
      </c>
      <c r="I32" s="55" t="str">
        <f aca="false">IF(C32="","",IFERROR(INDEX('DANH MỤC'!$B$5:$B$200,MATCH(C32,'DANH MỤC'!$A$5:$A$200,0)),"⚠ Mã chưa có trong DANH MỤC"))</f>
        <v>Sơn chống thấm màu ETM 309 (ghi đậm)</v>
      </c>
      <c r="J32" s="52" t="s">
        <v>149</v>
      </c>
      <c r="K32" s="52" t="s">
        <v>150</v>
      </c>
      <c r="L32" s="52"/>
    </row>
    <row r="33" customFormat="false" ht="15" hidden="false" customHeight="false" outlineLevel="0" collapsed="false">
      <c r="A33" s="50" t="n">
        <v>46181</v>
      </c>
      <c r="B33" s="51" t="n">
        <f aca="false">IF(A33="","",MONTH(A33))</f>
        <v>6</v>
      </c>
      <c r="C33" s="52" t="s">
        <v>72</v>
      </c>
      <c r="D33" s="52" t="s">
        <v>52</v>
      </c>
      <c r="E33" s="52" t="n">
        <v>2</v>
      </c>
      <c r="F33" s="53" t="n">
        <v>1447000</v>
      </c>
      <c r="G33" s="52" t="n">
        <v>1</v>
      </c>
      <c r="H33" s="54" t="n">
        <f aca="false">IF(E33="","",E33*N(F33)*IF(G33="",1,G33))</f>
        <v>2894000</v>
      </c>
      <c r="I33" s="55" t="str">
        <f aca="false">IF(C33="","",IFERROR(INDEX('DANH MỤC'!$B$5:$B$200,MATCH(C33,'DANH MỤC'!$A$5:$A$200,0)),"⚠ Mã chưa có trong DANH MỤC"))</f>
        <v>Sơn chống thấm màu ETM 309 (ghi đậm)</v>
      </c>
      <c r="J33" s="52" t="s">
        <v>149</v>
      </c>
      <c r="K33" s="52" t="s">
        <v>151</v>
      </c>
      <c r="L33" s="52"/>
    </row>
    <row r="34" customFormat="false" ht="15" hidden="false" customHeight="false" outlineLevel="0" collapsed="false">
      <c r="A34" s="50" t="n">
        <v>46181</v>
      </c>
      <c r="B34" s="51" t="n">
        <f aca="false">IF(A34="","",MONTH(A34))</f>
        <v>6</v>
      </c>
      <c r="C34" s="52" t="s">
        <v>62</v>
      </c>
      <c r="D34" s="52" t="s">
        <v>52</v>
      </c>
      <c r="E34" s="52" t="n">
        <v>1</v>
      </c>
      <c r="F34" s="53" t="n">
        <v>1874000</v>
      </c>
      <c r="G34" s="52" t="n">
        <v>1</v>
      </c>
      <c r="H34" s="54" t="n">
        <f aca="false">IF(E34="","",E34*N(F34)*IF(G34="",1,G34))</f>
        <v>1874000</v>
      </c>
      <c r="I34" s="55" t="str">
        <f aca="false">IF(C34="","",IFERROR(INDEX('DANH MỤC'!$B$5:$B$200,MATCH(C34,'DANH MỤC'!$A$5:$A$200,0)),"⚠ Mã chưa có trong DANH MỤC"))</f>
        <v>Sơn nội thất siêu bóng cao cấp Imperia IG05</v>
      </c>
      <c r="J34" s="52" t="s">
        <v>108</v>
      </c>
      <c r="K34" s="52" t="s">
        <v>152</v>
      </c>
      <c r="L34" s="52"/>
    </row>
    <row r="35" customFormat="false" ht="15" hidden="false" customHeight="false" outlineLevel="0" collapsed="false">
      <c r="A35" s="50" t="n">
        <v>46181</v>
      </c>
      <c r="B35" s="51" t="n">
        <f aca="false">IF(A35="","",MONTH(A35))</f>
        <v>6</v>
      </c>
      <c r="C35" s="52" t="s">
        <v>72</v>
      </c>
      <c r="D35" s="52" t="s">
        <v>52</v>
      </c>
      <c r="E35" s="52" t="n">
        <v>2</v>
      </c>
      <c r="F35" s="53" t="n">
        <v>1315000</v>
      </c>
      <c r="G35" s="52" t="n">
        <v>1</v>
      </c>
      <c r="H35" s="54" t="n">
        <f aca="false">IF(E35="","",E35*N(F35)*IF(G35="",1,G35))</f>
        <v>2630000</v>
      </c>
      <c r="I35" s="55" t="str">
        <f aca="false">IF(C35="","",IFERROR(INDEX('DANH MỤC'!$B$5:$B$200,MATCH(C35,'DANH MỤC'!$A$5:$A$200,0)),"⚠ Mã chưa có trong DANH MỤC"))</f>
        <v>Sơn chống thấm màu ETM 309 (ghi đậm)</v>
      </c>
      <c r="J35" s="52" t="s">
        <v>149</v>
      </c>
      <c r="K35" s="52" t="s">
        <v>153</v>
      </c>
      <c r="L35" s="52"/>
    </row>
    <row r="36" customFormat="false" ht="15" hidden="false" customHeight="false" outlineLevel="0" collapsed="false">
      <c r="A36" s="50" t="n">
        <v>46183</v>
      </c>
      <c r="B36" s="51" t="n">
        <f aca="false">IF(A36="","",MONTH(A36))</f>
        <v>6</v>
      </c>
      <c r="C36" s="52" t="s">
        <v>76</v>
      </c>
      <c r="D36" s="52" t="s">
        <v>77</v>
      </c>
      <c r="E36" s="52" t="n">
        <v>8</v>
      </c>
      <c r="F36" s="53" t="n">
        <v>481000</v>
      </c>
      <c r="G36" s="52" t="n">
        <v>1</v>
      </c>
      <c r="H36" s="54" t="n">
        <f aca="false">IF(E36="","",E36*N(F36)*IF(G36="",1,G36))</f>
        <v>3848000</v>
      </c>
      <c r="I36" s="55" t="str">
        <f aca="false">IF(C36="","",IFERROR(INDEX('DANH MỤC'!$B$5:$B$200,MATCH(C36,'DANH MỤC'!$A$5:$A$200,0)),"⚠ Mã chưa có trong DANH MỤC"))</f>
        <v>Bột bả nội thất Imperia IP15 (40kg)</v>
      </c>
      <c r="J36" s="52"/>
      <c r="K36" s="52" t="s">
        <v>154</v>
      </c>
      <c r="L36" s="52"/>
    </row>
    <row r="37" customFormat="false" ht="15" hidden="false" customHeight="false" outlineLevel="0" collapsed="false">
      <c r="A37" s="50" t="n">
        <v>46183</v>
      </c>
      <c r="B37" s="51" t="n">
        <f aca="false">IF(A37="","",MONTH(A37))</f>
        <v>6</v>
      </c>
      <c r="C37" s="52" t="s">
        <v>57</v>
      </c>
      <c r="D37" s="52" t="s">
        <v>53</v>
      </c>
      <c r="E37" s="52" t="n">
        <v>10</v>
      </c>
      <c r="F37" s="53" t="n">
        <v>2185000</v>
      </c>
      <c r="G37" s="52" t="n">
        <v>1</v>
      </c>
      <c r="H37" s="54" t="n">
        <f aca="false">IF(E37="","",E37*N(F37)*IF(G37="",1,G37))</f>
        <v>21850000</v>
      </c>
      <c r="I37" s="55" t="str">
        <f aca="false">IF(C37="","",IFERROR(INDEX('DANH MỤC'!$B$5:$B$200,MATCH(C37,'DANH MỤC'!$A$5:$A$200,0)),"⚠ Mã chưa có trong DANH MỤC"))</f>
        <v>Sơn lót nội thất kháng kiềm Silver IL5</v>
      </c>
      <c r="J37" s="52"/>
      <c r="K37" s="52" t="s">
        <v>155</v>
      </c>
      <c r="L37" s="52"/>
    </row>
    <row r="38" customFormat="false" ht="15" hidden="false" customHeight="false" outlineLevel="0" collapsed="false">
      <c r="A38" s="50" t="n">
        <v>46183</v>
      </c>
      <c r="B38" s="51" t="n">
        <f aca="false">IF(A38="","",MONTH(A38))</f>
        <v>6</v>
      </c>
      <c r="C38" s="52" t="s">
        <v>60</v>
      </c>
      <c r="D38" s="52" t="s">
        <v>53</v>
      </c>
      <c r="E38" s="52" t="n">
        <v>7</v>
      </c>
      <c r="F38" s="53" t="n">
        <v>2128000</v>
      </c>
      <c r="G38" s="52" t="n">
        <v>1</v>
      </c>
      <c r="H38" s="54" t="n">
        <f aca="false">IF(E38="","",E38*N(F38)*IF(G38="",1,G38))</f>
        <v>14896000</v>
      </c>
      <c r="I38" s="55" t="str">
        <f aca="false">IF(C38="","",IFERROR(INDEX('DANH MỤC'!$B$5:$B$200,MATCH(C38,'DANH MỤC'!$A$5:$A$200,0)),"⚠ Mã chưa có trong DANH MỤC"))</f>
        <v>Sơn nội thất bền màu Silver ISI</v>
      </c>
      <c r="J38" s="52"/>
      <c r="K38" s="52" t="s">
        <v>156</v>
      </c>
      <c r="L38" s="52"/>
    </row>
    <row r="39" customFormat="false" ht="15" hidden="false" customHeight="false" outlineLevel="0" collapsed="false">
      <c r="A39" s="50" t="n">
        <v>46183</v>
      </c>
      <c r="B39" s="51" t="n">
        <f aca="false">IF(A39="","",MONTH(A39))</f>
        <v>6</v>
      </c>
      <c r="C39" s="52" t="s">
        <v>59</v>
      </c>
      <c r="D39" s="52" t="s">
        <v>53</v>
      </c>
      <c r="E39" s="52" t="n">
        <v>3</v>
      </c>
      <c r="F39" s="53" t="n">
        <v>2712000</v>
      </c>
      <c r="G39" s="52" t="n">
        <v>1</v>
      </c>
      <c r="H39" s="54" t="n">
        <f aca="false">IF(E39="","",E39*N(F39)*IF(G39="",1,G39))</f>
        <v>8136000</v>
      </c>
      <c r="I39" s="55" t="str">
        <f aca="false">IF(C39="","",IFERROR(INDEX('DANH MỤC'!$B$5:$B$200,MATCH(C39,'DANH MỤC'!$A$5:$A$200,0)),"⚠ Mã chưa có trong DANH MỤC"))</f>
        <v>Sơn nội thất siêu trắng Imperia IEW</v>
      </c>
      <c r="J39" s="52"/>
      <c r="K39" s="52" t="s">
        <v>157</v>
      </c>
      <c r="L39" s="52"/>
    </row>
    <row r="40" customFormat="false" ht="15" hidden="false" customHeight="false" outlineLevel="0" collapsed="false">
      <c r="A40" s="50" t="n">
        <v>46183</v>
      </c>
      <c r="B40" s="51" t="n">
        <f aca="false">IF(A40="","",MONTH(A40))</f>
        <v>6</v>
      </c>
      <c r="C40" s="52" t="s">
        <v>67</v>
      </c>
      <c r="D40" s="52" t="s">
        <v>53</v>
      </c>
      <c r="E40" s="52" t="n">
        <v>1</v>
      </c>
      <c r="F40" s="53" t="n">
        <v>3131000</v>
      </c>
      <c r="G40" s="52" t="n">
        <v>1</v>
      </c>
      <c r="H40" s="54" t="n">
        <f aca="false">IF(E40="","",E40*N(F40)*IF(G40="",1,G40))</f>
        <v>3131000</v>
      </c>
      <c r="I40" s="55" t="str">
        <f aca="false">IF(C40="","",IFERROR(INDEX('DANH MỤC'!$B$5:$B$200,MATCH(C40,'DANH MỤC'!$A$5:$A$200,0)),"⚠ Mã chưa có trong DANH MỤC"))</f>
        <v>Sơn ngoại thất bền màu Silver ESI</v>
      </c>
      <c r="J40" s="52" t="s">
        <v>158</v>
      </c>
      <c r="K40" s="52" t="s">
        <v>159</v>
      </c>
      <c r="L40" s="52"/>
    </row>
    <row r="41" customFormat="false" ht="15" hidden="false" customHeight="false" outlineLevel="0" collapsed="false">
      <c r="A41" s="50" t="n">
        <v>46183</v>
      </c>
      <c r="B41" s="51" t="n">
        <f aca="false">IF(A41="","",MONTH(A41))</f>
        <v>6</v>
      </c>
      <c r="C41" s="52" t="s">
        <v>58</v>
      </c>
      <c r="D41" s="52" t="s">
        <v>53</v>
      </c>
      <c r="E41" s="52" t="n">
        <v>1</v>
      </c>
      <c r="F41" s="53" t="n">
        <v>3097000</v>
      </c>
      <c r="G41" s="52" t="n">
        <v>1</v>
      </c>
      <c r="H41" s="54" t="n">
        <f aca="false">IF(E41="","",E41*N(F41)*IF(G41="",1,G41))</f>
        <v>3097000</v>
      </c>
      <c r="I41" s="55" t="str">
        <f aca="false">IF(C41="","",IFERROR(INDEX('DANH MỤC'!$B$5:$B$200,MATCH(C41,'DANH MỤC'!$A$5:$A$200,0)),"⚠ Mã chưa có trong DANH MỤC"))</f>
        <v>Sơn lót ngoại thất kháng kiềm Silver EL5</v>
      </c>
      <c r="J41" s="52"/>
      <c r="K41" s="52" t="s">
        <v>160</v>
      </c>
      <c r="L41" s="52"/>
    </row>
    <row r="42" customFormat="false" ht="15" hidden="false" customHeight="false" outlineLevel="0" collapsed="false">
      <c r="A42" s="50" t="n">
        <v>46183</v>
      </c>
      <c r="B42" s="51" t="n">
        <f aca="false">IF(A42="","",MONTH(A42))</f>
        <v>6</v>
      </c>
      <c r="C42" s="52" t="s">
        <v>71</v>
      </c>
      <c r="D42" s="52" t="s">
        <v>53</v>
      </c>
      <c r="E42" s="52" t="n">
        <v>2</v>
      </c>
      <c r="F42" s="53" t="n">
        <v>4106000</v>
      </c>
      <c r="G42" s="52" t="n">
        <v>1</v>
      </c>
      <c r="H42" s="54" t="n">
        <f aca="false">IF(E42="","",E42*N(F42)*IF(G42="",1,G42))</f>
        <v>8212000</v>
      </c>
      <c r="I42" s="55" t="str">
        <f aca="false">IF(C42="","",IFERROR(INDEX('DANH MỤC'!$B$5:$B$200,MATCH(C42,'DANH MỤC'!$A$5:$A$200,0)),"⚠ Mã chưa có trong DANH MỤC"))</f>
        <v>Sơn chống thấm đa năng Imperia CT12</v>
      </c>
      <c r="J42" s="52"/>
      <c r="K42" s="52" t="s">
        <v>161</v>
      </c>
      <c r="L42" s="52"/>
    </row>
    <row r="43" customFormat="false" ht="15" hidden="false" customHeight="false" outlineLevel="0" collapsed="false">
      <c r="A43" s="50" t="n">
        <v>46183</v>
      </c>
      <c r="B43" s="51" t="n">
        <f aca="false">IF(A43="","",MONTH(A43))</f>
        <v>6</v>
      </c>
      <c r="C43" s="52" t="s">
        <v>60</v>
      </c>
      <c r="D43" s="52" t="s">
        <v>53</v>
      </c>
      <c r="E43" s="52" t="n">
        <v>1</v>
      </c>
      <c r="F43" s="53" t="n">
        <v>2128000</v>
      </c>
      <c r="G43" s="52" t="n">
        <v>1</v>
      </c>
      <c r="H43" s="54" t="n">
        <f aca="false">IF(E43="","",E43*N(F43)*IF(G43="",1,G43))</f>
        <v>2128000</v>
      </c>
      <c r="I43" s="55" t="str">
        <f aca="false">IF(C43="","",IFERROR(INDEX('DANH MỤC'!$B$5:$B$200,MATCH(C43,'DANH MỤC'!$A$5:$A$200,0)),"⚠ Mã chưa có trong DANH MỤC"))</f>
        <v>Sơn nội thất bền màu Silver ISI</v>
      </c>
      <c r="J43" s="52" t="s">
        <v>162</v>
      </c>
      <c r="K43" s="52" t="s">
        <v>163</v>
      </c>
      <c r="L43" s="52"/>
    </row>
    <row r="44" customFormat="false" ht="15" hidden="false" customHeight="false" outlineLevel="0" collapsed="false">
      <c r="A44" s="50" t="n">
        <v>46183</v>
      </c>
      <c r="B44" s="51" t="n">
        <f aca="false">IF(A44="","",MONTH(A44))</f>
        <v>6</v>
      </c>
      <c r="C44" s="52" t="s">
        <v>62</v>
      </c>
      <c r="D44" s="52" t="s">
        <v>52</v>
      </c>
      <c r="E44" s="52" t="n">
        <v>1</v>
      </c>
      <c r="F44" s="53" t="n">
        <v>1874000</v>
      </c>
      <c r="G44" s="52" t="n">
        <v>1</v>
      </c>
      <c r="H44" s="54" t="n">
        <f aca="false">IF(E44="","",E44*N(F44)*IF(G44="",1,G44))</f>
        <v>1874000</v>
      </c>
      <c r="I44" s="55" t="str">
        <f aca="false">IF(C44="","",IFERROR(INDEX('DANH MỤC'!$B$5:$B$200,MATCH(C44,'DANH MỤC'!$A$5:$A$200,0)),"⚠ Mã chưa có trong DANH MỤC"))</f>
        <v>Sơn nội thất siêu bóng cao cấp Imperia IG05</v>
      </c>
      <c r="J44" s="52"/>
      <c r="K44" s="52" t="s">
        <v>164</v>
      </c>
      <c r="L44" s="52"/>
    </row>
    <row r="45" customFormat="false" ht="15" hidden="false" customHeight="false" outlineLevel="0" collapsed="false">
      <c r="A45" s="50" t="n">
        <v>46183</v>
      </c>
      <c r="B45" s="51" t="n">
        <f aca="false">IF(A45="","",MONTH(A45))</f>
        <v>6</v>
      </c>
      <c r="C45" s="52" t="s">
        <v>69</v>
      </c>
      <c r="D45" s="52" t="s">
        <v>66</v>
      </c>
      <c r="E45" s="52" t="n">
        <v>2</v>
      </c>
      <c r="F45" s="53" t="n">
        <v>479000</v>
      </c>
      <c r="G45" s="52" t="n">
        <v>1</v>
      </c>
      <c r="H45" s="54" t="n">
        <f aca="false">IF(E45="","",E45*N(F45)*IF(G45="",1,G45))</f>
        <v>958000</v>
      </c>
      <c r="I45" s="55" t="str">
        <f aca="false">IF(C45="","",IFERROR(INDEX('DANH MỤC'!$B$5:$B$200,MATCH(C45,'DANH MỤC'!$A$5:$A$200,0)),"⚠ Mã chưa có trong DANH MỤC"))</f>
        <v>Sơn ngoại thất siêu bóng cao cấp Imperia EG09</v>
      </c>
      <c r="J45" s="52"/>
      <c r="K45" s="52" t="s">
        <v>165</v>
      </c>
      <c r="L45" s="52"/>
    </row>
    <row r="46" customFormat="false" ht="15" hidden="false" customHeight="false" outlineLevel="0" collapsed="false">
      <c r="A46" s="50" t="n">
        <v>46183</v>
      </c>
      <c r="B46" s="51" t="n">
        <f aca="false">IF(A46="","",MONTH(A46))</f>
        <v>6</v>
      </c>
      <c r="C46" s="52" t="s">
        <v>69</v>
      </c>
      <c r="D46" s="52" t="s">
        <v>66</v>
      </c>
      <c r="E46" s="52" t="n">
        <v>1</v>
      </c>
      <c r="F46" s="53" t="n">
        <v>479000</v>
      </c>
      <c r="G46" s="52" t="n">
        <v>1</v>
      </c>
      <c r="H46" s="54" t="n">
        <f aca="false">IF(E46="","",E46*N(F46)*IF(G46="",1,G46))</f>
        <v>479000</v>
      </c>
      <c r="I46" s="55" t="str">
        <f aca="false">IF(C46="","",IFERROR(INDEX('DANH MỤC'!$B$5:$B$200,MATCH(C46,'DANH MỤC'!$A$5:$A$200,0)),"⚠ Mã chưa có trong DANH MỤC"))</f>
        <v>Sơn ngoại thất siêu bóng cao cấp Imperia EG09</v>
      </c>
      <c r="J46" s="52" t="s">
        <v>166</v>
      </c>
      <c r="K46" s="52" t="s">
        <v>167</v>
      </c>
      <c r="L46" s="52"/>
    </row>
    <row r="47" customFormat="false" ht="15" hidden="false" customHeight="false" outlineLevel="0" collapsed="false">
      <c r="A47" s="50" t="n">
        <v>46183</v>
      </c>
      <c r="B47" s="51" t="n">
        <f aca="false">IF(A47="","",MONTH(A47))</f>
        <v>6</v>
      </c>
      <c r="C47" s="52" t="s">
        <v>69</v>
      </c>
      <c r="D47" s="52" t="s">
        <v>66</v>
      </c>
      <c r="E47" s="52" t="n">
        <v>1</v>
      </c>
      <c r="F47" s="53" t="n">
        <v>479000</v>
      </c>
      <c r="G47" s="52" t="n">
        <v>1</v>
      </c>
      <c r="H47" s="54" t="n">
        <f aca="false">IF(E47="","",E47*N(F47)*IF(G47="",1,G47))</f>
        <v>479000</v>
      </c>
      <c r="I47" s="55" t="str">
        <f aca="false">IF(C47="","",IFERROR(INDEX('DANH MỤC'!$B$5:$B$200,MATCH(C47,'DANH MỤC'!$A$5:$A$200,0)),"⚠ Mã chưa có trong DANH MỤC"))</f>
        <v>Sơn ngoại thất siêu bóng cao cấp Imperia EG09</v>
      </c>
      <c r="J47" s="52" t="s">
        <v>168</v>
      </c>
      <c r="K47" s="52" t="s">
        <v>169</v>
      </c>
      <c r="L47" s="52"/>
    </row>
    <row r="48" customFormat="false" ht="15" hidden="false" customHeight="false" outlineLevel="0" collapsed="false">
      <c r="A48" s="50" t="n">
        <v>46184</v>
      </c>
      <c r="B48" s="51" t="n">
        <f aca="false">IF(A48="","",MONTH(A48))</f>
        <v>6</v>
      </c>
      <c r="C48" s="52" t="s">
        <v>69</v>
      </c>
      <c r="D48" s="52" t="s">
        <v>52</v>
      </c>
      <c r="E48" s="52" t="n">
        <v>1</v>
      </c>
      <c r="F48" s="53" t="n">
        <v>2089000</v>
      </c>
      <c r="G48" s="52" t="n">
        <v>1</v>
      </c>
      <c r="H48" s="54" t="n">
        <f aca="false">IF(E48="","",E48*N(F48)*IF(G48="",1,G48))</f>
        <v>2089000</v>
      </c>
      <c r="I48" s="55" t="str">
        <f aca="false">IF(C48="","",IFERROR(INDEX('DANH MỤC'!$B$5:$B$200,MATCH(C48,'DANH MỤC'!$A$5:$A$200,0)),"⚠ Mã chưa có trong DANH MỤC"))</f>
        <v>Sơn ngoại thất siêu bóng cao cấp Imperia EG09</v>
      </c>
      <c r="J48" s="52" t="s">
        <v>135</v>
      </c>
      <c r="K48" s="52" t="s">
        <v>170</v>
      </c>
      <c r="L48" s="52"/>
    </row>
    <row r="49" customFormat="false" ht="15" hidden="false" customHeight="false" outlineLevel="0" collapsed="false">
      <c r="A49" s="50" t="n">
        <v>46184</v>
      </c>
      <c r="B49" s="51" t="n">
        <f aca="false">IF(A49="","",MONTH(A49))</f>
        <v>6</v>
      </c>
      <c r="C49" s="52" t="s">
        <v>62</v>
      </c>
      <c r="D49" s="52" t="s">
        <v>53</v>
      </c>
      <c r="E49" s="52" t="n">
        <v>2</v>
      </c>
      <c r="F49" s="53" t="n">
        <v>5027000</v>
      </c>
      <c r="G49" s="52" t="n">
        <v>1</v>
      </c>
      <c r="H49" s="54" t="n">
        <f aca="false">IF(E49="","",E49*N(F49)*IF(G49="",1,G49))</f>
        <v>10054000</v>
      </c>
      <c r="I49" s="55" t="str">
        <f aca="false">IF(C49="","",IFERROR(INDEX('DANH MỤC'!$B$5:$B$200,MATCH(C49,'DANH MỤC'!$A$5:$A$200,0)),"⚠ Mã chưa có trong DANH MỤC"))</f>
        <v>Sơn nội thất siêu bóng cao cấp Imperia IG05</v>
      </c>
      <c r="J49" s="52" t="s">
        <v>131</v>
      </c>
      <c r="K49" s="52" t="s">
        <v>171</v>
      </c>
      <c r="L49" s="52"/>
    </row>
    <row r="50" customFormat="false" ht="15" hidden="false" customHeight="false" outlineLevel="0" collapsed="false">
      <c r="A50" s="50" t="n">
        <v>46184</v>
      </c>
      <c r="B50" s="51" t="n">
        <f aca="false">IF(A50="","",MONTH(A50))</f>
        <v>6</v>
      </c>
      <c r="C50" s="52" t="s">
        <v>62</v>
      </c>
      <c r="D50" s="52" t="s">
        <v>53</v>
      </c>
      <c r="E50" s="52" t="n">
        <v>1</v>
      </c>
      <c r="F50" s="53" t="n">
        <v>5027000</v>
      </c>
      <c r="G50" s="52" t="n">
        <v>1</v>
      </c>
      <c r="H50" s="54" t="n">
        <f aca="false">IF(E50="","",E50*N(F50)*IF(G50="",1,G50))</f>
        <v>5027000</v>
      </c>
      <c r="I50" s="55" t="str">
        <f aca="false">IF(C50="","",IFERROR(INDEX('DANH MỤC'!$B$5:$B$200,MATCH(C50,'DANH MỤC'!$A$5:$A$200,0)),"⚠ Mã chưa có trong DANH MỤC"))</f>
        <v>Sơn nội thất siêu bóng cao cấp Imperia IG05</v>
      </c>
      <c r="J50" s="52" t="s">
        <v>172</v>
      </c>
      <c r="K50" s="52" t="s">
        <v>173</v>
      </c>
      <c r="L50" s="52"/>
    </row>
    <row r="51" customFormat="false" ht="15" hidden="false" customHeight="false" outlineLevel="0" collapsed="false">
      <c r="A51" s="50" t="n">
        <v>46184</v>
      </c>
      <c r="B51" s="51" t="n">
        <f aca="false">IF(A51="","",MONTH(A51))</f>
        <v>6</v>
      </c>
      <c r="C51" s="52" t="s">
        <v>51</v>
      </c>
      <c r="D51" s="52" t="s">
        <v>53</v>
      </c>
      <c r="E51" s="52" t="n">
        <v>2</v>
      </c>
      <c r="F51" s="53" t="n">
        <v>2738000</v>
      </c>
      <c r="G51" s="52" t="n">
        <v>1</v>
      </c>
      <c r="H51" s="54" t="n">
        <f aca="false">IF(E51="","",E51*N(F51)*IF(G51="",1,G51))</f>
        <v>5476000</v>
      </c>
      <c r="I51" s="55" t="str">
        <f aca="false">IF(C51="","",IFERROR(INDEX('DANH MỤC'!$B$5:$B$200,MATCH(C51,'DANH MỤC'!$A$5:$A$200,0)),"⚠ Mã chưa có trong DANH MỤC"))</f>
        <v>Sơn lót nội thất kháng kiềm cao cấp Imperia PI04</v>
      </c>
      <c r="J51" s="52"/>
      <c r="K51" s="52" t="s">
        <v>174</v>
      </c>
      <c r="L51" s="52"/>
    </row>
    <row r="52" customFormat="false" ht="15" hidden="false" customHeight="false" outlineLevel="0" collapsed="false">
      <c r="A52" s="50" t="n">
        <v>46184</v>
      </c>
      <c r="B52" s="51" t="n">
        <f aca="false">IF(A52="","",MONTH(A52))</f>
        <v>6</v>
      </c>
      <c r="C52" s="52" t="s">
        <v>62</v>
      </c>
      <c r="D52" s="52" t="s">
        <v>52</v>
      </c>
      <c r="E52" s="52" t="n">
        <v>1</v>
      </c>
      <c r="F52" s="53" t="n">
        <v>1703000</v>
      </c>
      <c r="G52" s="52" t="n">
        <v>1</v>
      </c>
      <c r="H52" s="54" t="n">
        <f aca="false">IF(E52="","",E52*N(F52)*IF(G52="",1,G52))</f>
        <v>1703000</v>
      </c>
      <c r="I52" s="55" t="str">
        <f aca="false">IF(C52="","",IFERROR(INDEX('DANH MỤC'!$B$5:$B$200,MATCH(C52,'DANH MỤC'!$A$5:$A$200,0)),"⚠ Mã chưa có trong DANH MỤC"))</f>
        <v>Sơn nội thất siêu bóng cao cấp Imperia IG05</v>
      </c>
      <c r="J52" s="52" t="s">
        <v>175</v>
      </c>
      <c r="K52" s="52" t="s">
        <v>176</v>
      </c>
      <c r="L52" s="52"/>
    </row>
    <row r="53" customFormat="false" ht="15" hidden="false" customHeight="false" outlineLevel="0" collapsed="false">
      <c r="A53" s="50" t="n">
        <v>46184</v>
      </c>
      <c r="B53" s="51" t="n">
        <f aca="false">IF(A53="","",MONTH(A53))</f>
        <v>6</v>
      </c>
      <c r="C53" s="52" t="s">
        <v>69</v>
      </c>
      <c r="D53" s="52" t="s">
        <v>52</v>
      </c>
      <c r="E53" s="52" t="n">
        <v>1</v>
      </c>
      <c r="F53" s="53" t="n">
        <v>1899000</v>
      </c>
      <c r="G53" s="52" t="n">
        <v>1.15</v>
      </c>
      <c r="H53" s="54" t="n">
        <f aca="false">IF(E53="","",E53*N(F53)*IF(G53="",1,G53))</f>
        <v>2183850</v>
      </c>
      <c r="I53" s="55" t="str">
        <f aca="false">IF(C53="","",IFERROR(INDEX('DANH MỤC'!$B$5:$B$200,MATCH(C53,'DANH MỤC'!$A$5:$A$200,0)),"⚠ Mã chưa có trong DANH MỤC"))</f>
        <v>Sơn ngoại thất siêu bóng cao cấp Imperia EG09</v>
      </c>
      <c r="J53" s="52" t="s">
        <v>177</v>
      </c>
      <c r="K53" s="52" t="s">
        <v>178</v>
      </c>
      <c r="L53" s="52"/>
    </row>
    <row r="54" customFormat="false" ht="15" hidden="false" customHeight="false" outlineLevel="0" collapsed="false">
      <c r="A54" s="50" t="n">
        <v>46185</v>
      </c>
      <c r="B54" s="51" t="n">
        <f aca="false">IF(A54="","",MONTH(A54))</f>
        <v>6</v>
      </c>
      <c r="C54" s="52" t="s">
        <v>69</v>
      </c>
      <c r="D54" s="52" t="s">
        <v>53</v>
      </c>
      <c r="E54" s="52" t="n">
        <v>1</v>
      </c>
      <c r="F54" s="53" t="n">
        <v>5912000</v>
      </c>
      <c r="G54" s="52" t="n">
        <v>1</v>
      </c>
      <c r="H54" s="54" t="n">
        <f aca="false">IF(E54="","",E54*N(F54)*IF(G54="",1,G54))</f>
        <v>5912000</v>
      </c>
      <c r="I54" s="55" t="str">
        <f aca="false">IF(C54="","",IFERROR(INDEX('DANH MỤC'!$B$5:$B$200,MATCH(C54,'DANH MỤC'!$A$5:$A$200,0)),"⚠ Mã chưa có trong DANH MỤC"))</f>
        <v>Sơn ngoại thất siêu bóng cao cấp Imperia EG09</v>
      </c>
      <c r="J54" s="52" t="s">
        <v>179</v>
      </c>
      <c r="K54" s="52" t="s">
        <v>180</v>
      </c>
      <c r="L54" s="52"/>
    </row>
    <row r="55" customFormat="false" ht="15" hidden="false" customHeight="false" outlineLevel="0" collapsed="false">
      <c r="A55" s="50" t="n">
        <v>46185</v>
      </c>
      <c r="B55" s="51" t="n">
        <f aca="false">IF(A55="","",MONTH(A55))</f>
        <v>6</v>
      </c>
      <c r="C55" s="52" t="s">
        <v>62</v>
      </c>
      <c r="D55" s="52" t="s">
        <v>53</v>
      </c>
      <c r="E55" s="52" t="n">
        <v>1</v>
      </c>
      <c r="F55" s="53" t="n">
        <v>5027000</v>
      </c>
      <c r="G55" s="52" t="n">
        <v>1</v>
      </c>
      <c r="H55" s="54" t="n">
        <f aca="false">IF(E55="","",E55*N(F55)*IF(G55="",1,G55))</f>
        <v>5027000</v>
      </c>
      <c r="I55" s="55" t="str">
        <f aca="false">IF(C55="","",IFERROR(INDEX('DANH MỤC'!$B$5:$B$200,MATCH(C55,'DANH MỤC'!$A$5:$A$200,0)),"⚠ Mã chưa có trong DANH MỤC"))</f>
        <v>Sơn nội thất siêu bóng cao cấp Imperia IG05</v>
      </c>
      <c r="J55" s="52" t="s">
        <v>131</v>
      </c>
      <c r="K55" s="52" t="s">
        <v>181</v>
      </c>
      <c r="L55" s="52"/>
    </row>
    <row r="56" customFormat="false" ht="15" hidden="false" customHeight="false" outlineLevel="0" collapsed="false">
      <c r="A56" s="50" t="n">
        <v>46185</v>
      </c>
      <c r="B56" s="51" t="n">
        <f aca="false">IF(A56="","",MONTH(A56))</f>
        <v>6</v>
      </c>
      <c r="C56" s="52" t="s">
        <v>69</v>
      </c>
      <c r="D56" s="52" t="s">
        <v>52</v>
      </c>
      <c r="E56" s="52" t="n">
        <v>1</v>
      </c>
      <c r="F56" s="53" t="n">
        <v>1899000</v>
      </c>
      <c r="G56" s="52" t="n">
        <v>1.15</v>
      </c>
      <c r="H56" s="54" t="n">
        <f aca="false">IF(E56="","",E56*N(F56)*IF(G56="",1,G56))</f>
        <v>2183850</v>
      </c>
      <c r="I56" s="55" t="str">
        <f aca="false">IF(C56="","",IFERROR(INDEX('DANH MỤC'!$B$5:$B$200,MATCH(C56,'DANH MỤC'!$A$5:$A$200,0)),"⚠ Mã chưa có trong DANH MỤC"))</f>
        <v>Sơn ngoại thất siêu bóng cao cấp Imperia EG09</v>
      </c>
      <c r="J56" s="52" t="s">
        <v>177</v>
      </c>
      <c r="K56" s="52" t="s">
        <v>182</v>
      </c>
      <c r="L56" s="52"/>
    </row>
    <row r="57" customFormat="false" ht="15" hidden="false" customHeight="false" outlineLevel="0" collapsed="false">
      <c r="A57" s="50" t="n">
        <v>46186</v>
      </c>
      <c r="B57" s="51" t="n">
        <f aca="false">IF(A57="","",MONTH(A57))</f>
        <v>6</v>
      </c>
      <c r="C57" s="52" t="s">
        <v>62</v>
      </c>
      <c r="D57" s="52" t="s">
        <v>53</v>
      </c>
      <c r="E57" s="52" t="n">
        <v>6</v>
      </c>
      <c r="F57" s="53" t="n">
        <v>5530000</v>
      </c>
      <c r="G57" s="52" t="n">
        <v>1</v>
      </c>
      <c r="H57" s="54" t="n">
        <f aca="false">IF(E57="","",E57*N(F57)*IF(G57="",1,G57))</f>
        <v>33180000</v>
      </c>
      <c r="I57" s="55" t="str">
        <f aca="false">IF(C57="","",IFERROR(INDEX('DANH MỤC'!$B$5:$B$200,MATCH(C57,'DANH MỤC'!$A$5:$A$200,0)),"⚠ Mã chưa có trong DANH MỤC"))</f>
        <v>Sơn nội thất siêu bóng cao cấp Imperia IG05</v>
      </c>
      <c r="J57" s="52" t="s">
        <v>162</v>
      </c>
      <c r="K57" s="52" t="s">
        <v>183</v>
      </c>
      <c r="L57" s="52"/>
    </row>
    <row r="58" customFormat="false" ht="15" hidden="false" customHeight="false" outlineLevel="0" collapsed="false">
      <c r="A58" s="50" t="n">
        <v>46186</v>
      </c>
      <c r="B58" s="51" t="n">
        <f aca="false">IF(A58="","",MONTH(A58))</f>
        <v>6</v>
      </c>
      <c r="C58" s="52" t="s">
        <v>54</v>
      </c>
      <c r="D58" s="52" t="s">
        <v>53</v>
      </c>
      <c r="E58" s="52" t="n">
        <v>3</v>
      </c>
      <c r="F58" s="53" t="n">
        <v>4106000</v>
      </c>
      <c r="G58" s="52" t="n">
        <v>1</v>
      </c>
      <c r="H58" s="54" t="n">
        <f aca="false">IF(E58="","",E58*N(F58)*IF(G58="",1,G58))</f>
        <v>12318000</v>
      </c>
      <c r="I58" s="55" t="str">
        <f aca="false">IF(C58="","",IFERROR(INDEX('DANH MỤC'!$B$5:$B$200,MATCH(C58,'DANH MỤC'!$A$5:$A$200,0)),"⚠ Mã chưa có trong DANH MỤC"))</f>
        <v>Sơn lót ngoại thất kháng kiềm cao cấp Imperia PE02</v>
      </c>
      <c r="J58" s="52"/>
      <c r="K58" s="52" t="s">
        <v>184</v>
      </c>
      <c r="L58" s="56" t="s">
        <v>185</v>
      </c>
    </row>
    <row r="59" customFormat="false" ht="15" hidden="false" customHeight="false" outlineLevel="0" collapsed="false">
      <c r="A59" s="50" t="n">
        <v>46186</v>
      </c>
      <c r="B59" s="51" t="n">
        <f aca="false">IF(A59="","",MONTH(A59))</f>
        <v>6</v>
      </c>
      <c r="C59" s="52" t="s">
        <v>69</v>
      </c>
      <c r="D59" s="52" t="s">
        <v>53</v>
      </c>
      <c r="E59" s="52" t="n">
        <v>2</v>
      </c>
      <c r="F59" s="53" t="n">
        <v>6504000</v>
      </c>
      <c r="G59" s="52" t="n">
        <v>1</v>
      </c>
      <c r="H59" s="54" t="n">
        <f aca="false">IF(E59="","",E59*N(F59)*IF(G59="",1,G59))</f>
        <v>13008000</v>
      </c>
      <c r="I59" s="55" t="str">
        <f aca="false">IF(C59="","",IFERROR(INDEX('DANH MỤC'!$B$5:$B$200,MATCH(C59,'DANH MỤC'!$A$5:$A$200,0)),"⚠ Mã chưa có trong DANH MỤC"))</f>
        <v>Sơn ngoại thất siêu bóng cao cấp Imperia EG09</v>
      </c>
      <c r="J59" s="52" t="s">
        <v>162</v>
      </c>
      <c r="K59" s="52" t="s">
        <v>186</v>
      </c>
      <c r="L59" s="52"/>
    </row>
    <row r="60" customFormat="false" ht="15" hidden="false" customHeight="false" outlineLevel="0" collapsed="false">
      <c r="A60" s="50" t="n">
        <v>46186</v>
      </c>
      <c r="B60" s="51" t="n">
        <f aca="false">IF(A60="","",MONTH(A60))</f>
        <v>6</v>
      </c>
      <c r="C60" s="52" t="s">
        <v>71</v>
      </c>
      <c r="D60" s="52" t="s">
        <v>53</v>
      </c>
      <c r="E60" s="52" t="n">
        <v>2</v>
      </c>
      <c r="F60" s="53" t="n">
        <v>4106000</v>
      </c>
      <c r="G60" s="52" t="n">
        <v>1</v>
      </c>
      <c r="H60" s="54" t="n">
        <f aca="false">IF(E60="","",E60*N(F60)*IF(G60="",1,G60))</f>
        <v>8212000</v>
      </c>
      <c r="I60" s="55" t="str">
        <f aca="false">IF(C60="","",IFERROR(INDEX('DANH MỤC'!$B$5:$B$200,MATCH(C60,'DANH MỤC'!$A$5:$A$200,0)),"⚠ Mã chưa có trong DANH MỤC"))</f>
        <v>Sơn chống thấm đa năng Imperia CT12</v>
      </c>
      <c r="J60" s="52"/>
      <c r="K60" s="52" t="s">
        <v>187</v>
      </c>
      <c r="L60" s="52"/>
    </row>
    <row r="61" customFormat="false" ht="15" hidden="false" customHeight="false" outlineLevel="0" collapsed="false">
      <c r="A61" s="50" t="n">
        <v>46186</v>
      </c>
      <c r="B61" s="51" t="n">
        <f aca="false">IF(A61="","",MONTH(A61))</f>
        <v>6</v>
      </c>
      <c r="C61" s="52" t="s">
        <v>71</v>
      </c>
      <c r="D61" s="52" t="s">
        <v>52</v>
      </c>
      <c r="E61" s="52" t="n">
        <v>2</v>
      </c>
      <c r="F61" s="53" t="n">
        <v>1339000</v>
      </c>
      <c r="G61" s="52" t="n">
        <v>1</v>
      </c>
      <c r="H61" s="54" t="n">
        <f aca="false">IF(E61="","",E61*N(F61)*IF(G61="",1,G61))</f>
        <v>2678000</v>
      </c>
      <c r="I61" s="55" t="str">
        <f aca="false">IF(C61="","",IFERROR(INDEX('DANH MỤC'!$B$5:$B$200,MATCH(C61,'DANH MỤC'!$A$5:$A$200,0)),"⚠ Mã chưa có trong DANH MỤC"))</f>
        <v>Sơn chống thấm đa năng Imperia CT12</v>
      </c>
      <c r="J61" s="52"/>
      <c r="K61" s="52" t="s">
        <v>188</v>
      </c>
      <c r="L61" s="52"/>
    </row>
    <row r="62" customFormat="false" ht="15" hidden="false" customHeight="false" outlineLevel="0" collapsed="false">
      <c r="A62" s="50" t="n">
        <v>46186</v>
      </c>
      <c r="B62" s="51" t="n">
        <f aca="false">IF(A62="","",MONTH(A62))</f>
        <v>6</v>
      </c>
      <c r="C62" s="52" t="s">
        <v>69</v>
      </c>
      <c r="D62" s="52" t="s">
        <v>52</v>
      </c>
      <c r="E62" s="52" t="n">
        <v>1</v>
      </c>
      <c r="F62" s="53" t="n">
        <v>2089000</v>
      </c>
      <c r="G62" s="52" t="n">
        <v>1.15</v>
      </c>
      <c r="H62" s="54" t="n">
        <f aca="false">IF(E62="","",E62*N(F62)*IF(G62="",1,G62))</f>
        <v>2402350</v>
      </c>
      <c r="I62" s="55" t="str">
        <f aca="false">IF(C62="","",IFERROR(INDEX('DANH MỤC'!$B$5:$B$200,MATCH(C62,'DANH MỤC'!$A$5:$A$200,0)),"⚠ Mã chưa có trong DANH MỤC"))</f>
        <v>Sơn ngoại thất siêu bóng cao cấp Imperia EG09</v>
      </c>
      <c r="J62" s="52" t="s">
        <v>189</v>
      </c>
      <c r="K62" s="52" t="s">
        <v>190</v>
      </c>
      <c r="L62" s="52"/>
    </row>
    <row r="63" customFormat="false" ht="15" hidden="false" customHeight="false" outlineLevel="0" collapsed="false">
      <c r="A63" s="50" t="n">
        <v>46186</v>
      </c>
      <c r="B63" s="51" t="n">
        <f aca="false">IF(A63="","",MONTH(A63))</f>
        <v>6</v>
      </c>
      <c r="C63" s="52" t="s">
        <v>57</v>
      </c>
      <c r="D63" s="52" t="s">
        <v>53</v>
      </c>
      <c r="E63" s="52" t="n">
        <v>2</v>
      </c>
      <c r="F63" s="53" t="n">
        <v>2185000</v>
      </c>
      <c r="G63" s="52" t="n">
        <v>1</v>
      </c>
      <c r="H63" s="54" t="n">
        <f aca="false">IF(E63="","",E63*N(F63)*IF(G63="",1,G63))</f>
        <v>4370000</v>
      </c>
      <c r="I63" s="55" t="str">
        <f aca="false">IF(C63="","",IFERROR(INDEX('DANH MỤC'!$B$5:$B$200,MATCH(C63,'DANH MỤC'!$A$5:$A$200,0)),"⚠ Mã chưa có trong DANH MỤC"))</f>
        <v>Sơn lót nội thất kháng kiềm Silver IL5</v>
      </c>
      <c r="J63" s="52"/>
      <c r="K63" s="52" t="s">
        <v>191</v>
      </c>
      <c r="L63" s="52"/>
    </row>
    <row r="64" customFormat="false" ht="15" hidden="false" customHeight="false" outlineLevel="0" collapsed="false">
      <c r="A64" s="50" t="n">
        <v>46186</v>
      </c>
      <c r="B64" s="51" t="n">
        <f aca="false">IF(A64="","",MONTH(A64))</f>
        <v>6</v>
      </c>
      <c r="C64" s="52" t="s">
        <v>64</v>
      </c>
      <c r="D64" s="52" t="s">
        <v>53</v>
      </c>
      <c r="E64" s="52" t="n">
        <v>3</v>
      </c>
      <c r="F64" s="53" t="n">
        <v>1113000</v>
      </c>
      <c r="G64" s="52" t="n">
        <v>1</v>
      </c>
      <c r="H64" s="54" t="n">
        <f aca="false">IF(E64="","",E64*N(F64)*IF(G64="",1,G64))</f>
        <v>3339000</v>
      </c>
      <c r="I64" s="55" t="str">
        <f aca="false">IF(C64="","",IFERROR(INDEX('DANH MỤC'!$B$5:$B$200,MATCH(C64,'DANH MỤC'!$A$5:$A$200,0)),"⚠ Mã chưa có trong DANH MỤC"))</f>
        <v>Sơn nội thất kinh tế Deco IDC</v>
      </c>
      <c r="J64" s="52"/>
      <c r="K64" s="52" t="s">
        <v>192</v>
      </c>
      <c r="L64" s="52"/>
    </row>
    <row r="65" customFormat="false" ht="15" hidden="false" customHeight="false" outlineLevel="0" collapsed="false">
      <c r="A65" s="50" t="n">
        <v>46186</v>
      </c>
      <c r="B65" s="51" t="n">
        <f aca="false">IF(A65="","",MONTH(A65))</f>
        <v>6</v>
      </c>
      <c r="C65" s="52" t="s">
        <v>69</v>
      </c>
      <c r="D65" s="52" t="s">
        <v>66</v>
      </c>
      <c r="E65" s="52" t="n">
        <v>3</v>
      </c>
      <c r="F65" s="53" t="n">
        <v>435000</v>
      </c>
      <c r="G65" s="52" t="n">
        <v>1</v>
      </c>
      <c r="H65" s="54" t="n">
        <f aca="false">IF(E65="","",E65*N(F65)*IF(G65="",1,G65))</f>
        <v>1305000</v>
      </c>
      <c r="I65" s="55" t="str">
        <f aca="false">IF(C65="","",IFERROR(INDEX('DANH MỤC'!$B$5:$B$200,MATCH(C65,'DANH MỤC'!$A$5:$A$200,0)),"⚠ Mã chưa có trong DANH MỤC"))</f>
        <v>Sơn ngoại thất siêu bóng cao cấp Imperia EG09</v>
      </c>
      <c r="J65" s="52" t="s">
        <v>193</v>
      </c>
      <c r="K65" s="52" t="s">
        <v>194</v>
      </c>
      <c r="L65" s="52"/>
    </row>
    <row r="66" customFormat="false" ht="15" hidden="false" customHeight="false" outlineLevel="0" collapsed="false">
      <c r="A66" s="50" t="n">
        <v>46186</v>
      </c>
      <c r="B66" s="51" t="n">
        <f aca="false">IF(A66="","",MONTH(A66))</f>
        <v>6</v>
      </c>
      <c r="C66" s="52" t="s">
        <v>69</v>
      </c>
      <c r="D66" s="52" t="s">
        <v>66</v>
      </c>
      <c r="E66" s="52" t="n">
        <v>1</v>
      </c>
      <c r="F66" s="53" t="n">
        <v>435000</v>
      </c>
      <c r="G66" s="52" t="n">
        <v>1</v>
      </c>
      <c r="H66" s="54" t="n">
        <f aca="false">IF(E66="","",E66*N(F66)*IF(G66="",1,G66))</f>
        <v>435000</v>
      </c>
      <c r="I66" s="55" t="str">
        <f aca="false">IF(C66="","",IFERROR(INDEX('DANH MỤC'!$B$5:$B$200,MATCH(C66,'DANH MỤC'!$A$5:$A$200,0)),"⚠ Mã chưa có trong DANH MỤC"))</f>
        <v>Sơn ngoại thất siêu bóng cao cấp Imperia EG09</v>
      </c>
      <c r="J66" s="52" t="s">
        <v>175</v>
      </c>
      <c r="K66" s="52" t="s">
        <v>195</v>
      </c>
      <c r="L66" s="52"/>
    </row>
    <row r="67" customFormat="false" ht="15" hidden="false" customHeight="false" outlineLevel="0" collapsed="false">
      <c r="A67" s="50" t="n">
        <v>46187</v>
      </c>
      <c r="B67" s="51" t="n">
        <f aca="false">IF(A67="","",MONTH(A67))</f>
        <v>6</v>
      </c>
      <c r="C67" s="52" t="s">
        <v>51</v>
      </c>
      <c r="D67" s="52" t="s">
        <v>53</v>
      </c>
      <c r="E67" s="52" t="n">
        <v>3</v>
      </c>
      <c r="F67" s="53" t="n">
        <v>3012000</v>
      </c>
      <c r="G67" s="52" t="n">
        <v>1</v>
      </c>
      <c r="H67" s="54" t="n">
        <f aca="false">IF(E67="","",E67*N(F67)*IF(G67="",1,G67))</f>
        <v>9036000</v>
      </c>
      <c r="I67" s="55" t="str">
        <f aca="false">IF(C67="","",IFERROR(INDEX('DANH MỤC'!$B$5:$B$200,MATCH(C67,'DANH MỤC'!$A$5:$A$200,0)),"⚠ Mã chưa có trong DANH MỤC"))</f>
        <v>Sơn lót nội thất kháng kiềm cao cấp Imperia PI04</v>
      </c>
      <c r="J67" s="52"/>
      <c r="K67" s="52" t="s">
        <v>196</v>
      </c>
      <c r="L67" s="52"/>
    </row>
    <row r="68" customFormat="false" ht="15" hidden="false" customHeight="false" outlineLevel="0" collapsed="false">
      <c r="A68" s="50" t="n">
        <v>46187</v>
      </c>
      <c r="B68" s="51" t="n">
        <f aca="false">IF(A68="","",MONTH(A68))</f>
        <v>6</v>
      </c>
      <c r="C68" s="52" t="s">
        <v>68</v>
      </c>
      <c r="D68" s="52" t="s">
        <v>52</v>
      </c>
      <c r="E68" s="52" t="n">
        <v>3</v>
      </c>
      <c r="F68" s="53" t="n">
        <v>1536000</v>
      </c>
      <c r="G68" s="52" t="n">
        <v>1.1</v>
      </c>
      <c r="H68" s="54" t="n">
        <f aca="false">IF(E68="","",E68*N(F68)*IF(G68="",1,G68))</f>
        <v>5068800</v>
      </c>
      <c r="I68" s="55" t="str">
        <f aca="false">IF(C68="","",IFERROR(INDEX('DANH MỤC'!$B$5:$B$200,MATCH(C68,'DANH MỤC'!$A$5:$A$200,0)),"⚠ Mã chưa có trong DANH MỤC"))</f>
        <v>Sơn ngoại thất cao cấp bóng mờ Imperia ESG10</v>
      </c>
      <c r="J68" s="52" t="s">
        <v>197</v>
      </c>
      <c r="K68" s="52" t="s">
        <v>198</v>
      </c>
      <c r="L68" s="52"/>
    </row>
    <row r="69" customFormat="false" ht="15" hidden="false" customHeight="false" outlineLevel="0" collapsed="false">
      <c r="A69" s="50" t="n">
        <v>46187</v>
      </c>
      <c r="B69" s="51" t="n">
        <f aca="false">IF(A69="","",MONTH(A69))</f>
        <v>6</v>
      </c>
      <c r="C69" s="52" t="s">
        <v>61</v>
      </c>
      <c r="D69" s="52" t="s">
        <v>53</v>
      </c>
      <c r="E69" s="52" t="n">
        <v>2</v>
      </c>
      <c r="F69" s="53" t="n">
        <v>4597000</v>
      </c>
      <c r="G69" s="52" t="n">
        <v>1</v>
      </c>
      <c r="H69" s="54" t="n">
        <f aca="false">IF(E69="","",E69*N(F69)*IF(G69="",1,G69))</f>
        <v>9194000</v>
      </c>
      <c r="I69" s="55" t="str">
        <f aca="false">IF(C69="","",IFERROR(INDEX('DANH MỤC'!$B$5:$B$200,MATCH(C69,'DANH MỤC'!$A$5:$A$200,0)),"⚠ Mã chưa có trong DANH MỤC"))</f>
        <v>Sơn nội thất cao cấp bóng mờ Imperia ISG06</v>
      </c>
      <c r="J69" s="52" t="s">
        <v>199</v>
      </c>
      <c r="K69" s="52" t="s">
        <v>200</v>
      </c>
      <c r="L69" s="52"/>
    </row>
    <row r="70" customFormat="false" ht="15" hidden="false" customHeight="false" outlineLevel="0" collapsed="false">
      <c r="A70" s="50" t="n">
        <v>46187</v>
      </c>
      <c r="B70" s="51" t="n">
        <f aca="false">IF(A70="","",MONTH(A70))</f>
        <v>6</v>
      </c>
      <c r="C70" s="52" t="s">
        <v>61</v>
      </c>
      <c r="D70" s="52" t="s">
        <v>52</v>
      </c>
      <c r="E70" s="52" t="n">
        <v>2</v>
      </c>
      <c r="F70" s="53" t="n">
        <v>1302000</v>
      </c>
      <c r="G70" s="52" t="n">
        <v>1</v>
      </c>
      <c r="H70" s="54" t="n">
        <f aca="false">IF(E70="","",E70*N(F70)*IF(G70="",1,G70))</f>
        <v>2604000</v>
      </c>
      <c r="I70" s="55" t="str">
        <f aca="false">IF(C70="","",IFERROR(INDEX('DANH MỤC'!$B$5:$B$200,MATCH(C70,'DANH MỤC'!$A$5:$A$200,0)),"⚠ Mã chưa có trong DANH MỤC"))</f>
        <v>Sơn nội thất cao cấp bóng mờ Imperia ISG06</v>
      </c>
      <c r="J70" s="52" t="s">
        <v>201</v>
      </c>
      <c r="K70" s="52" t="s">
        <v>202</v>
      </c>
      <c r="L70" s="52"/>
    </row>
    <row r="71" customFormat="false" ht="15" hidden="false" customHeight="false" outlineLevel="0" collapsed="false">
      <c r="A71" s="50" t="n">
        <v>46187</v>
      </c>
      <c r="B71" s="51" t="n">
        <f aca="false">IF(A71="","",MONTH(A71))</f>
        <v>6</v>
      </c>
      <c r="C71" s="52" t="s">
        <v>51</v>
      </c>
      <c r="D71" s="52" t="s">
        <v>53</v>
      </c>
      <c r="E71" s="52" t="n">
        <v>3</v>
      </c>
      <c r="F71" s="53" t="n">
        <v>3012000</v>
      </c>
      <c r="G71" s="52" t="n">
        <v>1</v>
      </c>
      <c r="H71" s="54" t="n">
        <f aca="false">IF(E71="","",E71*N(F71)*IF(G71="",1,G71))</f>
        <v>9036000</v>
      </c>
      <c r="I71" s="55" t="str">
        <f aca="false">IF(C71="","",IFERROR(INDEX('DANH MỤC'!$B$5:$B$200,MATCH(C71,'DANH MỤC'!$A$5:$A$200,0)),"⚠ Mã chưa có trong DANH MỤC"))</f>
        <v>Sơn lót nội thất kháng kiềm cao cấp Imperia PI04</v>
      </c>
      <c r="J71" s="52"/>
      <c r="K71" s="52" t="s">
        <v>203</v>
      </c>
      <c r="L71" s="56" t="s">
        <v>204</v>
      </c>
    </row>
    <row r="72" customFormat="false" ht="15" hidden="false" customHeight="false" outlineLevel="0" collapsed="false">
      <c r="A72" s="50" t="n">
        <v>46187</v>
      </c>
      <c r="B72" s="51" t="n">
        <f aca="false">IF(A72="","",MONTH(A72))</f>
        <v>6</v>
      </c>
      <c r="C72" s="52" t="s">
        <v>68</v>
      </c>
      <c r="D72" s="52" t="s">
        <v>52</v>
      </c>
      <c r="E72" s="52" t="n">
        <v>3</v>
      </c>
      <c r="F72" s="53" t="n">
        <v>1536000</v>
      </c>
      <c r="G72" s="52" t="n">
        <v>1.1</v>
      </c>
      <c r="H72" s="54" t="n">
        <f aca="false">IF(E72="","",E72*N(F72)*IF(G72="",1,G72))</f>
        <v>5068800</v>
      </c>
      <c r="I72" s="55" t="str">
        <f aca="false">IF(C72="","",IFERROR(INDEX('DANH MỤC'!$B$5:$B$200,MATCH(C72,'DANH MỤC'!$A$5:$A$200,0)),"⚠ Mã chưa có trong DANH MỤC"))</f>
        <v>Sơn ngoại thất cao cấp bóng mờ Imperia ESG10</v>
      </c>
      <c r="J72" s="52" t="s">
        <v>197</v>
      </c>
      <c r="K72" s="52" t="s">
        <v>205</v>
      </c>
      <c r="L72" s="56" t="s">
        <v>206</v>
      </c>
    </row>
    <row r="73" customFormat="false" ht="15" hidden="false" customHeight="false" outlineLevel="0" collapsed="false">
      <c r="A73" s="50" t="n">
        <v>46187</v>
      </c>
      <c r="B73" s="51" t="n">
        <f aca="false">IF(A73="","",MONTH(A73))</f>
        <v>6</v>
      </c>
      <c r="C73" s="52" t="s">
        <v>61</v>
      </c>
      <c r="D73" s="52" t="s">
        <v>53</v>
      </c>
      <c r="E73" s="52" t="n">
        <v>2</v>
      </c>
      <c r="F73" s="53" t="n">
        <v>4597000</v>
      </c>
      <c r="G73" s="52" t="n">
        <v>1</v>
      </c>
      <c r="H73" s="54" t="n">
        <f aca="false">IF(E73="","",E73*N(F73)*IF(G73="",1,G73))</f>
        <v>9194000</v>
      </c>
      <c r="I73" s="55" t="str">
        <f aca="false">IF(C73="","",IFERROR(INDEX('DANH MỤC'!$B$5:$B$200,MATCH(C73,'DANH MỤC'!$A$5:$A$200,0)),"⚠ Mã chưa có trong DANH MỤC"))</f>
        <v>Sơn nội thất cao cấp bóng mờ Imperia ISG06</v>
      </c>
      <c r="J73" s="52" t="s">
        <v>199</v>
      </c>
      <c r="K73" s="52" t="s">
        <v>207</v>
      </c>
      <c r="L73" s="56" t="s">
        <v>208</v>
      </c>
    </row>
    <row r="74" customFormat="false" ht="15" hidden="false" customHeight="false" outlineLevel="0" collapsed="false">
      <c r="A74" s="50" t="n">
        <v>46187</v>
      </c>
      <c r="B74" s="51" t="n">
        <f aca="false">IF(A74="","",MONTH(A74))</f>
        <v>6</v>
      </c>
      <c r="C74" s="52" t="s">
        <v>61</v>
      </c>
      <c r="D74" s="52" t="s">
        <v>52</v>
      </c>
      <c r="E74" s="52" t="n">
        <v>2</v>
      </c>
      <c r="F74" s="53" t="n">
        <v>1302000</v>
      </c>
      <c r="G74" s="52" t="n">
        <v>1</v>
      </c>
      <c r="H74" s="54" t="n">
        <f aca="false">IF(E74="","",E74*N(F74)*IF(G74="",1,G74))</f>
        <v>2604000</v>
      </c>
      <c r="I74" s="55" t="str">
        <f aca="false">IF(C74="","",IFERROR(INDEX('DANH MỤC'!$B$5:$B$200,MATCH(C74,'DANH MỤC'!$A$5:$A$200,0)),"⚠ Mã chưa có trong DANH MỤC"))</f>
        <v>Sơn nội thất cao cấp bóng mờ Imperia ISG06</v>
      </c>
      <c r="J74" s="52" t="s">
        <v>201</v>
      </c>
      <c r="K74" s="52" t="s">
        <v>209</v>
      </c>
      <c r="L74" s="56" t="s">
        <v>210</v>
      </c>
    </row>
    <row r="75" customFormat="false" ht="15" hidden="false" customHeight="false" outlineLevel="0" collapsed="false">
      <c r="A75" s="50" t="n">
        <v>46187</v>
      </c>
      <c r="B75" s="51" t="n">
        <f aca="false">IF(A75="","",MONTH(A75))</f>
        <v>6</v>
      </c>
      <c r="C75" s="52" t="s">
        <v>62</v>
      </c>
      <c r="D75" s="52" t="s">
        <v>52</v>
      </c>
      <c r="E75" s="52" t="n">
        <v>1</v>
      </c>
      <c r="F75" s="53" t="n">
        <v>1875000</v>
      </c>
      <c r="G75" s="52" t="n">
        <v>1</v>
      </c>
      <c r="H75" s="54" t="n">
        <f aca="false">IF(E75="","",E75*N(F75)*IF(G75="",1,G75))</f>
        <v>1875000</v>
      </c>
      <c r="I75" s="55" t="str">
        <f aca="false">IF(C75="","",IFERROR(INDEX('DANH MỤC'!$B$5:$B$200,MATCH(C75,'DANH MỤC'!$A$5:$A$200,0)),"⚠ Mã chưa có trong DANH MỤC"))</f>
        <v>Sơn nội thất siêu bóng cao cấp Imperia IG05</v>
      </c>
      <c r="J75" s="52"/>
      <c r="K75" s="52" t="s">
        <v>211</v>
      </c>
      <c r="L75" s="52"/>
    </row>
    <row r="76" customFormat="false" ht="15" hidden="false" customHeight="false" outlineLevel="0" collapsed="false">
      <c r="A76" s="50" t="n">
        <v>46188</v>
      </c>
      <c r="B76" s="51" t="n">
        <f aca="false">IF(A76="","",MONTH(A76))</f>
        <v>6</v>
      </c>
      <c r="C76" s="52" t="s">
        <v>51</v>
      </c>
      <c r="D76" s="52" t="s">
        <v>53</v>
      </c>
      <c r="E76" s="52" t="n">
        <v>2</v>
      </c>
      <c r="F76" s="53" t="n">
        <v>3012000</v>
      </c>
      <c r="G76" s="52" t="n">
        <v>1</v>
      </c>
      <c r="H76" s="54" t="n">
        <f aca="false">IF(E76="","",E76*N(F76)*IF(G76="",1,G76))</f>
        <v>6024000</v>
      </c>
      <c r="I76" s="55" t="str">
        <f aca="false">IF(C76="","",IFERROR(INDEX('DANH MỤC'!$B$5:$B$200,MATCH(C76,'DANH MỤC'!$A$5:$A$200,0)),"⚠ Mã chưa có trong DANH MỤC"))</f>
        <v>Sơn lót nội thất kháng kiềm cao cấp Imperia PI04</v>
      </c>
      <c r="J76" s="52"/>
      <c r="K76" s="52" t="s">
        <v>212</v>
      </c>
      <c r="L76" s="52"/>
    </row>
    <row r="77" customFormat="false" ht="15" hidden="false" customHeight="false" outlineLevel="0" collapsed="false">
      <c r="A77" s="50" t="n">
        <v>46188</v>
      </c>
      <c r="B77" s="51" t="n">
        <f aca="false">IF(A77="","",MONTH(A77))</f>
        <v>6</v>
      </c>
      <c r="C77" s="52" t="s">
        <v>72</v>
      </c>
      <c r="D77" s="52" t="s">
        <v>53</v>
      </c>
      <c r="E77" s="52" t="n">
        <v>1</v>
      </c>
      <c r="F77" s="53" t="n">
        <v>4821000</v>
      </c>
      <c r="G77" s="52" t="n">
        <v>1</v>
      </c>
      <c r="H77" s="54" t="n">
        <f aca="false">IF(E77="","",E77*N(F77)*IF(G77="",1,G77))</f>
        <v>4821000</v>
      </c>
      <c r="I77" s="55" t="str">
        <f aca="false">IF(C77="","",IFERROR(INDEX('DANH MỤC'!$B$5:$B$200,MATCH(C77,'DANH MỤC'!$A$5:$A$200,0)),"⚠ Mã chưa có trong DANH MỤC"))</f>
        <v>Sơn chống thấm màu ETM 309 (ghi đậm)</v>
      </c>
      <c r="J77" s="52" t="s">
        <v>149</v>
      </c>
      <c r="K77" s="52" t="s">
        <v>213</v>
      </c>
      <c r="L77" s="52"/>
    </row>
    <row r="78" customFormat="false" ht="15" hidden="false" customHeight="false" outlineLevel="0" collapsed="false">
      <c r="A78" s="50" t="n">
        <v>46188</v>
      </c>
      <c r="B78" s="51" t="n">
        <f aca="false">IF(A78="","",MONTH(A78))</f>
        <v>6</v>
      </c>
      <c r="C78" s="52" t="s">
        <v>61</v>
      </c>
      <c r="D78" s="52" t="s">
        <v>52</v>
      </c>
      <c r="E78" s="52" t="n">
        <v>2</v>
      </c>
      <c r="F78" s="53" t="n">
        <v>1302000</v>
      </c>
      <c r="G78" s="52" t="n">
        <v>1</v>
      </c>
      <c r="H78" s="54" t="n">
        <f aca="false">IF(E78="","",E78*N(F78)*IF(G78="",1,G78))</f>
        <v>2604000</v>
      </c>
      <c r="I78" s="55" t="str">
        <f aca="false">IF(C78="","",IFERROR(INDEX('DANH MỤC'!$B$5:$B$200,MATCH(C78,'DANH MỤC'!$A$5:$A$200,0)),"⚠ Mã chưa có trong DANH MỤC"))</f>
        <v>Sơn nội thất cao cấp bóng mờ Imperia ISG06</v>
      </c>
      <c r="J78" s="52" t="s">
        <v>214</v>
      </c>
      <c r="K78" s="52" t="s">
        <v>215</v>
      </c>
      <c r="L78" s="52"/>
    </row>
    <row r="79" customFormat="false" ht="15" hidden="false" customHeight="false" outlineLevel="0" collapsed="false">
      <c r="A79" s="50" t="n">
        <v>46188</v>
      </c>
      <c r="B79" s="51" t="n">
        <f aca="false">IF(A79="","",MONTH(A79))</f>
        <v>6</v>
      </c>
      <c r="C79" s="52" t="s">
        <v>61</v>
      </c>
      <c r="D79" s="52" t="s">
        <v>52</v>
      </c>
      <c r="E79" s="52" t="n">
        <v>1</v>
      </c>
      <c r="F79" s="53" t="n">
        <v>1302000</v>
      </c>
      <c r="G79" s="52" t="n">
        <v>1</v>
      </c>
      <c r="H79" s="54" t="n">
        <f aca="false">IF(E79="","",E79*N(F79)*IF(G79="",1,G79))</f>
        <v>1302000</v>
      </c>
      <c r="I79" s="55" t="str">
        <f aca="false">IF(C79="","",IFERROR(INDEX('DANH MỤC'!$B$5:$B$200,MATCH(C79,'DANH MỤC'!$A$5:$A$200,0)),"⚠ Mã chưa có trong DANH MỤC"))</f>
        <v>Sơn nội thất cao cấp bóng mờ Imperia ISG06</v>
      </c>
      <c r="J79" s="52" t="s">
        <v>216</v>
      </c>
      <c r="K79" s="52" t="s">
        <v>217</v>
      </c>
      <c r="L79" s="52"/>
    </row>
    <row r="80" customFormat="false" ht="15" hidden="false" customHeight="false" outlineLevel="0" collapsed="false">
      <c r="A80" s="50" t="n">
        <v>46188</v>
      </c>
      <c r="B80" s="51" t="n">
        <f aca="false">IF(A80="","",MONTH(A80))</f>
        <v>6</v>
      </c>
      <c r="C80" s="52" t="s">
        <v>62</v>
      </c>
      <c r="D80" s="52" t="s">
        <v>53</v>
      </c>
      <c r="E80" s="52" t="n">
        <v>1</v>
      </c>
      <c r="F80" s="53" t="n">
        <v>5027000</v>
      </c>
      <c r="G80" s="52" t="n">
        <v>1</v>
      </c>
      <c r="H80" s="54" t="n">
        <f aca="false">IF(E80="","",E80*N(F80)*IF(G80="",1,G80))</f>
        <v>5027000</v>
      </c>
      <c r="I80" s="55" t="str">
        <f aca="false">IF(C80="","",IFERROR(INDEX('DANH MỤC'!$B$5:$B$200,MATCH(C80,'DANH MỤC'!$A$5:$A$200,0)),"⚠ Mã chưa có trong DANH MỤC"))</f>
        <v>Sơn nội thất siêu bóng cao cấp Imperia IG05</v>
      </c>
      <c r="J80" s="52" t="s">
        <v>131</v>
      </c>
      <c r="K80" s="52" t="s">
        <v>218</v>
      </c>
      <c r="L80" s="52"/>
    </row>
    <row r="81" customFormat="false" ht="15" hidden="false" customHeight="false" outlineLevel="0" collapsed="false">
      <c r="A81" s="50" t="n">
        <v>46188</v>
      </c>
      <c r="B81" s="51" t="n">
        <f aca="false">IF(A81="","",MONTH(A81))</f>
        <v>6</v>
      </c>
      <c r="C81" s="52" t="s">
        <v>51</v>
      </c>
      <c r="D81" s="52" t="s">
        <v>52</v>
      </c>
      <c r="E81" s="52" t="n">
        <v>2</v>
      </c>
      <c r="F81" s="53" t="n">
        <v>908000</v>
      </c>
      <c r="G81" s="52" t="n">
        <v>1</v>
      </c>
      <c r="H81" s="54" t="n">
        <f aca="false">IF(E81="","",E81*N(F81)*IF(G81="",1,G81))</f>
        <v>1816000</v>
      </c>
      <c r="I81" s="55" t="str">
        <f aca="false">IF(C81="","",IFERROR(INDEX('DANH MỤC'!$B$5:$B$200,MATCH(C81,'DANH MỤC'!$A$5:$A$200,0)),"⚠ Mã chưa có trong DANH MỤC"))</f>
        <v>Sơn lót nội thất kháng kiềm cao cấp Imperia PI04</v>
      </c>
      <c r="J81" s="52"/>
      <c r="K81" s="52" t="s">
        <v>219</v>
      </c>
      <c r="L81" s="52"/>
    </row>
    <row r="82" customFormat="false" ht="15" hidden="false" customHeight="false" outlineLevel="0" collapsed="false">
      <c r="A82" s="50" t="n">
        <v>46188</v>
      </c>
      <c r="B82" s="51" t="n">
        <f aca="false">IF(A82="","",MONTH(A82))</f>
        <v>6</v>
      </c>
      <c r="C82" s="52" t="s">
        <v>54</v>
      </c>
      <c r="D82" s="52" t="s">
        <v>53</v>
      </c>
      <c r="E82" s="52" t="n">
        <v>1</v>
      </c>
      <c r="F82" s="53" t="n">
        <v>3732000</v>
      </c>
      <c r="G82" s="52" t="n">
        <v>1</v>
      </c>
      <c r="H82" s="54" t="n">
        <f aca="false">IF(E82="","",E82*N(F82)*IF(G82="",1,G82))</f>
        <v>3732000</v>
      </c>
      <c r="I82" s="55" t="str">
        <f aca="false">IF(C82="","",IFERROR(INDEX('DANH MỤC'!$B$5:$B$200,MATCH(C82,'DANH MỤC'!$A$5:$A$200,0)),"⚠ Mã chưa có trong DANH MỤC"))</f>
        <v>Sơn lót ngoại thất kháng kiềm cao cấp Imperia PE02</v>
      </c>
      <c r="J82" s="52"/>
      <c r="K82" s="52" t="s">
        <v>220</v>
      </c>
      <c r="L82" s="52"/>
    </row>
    <row r="83" customFormat="false" ht="15" hidden="false" customHeight="false" outlineLevel="0" collapsed="false">
      <c r="A83" s="50" t="n">
        <v>46189</v>
      </c>
      <c r="B83" s="51" t="n">
        <f aca="false">IF(A83="","",MONTH(A83))</f>
        <v>6</v>
      </c>
      <c r="C83" s="52" t="s">
        <v>72</v>
      </c>
      <c r="D83" s="52" t="s">
        <v>53</v>
      </c>
      <c r="E83" s="52" t="n">
        <v>3</v>
      </c>
      <c r="F83" s="53" t="n">
        <v>4821000</v>
      </c>
      <c r="G83" s="52" t="n">
        <v>1</v>
      </c>
      <c r="H83" s="54" t="n">
        <f aca="false">IF(E83="","",E83*N(F83)*IF(G83="",1,G83))</f>
        <v>14463000</v>
      </c>
      <c r="I83" s="55" t="str">
        <f aca="false">IF(C83="","",IFERROR(INDEX('DANH MỤC'!$B$5:$B$200,MATCH(C83,'DANH MỤC'!$A$5:$A$200,0)),"⚠ Mã chưa có trong DANH MỤC"))</f>
        <v>Sơn chống thấm màu ETM 309 (ghi đậm)</v>
      </c>
      <c r="J83" s="52" t="s">
        <v>179</v>
      </c>
      <c r="K83" s="52" t="s">
        <v>221</v>
      </c>
      <c r="L83" s="56" t="s">
        <v>222</v>
      </c>
    </row>
    <row r="84" customFormat="false" ht="15" hidden="false" customHeight="false" outlineLevel="0" collapsed="false">
      <c r="A84" s="50" t="n">
        <v>46189</v>
      </c>
      <c r="B84" s="51" t="n">
        <f aca="false">IF(A84="","",MONTH(A84))</f>
        <v>6</v>
      </c>
      <c r="C84" s="52" t="s">
        <v>54</v>
      </c>
      <c r="D84" s="52" t="s">
        <v>53</v>
      </c>
      <c r="E84" s="52" t="n">
        <v>1</v>
      </c>
      <c r="F84" s="53" t="n">
        <v>4106000</v>
      </c>
      <c r="G84" s="52" t="n">
        <v>1</v>
      </c>
      <c r="H84" s="54" t="n">
        <f aca="false">IF(E84="","",E84*N(F84)*IF(G84="",1,G84))</f>
        <v>4106000</v>
      </c>
      <c r="I84" s="55" t="str">
        <f aca="false">IF(C84="","",IFERROR(INDEX('DANH MỤC'!$B$5:$B$200,MATCH(C84,'DANH MỤC'!$A$5:$A$200,0)),"⚠ Mã chưa có trong DANH MỤC"))</f>
        <v>Sơn lót ngoại thất kháng kiềm cao cấp Imperia PE02</v>
      </c>
      <c r="J84" s="52" t="s">
        <v>223</v>
      </c>
      <c r="K84" s="52" t="s">
        <v>224</v>
      </c>
      <c r="L84" s="52"/>
    </row>
    <row r="85" customFormat="false" ht="15" hidden="false" customHeight="false" outlineLevel="0" collapsed="false">
      <c r="A85" s="50" t="n">
        <v>46189</v>
      </c>
      <c r="B85" s="51" t="n">
        <f aca="false">IF(A85="","",MONTH(A85))</f>
        <v>6</v>
      </c>
      <c r="C85" s="52" t="s">
        <v>51</v>
      </c>
      <c r="D85" s="52" t="s">
        <v>53</v>
      </c>
      <c r="E85" s="52" t="n">
        <v>1</v>
      </c>
      <c r="F85" s="53" t="n">
        <v>3012000</v>
      </c>
      <c r="G85" s="52" t="n">
        <v>1</v>
      </c>
      <c r="H85" s="54" t="n">
        <f aca="false">IF(E85="","",E85*N(F85)*IF(G85="",1,G85))</f>
        <v>3012000</v>
      </c>
      <c r="I85" s="55" t="str">
        <f aca="false">IF(C85="","",IFERROR(INDEX('DANH MỤC'!$B$5:$B$200,MATCH(C85,'DANH MỤC'!$A$5:$A$200,0)),"⚠ Mã chưa có trong DANH MỤC"))</f>
        <v>Sơn lót nội thất kháng kiềm cao cấp Imperia PI04</v>
      </c>
      <c r="J85" s="52"/>
      <c r="K85" s="52" t="s">
        <v>225</v>
      </c>
      <c r="L85" s="52"/>
    </row>
    <row r="86" customFormat="false" ht="15" hidden="false" customHeight="false" outlineLevel="0" collapsed="false">
      <c r="A86" s="50" t="n">
        <v>46189</v>
      </c>
      <c r="B86" s="51" t="n">
        <f aca="false">IF(A86="","",MONTH(A86))</f>
        <v>6</v>
      </c>
      <c r="C86" s="52" t="s">
        <v>61</v>
      </c>
      <c r="D86" s="52" t="s">
        <v>52</v>
      </c>
      <c r="E86" s="52" t="n">
        <v>2</v>
      </c>
      <c r="F86" s="53" t="n">
        <v>1302000</v>
      </c>
      <c r="G86" s="52" t="n">
        <v>1</v>
      </c>
      <c r="H86" s="54" t="n">
        <f aca="false">IF(E86="","",E86*N(F86)*IF(G86="",1,G86))</f>
        <v>2604000</v>
      </c>
      <c r="I86" s="55" t="str">
        <f aca="false">IF(C86="","",IFERROR(INDEX('DANH MỤC'!$B$5:$B$200,MATCH(C86,'DANH MỤC'!$A$5:$A$200,0)),"⚠ Mã chưa có trong DANH MỤC"))</f>
        <v>Sơn nội thất cao cấp bóng mờ Imperia ISG06</v>
      </c>
      <c r="J86" s="52" t="s">
        <v>214</v>
      </c>
      <c r="K86" s="52" t="s">
        <v>226</v>
      </c>
      <c r="L86" s="52"/>
    </row>
    <row r="87" customFormat="false" ht="15" hidden="false" customHeight="false" outlineLevel="0" collapsed="false">
      <c r="A87" s="50" t="n">
        <v>46189</v>
      </c>
      <c r="B87" s="51" t="n">
        <f aca="false">IF(A87="","",MONTH(A87))</f>
        <v>6</v>
      </c>
      <c r="C87" s="52" t="s">
        <v>61</v>
      </c>
      <c r="D87" s="52" t="s">
        <v>52</v>
      </c>
      <c r="E87" s="52" t="n">
        <v>2</v>
      </c>
      <c r="F87" s="53" t="n">
        <v>1302000</v>
      </c>
      <c r="G87" s="52" t="n">
        <v>1</v>
      </c>
      <c r="H87" s="54" t="n">
        <f aca="false">IF(E87="","",E87*N(F87)*IF(G87="",1,G87))</f>
        <v>2604000</v>
      </c>
      <c r="I87" s="55" t="str">
        <f aca="false">IF(C87="","",IFERROR(INDEX('DANH MỤC'!$B$5:$B$200,MATCH(C87,'DANH MỤC'!$A$5:$A$200,0)),"⚠ Mã chưa có trong DANH MỤC"))</f>
        <v>Sơn nội thất cao cấp bóng mờ Imperia ISG06</v>
      </c>
      <c r="J87" s="52" t="s">
        <v>216</v>
      </c>
      <c r="K87" s="52" t="s">
        <v>227</v>
      </c>
      <c r="L87" s="52"/>
    </row>
    <row r="88" customFormat="false" ht="15" hidden="false" customHeight="false" outlineLevel="0" collapsed="false">
      <c r="A88" s="50" t="n">
        <v>46189</v>
      </c>
      <c r="B88" s="51" t="n">
        <f aca="false">IF(A88="","",MONTH(A88))</f>
        <v>6</v>
      </c>
      <c r="C88" s="52" t="s">
        <v>51</v>
      </c>
      <c r="D88" s="52" t="s">
        <v>52</v>
      </c>
      <c r="E88" s="52" t="n">
        <v>2</v>
      </c>
      <c r="F88" s="53" t="n">
        <v>908000</v>
      </c>
      <c r="G88" s="52" t="n">
        <v>1</v>
      </c>
      <c r="H88" s="54" t="n">
        <f aca="false">IF(E88="","",E88*N(F88)*IF(G88="",1,G88))</f>
        <v>1816000</v>
      </c>
      <c r="I88" s="55" t="str">
        <f aca="false">IF(C88="","",IFERROR(INDEX('DANH MỤC'!$B$5:$B$200,MATCH(C88,'DANH MỤC'!$A$5:$A$200,0)),"⚠ Mã chưa có trong DANH MỤC"))</f>
        <v>Sơn lót nội thất kháng kiềm cao cấp Imperia PI04</v>
      </c>
      <c r="J88" s="52"/>
      <c r="K88" s="52" t="s">
        <v>228</v>
      </c>
      <c r="L88" s="52"/>
    </row>
    <row r="89" customFormat="false" ht="15" hidden="false" customHeight="false" outlineLevel="0" collapsed="false">
      <c r="A89" s="50" t="n">
        <v>46190</v>
      </c>
      <c r="B89" s="51" t="n">
        <f aca="false">IF(A89="","",MONTH(A89))</f>
        <v>6</v>
      </c>
      <c r="C89" s="52" t="s">
        <v>73</v>
      </c>
      <c r="D89" s="52" t="s">
        <v>53</v>
      </c>
      <c r="E89" s="52" t="n">
        <v>3</v>
      </c>
      <c r="F89" s="53" t="n">
        <v>4821000</v>
      </c>
      <c r="G89" s="52" t="n">
        <v>1.15</v>
      </c>
      <c r="H89" s="54" t="n">
        <f aca="false">IF(E89="","",E89*N(F89)*IF(G89="",1,G89))</f>
        <v>16632450</v>
      </c>
      <c r="I89" s="55" t="str">
        <f aca="false">IF(C89="","",IFERROR(INDEX('DANH MỤC'!$B$5:$B$200,MATCH(C89,'DANH MỤC'!$A$5:$A$200,0)),"⚠ Mã chưa có trong DANH MỤC"))</f>
        <v>Sơn chống thấm ETM 99 (trắng)</v>
      </c>
      <c r="J89" s="52" t="s">
        <v>229</v>
      </c>
      <c r="K89" s="52" t="s">
        <v>230</v>
      </c>
      <c r="L89" s="52"/>
    </row>
    <row r="90" customFormat="false" ht="15" hidden="false" customHeight="false" outlineLevel="0" collapsed="false">
      <c r="A90" s="50" t="n">
        <v>46190</v>
      </c>
      <c r="B90" s="51" t="n">
        <f aca="false">IF(A90="","",MONTH(A90))</f>
        <v>6</v>
      </c>
      <c r="C90" s="52" t="s">
        <v>69</v>
      </c>
      <c r="D90" s="52" t="s">
        <v>53</v>
      </c>
      <c r="E90" s="52" t="n">
        <v>1</v>
      </c>
      <c r="F90" s="53" t="n">
        <v>6504000</v>
      </c>
      <c r="G90" s="52" t="n">
        <v>1</v>
      </c>
      <c r="H90" s="54" t="n">
        <f aca="false">IF(E90="","",E90*N(F90)*IF(G90="",1,G90))</f>
        <v>6504000</v>
      </c>
      <c r="I90" s="55" t="str">
        <f aca="false">IF(C90="","",IFERROR(INDEX('DANH MỤC'!$B$5:$B$200,MATCH(C90,'DANH MỤC'!$A$5:$A$200,0)),"⚠ Mã chưa có trong DANH MỤC"))</f>
        <v>Sơn ngoại thất siêu bóng cao cấp Imperia EG09</v>
      </c>
      <c r="J90" s="52" t="s">
        <v>179</v>
      </c>
      <c r="K90" s="52" t="s">
        <v>231</v>
      </c>
      <c r="L90" s="52"/>
    </row>
    <row r="91" customFormat="false" ht="15" hidden="false" customHeight="false" outlineLevel="0" collapsed="false">
      <c r="A91" s="50" t="n">
        <v>46190</v>
      </c>
      <c r="B91" s="51" t="n">
        <f aca="false">IF(A91="","",MONTH(A91))</f>
        <v>6</v>
      </c>
      <c r="C91" s="52" t="s">
        <v>69</v>
      </c>
      <c r="D91" s="52" t="s">
        <v>66</v>
      </c>
      <c r="E91" s="52" t="n">
        <v>2</v>
      </c>
      <c r="F91" s="53" t="n">
        <v>479000</v>
      </c>
      <c r="G91" s="52" t="n">
        <v>1.2</v>
      </c>
      <c r="H91" s="54" t="n">
        <f aca="false">IF(E91="","",E91*N(F91)*IF(G91="",1,G91))</f>
        <v>1149600</v>
      </c>
      <c r="I91" s="55" t="str">
        <f aca="false">IF(C91="","",IFERROR(INDEX('DANH MỤC'!$B$5:$B$200,MATCH(C91,'DANH MỤC'!$A$5:$A$200,0)),"⚠ Mã chưa có trong DANH MỤC"))</f>
        <v>Sơn ngoại thất siêu bóng cao cấp Imperia EG09</v>
      </c>
      <c r="J91" s="52" t="s">
        <v>232</v>
      </c>
      <c r="K91" s="52" t="s">
        <v>233</v>
      </c>
      <c r="L91" s="52"/>
    </row>
    <row r="92" customFormat="false" ht="15" hidden="false" customHeight="false" outlineLevel="0" collapsed="false">
      <c r="A92" s="50" t="n">
        <v>46190</v>
      </c>
      <c r="B92" s="51" t="n">
        <f aca="false">IF(A92="","",MONTH(A92))</f>
        <v>6</v>
      </c>
      <c r="C92" s="52" t="s">
        <v>69</v>
      </c>
      <c r="D92" s="52" t="s">
        <v>53</v>
      </c>
      <c r="E92" s="52" t="n">
        <v>1</v>
      </c>
      <c r="F92" s="53" t="n">
        <v>6504000</v>
      </c>
      <c r="G92" s="52" t="n">
        <v>1</v>
      </c>
      <c r="H92" s="54" t="n">
        <f aca="false">IF(E92="","",E92*N(F92)*IF(G92="",1,G92))</f>
        <v>6504000</v>
      </c>
      <c r="I92" s="55" t="str">
        <f aca="false">IF(C92="","",IFERROR(INDEX('DANH MỤC'!$B$5:$B$200,MATCH(C92,'DANH MỤC'!$A$5:$A$200,0)),"⚠ Mã chưa có trong DANH MỤC"))</f>
        <v>Sơn ngoại thất siêu bóng cao cấp Imperia EG09</v>
      </c>
      <c r="J92" s="52" t="s">
        <v>162</v>
      </c>
      <c r="K92" s="52" t="s">
        <v>234</v>
      </c>
      <c r="L92" s="52"/>
    </row>
    <row r="93" customFormat="false" ht="15" hidden="false" customHeight="false" outlineLevel="0" collapsed="false">
      <c r="A93" s="50" t="n">
        <v>46190</v>
      </c>
      <c r="B93" s="51" t="n">
        <f aca="false">IF(A93="","",MONTH(A93))</f>
        <v>6</v>
      </c>
      <c r="C93" s="52" t="s">
        <v>62</v>
      </c>
      <c r="D93" s="52" t="s">
        <v>53</v>
      </c>
      <c r="E93" s="52" t="n">
        <v>2</v>
      </c>
      <c r="F93" s="53" t="n">
        <v>5530000</v>
      </c>
      <c r="G93" s="52" t="n">
        <v>1</v>
      </c>
      <c r="H93" s="54" t="n">
        <f aca="false">IF(E93="","",E93*N(F93)*IF(G93="",1,G93))</f>
        <v>11060000</v>
      </c>
      <c r="I93" s="55" t="str">
        <f aca="false">IF(C93="","",IFERROR(INDEX('DANH MỤC'!$B$5:$B$200,MATCH(C93,'DANH MỤC'!$A$5:$A$200,0)),"⚠ Mã chưa có trong DANH MỤC"))</f>
        <v>Sơn nội thất siêu bóng cao cấp Imperia IG05</v>
      </c>
      <c r="J93" s="52" t="s">
        <v>162</v>
      </c>
      <c r="K93" s="52" t="s">
        <v>235</v>
      </c>
      <c r="L93" s="52"/>
    </row>
    <row r="94" customFormat="false" ht="15" hidden="false" customHeight="false" outlineLevel="0" collapsed="false">
      <c r="A94" s="50" t="n">
        <v>46190</v>
      </c>
      <c r="B94" s="51" t="n">
        <f aca="false">IF(A94="","",MONTH(A94))</f>
        <v>6</v>
      </c>
      <c r="C94" s="52" t="s">
        <v>69</v>
      </c>
      <c r="D94" s="52" t="s">
        <v>52</v>
      </c>
      <c r="E94" s="52" t="n">
        <v>1</v>
      </c>
      <c r="F94" s="53" t="n">
        <v>2089000</v>
      </c>
      <c r="G94" s="52" t="n">
        <v>1.5</v>
      </c>
      <c r="H94" s="54" t="n">
        <f aca="false">IF(E94="","",E94*N(F94)*IF(G94="",1,G94))</f>
        <v>3133500</v>
      </c>
      <c r="I94" s="55" t="str">
        <f aca="false">IF(C94="","",IFERROR(INDEX('DANH MỤC'!$B$5:$B$200,MATCH(C94,'DANH MỤC'!$A$5:$A$200,0)),"⚠ Mã chưa có trong DANH MỤC"))</f>
        <v>Sơn ngoại thất siêu bóng cao cấp Imperia EG09</v>
      </c>
      <c r="J94" s="52" t="s">
        <v>236</v>
      </c>
      <c r="K94" s="52" t="s">
        <v>237</v>
      </c>
      <c r="L94" s="52"/>
    </row>
    <row r="95" customFormat="false" ht="15" hidden="false" customHeight="false" outlineLevel="0" collapsed="false">
      <c r="A95" s="50" t="n">
        <v>46190</v>
      </c>
      <c r="B95" s="51" t="n">
        <f aca="false">IF(A95="","",MONTH(A95))</f>
        <v>6</v>
      </c>
      <c r="C95" s="52" t="s">
        <v>62</v>
      </c>
      <c r="D95" s="52" t="s">
        <v>52</v>
      </c>
      <c r="E95" s="52" t="n">
        <v>1</v>
      </c>
      <c r="F95" s="53" t="n">
        <v>1703000</v>
      </c>
      <c r="G95" s="52" t="n">
        <v>1</v>
      </c>
      <c r="H95" s="54" t="n">
        <f aca="false">IF(E95="","",E95*N(F95)*IF(G95="",1,G95))</f>
        <v>1703000</v>
      </c>
      <c r="I95" s="55" t="str">
        <f aca="false">IF(C95="","",IFERROR(INDEX('DANH MỤC'!$B$5:$B$200,MATCH(C95,'DANH MỤC'!$A$5:$A$200,0)),"⚠ Mã chưa có trong DANH MỤC"))</f>
        <v>Sơn nội thất siêu bóng cao cấp Imperia IG05</v>
      </c>
      <c r="J95" s="52" t="s">
        <v>131</v>
      </c>
      <c r="K95" s="52" t="s">
        <v>238</v>
      </c>
      <c r="L95" s="52"/>
    </row>
    <row r="96" customFormat="false" ht="15" hidden="false" customHeight="false" outlineLevel="0" collapsed="false">
      <c r="A96" s="50" t="n">
        <v>46190</v>
      </c>
      <c r="B96" s="51" t="n">
        <f aca="false">IF(A96="","",MONTH(A96))</f>
        <v>6</v>
      </c>
      <c r="C96" s="52" t="s">
        <v>71</v>
      </c>
      <c r="D96" s="52" t="s">
        <v>53</v>
      </c>
      <c r="E96" s="52" t="n">
        <v>1</v>
      </c>
      <c r="F96" s="53" t="n">
        <v>4106000</v>
      </c>
      <c r="G96" s="52" t="n">
        <v>1</v>
      </c>
      <c r="H96" s="54" t="n">
        <f aca="false">IF(E96="","",E96*N(F96)*IF(G96="",1,G96))</f>
        <v>4106000</v>
      </c>
      <c r="I96" s="55" t="str">
        <f aca="false">IF(C96="","",IFERROR(INDEX('DANH MỤC'!$B$5:$B$200,MATCH(C96,'DANH MỤC'!$A$5:$A$200,0)),"⚠ Mã chưa có trong DANH MỤC"))</f>
        <v>Sơn chống thấm đa năng Imperia CT12</v>
      </c>
      <c r="J96" s="52"/>
      <c r="K96" s="52" t="s">
        <v>239</v>
      </c>
      <c r="L96" s="52"/>
    </row>
    <row r="97" customFormat="false" ht="15" hidden="false" customHeight="false" outlineLevel="0" collapsed="false">
      <c r="A97" s="50" t="n">
        <v>46193</v>
      </c>
      <c r="B97" s="51" t="n">
        <f aca="false">IF(A97="","",MONTH(A97))</f>
        <v>6</v>
      </c>
      <c r="C97" s="52" t="s">
        <v>69</v>
      </c>
      <c r="D97" s="52" t="s">
        <v>52</v>
      </c>
      <c r="E97" s="52" t="n">
        <v>1</v>
      </c>
      <c r="F97" s="53" t="n">
        <v>1899000</v>
      </c>
      <c r="G97" s="52" t="n">
        <v>1</v>
      </c>
      <c r="H97" s="54" t="n">
        <f aca="false">IF(E97="","",E97*N(F97)*IF(G97="",1,G97))</f>
        <v>1899000</v>
      </c>
      <c r="I97" s="55" t="str">
        <f aca="false">IF(C97="","",IFERROR(INDEX('DANH MỤC'!$B$5:$B$200,MATCH(C97,'DANH MỤC'!$A$5:$A$200,0)),"⚠ Mã chưa có trong DANH MỤC"))</f>
        <v>Sơn ngoại thất siêu bóng cao cấp Imperia EG09</v>
      </c>
      <c r="J97" s="52" t="s">
        <v>179</v>
      </c>
      <c r="K97" s="52" t="s">
        <v>240</v>
      </c>
      <c r="L97" s="52"/>
    </row>
    <row r="98" customFormat="false" ht="15" hidden="false" customHeight="false" outlineLevel="0" collapsed="false">
      <c r="A98" s="50" t="n">
        <v>46194</v>
      </c>
      <c r="B98" s="51" t="n">
        <f aca="false">IF(A98="","",MONTH(A98))</f>
        <v>6</v>
      </c>
      <c r="C98" s="52" t="s">
        <v>62</v>
      </c>
      <c r="D98" s="52" t="s">
        <v>53</v>
      </c>
      <c r="E98" s="52" t="n">
        <v>1</v>
      </c>
      <c r="F98" s="53" t="n">
        <v>5530000</v>
      </c>
      <c r="G98" s="52" t="n">
        <v>1</v>
      </c>
      <c r="H98" s="54" t="n">
        <f aca="false">IF(E98="","",E98*N(F98)*IF(G98="",1,G98))</f>
        <v>5530000</v>
      </c>
      <c r="I98" s="55" t="str">
        <f aca="false">IF(C98="","",IFERROR(INDEX('DANH MỤC'!$B$5:$B$200,MATCH(C98,'DANH MỤC'!$A$5:$A$200,0)),"⚠ Mã chưa có trong DANH MỤC"))</f>
        <v>Sơn nội thất siêu bóng cao cấp Imperia IG05</v>
      </c>
      <c r="J98" s="52" t="s">
        <v>135</v>
      </c>
      <c r="K98" s="52" t="s">
        <v>241</v>
      </c>
      <c r="L98" s="52"/>
    </row>
    <row r="99" customFormat="false" ht="15" hidden="false" customHeight="false" outlineLevel="0" collapsed="false">
      <c r="A99" s="50" t="n">
        <v>46194</v>
      </c>
      <c r="B99" s="51" t="n">
        <f aca="false">IF(A99="","",MONTH(A99))</f>
        <v>6</v>
      </c>
      <c r="C99" s="52" t="s">
        <v>76</v>
      </c>
      <c r="D99" s="52" t="s">
        <v>77</v>
      </c>
      <c r="E99" s="52" t="n">
        <v>1</v>
      </c>
      <c r="F99" s="53" t="n">
        <v>481000</v>
      </c>
      <c r="G99" s="52" t="n">
        <v>1</v>
      </c>
      <c r="H99" s="54" t="n">
        <f aca="false">IF(E99="","",E99*N(F99)*IF(G99="",1,G99))</f>
        <v>481000</v>
      </c>
      <c r="I99" s="55" t="str">
        <f aca="false">IF(C99="","",IFERROR(INDEX('DANH MỤC'!$B$5:$B$200,MATCH(C99,'DANH MỤC'!$A$5:$A$200,0)),"⚠ Mã chưa có trong DANH MỤC"))</f>
        <v>Bột bả nội thất Imperia IP15 (40kg)</v>
      </c>
      <c r="J99" s="52"/>
      <c r="K99" s="52" t="s">
        <v>242</v>
      </c>
      <c r="L99" s="52"/>
    </row>
    <row r="100" customFormat="false" ht="15" hidden="false" customHeight="false" outlineLevel="0" collapsed="false">
      <c r="A100" s="50" t="n">
        <v>46194</v>
      </c>
      <c r="B100" s="51" t="n">
        <f aca="false">IF(A100="","",MONTH(A100))</f>
        <v>6</v>
      </c>
      <c r="C100" s="52" t="s">
        <v>62</v>
      </c>
      <c r="D100" s="52" t="s">
        <v>52</v>
      </c>
      <c r="E100" s="52" t="n">
        <v>1</v>
      </c>
      <c r="F100" s="53" t="n">
        <v>1875000</v>
      </c>
      <c r="G100" s="52" t="n">
        <v>1</v>
      </c>
      <c r="H100" s="54" t="n">
        <f aca="false">IF(E100="","",E100*N(F100)*IF(G100="",1,G100))</f>
        <v>1875000</v>
      </c>
      <c r="I100" s="55" t="str">
        <f aca="false">IF(C100="","",IFERROR(INDEX('DANH MỤC'!$B$5:$B$200,MATCH(C100,'DANH MỤC'!$A$5:$A$200,0)),"⚠ Mã chưa có trong DANH MỤC"))</f>
        <v>Sơn nội thất siêu bóng cao cấp Imperia IG05</v>
      </c>
      <c r="J100" s="52"/>
      <c r="K100" s="52" t="s">
        <v>243</v>
      </c>
      <c r="L100" s="52"/>
    </row>
    <row r="101" customFormat="false" ht="15" hidden="false" customHeight="false" outlineLevel="0" collapsed="false">
      <c r="A101" s="50" t="n">
        <v>46194</v>
      </c>
      <c r="B101" s="51" t="n">
        <f aca="false">IF(A101="","",MONTH(A101))</f>
        <v>6</v>
      </c>
      <c r="C101" s="52" t="s">
        <v>62</v>
      </c>
      <c r="D101" s="52" t="s">
        <v>53</v>
      </c>
      <c r="E101" s="52" t="n">
        <v>3</v>
      </c>
      <c r="F101" s="53" t="n">
        <v>5530000</v>
      </c>
      <c r="G101" s="52" t="n">
        <v>1</v>
      </c>
      <c r="H101" s="54" t="n">
        <f aca="false">IF(E101="","",E101*N(F101)*IF(G101="",1,G101))</f>
        <v>16590000</v>
      </c>
      <c r="I101" s="55" t="str">
        <f aca="false">IF(C101="","",IFERROR(INDEX('DANH MỤC'!$B$5:$B$200,MATCH(C101,'DANH MỤC'!$A$5:$A$200,0)),"⚠ Mã chưa có trong DANH MỤC"))</f>
        <v>Sơn nội thất siêu bóng cao cấp Imperia IG05</v>
      </c>
      <c r="J101" s="52" t="s">
        <v>131</v>
      </c>
      <c r="K101" s="52" t="s">
        <v>244</v>
      </c>
      <c r="L101" s="52"/>
    </row>
    <row r="102" customFormat="false" ht="15" hidden="false" customHeight="false" outlineLevel="0" collapsed="false">
      <c r="A102" s="50" t="n">
        <v>46194</v>
      </c>
      <c r="B102" s="51" t="n">
        <f aca="false">IF(A102="","",MONTH(A102))</f>
        <v>6</v>
      </c>
      <c r="C102" s="52" t="s">
        <v>62</v>
      </c>
      <c r="D102" s="52" t="s">
        <v>53</v>
      </c>
      <c r="E102" s="52" t="n">
        <v>1</v>
      </c>
      <c r="F102" s="53" t="n">
        <v>5530000</v>
      </c>
      <c r="G102" s="52" t="n">
        <v>1</v>
      </c>
      <c r="H102" s="54" t="n">
        <f aca="false">IF(E102="","",E102*N(F102)*IF(G102="",1,G102))</f>
        <v>5530000</v>
      </c>
      <c r="I102" s="55" t="str">
        <f aca="false">IF(C102="","",IFERROR(INDEX('DANH MỤC'!$B$5:$B$200,MATCH(C102,'DANH MỤC'!$A$5:$A$200,0)),"⚠ Mã chưa có trong DANH MỤC"))</f>
        <v>Sơn nội thất siêu bóng cao cấp Imperia IG05</v>
      </c>
      <c r="J102" s="52" t="s">
        <v>245</v>
      </c>
      <c r="K102" s="52" t="s">
        <v>246</v>
      </c>
      <c r="L102" s="52"/>
    </row>
    <row r="103" customFormat="false" ht="15" hidden="false" customHeight="false" outlineLevel="0" collapsed="false">
      <c r="A103" s="50" t="n">
        <v>46194</v>
      </c>
      <c r="B103" s="51" t="n">
        <f aca="false">IF(A103="","",MONTH(A103))</f>
        <v>6</v>
      </c>
      <c r="C103" s="52" t="s">
        <v>51</v>
      </c>
      <c r="D103" s="52" t="s">
        <v>53</v>
      </c>
      <c r="E103" s="52" t="n">
        <v>3</v>
      </c>
      <c r="F103" s="53" t="n">
        <v>3012000</v>
      </c>
      <c r="G103" s="52" t="n">
        <v>1</v>
      </c>
      <c r="H103" s="54" t="n">
        <f aca="false">IF(E103="","",E103*N(F103)*IF(G103="",1,G103))</f>
        <v>9036000</v>
      </c>
      <c r="I103" s="55" t="str">
        <f aca="false">IF(C103="","",IFERROR(INDEX('DANH MỤC'!$B$5:$B$200,MATCH(C103,'DANH MỤC'!$A$5:$A$200,0)),"⚠ Mã chưa có trong DANH MỤC"))</f>
        <v>Sơn lót nội thất kháng kiềm cao cấp Imperia PI04</v>
      </c>
      <c r="J103" s="52"/>
      <c r="K103" s="52" t="s">
        <v>247</v>
      </c>
      <c r="L103" s="52"/>
    </row>
    <row r="104" customFormat="false" ht="15" hidden="false" customHeight="false" outlineLevel="0" collapsed="false">
      <c r="A104" s="50" t="n">
        <v>46194</v>
      </c>
      <c r="B104" s="51" t="n">
        <f aca="false">IF(A104="","",MONTH(A104))</f>
        <v>6</v>
      </c>
      <c r="C104" s="52" t="s">
        <v>59</v>
      </c>
      <c r="D104" s="52" t="s">
        <v>53</v>
      </c>
      <c r="E104" s="52" t="n">
        <v>2</v>
      </c>
      <c r="F104" s="53" t="n">
        <v>2712000</v>
      </c>
      <c r="G104" s="52" t="n">
        <v>1</v>
      </c>
      <c r="H104" s="54" t="n">
        <f aca="false">IF(E104="","",E104*N(F104)*IF(G104="",1,G104))</f>
        <v>5424000</v>
      </c>
      <c r="I104" s="55" t="str">
        <f aca="false">IF(C104="","",IFERROR(INDEX('DANH MỤC'!$B$5:$B$200,MATCH(C104,'DANH MỤC'!$A$5:$A$200,0)),"⚠ Mã chưa có trong DANH MỤC"))</f>
        <v>Sơn nội thất siêu trắng Imperia IEW</v>
      </c>
      <c r="J104" s="52"/>
      <c r="K104" s="52" t="s">
        <v>248</v>
      </c>
      <c r="L104" s="52"/>
    </row>
    <row r="105" customFormat="false" ht="15" hidden="false" customHeight="false" outlineLevel="0" collapsed="false">
      <c r="A105" s="50" t="n">
        <v>46194</v>
      </c>
      <c r="B105" s="51" t="n">
        <f aca="false">IF(A105="","",MONTH(A105))</f>
        <v>6</v>
      </c>
      <c r="C105" s="52" t="s">
        <v>71</v>
      </c>
      <c r="D105" s="52" t="s">
        <v>53</v>
      </c>
      <c r="E105" s="52" t="n">
        <v>2</v>
      </c>
      <c r="F105" s="53" t="n">
        <v>4106000</v>
      </c>
      <c r="G105" s="52" t="n">
        <v>1</v>
      </c>
      <c r="H105" s="54" t="n">
        <f aca="false">IF(E105="","",E105*N(F105)*IF(G105="",1,G105))</f>
        <v>8212000</v>
      </c>
      <c r="I105" s="55" t="str">
        <f aca="false">IF(C105="","",IFERROR(INDEX('DANH MỤC'!$B$5:$B$200,MATCH(C105,'DANH MỤC'!$A$5:$A$200,0)),"⚠ Mã chưa có trong DANH MỤC"))</f>
        <v>Sơn chống thấm đa năng Imperia CT12</v>
      </c>
      <c r="J105" s="52"/>
      <c r="K105" s="52" t="s">
        <v>249</v>
      </c>
      <c r="L105" s="52"/>
    </row>
    <row r="106" customFormat="false" ht="15" hidden="false" customHeight="false" outlineLevel="0" collapsed="false">
      <c r="A106" s="50" t="n">
        <v>46194</v>
      </c>
      <c r="B106" s="51" t="n">
        <f aca="false">IF(A106="","",MONTH(A106))</f>
        <v>6</v>
      </c>
      <c r="C106" s="52" t="s">
        <v>69</v>
      </c>
      <c r="D106" s="52" t="s">
        <v>66</v>
      </c>
      <c r="E106" s="52" t="n">
        <v>2</v>
      </c>
      <c r="F106" s="53" t="n">
        <v>479000</v>
      </c>
      <c r="G106" s="52" t="n">
        <v>1</v>
      </c>
      <c r="H106" s="54" t="n">
        <f aca="false">IF(E106="","",E106*N(F106)*IF(G106="",1,G106))</f>
        <v>958000</v>
      </c>
      <c r="I106" s="55" t="str">
        <f aca="false">IF(C106="","",IFERROR(INDEX('DANH MỤC'!$B$5:$B$200,MATCH(C106,'DANH MỤC'!$A$5:$A$200,0)),"⚠ Mã chưa có trong DANH MỤC"))</f>
        <v>Sơn ngoại thất siêu bóng cao cấp Imperia EG09</v>
      </c>
      <c r="J106" s="52" t="s">
        <v>250</v>
      </c>
      <c r="K106" s="52" t="s">
        <v>251</v>
      </c>
      <c r="L106" s="52"/>
    </row>
    <row r="107" customFormat="false" ht="15" hidden="false" customHeight="false" outlineLevel="0" collapsed="false">
      <c r="A107" s="50" t="n">
        <v>46194</v>
      </c>
      <c r="B107" s="51" t="n">
        <f aca="false">IF(A107="","",MONTH(A107))</f>
        <v>6</v>
      </c>
      <c r="C107" s="52" t="s">
        <v>69</v>
      </c>
      <c r="D107" s="52" t="s">
        <v>66</v>
      </c>
      <c r="E107" s="52" t="n">
        <v>1</v>
      </c>
      <c r="F107" s="53" t="n">
        <v>479000</v>
      </c>
      <c r="G107" s="52" t="n">
        <v>1.1</v>
      </c>
      <c r="H107" s="54" t="n">
        <f aca="false">IF(E107="","",E107*N(F107)*IF(G107="",1,G107))</f>
        <v>526900</v>
      </c>
      <c r="I107" s="55" t="str">
        <f aca="false">IF(C107="","",IFERROR(INDEX('DANH MỤC'!$B$5:$B$200,MATCH(C107,'DANH MỤC'!$A$5:$A$200,0)),"⚠ Mã chưa có trong DANH MỤC"))</f>
        <v>Sơn ngoại thất siêu bóng cao cấp Imperia EG09</v>
      </c>
      <c r="J107" s="52" t="s">
        <v>252</v>
      </c>
      <c r="K107" s="52" t="s">
        <v>253</v>
      </c>
      <c r="L107" s="52"/>
    </row>
    <row r="108" customFormat="false" ht="15" hidden="false" customHeight="false" outlineLevel="0" collapsed="false">
      <c r="A108" s="50" t="n">
        <v>46194</v>
      </c>
      <c r="B108" s="51" t="n">
        <f aca="false">IF(A108="","",MONTH(A108))</f>
        <v>6</v>
      </c>
      <c r="C108" s="52" t="s">
        <v>72</v>
      </c>
      <c r="D108" s="52" t="s">
        <v>53</v>
      </c>
      <c r="E108" s="52" t="n">
        <v>3</v>
      </c>
      <c r="F108" s="53" t="n">
        <v>4821000</v>
      </c>
      <c r="G108" s="52" t="n">
        <v>1</v>
      </c>
      <c r="H108" s="54" t="n">
        <f aca="false">IF(E108="","",E108*N(F108)*IF(G108="",1,G108))</f>
        <v>14463000</v>
      </c>
      <c r="I108" s="55" t="str">
        <f aca="false">IF(C108="","",IFERROR(INDEX('DANH MỤC'!$B$5:$B$200,MATCH(C108,'DANH MỤC'!$A$5:$A$200,0)),"⚠ Mã chưa có trong DANH MỤC"))</f>
        <v>Sơn chống thấm màu ETM 309 (ghi đậm)</v>
      </c>
      <c r="J108" s="52" t="s">
        <v>149</v>
      </c>
      <c r="K108" s="52" t="s">
        <v>254</v>
      </c>
      <c r="L108" s="52"/>
    </row>
    <row r="109" customFormat="false" ht="15" hidden="false" customHeight="false" outlineLevel="0" collapsed="false">
      <c r="A109" s="50" t="n">
        <v>46194</v>
      </c>
      <c r="B109" s="51" t="n">
        <f aca="false">IF(A109="","",MONTH(A109))</f>
        <v>6</v>
      </c>
      <c r="C109" s="52" t="s">
        <v>72</v>
      </c>
      <c r="D109" s="52" t="s">
        <v>52</v>
      </c>
      <c r="E109" s="52" t="n">
        <v>2</v>
      </c>
      <c r="F109" s="53" t="n">
        <v>1447000</v>
      </c>
      <c r="G109" s="52" t="n">
        <v>1</v>
      </c>
      <c r="H109" s="54" t="n">
        <f aca="false">IF(E109="","",E109*N(F109)*IF(G109="",1,G109))</f>
        <v>2894000</v>
      </c>
      <c r="I109" s="55" t="str">
        <f aca="false">IF(C109="","",IFERROR(INDEX('DANH MỤC'!$B$5:$B$200,MATCH(C109,'DANH MỤC'!$A$5:$A$200,0)),"⚠ Mã chưa có trong DANH MỤC"))</f>
        <v>Sơn chống thấm màu ETM 309 (ghi đậm)</v>
      </c>
      <c r="J109" s="52" t="s">
        <v>149</v>
      </c>
      <c r="K109" s="52" t="s">
        <v>255</v>
      </c>
      <c r="L109" s="52"/>
    </row>
    <row r="110" customFormat="false" ht="15" hidden="false" customHeight="false" outlineLevel="0" collapsed="false">
      <c r="A110" s="50" t="n">
        <v>46195</v>
      </c>
      <c r="B110" s="51" t="n">
        <f aca="false">IF(A110="","",MONTH(A110))</f>
        <v>6</v>
      </c>
      <c r="C110" s="52" t="s">
        <v>51</v>
      </c>
      <c r="D110" s="52" t="s">
        <v>53</v>
      </c>
      <c r="E110" s="52" t="n">
        <v>7</v>
      </c>
      <c r="F110" s="53" t="n">
        <v>3012000</v>
      </c>
      <c r="G110" s="52" t="n">
        <v>1</v>
      </c>
      <c r="H110" s="54" t="n">
        <f aca="false">IF(E110="","",E110*N(F110)*IF(G110="",1,G110))</f>
        <v>21084000</v>
      </c>
      <c r="I110" s="55" t="str">
        <f aca="false">IF(C110="","",IFERROR(INDEX('DANH MỤC'!$B$5:$B$200,MATCH(C110,'DANH MỤC'!$A$5:$A$200,0)),"⚠ Mã chưa có trong DANH MỤC"))</f>
        <v>Sơn lót nội thất kháng kiềm cao cấp Imperia PI04</v>
      </c>
      <c r="J110" s="52" t="s">
        <v>256</v>
      </c>
      <c r="K110" s="52" t="s">
        <v>257</v>
      </c>
      <c r="L110" s="52"/>
    </row>
    <row r="111" customFormat="false" ht="15" hidden="false" customHeight="false" outlineLevel="0" collapsed="false">
      <c r="A111" s="50" t="n">
        <v>46195</v>
      </c>
      <c r="B111" s="51" t="n">
        <f aca="false">IF(A111="","",MONTH(A111))</f>
        <v>6</v>
      </c>
      <c r="C111" s="52" t="s">
        <v>61</v>
      </c>
      <c r="D111" s="52" t="s">
        <v>53</v>
      </c>
      <c r="E111" s="52" t="n">
        <v>5</v>
      </c>
      <c r="F111" s="53" t="n">
        <v>4597000</v>
      </c>
      <c r="G111" s="52" t="n">
        <v>1</v>
      </c>
      <c r="H111" s="54" t="n">
        <f aca="false">IF(E111="","",E111*N(F111)*IF(G111="",1,G111))</f>
        <v>22985000</v>
      </c>
      <c r="I111" s="55" t="str">
        <f aca="false">IF(C111="","",IFERROR(INDEX('DANH MỤC'!$B$5:$B$200,MATCH(C111,'DANH MỤC'!$A$5:$A$200,0)),"⚠ Mã chưa có trong DANH MỤC"))</f>
        <v>Sơn nội thất cao cấp bóng mờ Imperia ISG06</v>
      </c>
      <c r="J111" s="52" t="s">
        <v>258</v>
      </c>
      <c r="K111" s="52" t="s">
        <v>259</v>
      </c>
      <c r="L111" s="52"/>
    </row>
    <row r="112" customFormat="false" ht="15" hidden="false" customHeight="false" outlineLevel="0" collapsed="false">
      <c r="A112" s="50" t="n">
        <v>46195</v>
      </c>
      <c r="B112" s="51" t="n">
        <f aca="false">IF(A112="","",MONTH(A112))</f>
        <v>6</v>
      </c>
      <c r="C112" s="52" t="s">
        <v>54</v>
      </c>
      <c r="D112" s="52" t="s">
        <v>53</v>
      </c>
      <c r="E112" s="52" t="n">
        <v>1</v>
      </c>
      <c r="F112" s="53" t="n">
        <v>4106000</v>
      </c>
      <c r="G112" s="52" t="n">
        <v>1</v>
      </c>
      <c r="H112" s="54" t="n">
        <f aca="false">IF(E112="","",E112*N(F112)*IF(G112="",1,G112))</f>
        <v>4106000</v>
      </c>
      <c r="I112" s="55" t="str">
        <f aca="false">IF(C112="","",IFERROR(INDEX('DANH MỤC'!$B$5:$B$200,MATCH(C112,'DANH MỤC'!$A$5:$A$200,0)),"⚠ Mã chưa có trong DANH MỤC"))</f>
        <v>Sơn lót ngoại thất kháng kiềm cao cấp Imperia PE02</v>
      </c>
      <c r="J112" s="52" t="s">
        <v>223</v>
      </c>
      <c r="K112" s="52" t="s">
        <v>260</v>
      </c>
      <c r="L112" s="52"/>
    </row>
    <row r="113" customFormat="false" ht="15" hidden="false" customHeight="false" outlineLevel="0" collapsed="false">
      <c r="A113" s="50" t="n">
        <v>46195</v>
      </c>
      <c r="B113" s="51" t="n">
        <f aca="false">IF(A113="","",MONTH(A113))</f>
        <v>6</v>
      </c>
      <c r="C113" s="52" t="s">
        <v>69</v>
      </c>
      <c r="D113" s="52" t="s">
        <v>53</v>
      </c>
      <c r="E113" s="52" t="n">
        <v>1</v>
      </c>
      <c r="F113" s="53" t="n">
        <v>6504000</v>
      </c>
      <c r="G113" s="52" t="n">
        <v>1</v>
      </c>
      <c r="H113" s="54" t="n">
        <f aca="false">IF(E113="","",E113*N(F113)*IF(G113="",1,G113))</f>
        <v>6504000</v>
      </c>
      <c r="I113" s="55" t="str">
        <f aca="false">IF(C113="","",IFERROR(INDEX('DANH MỤC'!$B$5:$B$200,MATCH(C113,'DANH MỤC'!$A$5:$A$200,0)),"⚠ Mã chưa có trong DANH MỤC"))</f>
        <v>Sơn ngoại thất siêu bóng cao cấp Imperia EG09</v>
      </c>
      <c r="J113" s="52" t="s">
        <v>261</v>
      </c>
      <c r="K113" s="52" t="s">
        <v>262</v>
      </c>
      <c r="L113" s="52"/>
    </row>
    <row r="114" customFormat="false" ht="15" hidden="false" customHeight="false" outlineLevel="0" collapsed="false">
      <c r="A114" s="50" t="n">
        <v>46195</v>
      </c>
      <c r="B114" s="51" t="n">
        <f aca="false">IF(A114="","",MONTH(A114))</f>
        <v>6</v>
      </c>
      <c r="C114" s="52" t="s">
        <v>59</v>
      </c>
      <c r="D114" s="52" t="s">
        <v>53</v>
      </c>
      <c r="E114" s="52" t="n">
        <v>3</v>
      </c>
      <c r="F114" s="53" t="n">
        <v>2712000</v>
      </c>
      <c r="G114" s="52" t="n">
        <v>1</v>
      </c>
      <c r="H114" s="54" t="n">
        <f aca="false">IF(E114="","",E114*N(F114)*IF(G114="",1,G114))</f>
        <v>8136000</v>
      </c>
      <c r="I114" s="55" t="str">
        <f aca="false">IF(C114="","",IFERROR(INDEX('DANH MỤC'!$B$5:$B$200,MATCH(C114,'DANH MỤC'!$A$5:$A$200,0)),"⚠ Mã chưa có trong DANH MỤC"))</f>
        <v>Sơn nội thất siêu trắng Imperia IEW</v>
      </c>
      <c r="J114" s="52" t="s">
        <v>263</v>
      </c>
      <c r="K114" s="52" t="s">
        <v>264</v>
      </c>
      <c r="L114" s="56" t="s">
        <v>265</v>
      </c>
    </row>
    <row r="115" customFormat="false" ht="15" hidden="false" customHeight="false" outlineLevel="0" collapsed="false">
      <c r="A115" s="50" t="n">
        <v>46195</v>
      </c>
      <c r="B115" s="51" t="n">
        <f aca="false">IF(A115="","",MONTH(A115))</f>
        <v>6</v>
      </c>
      <c r="C115" s="52" t="s">
        <v>69</v>
      </c>
      <c r="D115" s="52" t="s">
        <v>52</v>
      </c>
      <c r="E115" s="52" t="n">
        <v>1</v>
      </c>
      <c r="F115" s="53" t="n">
        <v>2089000</v>
      </c>
      <c r="G115" s="52" t="n">
        <v>1</v>
      </c>
      <c r="H115" s="54" t="n">
        <f aca="false">IF(E115="","",E115*N(F115)*IF(G115="",1,G115))</f>
        <v>2089000</v>
      </c>
      <c r="I115" s="55" t="str">
        <f aca="false">IF(C115="","",IFERROR(INDEX('DANH MỤC'!$B$5:$B$200,MATCH(C115,'DANH MỤC'!$A$5:$A$200,0)),"⚠ Mã chưa có trong DANH MỤC"))</f>
        <v>Sơn ngoại thất siêu bóng cao cấp Imperia EG09</v>
      </c>
      <c r="J115" s="52" t="s">
        <v>266</v>
      </c>
      <c r="K115" s="52" t="s">
        <v>267</v>
      </c>
      <c r="L115" s="52"/>
    </row>
    <row r="116" customFormat="false" ht="15" hidden="false" customHeight="false" outlineLevel="0" collapsed="false">
      <c r="A116" s="50" t="n">
        <v>46195</v>
      </c>
      <c r="B116" s="51" t="n">
        <f aca="false">IF(A116="","",MONTH(A116))</f>
        <v>6</v>
      </c>
      <c r="C116" s="52" t="s">
        <v>54</v>
      </c>
      <c r="D116" s="52" t="s">
        <v>53</v>
      </c>
      <c r="E116" s="52" t="n">
        <v>3</v>
      </c>
      <c r="F116" s="53" t="n">
        <v>4106000</v>
      </c>
      <c r="G116" s="52" t="n">
        <v>1</v>
      </c>
      <c r="H116" s="54" t="n">
        <f aca="false">IF(E116="","",E116*N(F116)*IF(G116="",1,G116))</f>
        <v>12318000</v>
      </c>
      <c r="I116" s="55" t="str">
        <f aca="false">IF(C116="","",IFERROR(INDEX('DANH MỤC'!$B$5:$B$200,MATCH(C116,'DANH MỤC'!$A$5:$A$200,0)),"⚠ Mã chưa có trong DANH MỤC"))</f>
        <v>Sơn lót ngoại thất kháng kiềm cao cấp Imperia PE02</v>
      </c>
      <c r="J116" s="52" t="s">
        <v>268</v>
      </c>
      <c r="K116" s="52" t="s">
        <v>269</v>
      </c>
      <c r="L116" s="52"/>
    </row>
    <row r="117" customFormat="false" ht="15" hidden="false" customHeight="false" outlineLevel="0" collapsed="false">
      <c r="A117" s="50" t="n">
        <v>46195</v>
      </c>
      <c r="B117" s="51" t="n">
        <f aca="false">IF(A117="","",MONTH(A117))</f>
        <v>6</v>
      </c>
      <c r="C117" s="52" t="s">
        <v>69</v>
      </c>
      <c r="D117" s="52" t="s">
        <v>53</v>
      </c>
      <c r="E117" s="52" t="n">
        <v>2</v>
      </c>
      <c r="F117" s="53" t="n">
        <v>6504000</v>
      </c>
      <c r="G117" s="52" t="n">
        <v>1</v>
      </c>
      <c r="H117" s="54" t="n">
        <f aca="false">IF(E117="","",E117*N(F117)*IF(G117="",1,G117))</f>
        <v>13008000</v>
      </c>
      <c r="I117" s="55" t="str">
        <f aca="false">IF(C117="","",IFERROR(INDEX('DANH MỤC'!$B$5:$B$200,MATCH(C117,'DANH MỤC'!$A$5:$A$200,0)),"⚠ Mã chưa có trong DANH MỤC"))</f>
        <v>Sơn ngoại thất siêu bóng cao cấp Imperia EG09</v>
      </c>
      <c r="J117" s="52" t="s">
        <v>270</v>
      </c>
      <c r="K117" s="52" t="s">
        <v>271</v>
      </c>
      <c r="L117" s="52"/>
    </row>
    <row r="118" customFormat="false" ht="15" hidden="false" customHeight="false" outlineLevel="0" collapsed="false">
      <c r="A118" s="50" t="n">
        <v>46195</v>
      </c>
      <c r="B118" s="51" t="n">
        <f aca="false">IF(A118="","",MONTH(A118))</f>
        <v>6</v>
      </c>
      <c r="C118" s="52" t="s">
        <v>65</v>
      </c>
      <c r="D118" s="52" t="s">
        <v>66</v>
      </c>
      <c r="E118" s="52" t="n">
        <v>1</v>
      </c>
      <c r="F118" s="53" t="n">
        <v>462000</v>
      </c>
      <c r="G118" s="52" t="n">
        <v>1</v>
      </c>
      <c r="H118" s="54" t="n">
        <f aca="false">IF(E118="","",E118*N(F118)*IF(G118="",1,G118))</f>
        <v>462000</v>
      </c>
      <c r="I118" s="55" t="str">
        <f aca="false">IF(C118="","",IFERROR(INDEX('DANH MỤC'!$B$5:$B$200,MATCH(C118,'DANH MỤC'!$A$5:$A$200,0)),"⚠ Mã chưa có trong DANH MỤC"))</f>
        <v>Sơn phủ nội thất bóng cao cấp ICL</v>
      </c>
      <c r="J118" s="52"/>
      <c r="K118" s="52" t="s">
        <v>272</v>
      </c>
      <c r="L118" s="52"/>
    </row>
    <row r="119" customFormat="false" ht="15" hidden="false" customHeight="false" outlineLevel="0" collapsed="false">
      <c r="A119" s="50" t="n">
        <v>46197</v>
      </c>
      <c r="B119" s="51" t="n">
        <f aca="false">IF(A119="","",MONTH(A119))</f>
        <v>6</v>
      </c>
      <c r="C119" s="52" t="s">
        <v>68</v>
      </c>
      <c r="D119" s="52" t="s">
        <v>52</v>
      </c>
      <c r="E119" s="52" t="n">
        <v>2</v>
      </c>
      <c r="F119" s="53" t="n">
        <v>1536000</v>
      </c>
      <c r="G119" s="52" t="n">
        <v>1</v>
      </c>
      <c r="H119" s="54" t="n">
        <f aca="false">IF(E119="","",E119*N(F119)*IF(G119="",1,G119))</f>
        <v>3072000</v>
      </c>
      <c r="I119" s="55" t="str">
        <f aca="false">IF(C119="","",IFERROR(INDEX('DANH MỤC'!$B$5:$B$200,MATCH(C119,'DANH MỤC'!$A$5:$A$200,0)),"⚠ Mã chưa có trong DANH MỤC"))</f>
        <v>Sơn ngoại thất cao cấp bóng mờ Imperia ESG10</v>
      </c>
      <c r="J119" s="52" t="s">
        <v>199</v>
      </c>
      <c r="K119" s="52" t="s">
        <v>273</v>
      </c>
      <c r="L119" s="52"/>
    </row>
    <row r="120" customFormat="false" ht="15" hidden="false" customHeight="false" outlineLevel="0" collapsed="false">
      <c r="A120" s="50" t="n">
        <v>46197</v>
      </c>
      <c r="B120" s="51" t="n">
        <f aca="false">IF(A120="","",MONTH(A120))</f>
        <v>6</v>
      </c>
      <c r="C120" s="52" t="s">
        <v>62</v>
      </c>
      <c r="D120" s="52" t="s">
        <v>52</v>
      </c>
      <c r="E120" s="52" t="n">
        <v>1</v>
      </c>
      <c r="F120" s="53" t="n">
        <v>1874000</v>
      </c>
      <c r="G120" s="52" t="n">
        <v>1</v>
      </c>
      <c r="H120" s="54" t="n">
        <f aca="false">IF(E120="","",E120*N(F120)*IF(G120="",1,G120))</f>
        <v>1874000</v>
      </c>
      <c r="I120" s="55" t="str">
        <f aca="false">IF(C120="","",IFERROR(INDEX('DANH MỤC'!$B$5:$B$200,MATCH(C120,'DANH MỤC'!$A$5:$A$200,0)),"⚠ Mã chưa có trong DANH MỤC"))</f>
        <v>Sơn nội thất siêu bóng cao cấp Imperia IG05</v>
      </c>
      <c r="J120" s="52" t="s">
        <v>135</v>
      </c>
      <c r="K120" s="52" t="s">
        <v>274</v>
      </c>
      <c r="L120" s="52"/>
    </row>
    <row r="121" customFormat="false" ht="15" hidden="false" customHeight="false" outlineLevel="0" collapsed="false">
      <c r="A121" s="50" t="n">
        <v>46198</v>
      </c>
      <c r="B121" s="51" t="n">
        <f aca="false">IF(A121="","",MONTH(A121))</f>
        <v>6</v>
      </c>
      <c r="C121" s="52" t="s">
        <v>51</v>
      </c>
      <c r="D121" s="52" t="s">
        <v>53</v>
      </c>
      <c r="E121" s="52" t="n">
        <v>1</v>
      </c>
      <c r="F121" s="53" t="n">
        <v>3012000</v>
      </c>
      <c r="G121" s="52" t="n">
        <v>1</v>
      </c>
      <c r="H121" s="54" t="n">
        <f aca="false">IF(E121="","",E121*N(F121)*IF(G121="",1,G121))</f>
        <v>3012000</v>
      </c>
      <c r="I121" s="55" t="str">
        <f aca="false">IF(C121="","",IFERROR(INDEX('DANH MỤC'!$B$5:$B$200,MATCH(C121,'DANH MỤC'!$A$5:$A$200,0)),"⚠ Mã chưa có trong DANH MỤC"))</f>
        <v>Sơn lót nội thất kháng kiềm cao cấp Imperia PI04</v>
      </c>
      <c r="J121" s="52"/>
      <c r="K121" s="52" t="s">
        <v>275</v>
      </c>
      <c r="L121" s="52"/>
    </row>
    <row r="122" customFormat="false" ht="15" hidden="false" customHeight="false" outlineLevel="0" collapsed="false">
      <c r="A122" s="50" t="n">
        <v>46199</v>
      </c>
      <c r="B122" s="51" t="n">
        <f aca="false">IF(A122="","",MONTH(A122))</f>
        <v>6</v>
      </c>
      <c r="C122" s="52" t="s">
        <v>61</v>
      </c>
      <c r="D122" s="52" t="s">
        <v>52</v>
      </c>
      <c r="E122" s="52" t="n">
        <v>1</v>
      </c>
      <c r="F122" s="53" t="n">
        <v>1302000</v>
      </c>
      <c r="G122" s="52" t="n">
        <v>1</v>
      </c>
      <c r="H122" s="54" t="n">
        <f aca="false">IF(E122="","",E122*N(F122)*IF(G122="",1,G122))</f>
        <v>1302000</v>
      </c>
      <c r="I122" s="55" t="str">
        <f aca="false">IF(C122="","",IFERROR(INDEX('DANH MỤC'!$B$5:$B$200,MATCH(C122,'DANH MỤC'!$A$5:$A$200,0)),"⚠ Mã chưa có trong DANH MỤC"))</f>
        <v>Sơn nội thất cao cấp bóng mờ Imperia ISG06</v>
      </c>
      <c r="J122" s="52"/>
      <c r="K122" s="52" t="s">
        <v>276</v>
      </c>
      <c r="L122" s="52"/>
    </row>
    <row r="123" customFormat="false" ht="15" hidden="false" customHeight="false" outlineLevel="0" collapsed="false">
      <c r="A123" s="50" t="n">
        <v>46199</v>
      </c>
      <c r="B123" s="51" t="n">
        <f aca="false">IF(A123="","",MONTH(A123))</f>
        <v>6</v>
      </c>
      <c r="C123" s="52" t="s">
        <v>51</v>
      </c>
      <c r="D123" s="52" t="s">
        <v>53</v>
      </c>
      <c r="E123" s="52" t="n">
        <v>2</v>
      </c>
      <c r="F123" s="53" t="n">
        <v>3012000</v>
      </c>
      <c r="G123" s="52" t="n">
        <v>1</v>
      </c>
      <c r="H123" s="54" t="n">
        <f aca="false">IF(E123="","",E123*N(F123)*IF(G123="",1,G123))</f>
        <v>6024000</v>
      </c>
      <c r="I123" s="55" t="str">
        <f aca="false">IF(C123="","",IFERROR(INDEX('DANH MỤC'!$B$5:$B$200,MATCH(C123,'DANH MỤC'!$A$5:$A$200,0)),"⚠ Mã chưa có trong DANH MỤC"))</f>
        <v>Sơn lót nội thất kháng kiềm cao cấp Imperia PI04</v>
      </c>
      <c r="J123" s="52"/>
      <c r="K123" s="52" t="s">
        <v>277</v>
      </c>
      <c r="L123" s="52"/>
    </row>
    <row r="124" customFormat="false" ht="15" hidden="false" customHeight="false" outlineLevel="0" collapsed="false">
      <c r="A124" s="50" t="n">
        <v>46199</v>
      </c>
      <c r="B124" s="51" t="n">
        <f aca="false">IF(A124="","",MONTH(A124))</f>
        <v>6</v>
      </c>
      <c r="C124" s="52" t="s">
        <v>61</v>
      </c>
      <c r="D124" s="52" t="s">
        <v>53</v>
      </c>
      <c r="E124" s="52" t="n">
        <v>2</v>
      </c>
      <c r="F124" s="53" t="n">
        <v>4597000</v>
      </c>
      <c r="G124" s="52" t="n">
        <v>1</v>
      </c>
      <c r="H124" s="54" t="n">
        <f aca="false">IF(E124="","",E124*N(F124)*IF(G124="",1,G124))</f>
        <v>9194000</v>
      </c>
      <c r="I124" s="55" t="str">
        <f aca="false">IF(C124="","",IFERROR(INDEX('DANH MỤC'!$B$5:$B$200,MATCH(C124,'DANH MỤC'!$A$5:$A$200,0)),"⚠ Mã chưa có trong DANH MỤC"))</f>
        <v>Sơn nội thất cao cấp bóng mờ Imperia ISG06</v>
      </c>
      <c r="J124" s="52" t="s">
        <v>179</v>
      </c>
      <c r="K124" s="52" t="s">
        <v>278</v>
      </c>
      <c r="L124" s="52"/>
    </row>
    <row r="125" customFormat="false" ht="15" hidden="false" customHeight="false" outlineLevel="0" collapsed="false">
      <c r="A125" s="50" t="n">
        <v>46199</v>
      </c>
      <c r="B125" s="51" t="n">
        <f aca="false">IF(A125="","",MONTH(A125))</f>
        <v>6</v>
      </c>
      <c r="C125" s="52" t="s">
        <v>72</v>
      </c>
      <c r="D125" s="52" t="s">
        <v>53</v>
      </c>
      <c r="E125" s="52" t="n">
        <v>1</v>
      </c>
      <c r="F125" s="53" t="n">
        <v>4821000</v>
      </c>
      <c r="G125" s="52" t="n">
        <v>1</v>
      </c>
      <c r="H125" s="54" t="n">
        <f aca="false">IF(E125="","",E125*N(F125)*IF(G125="",1,G125))</f>
        <v>4821000</v>
      </c>
      <c r="I125" s="55" t="str">
        <f aca="false">IF(C125="","",IFERROR(INDEX('DANH MỤC'!$B$5:$B$200,MATCH(C125,'DANH MỤC'!$A$5:$A$200,0)),"⚠ Mã chưa có trong DANH MỤC"))</f>
        <v>Sơn chống thấm màu ETM 309 (ghi đậm)</v>
      </c>
      <c r="J125" s="52"/>
      <c r="K125" s="52" t="s">
        <v>279</v>
      </c>
      <c r="L125" s="52"/>
    </row>
    <row r="126" customFormat="false" ht="15" hidden="false" customHeight="false" outlineLevel="0" collapsed="false">
      <c r="A126" s="50" t="n">
        <v>46199</v>
      </c>
      <c r="B126" s="51" t="n">
        <f aca="false">IF(A126="","",MONTH(A126))</f>
        <v>6</v>
      </c>
      <c r="C126" s="52" t="s">
        <v>69</v>
      </c>
      <c r="D126" s="52" t="s">
        <v>53</v>
      </c>
      <c r="E126" s="52" t="n">
        <v>1</v>
      </c>
      <c r="F126" s="53" t="n">
        <v>6504000</v>
      </c>
      <c r="G126" s="52" t="n">
        <v>1</v>
      </c>
      <c r="H126" s="54" t="n">
        <f aca="false">IF(E126="","",E126*N(F126)*IF(G126="",1,G126))</f>
        <v>6504000</v>
      </c>
      <c r="I126" s="55" t="str">
        <f aca="false">IF(C126="","",IFERROR(INDEX('DANH MỤC'!$B$5:$B$200,MATCH(C126,'DANH MỤC'!$A$5:$A$200,0)),"⚠ Mã chưa có trong DANH MỤC"))</f>
        <v>Sơn ngoại thất siêu bóng cao cấp Imperia EG09</v>
      </c>
      <c r="J126" s="52" t="s">
        <v>179</v>
      </c>
      <c r="K126" s="52" t="s">
        <v>280</v>
      </c>
      <c r="L126" s="52"/>
    </row>
    <row r="127" customFormat="false" ht="15" hidden="false" customHeight="false" outlineLevel="0" collapsed="false">
      <c r="A127" s="50" t="n">
        <v>46200</v>
      </c>
      <c r="B127" s="51" t="n">
        <f aca="false">IF(A127="","",MONTH(A127))</f>
        <v>6</v>
      </c>
      <c r="C127" s="52" t="s">
        <v>61</v>
      </c>
      <c r="D127" s="52" t="s">
        <v>52</v>
      </c>
      <c r="E127" s="52" t="n">
        <v>1</v>
      </c>
      <c r="F127" s="53" t="n">
        <v>1302000</v>
      </c>
      <c r="G127" s="52" t="n">
        <v>1</v>
      </c>
      <c r="H127" s="54" t="n">
        <f aca="false">IF(E127="","",E127*N(F127)*IF(G127="",1,G127))</f>
        <v>1302000</v>
      </c>
      <c r="I127" s="55" t="str">
        <f aca="false">IF(C127="","",IFERROR(INDEX('DANH MỤC'!$B$5:$B$200,MATCH(C127,'DANH MỤC'!$A$5:$A$200,0)),"⚠ Mã chưa có trong DANH MỤC"))</f>
        <v>Sơn nội thất cao cấp bóng mờ Imperia ISG06</v>
      </c>
      <c r="J127" s="52"/>
      <c r="K127" s="52" t="s">
        <v>281</v>
      </c>
      <c r="L127" s="52"/>
    </row>
    <row r="128" customFormat="false" ht="15" hidden="false" customHeight="false" outlineLevel="0" collapsed="false">
      <c r="A128" s="50" t="n">
        <v>46200</v>
      </c>
      <c r="B128" s="51" t="n">
        <f aca="false">IF(A128="","",MONTH(A128))</f>
        <v>6</v>
      </c>
      <c r="C128" s="52" t="s">
        <v>51</v>
      </c>
      <c r="D128" s="52" t="s">
        <v>53</v>
      </c>
      <c r="E128" s="52" t="n">
        <v>2</v>
      </c>
      <c r="F128" s="53" t="n">
        <v>3012000</v>
      </c>
      <c r="G128" s="52" t="n">
        <v>1</v>
      </c>
      <c r="H128" s="54" t="n">
        <f aca="false">IF(E128="","",E128*N(F128)*IF(G128="",1,G128))</f>
        <v>6024000</v>
      </c>
      <c r="I128" s="55" t="str">
        <f aca="false">IF(C128="","",IFERROR(INDEX('DANH MỤC'!$B$5:$B$200,MATCH(C128,'DANH MỤC'!$A$5:$A$200,0)),"⚠ Mã chưa có trong DANH MỤC"))</f>
        <v>Sơn lót nội thất kháng kiềm cao cấp Imperia PI04</v>
      </c>
      <c r="J128" s="52"/>
      <c r="K128" s="52" t="s">
        <v>282</v>
      </c>
      <c r="L128" s="52"/>
    </row>
    <row r="129" customFormat="false" ht="15" hidden="false" customHeight="false" outlineLevel="0" collapsed="false">
      <c r="A129" s="50" t="n">
        <v>46200</v>
      </c>
      <c r="B129" s="51" t="n">
        <f aca="false">IF(A129="","",MONTH(A129))</f>
        <v>6</v>
      </c>
      <c r="C129" s="52" t="s">
        <v>54</v>
      </c>
      <c r="D129" s="52" t="s">
        <v>53</v>
      </c>
      <c r="E129" s="52" t="n">
        <v>2</v>
      </c>
      <c r="F129" s="53" t="n">
        <v>4106000</v>
      </c>
      <c r="G129" s="52" t="n">
        <v>1</v>
      </c>
      <c r="H129" s="54" t="n">
        <f aca="false">IF(E129="","",E129*N(F129)*IF(G129="",1,G129))</f>
        <v>8212000</v>
      </c>
      <c r="I129" s="55" t="str">
        <f aca="false">IF(C129="","",IFERROR(INDEX('DANH MỤC'!$B$5:$B$200,MATCH(C129,'DANH MỤC'!$A$5:$A$200,0)),"⚠ Mã chưa có trong DANH MỤC"))</f>
        <v>Sơn lót ngoại thất kháng kiềm cao cấp Imperia PE02</v>
      </c>
      <c r="J129" s="52"/>
      <c r="K129" s="52" t="s">
        <v>283</v>
      </c>
      <c r="L129" s="52"/>
    </row>
    <row r="130" customFormat="false" ht="15" hidden="false" customHeight="false" outlineLevel="0" collapsed="false">
      <c r="A130" s="50" t="n">
        <v>46200</v>
      </c>
      <c r="B130" s="51" t="n">
        <f aca="false">IF(A130="","",MONTH(A130))</f>
        <v>6</v>
      </c>
      <c r="C130" s="52" t="s">
        <v>71</v>
      </c>
      <c r="D130" s="52" t="s">
        <v>53</v>
      </c>
      <c r="E130" s="52" t="n">
        <v>1</v>
      </c>
      <c r="F130" s="53" t="n">
        <v>4106000</v>
      </c>
      <c r="G130" s="52" t="n">
        <v>1</v>
      </c>
      <c r="H130" s="54" t="n">
        <f aca="false">IF(E130="","",E130*N(F130)*IF(G130="",1,G130))</f>
        <v>4106000</v>
      </c>
      <c r="I130" s="55" t="str">
        <f aca="false">IF(C130="","",IFERROR(INDEX('DANH MỤC'!$B$5:$B$200,MATCH(C130,'DANH MỤC'!$A$5:$A$200,0)),"⚠ Mã chưa có trong DANH MỤC"))</f>
        <v>Sơn chống thấm đa năng Imperia CT12</v>
      </c>
      <c r="J130" s="52"/>
      <c r="K130" s="52" t="s">
        <v>284</v>
      </c>
      <c r="L130" s="52"/>
    </row>
    <row r="131" customFormat="false" ht="15" hidden="false" customHeight="false" outlineLevel="0" collapsed="false">
      <c r="A131" s="50" t="n">
        <v>46200</v>
      </c>
      <c r="B131" s="51" t="n">
        <f aca="false">IF(A131="","",MONTH(A131))</f>
        <v>6</v>
      </c>
      <c r="C131" s="52" t="s">
        <v>59</v>
      </c>
      <c r="D131" s="52" t="s">
        <v>53</v>
      </c>
      <c r="E131" s="52" t="n">
        <v>1</v>
      </c>
      <c r="F131" s="53" t="n">
        <v>2712000</v>
      </c>
      <c r="G131" s="52" t="n">
        <v>1</v>
      </c>
      <c r="H131" s="54" t="n">
        <f aca="false">IF(E131="","",E131*N(F131)*IF(G131="",1,G131))</f>
        <v>2712000</v>
      </c>
      <c r="I131" s="55" t="str">
        <f aca="false">IF(C131="","",IFERROR(INDEX('DANH MỤC'!$B$5:$B$200,MATCH(C131,'DANH MỤC'!$A$5:$A$200,0)),"⚠ Mã chưa có trong DANH MỤC"))</f>
        <v>Sơn nội thất siêu trắng Imperia IEW</v>
      </c>
      <c r="J131" s="52"/>
      <c r="K131" s="52" t="s">
        <v>285</v>
      </c>
      <c r="L131" s="52"/>
    </row>
    <row r="132" customFormat="false" ht="15" hidden="false" customHeight="false" outlineLevel="0" collapsed="false">
      <c r="A132" s="50" t="n">
        <v>46200</v>
      </c>
      <c r="B132" s="51" t="n">
        <f aca="false">IF(A132="","",MONTH(A132))</f>
        <v>6</v>
      </c>
      <c r="C132" s="52" t="s">
        <v>58</v>
      </c>
      <c r="D132" s="52" t="s">
        <v>53</v>
      </c>
      <c r="E132" s="52" t="n">
        <v>1</v>
      </c>
      <c r="F132" s="53" t="n">
        <v>3097000</v>
      </c>
      <c r="G132" s="52" t="n">
        <v>1</v>
      </c>
      <c r="H132" s="54" t="n">
        <f aca="false">IF(E132="","",E132*N(F132)*IF(G132="",1,G132))</f>
        <v>3097000</v>
      </c>
      <c r="I132" s="55" t="str">
        <f aca="false">IF(C132="","",IFERROR(INDEX('DANH MỤC'!$B$5:$B$200,MATCH(C132,'DANH MỤC'!$A$5:$A$200,0)),"⚠ Mã chưa có trong DANH MỤC"))</f>
        <v>Sơn lót ngoại thất kháng kiềm Silver EL5</v>
      </c>
      <c r="J132" s="52"/>
      <c r="K132" s="52" t="s">
        <v>286</v>
      </c>
      <c r="L132" s="52"/>
    </row>
    <row r="133" customFormat="false" ht="15" hidden="false" customHeight="false" outlineLevel="0" collapsed="false">
      <c r="A133" s="50" t="n">
        <v>46200</v>
      </c>
      <c r="B133" s="51" t="n">
        <f aca="false">IF(A133="","",MONTH(A133))</f>
        <v>6</v>
      </c>
      <c r="C133" s="52" t="s">
        <v>72</v>
      </c>
      <c r="D133" s="52" t="s">
        <v>53</v>
      </c>
      <c r="E133" s="52" t="n">
        <v>1</v>
      </c>
      <c r="F133" s="53" t="n">
        <v>4821000</v>
      </c>
      <c r="G133" s="52" t="n">
        <v>1</v>
      </c>
      <c r="H133" s="54" t="n">
        <f aca="false">IF(E133="","",E133*N(F133)*IF(G133="",1,G133))</f>
        <v>4821000</v>
      </c>
      <c r="I133" s="55" t="str">
        <f aca="false">IF(C133="","",IFERROR(INDEX('DANH MỤC'!$B$5:$B$200,MATCH(C133,'DANH MỤC'!$A$5:$A$200,0)),"⚠ Mã chưa có trong DANH MỤC"))</f>
        <v>Sơn chống thấm màu ETM 309 (ghi đậm)</v>
      </c>
      <c r="J133" s="52" t="s">
        <v>149</v>
      </c>
      <c r="K133" s="52" t="s">
        <v>287</v>
      </c>
      <c r="L133" s="52"/>
    </row>
    <row r="134" customFormat="false" ht="15" hidden="false" customHeight="false" outlineLevel="0" collapsed="false">
      <c r="A134" s="50" t="n">
        <v>46200</v>
      </c>
      <c r="B134" s="51" t="n">
        <f aca="false">IF(A134="","",MONTH(A134))</f>
        <v>6</v>
      </c>
      <c r="C134" s="52" t="s">
        <v>58</v>
      </c>
      <c r="D134" s="52" t="s">
        <v>52</v>
      </c>
      <c r="E134" s="52" t="n">
        <v>2</v>
      </c>
      <c r="F134" s="53" t="n">
        <v>960000</v>
      </c>
      <c r="G134" s="52" t="n">
        <v>1</v>
      </c>
      <c r="H134" s="54" t="n">
        <f aca="false">IF(E134="","",E134*N(F134)*IF(G134="",1,G134))</f>
        <v>1920000</v>
      </c>
      <c r="I134" s="55" t="str">
        <f aca="false">IF(C134="","",IFERROR(INDEX('DANH MỤC'!$B$5:$B$200,MATCH(C134,'DANH MỤC'!$A$5:$A$200,0)),"⚠ Mã chưa có trong DANH MỤC"))</f>
        <v>Sơn lót ngoại thất kháng kiềm Silver EL5</v>
      </c>
      <c r="J134" s="52"/>
      <c r="K134" s="52" t="s">
        <v>288</v>
      </c>
      <c r="L134" s="52"/>
    </row>
    <row r="135" customFormat="false" ht="15" hidden="false" customHeight="false" outlineLevel="0" collapsed="false">
      <c r="A135" s="50" t="n">
        <v>46200</v>
      </c>
      <c r="B135" s="51" t="n">
        <f aca="false">IF(A135="","",MONTH(A135))</f>
        <v>6</v>
      </c>
      <c r="C135" s="52" t="s">
        <v>57</v>
      </c>
      <c r="D135" s="52" t="s">
        <v>52</v>
      </c>
      <c r="E135" s="52" t="n">
        <v>1</v>
      </c>
      <c r="F135" s="53" t="n">
        <v>767000</v>
      </c>
      <c r="G135" s="52" t="n">
        <v>1</v>
      </c>
      <c r="H135" s="54" t="n">
        <f aca="false">IF(E135="","",E135*N(F135)*IF(G135="",1,G135))</f>
        <v>767000</v>
      </c>
      <c r="I135" s="55" t="str">
        <f aca="false">IF(C135="","",IFERROR(INDEX('DANH MỤC'!$B$5:$B$200,MATCH(C135,'DANH MỤC'!$A$5:$A$200,0)),"⚠ Mã chưa có trong DANH MỤC"))</f>
        <v>Sơn lót nội thất kháng kiềm Silver IL5</v>
      </c>
      <c r="J135" s="52"/>
      <c r="K135" s="52" t="s">
        <v>289</v>
      </c>
      <c r="L135" s="52"/>
    </row>
    <row r="136" customFormat="false" ht="15" hidden="false" customHeight="false" outlineLevel="0" collapsed="false">
      <c r="A136" s="50" t="n">
        <v>46200</v>
      </c>
      <c r="B136" s="51" t="n">
        <f aca="false">IF(A136="","",MONTH(A136))</f>
        <v>6</v>
      </c>
      <c r="C136" s="52" t="s">
        <v>69</v>
      </c>
      <c r="D136" s="52" t="s">
        <v>66</v>
      </c>
      <c r="E136" s="52" t="n">
        <v>2</v>
      </c>
      <c r="F136" s="53" t="n">
        <v>479000</v>
      </c>
      <c r="G136" s="52" t="n">
        <v>1</v>
      </c>
      <c r="H136" s="54" t="n">
        <f aca="false">IF(E136="","",E136*N(F136)*IF(G136="",1,G136))</f>
        <v>958000</v>
      </c>
      <c r="I136" s="55" t="str">
        <f aca="false">IF(C136="","",IFERROR(INDEX('DANH MỤC'!$B$5:$B$200,MATCH(C136,'DANH MỤC'!$A$5:$A$200,0)),"⚠ Mã chưa có trong DANH MỤC"))</f>
        <v>Sơn ngoại thất siêu bóng cao cấp Imperia EG09</v>
      </c>
      <c r="J136" s="52" t="s">
        <v>290</v>
      </c>
      <c r="K136" s="52" t="s">
        <v>291</v>
      </c>
      <c r="L136" s="52"/>
    </row>
    <row r="137" customFormat="false" ht="15" hidden="false" customHeight="false" outlineLevel="0" collapsed="false">
      <c r="A137" s="50" t="n">
        <v>46200</v>
      </c>
      <c r="B137" s="51" t="n">
        <f aca="false">IF(A137="","",MONTH(A137))</f>
        <v>6</v>
      </c>
      <c r="C137" s="52" t="s">
        <v>51</v>
      </c>
      <c r="D137" s="52" t="s">
        <v>53</v>
      </c>
      <c r="E137" s="52" t="n">
        <v>3</v>
      </c>
      <c r="F137" s="53" t="n">
        <v>3012000</v>
      </c>
      <c r="G137" s="52" t="n">
        <v>1.1</v>
      </c>
      <c r="H137" s="54" t="n">
        <f aca="false">IF(E137="","",E137*N(F137)*IF(G137="",1,G137))</f>
        <v>9939600</v>
      </c>
      <c r="I137" s="55" t="str">
        <f aca="false">IF(C137="","",IFERROR(INDEX('DANH MỤC'!$B$5:$B$200,MATCH(C137,'DANH MỤC'!$A$5:$A$200,0)),"⚠ Mã chưa có trong DANH MỤC"))</f>
        <v>Sơn lót nội thất kháng kiềm cao cấp Imperia PI04</v>
      </c>
      <c r="J137" s="52" t="s">
        <v>292</v>
      </c>
      <c r="K137" s="52" t="s">
        <v>293</v>
      </c>
      <c r="L137" s="52"/>
    </row>
    <row r="138" customFormat="false" ht="15" hidden="false" customHeight="false" outlineLevel="0" collapsed="false">
      <c r="A138" s="50" t="n">
        <v>46200</v>
      </c>
      <c r="B138" s="51" t="n">
        <f aca="false">IF(A138="","",MONTH(A138))</f>
        <v>6</v>
      </c>
      <c r="C138" s="52" t="s">
        <v>62</v>
      </c>
      <c r="D138" s="52" t="s">
        <v>53</v>
      </c>
      <c r="E138" s="52" t="n">
        <v>2</v>
      </c>
      <c r="F138" s="53" t="n">
        <v>5530000</v>
      </c>
      <c r="G138" s="52" t="n">
        <v>1.1</v>
      </c>
      <c r="H138" s="54" t="n">
        <f aca="false">IF(E138="","",E138*N(F138)*IF(G138="",1,G138))</f>
        <v>12166000</v>
      </c>
      <c r="I138" s="55" t="str">
        <f aca="false">IF(C138="","",IFERROR(INDEX('DANH MỤC'!$B$5:$B$200,MATCH(C138,'DANH MỤC'!$A$5:$A$200,0)),"⚠ Mã chưa có trong DANH MỤC"))</f>
        <v>Sơn nội thất siêu bóng cao cấp Imperia IG05</v>
      </c>
      <c r="J138" s="52" t="s">
        <v>294</v>
      </c>
      <c r="K138" s="52" t="s">
        <v>295</v>
      </c>
      <c r="L138" s="52"/>
    </row>
    <row r="139" customFormat="false" ht="15" hidden="false" customHeight="false" outlineLevel="0" collapsed="false">
      <c r="A139" s="50" t="n">
        <v>46200</v>
      </c>
      <c r="B139" s="51" t="n">
        <f aca="false">IF(A139="","",MONTH(A139))</f>
        <v>6</v>
      </c>
      <c r="C139" s="52" t="s">
        <v>71</v>
      </c>
      <c r="D139" s="52" t="s">
        <v>53</v>
      </c>
      <c r="E139" s="52" t="n">
        <v>2</v>
      </c>
      <c r="F139" s="53" t="n">
        <v>4106000</v>
      </c>
      <c r="G139" s="52" t="n">
        <v>1.1</v>
      </c>
      <c r="H139" s="54" t="n">
        <f aca="false">IF(E139="","",E139*N(F139)*IF(G139="",1,G139))</f>
        <v>9033200</v>
      </c>
      <c r="I139" s="55" t="str">
        <f aca="false">IF(C139="","",IFERROR(INDEX('DANH MỤC'!$B$5:$B$200,MATCH(C139,'DANH MỤC'!$A$5:$A$200,0)),"⚠ Mã chưa có trong DANH MỤC"))</f>
        <v>Sơn chống thấm đa năng Imperia CT12</v>
      </c>
      <c r="J139" s="52" t="s">
        <v>296</v>
      </c>
      <c r="K139" s="52" t="s">
        <v>297</v>
      </c>
      <c r="L139" s="52"/>
    </row>
    <row r="140" customFormat="false" ht="15" hidden="false" customHeight="false" outlineLevel="0" collapsed="false">
      <c r="A140" s="50" t="n">
        <v>46203</v>
      </c>
      <c r="B140" s="51" t="n">
        <f aca="false">IF(A140="","",MONTH(A140))</f>
        <v>6</v>
      </c>
      <c r="C140" s="52" t="s">
        <v>72</v>
      </c>
      <c r="D140" s="52" t="s">
        <v>52</v>
      </c>
      <c r="E140" s="52" t="n">
        <v>1</v>
      </c>
      <c r="F140" s="53" t="n">
        <v>1447000</v>
      </c>
      <c r="G140" s="52" t="n">
        <v>1</v>
      </c>
      <c r="H140" s="54" t="n">
        <f aca="false">IF(E140="","",E140*N(F140)*IF(G140="",1,G140))</f>
        <v>1447000</v>
      </c>
      <c r="I140" s="55" t="str">
        <f aca="false">IF(C140="","",IFERROR(INDEX('DANH MỤC'!$B$5:$B$200,MATCH(C140,'DANH MỤC'!$A$5:$A$200,0)),"⚠ Mã chưa có trong DANH MỤC"))</f>
        <v>Sơn chống thấm màu ETM 309 (ghi đậm)</v>
      </c>
      <c r="J140" s="52" t="s">
        <v>149</v>
      </c>
      <c r="K140" s="52" t="s">
        <v>298</v>
      </c>
      <c r="L140" s="52"/>
    </row>
    <row r="141" customFormat="false" ht="15" hidden="false" customHeight="false" outlineLevel="0" collapsed="false">
      <c r="A141" s="50" t="n">
        <v>46203</v>
      </c>
      <c r="B141" s="51" t="n">
        <f aca="false">IF(A141="","",MONTH(A141))</f>
        <v>6</v>
      </c>
      <c r="C141" s="52" t="s">
        <v>51</v>
      </c>
      <c r="D141" s="52" t="s">
        <v>53</v>
      </c>
      <c r="E141" s="52" t="n">
        <v>4</v>
      </c>
      <c r="F141" s="53" t="n">
        <v>3012000</v>
      </c>
      <c r="G141" s="52" t="n">
        <v>1</v>
      </c>
      <c r="H141" s="54" t="n">
        <f aca="false">IF(E141="","",E141*N(F141)*IF(G141="",1,G141))</f>
        <v>12048000</v>
      </c>
      <c r="I141" s="55" t="str">
        <f aca="false">IF(C141="","",IFERROR(INDEX('DANH MỤC'!$B$5:$B$200,MATCH(C141,'DANH MỤC'!$A$5:$A$200,0)),"⚠ Mã chưa có trong DANH MỤC"))</f>
        <v>Sơn lót nội thất kháng kiềm cao cấp Imperia PI04</v>
      </c>
      <c r="J141" s="52"/>
      <c r="K141" s="52" t="s">
        <v>299</v>
      </c>
      <c r="L141" s="52"/>
    </row>
    <row r="142" customFormat="false" ht="15" hidden="false" customHeight="false" outlineLevel="0" collapsed="false">
      <c r="A142" s="50" t="n">
        <v>46203</v>
      </c>
      <c r="B142" s="51" t="n">
        <f aca="false">IF(A142="","",MONTH(A142))</f>
        <v>6</v>
      </c>
      <c r="C142" s="52" t="s">
        <v>62</v>
      </c>
      <c r="D142" s="52" t="s">
        <v>53</v>
      </c>
      <c r="E142" s="52" t="n">
        <v>3</v>
      </c>
      <c r="F142" s="53" t="n">
        <v>5530000</v>
      </c>
      <c r="G142" s="52" t="n">
        <v>1</v>
      </c>
      <c r="H142" s="54" t="n">
        <f aca="false">IF(E142="","",E142*N(F142)*IF(G142="",1,G142))</f>
        <v>16590000</v>
      </c>
      <c r="I142" s="55" t="str">
        <f aca="false">IF(C142="","",IFERROR(INDEX('DANH MỤC'!$B$5:$B$200,MATCH(C142,'DANH MỤC'!$A$5:$A$200,0)),"⚠ Mã chưa có trong DANH MỤC"))</f>
        <v>Sơn nội thất siêu bóng cao cấp Imperia IG05</v>
      </c>
      <c r="J142" s="52" t="s">
        <v>135</v>
      </c>
      <c r="K142" s="52" t="s">
        <v>300</v>
      </c>
      <c r="L142" s="52"/>
    </row>
    <row r="143" customFormat="false" ht="15" hidden="false" customHeight="false" outlineLevel="0" collapsed="false">
      <c r="A143" s="50" t="n">
        <v>46203</v>
      </c>
      <c r="B143" s="51" t="n">
        <f aca="false">IF(A143="","",MONTH(A143))</f>
        <v>6</v>
      </c>
      <c r="C143" s="52" t="s">
        <v>59</v>
      </c>
      <c r="D143" s="52" t="s">
        <v>53</v>
      </c>
      <c r="E143" s="52" t="n">
        <v>2</v>
      </c>
      <c r="F143" s="53" t="n">
        <v>2712000</v>
      </c>
      <c r="G143" s="52" t="n">
        <v>1</v>
      </c>
      <c r="H143" s="54" t="n">
        <f aca="false">IF(E143="","",E143*N(F143)*IF(G143="",1,G143))</f>
        <v>5424000</v>
      </c>
      <c r="I143" s="55" t="str">
        <f aca="false">IF(C143="","",IFERROR(INDEX('DANH MỤC'!$B$5:$B$200,MATCH(C143,'DANH MỤC'!$A$5:$A$200,0)),"⚠ Mã chưa có trong DANH MỤC"))</f>
        <v>Sơn nội thất siêu trắng Imperia IEW</v>
      </c>
      <c r="J143" s="52"/>
      <c r="K143" s="52" t="s">
        <v>301</v>
      </c>
      <c r="L143" s="52"/>
    </row>
    <row r="144" customFormat="false" ht="15" hidden="false" customHeight="false" outlineLevel="0" collapsed="false">
      <c r="A144" s="50" t="n">
        <v>46203</v>
      </c>
      <c r="B144" s="51" t="n">
        <f aca="false">IF(A144="","",MONTH(A144))</f>
        <v>6</v>
      </c>
      <c r="C144" s="52" t="s">
        <v>69</v>
      </c>
      <c r="D144" s="52" t="s">
        <v>52</v>
      </c>
      <c r="E144" s="52" t="n">
        <v>2</v>
      </c>
      <c r="F144" s="53" t="n">
        <v>2089000</v>
      </c>
      <c r="G144" s="52" t="n">
        <v>1</v>
      </c>
      <c r="H144" s="54" t="n">
        <f aca="false">IF(E144="","",E144*N(F144)*IF(G144="",1,G144))</f>
        <v>4178000</v>
      </c>
      <c r="I144" s="55" t="str">
        <f aca="false">IF(C144="","",IFERROR(INDEX('DANH MỤC'!$B$5:$B$200,MATCH(C144,'DANH MỤC'!$A$5:$A$200,0)),"⚠ Mã chưa có trong DANH MỤC"))</f>
        <v>Sơn ngoại thất siêu bóng cao cấp Imperia EG09</v>
      </c>
      <c r="J144" s="52" t="s">
        <v>179</v>
      </c>
      <c r="K144" s="52" t="s">
        <v>302</v>
      </c>
      <c r="L144" s="52"/>
    </row>
    <row r="145" customFormat="false" ht="15" hidden="false" customHeight="false" outlineLevel="0" collapsed="false">
      <c r="A145" s="50" t="n">
        <v>46203</v>
      </c>
      <c r="B145" s="51" t="n">
        <f aca="false">IF(A145="","",MONTH(A145))</f>
        <v>6</v>
      </c>
      <c r="C145" s="52" t="s">
        <v>69</v>
      </c>
      <c r="D145" s="52" t="s">
        <v>52</v>
      </c>
      <c r="E145" s="52" t="n">
        <v>1</v>
      </c>
      <c r="F145" s="53" t="n">
        <v>2089000</v>
      </c>
      <c r="G145" s="52" t="n">
        <v>1</v>
      </c>
      <c r="H145" s="54" t="n">
        <f aca="false">IF(E145="","",E145*N(F145)*IF(G145="",1,G145))</f>
        <v>2089000</v>
      </c>
      <c r="I145" s="55" t="str">
        <f aca="false">IF(C145="","",IFERROR(INDEX('DANH MỤC'!$B$5:$B$200,MATCH(C145,'DANH MỤC'!$A$5:$A$200,0)),"⚠ Mã chưa có trong DANH MỤC"))</f>
        <v>Sơn ngoại thất siêu bóng cao cấp Imperia EG09</v>
      </c>
      <c r="J145" s="52" t="s">
        <v>303</v>
      </c>
      <c r="K145" s="52" t="s">
        <v>304</v>
      </c>
      <c r="L145" s="52"/>
    </row>
    <row r="146" customFormat="false" ht="15" hidden="false" customHeight="false" outlineLevel="0" collapsed="false">
      <c r="A146" s="50" t="n">
        <v>46203</v>
      </c>
      <c r="B146" s="51" t="n">
        <f aca="false">IF(A146="","",MONTH(A146))</f>
        <v>6</v>
      </c>
      <c r="C146" s="52" t="s">
        <v>69</v>
      </c>
      <c r="D146" s="52" t="s">
        <v>66</v>
      </c>
      <c r="E146" s="52" t="n">
        <v>2</v>
      </c>
      <c r="F146" s="53" t="n">
        <v>479000</v>
      </c>
      <c r="G146" s="52" t="n">
        <v>1</v>
      </c>
      <c r="H146" s="54" t="n">
        <f aca="false">IF(E146="","",E146*N(F146)*IF(G146="",1,G146))</f>
        <v>958000</v>
      </c>
      <c r="I146" s="55" t="str">
        <f aca="false">IF(C146="","",IFERROR(INDEX('DANH MỤC'!$B$5:$B$200,MATCH(C146,'DANH MỤC'!$A$5:$A$200,0)),"⚠ Mã chưa có trong DANH MỤC"))</f>
        <v>Sơn ngoại thất siêu bóng cao cấp Imperia EG09</v>
      </c>
      <c r="J146" s="52" t="s">
        <v>305</v>
      </c>
      <c r="K146" s="52" t="s">
        <v>306</v>
      </c>
      <c r="L146" s="52"/>
    </row>
    <row r="147" customFormat="false" ht="15" hidden="false" customHeight="false" outlineLevel="0" collapsed="false">
      <c r="A147" s="50" t="n">
        <v>46203</v>
      </c>
      <c r="B147" s="51" t="n">
        <f aca="false">IF(A147="","",MONTH(A147))</f>
        <v>6</v>
      </c>
      <c r="C147" s="52" t="s">
        <v>64</v>
      </c>
      <c r="D147" s="52" t="s">
        <v>53</v>
      </c>
      <c r="E147" s="52" t="n">
        <v>2</v>
      </c>
      <c r="F147" s="53" t="n">
        <v>1113000</v>
      </c>
      <c r="G147" s="52" t="n">
        <v>1</v>
      </c>
      <c r="H147" s="54" t="n">
        <f aca="false">IF(E147="","",E147*N(F147)*IF(G147="",1,G147))</f>
        <v>2226000</v>
      </c>
      <c r="I147" s="55" t="str">
        <f aca="false">IF(C147="","",IFERROR(INDEX('DANH MỤC'!$B$5:$B$200,MATCH(C147,'DANH MỤC'!$A$5:$A$200,0)),"⚠ Mã chưa có trong DANH MỤC"))</f>
        <v>Sơn nội thất kinh tế Deco IDC</v>
      </c>
      <c r="J147" s="52" t="s">
        <v>106</v>
      </c>
      <c r="K147" s="52" t="s">
        <v>307</v>
      </c>
      <c r="L147" s="52"/>
    </row>
    <row r="148" customFormat="false" ht="15" hidden="false" customHeight="false" outlineLevel="0" collapsed="false">
      <c r="A148" s="50" t="n">
        <v>46204</v>
      </c>
      <c r="B148" s="51" t="n">
        <f aca="false">IF(A148="","",MONTH(A148))</f>
        <v>7</v>
      </c>
      <c r="C148" s="52" t="s">
        <v>68</v>
      </c>
      <c r="D148" s="52" t="s">
        <v>66</v>
      </c>
      <c r="E148" s="52" t="n">
        <v>1</v>
      </c>
      <c r="F148" s="53" t="n">
        <v>409000</v>
      </c>
      <c r="G148" s="52" t="n">
        <v>1</v>
      </c>
      <c r="H148" s="54" t="n">
        <f aca="false">IF(E148="","",E148*N(F148)*IF(G148="",1,G148))</f>
        <v>409000</v>
      </c>
      <c r="I148" s="55" t="str">
        <f aca="false">IF(C148="","",IFERROR(INDEX('DANH MỤC'!$B$5:$B$200,MATCH(C148,'DANH MỤC'!$A$5:$A$200,0)),"⚠ Mã chưa có trong DANH MỤC"))</f>
        <v>Sơn ngoại thất cao cấp bóng mờ Imperia ESG10</v>
      </c>
      <c r="J148" s="52" t="s">
        <v>308</v>
      </c>
      <c r="K148" s="52" t="s">
        <v>309</v>
      </c>
      <c r="L148" s="52"/>
    </row>
    <row r="149" customFormat="false" ht="15" hidden="false" customHeight="false" outlineLevel="0" collapsed="false">
      <c r="A149" s="50" t="n">
        <v>46204</v>
      </c>
      <c r="B149" s="51" t="n">
        <f aca="false">IF(A149="","",MONTH(A149))</f>
        <v>7</v>
      </c>
      <c r="C149" s="52" t="s">
        <v>61</v>
      </c>
      <c r="D149" s="52" t="s">
        <v>52</v>
      </c>
      <c r="E149" s="52" t="n">
        <v>1</v>
      </c>
      <c r="F149" s="53" t="n">
        <v>1302000</v>
      </c>
      <c r="G149" s="52" t="n">
        <v>1</v>
      </c>
      <c r="H149" s="54" t="n">
        <f aca="false">IF(E149="","",E149*N(F149)*IF(G149="",1,G149))</f>
        <v>1302000</v>
      </c>
      <c r="I149" s="55" t="str">
        <f aca="false">IF(C149="","",IFERROR(INDEX('DANH MỤC'!$B$5:$B$200,MATCH(C149,'DANH MỤC'!$A$5:$A$200,0)),"⚠ Mã chưa có trong DANH MỤC"))</f>
        <v>Sơn nội thất cao cấp bóng mờ Imperia ISG06</v>
      </c>
      <c r="J149" s="52" t="s">
        <v>131</v>
      </c>
      <c r="K149" s="52" t="s">
        <v>310</v>
      </c>
      <c r="L149" s="52"/>
    </row>
    <row r="150" customFormat="false" ht="15" hidden="false" customHeight="false" outlineLevel="0" collapsed="false">
      <c r="A150" s="50" t="n">
        <v>46207</v>
      </c>
      <c r="B150" s="51" t="n">
        <f aca="false">IF(A150="","",MONTH(A150))</f>
        <v>7</v>
      </c>
      <c r="C150" s="52" t="s">
        <v>62</v>
      </c>
      <c r="D150" s="52" t="s">
        <v>52</v>
      </c>
      <c r="E150" s="52" t="n">
        <v>1</v>
      </c>
      <c r="F150" s="53" t="n">
        <v>1703000</v>
      </c>
      <c r="G150" s="52" t="n">
        <v>1</v>
      </c>
      <c r="H150" s="54" t="n">
        <f aca="false">IF(E150="","",E150*N(F150)*IF(G150="",1,G150))</f>
        <v>1703000</v>
      </c>
      <c r="I150" s="55" t="str">
        <f aca="false">IF(C150="","",IFERROR(INDEX('DANH MỤC'!$B$5:$B$200,MATCH(C150,'DANH MỤC'!$A$5:$A$200,0)),"⚠ Mã chưa có trong DANH MỤC"))</f>
        <v>Sơn nội thất siêu bóng cao cấp Imperia IG05</v>
      </c>
      <c r="J150" s="52" t="s">
        <v>131</v>
      </c>
      <c r="K150" s="52" t="s">
        <v>311</v>
      </c>
      <c r="L150" s="52"/>
    </row>
    <row r="151" customFormat="false" ht="15" hidden="false" customHeight="false" outlineLevel="0" collapsed="false">
      <c r="A151" s="50" t="n">
        <v>46210</v>
      </c>
      <c r="B151" s="51" t="n">
        <f aca="false">IF(A151="","",MONTH(A151))</f>
        <v>7</v>
      </c>
      <c r="C151" s="52" t="s">
        <v>76</v>
      </c>
      <c r="D151" s="52" t="s">
        <v>77</v>
      </c>
      <c r="E151" s="52" t="n">
        <v>2</v>
      </c>
      <c r="F151" s="53" t="n">
        <v>481000</v>
      </c>
      <c r="G151" s="52" t="n">
        <v>1</v>
      </c>
      <c r="H151" s="54" t="n">
        <f aca="false">IF(E151="","",E151*N(F151)*IF(G151="",1,G151))</f>
        <v>962000</v>
      </c>
      <c r="I151" s="55" t="str">
        <f aca="false">IF(C151="","",IFERROR(INDEX('DANH MỤC'!$B$5:$B$200,MATCH(C151,'DANH MỤC'!$A$5:$A$200,0)),"⚠ Mã chưa có trong DANH MỤC"))</f>
        <v>Bột bả nội thất Imperia IP15 (40kg)</v>
      </c>
      <c r="J151" s="52"/>
      <c r="K151" s="52" t="s">
        <v>312</v>
      </c>
      <c r="L151" s="52"/>
    </row>
    <row r="152" customFormat="false" ht="15" hidden="false" customHeight="false" outlineLevel="0" collapsed="false">
      <c r="A152" s="50" t="n">
        <v>46210</v>
      </c>
      <c r="B152" s="51" t="n">
        <f aca="false">IF(A152="","",MONTH(A152))</f>
        <v>7</v>
      </c>
      <c r="C152" s="52" t="s">
        <v>78</v>
      </c>
      <c r="D152" s="52" t="s">
        <v>77</v>
      </c>
      <c r="E152" s="52" t="n">
        <v>2</v>
      </c>
      <c r="F152" s="53" t="n">
        <v>594000</v>
      </c>
      <c r="G152" s="52" t="n">
        <v>1</v>
      </c>
      <c r="H152" s="54" t="n">
        <f aca="false">IF(E152="","",E152*N(F152)*IF(G152="",1,G152))</f>
        <v>1188000</v>
      </c>
      <c r="I152" s="55" t="str">
        <f aca="false">IF(C152="","",IFERROR(INDEX('DANH MỤC'!$B$5:$B$200,MATCH(C152,'DANH MỤC'!$A$5:$A$200,0)),"⚠ Mã chưa có trong DANH MỤC"))</f>
        <v>Bột bả ngoại thất Imperia EP14 (40kg)</v>
      </c>
      <c r="J152" s="52"/>
      <c r="K152" s="52" t="s">
        <v>313</v>
      </c>
      <c r="L152" s="52"/>
    </row>
    <row r="153" customFormat="false" ht="15" hidden="false" customHeight="false" outlineLevel="0" collapsed="false">
      <c r="A153" s="50" t="n">
        <v>46211</v>
      </c>
      <c r="B153" s="51" t="n">
        <f aca="false">IF(A153="","",MONTH(A153))</f>
        <v>7</v>
      </c>
      <c r="C153" s="52" t="s">
        <v>67</v>
      </c>
      <c r="D153" s="52" t="s">
        <v>53</v>
      </c>
      <c r="E153" s="52" t="n">
        <v>1</v>
      </c>
      <c r="F153" s="53" t="n">
        <v>3131000</v>
      </c>
      <c r="G153" s="52" t="n">
        <v>1</v>
      </c>
      <c r="H153" s="54" t="n">
        <f aca="false">IF(E153="","",E153*N(F153)*IF(G153="",1,G153))</f>
        <v>3131000</v>
      </c>
      <c r="I153" s="55" t="str">
        <f aca="false">IF(C153="","",IFERROR(INDEX('DANH MỤC'!$B$5:$B$200,MATCH(C153,'DANH MỤC'!$A$5:$A$200,0)),"⚠ Mã chưa có trong DANH MỤC"))</f>
        <v>Sơn ngoại thất bền màu Silver ESI</v>
      </c>
      <c r="J153" s="52" t="s">
        <v>314</v>
      </c>
      <c r="K153" s="52" t="s">
        <v>315</v>
      </c>
      <c r="L153" s="52"/>
    </row>
    <row r="154" customFormat="false" ht="15" hidden="false" customHeight="false" outlineLevel="0" collapsed="false">
      <c r="A154" s="50" t="n">
        <v>46211</v>
      </c>
      <c r="B154" s="51" t="n">
        <f aca="false">IF(A154="","",MONTH(A154))</f>
        <v>7</v>
      </c>
      <c r="C154" s="52" t="s">
        <v>59</v>
      </c>
      <c r="D154" s="52" t="s">
        <v>52</v>
      </c>
      <c r="E154" s="52" t="n">
        <v>1</v>
      </c>
      <c r="F154" s="53" t="n">
        <v>954000</v>
      </c>
      <c r="G154" s="52" t="n">
        <v>1</v>
      </c>
      <c r="H154" s="54" t="n">
        <f aca="false">IF(E154="","",E154*N(F154)*IF(G154="",1,G154))</f>
        <v>954000</v>
      </c>
      <c r="I154" s="55" t="str">
        <f aca="false">IF(C154="","",IFERROR(INDEX('DANH MỤC'!$B$5:$B$200,MATCH(C154,'DANH MỤC'!$A$5:$A$200,0)),"⚠ Mã chưa có trong DANH MỤC"))</f>
        <v>Sơn nội thất siêu trắng Imperia IEW</v>
      </c>
      <c r="J154" s="52"/>
      <c r="K154" s="52" t="s">
        <v>316</v>
      </c>
      <c r="L154" s="52"/>
    </row>
    <row r="155" customFormat="false" ht="15" hidden="false" customHeight="false" outlineLevel="0" collapsed="false">
      <c r="A155" s="50" t="n">
        <v>46211</v>
      </c>
      <c r="B155" s="51" t="n">
        <f aca="false">IF(A155="","",MONTH(A155))</f>
        <v>7</v>
      </c>
      <c r="C155" s="52" t="s">
        <v>63</v>
      </c>
      <c r="D155" s="52" t="s">
        <v>52</v>
      </c>
      <c r="E155" s="52" t="n">
        <v>1</v>
      </c>
      <c r="F155" s="53" t="n">
        <v>2078000</v>
      </c>
      <c r="G155" s="52" t="n">
        <v>1</v>
      </c>
      <c r="H155" s="54" t="n">
        <f aca="false">IF(E155="","",E155*N(F155)*IF(G155="",1,G155))</f>
        <v>2078000</v>
      </c>
      <c r="I155" s="55" t="str">
        <f aca="false">IF(C155="","",IFERROR(INDEX('DANH MỤC'!$B$5:$B$200,MATCH(C155,'DANH MỤC'!$A$5:$A$200,0)),"⚠ Mã chưa có trong DANH MỤC"))</f>
        <v>Sơn nội thất siêu bóng cao cấp Saphir I9</v>
      </c>
      <c r="J155" s="52"/>
      <c r="K155" s="52" t="s">
        <v>317</v>
      </c>
      <c r="L155" s="52"/>
    </row>
    <row r="156" customFormat="false" ht="15" hidden="false" customHeight="false" outlineLevel="0" collapsed="false">
      <c r="A156" s="50" t="n">
        <v>46211</v>
      </c>
      <c r="B156" s="51" t="n">
        <f aca="false">IF(A156="","",MONTH(A156))</f>
        <v>7</v>
      </c>
      <c r="C156" s="52" t="s">
        <v>57</v>
      </c>
      <c r="D156" s="52" t="s">
        <v>53</v>
      </c>
      <c r="E156" s="52" t="n">
        <v>2</v>
      </c>
      <c r="F156" s="53" t="n">
        <v>2185000</v>
      </c>
      <c r="G156" s="52" t="n">
        <v>1</v>
      </c>
      <c r="H156" s="54" t="n">
        <f aca="false">IF(E156="","",E156*N(F156)*IF(G156="",1,G156))</f>
        <v>4370000</v>
      </c>
      <c r="I156" s="55" t="str">
        <f aca="false">IF(C156="","",IFERROR(INDEX('DANH MỤC'!$B$5:$B$200,MATCH(C156,'DANH MỤC'!$A$5:$A$200,0)),"⚠ Mã chưa có trong DANH MỤC"))</f>
        <v>Sơn lót nội thất kháng kiềm Silver IL5</v>
      </c>
      <c r="J156" s="52" t="s">
        <v>318</v>
      </c>
      <c r="K156" s="52" t="s">
        <v>319</v>
      </c>
      <c r="L156" s="52"/>
    </row>
    <row r="157" customFormat="false" ht="15" hidden="false" customHeight="false" outlineLevel="0" collapsed="false">
      <c r="A157" s="50" t="n">
        <v>46211</v>
      </c>
      <c r="B157" s="51" t="n">
        <f aca="false">IF(A157="","",MONTH(A157))</f>
        <v>7</v>
      </c>
      <c r="C157" s="52" t="s">
        <v>60</v>
      </c>
      <c r="D157" s="52" t="s">
        <v>53</v>
      </c>
      <c r="E157" s="52" t="n">
        <v>2</v>
      </c>
      <c r="F157" s="53" t="n">
        <v>2128000</v>
      </c>
      <c r="G157" s="52" t="n">
        <v>1</v>
      </c>
      <c r="H157" s="54" t="n">
        <f aca="false">IF(E157="","",E157*N(F157)*IF(G157="",1,G157))</f>
        <v>4256000</v>
      </c>
      <c r="I157" s="55" t="str">
        <f aca="false">IF(C157="","",IFERROR(INDEX('DANH MỤC'!$B$5:$B$200,MATCH(C157,'DANH MỤC'!$A$5:$A$200,0)),"⚠ Mã chưa có trong DANH MỤC"))</f>
        <v>Sơn nội thất bền màu Silver ISI</v>
      </c>
      <c r="J157" s="52" t="s">
        <v>320</v>
      </c>
      <c r="K157" s="52" t="s">
        <v>321</v>
      </c>
      <c r="L157" s="52"/>
    </row>
    <row r="158" customFormat="false" ht="15" hidden="false" customHeight="false" outlineLevel="0" collapsed="false">
      <c r="A158" s="50" t="n">
        <v>46211</v>
      </c>
      <c r="B158" s="51" t="n">
        <f aca="false">IF(A158="","",MONTH(A158))</f>
        <v>7</v>
      </c>
      <c r="C158" s="52" t="s">
        <v>58</v>
      </c>
      <c r="D158" s="52" t="s">
        <v>53</v>
      </c>
      <c r="E158" s="52" t="n">
        <v>1</v>
      </c>
      <c r="F158" s="53" t="n">
        <v>3097000</v>
      </c>
      <c r="G158" s="52" t="n">
        <v>1</v>
      </c>
      <c r="H158" s="54" t="n">
        <f aca="false">IF(E158="","",E158*N(F158)*IF(G158="",1,G158))</f>
        <v>3097000</v>
      </c>
      <c r="I158" s="55" t="str">
        <f aca="false">IF(C158="","",IFERROR(INDEX('DANH MỤC'!$B$5:$B$200,MATCH(C158,'DANH MỤC'!$A$5:$A$200,0)),"⚠ Mã chưa có trong DANH MỤC"))</f>
        <v>Sơn lót ngoại thất kháng kiềm Silver EL5</v>
      </c>
      <c r="J158" s="52" t="s">
        <v>223</v>
      </c>
      <c r="K158" s="52" t="s">
        <v>322</v>
      </c>
      <c r="L158" s="52"/>
    </row>
    <row r="159" customFormat="false" ht="15" hidden="false" customHeight="false" outlineLevel="0" collapsed="false">
      <c r="A159" s="50" t="n">
        <v>46211</v>
      </c>
      <c r="B159" s="51" t="n">
        <f aca="false">IF(A159="","",MONTH(A159))</f>
        <v>7</v>
      </c>
      <c r="C159" s="52" t="s">
        <v>67</v>
      </c>
      <c r="D159" s="52" t="s">
        <v>53</v>
      </c>
      <c r="E159" s="52" t="n">
        <v>1</v>
      </c>
      <c r="F159" s="53" t="n">
        <v>3131000</v>
      </c>
      <c r="G159" s="52" t="n">
        <v>1</v>
      </c>
      <c r="H159" s="54" t="n">
        <f aca="false">IF(E159="","",E159*N(F159)*IF(G159="",1,G159))</f>
        <v>3131000</v>
      </c>
      <c r="I159" s="55" t="str">
        <f aca="false">IF(C159="","",IFERROR(INDEX('DANH MỤC'!$B$5:$B$200,MATCH(C159,'DANH MỤC'!$A$5:$A$200,0)),"⚠ Mã chưa có trong DANH MỤC"))</f>
        <v>Sơn ngoại thất bền màu Silver ESI</v>
      </c>
      <c r="J159" s="52" t="s">
        <v>323</v>
      </c>
      <c r="K159" s="52" t="s">
        <v>324</v>
      </c>
      <c r="L159" s="52"/>
    </row>
    <row r="160" customFormat="false" ht="15" hidden="false" customHeight="false" outlineLevel="0" collapsed="false">
      <c r="A160" s="50" t="n">
        <v>46211</v>
      </c>
      <c r="B160" s="51" t="n">
        <f aca="false">IF(A160="","",MONTH(A160))</f>
        <v>7</v>
      </c>
      <c r="C160" s="52" t="s">
        <v>51</v>
      </c>
      <c r="D160" s="52" t="s">
        <v>53</v>
      </c>
      <c r="E160" s="52" t="n">
        <v>4</v>
      </c>
      <c r="F160" s="53" t="n">
        <v>3012000</v>
      </c>
      <c r="G160" s="52" t="n">
        <v>1</v>
      </c>
      <c r="H160" s="54" t="n">
        <f aca="false">IF(E160="","",E160*N(F160)*IF(G160="",1,G160))</f>
        <v>12048000</v>
      </c>
      <c r="I160" s="55" t="str">
        <f aca="false">IF(C160="","",IFERROR(INDEX('DANH MỤC'!$B$5:$B$200,MATCH(C160,'DANH MỤC'!$A$5:$A$200,0)),"⚠ Mã chưa có trong DANH MỤC"))</f>
        <v>Sơn lót nội thất kháng kiềm cao cấp Imperia PI04</v>
      </c>
      <c r="J160" s="52"/>
      <c r="K160" s="52" t="s">
        <v>325</v>
      </c>
      <c r="L160" s="52"/>
    </row>
    <row r="161" customFormat="false" ht="15" hidden="false" customHeight="false" outlineLevel="0" collapsed="false">
      <c r="A161" s="50" t="n">
        <v>46211</v>
      </c>
      <c r="B161" s="51" t="n">
        <f aca="false">IF(A161="","",MONTH(A161))</f>
        <v>7</v>
      </c>
      <c r="C161" s="52" t="s">
        <v>62</v>
      </c>
      <c r="D161" s="52" t="s">
        <v>53</v>
      </c>
      <c r="E161" s="52" t="n">
        <v>4</v>
      </c>
      <c r="F161" s="53" t="n">
        <v>5530000</v>
      </c>
      <c r="G161" s="52" t="n">
        <v>1</v>
      </c>
      <c r="H161" s="54" t="n">
        <f aca="false">IF(E161="","",E161*N(F161)*IF(G161="",1,G161))</f>
        <v>22120000</v>
      </c>
      <c r="I161" s="55" t="str">
        <f aca="false">IF(C161="","",IFERROR(INDEX('DANH MỤC'!$B$5:$B$200,MATCH(C161,'DANH MỤC'!$A$5:$A$200,0)),"⚠ Mã chưa có trong DANH MỤC"))</f>
        <v>Sơn nội thất siêu bóng cao cấp Imperia IG05</v>
      </c>
      <c r="J161" s="52" t="s">
        <v>216</v>
      </c>
      <c r="K161" s="52" t="s">
        <v>326</v>
      </c>
      <c r="L161" s="52"/>
    </row>
    <row r="162" customFormat="false" ht="15" hidden="false" customHeight="false" outlineLevel="0" collapsed="false">
      <c r="A162" s="50" t="n">
        <v>46211</v>
      </c>
      <c r="B162" s="51" t="n">
        <f aca="false">IF(A162="","",MONTH(A162))</f>
        <v>7</v>
      </c>
      <c r="C162" s="52" t="s">
        <v>62</v>
      </c>
      <c r="D162" s="52" t="s">
        <v>53</v>
      </c>
      <c r="E162" s="52" t="n">
        <v>2</v>
      </c>
      <c r="F162" s="53" t="n">
        <v>5530000</v>
      </c>
      <c r="G162" s="52" t="n">
        <v>1</v>
      </c>
      <c r="H162" s="54" t="n">
        <f aca="false">IF(E162="","",E162*N(F162)*IF(G162="",1,G162))</f>
        <v>11060000</v>
      </c>
      <c r="I162" s="55" t="str">
        <f aca="false">IF(C162="","",IFERROR(INDEX('DANH MỤC'!$B$5:$B$200,MATCH(C162,'DANH MỤC'!$A$5:$A$200,0)),"⚠ Mã chưa có trong DANH MỤC"))</f>
        <v>Sơn nội thất siêu bóng cao cấp Imperia IG05</v>
      </c>
      <c r="J162" s="52" t="s">
        <v>327</v>
      </c>
      <c r="K162" s="52" t="s">
        <v>328</v>
      </c>
      <c r="L162" s="52"/>
    </row>
    <row r="163" customFormat="false" ht="15" hidden="false" customHeight="false" outlineLevel="0" collapsed="false">
      <c r="A163" s="50" t="n">
        <v>46211</v>
      </c>
      <c r="B163" s="51" t="n">
        <f aca="false">IF(A163="","",MONTH(A163))</f>
        <v>7</v>
      </c>
      <c r="C163" s="52" t="s">
        <v>69</v>
      </c>
      <c r="D163" s="52" t="s">
        <v>53</v>
      </c>
      <c r="E163" s="52" t="n">
        <v>2</v>
      </c>
      <c r="F163" s="53" t="n">
        <v>6504000</v>
      </c>
      <c r="G163" s="52" t="n">
        <v>1</v>
      </c>
      <c r="H163" s="54" t="n">
        <f aca="false">IF(E163="","",E163*N(F163)*IF(G163="",1,G163))</f>
        <v>13008000</v>
      </c>
      <c r="I163" s="55" t="str">
        <f aca="false">IF(C163="","",IFERROR(INDEX('DANH MỤC'!$B$5:$B$200,MATCH(C163,'DANH MỤC'!$A$5:$A$200,0)),"⚠ Mã chưa có trong DANH MỤC"))</f>
        <v>Sơn ngoại thất siêu bóng cao cấp Imperia EG09</v>
      </c>
      <c r="J163" s="52"/>
      <c r="K163" s="52" t="s">
        <v>329</v>
      </c>
      <c r="L163" s="52"/>
    </row>
    <row r="164" customFormat="false" ht="15" hidden="false" customHeight="false" outlineLevel="0" collapsed="false">
      <c r="A164" s="50" t="n">
        <v>46211</v>
      </c>
      <c r="B164" s="51" t="n">
        <f aca="false">IF(A164="","",MONTH(A164))</f>
        <v>7</v>
      </c>
      <c r="C164" s="52" t="s">
        <v>60</v>
      </c>
      <c r="D164" s="52" t="s">
        <v>53</v>
      </c>
      <c r="E164" s="52" t="n">
        <v>1</v>
      </c>
      <c r="F164" s="53" t="n">
        <v>2128000</v>
      </c>
      <c r="G164" s="52" t="n">
        <v>1</v>
      </c>
      <c r="H164" s="54" t="n">
        <f aca="false">IF(E164="","",E164*N(F164)*IF(G164="",1,G164))</f>
        <v>2128000</v>
      </c>
      <c r="I164" s="55" t="str">
        <f aca="false">IF(C164="","",IFERROR(INDEX('DANH MỤC'!$B$5:$B$200,MATCH(C164,'DANH MỤC'!$A$5:$A$200,0)),"⚠ Mã chưa có trong DANH MỤC"))</f>
        <v>Sơn nội thất bền màu Silver ISI</v>
      </c>
      <c r="J164" s="52" t="s">
        <v>135</v>
      </c>
      <c r="K164" s="52" t="s">
        <v>330</v>
      </c>
      <c r="L164" s="52"/>
    </row>
    <row r="165" customFormat="false" ht="15" hidden="false" customHeight="false" outlineLevel="0" collapsed="false">
      <c r="A165" s="50" t="n">
        <v>46211</v>
      </c>
      <c r="B165" s="51" t="n">
        <f aca="false">IF(A165="","",MONTH(A165))</f>
        <v>7</v>
      </c>
      <c r="C165" s="52" t="s">
        <v>78</v>
      </c>
      <c r="D165" s="52" t="s">
        <v>77</v>
      </c>
      <c r="E165" s="52" t="n">
        <v>3</v>
      </c>
      <c r="F165" s="53" t="n">
        <v>594000</v>
      </c>
      <c r="G165" s="52" t="n">
        <v>1</v>
      </c>
      <c r="H165" s="54" t="n">
        <f aca="false">IF(E165="","",E165*N(F165)*IF(G165="",1,G165))</f>
        <v>1782000</v>
      </c>
      <c r="I165" s="55" t="str">
        <f aca="false">IF(C165="","",IFERROR(INDEX('DANH MỤC'!$B$5:$B$200,MATCH(C165,'DANH MỤC'!$A$5:$A$200,0)),"⚠ Mã chưa có trong DANH MỤC"))</f>
        <v>Bột bả ngoại thất Imperia EP14 (40kg)</v>
      </c>
      <c r="J165" s="52"/>
      <c r="K165" s="52" t="s">
        <v>331</v>
      </c>
      <c r="L165" s="52"/>
    </row>
    <row r="166" customFormat="false" ht="15" hidden="false" customHeight="false" outlineLevel="0" collapsed="false">
      <c r="A166" s="50" t="n">
        <v>46212</v>
      </c>
      <c r="B166" s="51" t="n">
        <f aca="false">IF(A166="","",MONTH(A166))</f>
        <v>7</v>
      </c>
      <c r="C166" s="52" t="s">
        <v>65</v>
      </c>
      <c r="D166" s="52" t="s">
        <v>66</v>
      </c>
      <c r="E166" s="52" t="n">
        <v>4</v>
      </c>
      <c r="F166" s="53" t="n">
        <v>462000</v>
      </c>
      <c r="G166" s="52" t="n">
        <v>1</v>
      </c>
      <c r="H166" s="54" t="n">
        <f aca="false">IF(E166="","",E166*N(F166)*IF(G166="",1,G166))</f>
        <v>1848000</v>
      </c>
      <c r="I166" s="55" t="str">
        <f aca="false">IF(C166="","",IFERROR(INDEX('DANH MỤC'!$B$5:$B$200,MATCH(C166,'DANH MỤC'!$A$5:$A$200,0)),"⚠ Mã chưa có trong DANH MỤC"))</f>
        <v>Sơn phủ nội thất bóng cao cấp ICL</v>
      </c>
      <c r="J166" s="52"/>
      <c r="K166" s="52" t="s">
        <v>332</v>
      </c>
      <c r="L166" s="52"/>
    </row>
    <row r="167" customFormat="false" ht="15" hidden="false" customHeight="false" outlineLevel="0" collapsed="false">
      <c r="A167" s="50" t="n">
        <v>46213</v>
      </c>
      <c r="B167" s="51" t="n">
        <f aca="false">IF(A167="","",MONTH(A167))</f>
        <v>7</v>
      </c>
      <c r="C167" s="52" t="s">
        <v>62</v>
      </c>
      <c r="D167" s="52" t="s">
        <v>53</v>
      </c>
      <c r="E167" s="52" t="n">
        <v>1</v>
      </c>
      <c r="F167" s="53" t="n">
        <v>5530000</v>
      </c>
      <c r="G167" s="52" t="n">
        <v>1</v>
      </c>
      <c r="H167" s="54" t="n">
        <f aca="false">IF(E167="","",E167*N(F167)*IF(G167="",1,G167))</f>
        <v>5530000</v>
      </c>
      <c r="I167" s="55" t="str">
        <f aca="false">IF(C167="","",IFERROR(INDEX('DANH MỤC'!$B$5:$B$200,MATCH(C167,'DANH MỤC'!$A$5:$A$200,0)),"⚠ Mã chưa có trong DANH MỤC"))</f>
        <v>Sơn nội thất siêu bóng cao cấp Imperia IG05</v>
      </c>
      <c r="J167" s="52" t="s">
        <v>162</v>
      </c>
      <c r="K167" s="52" t="s">
        <v>333</v>
      </c>
      <c r="L167" s="52"/>
    </row>
    <row r="168" customFormat="false" ht="15" hidden="false" customHeight="false" outlineLevel="0" collapsed="false">
      <c r="A168" s="50" t="n">
        <v>46213</v>
      </c>
      <c r="B168" s="51" t="n">
        <f aca="false">IF(A168="","",MONTH(A168))</f>
        <v>7</v>
      </c>
      <c r="C168" s="52" t="s">
        <v>71</v>
      </c>
      <c r="D168" s="52" t="s">
        <v>52</v>
      </c>
      <c r="E168" s="52" t="n">
        <v>1</v>
      </c>
      <c r="F168" s="53" t="n">
        <v>1339000</v>
      </c>
      <c r="G168" s="52" t="n">
        <v>1</v>
      </c>
      <c r="H168" s="54" t="n">
        <f aca="false">IF(E168="","",E168*N(F168)*IF(G168="",1,G168))</f>
        <v>1339000</v>
      </c>
      <c r="I168" s="55" t="str">
        <f aca="false">IF(C168="","",IFERROR(INDEX('DANH MỤC'!$B$5:$B$200,MATCH(C168,'DANH MỤC'!$A$5:$A$200,0)),"⚠ Mã chưa có trong DANH MỤC"))</f>
        <v>Sơn chống thấm đa năng Imperia CT12</v>
      </c>
      <c r="J168" s="52"/>
      <c r="K168" s="52" t="s">
        <v>334</v>
      </c>
      <c r="L168" s="52"/>
    </row>
    <row r="169" customFormat="false" ht="15" hidden="false" customHeight="false" outlineLevel="0" collapsed="false">
      <c r="A169" s="50" t="n">
        <v>46214</v>
      </c>
      <c r="B169" s="51" t="n">
        <f aca="false">IF(A169="","",MONTH(A169))</f>
        <v>7</v>
      </c>
      <c r="C169" s="52" t="s">
        <v>57</v>
      </c>
      <c r="D169" s="52" t="s">
        <v>53</v>
      </c>
      <c r="E169" s="52" t="n">
        <v>6</v>
      </c>
      <c r="F169" s="53" t="n">
        <v>2185000</v>
      </c>
      <c r="G169" s="52" t="n">
        <v>1</v>
      </c>
      <c r="H169" s="54" t="n">
        <f aca="false">IF(E169="","",E169*N(F169)*IF(G169="",1,G169))</f>
        <v>13110000</v>
      </c>
      <c r="I169" s="55" t="str">
        <f aca="false">IF(C169="","",IFERROR(INDEX('DANH MỤC'!$B$5:$B$200,MATCH(C169,'DANH MỤC'!$A$5:$A$200,0)),"⚠ Mã chưa có trong DANH MỤC"))</f>
        <v>Sơn lót nội thất kháng kiềm Silver IL5</v>
      </c>
      <c r="J169" s="52" t="s">
        <v>335</v>
      </c>
      <c r="K169" s="52" t="s">
        <v>336</v>
      </c>
      <c r="L169" s="52"/>
    </row>
    <row r="170" customFormat="false" ht="15" hidden="false" customHeight="false" outlineLevel="0" collapsed="false">
      <c r="A170" s="50" t="n">
        <v>46214</v>
      </c>
      <c r="B170" s="51" t="n">
        <f aca="false">IF(A170="","",MONTH(A170))</f>
        <v>7</v>
      </c>
      <c r="C170" s="52" t="s">
        <v>58</v>
      </c>
      <c r="D170" s="52" t="s">
        <v>53</v>
      </c>
      <c r="E170" s="52" t="n">
        <v>1</v>
      </c>
      <c r="F170" s="53" t="n">
        <v>3097000</v>
      </c>
      <c r="G170" s="52" t="n">
        <v>1</v>
      </c>
      <c r="H170" s="54" t="n">
        <f aca="false">IF(E170="","",E170*N(F170)*IF(G170="",1,G170))</f>
        <v>3097000</v>
      </c>
      <c r="I170" s="55" t="str">
        <f aca="false">IF(C170="","",IFERROR(INDEX('DANH MỤC'!$B$5:$B$200,MATCH(C170,'DANH MỤC'!$A$5:$A$200,0)),"⚠ Mã chưa có trong DANH MỤC"))</f>
        <v>Sơn lót ngoại thất kháng kiềm Silver EL5</v>
      </c>
      <c r="J170" s="52" t="s">
        <v>337</v>
      </c>
      <c r="K170" s="52" t="s">
        <v>338</v>
      </c>
      <c r="L170" s="52"/>
    </row>
    <row r="171" customFormat="false" ht="15" hidden="false" customHeight="false" outlineLevel="0" collapsed="false">
      <c r="A171" s="50" t="n">
        <v>46214</v>
      </c>
      <c r="B171" s="51" t="n">
        <f aca="false">IF(A171="","",MONTH(A171))</f>
        <v>7</v>
      </c>
      <c r="C171" s="52" t="s">
        <v>68</v>
      </c>
      <c r="D171" s="52" t="s">
        <v>53</v>
      </c>
      <c r="E171" s="52" t="n">
        <v>2</v>
      </c>
      <c r="F171" s="53" t="n">
        <v>5331000</v>
      </c>
      <c r="G171" s="52" t="n">
        <v>1</v>
      </c>
      <c r="H171" s="54" t="n">
        <f aca="false">IF(E171="","",E171*N(F171)*IF(G171="",1,G171))</f>
        <v>10662000</v>
      </c>
      <c r="I171" s="55" t="str">
        <f aca="false">IF(C171="","",IFERROR(INDEX('DANH MỤC'!$B$5:$B$200,MATCH(C171,'DANH MỤC'!$A$5:$A$200,0)),"⚠ Mã chưa có trong DANH MỤC"))</f>
        <v>Sơn ngoại thất cao cấp bóng mờ Imperia ESG10</v>
      </c>
      <c r="J171" s="52" t="s">
        <v>339</v>
      </c>
      <c r="K171" s="52" t="s">
        <v>340</v>
      </c>
      <c r="L171" s="52"/>
    </row>
    <row r="172" customFormat="false" ht="15" hidden="false" customHeight="false" outlineLevel="0" collapsed="false">
      <c r="A172" s="50" t="n">
        <v>46214</v>
      </c>
      <c r="B172" s="51" t="n">
        <f aca="false">IF(A172="","",MONTH(A172))</f>
        <v>7</v>
      </c>
      <c r="C172" s="52" t="s">
        <v>61</v>
      </c>
      <c r="D172" s="52" t="s">
        <v>53</v>
      </c>
      <c r="E172" s="52" t="n">
        <v>7</v>
      </c>
      <c r="F172" s="53" t="n">
        <v>4597000</v>
      </c>
      <c r="G172" s="52" t="n">
        <v>1</v>
      </c>
      <c r="H172" s="54" t="n">
        <f aca="false">IF(E172="","",E172*N(F172)*IF(G172="",1,G172))</f>
        <v>32179000</v>
      </c>
      <c r="I172" s="55" t="str">
        <f aca="false">IF(C172="","",IFERROR(INDEX('DANH MỤC'!$B$5:$B$200,MATCH(C172,'DANH MỤC'!$A$5:$A$200,0)),"⚠ Mã chưa có trong DANH MỤC"))</f>
        <v>Sơn nội thất cao cấp bóng mờ Imperia ISG06</v>
      </c>
      <c r="J172" s="52" t="s">
        <v>320</v>
      </c>
      <c r="K172" s="52" t="s">
        <v>341</v>
      </c>
      <c r="L172" s="52"/>
    </row>
    <row r="173" customFormat="false" ht="15" hidden="false" customHeight="false" outlineLevel="0" collapsed="false">
      <c r="A173" s="50" t="n">
        <v>46214</v>
      </c>
      <c r="B173" s="51" t="n">
        <f aca="false">IF(A173="","",MONTH(A173))</f>
        <v>7</v>
      </c>
      <c r="C173" s="52" t="s">
        <v>71</v>
      </c>
      <c r="D173" s="52" t="s">
        <v>53</v>
      </c>
      <c r="E173" s="52" t="n">
        <v>1</v>
      </c>
      <c r="F173" s="53" t="n">
        <v>4106000</v>
      </c>
      <c r="G173" s="52" t="n">
        <v>1</v>
      </c>
      <c r="H173" s="54" t="n">
        <f aca="false">IF(E173="","",E173*N(F173)*IF(G173="",1,G173))</f>
        <v>4106000</v>
      </c>
      <c r="I173" s="55" t="str">
        <f aca="false">IF(C173="","",IFERROR(INDEX('DANH MỤC'!$B$5:$B$200,MATCH(C173,'DANH MỤC'!$A$5:$A$200,0)),"⚠ Mã chưa có trong DANH MỤC"))</f>
        <v>Sơn chống thấm đa năng Imperia CT12</v>
      </c>
      <c r="J173" s="52" t="s">
        <v>342</v>
      </c>
      <c r="K173" s="52" t="s">
        <v>343</v>
      </c>
      <c r="L173" s="52"/>
    </row>
    <row r="174" customFormat="false" ht="15" hidden="false" customHeight="false" outlineLevel="0" collapsed="false">
      <c r="A174" s="50" t="n">
        <v>46215</v>
      </c>
      <c r="B174" s="51" t="n">
        <f aca="false">IF(A174="","",MONTH(A174))</f>
        <v>7</v>
      </c>
      <c r="C174" s="52" t="s">
        <v>76</v>
      </c>
      <c r="D174" s="52" t="s">
        <v>77</v>
      </c>
      <c r="E174" s="52" t="n">
        <v>10</v>
      </c>
      <c r="F174" s="53" t="n">
        <v>481000</v>
      </c>
      <c r="G174" s="52" t="n">
        <v>1</v>
      </c>
      <c r="H174" s="54" t="n">
        <f aca="false">IF(E174="","",E174*N(F174)*IF(G174="",1,G174))</f>
        <v>4810000</v>
      </c>
      <c r="I174" s="55" t="str">
        <f aca="false">IF(C174="","",IFERROR(INDEX('DANH MỤC'!$B$5:$B$200,MATCH(C174,'DANH MỤC'!$A$5:$A$200,0)),"⚠ Mã chưa có trong DANH MỤC"))</f>
        <v>Bột bả nội thất Imperia IP15 (40kg)</v>
      </c>
      <c r="J174" s="52" t="s">
        <v>344</v>
      </c>
      <c r="K174" s="52" t="s">
        <v>345</v>
      </c>
      <c r="L174" s="52"/>
    </row>
    <row r="175" customFormat="false" ht="15" hidden="false" customHeight="false" outlineLevel="0" collapsed="false">
      <c r="A175" s="50" t="n">
        <v>46215</v>
      </c>
      <c r="B175" s="51" t="n">
        <f aca="false">IF(A175="","",MONTH(A175))</f>
        <v>7</v>
      </c>
      <c r="C175" s="52" t="s">
        <v>72</v>
      </c>
      <c r="D175" s="52" t="s">
        <v>53</v>
      </c>
      <c r="E175" s="52" t="n">
        <v>2</v>
      </c>
      <c r="F175" s="53" t="n">
        <v>4821000</v>
      </c>
      <c r="G175" s="52" t="n">
        <v>1</v>
      </c>
      <c r="H175" s="54" t="n">
        <f aca="false">IF(E175="","",E175*N(F175)*IF(G175="",1,G175))</f>
        <v>9642000</v>
      </c>
      <c r="I175" s="55" t="str">
        <f aca="false">IF(C175="","",IFERROR(INDEX('DANH MỤC'!$B$5:$B$200,MATCH(C175,'DANH MỤC'!$A$5:$A$200,0)),"⚠ Mã chưa có trong DANH MỤC"))</f>
        <v>Sơn chống thấm màu ETM 309 (ghi đậm)</v>
      </c>
      <c r="J175" s="52" t="s">
        <v>344</v>
      </c>
      <c r="K175" s="52" t="s">
        <v>346</v>
      </c>
      <c r="L175" s="52"/>
    </row>
    <row r="176" customFormat="false" ht="15" hidden="false" customHeight="false" outlineLevel="0" collapsed="false">
      <c r="A176" s="50" t="n">
        <v>46215</v>
      </c>
      <c r="B176" s="51" t="n">
        <f aca="false">IF(A176="","",MONTH(A176))</f>
        <v>7</v>
      </c>
      <c r="C176" s="52" t="s">
        <v>51</v>
      </c>
      <c r="D176" s="52" t="s">
        <v>53</v>
      </c>
      <c r="E176" s="52" t="n">
        <v>4</v>
      </c>
      <c r="F176" s="53" t="n">
        <v>3012000</v>
      </c>
      <c r="G176" s="52" t="n">
        <v>1</v>
      </c>
      <c r="H176" s="54" t="n">
        <f aca="false">IF(E176="","",E176*N(F176)*IF(G176="",1,G176))</f>
        <v>12048000</v>
      </c>
      <c r="I176" s="55" t="str">
        <f aca="false">IF(C176="","",IFERROR(INDEX('DANH MỤC'!$B$5:$B$200,MATCH(C176,'DANH MỤC'!$A$5:$A$200,0)),"⚠ Mã chưa có trong DANH MỤC"))</f>
        <v>Sơn lót nội thất kháng kiềm cao cấp Imperia PI04</v>
      </c>
      <c r="J176" s="52"/>
      <c r="K176" s="52" t="s">
        <v>347</v>
      </c>
      <c r="L176" s="52"/>
    </row>
    <row r="177" customFormat="false" ht="15" hidden="false" customHeight="false" outlineLevel="0" collapsed="false">
      <c r="A177" s="50" t="n">
        <v>46215</v>
      </c>
      <c r="B177" s="51" t="n">
        <f aca="false">IF(A177="","",MONTH(A177))</f>
        <v>7</v>
      </c>
      <c r="C177" s="52" t="s">
        <v>62</v>
      </c>
      <c r="D177" s="52" t="s">
        <v>53</v>
      </c>
      <c r="E177" s="52" t="n">
        <v>3</v>
      </c>
      <c r="F177" s="53" t="n">
        <v>5530000</v>
      </c>
      <c r="G177" s="52" t="n">
        <v>1</v>
      </c>
      <c r="H177" s="54" t="n">
        <f aca="false">IF(E177="","",E177*N(F177)*IF(G177="",1,G177))</f>
        <v>16590000</v>
      </c>
      <c r="I177" s="55" t="str">
        <f aca="false">IF(C177="","",IFERROR(INDEX('DANH MỤC'!$B$5:$B$200,MATCH(C177,'DANH MỤC'!$A$5:$A$200,0)),"⚠ Mã chưa có trong DANH MỤC"))</f>
        <v>Sơn nội thất siêu bóng cao cấp Imperia IG05</v>
      </c>
      <c r="J177" s="52" t="s">
        <v>131</v>
      </c>
      <c r="K177" s="52" t="s">
        <v>348</v>
      </c>
      <c r="L177" s="52"/>
    </row>
    <row r="178" customFormat="false" ht="15" hidden="false" customHeight="false" outlineLevel="0" collapsed="false">
      <c r="A178" s="50" t="n">
        <v>46215</v>
      </c>
      <c r="B178" s="51" t="n">
        <f aca="false">IF(A178="","",MONTH(A178))</f>
        <v>7</v>
      </c>
      <c r="C178" s="52" t="s">
        <v>71</v>
      </c>
      <c r="D178" s="52" t="s">
        <v>53</v>
      </c>
      <c r="E178" s="52" t="n">
        <v>3</v>
      </c>
      <c r="F178" s="53" t="n">
        <v>4106000</v>
      </c>
      <c r="G178" s="52" t="n">
        <v>1</v>
      </c>
      <c r="H178" s="54" t="n">
        <f aca="false">IF(E178="","",E178*N(F178)*IF(G178="",1,G178))</f>
        <v>12318000</v>
      </c>
      <c r="I178" s="55" t="str">
        <f aca="false">IF(C178="","",IFERROR(INDEX('DANH MỤC'!$B$5:$B$200,MATCH(C178,'DANH MỤC'!$A$5:$A$200,0)),"⚠ Mã chưa có trong DANH MỤC"))</f>
        <v>Sơn chống thấm đa năng Imperia CT12</v>
      </c>
      <c r="J178" s="52"/>
      <c r="K178" s="52" t="s">
        <v>349</v>
      </c>
      <c r="L178" s="52"/>
    </row>
    <row r="179" customFormat="false" ht="15" hidden="false" customHeight="false" outlineLevel="0" collapsed="false">
      <c r="A179" s="50" t="n">
        <v>46215</v>
      </c>
      <c r="B179" s="51" t="n">
        <f aca="false">IF(A179="","",MONTH(A179))</f>
        <v>7</v>
      </c>
      <c r="C179" s="52" t="s">
        <v>54</v>
      </c>
      <c r="D179" s="52" t="s">
        <v>53</v>
      </c>
      <c r="E179" s="52" t="n">
        <v>1</v>
      </c>
      <c r="F179" s="53" t="n">
        <v>4106000</v>
      </c>
      <c r="G179" s="52" t="n">
        <v>1</v>
      </c>
      <c r="H179" s="54" t="n">
        <f aca="false">IF(E179="","",E179*N(F179)*IF(G179="",1,G179))</f>
        <v>4106000</v>
      </c>
      <c r="I179" s="55" t="str">
        <f aca="false">IF(C179="","",IFERROR(INDEX('DANH MỤC'!$B$5:$B$200,MATCH(C179,'DANH MỤC'!$A$5:$A$200,0)),"⚠ Mã chưa có trong DANH MỤC"))</f>
        <v>Sơn lót ngoại thất kháng kiềm cao cấp Imperia PE02</v>
      </c>
      <c r="J179" s="52"/>
      <c r="K179" s="52" t="s">
        <v>350</v>
      </c>
      <c r="L179" s="52"/>
    </row>
    <row r="180" customFormat="false" ht="15" hidden="false" customHeight="false" outlineLevel="0" collapsed="false">
      <c r="A180" s="50" t="n">
        <v>46215</v>
      </c>
      <c r="B180" s="51" t="n">
        <f aca="false">IF(A180="","",MONTH(A180))</f>
        <v>7</v>
      </c>
      <c r="C180" s="52" t="s">
        <v>69</v>
      </c>
      <c r="D180" s="52" t="s">
        <v>53</v>
      </c>
      <c r="E180" s="52" t="n">
        <v>1</v>
      </c>
      <c r="F180" s="53" t="n">
        <v>6504000</v>
      </c>
      <c r="G180" s="52" t="n">
        <v>1</v>
      </c>
      <c r="H180" s="54" t="n">
        <f aca="false">IF(E180="","",E180*N(F180)*IF(G180="",1,G180))</f>
        <v>6504000</v>
      </c>
      <c r="I180" s="55" t="str">
        <f aca="false">IF(C180="","",IFERROR(INDEX('DANH MỤC'!$B$5:$B$200,MATCH(C180,'DANH MỤC'!$A$5:$A$200,0)),"⚠ Mã chưa có trong DANH MỤC"))</f>
        <v>Sơn ngoại thất siêu bóng cao cấp Imperia EG09</v>
      </c>
      <c r="J180" s="52" t="s">
        <v>162</v>
      </c>
      <c r="K180" s="52" t="s">
        <v>351</v>
      </c>
      <c r="L180" s="52"/>
    </row>
    <row r="181" customFormat="false" ht="15" hidden="false" customHeight="false" outlineLevel="0" collapsed="false">
      <c r="A181" s="50" t="n">
        <v>46215</v>
      </c>
      <c r="B181" s="51" t="n">
        <f aca="false">IF(A181="","",MONTH(A181))</f>
        <v>7</v>
      </c>
      <c r="C181" s="52" t="s">
        <v>59</v>
      </c>
      <c r="D181" s="52" t="s">
        <v>52</v>
      </c>
      <c r="E181" s="52" t="n">
        <v>1</v>
      </c>
      <c r="F181" s="53" t="n">
        <v>954000</v>
      </c>
      <c r="G181" s="52" t="n">
        <v>1</v>
      </c>
      <c r="H181" s="54" t="n">
        <f aca="false">IF(E181="","",E181*N(F181)*IF(G181="",1,G181))</f>
        <v>954000</v>
      </c>
      <c r="I181" s="55" t="str">
        <f aca="false">IF(C181="","",IFERROR(INDEX('DANH MỤC'!$B$5:$B$200,MATCH(C181,'DANH MỤC'!$A$5:$A$200,0)),"⚠ Mã chưa có trong DANH MỤC"))</f>
        <v>Sơn nội thất siêu trắng Imperia IEW</v>
      </c>
      <c r="J181" s="52"/>
      <c r="K181" s="52" t="s">
        <v>352</v>
      </c>
      <c r="L181" s="52"/>
    </row>
    <row r="182" customFormat="false" ht="15" hidden="false" customHeight="false" outlineLevel="0" collapsed="false">
      <c r="A182" s="50" t="n">
        <v>46215</v>
      </c>
      <c r="B182" s="51" t="n">
        <f aca="false">IF(A182="","",MONTH(A182))</f>
        <v>7</v>
      </c>
      <c r="C182" s="52" t="s">
        <v>69</v>
      </c>
      <c r="D182" s="52" t="s">
        <v>52</v>
      </c>
      <c r="E182" s="52" t="n">
        <v>1</v>
      </c>
      <c r="F182" s="53" t="n">
        <v>2089000</v>
      </c>
      <c r="G182" s="52" t="n">
        <v>1.15</v>
      </c>
      <c r="H182" s="54" t="n">
        <f aca="false">IF(E182="","",E182*N(F182)*IF(G182="",1,G182))</f>
        <v>2402350</v>
      </c>
      <c r="I182" s="55" t="str">
        <f aca="false">IF(C182="","",IFERROR(INDEX('DANH MỤC'!$B$5:$B$200,MATCH(C182,'DANH MỤC'!$A$5:$A$200,0)),"⚠ Mã chưa có trong DANH MỤC"))</f>
        <v>Sơn ngoại thất siêu bóng cao cấp Imperia EG09</v>
      </c>
      <c r="J182" s="52" t="s">
        <v>353</v>
      </c>
      <c r="K182" s="52" t="s">
        <v>354</v>
      </c>
      <c r="L182" s="52"/>
    </row>
    <row r="183" customFormat="false" ht="15" hidden="false" customHeight="false" outlineLevel="0" collapsed="false">
      <c r="A183" s="50" t="n">
        <v>46220</v>
      </c>
      <c r="B183" s="51" t="n">
        <f aca="false">IF(A183="","",MONTH(A183))</f>
        <v>7</v>
      </c>
      <c r="C183" s="52" t="s">
        <v>68</v>
      </c>
      <c r="D183" s="52" t="s">
        <v>53</v>
      </c>
      <c r="E183" s="52" t="n">
        <v>1</v>
      </c>
      <c r="F183" s="53" t="n">
        <v>5331000</v>
      </c>
      <c r="G183" s="52" t="n">
        <v>1.1</v>
      </c>
      <c r="H183" s="54" t="n">
        <f aca="false">IF(E183="","",E183*N(F183)*IF(G183="",1,G183))</f>
        <v>5864100</v>
      </c>
      <c r="I183" s="55" t="str">
        <f aca="false">IF(C183="","",IFERROR(INDEX('DANH MỤC'!$B$5:$B$200,MATCH(C183,'DANH MỤC'!$A$5:$A$200,0)),"⚠ Mã chưa có trong DANH MỤC"))</f>
        <v>Sơn ngoại thất cao cấp bóng mờ Imperia ESG10</v>
      </c>
      <c r="J183" s="52" t="s">
        <v>355</v>
      </c>
      <c r="K183" s="52" t="s">
        <v>356</v>
      </c>
      <c r="L183" s="52"/>
    </row>
    <row r="184" customFormat="false" ht="15" hidden="false" customHeight="false" outlineLevel="0" collapsed="false">
      <c r="A184" s="50" t="n">
        <v>46220</v>
      </c>
      <c r="B184" s="51" t="n">
        <f aca="false">IF(A184="","",MONTH(A184))</f>
        <v>7</v>
      </c>
      <c r="C184" s="52" t="s">
        <v>61</v>
      </c>
      <c r="D184" s="52" t="s">
        <v>53</v>
      </c>
      <c r="E184" s="52" t="n">
        <v>1</v>
      </c>
      <c r="F184" s="53" t="n">
        <v>4597000</v>
      </c>
      <c r="G184" s="52" t="n">
        <v>1</v>
      </c>
      <c r="H184" s="54" t="n">
        <f aca="false">IF(E184="","",E184*N(F184)*IF(G184="",1,G184))</f>
        <v>4597000</v>
      </c>
      <c r="I184" s="55" t="str">
        <f aca="false">IF(C184="","",IFERROR(INDEX('DANH MỤC'!$B$5:$B$200,MATCH(C184,'DANH MỤC'!$A$5:$A$200,0)),"⚠ Mã chưa có trong DANH MỤC"))</f>
        <v>Sơn nội thất cao cấp bóng mờ Imperia ISG06</v>
      </c>
      <c r="J184" s="52" t="s">
        <v>357</v>
      </c>
      <c r="K184" s="52" t="s">
        <v>358</v>
      </c>
      <c r="L184" s="52"/>
    </row>
    <row r="185" customFormat="false" ht="15" hidden="false" customHeight="false" outlineLevel="0" collapsed="false">
      <c r="A185" s="50" t="n">
        <v>46220</v>
      </c>
      <c r="B185" s="51" t="n">
        <f aca="false">IF(A185="","",MONTH(A185))</f>
        <v>7</v>
      </c>
      <c r="C185" s="52" t="s">
        <v>72</v>
      </c>
      <c r="D185" s="52" t="s">
        <v>53</v>
      </c>
      <c r="E185" s="52" t="n">
        <v>1</v>
      </c>
      <c r="F185" s="53" t="n">
        <v>4821000</v>
      </c>
      <c r="G185" s="52" t="n">
        <v>1</v>
      </c>
      <c r="H185" s="54" t="n">
        <f aca="false">IF(E185="","",E185*N(F185)*IF(G185="",1,G185))</f>
        <v>4821000</v>
      </c>
      <c r="I185" s="55" t="str">
        <f aca="false">IF(C185="","",IFERROR(INDEX('DANH MỤC'!$B$5:$B$200,MATCH(C185,'DANH MỤC'!$A$5:$A$200,0)),"⚠ Mã chưa có trong DANH MỤC"))</f>
        <v>Sơn chống thấm màu ETM 309 (ghi đậm)</v>
      </c>
      <c r="J185" s="52" t="s">
        <v>344</v>
      </c>
      <c r="K185" s="52" t="s">
        <v>359</v>
      </c>
      <c r="L185" s="52"/>
    </row>
    <row r="186" customFormat="false" ht="15" hidden="false" customHeight="false" outlineLevel="0" collapsed="false">
      <c r="A186" s="50" t="n">
        <v>46220</v>
      </c>
      <c r="B186" s="51" t="n">
        <f aca="false">IF(A186="","",MONTH(A186))</f>
        <v>7</v>
      </c>
      <c r="C186" s="52" t="s">
        <v>59</v>
      </c>
      <c r="D186" s="52" t="s">
        <v>53</v>
      </c>
      <c r="E186" s="52" t="n">
        <v>1</v>
      </c>
      <c r="F186" s="53" t="n">
        <v>2712000</v>
      </c>
      <c r="G186" s="52" t="n">
        <v>1</v>
      </c>
      <c r="H186" s="54" t="n">
        <f aca="false">IF(E186="","",E186*N(F186)*IF(G186="",1,G186))</f>
        <v>2712000</v>
      </c>
      <c r="I186" s="55" t="str">
        <f aca="false">IF(C186="","",IFERROR(INDEX('DANH MỤC'!$B$5:$B$200,MATCH(C186,'DANH MỤC'!$A$5:$A$200,0)),"⚠ Mã chưa có trong DANH MỤC"))</f>
        <v>Sơn nội thất siêu trắng Imperia IEW</v>
      </c>
      <c r="J186" s="52" t="s">
        <v>344</v>
      </c>
      <c r="K186" s="52" t="s">
        <v>360</v>
      </c>
      <c r="L186" s="52"/>
    </row>
    <row r="187" customFormat="false" ht="15" hidden="false" customHeight="false" outlineLevel="0" collapsed="false">
      <c r="A187" s="50" t="n">
        <v>46220</v>
      </c>
      <c r="B187" s="51" t="n">
        <f aca="false">IF(A187="","",MONTH(A187))</f>
        <v>7</v>
      </c>
      <c r="C187" s="52" t="s">
        <v>61</v>
      </c>
      <c r="D187" s="52" t="s">
        <v>52</v>
      </c>
      <c r="E187" s="52" t="n">
        <v>2</v>
      </c>
      <c r="F187" s="53" t="n">
        <v>1302000</v>
      </c>
      <c r="G187" s="52" t="n">
        <v>1</v>
      </c>
      <c r="H187" s="54" t="n">
        <f aca="false">IF(E187="","",E187*N(F187)*IF(G187="",1,G187))</f>
        <v>2604000</v>
      </c>
      <c r="I187" s="55" t="str">
        <f aca="false">IF(C187="","",IFERROR(INDEX('DANH MỤC'!$B$5:$B$200,MATCH(C187,'DANH MỤC'!$A$5:$A$200,0)),"⚠ Mã chưa có trong DANH MỤC"))</f>
        <v>Sơn nội thất cao cấp bóng mờ Imperia ISG06</v>
      </c>
      <c r="J187" s="52" t="s">
        <v>355</v>
      </c>
      <c r="K187" s="52" t="s">
        <v>361</v>
      </c>
      <c r="L187" s="52"/>
    </row>
    <row r="188" customFormat="false" ht="15" hidden="false" customHeight="false" outlineLevel="0" collapsed="false">
      <c r="A188" s="50" t="n">
        <v>46220</v>
      </c>
      <c r="B188" s="51" t="n">
        <f aca="false">IF(A188="","",MONTH(A188))</f>
        <v>7</v>
      </c>
      <c r="C188" s="52" t="s">
        <v>61</v>
      </c>
      <c r="D188" s="52" t="s">
        <v>52</v>
      </c>
      <c r="E188" s="52" t="n">
        <v>2</v>
      </c>
      <c r="F188" s="53" t="n">
        <v>1302000</v>
      </c>
      <c r="G188" s="52" t="n">
        <v>1</v>
      </c>
      <c r="H188" s="54" t="n">
        <f aca="false">IF(E188="","",E188*N(F188)*IF(G188="",1,G188))</f>
        <v>2604000</v>
      </c>
      <c r="I188" s="55" t="str">
        <f aca="false">IF(C188="","",IFERROR(INDEX('DANH MỤC'!$B$5:$B$200,MATCH(C188,'DANH MỤC'!$A$5:$A$200,0)),"⚠ Mã chưa có trong DANH MỤC"))</f>
        <v>Sơn nội thất cao cấp bóng mờ Imperia ISG06</v>
      </c>
      <c r="J188" s="52" t="s">
        <v>344</v>
      </c>
      <c r="K188" s="52" t="s">
        <v>362</v>
      </c>
      <c r="L188" s="52"/>
    </row>
    <row r="189" customFormat="false" ht="15" hidden="false" customHeight="false" outlineLevel="0" collapsed="false">
      <c r="A189" s="50" t="n">
        <v>46220</v>
      </c>
      <c r="B189" s="51" t="n">
        <f aca="false">IF(A189="","",MONTH(A189))</f>
        <v>7</v>
      </c>
      <c r="C189" s="52" t="s">
        <v>68</v>
      </c>
      <c r="D189" s="52" t="s">
        <v>52</v>
      </c>
      <c r="E189" s="52" t="n">
        <v>1</v>
      </c>
      <c r="F189" s="53" t="n">
        <v>1536000</v>
      </c>
      <c r="G189" s="52" t="n">
        <v>1</v>
      </c>
      <c r="H189" s="54" t="n">
        <f aca="false">IF(E189="","",E189*N(F189)*IF(G189="",1,G189))</f>
        <v>1536000</v>
      </c>
      <c r="I189" s="55" t="str">
        <f aca="false">IF(C189="","",IFERROR(INDEX('DANH MỤC'!$B$5:$B$200,MATCH(C189,'DANH MỤC'!$A$5:$A$200,0)),"⚠ Mã chưa có trong DANH MỤC"))</f>
        <v>Sơn ngoại thất cao cấp bóng mờ Imperia ESG10</v>
      </c>
      <c r="J189" s="52" t="s">
        <v>363</v>
      </c>
      <c r="K189" s="52" t="s">
        <v>364</v>
      </c>
      <c r="L189" s="52"/>
    </row>
    <row r="190" customFormat="false" ht="15" hidden="false" customHeight="false" outlineLevel="0" collapsed="false">
      <c r="A190" s="50" t="n">
        <v>46220</v>
      </c>
      <c r="B190" s="51" t="n">
        <f aca="false">IF(A190="","",MONTH(A190))</f>
        <v>7</v>
      </c>
      <c r="C190" s="52" t="s">
        <v>72</v>
      </c>
      <c r="D190" s="52" t="s">
        <v>52</v>
      </c>
      <c r="E190" s="52" t="n">
        <v>2</v>
      </c>
      <c r="F190" s="53" t="n">
        <v>1447000</v>
      </c>
      <c r="G190" s="52" t="n">
        <v>1</v>
      </c>
      <c r="H190" s="54" t="n">
        <f aca="false">IF(E190="","",E190*N(F190)*IF(G190="",1,G190))</f>
        <v>2894000</v>
      </c>
      <c r="I190" s="55" t="str">
        <f aca="false">IF(C190="","",IFERROR(INDEX('DANH MỤC'!$B$5:$B$200,MATCH(C190,'DANH MỤC'!$A$5:$A$200,0)),"⚠ Mã chưa có trong DANH MỤC"))</f>
        <v>Sơn chống thấm màu ETM 309 (ghi đậm)</v>
      </c>
      <c r="J190" s="52" t="s">
        <v>365</v>
      </c>
      <c r="K190" s="52" t="s">
        <v>366</v>
      </c>
      <c r="L190" s="52"/>
    </row>
    <row r="191" customFormat="false" ht="15" hidden="false" customHeight="false" outlineLevel="0" collapsed="false">
      <c r="A191" s="50" t="n">
        <v>46220</v>
      </c>
      <c r="B191" s="51" t="n">
        <f aca="false">IF(A191="","",MONTH(A191))</f>
        <v>7</v>
      </c>
      <c r="C191" s="52" t="s">
        <v>68</v>
      </c>
      <c r="D191" s="52" t="s">
        <v>53</v>
      </c>
      <c r="E191" s="52" t="n">
        <v>1</v>
      </c>
      <c r="F191" s="53" t="n">
        <v>5331000</v>
      </c>
      <c r="G191" s="52" t="n">
        <v>1</v>
      </c>
      <c r="H191" s="54" t="n">
        <f aca="false">IF(E191="","",E191*N(F191)*IF(G191="",1,G191))</f>
        <v>5331000</v>
      </c>
      <c r="I191" s="55" t="str">
        <f aca="false">IF(C191="","",IFERROR(INDEX('DANH MỤC'!$B$5:$B$200,MATCH(C191,'DANH MỤC'!$A$5:$A$200,0)),"⚠ Mã chưa có trong DANH MỤC"))</f>
        <v>Sơn ngoại thất cao cấp bóng mờ Imperia ESG10</v>
      </c>
      <c r="J191" s="52" t="s">
        <v>367</v>
      </c>
      <c r="K191" s="52" t="s">
        <v>368</v>
      </c>
      <c r="L191" s="52"/>
    </row>
    <row r="192" customFormat="false" ht="15" hidden="false" customHeight="false" outlineLevel="0" collapsed="false">
      <c r="A192" s="50" t="n">
        <v>46220</v>
      </c>
      <c r="B192" s="51" t="n">
        <f aca="false">IF(A192="","",MONTH(A192))</f>
        <v>7</v>
      </c>
      <c r="C192" s="52" t="s">
        <v>67</v>
      </c>
      <c r="D192" s="52" t="s">
        <v>53</v>
      </c>
      <c r="E192" s="52" t="n">
        <v>2</v>
      </c>
      <c r="F192" s="53" t="n">
        <v>3131000</v>
      </c>
      <c r="G192" s="52" t="n">
        <v>1</v>
      </c>
      <c r="H192" s="54" t="n">
        <f aca="false">IF(E192="","",E192*N(F192)*IF(G192="",1,G192))</f>
        <v>6262000</v>
      </c>
      <c r="I192" s="55" t="str">
        <f aca="false">IF(C192="","",IFERROR(INDEX('DANH MỤC'!$B$5:$B$200,MATCH(C192,'DANH MỤC'!$A$5:$A$200,0)),"⚠ Mã chưa có trong DANH MỤC"))</f>
        <v>Sơn ngoại thất bền màu Silver ESI</v>
      </c>
      <c r="J192" s="52" t="s">
        <v>369</v>
      </c>
      <c r="K192" s="52" t="s">
        <v>370</v>
      </c>
      <c r="L192" s="52"/>
    </row>
    <row r="193" customFormat="false" ht="15" hidden="false" customHeight="false" outlineLevel="0" collapsed="false">
      <c r="A193" s="50" t="n">
        <v>46220</v>
      </c>
      <c r="B193" s="51" t="n">
        <f aca="false">IF(A193="","",MONTH(A193))</f>
        <v>7</v>
      </c>
      <c r="C193" s="52" t="s">
        <v>72</v>
      </c>
      <c r="D193" s="52" t="s">
        <v>53</v>
      </c>
      <c r="E193" s="52" t="n">
        <v>1</v>
      </c>
      <c r="F193" s="53" t="n">
        <v>4821000</v>
      </c>
      <c r="G193" s="52" t="n">
        <v>1</v>
      </c>
      <c r="H193" s="54" t="n">
        <f aca="false">IF(E193="","",E193*N(F193)*IF(G193="",1,G193))</f>
        <v>4821000</v>
      </c>
      <c r="I193" s="55" t="str">
        <f aca="false">IF(C193="","",IFERROR(INDEX('DANH MỤC'!$B$5:$B$200,MATCH(C193,'DANH MỤC'!$A$5:$A$200,0)),"⚠ Mã chưa có trong DANH MỤC"))</f>
        <v>Sơn chống thấm màu ETM 309 (ghi đậm)</v>
      </c>
      <c r="J193" s="52" t="s">
        <v>149</v>
      </c>
      <c r="K193" s="52" t="s">
        <v>371</v>
      </c>
      <c r="L193" s="52"/>
    </row>
    <row r="194" customFormat="false" ht="15" hidden="false" customHeight="false" outlineLevel="0" collapsed="false">
      <c r="A194" s="50" t="n">
        <v>46224</v>
      </c>
      <c r="B194" s="51" t="n">
        <f aca="false">IF(A194="","",MONTH(A194))</f>
        <v>7</v>
      </c>
      <c r="C194" s="52" t="s">
        <v>59</v>
      </c>
      <c r="D194" s="52" t="s">
        <v>52</v>
      </c>
      <c r="E194" s="52" t="n">
        <v>1</v>
      </c>
      <c r="F194" s="53" t="n">
        <v>954000</v>
      </c>
      <c r="G194" s="52" t="n">
        <v>1</v>
      </c>
      <c r="H194" s="54" t="n">
        <f aca="false">IF(E194="","",E194*N(F194)*IF(G194="",1,G194))</f>
        <v>954000</v>
      </c>
      <c r="I194" s="55" t="str">
        <f aca="false">IF(C194="","",IFERROR(INDEX('DANH MỤC'!$B$5:$B$200,MATCH(C194,'DANH MỤC'!$A$5:$A$200,0)),"⚠ Mã chưa có trong DANH MỤC"))</f>
        <v>Sơn nội thất siêu trắng Imperia IEW</v>
      </c>
      <c r="J194" s="52"/>
      <c r="K194" s="52" t="s">
        <v>372</v>
      </c>
      <c r="L194" s="52"/>
    </row>
    <row r="195" customFormat="false" ht="15" hidden="false" customHeight="false" outlineLevel="0" collapsed="false">
      <c r="A195" s="50" t="n">
        <v>46225</v>
      </c>
      <c r="B195" s="51" t="n">
        <f aca="false">IF(A195="","",MONTH(A195))</f>
        <v>7</v>
      </c>
      <c r="C195" s="52" t="s">
        <v>51</v>
      </c>
      <c r="D195" s="52" t="s">
        <v>53</v>
      </c>
      <c r="E195" s="52" t="n">
        <v>5</v>
      </c>
      <c r="F195" s="53" t="n">
        <v>3012000</v>
      </c>
      <c r="G195" s="52" t="n">
        <v>1</v>
      </c>
      <c r="H195" s="54" t="n">
        <f aca="false">IF(E195="","",E195*N(F195)*IF(G195="",1,G195))</f>
        <v>15060000</v>
      </c>
      <c r="I195" s="55" t="str">
        <f aca="false">IF(C195="","",IFERROR(INDEX('DANH MỤC'!$B$5:$B$200,MATCH(C195,'DANH MỤC'!$A$5:$A$200,0)),"⚠ Mã chưa có trong DANH MỤC"))</f>
        <v>Sơn lót nội thất kháng kiềm cao cấp Imperia PI04</v>
      </c>
      <c r="J195" s="52" t="s">
        <v>373</v>
      </c>
      <c r="K195" s="52" t="s">
        <v>374</v>
      </c>
      <c r="L195" s="52"/>
    </row>
    <row r="196" customFormat="false" ht="15" hidden="false" customHeight="false" outlineLevel="0" collapsed="false">
      <c r="A196" s="50" t="n">
        <v>46225</v>
      </c>
      <c r="B196" s="51" t="n">
        <f aca="false">IF(A196="","",MONTH(A196))</f>
        <v>7</v>
      </c>
      <c r="C196" s="52" t="s">
        <v>72</v>
      </c>
      <c r="D196" s="52" t="s">
        <v>53</v>
      </c>
      <c r="E196" s="52" t="n">
        <v>4</v>
      </c>
      <c r="F196" s="53" t="n">
        <v>4821000</v>
      </c>
      <c r="G196" s="52" t="n">
        <v>1</v>
      </c>
      <c r="H196" s="54" t="n">
        <f aca="false">IF(E196="","",E196*N(F196)*IF(G196="",1,G196))</f>
        <v>19284000</v>
      </c>
      <c r="I196" s="55" t="str">
        <f aca="false">IF(C196="","",IFERROR(INDEX('DANH MỤC'!$B$5:$B$200,MATCH(C196,'DANH MỤC'!$A$5:$A$200,0)),"⚠ Mã chưa có trong DANH MỤC"))</f>
        <v>Sơn chống thấm màu ETM 309 (ghi đậm)</v>
      </c>
      <c r="J196" s="52" t="s">
        <v>375</v>
      </c>
      <c r="K196" s="52" t="s">
        <v>376</v>
      </c>
      <c r="L196" s="52"/>
    </row>
    <row r="197" customFormat="false" ht="15" hidden="false" customHeight="false" outlineLevel="0" collapsed="false">
      <c r="A197" s="50" t="n">
        <v>46225</v>
      </c>
      <c r="B197" s="51" t="n">
        <f aca="false">IF(A197="","",MONTH(A197))</f>
        <v>7</v>
      </c>
      <c r="C197" s="52" t="s">
        <v>54</v>
      </c>
      <c r="D197" s="52" t="s">
        <v>53</v>
      </c>
      <c r="E197" s="52" t="n">
        <v>1</v>
      </c>
      <c r="F197" s="53" t="n">
        <v>4106000</v>
      </c>
      <c r="G197" s="52" t="n">
        <v>1</v>
      </c>
      <c r="H197" s="54" t="n">
        <f aca="false">IF(E197="","",E197*N(F197)*IF(G197="",1,G197))</f>
        <v>4106000</v>
      </c>
      <c r="I197" s="55" t="str">
        <f aca="false">IF(C197="","",IFERROR(INDEX('DANH MỤC'!$B$5:$B$200,MATCH(C197,'DANH MỤC'!$A$5:$A$200,0)),"⚠ Mã chưa có trong DANH MỤC"))</f>
        <v>Sơn lót ngoại thất kháng kiềm cao cấp Imperia PE02</v>
      </c>
      <c r="J197" s="52" t="s">
        <v>377</v>
      </c>
      <c r="K197" s="52" t="s">
        <v>378</v>
      </c>
      <c r="L197" s="52"/>
    </row>
    <row r="198" customFormat="false" ht="15" hidden="false" customHeight="false" outlineLevel="0" collapsed="false">
      <c r="A198" s="50" t="n">
        <v>46225</v>
      </c>
      <c r="B198" s="51" t="n">
        <f aca="false">IF(A198="","",MONTH(A198))</f>
        <v>7</v>
      </c>
      <c r="C198" s="52" t="s">
        <v>78</v>
      </c>
      <c r="D198" s="52" t="s">
        <v>77</v>
      </c>
      <c r="E198" s="52" t="n">
        <v>1</v>
      </c>
      <c r="F198" s="53" t="n">
        <v>594000</v>
      </c>
      <c r="G198" s="52" t="n">
        <v>1</v>
      </c>
      <c r="H198" s="54" t="n">
        <f aca="false">IF(E198="","",E198*N(F198)*IF(G198="",1,G198))</f>
        <v>594000</v>
      </c>
      <c r="I198" s="55" t="str">
        <f aca="false">IF(C198="","",IFERROR(INDEX('DANH MỤC'!$B$5:$B$200,MATCH(C198,'DANH MỤC'!$A$5:$A$200,0)),"⚠ Mã chưa có trong DANH MỤC"))</f>
        <v>Bột bả ngoại thất Imperia EP14 (40kg)</v>
      </c>
      <c r="J198" s="52"/>
      <c r="K198" s="52" t="s">
        <v>379</v>
      </c>
      <c r="L198" s="52"/>
    </row>
    <row r="199" customFormat="false" ht="15" hidden="false" customHeight="false" outlineLevel="0" collapsed="false">
      <c r="A199" s="50" t="n">
        <v>46226</v>
      </c>
      <c r="B199" s="51" t="n">
        <f aca="false">IF(A199="","",MONTH(A199))</f>
        <v>7</v>
      </c>
      <c r="C199" s="52" t="s">
        <v>61</v>
      </c>
      <c r="D199" s="52" t="s">
        <v>53</v>
      </c>
      <c r="E199" s="52" t="n">
        <v>1</v>
      </c>
      <c r="F199" s="53" t="n">
        <v>4597000</v>
      </c>
      <c r="G199" s="52" t="n">
        <v>1</v>
      </c>
      <c r="H199" s="54" t="n">
        <f aca="false">IF(E199="","",E199*N(F199)*IF(G199="",1,G199))</f>
        <v>4597000</v>
      </c>
      <c r="I199" s="55" t="str">
        <f aca="false">IF(C199="","",IFERROR(INDEX('DANH MỤC'!$B$5:$B$200,MATCH(C199,'DANH MỤC'!$A$5:$A$200,0)),"⚠ Mã chưa có trong DANH MỤC"))</f>
        <v>Sơn nội thất cao cấp bóng mờ Imperia ISG06</v>
      </c>
      <c r="J199" s="52"/>
      <c r="K199" s="52" t="s">
        <v>380</v>
      </c>
      <c r="L199" s="52"/>
    </row>
    <row r="200" customFormat="false" ht="15" hidden="false" customHeight="false" outlineLevel="0" collapsed="false">
      <c r="A200" s="50" t="n">
        <v>46226</v>
      </c>
      <c r="B200" s="51" t="n">
        <f aca="false">IF(A200="","",MONTH(A200))</f>
        <v>7</v>
      </c>
      <c r="C200" s="52" t="s">
        <v>58</v>
      </c>
      <c r="D200" s="52" t="s">
        <v>53</v>
      </c>
      <c r="E200" s="52" t="n">
        <v>2</v>
      </c>
      <c r="F200" s="53" t="n">
        <v>3097000</v>
      </c>
      <c r="G200" s="52" t="n">
        <v>1</v>
      </c>
      <c r="H200" s="54" t="n">
        <f aca="false">IF(E200="","",E200*N(F200)*IF(G200="",1,G200))</f>
        <v>6194000</v>
      </c>
      <c r="I200" s="55" t="str">
        <f aca="false">IF(C200="","",IFERROR(INDEX('DANH MỤC'!$B$5:$B$200,MATCH(C200,'DANH MỤC'!$A$5:$A$200,0)),"⚠ Mã chưa có trong DANH MỤC"))</f>
        <v>Sơn lót ngoại thất kháng kiềm Silver EL5</v>
      </c>
      <c r="J200" s="52" t="s">
        <v>381</v>
      </c>
      <c r="K200" s="52" t="s">
        <v>382</v>
      </c>
      <c r="L200" s="52"/>
    </row>
    <row r="201" customFormat="false" ht="15" hidden="false" customHeight="false" outlineLevel="0" collapsed="false">
      <c r="A201" s="50" t="n">
        <v>46226</v>
      </c>
      <c r="B201" s="51" t="n">
        <f aca="false">IF(A201="","",MONTH(A201))</f>
        <v>7</v>
      </c>
      <c r="C201" s="52" t="s">
        <v>68</v>
      </c>
      <c r="D201" s="52" t="s">
        <v>53</v>
      </c>
      <c r="E201" s="52" t="n">
        <v>1</v>
      </c>
      <c r="F201" s="53" t="n">
        <v>409000</v>
      </c>
      <c r="G201" s="52" t="n">
        <v>1.15</v>
      </c>
      <c r="H201" s="54" t="n">
        <f aca="false">IF(E201="","",E201*N(F201)*IF(G201="",1,G201))</f>
        <v>470350</v>
      </c>
      <c r="I201" s="55" t="str">
        <f aca="false">IF(C201="","",IFERROR(INDEX('DANH MỤC'!$B$5:$B$200,MATCH(C201,'DANH MỤC'!$A$5:$A$200,0)),"⚠ Mã chưa có trong DANH MỤC"))</f>
        <v>Sơn ngoại thất cao cấp bóng mờ Imperia ESG10</v>
      </c>
      <c r="J201" s="52" t="s">
        <v>383</v>
      </c>
      <c r="K201" s="52" t="s">
        <v>384</v>
      </c>
      <c r="L201" s="52"/>
    </row>
    <row r="202" customFormat="false" ht="15" hidden="false" customHeight="false" outlineLevel="0" collapsed="false">
      <c r="A202" s="50" t="n">
        <v>46226</v>
      </c>
      <c r="B202" s="51" t="n">
        <f aca="false">IF(A202="","",MONTH(A202))</f>
        <v>7</v>
      </c>
      <c r="C202" s="52" t="s">
        <v>69</v>
      </c>
      <c r="D202" s="52" t="s">
        <v>53</v>
      </c>
      <c r="E202" s="52" t="n">
        <v>1</v>
      </c>
      <c r="F202" s="53" t="n">
        <v>6504000</v>
      </c>
      <c r="G202" s="52" t="n">
        <v>1</v>
      </c>
      <c r="H202" s="54" t="n">
        <f aca="false">IF(E202="","",E202*N(F202)*IF(G202="",1,G202))</f>
        <v>6504000</v>
      </c>
      <c r="I202" s="55" t="str">
        <f aca="false">IF(C202="","",IFERROR(INDEX('DANH MỤC'!$B$5:$B$200,MATCH(C202,'DANH MỤC'!$A$5:$A$200,0)),"⚠ Mã chưa có trong DANH MỤC"))</f>
        <v>Sơn ngoại thất siêu bóng cao cấp Imperia EG09</v>
      </c>
      <c r="J202" s="52" t="s">
        <v>385</v>
      </c>
      <c r="K202" s="52" t="s">
        <v>386</v>
      </c>
      <c r="L202" s="52"/>
    </row>
    <row r="203" customFormat="false" ht="15" hidden="false" customHeight="false" outlineLevel="0" collapsed="false">
      <c r="A203" s="50" t="n">
        <v>46226</v>
      </c>
      <c r="B203" s="51" t="n">
        <f aca="false">IF(A203="","",MONTH(A203))</f>
        <v>7</v>
      </c>
      <c r="C203" s="52" t="s">
        <v>72</v>
      </c>
      <c r="D203" s="52" t="s">
        <v>53</v>
      </c>
      <c r="E203" s="52" t="n">
        <v>1</v>
      </c>
      <c r="F203" s="53" t="n">
        <v>4821000</v>
      </c>
      <c r="G203" s="52" t="n">
        <v>1</v>
      </c>
      <c r="H203" s="54" t="n">
        <f aca="false">IF(E203="","",E203*N(F203)*IF(G203="",1,G203))</f>
        <v>4821000</v>
      </c>
      <c r="I203" s="55" t="str">
        <f aca="false">IF(C203="","",IFERROR(INDEX('DANH MỤC'!$B$5:$B$200,MATCH(C203,'DANH MỤC'!$A$5:$A$200,0)),"⚠ Mã chưa có trong DANH MỤC"))</f>
        <v>Sơn chống thấm màu ETM 309 (ghi đậm)</v>
      </c>
      <c r="J203" s="52" t="s">
        <v>387</v>
      </c>
      <c r="K203" s="52" t="s">
        <v>388</v>
      </c>
      <c r="L203" s="52"/>
    </row>
    <row r="204" customFormat="false" ht="15" hidden="false" customHeight="false" outlineLevel="0" collapsed="false">
      <c r="A204" s="50" t="n">
        <v>46226</v>
      </c>
      <c r="B204" s="51" t="n">
        <f aca="false">IF(A204="","",MONTH(A204))</f>
        <v>7</v>
      </c>
      <c r="C204" s="52" t="s">
        <v>68</v>
      </c>
      <c r="D204" s="52" t="s">
        <v>52</v>
      </c>
      <c r="E204" s="52" t="n">
        <v>1</v>
      </c>
      <c r="F204" s="53" t="n">
        <v>1536000</v>
      </c>
      <c r="G204" s="52" t="n">
        <v>1.15</v>
      </c>
      <c r="H204" s="54" t="n">
        <f aca="false">IF(E204="","",E204*N(F204)*IF(G204="",1,G204))</f>
        <v>1766400</v>
      </c>
      <c r="I204" s="55" t="str">
        <f aca="false">IF(C204="","",IFERROR(INDEX('DANH MỤC'!$B$5:$B$200,MATCH(C204,'DANH MỤC'!$A$5:$A$200,0)),"⚠ Mã chưa có trong DANH MỤC"))</f>
        <v>Sơn ngoại thất cao cấp bóng mờ Imperia ESG10</v>
      </c>
      <c r="J204" s="52" t="s">
        <v>353</v>
      </c>
      <c r="K204" s="52" t="s">
        <v>389</v>
      </c>
      <c r="L204" s="52"/>
    </row>
    <row r="205" customFormat="false" ht="15" hidden="false" customHeight="false" outlineLevel="0" collapsed="false">
      <c r="A205" s="50" t="n">
        <v>46227</v>
      </c>
      <c r="B205" s="51" t="n">
        <f aca="false">IF(A205="","",MONTH(A205))</f>
        <v>7</v>
      </c>
      <c r="C205" s="52" t="s">
        <v>71</v>
      </c>
      <c r="D205" s="52" t="s">
        <v>53</v>
      </c>
      <c r="E205" s="52" t="n">
        <v>1</v>
      </c>
      <c r="F205" s="53" t="n">
        <v>4106000</v>
      </c>
      <c r="G205" s="52" t="n">
        <v>1</v>
      </c>
      <c r="H205" s="54" t="n">
        <f aca="false">IF(E205="","",E205*N(F205)*IF(G205="",1,G205))</f>
        <v>4106000</v>
      </c>
      <c r="I205" s="55" t="str">
        <f aca="false">IF(C205="","",IFERROR(INDEX('DANH MỤC'!$B$5:$B$200,MATCH(C205,'DANH MỤC'!$A$5:$A$200,0)),"⚠ Mã chưa có trong DANH MỤC"))</f>
        <v>Sơn chống thấm đa năng Imperia CT12</v>
      </c>
      <c r="J205" s="52" t="s">
        <v>342</v>
      </c>
      <c r="K205" s="52" t="s">
        <v>390</v>
      </c>
      <c r="L205" s="52"/>
    </row>
    <row r="206" customFormat="false" ht="15" hidden="false" customHeight="false" outlineLevel="0" collapsed="false">
      <c r="A206" s="50" t="n">
        <v>46227</v>
      </c>
      <c r="B206" s="51" t="n">
        <f aca="false">IF(A206="","",MONTH(A206))</f>
        <v>7</v>
      </c>
      <c r="C206" s="52" t="s">
        <v>68</v>
      </c>
      <c r="D206" s="52" t="s">
        <v>53</v>
      </c>
      <c r="E206" s="52" t="n">
        <v>1</v>
      </c>
      <c r="F206" s="53" t="n">
        <v>5331000</v>
      </c>
      <c r="G206" s="52" t="n">
        <v>1</v>
      </c>
      <c r="H206" s="54" t="n">
        <f aca="false">IF(E206="","",E206*N(F206)*IF(G206="",1,G206))</f>
        <v>5331000</v>
      </c>
      <c r="I206" s="55" t="str">
        <f aca="false">IF(C206="","",IFERROR(INDEX('DANH MỤC'!$B$5:$B$200,MATCH(C206,'DANH MỤC'!$A$5:$A$200,0)),"⚠ Mã chưa có trong DANH MỤC"))</f>
        <v>Sơn ngoại thất cao cấp bóng mờ Imperia ESG10</v>
      </c>
      <c r="J206" s="52" t="s">
        <v>131</v>
      </c>
      <c r="K206" s="52" t="s">
        <v>391</v>
      </c>
      <c r="L206" s="52"/>
    </row>
    <row r="207" customFormat="false" ht="15" hidden="false" customHeight="false" outlineLevel="0" collapsed="false">
      <c r="A207" s="50" t="n">
        <v>46227</v>
      </c>
      <c r="B207" s="51" t="n">
        <f aca="false">IF(A207="","",MONTH(A207))</f>
        <v>7</v>
      </c>
      <c r="C207" s="52" t="s">
        <v>51</v>
      </c>
      <c r="D207" s="52" t="s">
        <v>53</v>
      </c>
      <c r="E207" s="52" t="n">
        <v>3</v>
      </c>
      <c r="F207" s="53" t="n">
        <v>3012000</v>
      </c>
      <c r="G207" s="52" t="n">
        <v>1</v>
      </c>
      <c r="H207" s="54" t="n">
        <f aca="false">IF(E207="","",E207*N(F207)*IF(G207="",1,G207))</f>
        <v>9036000</v>
      </c>
      <c r="I207" s="55" t="str">
        <f aca="false">IF(C207="","",IFERROR(INDEX('DANH MỤC'!$B$5:$B$200,MATCH(C207,'DANH MỤC'!$A$5:$A$200,0)),"⚠ Mã chưa có trong DANH MỤC"))</f>
        <v>Sơn lót nội thất kháng kiềm cao cấp Imperia PI04</v>
      </c>
      <c r="J207" s="52"/>
      <c r="K207" s="52" t="s">
        <v>392</v>
      </c>
      <c r="L207" s="52"/>
    </row>
    <row r="208" customFormat="false" ht="15" hidden="false" customHeight="false" outlineLevel="0" collapsed="false">
      <c r="A208" s="50" t="n">
        <v>46227</v>
      </c>
      <c r="B208" s="51" t="n">
        <f aca="false">IF(A208="","",MONTH(A208))</f>
        <v>7</v>
      </c>
      <c r="C208" s="52" t="s">
        <v>72</v>
      </c>
      <c r="D208" s="52" t="s">
        <v>53</v>
      </c>
      <c r="E208" s="52" t="n">
        <v>2</v>
      </c>
      <c r="F208" s="53" t="n">
        <v>4821000</v>
      </c>
      <c r="G208" s="52" t="n">
        <v>1</v>
      </c>
      <c r="H208" s="54" t="n">
        <f aca="false">IF(E208="","",E208*N(F208)*IF(G208="",1,G208))</f>
        <v>9642000</v>
      </c>
      <c r="I208" s="55" t="str">
        <f aca="false">IF(C208="","",IFERROR(INDEX('DANH MỤC'!$B$5:$B$200,MATCH(C208,'DANH MỤC'!$A$5:$A$200,0)),"⚠ Mã chưa có trong DANH MỤC"))</f>
        <v>Sơn chống thấm màu ETM 309 (ghi đậm)</v>
      </c>
      <c r="J208" s="52" t="s">
        <v>149</v>
      </c>
      <c r="K208" s="52" t="s">
        <v>393</v>
      </c>
      <c r="L208" s="52"/>
    </row>
    <row r="209" customFormat="false" ht="15" hidden="false" customHeight="false" outlineLevel="0" collapsed="false">
      <c r="A209" s="50" t="n">
        <v>46227</v>
      </c>
      <c r="B209" s="51" t="n">
        <f aca="false">IF(A209="","",MONTH(A209))</f>
        <v>7</v>
      </c>
      <c r="C209" s="52" t="s">
        <v>71</v>
      </c>
      <c r="D209" s="52" t="s">
        <v>53</v>
      </c>
      <c r="E209" s="52" t="n">
        <v>2</v>
      </c>
      <c r="F209" s="53" t="n">
        <v>4106000</v>
      </c>
      <c r="G209" s="52" t="n">
        <v>1</v>
      </c>
      <c r="H209" s="54" t="n">
        <f aca="false">IF(E209="","",E209*N(F209)*IF(G209="",1,G209))</f>
        <v>8212000</v>
      </c>
      <c r="I209" s="55" t="str">
        <f aca="false">IF(C209="","",IFERROR(INDEX('DANH MỤC'!$B$5:$B$200,MATCH(C209,'DANH MỤC'!$A$5:$A$200,0)),"⚠ Mã chưa có trong DANH MỤC"))</f>
        <v>Sơn chống thấm đa năng Imperia CT12</v>
      </c>
      <c r="J209" s="52"/>
      <c r="K209" s="52" t="s">
        <v>394</v>
      </c>
      <c r="L209" s="52"/>
    </row>
    <row r="210" customFormat="false" ht="15" hidden="false" customHeight="false" outlineLevel="0" collapsed="false">
      <c r="A210" s="50" t="n">
        <v>46227</v>
      </c>
      <c r="B210" s="51" t="n">
        <f aca="false">IF(A210="","",MONTH(A210))</f>
        <v>7</v>
      </c>
      <c r="C210" s="52" t="s">
        <v>59</v>
      </c>
      <c r="D210" s="52" t="s">
        <v>53</v>
      </c>
      <c r="E210" s="52" t="n">
        <v>1</v>
      </c>
      <c r="F210" s="53" t="n">
        <v>2712000</v>
      </c>
      <c r="G210" s="52" t="n">
        <v>1</v>
      </c>
      <c r="H210" s="54" t="n">
        <f aca="false">IF(E210="","",E210*N(F210)*IF(G210="",1,G210))</f>
        <v>2712000</v>
      </c>
      <c r="I210" s="55" t="str">
        <f aca="false">IF(C210="","",IFERROR(INDEX('DANH MỤC'!$B$5:$B$200,MATCH(C210,'DANH MỤC'!$A$5:$A$200,0)),"⚠ Mã chưa có trong DANH MỤC"))</f>
        <v>Sơn nội thất siêu trắng Imperia IEW</v>
      </c>
      <c r="J210" s="52"/>
      <c r="K210" s="52" t="s">
        <v>395</v>
      </c>
      <c r="L210" s="52"/>
    </row>
    <row r="211" customFormat="false" ht="15" hidden="false" customHeight="false" outlineLevel="0" collapsed="false">
      <c r="A211" s="50" t="n">
        <v>46227</v>
      </c>
      <c r="B211" s="51" t="n">
        <f aca="false">IF(A211="","",MONTH(A211))</f>
        <v>7</v>
      </c>
      <c r="C211" s="52" t="s">
        <v>54</v>
      </c>
      <c r="D211" s="52" t="s">
        <v>53</v>
      </c>
      <c r="E211" s="52" t="n">
        <v>1</v>
      </c>
      <c r="F211" s="53" t="n">
        <v>4106000</v>
      </c>
      <c r="G211" s="52" t="n">
        <v>1</v>
      </c>
      <c r="H211" s="54" t="n">
        <f aca="false">IF(E211="","",E211*N(F211)*IF(G211="",1,G211))</f>
        <v>4106000</v>
      </c>
      <c r="I211" s="55" t="str">
        <f aca="false">IF(C211="","",IFERROR(INDEX('DANH MỤC'!$B$5:$B$200,MATCH(C211,'DANH MỤC'!$A$5:$A$200,0)),"⚠ Mã chưa có trong DANH MỤC"))</f>
        <v>Sơn lót ngoại thất kháng kiềm cao cấp Imperia PE02</v>
      </c>
      <c r="J211" s="52"/>
      <c r="K211" s="52" t="s">
        <v>396</v>
      </c>
      <c r="L211" s="52"/>
    </row>
    <row r="212" customFormat="false" ht="15" hidden="false" customHeight="false" outlineLevel="0" collapsed="false">
      <c r="A212" s="50" t="n">
        <v>46227</v>
      </c>
      <c r="B212" s="51" t="n">
        <f aca="false">IF(A212="","",MONTH(A212))</f>
        <v>7</v>
      </c>
      <c r="C212" s="52" t="s">
        <v>69</v>
      </c>
      <c r="D212" s="52" t="s">
        <v>52</v>
      </c>
      <c r="E212" s="52" t="n">
        <v>1</v>
      </c>
      <c r="F212" s="53" t="n">
        <v>2089000</v>
      </c>
      <c r="G212" s="52" t="n">
        <v>1</v>
      </c>
      <c r="H212" s="54" t="n">
        <f aca="false">IF(E212="","",E212*N(F212)*IF(G212="",1,G212))</f>
        <v>2089000</v>
      </c>
      <c r="I212" s="55" t="str">
        <f aca="false">IF(C212="","",IFERROR(INDEX('DANH MỤC'!$B$5:$B$200,MATCH(C212,'DANH MỤC'!$A$5:$A$200,0)),"⚠ Mã chưa có trong DANH MỤC"))</f>
        <v>Sơn ngoại thất siêu bóng cao cấp Imperia EG09</v>
      </c>
      <c r="J212" s="52"/>
      <c r="K212" s="52" t="s">
        <v>397</v>
      </c>
      <c r="L212" s="52"/>
    </row>
    <row r="213" customFormat="false" ht="15" hidden="false" customHeight="false" outlineLevel="0" collapsed="false">
      <c r="A213" s="50" t="n">
        <v>46227</v>
      </c>
      <c r="B213" s="51" t="n">
        <f aca="false">IF(A213="","",MONTH(A213))</f>
        <v>7</v>
      </c>
      <c r="C213" s="52" t="s">
        <v>62</v>
      </c>
      <c r="D213" s="52" t="s">
        <v>53</v>
      </c>
      <c r="E213" s="52" t="n">
        <v>6</v>
      </c>
      <c r="F213" s="53" t="n">
        <v>5530000</v>
      </c>
      <c r="G213" s="52" t="n">
        <v>1</v>
      </c>
      <c r="H213" s="54" t="n">
        <f aca="false">IF(E213="","",E213*N(F213)*IF(G213="",1,G213))</f>
        <v>33180000</v>
      </c>
      <c r="I213" s="55" t="str">
        <f aca="false">IF(C213="","",IFERROR(INDEX('DANH MỤC'!$B$5:$B$200,MATCH(C213,'DANH MỤC'!$A$5:$A$200,0)),"⚠ Mã chưa có trong DANH MỤC"))</f>
        <v>Sơn nội thất siêu bóng cao cấp Imperia IG05</v>
      </c>
      <c r="J213" s="52" t="s">
        <v>385</v>
      </c>
      <c r="K213" s="52" t="s">
        <v>398</v>
      </c>
      <c r="L213" s="52"/>
    </row>
    <row r="214" customFormat="false" ht="15" hidden="false" customHeight="false" outlineLevel="0" collapsed="false">
      <c r="A214" s="50" t="n">
        <v>46227</v>
      </c>
      <c r="B214" s="51" t="n">
        <f aca="false">IF(A214="","",MONTH(A214))</f>
        <v>7</v>
      </c>
      <c r="C214" s="52" t="s">
        <v>51</v>
      </c>
      <c r="D214" s="52" t="s">
        <v>53</v>
      </c>
      <c r="E214" s="52" t="n">
        <v>3</v>
      </c>
      <c r="F214" s="53" t="n">
        <v>3012000</v>
      </c>
      <c r="G214" s="52" t="n">
        <v>1</v>
      </c>
      <c r="H214" s="54" t="n">
        <f aca="false">IF(E214="","",E214*N(F214)*IF(G214="",1,G214))</f>
        <v>9036000</v>
      </c>
      <c r="I214" s="55" t="str">
        <f aca="false">IF(C214="","",IFERROR(INDEX('DANH MỤC'!$B$5:$B$200,MATCH(C214,'DANH MỤC'!$A$5:$A$200,0)),"⚠ Mã chưa có trong DANH MỤC"))</f>
        <v>Sơn lót nội thất kháng kiềm cao cấp Imperia PI04</v>
      </c>
      <c r="J214" s="52" t="s">
        <v>399</v>
      </c>
      <c r="K214" s="52" t="s">
        <v>400</v>
      </c>
      <c r="L214" s="52"/>
    </row>
    <row r="215" customFormat="false" ht="15" hidden="false" customHeight="false" outlineLevel="0" collapsed="false">
      <c r="A215" s="50" t="n">
        <v>46227</v>
      </c>
      <c r="B215" s="51" t="n">
        <f aca="false">IF(A215="","",MONTH(A215))</f>
        <v>7</v>
      </c>
      <c r="C215" s="52" t="s">
        <v>68</v>
      </c>
      <c r="D215" s="52" t="s">
        <v>52</v>
      </c>
      <c r="E215" s="52" t="n">
        <v>1</v>
      </c>
      <c r="F215" s="53" t="n">
        <v>1536000</v>
      </c>
      <c r="G215" s="52" t="n">
        <v>1.2</v>
      </c>
      <c r="H215" s="54" t="n">
        <f aca="false">IF(E215="","",E215*N(F215)*IF(G215="",1,G215))</f>
        <v>1843200</v>
      </c>
      <c r="I215" s="55" t="str">
        <f aca="false">IF(C215="","",IFERROR(INDEX('DANH MỤC'!$B$5:$B$200,MATCH(C215,'DANH MỤC'!$A$5:$A$200,0)),"⚠ Mã chưa có trong DANH MỤC"))</f>
        <v>Sơn ngoại thất cao cấp bóng mờ Imperia ESG10</v>
      </c>
      <c r="J215" s="52" t="s">
        <v>401</v>
      </c>
      <c r="K215" s="52" t="s">
        <v>402</v>
      </c>
      <c r="L215" s="52"/>
    </row>
    <row r="216" customFormat="false" ht="15" hidden="false" customHeight="false" outlineLevel="0" collapsed="false">
      <c r="A216" s="50" t="n">
        <v>46227</v>
      </c>
      <c r="B216" s="51" t="n">
        <f aca="false">IF(A216="","",MONTH(A216))</f>
        <v>7</v>
      </c>
      <c r="C216" s="52" t="s">
        <v>62</v>
      </c>
      <c r="D216" s="52" t="s">
        <v>53</v>
      </c>
      <c r="E216" s="52" t="n">
        <v>1</v>
      </c>
      <c r="F216" s="53" t="n">
        <v>5530000</v>
      </c>
      <c r="G216" s="52" t="n">
        <v>1</v>
      </c>
      <c r="H216" s="54" t="n">
        <f aca="false">IF(E216="","",E216*N(F216)*IF(G216="",1,G216))</f>
        <v>5530000</v>
      </c>
      <c r="I216" s="55" t="str">
        <f aca="false">IF(C216="","",IFERROR(INDEX('DANH MỤC'!$B$5:$B$200,MATCH(C216,'DANH MỤC'!$A$5:$A$200,0)),"⚠ Mã chưa có trong DANH MỤC"))</f>
        <v>Sơn nội thất siêu bóng cao cấp Imperia IG05</v>
      </c>
      <c r="J216" s="52"/>
      <c r="K216" s="52" t="s">
        <v>403</v>
      </c>
      <c r="L216" s="52"/>
    </row>
    <row r="217" customFormat="false" ht="15" hidden="false" customHeight="false" outlineLevel="0" collapsed="false">
      <c r="A217" s="50" t="n">
        <v>46230</v>
      </c>
      <c r="B217" s="51" t="n">
        <f aca="false">IF(A217="","",MONTH(A217))</f>
        <v>7</v>
      </c>
      <c r="C217" s="52" t="s">
        <v>72</v>
      </c>
      <c r="D217" s="52" t="s">
        <v>53</v>
      </c>
      <c r="E217" s="52" t="n">
        <v>1</v>
      </c>
      <c r="F217" s="53" t="n">
        <v>4821000</v>
      </c>
      <c r="G217" s="52" t="n">
        <v>10</v>
      </c>
      <c r="H217" s="54" t="n">
        <f aca="false">IF(E217="","",E217*N(F217)*IF(G217="",1,G217))</f>
        <v>48210000</v>
      </c>
      <c r="I217" s="55" t="str">
        <f aca="false">IF(C217="","",IFERROR(INDEX('DANH MỤC'!$B$5:$B$200,MATCH(C217,'DANH MỤC'!$A$5:$A$200,0)),"⚠ Mã chưa có trong DANH MỤC"))</f>
        <v>Sơn chống thấm màu ETM 309 (ghi đậm)</v>
      </c>
      <c r="J217" s="52" t="s">
        <v>149</v>
      </c>
      <c r="K217" s="52" t="s">
        <v>404</v>
      </c>
      <c r="L217" s="56" t="s">
        <v>405</v>
      </c>
    </row>
    <row r="218" customFormat="false" ht="15" hidden="false" customHeight="false" outlineLevel="0" collapsed="false">
      <c r="A218" s="50" t="n">
        <v>46232</v>
      </c>
      <c r="B218" s="51" t="n">
        <f aca="false">IF(A218="","",MONTH(A218))</f>
        <v>7</v>
      </c>
      <c r="C218" s="52" t="s">
        <v>62</v>
      </c>
      <c r="D218" s="52" t="s">
        <v>53</v>
      </c>
      <c r="E218" s="52" t="n">
        <v>2</v>
      </c>
      <c r="F218" s="53" t="n">
        <v>5530000</v>
      </c>
      <c r="G218" s="52" t="n">
        <v>1</v>
      </c>
      <c r="H218" s="54" t="n">
        <f aca="false">IF(E218="","",E218*N(F218)*IF(G218="",1,G218))</f>
        <v>11060000</v>
      </c>
      <c r="I218" s="55" t="str">
        <f aca="false">IF(C218="","",IFERROR(INDEX('DANH MỤC'!$B$5:$B$200,MATCH(C218,'DANH MỤC'!$A$5:$A$200,0)),"⚠ Mã chưa có trong DANH MỤC"))</f>
        <v>Sơn nội thất siêu bóng cao cấp Imperia IG05</v>
      </c>
      <c r="J218" s="52" t="s">
        <v>327</v>
      </c>
      <c r="K218" s="52" t="s">
        <v>406</v>
      </c>
      <c r="L218" s="52"/>
    </row>
    <row r="219" customFormat="false" ht="15" hidden="false" customHeight="false" outlineLevel="0" collapsed="false">
      <c r="A219" s="50" t="n">
        <v>46237</v>
      </c>
      <c r="B219" s="51" t="n">
        <f aca="false">IF(A219="","",MONTH(A219))</f>
        <v>8</v>
      </c>
      <c r="C219" s="52" t="s">
        <v>69</v>
      </c>
      <c r="D219" s="52" t="s">
        <v>52</v>
      </c>
      <c r="E219" s="52" t="n">
        <v>1</v>
      </c>
      <c r="F219" s="53" t="n">
        <v>2089000</v>
      </c>
      <c r="G219" s="52" t="n">
        <v>1</v>
      </c>
      <c r="H219" s="54" t="n">
        <f aca="false">IF(E219="","",E219*N(F219)*IF(G219="",1,G219))</f>
        <v>2089000</v>
      </c>
      <c r="I219" s="55" t="str">
        <f aca="false">IF(C219="","",IFERROR(INDEX('DANH MỤC'!$B$5:$B$200,MATCH(C219,'DANH MỤC'!$A$5:$A$200,0)),"⚠ Mã chưa có trong DANH MỤC"))</f>
        <v>Sơn ngoại thất siêu bóng cao cấp Imperia EG09</v>
      </c>
      <c r="J219" s="52" t="s">
        <v>133</v>
      </c>
      <c r="K219" s="52" t="s">
        <v>407</v>
      </c>
      <c r="L219" s="52"/>
    </row>
    <row r="220" customFormat="false" ht="15" hidden="false" customHeight="false" outlineLevel="0" collapsed="false">
      <c r="A220" s="50" t="n">
        <v>46237</v>
      </c>
      <c r="B220" s="51" t="n">
        <f aca="false">IF(A220="","",MONTH(A220))</f>
        <v>8</v>
      </c>
      <c r="C220" s="52" t="s">
        <v>54</v>
      </c>
      <c r="D220" s="52" t="s">
        <v>52</v>
      </c>
      <c r="E220" s="52" t="n">
        <v>1</v>
      </c>
      <c r="F220" s="53" t="n">
        <v>1419000</v>
      </c>
      <c r="G220" s="52" t="n">
        <v>1</v>
      </c>
      <c r="H220" s="54" t="n">
        <f aca="false">IF(E220="","",E220*N(F220)*IF(G220="",1,G220))</f>
        <v>1419000</v>
      </c>
      <c r="I220" s="55" t="str">
        <f aca="false">IF(C220="","",IFERROR(INDEX('DANH MỤC'!$B$5:$B$200,MATCH(C220,'DANH MỤC'!$A$5:$A$200,0)),"⚠ Mã chưa có trong DANH MỤC"))</f>
        <v>Sơn lót ngoại thất kháng kiềm cao cấp Imperia PE02</v>
      </c>
      <c r="J220" s="52"/>
      <c r="K220" s="52" t="s">
        <v>408</v>
      </c>
      <c r="L220" s="52"/>
    </row>
    <row r="221" customFormat="false" ht="15" hidden="false" customHeight="false" outlineLevel="0" collapsed="false">
      <c r="A221" s="50" t="n">
        <v>46241</v>
      </c>
      <c r="B221" s="51" t="n">
        <f aca="false">IF(A221="","",MONTH(A221))</f>
        <v>8</v>
      </c>
      <c r="C221" s="52" t="s">
        <v>54</v>
      </c>
      <c r="D221" s="52" t="s">
        <v>53</v>
      </c>
      <c r="E221" s="52" t="n">
        <v>3</v>
      </c>
      <c r="F221" s="53" t="n">
        <v>4106000</v>
      </c>
      <c r="G221" s="52" t="n">
        <v>1</v>
      </c>
      <c r="H221" s="54" t="n">
        <f aca="false">IF(E221="","",E221*N(F221)*IF(G221="",1,G221))</f>
        <v>12318000</v>
      </c>
      <c r="I221" s="55" t="str">
        <f aca="false">IF(C221="","",IFERROR(INDEX('DANH MỤC'!$B$5:$B$200,MATCH(C221,'DANH MỤC'!$A$5:$A$200,0)),"⚠ Mã chưa có trong DANH MỤC"))</f>
        <v>Sơn lót ngoại thất kháng kiềm cao cấp Imperia PE02</v>
      </c>
      <c r="J221" s="52"/>
      <c r="K221" s="52" t="s">
        <v>409</v>
      </c>
      <c r="L221" s="52"/>
    </row>
    <row r="222" customFormat="false" ht="15" hidden="false" customHeight="false" outlineLevel="0" collapsed="false">
      <c r="A222" s="50" t="n">
        <v>46241</v>
      </c>
      <c r="B222" s="51" t="n">
        <f aca="false">IF(A222="","",MONTH(A222))</f>
        <v>8</v>
      </c>
      <c r="C222" s="52" t="s">
        <v>72</v>
      </c>
      <c r="D222" s="52" t="s">
        <v>53</v>
      </c>
      <c r="E222" s="52" t="n">
        <v>2</v>
      </c>
      <c r="F222" s="53" t="n">
        <v>4821000</v>
      </c>
      <c r="G222" s="52" t="n">
        <v>1</v>
      </c>
      <c r="H222" s="54" t="n">
        <f aca="false">IF(E222="","",E222*N(F222)*IF(G222="",1,G222))</f>
        <v>9642000</v>
      </c>
      <c r="I222" s="55" t="str">
        <f aca="false">IF(C222="","",IFERROR(INDEX('DANH MỤC'!$B$5:$B$200,MATCH(C222,'DANH MỤC'!$A$5:$A$200,0)),"⚠ Mã chưa có trong DANH MỤC"))</f>
        <v>Sơn chống thấm màu ETM 309 (ghi đậm)</v>
      </c>
      <c r="J222" s="52" t="s">
        <v>179</v>
      </c>
      <c r="K222" s="52" t="s">
        <v>410</v>
      </c>
      <c r="L222" s="52"/>
    </row>
    <row r="223" customFormat="false" ht="15" hidden="false" customHeight="false" outlineLevel="0" collapsed="false">
      <c r="A223" s="50" t="n">
        <v>46244</v>
      </c>
      <c r="B223" s="51" t="n">
        <f aca="false">IF(A223="","",MONTH(A223))</f>
        <v>8</v>
      </c>
      <c r="C223" s="52" t="s">
        <v>51</v>
      </c>
      <c r="D223" s="52" t="s">
        <v>53</v>
      </c>
      <c r="E223" s="52" t="n">
        <v>5</v>
      </c>
      <c r="F223" s="53" t="n">
        <v>3012000</v>
      </c>
      <c r="G223" s="52" t="n">
        <v>1</v>
      </c>
      <c r="H223" s="54" t="n">
        <f aca="false">IF(E223="","",E223*N(F223)*IF(G223="",1,G223))</f>
        <v>15060000</v>
      </c>
      <c r="I223" s="55" t="str">
        <f aca="false">IF(C223="","",IFERROR(INDEX('DANH MỤC'!$B$5:$B$200,MATCH(C223,'DANH MỤC'!$A$5:$A$200,0)),"⚠ Mã chưa có trong DANH MỤC"))</f>
        <v>Sơn lót nội thất kháng kiềm cao cấp Imperia PI04</v>
      </c>
      <c r="J223" s="52"/>
      <c r="K223" s="52" t="s">
        <v>411</v>
      </c>
      <c r="L223" s="52"/>
    </row>
    <row r="224" customFormat="false" ht="15" hidden="false" customHeight="false" outlineLevel="0" collapsed="false">
      <c r="A224" s="50" t="n">
        <v>46244</v>
      </c>
      <c r="B224" s="51" t="n">
        <f aca="false">IF(A224="","",MONTH(A224))</f>
        <v>8</v>
      </c>
      <c r="C224" s="52" t="s">
        <v>54</v>
      </c>
      <c r="D224" s="52" t="s">
        <v>53</v>
      </c>
      <c r="E224" s="52" t="n">
        <v>5</v>
      </c>
      <c r="F224" s="53" t="n">
        <v>4106000</v>
      </c>
      <c r="G224" s="52" t="n">
        <v>1</v>
      </c>
      <c r="H224" s="54" t="n">
        <f aca="false">IF(E224="","",E224*N(F224)*IF(G224="",1,G224))</f>
        <v>20530000</v>
      </c>
      <c r="I224" s="55" t="str">
        <f aca="false">IF(C224="","",IFERROR(INDEX('DANH MỤC'!$B$5:$B$200,MATCH(C224,'DANH MỤC'!$A$5:$A$200,0)),"⚠ Mã chưa có trong DANH MỤC"))</f>
        <v>Sơn lót ngoại thất kháng kiềm cao cấp Imperia PE02</v>
      </c>
      <c r="J224" s="52"/>
      <c r="K224" s="52" t="s">
        <v>412</v>
      </c>
      <c r="L224" s="52"/>
    </row>
    <row r="225" customFormat="false" ht="15" hidden="false" customHeight="false" outlineLevel="0" collapsed="false">
      <c r="A225" s="50" t="n">
        <v>46244</v>
      </c>
      <c r="B225" s="51" t="n">
        <f aca="false">IF(A225="","",MONTH(A225))</f>
        <v>8</v>
      </c>
      <c r="C225" s="52" t="s">
        <v>69</v>
      </c>
      <c r="D225" s="52" t="s">
        <v>53</v>
      </c>
      <c r="E225" s="52" t="n">
        <v>3</v>
      </c>
      <c r="F225" s="53" t="n">
        <v>6504000</v>
      </c>
      <c r="G225" s="52" t="n">
        <v>1</v>
      </c>
      <c r="H225" s="54" t="n">
        <f aca="false">IF(E225="","",E225*N(F225)*IF(G225="",1,G225))</f>
        <v>19512000</v>
      </c>
      <c r="I225" s="55" t="str">
        <f aca="false">IF(C225="","",IFERROR(INDEX('DANH MỤC'!$B$5:$B$200,MATCH(C225,'DANH MỤC'!$A$5:$A$200,0)),"⚠ Mã chưa có trong DANH MỤC"))</f>
        <v>Sơn ngoại thất siêu bóng cao cấp Imperia EG09</v>
      </c>
      <c r="J225" s="52" t="s">
        <v>179</v>
      </c>
      <c r="K225" s="52" t="s">
        <v>413</v>
      </c>
      <c r="L225" s="52"/>
    </row>
    <row r="226" customFormat="false" ht="15" hidden="false" customHeight="false" outlineLevel="0" collapsed="false">
      <c r="A226" s="50" t="n">
        <v>46244</v>
      </c>
      <c r="B226" s="51" t="n">
        <f aca="false">IF(A226="","",MONTH(A226))</f>
        <v>8</v>
      </c>
      <c r="C226" s="52" t="s">
        <v>62</v>
      </c>
      <c r="D226" s="52" t="s">
        <v>53</v>
      </c>
      <c r="E226" s="52" t="n">
        <v>6</v>
      </c>
      <c r="F226" s="53" t="n">
        <v>5530000</v>
      </c>
      <c r="G226" s="52" t="n">
        <v>1</v>
      </c>
      <c r="H226" s="54" t="n">
        <f aca="false">IF(E226="","",E226*N(F226)*IF(G226="",1,G226))</f>
        <v>33180000</v>
      </c>
      <c r="I226" s="55" t="str">
        <f aca="false">IF(C226="","",IFERROR(INDEX('DANH MỤC'!$B$5:$B$200,MATCH(C226,'DANH MỤC'!$A$5:$A$200,0)),"⚠ Mã chưa có trong DANH MỤC"))</f>
        <v>Sơn nội thất siêu bóng cao cấp Imperia IG05</v>
      </c>
      <c r="J226" s="52" t="s">
        <v>414</v>
      </c>
      <c r="K226" s="52" t="s">
        <v>415</v>
      </c>
      <c r="L226" s="52"/>
    </row>
    <row r="227" customFormat="false" ht="15" hidden="false" customHeight="false" outlineLevel="0" collapsed="false">
      <c r="A227" s="50" t="n">
        <v>46244</v>
      </c>
      <c r="B227" s="51" t="n">
        <f aca="false">IF(A227="","",MONTH(A227))</f>
        <v>8</v>
      </c>
      <c r="C227" s="52" t="s">
        <v>59</v>
      </c>
      <c r="D227" s="52" t="s">
        <v>53</v>
      </c>
      <c r="E227" s="52" t="n">
        <v>3</v>
      </c>
      <c r="F227" s="53" t="n">
        <v>2712000</v>
      </c>
      <c r="G227" s="52" t="n">
        <v>1</v>
      </c>
      <c r="H227" s="54" t="n">
        <f aca="false">IF(E227="","",E227*N(F227)*IF(G227="",1,G227))</f>
        <v>8136000</v>
      </c>
      <c r="I227" s="55" t="str">
        <f aca="false">IF(C227="","",IFERROR(INDEX('DANH MỤC'!$B$5:$B$200,MATCH(C227,'DANH MỤC'!$A$5:$A$200,0)),"⚠ Mã chưa có trong DANH MỤC"))</f>
        <v>Sơn nội thất siêu trắng Imperia IEW</v>
      </c>
      <c r="J227" s="52"/>
      <c r="K227" s="52" t="s">
        <v>416</v>
      </c>
      <c r="L227" s="52"/>
    </row>
    <row r="228" customFormat="false" ht="15" hidden="false" customHeight="false" outlineLevel="0" collapsed="false">
      <c r="A228" s="50" t="n">
        <v>46244</v>
      </c>
      <c r="B228" s="51" t="n">
        <f aca="false">IF(A228="","",MONTH(A228))</f>
        <v>8</v>
      </c>
      <c r="C228" s="52" t="s">
        <v>69</v>
      </c>
      <c r="D228" s="52" t="s">
        <v>52</v>
      </c>
      <c r="E228" s="52" t="n">
        <v>1</v>
      </c>
      <c r="F228" s="53" t="n">
        <v>2089000</v>
      </c>
      <c r="G228" s="52" t="n">
        <v>1.2</v>
      </c>
      <c r="H228" s="54" t="n">
        <f aca="false">IF(E228="","",E228*N(F228)*IF(G228="",1,G228))</f>
        <v>2506800</v>
      </c>
      <c r="I228" s="55" t="str">
        <f aca="false">IF(C228="","",IFERROR(INDEX('DANH MỤC'!$B$5:$B$200,MATCH(C228,'DANH MỤC'!$A$5:$A$200,0)),"⚠ Mã chưa có trong DANH MỤC"))</f>
        <v>Sơn ngoại thất siêu bóng cao cấp Imperia EG09</v>
      </c>
      <c r="J228" s="52" t="s">
        <v>417</v>
      </c>
      <c r="K228" s="52" t="s">
        <v>418</v>
      </c>
      <c r="L228" s="52"/>
    </row>
    <row r="229" customFormat="false" ht="15" hidden="false" customHeight="false" outlineLevel="0" collapsed="false">
      <c r="A229" s="50" t="n">
        <v>46244</v>
      </c>
      <c r="B229" s="51" t="n">
        <f aca="false">IF(A229="","",MONTH(A229))</f>
        <v>8</v>
      </c>
      <c r="C229" s="52" t="s">
        <v>72</v>
      </c>
      <c r="D229" s="52" t="s">
        <v>53</v>
      </c>
      <c r="E229" s="52" t="n">
        <v>4</v>
      </c>
      <c r="F229" s="53" t="n">
        <v>4821000</v>
      </c>
      <c r="G229" s="52" t="n">
        <v>1</v>
      </c>
      <c r="H229" s="54" t="n">
        <f aca="false">IF(E229="","",E229*N(F229)*IF(G229="",1,G229))</f>
        <v>19284000</v>
      </c>
      <c r="I229" s="55" t="str">
        <f aca="false">IF(C229="","",IFERROR(INDEX('DANH MỤC'!$B$5:$B$200,MATCH(C229,'DANH MỤC'!$A$5:$A$200,0)),"⚠ Mã chưa có trong DANH MỤC"))</f>
        <v>Sơn chống thấm màu ETM 309 (ghi đậm)</v>
      </c>
      <c r="J229" s="52" t="s">
        <v>179</v>
      </c>
      <c r="K229" s="52" t="s">
        <v>419</v>
      </c>
      <c r="L229" s="52"/>
    </row>
    <row r="230" customFormat="false" ht="15" hidden="false" customHeight="false" outlineLevel="0" collapsed="false">
      <c r="A230" s="50" t="n">
        <v>46244</v>
      </c>
      <c r="B230" s="51" t="n">
        <f aca="false">IF(A230="","",MONTH(A230))</f>
        <v>8</v>
      </c>
      <c r="C230" s="52" t="s">
        <v>62</v>
      </c>
      <c r="D230" s="52" t="s">
        <v>52</v>
      </c>
      <c r="E230" s="52" t="n">
        <v>2</v>
      </c>
      <c r="F230" s="53" t="n">
        <v>1874000</v>
      </c>
      <c r="G230" s="52" t="n">
        <v>1</v>
      </c>
      <c r="H230" s="54" t="n">
        <f aca="false">IF(E230="","",E230*N(F230)*IF(G230="",1,G230))</f>
        <v>3748000</v>
      </c>
      <c r="I230" s="55" t="str">
        <f aca="false">IF(C230="","",IFERROR(INDEX('DANH MỤC'!$B$5:$B$200,MATCH(C230,'DANH MỤC'!$A$5:$A$200,0)),"⚠ Mã chưa có trong DANH MỤC"))</f>
        <v>Sơn nội thất siêu bóng cao cấp Imperia IG05</v>
      </c>
      <c r="J230" s="52" t="s">
        <v>420</v>
      </c>
      <c r="K230" s="52" t="s">
        <v>421</v>
      </c>
      <c r="L230" s="52"/>
    </row>
    <row r="231" customFormat="false" ht="15" hidden="false" customHeight="false" outlineLevel="0" collapsed="false">
      <c r="A231" s="50" t="n">
        <v>46244</v>
      </c>
      <c r="B231" s="51" t="n">
        <f aca="false">IF(A231="","",MONTH(A231))</f>
        <v>8</v>
      </c>
      <c r="C231" s="52" t="s">
        <v>69</v>
      </c>
      <c r="D231" s="52" t="s">
        <v>52</v>
      </c>
      <c r="E231" s="52" t="n">
        <v>1</v>
      </c>
      <c r="F231" s="53" t="n">
        <v>2089000</v>
      </c>
      <c r="G231" s="52" t="n">
        <v>1.15</v>
      </c>
      <c r="H231" s="54" t="n">
        <f aca="false">IF(E231="","",E231*N(F231)*IF(G231="",1,G231))</f>
        <v>2402350</v>
      </c>
      <c r="I231" s="55" t="str">
        <f aca="false">IF(C231="","",IFERROR(INDEX('DANH MỤC'!$B$5:$B$200,MATCH(C231,'DANH MỤC'!$A$5:$A$200,0)),"⚠ Mã chưa có trong DANH MỤC"))</f>
        <v>Sơn ngoại thất siêu bóng cao cấp Imperia EG09</v>
      </c>
      <c r="J231" s="52" t="s">
        <v>422</v>
      </c>
      <c r="K231" s="52" t="s">
        <v>423</v>
      </c>
      <c r="L231" s="52"/>
    </row>
    <row r="232" customFormat="false" ht="15" hidden="false" customHeight="false" outlineLevel="0" collapsed="false">
      <c r="A232" s="50" t="n">
        <v>46244</v>
      </c>
      <c r="B232" s="51" t="n">
        <f aca="false">IF(A232="","",MONTH(A232))</f>
        <v>8</v>
      </c>
      <c r="C232" s="52" t="s">
        <v>69</v>
      </c>
      <c r="D232" s="52" t="s">
        <v>66</v>
      </c>
      <c r="E232" s="52" t="n">
        <v>1</v>
      </c>
      <c r="F232" s="53" t="n">
        <v>479000</v>
      </c>
      <c r="G232" s="52" t="n">
        <v>1</v>
      </c>
      <c r="H232" s="54" t="n">
        <f aca="false">IF(E232="","",E232*N(F232)*IF(G232="",1,G232))</f>
        <v>479000</v>
      </c>
      <c r="I232" s="55" t="str">
        <f aca="false">IF(C232="","",IFERROR(INDEX('DANH MỤC'!$B$5:$B$200,MATCH(C232,'DANH MỤC'!$A$5:$A$200,0)),"⚠ Mã chưa có trong DANH MỤC"))</f>
        <v>Sơn ngoại thất siêu bóng cao cấp Imperia EG09</v>
      </c>
      <c r="J232" s="52" t="s">
        <v>424</v>
      </c>
      <c r="K232" s="52" t="s">
        <v>425</v>
      </c>
      <c r="L232" s="52"/>
    </row>
    <row r="233" customFormat="false" ht="15" hidden="false" customHeight="false" outlineLevel="0" collapsed="false">
      <c r="A233" s="50" t="n">
        <v>46245</v>
      </c>
      <c r="B233" s="51" t="n">
        <f aca="false">IF(A233="","",MONTH(A233))</f>
        <v>8</v>
      </c>
      <c r="C233" s="52" t="s">
        <v>71</v>
      </c>
      <c r="D233" s="52" t="s">
        <v>53</v>
      </c>
      <c r="E233" s="52" t="n">
        <v>2</v>
      </c>
      <c r="F233" s="53" t="n">
        <v>4106000</v>
      </c>
      <c r="G233" s="52" t="n">
        <v>1</v>
      </c>
      <c r="H233" s="54" t="n">
        <f aca="false">IF(E233="","",E233*N(F233)*IF(G233="",1,G233))</f>
        <v>8212000</v>
      </c>
      <c r="I233" s="55" t="str">
        <f aca="false">IF(C233="","",IFERROR(INDEX('DANH MỤC'!$B$5:$B$200,MATCH(C233,'DANH MỤC'!$A$5:$A$200,0)),"⚠ Mã chưa có trong DANH MỤC"))</f>
        <v>Sơn chống thấm đa năng Imperia CT12</v>
      </c>
      <c r="J233" s="52" t="s">
        <v>28</v>
      </c>
      <c r="K233" s="52" t="s">
        <v>426</v>
      </c>
      <c r="L233" s="52"/>
    </row>
    <row r="234" customFormat="false" ht="15" hidden="false" customHeight="false" outlineLevel="0" collapsed="false">
      <c r="A234" s="50" t="n">
        <v>46246</v>
      </c>
      <c r="B234" s="51" t="n">
        <f aca="false">IF(A234="","",MONTH(A234))</f>
        <v>8</v>
      </c>
      <c r="C234" s="52" t="s">
        <v>71</v>
      </c>
      <c r="D234" s="52" t="s">
        <v>53</v>
      </c>
      <c r="E234" s="52" t="n">
        <v>2</v>
      </c>
      <c r="F234" s="53" t="n">
        <v>4106000</v>
      </c>
      <c r="G234" s="52" t="n">
        <v>1</v>
      </c>
      <c r="H234" s="54" t="n">
        <f aca="false">IF(E234="","",E234*N(F234)*IF(G234="",1,G234))</f>
        <v>8212000</v>
      </c>
      <c r="I234" s="55" t="str">
        <f aca="false">IF(C234="","",IFERROR(INDEX('DANH MỤC'!$B$5:$B$200,MATCH(C234,'DANH MỤC'!$A$5:$A$200,0)),"⚠ Mã chưa có trong DANH MỤC"))</f>
        <v>Sơn chống thấm đa năng Imperia CT12</v>
      </c>
      <c r="J234" s="52"/>
      <c r="K234" s="52" t="s">
        <v>427</v>
      </c>
      <c r="L234" s="52"/>
    </row>
    <row r="235" customFormat="false" ht="15" hidden="false" customHeight="false" outlineLevel="0" collapsed="false">
      <c r="A235" s="50" t="n">
        <v>46246</v>
      </c>
      <c r="B235" s="51" t="n">
        <f aca="false">IF(A235="","",MONTH(A235))</f>
        <v>8</v>
      </c>
      <c r="C235" s="52" t="s">
        <v>54</v>
      </c>
      <c r="D235" s="52" t="s">
        <v>53</v>
      </c>
      <c r="E235" s="52" t="n">
        <v>1</v>
      </c>
      <c r="F235" s="53" t="n">
        <v>4106000</v>
      </c>
      <c r="G235" s="52" t="n">
        <v>1</v>
      </c>
      <c r="H235" s="54" t="n">
        <f aca="false">IF(E235="","",E235*N(F235)*IF(G235="",1,G235))</f>
        <v>4106000</v>
      </c>
      <c r="I235" s="55" t="str">
        <f aca="false">IF(C235="","",IFERROR(INDEX('DANH MỤC'!$B$5:$B$200,MATCH(C235,'DANH MỤC'!$A$5:$A$200,0)),"⚠ Mã chưa có trong DANH MỤC"))</f>
        <v>Sơn lót ngoại thất kháng kiềm cao cấp Imperia PE02</v>
      </c>
      <c r="J235" s="52"/>
      <c r="K235" s="52" t="s">
        <v>428</v>
      </c>
      <c r="L235" s="52"/>
    </row>
    <row r="236" customFormat="false" ht="15" hidden="false" customHeight="false" outlineLevel="0" collapsed="false">
      <c r="A236" s="50" t="n">
        <v>46246</v>
      </c>
      <c r="B236" s="51" t="n">
        <f aca="false">IF(A236="","",MONTH(A236))</f>
        <v>8</v>
      </c>
      <c r="C236" s="52" t="s">
        <v>69</v>
      </c>
      <c r="D236" s="52" t="s">
        <v>52</v>
      </c>
      <c r="E236" s="52" t="n">
        <v>2</v>
      </c>
      <c r="F236" s="53" t="n">
        <v>2089000</v>
      </c>
      <c r="G236" s="52" t="n">
        <v>1</v>
      </c>
      <c r="H236" s="54" t="n">
        <f aca="false">IF(E236="","",E236*N(F236)*IF(G236="",1,G236))</f>
        <v>4178000</v>
      </c>
      <c r="I236" s="55" t="str">
        <f aca="false">IF(C236="","",IFERROR(INDEX('DANH MỤC'!$B$5:$B$200,MATCH(C236,'DANH MỤC'!$A$5:$A$200,0)),"⚠ Mã chưa có trong DANH MỤC"))</f>
        <v>Sơn ngoại thất siêu bóng cao cấp Imperia EG09</v>
      </c>
      <c r="J236" s="52" t="s">
        <v>179</v>
      </c>
      <c r="K236" s="52" t="s">
        <v>429</v>
      </c>
      <c r="L236" s="52"/>
    </row>
    <row r="237" customFormat="false" ht="15" hidden="false" customHeight="false" outlineLevel="0" collapsed="false">
      <c r="A237" s="50" t="n">
        <v>46246</v>
      </c>
      <c r="B237" s="51" t="n">
        <f aca="false">IF(A237="","",MONTH(A237))</f>
        <v>8</v>
      </c>
      <c r="C237" s="52" t="s">
        <v>69</v>
      </c>
      <c r="D237" s="52" t="s">
        <v>66</v>
      </c>
      <c r="E237" s="52" t="n">
        <v>2</v>
      </c>
      <c r="F237" s="53" t="n">
        <v>479000</v>
      </c>
      <c r="G237" s="52" t="n">
        <v>1.15</v>
      </c>
      <c r="H237" s="54" t="n">
        <f aca="false">IF(E237="","",E237*N(F237)*IF(G237="",1,G237))</f>
        <v>1101700</v>
      </c>
      <c r="I237" s="55" t="str">
        <f aca="false">IF(C237="","",IFERROR(INDEX('DANH MỤC'!$B$5:$B$200,MATCH(C237,'DANH MỤC'!$A$5:$A$200,0)),"⚠ Mã chưa có trong DANH MỤC"))</f>
        <v>Sơn ngoại thất siêu bóng cao cấp Imperia EG09</v>
      </c>
      <c r="J237" s="52" t="s">
        <v>422</v>
      </c>
      <c r="K237" s="52" t="s">
        <v>430</v>
      </c>
      <c r="L237" s="52"/>
    </row>
    <row r="238" customFormat="false" ht="15" hidden="false" customHeight="false" outlineLevel="0" collapsed="false">
      <c r="A238" s="50" t="n">
        <v>46246</v>
      </c>
      <c r="B238" s="51" t="n">
        <f aca="false">IF(A238="","",MONTH(A238))</f>
        <v>8</v>
      </c>
      <c r="C238" s="52" t="s">
        <v>69</v>
      </c>
      <c r="D238" s="52" t="s">
        <v>66</v>
      </c>
      <c r="E238" s="52" t="n">
        <v>1</v>
      </c>
      <c r="F238" s="53" t="n">
        <v>479000</v>
      </c>
      <c r="G238" s="52" t="n">
        <v>1.15</v>
      </c>
      <c r="H238" s="54" t="n">
        <f aca="false">IF(E238="","",E238*N(F238)*IF(G238="",1,G238))</f>
        <v>550850</v>
      </c>
      <c r="I238" s="55" t="str">
        <f aca="false">IF(C238="","",IFERROR(INDEX('DANH MỤC'!$B$5:$B$200,MATCH(C238,'DANH MỤC'!$A$5:$A$200,0)),"⚠ Mã chưa có trong DANH MỤC"))</f>
        <v>Sơn ngoại thất siêu bóng cao cấp Imperia EG09</v>
      </c>
      <c r="J238" s="52" t="s">
        <v>431</v>
      </c>
      <c r="K238" s="52" t="s">
        <v>432</v>
      </c>
      <c r="L238" s="52"/>
    </row>
    <row r="239" customFormat="false" ht="15" hidden="false" customHeight="false" outlineLevel="0" collapsed="false">
      <c r="A239" s="50" t="n">
        <v>46246</v>
      </c>
      <c r="B239" s="51" t="n">
        <f aca="false">IF(A239="","",MONTH(A239))</f>
        <v>8</v>
      </c>
      <c r="C239" s="52" t="s">
        <v>62</v>
      </c>
      <c r="D239" s="52" t="s">
        <v>52</v>
      </c>
      <c r="E239" s="52" t="n">
        <v>1</v>
      </c>
      <c r="F239" s="53" t="n">
        <v>1874000</v>
      </c>
      <c r="G239" s="52" t="n">
        <v>1</v>
      </c>
      <c r="H239" s="54" t="n">
        <f aca="false">IF(E239="","",E239*N(F239)*IF(G239="",1,G239))</f>
        <v>1874000</v>
      </c>
      <c r="I239" s="55" t="str">
        <f aca="false">IF(C239="","",IFERROR(INDEX('DANH MỤC'!$B$5:$B$200,MATCH(C239,'DANH MỤC'!$A$5:$A$200,0)),"⚠ Mã chưa có trong DANH MỤC"))</f>
        <v>Sơn nội thất siêu bóng cao cấp Imperia IG05</v>
      </c>
      <c r="J239" s="52" t="s">
        <v>433</v>
      </c>
      <c r="K239" s="52" t="s">
        <v>434</v>
      </c>
      <c r="L239" s="52"/>
    </row>
    <row r="240" customFormat="false" ht="15" hidden="false" customHeight="false" outlineLevel="0" collapsed="false">
      <c r="A240" s="50" t="n">
        <v>46247</v>
      </c>
      <c r="B240" s="51" t="n">
        <f aca="false">IF(A240="","",MONTH(A240))</f>
        <v>8</v>
      </c>
      <c r="C240" s="52" t="s">
        <v>72</v>
      </c>
      <c r="D240" s="52" t="s">
        <v>53</v>
      </c>
      <c r="E240" s="52" t="n">
        <v>5</v>
      </c>
      <c r="F240" s="53" t="n">
        <v>4821000</v>
      </c>
      <c r="G240" s="52" t="n">
        <v>1</v>
      </c>
      <c r="H240" s="54" t="n">
        <f aca="false">IF(E240="","",E240*N(F240)*IF(G240="",1,G240))</f>
        <v>24105000</v>
      </c>
      <c r="I240" s="55" t="str">
        <f aca="false">IF(C240="","",IFERROR(INDEX('DANH MỤC'!$B$5:$B$200,MATCH(C240,'DANH MỤC'!$A$5:$A$200,0)),"⚠ Mã chưa có trong DANH MỤC"))</f>
        <v>Sơn chống thấm màu ETM 309 (ghi đậm)</v>
      </c>
      <c r="J240" s="52"/>
      <c r="K240" s="52" t="s">
        <v>435</v>
      </c>
      <c r="L240" s="52"/>
    </row>
    <row r="241" customFormat="false" ht="15" hidden="false" customHeight="false" outlineLevel="0" collapsed="false">
      <c r="A241" s="50" t="n">
        <v>46247</v>
      </c>
      <c r="B241" s="51" t="n">
        <f aca="false">IF(A241="","",MONTH(A241))</f>
        <v>8</v>
      </c>
      <c r="C241" s="52" t="s">
        <v>51</v>
      </c>
      <c r="D241" s="52" t="s">
        <v>53</v>
      </c>
      <c r="E241" s="52" t="n">
        <v>5</v>
      </c>
      <c r="F241" s="53" t="n">
        <v>3012000</v>
      </c>
      <c r="G241" s="52" t="n">
        <v>1</v>
      </c>
      <c r="H241" s="54" t="n">
        <f aca="false">IF(E241="","",E241*N(F241)*IF(G241="",1,G241))</f>
        <v>15060000</v>
      </c>
      <c r="I241" s="55" t="str">
        <f aca="false">IF(C241="","",IFERROR(INDEX('DANH MỤC'!$B$5:$B$200,MATCH(C241,'DANH MỤC'!$A$5:$A$200,0)),"⚠ Mã chưa có trong DANH MỤC"))</f>
        <v>Sơn lót nội thất kháng kiềm cao cấp Imperia PI04</v>
      </c>
      <c r="J241" s="52"/>
      <c r="K241" s="52" t="s">
        <v>436</v>
      </c>
      <c r="L241" s="52"/>
    </row>
    <row r="242" customFormat="false" ht="15" hidden="false" customHeight="false" outlineLevel="0" collapsed="false">
      <c r="A242" s="50" t="n">
        <v>46247</v>
      </c>
      <c r="B242" s="51" t="n">
        <f aca="false">IF(A242="","",MONTH(A242))</f>
        <v>8</v>
      </c>
      <c r="C242" s="52" t="s">
        <v>51</v>
      </c>
      <c r="D242" s="52" t="s">
        <v>53</v>
      </c>
      <c r="E242" s="52" t="n">
        <v>4</v>
      </c>
      <c r="F242" s="53" t="n">
        <v>3012000</v>
      </c>
      <c r="G242" s="52" t="n">
        <v>1</v>
      </c>
      <c r="H242" s="54" t="n">
        <f aca="false">IF(E242="","",E242*N(F242)*IF(G242="",1,G242))</f>
        <v>12048000</v>
      </c>
      <c r="I242" s="55" t="str">
        <f aca="false">IF(C242="","",IFERROR(INDEX('DANH MỤC'!$B$5:$B$200,MATCH(C242,'DANH MỤC'!$A$5:$A$200,0)),"⚠ Mã chưa có trong DANH MỤC"))</f>
        <v>Sơn lót nội thất kháng kiềm cao cấp Imperia PI04</v>
      </c>
      <c r="J242" s="52"/>
      <c r="K242" s="52" t="s">
        <v>437</v>
      </c>
      <c r="L242" s="52"/>
    </row>
    <row r="243" customFormat="false" ht="15" hidden="false" customHeight="false" outlineLevel="0" collapsed="false">
      <c r="A243" s="50" t="n">
        <v>46249</v>
      </c>
      <c r="B243" s="51" t="n">
        <f aca="false">IF(A243="","",MONTH(A243))</f>
        <v>8</v>
      </c>
      <c r="C243" s="52" t="s">
        <v>54</v>
      </c>
      <c r="D243" s="52" t="s">
        <v>53</v>
      </c>
      <c r="E243" s="52" t="n">
        <v>2</v>
      </c>
      <c r="F243" s="53" t="n">
        <v>4106000</v>
      </c>
      <c r="G243" s="52" t="n">
        <v>1</v>
      </c>
      <c r="H243" s="54" t="n">
        <f aca="false">IF(E243="","",E243*N(F243)*IF(G243="",1,G243))</f>
        <v>8212000</v>
      </c>
      <c r="I243" s="55" t="str">
        <f aca="false">IF(C243="","",IFERROR(INDEX('DANH MỤC'!$B$5:$B$200,MATCH(C243,'DANH MỤC'!$A$5:$A$200,0)),"⚠ Mã chưa có trong DANH MỤC"))</f>
        <v>Sơn lót ngoại thất kháng kiềm cao cấp Imperia PE02</v>
      </c>
      <c r="J243" s="52"/>
      <c r="K243" s="52" t="s">
        <v>438</v>
      </c>
      <c r="L243" s="52"/>
    </row>
    <row r="244" customFormat="false" ht="15" hidden="false" customHeight="false" outlineLevel="0" collapsed="false">
      <c r="A244" s="50" t="n">
        <v>46249</v>
      </c>
      <c r="B244" s="51" t="n">
        <f aca="false">IF(A244="","",MONTH(A244))</f>
        <v>8</v>
      </c>
      <c r="C244" s="52" t="s">
        <v>72</v>
      </c>
      <c r="D244" s="52" t="s">
        <v>53</v>
      </c>
      <c r="E244" s="52" t="n">
        <v>2</v>
      </c>
      <c r="F244" s="53" t="n">
        <v>4821000</v>
      </c>
      <c r="G244" s="52" t="n">
        <v>1</v>
      </c>
      <c r="H244" s="54" t="n">
        <f aca="false">IF(E244="","",E244*N(F244)*IF(G244="",1,G244))</f>
        <v>9642000</v>
      </c>
      <c r="I244" s="55" t="str">
        <f aca="false">IF(C244="","",IFERROR(INDEX('DANH MỤC'!$B$5:$B$200,MATCH(C244,'DANH MỤC'!$A$5:$A$200,0)),"⚠ Mã chưa có trong DANH MỤC"))</f>
        <v>Sơn chống thấm màu ETM 309 (ghi đậm)</v>
      </c>
      <c r="J244" s="52" t="s">
        <v>179</v>
      </c>
      <c r="K244" s="52" t="s">
        <v>439</v>
      </c>
      <c r="L244" s="52"/>
    </row>
    <row r="245" customFormat="false" ht="15" hidden="false" customHeight="false" outlineLevel="0" collapsed="false">
      <c r="A245" s="50" t="n">
        <v>46251</v>
      </c>
      <c r="B245" s="51" t="n">
        <f aca="false">IF(A245="","",MONTH(A245))</f>
        <v>8</v>
      </c>
      <c r="C245" s="52" t="s">
        <v>62</v>
      </c>
      <c r="D245" s="52" t="s">
        <v>53</v>
      </c>
      <c r="E245" s="52" t="n">
        <v>7</v>
      </c>
      <c r="F245" s="53" t="n">
        <v>5530000</v>
      </c>
      <c r="G245" s="52" t="n">
        <v>1</v>
      </c>
      <c r="H245" s="54" t="n">
        <f aca="false">IF(E245="","",E245*N(F245)*IF(G245="",1,G245))</f>
        <v>38710000</v>
      </c>
      <c r="I245" s="55" t="str">
        <f aca="false">IF(C245="","",IFERROR(INDEX('DANH MỤC'!$B$5:$B$200,MATCH(C245,'DANH MỤC'!$A$5:$A$200,0)),"⚠ Mã chưa có trong DANH MỤC"))</f>
        <v>Sơn nội thất siêu bóng cao cấp Imperia IG05</v>
      </c>
      <c r="J245" s="52" t="s">
        <v>179</v>
      </c>
      <c r="K245" s="52" t="s">
        <v>440</v>
      </c>
      <c r="L245" s="52"/>
    </row>
    <row r="246" customFormat="false" ht="15" hidden="false" customHeight="false" outlineLevel="0" collapsed="false">
      <c r="A246" s="50" t="n">
        <v>46251</v>
      </c>
      <c r="B246" s="51" t="n">
        <f aca="false">IF(A246="","",MONTH(A246))</f>
        <v>8</v>
      </c>
      <c r="C246" s="52" t="s">
        <v>59</v>
      </c>
      <c r="D246" s="52" t="s">
        <v>53</v>
      </c>
      <c r="E246" s="52" t="n">
        <v>6</v>
      </c>
      <c r="F246" s="53" t="n">
        <v>2712000</v>
      </c>
      <c r="G246" s="52" t="n">
        <v>1</v>
      </c>
      <c r="H246" s="54" t="n">
        <f aca="false">IF(E246="","",E246*N(F246)*IF(G246="",1,G246))</f>
        <v>16272000</v>
      </c>
      <c r="I246" s="55" t="str">
        <f aca="false">IF(C246="","",IFERROR(INDEX('DANH MỤC'!$B$5:$B$200,MATCH(C246,'DANH MỤC'!$A$5:$A$200,0)),"⚠ Mã chưa có trong DANH MỤC"))</f>
        <v>Sơn nội thất siêu trắng Imperia IEW</v>
      </c>
      <c r="J246" s="52"/>
      <c r="K246" s="52" t="s">
        <v>441</v>
      </c>
      <c r="L246" s="52"/>
    </row>
    <row r="247" customFormat="false" ht="15" hidden="false" customHeight="false" outlineLevel="0" collapsed="false">
      <c r="A247" s="50" t="n">
        <v>46251</v>
      </c>
      <c r="B247" s="51" t="n">
        <f aca="false">IF(A247="","",MONTH(A247))</f>
        <v>8</v>
      </c>
      <c r="C247" s="52" t="s">
        <v>51</v>
      </c>
      <c r="D247" s="52" t="s">
        <v>53</v>
      </c>
      <c r="E247" s="52" t="n">
        <v>4</v>
      </c>
      <c r="F247" s="53" t="n">
        <v>3012000</v>
      </c>
      <c r="G247" s="52" t="n">
        <v>1</v>
      </c>
      <c r="H247" s="54" t="n">
        <f aca="false">IF(E247="","",E247*N(F247)*IF(G247="",1,G247))</f>
        <v>12048000</v>
      </c>
      <c r="I247" s="55" t="str">
        <f aca="false">IF(C247="","",IFERROR(INDEX('DANH MỤC'!$B$5:$B$200,MATCH(C247,'DANH MỤC'!$A$5:$A$200,0)),"⚠ Mã chưa có trong DANH MỤC"))</f>
        <v>Sơn lót nội thất kháng kiềm cao cấp Imperia PI04</v>
      </c>
      <c r="J247" s="52"/>
      <c r="K247" s="52" t="s">
        <v>442</v>
      </c>
      <c r="L247" s="52"/>
    </row>
    <row r="248" customFormat="false" ht="15" hidden="false" customHeight="false" outlineLevel="0" collapsed="false">
      <c r="A248" s="50" t="n">
        <v>46251</v>
      </c>
      <c r="B248" s="51" t="n">
        <f aca="false">IF(A248="","",MONTH(A248))</f>
        <v>8</v>
      </c>
      <c r="C248" s="52" t="s">
        <v>69</v>
      </c>
      <c r="D248" s="52" t="s">
        <v>53</v>
      </c>
      <c r="E248" s="52" t="n">
        <v>1</v>
      </c>
      <c r="F248" s="53" t="n">
        <v>6504000</v>
      </c>
      <c r="G248" s="52" t="n">
        <v>1</v>
      </c>
      <c r="H248" s="54" t="n">
        <f aca="false">IF(E248="","",E248*N(F248)*IF(G248="",1,G248))</f>
        <v>6504000</v>
      </c>
      <c r="I248" s="55" t="str">
        <f aca="false">IF(C248="","",IFERROR(INDEX('DANH MỤC'!$B$5:$B$200,MATCH(C248,'DANH MỤC'!$A$5:$A$200,0)),"⚠ Mã chưa có trong DANH MỤC"))</f>
        <v>Sơn ngoại thất siêu bóng cao cấp Imperia EG09</v>
      </c>
      <c r="J248" s="52" t="s">
        <v>179</v>
      </c>
      <c r="K248" s="52" t="s">
        <v>443</v>
      </c>
      <c r="L248" s="52"/>
    </row>
    <row r="249" customFormat="false" ht="15" hidden="false" customHeight="false" outlineLevel="0" collapsed="false">
      <c r="A249" s="50" t="n">
        <v>46251</v>
      </c>
      <c r="B249" s="51" t="n">
        <f aca="false">IF(A249="","",MONTH(A249))</f>
        <v>8</v>
      </c>
      <c r="C249" s="52" t="s">
        <v>76</v>
      </c>
      <c r="D249" s="52" t="s">
        <v>77</v>
      </c>
      <c r="E249" s="52" t="n">
        <v>3</v>
      </c>
      <c r="F249" s="53" t="n">
        <v>481000</v>
      </c>
      <c r="G249" s="52" t="n">
        <v>1</v>
      </c>
      <c r="H249" s="54" t="n">
        <f aca="false">IF(E249="","",E249*N(F249)*IF(G249="",1,G249))</f>
        <v>1443000</v>
      </c>
      <c r="I249" s="55" t="str">
        <f aca="false">IF(C249="","",IFERROR(INDEX('DANH MỤC'!$B$5:$B$200,MATCH(C249,'DANH MỤC'!$A$5:$A$200,0)),"⚠ Mã chưa có trong DANH MỤC"))</f>
        <v>Bột bả nội thất Imperia IP15 (40kg)</v>
      </c>
      <c r="J249" s="52"/>
      <c r="K249" s="52" t="s">
        <v>444</v>
      </c>
      <c r="L249" s="52"/>
    </row>
    <row r="250" customFormat="false" ht="15" hidden="false" customHeight="false" outlineLevel="0" collapsed="false">
      <c r="A250" s="50" t="n">
        <v>46252</v>
      </c>
      <c r="B250" s="51" t="n">
        <f aca="false">IF(A250="","",MONTH(A250))</f>
        <v>8</v>
      </c>
      <c r="C250" s="52" t="s">
        <v>62</v>
      </c>
      <c r="D250" s="52" t="s">
        <v>53</v>
      </c>
      <c r="E250" s="52" t="n">
        <v>3</v>
      </c>
      <c r="F250" s="53" t="n">
        <v>5530000</v>
      </c>
      <c r="G250" s="52" t="n">
        <v>1</v>
      </c>
      <c r="H250" s="54" t="n">
        <f aca="false">IF(E250="","",E250*N(F250)*IF(G250="",1,G250))</f>
        <v>16590000</v>
      </c>
      <c r="I250" s="55" t="str">
        <f aca="false">IF(C250="","",IFERROR(INDEX('DANH MỤC'!$B$5:$B$200,MATCH(C250,'DANH MỤC'!$A$5:$A$200,0)),"⚠ Mã chưa có trong DANH MỤC"))</f>
        <v>Sơn nội thất siêu bóng cao cấp Imperia IG05</v>
      </c>
      <c r="J250" s="52" t="s">
        <v>420</v>
      </c>
      <c r="K250" s="52" t="s">
        <v>445</v>
      </c>
      <c r="L250" s="52"/>
    </row>
    <row r="251" customFormat="false" ht="15" hidden="false" customHeight="false" outlineLevel="0" collapsed="false">
      <c r="A251" s="50" t="n">
        <v>46252</v>
      </c>
      <c r="B251" s="51" t="n">
        <f aca="false">IF(A251="","",MONTH(A251))</f>
        <v>8</v>
      </c>
      <c r="C251" s="52" t="s">
        <v>69</v>
      </c>
      <c r="D251" s="52" t="s">
        <v>53</v>
      </c>
      <c r="E251" s="52" t="n">
        <v>1</v>
      </c>
      <c r="F251" s="53" t="n">
        <v>6504000</v>
      </c>
      <c r="G251" s="52" t="n">
        <v>1</v>
      </c>
      <c r="H251" s="54" t="n">
        <f aca="false">IF(E251="","",E251*N(F251)*IF(G251="",1,G251))</f>
        <v>6504000</v>
      </c>
      <c r="I251" s="55" t="str">
        <f aca="false">IF(C251="","",IFERROR(INDEX('DANH MỤC'!$B$5:$B$200,MATCH(C251,'DANH MỤC'!$A$5:$A$200,0)),"⚠ Mã chưa có trong DANH MỤC"))</f>
        <v>Sơn ngoại thất siêu bóng cao cấp Imperia EG09</v>
      </c>
      <c r="J251" s="52" t="s">
        <v>250</v>
      </c>
      <c r="K251" s="52" t="s">
        <v>446</v>
      </c>
      <c r="L251" s="52"/>
    </row>
    <row r="252" customFormat="false" ht="15" hidden="false" customHeight="false" outlineLevel="0" collapsed="false">
      <c r="A252" s="50" t="n">
        <v>46252</v>
      </c>
      <c r="B252" s="51" t="n">
        <f aca="false">IF(A252="","",MONTH(A252))</f>
        <v>8</v>
      </c>
      <c r="C252" s="52" t="s">
        <v>69</v>
      </c>
      <c r="D252" s="52" t="s">
        <v>53</v>
      </c>
      <c r="E252" s="52" t="n">
        <v>1</v>
      </c>
      <c r="F252" s="53" t="n">
        <v>6504000</v>
      </c>
      <c r="G252" s="52" t="n">
        <v>1</v>
      </c>
      <c r="H252" s="54" t="n">
        <f aca="false">IF(E252="","",E252*N(F252)*IF(G252="",1,G252))</f>
        <v>6504000</v>
      </c>
      <c r="I252" s="55" t="str">
        <f aca="false">IF(C252="","",IFERROR(INDEX('DANH MỤC'!$B$5:$B$200,MATCH(C252,'DANH MỤC'!$A$5:$A$200,0)),"⚠ Mã chưa có trong DANH MỤC"))</f>
        <v>Sơn ngoại thất siêu bóng cao cấp Imperia EG09</v>
      </c>
      <c r="J252" s="52" t="s">
        <v>216</v>
      </c>
      <c r="K252" s="52" t="s">
        <v>447</v>
      </c>
      <c r="L252" s="52"/>
    </row>
    <row r="253" customFormat="false" ht="15" hidden="false" customHeight="false" outlineLevel="0" collapsed="false">
      <c r="A253" s="50" t="n">
        <v>46252</v>
      </c>
      <c r="B253" s="51" t="n">
        <f aca="false">IF(A253="","",MONTH(A253))</f>
        <v>8</v>
      </c>
      <c r="C253" s="52" t="s">
        <v>57</v>
      </c>
      <c r="D253" s="52" t="s">
        <v>53</v>
      </c>
      <c r="E253" s="52" t="n">
        <v>4</v>
      </c>
      <c r="F253" s="53" t="n">
        <v>2185000</v>
      </c>
      <c r="G253" s="52" t="n">
        <v>1</v>
      </c>
      <c r="H253" s="54" t="n">
        <f aca="false">IF(E253="","",E253*N(F253)*IF(G253="",1,G253))</f>
        <v>8740000</v>
      </c>
      <c r="I253" s="55" t="str">
        <f aca="false">IF(C253="","",IFERROR(INDEX('DANH MỤC'!$B$5:$B$200,MATCH(C253,'DANH MỤC'!$A$5:$A$200,0)),"⚠ Mã chưa có trong DANH MỤC"))</f>
        <v>Sơn lót nội thất kháng kiềm Silver IL5</v>
      </c>
      <c r="J253" s="52"/>
      <c r="K253" s="52" t="s">
        <v>448</v>
      </c>
      <c r="L253" s="52"/>
    </row>
    <row r="254" customFormat="false" ht="15" hidden="false" customHeight="false" outlineLevel="0" collapsed="false">
      <c r="A254" s="50" t="n">
        <v>46252</v>
      </c>
      <c r="B254" s="51" t="n">
        <f aca="false">IF(A254="","",MONTH(A254))</f>
        <v>8</v>
      </c>
      <c r="C254" s="52" t="s">
        <v>71</v>
      </c>
      <c r="D254" s="52" t="s">
        <v>53</v>
      </c>
      <c r="E254" s="52" t="n">
        <v>1</v>
      </c>
      <c r="F254" s="53" t="n">
        <v>4106000</v>
      </c>
      <c r="G254" s="52" t="n">
        <v>1</v>
      </c>
      <c r="H254" s="54" t="n">
        <f aca="false">IF(E254="","",E254*N(F254)*IF(G254="",1,G254))</f>
        <v>4106000</v>
      </c>
      <c r="I254" s="55" t="str">
        <f aca="false">IF(C254="","",IFERROR(INDEX('DANH MỤC'!$B$5:$B$200,MATCH(C254,'DANH MỤC'!$A$5:$A$200,0)),"⚠ Mã chưa có trong DANH MỤC"))</f>
        <v>Sơn chống thấm đa năng Imperia CT12</v>
      </c>
      <c r="J254" s="52"/>
      <c r="K254" s="52" t="s">
        <v>449</v>
      </c>
      <c r="L254" s="52"/>
    </row>
    <row r="255" customFormat="false" ht="15" hidden="false" customHeight="false" outlineLevel="0" collapsed="false">
      <c r="A255" s="50" t="n">
        <v>46252</v>
      </c>
      <c r="B255" s="51" t="n">
        <f aca="false">IF(A255="","",MONTH(A255))</f>
        <v>8</v>
      </c>
      <c r="C255" s="52" t="s">
        <v>69</v>
      </c>
      <c r="D255" s="52" t="s">
        <v>52</v>
      </c>
      <c r="E255" s="52" t="n">
        <v>1</v>
      </c>
      <c r="F255" s="53" t="n">
        <v>2089000</v>
      </c>
      <c r="G255" s="52" t="n">
        <v>1.15</v>
      </c>
      <c r="H255" s="54" t="n">
        <f aca="false">IF(E255="","",E255*N(F255)*IF(G255="",1,G255))</f>
        <v>2402350</v>
      </c>
      <c r="I255" s="55" t="str">
        <f aca="false">IF(C255="","",IFERROR(INDEX('DANH MỤC'!$B$5:$B$200,MATCH(C255,'DANH MỤC'!$A$5:$A$200,0)),"⚠ Mã chưa có trong DANH MỤC"))</f>
        <v>Sơn ngoại thất siêu bóng cao cấp Imperia EG09</v>
      </c>
      <c r="J255" s="52" t="s">
        <v>450</v>
      </c>
      <c r="K255" s="52" t="s">
        <v>451</v>
      </c>
      <c r="L255" s="52"/>
    </row>
    <row r="256" customFormat="false" ht="15" hidden="false" customHeight="false" outlineLevel="0" collapsed="false">
      <c r="A256" s="50" t="n">
        <v>46252</v>
      </c>
      <c r="B256" s="51" t="n">
        <f aca="false">IF(A256="","",MONTH(A256))</f>
        <v>8</v>
      </c>
      <c r="C256" s="52" t="s">
        <v>58</v>
      </c>
      <c r="D256" s="52" t="s">
        <v>53</v>
      </c>
      <c r="E256" s="52" t="n">
        <v>1</v>
      </c>
      <c r="F256" s="53" t="n">
        <v>3097000</v>
      </c>
      <c r="G256" s="52" t="n">
        <v>1</v>
      </c>
      <c r="H256" s="54" t="n">
        <f aca="false">IF(E256="","",E256*N(F256)*IF(G256="",1,G256))</f>
        <v>3097000</v>
      </c>
      <c r="I256" s="55" t="str">
        <f aca="false">IF(C256="","",IFERROR(INDEX('DANH MỤC'!$B$5:$B$200,MATCH(C256,'DANH MỤC'!$A$5:$A$200,0)),"⚠ Mã chưa có trong DANH MỤC"))</f>
        <v>Sơn lót ngoại thất kháng kiềm Silver EL5</v>
      </c>
      <c r="J256" s="52"/>
      <c r="K256" s="52" t="s">
        <v>452</v>
      </c>
      <c r="L256" s="52"/>
    </row>
    <row r="257" customFormat="false" ht="15" hidden="false" customHeight="false" outlineLevel="0" collapsed="false">
      <c r="A257" s="50" t="n">
        <v>46252</v>
      </c>
      <c r="B257" s="51" t="n">
        <f aca="false">IF(A257="","",MONTH(A257))</f>
        <v>8</v>
      </c>
      <c r="C257" s="52" t="s">
        <v>64</v>
      </c>
      <c r="D257" s="52" t="s">
        <v>53</v>
      </c>
      <c r="E257" s="52" t="n">
        <v>2</v>
      </c>
      <c r="F257" s="53" t="n">
        <v>1113000</v>
      </c>
      <c r="G257" s="52" t="n">
        <v>1</v>
      </c>
      <c r="H257" s="54" t="n">
        <f aca="false">IF(E257="","",E257*N(F257)*IF(G257="",1,G257))</f>
        <v>2226000</v>
      </c>
      <c r="I257" s="55" t="str">
        <f aca="false">IF(C257="","",IFERROR(INDEX('DANH MỤC'!$B$5:$B$200,MATCH(C257,'DANH MỤC'!$A$5:$A$200,0)),"⚠ Mã chưa có trong DANH MỤC"))</f>
        <v>Sơn nội thất kinh tế Deco IDC</v>
      </c>
      <c r="J257" s="52" t="s">
        <v>453</v>
      </c>
      <c r="K257" s="52" t="s">
        <v>454</v>
      </c>
      <c r="L257" s="52"/>
    </row>
    <row r="258" customFormat="false" ht="15" hidden="false" customHeight="false" outlineLevel="0" collapsed="false">
      <c r="A258" s="50" t="n">
        <v>46252</v>
      </c>
      <c r="B258" s="51" t="n">
        <f aca="false">IF(A258="","",MONTH(A258))</f>
        <v>8</v>
      </c>
      <c r="C258" s="52" t="s">
        <v>71</v>
      </c>
      <c r="D258" s="52" t="s">
        <v>53</v>
      </c>
      <c r="E258" s="52" t="n">
        <v>2</v>
      </c>
      <c r="F258" s="53" t="n">
        <v>4106000</v>
      </c>
      <c r="G258" s="52" t="n">
        <v>1</v>
      </c>
      <c r="H258" s="54" t="n">
        <f aca="false">IF(E258="","",E258*N(F258)*IF(G258="",1,G258))</f>
        <v>8212000</v>
      </c>
      <c r="I258" s="55" t="str">
        <f aca="false">IF(C258="","",IFERROR(INDEX('DANH MỤC'!$B$5:$B$200,MATCH(C258,'DANH MỤC'!$A$5:$A$200,0)),"⚠ Mã chưa có trong DANH MỤC"))</f>
        <v>Sơn chống thấm đa năng Imperia CT12</v>
      </c>
      <c r="J258" s="52"/>
      <c r="K258" s="52" t="s">
        <v>455</v>
      </c>
      <c r="L258" s="52"/>
    </row>
    <row r="259" customFormat="false" ht="15" hidden="false" customHeight="false" outlineLevel="0" collapsed="false">
      <c r="A259" s="50" t="n">
        <v>46252</v>
      </c>
      <c r="B259" s="51" t="n">
        <f aca="false">IF(A259="","",MONTH(A259))</f>
        <v>8</v>
      </c>
      <c r="C259" s="52" t="s">
        <v>69</v>
      </c>
      <c r="D259" s="52" t="s">
        <v>52</v>
      </c>
      <c r="E259" s="52" t="n">
        <v>1</v>
      </c>
      <c r="F259" s="53" t="n">
        <v>2089000</v>
      </c>
      <c r="G259" s="52" t="n">
        <v>1</v>
      </c>
      <c r="H259" s="54" t="n">
        <f aca="false">IF(E259="","",E259*N(F259)*IF(G259="",1,G259))</f>
        <v>2089000</v>
      </c>
      <c r="I259" s="55" t="str">
        <f aca="false">IF(C259="","",IFERROR(INDEX('DANH MỤC'!$B$5:$B$200,MATCH(C259,'DANH MỤC'!$A$5:$A$200,0)),"⚠ Mã chưa có trong DANH MỤC"))</f>
        <v>Sơn ngoại thất siêu bóng cao cấp Imperia EG09</v>
      </c>
      <c r="J259" s="52" t="s">
        <v>456</v>
      </c>
      <c r="K259" s="52" t="s">
        <v>457</v>
      </c>
      <c r="L259" s="52"/>
    </row>
    <row r="260" customFormat="false" ht="15" hidden="false" customHeight="false" outlineLevel="0" collapsed="false">
      <c r="A260" s="50" t="n">
        <v>46255</v>
      </c>
      <c r="B260" s="51" t="n">
        <f aca="false">IF(A260="","",MONTH(A260))</f>
        <v>8</v>
      </c>
      <c r="C260" s="52" t="s">
        <v>60</v>
      </c>
      <c r="D260" s="52" t="s">
        <v>52</v>
      </c>
      <c r="E260" s="52" t="n">
        <v>1</v>
      </c>
      <c r="F260" s="53" t="n">
        <v>631000</v>
      </c>
      <c r="G260" s="52" t="n">
        <v>1</v>
      </c>
      <c r="H260" s="54" t="n">
        <f aca="false">IF(E260="","",E260*N(F260)*IF(G260="",1,G260))</f>
        <v>631000</v>
      </c>
      <c r="I260" s="55" t="str">
        <f aca="false">IF(C260="","",IFERROR(INDEX('DANH MỤC'!$B$5:$B$200,MATCH(C260,'DANH MỤC'!$A$5:$A$200,0)),"⚠ Mã chưa có trong DANH MỤC"))</f>
        <v>Sơn nội thất bền màu Silver ISI</v>
      </c>
      <c r="J260" s="52" t="s">
        <v>458</v>
      </c>
      <c r="K260" s="52" t="s">
        <v>459</v>
      </c>
      <c r="L260" s="52"/>
    </row>
    <row r="261" customFormat="false" ht="15" hidden="false" customHeight="false" outlineLevel="0" collapsed="false">
      <c r="A261" s="50" t="n">
        <v>46263</v>
      </c>
      <c r="B261" s="51" t="n">
        <f aca="false">IF(A261="","",MONTH(A261))</f>
        <v>8</v>
      </c>
      <c r="C261" s="52" t="s">
        <v>62</v>
      </c>
      <c r="D261" s="52" t="s">
        <v>53</v>
      </c>
      <c r="E261" s="52" t="n">
        <v>2</v>
      </c>
      <c r="F261" s="53" t="n">
        <v>5530000</v>
      </c>
      <c r="G261" s="52" t="n">
        <v>1</v>
      </c>
      <c r="H261" s="54" t="n">
        <f aca="false">IF(E261="","",E261*N(F261)*IF(G261="",1,G261))</f>
        <v>11060000</v>
      </c>
      <c r="I261" s="55" t="str">
        <f aca="false">IF(C261="","",IFERROR(INDEX('DANH MỤC'!$B$5:$B$200,MATCH(C261,'DANH MỤC'!$A$5:$A$200,0)),"⚠ Mã chưa có trong DANH MỤC"))</f>
        <v>Sơn nội thất siêu bóng cao cấp Imperia IG05</v>
      </c>
      <c r="J261" s="52" t="s">
        <v>133</v>
      </c>
      <c r="K261" s="52" t="s">
        <v>460</v>
      </c>
      <c r="L261" s="52"/>
    </row>
    <row r="262" customFormat="false" ht="15" hidden="false" customHeight="false" outlineLevel="0" collapsed="false">
      <c r="A262" s="50" t="n">
        <v>46263</v>
      </c>
      <c r="B262" s="51" t="n">
        <f aca="false">IF(A262="","",MONTH(A262))</f>
        <v>8</v>
      </c>
      <c r="C262" s="52" t="s">
        <v>64</v>
      </c>
      <c r="D262" s="52" t="s">
        <v>53</v>
      </c>
      <c r="E262" s="52" t="n">
        <v>3</v>
      </c>
      <c r="F262" s="53" t="n">
        <v>1113000</v>
      </c>
      <c r="G262" s="52" t="n">
        <v>1</v>
      </c>
      <c r="H262" s="54" t="n">
        <f aca="false">IF(E262="","",E262*N(F262)*IF(G262="",1,G262))</f>
        <v>3339000</v>
      </c>
      <c r="I262" s="55" t="str">
        <f aca="false">IF(C262="","",IFERROR(INDEX('DANH MỤC'!$B$5:$B$200,MATCH(C262,'DANH MỤC'!$A$5:$A$200,0)),"⚠ Mã chưa có trong DANH MỤC"))</f>
        <v>Sơn nội thất kinh tế Deco IDC</v>
      </c>
      <c r="J262" s="52" t="s">
        <v>461</v>
      </c>
      <c r="K262" s="52" t="s">
        <v>462</v>
      </c>
      <c r="L262" s="52"/>
    </row>
    <row r="263" customFormat="false" ht="15" hidden="false" customHeight="false" outlineLevel="0" collapsed="false">
      <c r="A263" s="50" t="n">
        <v>46263</v>
      </c>
      <c r="B263" s="51" t="n">
        <f aca="false">IF(A263="","",MONTH(A263))</f>
        <v>8</v>
      </c>
      <c r="C263" s="52" t="s">
        <v>64</v>
      </c>
      <c r="D263" s="52" t="s">
        <v>53</v>
      </c>
      <c r="E263" s="52" t="n">
        <v>1</v>
      </c>
      <c r="F263" s="53" t="n">
        <v>1113000</v>
      </c>
      <c r="G263" s="52" t="n">
        <v>1</v>
      </c>
      <c r="H263" s="54" t="n">
        <f aca="false">IF(E263="","",E263*N(F263)*IF(G263="",1,G263))</f>
        <v>1113000</v>
      </c>
      <c r="I263" s="55" t="str">
        <f aca="false">IF(C263="","",IFERROR(INDEX('DANH MỤC'!$B$5:$B$200,MATCH(C263,'DANH MỤC'!$A$5:$A$200,0)),"⚠ Mã chưa có trong DANH MỤC"))</f>
        <v>Sơn nội thất kinh tế Deco IDC</v>
      </c>
      <c r="J263" s="52" t="s">
        <v>131</v>
      </c>
      <c r="K263" s="52" t="s">
        <v>463</v>
      </c>
      <c r="L263" s="52"/>
    </row>
    <row r="264" customFormat="false" ht="15" hidden="false" customHeight="false" outlineLevel="0" collapsed="false">
      <c r="A264" s="50" t="n">
        <v>46263</v>
      </c>
      <c r="B264" s="51" t="n">
        <f aca="false">IF(A264="","",MONTH(A264))</f>
        <v>8</v>
      </c>
      <c r="C264" s="52" t="s">
        <v>51</v>
      </c>
      <c r="D264" s="52" t="s">
        <v>53</v>
      </c>
      <c r="E264" s="52" t="n">
        <v>1</v>
      </c>
      <c r="F264" s="53"/>
      <c r="G264" s="52"/>
      <c r="H264" s="54" t="n">
        <f aca="false">IF(E264="","",E264*N(F264)*IF(G264="",1,G264))</f>
        <v>0</v>
      </c>
      <c r="I264" s="55" t="str">
        <f aca="false">IF(C264="","",IFERROR(INDEX('DANH MỤC'!$B$5:$B$200,MATCH(C264,'DANH MỤC'!$A$5:$A$200,0)),"⚠ Mã chưa có trong DANH MỤC"))</f>
        <v>Sơn lót nội thất kháng kiềm cao cấp Imperia PI04</v>
      </c>
      <c r="J264" s="52"/>
      <c r="K264" s="52" t="s">
        <v>464</v>
      </c>
      <c r="L264" s="56" t="s">
        <v>465</v>
      </c>
    </row>
    <row r="265" customFormat="false" ht="15" hidden="false" customHeight="false" outlineLevel="0" collapsed="false">
      <c r="A265" s="50" t="n">
        <v>46267</v>
      </c>
      <c r="B265" s="51" t="n">
        <f aca="false">IF(A265="","",MONTH(A265))</f>
        <v>9</v>
      </c>
      <c r="C265" s="52" t="s">
        <v>71</v>
      </c>
      <c r="D265" s="52" t="s">
        <v>52</v>
      </c>
      <c r="E265" s="52" t="n">
        <v>1</v>
      </c>
      <c r="F265" s="53" t="n">
        <v>1339000</v>
      </c>
      <c r="G265" s="52" t="n">
        <v>1</v>
      </c>
      <c r="H265" s="54" t="n">
        <f aca="false">IF(E265="","",E265*N(F265)*IF(G265="",1,G265))</f>
        <v>1339000</v>
      </c>
      <c r="I265" s="55" t="str">
        <f aca="false">IF(C265="","",IFERROR(INDEX('DANH MỤC'!$B$5:$B$200,MATCH(C265,'DANH MỤC'!$A$5:$A$200,0)),"⚠ Mã chưa có trong DANH MỤC"))</f>
        <v>Sơn chống thấm đa năng Imperia CT12</v>
      </c>
      <c r="J265" s="52"/>
      <c r="K265" s="52" t="s">
        <v>466</v>
      </c>
      <c r="L265" s="52"/>
    </row>
    <row r="266" customFormat="false" ht="15" hidden="false" customHeight="false" outlineLevel="0" collapsed="false">
      <c r="A266" s="50" t="n">
        <v>46268</v>
      </c>
      <c r="B266" s="51" t="n">
        <f aca="false">IF(A266="","",MONTH(A266))</f>
        <v>9</v>
      </c>
      <c r="C266" s="52" t="s">
        <v>69</v>
      </c>
      <c r="D266" s="52" t="s">
        <v>52</v>
      </c>
      <c r="E266" s="52" t="n">
        <v>1</v>
      </c>
      <c r="F266" s="53" t="n">
        <v>2089000</v>
      </c>
      <c r="G266" s="52" t="n">
        <v>1</v>
      </c>
      <c r="H266" s="54" t="n">
        <f aca="false">IF(E266="","",E266*N(F266)*IF(G266="",1,G266))</f>
        <v>2089000</v>
      </c>
      <c r="I266" s="55" t="str">
        <f aca="false">IF(C266="","",IFERROR(INDEX('DANH MỤC'!$B$5:$B$200,MATCH(C266,'DANH MỤC'!$A$5:$A$200,0)),"⚠ Mã chưa có trong DANH MỤC"))</f>
        <v>Sơn ngoại thất siêu bóng cao cấp Imperia EG09</v>
      </c>
      <c r="J266" s="52" t="s">
        <v>250</v>
      </c>
      <c r="K266" s="52" t="s">
        <v>467</v>
      </c>
      <c r="L266" s="52"/>
    </row>
    <row r="267" customFormat="false" ht="15" hidden="false" customHeight="false" outlineLevel="0" collapsed="false">
      <c r="A267" s="50" t="n">
        <v>46268</v>
      </c>
      <c r="B267" s="51" t="n">
        <f aca="false">IF(A267="","",MONTH(A267))</f>
        <v>9</v>
      </c>
      <c r="C267" s="52" t="s">
        <v>75</v>
      </c>
      <c r="D267" s="52" t="s">
        <v>53</v>
      </c>
      <c r="E267" s="52" t="n">
        <v>2</v>
      </c>
      <c r="F267" s="53" t="n">
        <v>5025000</v>
      </c>
      <c r="G267" s="52" t="n">
        <v>1</v>
      </c>
      <c r="H267" s="54" t="n">
        <f aca="false">IF(E267="","",E267*N(F267)*IF(G267="",1,G267))</f>
        <v>10050000</v>
      </c>
      <c r="I267" s="55" t="str">
        <f aca="false">IF(C267="","",IFERROR(INDEX('DANH MỤC'!$B$5:$B$200,MATCH(C267,'DANH MỤC'!$A$5:$A$200,0)),"⚠ Mã chưa có trong DANH MỤC"))</f>
        <v>Sơn chống thấm siêu co giãn CTS-01</v>
      </c>
      <c r="J267" s="52" t="s">
        <v>344</v>
      </c>
      <c r="K267" s="52" t="s">
        <v>468</v>
      </c>
      <c r="L267" s="52"/>
    </row>
    <row r="268" customFormat="false" ht="15" hidden="false" customHeight="false" outlineLevel="0" collapsed="false">
      <c r="A268" s="50" t="n">
        <v>46269</v>
      </c>
      <c r="B268" s="51" t="n">
        <f aca="false">IF(A268="","",MONTH(A268))</f>
        <v>9</v>
      </c>
      <c r="C268" s="52" t="s">
        <v>54</v>
      </c>
      <c r="D268" s="52" t="s">
        <v>53</v>
      </c>
      <c r="E268" s="52" t="n">
        <v>2</v>
      </c>
      <c r="F268" s="53" t="n">
        <v>4106000</v>
      </c>
      <c r="G268" s="52" t="n">
        <v>1</v>
      </c>
      <c r="H268" s="54" t="n">
        <f aca="false">IF(E268="","",E268*N(F268)*IF(G268="",1,G268))</f>
        <v>8212000</v>
      </c>
      <c r="I268" s="55" t="str">
        <f aca="false">IF(C268="","",IFERROR(INDEX('DANH MỤC'!$B$5:$B$200,MATCH(C268,'DANH MỤC'!$A$5:$A$200,0)),"⚠ Mã chưa có trong DANH MỤC"))</f>
        <v>Sơn lót ngoại thất kháng kiềm cao cấp Imperia PE02</v>
      </c>
      <c r="J268" s="52"/>
      <c r="K268" s="52" t="s">
        <v>469</v>
      </c>
      <c r="L268" s="52"/>
    </row>
    <row r="269" customFormat="false" ht="15" hidden="false" customHeight="false" outlineLevel="0" collapsed="false">
      <c r="A269" s="50" t="n">
        <v>46269</v>
      </c>
      <c r="B269" s="51" t="n">
        <f aca="false">IF(A269="","",MONTH(A269))</f>
        <v>9</v>
      </c>
      <c r="C269" s="52" t="s">
        <v>59</v>
      </c>
      <c r="D269" s="52" t="s">
        <v>53</v>
      </c>
      <c r="E269" s="52" t="n">
        <v>3</v>
      </c>
      <c r="F269" s="53" t="n">
        <v>2712000</v>
      </c>
      <c r="G269" s="52" t="n">
        <v>1</v>
      </c>
      <c r="H269" s="54" t="n">
        <f aca="false">IF(E269="","",E269*N(F269)*IF(G269="",1,G269))</f>
        <v>8136000</v>
      </c>
      <c r="I269" s="55" t="str">
        <f aca="false">IF(C269="","",IFERROR(INDEX('DANH MỤC'!$B$5:$B$200,MATCH(C269,'DANH MỤC'!$A$5:$A$200,0)),"⚠ Mã chưa có trong DANH MỤC"))</f>
        <v>Sơn nội thất siêu trắng Imperia IEW</v>
      </c>
      <c r="J269" s="52" t="s">
        <v>344</v>
      </c>
      <c r="K269" s="52" t="s">
        <v>470</v>
      </c>
      <c r="L269" s="52"/>
    </row>
    <row r="270" customFormat="false" ht="15" hidden="false" customHeight="false" outlineLevel="0" collapsed="false">
      <c r="A270" s="50" t="n">
        <v>46269</v>
      </c>
      <c r="B270" s="51" t="n">
        <f aca="false">IF(A270="","",MONTH(A270))</f>
        <v>9</v>
      </c>
      <c r="C270" s="52" t="s">
        <v>54</v>
      </c>
      <c r="D270" s="52" t="s">
        <v>53</v>
      </c>
      <c r="E270" s="52" t="n">
        <v>2</v>
      </c>
      <c r="F270" s="53" t="n">
        <v>4106000</v>
      </c>
      <c r="G270" s="52" t="n">
        <v>1</v>
      </c>
      <c r="H270" s="54" t="n">
        <f aca="false">IF(E270="","",E270*N(F270)*IF(G270="",1,G270))</f>
        <v>8212000</v>
      </c>
      <c r="I270" s="55" t="str">
        <f aca="false">IF(C270="","",IFERROR(INDEX('DANH MỤC'!$B$5:$B$200,MATCH(C270,'DANH MỤC'!$A$5:$A$200,0)),"⚠ Mã chưa có trong DANH MỤC"))</f>
        <v>Sơn lót ngoại thất kháng kiềm cao cấp Imperia PE02</v>
      </c>
      <c r="J270" s="52" t="s">
        <v>344</v>
      </c>
      <c r="K270" s="52" t="s">
        <v>471</v>
      </c>
      <c r="L270" s="52"/>
    </row>
    <row r="271" customFormat="false" ht="15" hidden="false" customHeight="false" outlineLevel="0" collapsed="false">
      <c r="A271" s="50" t="n">
        <v>46269</v>
      </c>
      <c r="B271" s="51" t="n">
        <f aca="false">IF(A271="","",MONTH(A271))</f>
        <v>9</v>
      </c>
      <c r="C271" s="52" t="s">
        <v>51</v>
      </c>
      <c r="D271" s="52" t="s">
        <v>53</v>
      </c>
      <c r="E271" s="52" t="n">
        <v>2</v>
      </c>
      <c r="F271" s="53" t="n">
        <v>3012000</v>
      </c>
      <c r="G271" s="52" t="n">
        <v>1</v>
      </c>
      <c r="H271" s="54" t="n">
        <f aca="false">IF(E271="","",E271*N(F271)*IF(G271="",1,G271))</f>
        <v>6024000</v>
      </c>
      <c r="I271" s="55" t="str">
        <f aca="false">IF(C271="","",IFERROR(INDEX('DANH MỤC'!$B$5:$B$200,MATCH(C271,'DANH MỤC'!$A$5:$A$200,0)),"⚠ Mã chưa có trong DANH MỤC"))</f>
        <v>Sơn lót nội thất kháng kiềm cao cấp Imperia PI04</v>
      </c>
      <c r="J271" s="52" t="s">
        <v>344</v>
      </c>
      <c r="K271" s="52" t="s">
        <v>472</v>
      </c>
      <c r="L271" s="52"/>
    </row>
    <row r="272" customFormat="false" ht="15" hidden="false" customHeight="false" outlineLevel="0" collapsed="false">
      <c r="A272" s="50" t="n">
        <v>46269</v>
      </c>
      <c r="B272" s="51" t="n">
        <f aca="false">IF(A272="","",MONTH(A272))</f>
        <v>9</v>
      </c>
      <c r="C272" s="52" t="s">
        <v>72</v>
      </c>
      <c r="D272" s="52" t="s">
        <v>53</v>
      </c>
      <c r="E272" s="52" t="n">
        <v>1</v>
      </c>
      <c r="F272" s="53" t="n">
        <v>4821000</v>
      </c>
      <c r="G272" s="52" t="n">
        <v>1</v>
      </c>
      <c r="H272" s="54" t="n">
        <f aca="false">IF(E272="","",E272*N(F272)*IF(G272="",1,G272))</f>
        <v>4821000</v>
      </c>
      <c r="I272" s="55" t="str">
        <f aca="false">IF(C272="","",IFERROR(INDEX('DANH MỤC'!$B$5:$B$200,MATCH(C272,'DANH MỤC'!$A$5:$A$200,0)),"⚠ Mã chưa có trong DANH MỤC"))</f>
        <v>Sơn chống thấm màu ETM 309 (ghi đậm)</v>
      </c>
      <c r="J272" s="52" t="s">
        <v>344</v>
      </c>
      <c r="K272" s="52" t="s">
        <v>473</v>
      </c>
      <c r="L272" s="52"/>
    </row>
    <row r="273" customFormat="false" ht="15" hidden="false" customHeight="false" outlineLevel="0" collapsed="false">
      <c r="A273" s="50" t="n">
        <v>46269</v>
      </c>
      <c r="B273" s="51" t="n">
        <f aca="false">IF(A273="","",MONTH(A273))</f>
        <v>9</v>
      </c>
      <c r="C273" s="52" t="s">
        <v>78</v>
      </c>
      <c r="D273" s="52" t="s">
        <v>77</v>
      </c>
      <c r="E273" s="52" t="n">
        <v>3</v>
      </c>
      <c r="F273" s="53" t="n">
        <v>481000</v>
      </c>
      <c r="G273" s="52" t="n">
        <v>1</v>
      </c>
      <c r="H273" s="54" t="n">
        <f aca="false">IF(E273="","",E273*N(F273)*IF(G273="",1,G273))</f>
        <v>1443000</v>
      </c>
      <c r="I273" s="55" t="str">
        <f aca="false">IF(C273="","",IFERROR(INDEX('DANH MỤC'!$B$5:$B$200,MATCH(C273,'DANH MỤC'!$A$5:$A$200,0)),"⚠ Mã chưa có trong DANH MỤC"))</f>
        <v>Bột bả ngoại thất Imperia EP14 (40kg)</v>
      </c>
      <c r="J273" s="52" t="s">
        <v>344</v>
      </c>
      <c r="K273" s="52" t="s">
        <v>474</v>
      </c>
      <c r="L273" s="56" t="s">
        <v>475</v>
      </c>
    </row>
    <row r="274" customFormat="false" ht="15" hidden="false" customHeight="false" outlineLevel="0" collapsed="false">
      <c r="A274" s="50" t="n">
        <v>46269</v>
      </c>
      <c r="B274" s="51" t="n">
        <f aca="false">IF(A274="","",MONTH(A274))</f>
        <v>9</v>
      </c>
      <c r="C274" s="52" t="s">
        <v>51</v>
      </c>
      <c r="D274" s="52" t="s">
        <v>53</v>
      </c>
      <c r="E274" s="52" t="n">
        <v>6</v>
      </c>
      <c r="F274" s="53" t="n">
        <v>3012000</v>
      </c>
      <c r="G274" s="52" t="n">
        <v>1</v>
      </c>
      <c r="H274" s="54" t="n">
        <f aca="false">IF(E274="","",E274*N(F274)*IF(G274="",1,G274))</f>
        <v>18072000</v>
      </c>
      <c r="I274" s="55" t="str">
        <f aca="false">IF(C274="","",IFERROR(INDEX('DANH MỤC'!$B$5:$B$200,MATCH(C274,'DANH MỤC'!$A$5:$A$200,0)),"⚠ Mã chưa có trong DANH MỤC"))</f>
        <v>Sơn lót nội thất kháng kiềm cao cấp Imperia PI04</v>
      </c>
      <c r="J274" s="52"/>
      <c r="K274" s="52" t="s">
        <v>476</v>
      </c>
      <c r="L274" s="52"/>
    </row>
    <row r="275" customFormat="false" ht="15" hidden="false" customHeight="false" outlineLevel="0" collapsed="false">
      <c r="A275" s="50" t="n">
        <v>46269</v>
      </c>
      <c r="B275" s="51" t="n">
        <f aca="false">IF(A275="","",MONTH(A275))</f>
        <v>9</v>
      </c>
      <c r="C275" s="52" t="s">
        <v>62</v>
      </c>
      <c r="D275" s="52" t="s">
        <v>53</v>
      </c>
      <c r="E275" s="52" t="n">
        <v>4</v>
      </c>
      <c r="F275" s="53" t="n">
        <v>5530000</v>
      </c>
      <c r="G275" s="52" t="n">
        <v>1</v>
      </c>
      <c r="H275" s="54" t="n">
        <f aca="false">IF(E275="","",E275*N(F275)*IF(G275="",1,G275))</f>
        <v>22120000</v>
      </c>
      <c r="I275" s="55" t="str">
        <f aca="false">IF(C275="","",IFERROR(INDEX('DANH MỤC'!$B$5:$B$200,MATCH(C275,'DANH MỤC'!$A$5:$A$200,0)),"⚠ Mã chưa có trong DANH MỤC"))</f>
        <v>Sơn nội thất siêu bóng cao cấp Imperia IG05</v>
      </c>
      <c r="J275" s="52" t="s">
        <v>314</v>
      </c>
      <c r="K275" s="52" t="s">
        <v>477</v>
      </c>
      <c r="L275" s="52"/>
    </row>
    <row r="276" customFormat="false" ht="15" hidden="false" customHeight="false" outlineLevel="0" collapsed="false">
      <c r="A276" s="50" t="n">
        <v>46269</v>
      </c>
      <c r="B276" s="51" t="n">
        <f aca="false">IF(A276="","",MONTH(A276))</f>
        <v>9</v>
      </c>
      <c r="C276" s="52" t="s">
        <v>69</v>
      </c>
      <c r="D276" s="52" t="s">
        <v>53</v>
      </c>
      <c r="E276" s="52" t="n">
        <v>2</v>
      </c>
      <c r="F276" s="53" t="n">
        <v>6504000</v>
      </c>
      <c r="G276" s="52" t="n">
        <v>1</v>
      </c>
      <c r="H276" s="54" t="n">
        <f aca="false">IF(E276="","",E276*N(F276)*IF(G276="",1,G276))</f>
        <v>13008000</v>
      </c>
      <c r="I276" s="55" t="str">
        <f aca="false">IF(C276="","",IFERROR(INDEX('DANH MỤC'!$B$5:$B$200,MATCH(C276,'DANH MỤC'!$A$5:$A$200,0)),"⚠ Mã chưa có trong DANH MỤC"))</f>
        <v>Sơn ngoại thất siêu bóng cao cấp Imperia EG09</v>
      </c>
      <c r="J276" s="52" t="s">
        <v>179</v>
      </c>
      <c r="K276" s="52" t="s">
        <v>478</v>
      </c>
      <c r="L276" s="52"/>
    </row>
    <row r="277" customFormat="false" ht="15" hidden="false" customHeight="false" outlineLevel="0" collapsed="false">
      <c r="A277" s="50" t="n">
        <v>46269</v>
      </c>
      <c r="B277" s="51" t="n">
        <f aca="false">IF(A277="","",MONTH(A277))</f>
        <v>9</v>
      </c>
      <c r="C277" s="52" t="s">
        <v>59</v>
      </c>
      <c r="D277" s="52" t="s">
        <v>53</v>
      </c>
      <c r="E277" s="52" t="n">
        <v>3</v>
      </c>
      <c r="F277" s="53" t="n">
        <v>2712000</v>
      </c>
      <c r="G277" s="52" t="n">
        <v>1</v>
      </c>
      <c r="H277" s="54" t="n">
        <f aca="false">IF(E277="","",E277*N(F277)*IF(G277="",1,G277))</f>
        <v>8136000</v>
      </c>
      <c r="I277" s="55" t="str">
        <f aca="false">IF(C277="","",IFERROR(INDEX('DANH MỤC'!$B$5:$B$200,MATCH(C277,'DANH MỤC'!$A$5:$A$200,0)),"⚠ Mã chưa có trong DANH MỤC"))</f>
        <v>Sơn nội thất siêu trắng Imperia IEW</v>
      </c>
      <c r="J277" s="52"/>
      <c r="K277" s="52" t="s">
        <v>479</v>
      </c>
      <c r="L277" s="52"/>
    </row>
    <row r="278" customFormat="false" ht="15" hidden="false" customHeight="false" outlineLevel="0" collapsed="false">
      <c r="A278" s="50" t="n">
        <v>46269</v>
      </c>
      <c r="B278" s="51" t="n">
        <f aca="false">IF(A278="","",MONTH(A278))</f>
        <v>9</v>
      </c>
      <c r="C278" s="52" t="s">
        <v>62</v>
      </c>
      <c r="D278" s="52" t="s">
        <v>53</v>
      </c>
      <c r="E278" s="52" t="n">
        <v>1</v>
      </c>
      <c r="F278" s="53" t="n">
        <v>5530000</v>
      </c>
      <c r="G278" s="52" t="n">
        <v>1</v>
      </c>
      <c r="H278" s="54" t="n">
        <f aca="false">IF(E278="","",E278*N(F278)*IF(G278="",1,G278))</f>
        <v>5530000</v>
      </c>
      <c r="I278" s="55" t="str">
        <f aca="false">IF(C278="","",IFERROR(INDEX('DANH MỤC'!$B$5:$B$200,MATCH(C278,'DANH MỤC'!$A$5:$A$200,0)),"⚠ Mã chưa có trong DANH MỤC"))</f>
        <v>Sơn nội thất siêu bóng cao cấp Imperia IG05</v>
      </c>
      <c r="J278" s="52" t="s">
        <v>420</v>
      </c>
      <c r="K278" s="52" t="s">
        <v>480</v>
      </c>
      <c r="L278" s="52"/>
    </row>
    <row r="279" customFormat="false" ht="15" hidden="false" customHeight="false" outlineLevel="0" collapsed="false">
      <c r="A279" s="50" t="n">
        <v>46269</v>
      </c>
      <c r="B279" s="51" t="n">
        <f aca="false">IF(A279="","",MONTH(A279))</f>
        <v>9</v>
      </c>
      <c r="C279" s="52" t="s">
        <v>57</v>
      </c>
      <c r="D279" s="52" t="s">
        <v>53</v>
      </c>
      <c r="E279" s="52" t="n">
        <v>8</v>
      </c>
      <c r="F279" s="53" t="n">
        <v>2185000</v>
      </c>
      <c r="G279" s="52" t="n">
        <v>1</v>
      </c>
      <c r="H279" s="54" t="n">
        <f aca="false">IF(E279="","",E279*N(F279)*IF(G279="",1,G279))</f>
        <v>17480000</v>
      </c>
      <c r="I279" s="55" t="str">
        <f aca="false">IF(C279="","",IFERROR(INDEX('DANH MỤC'!$B$5:$B$200,MATCH(C279,'DANH MỤC'!$A$5:$A$200,0)),"⚠ Mã chưa có trong DANH MỤC"))</f>
        <v>Sơn lót nội thất kháng kiềm Silver IL5</v>
      </c>
      <c r="J279" s="52"/>
      <c r="K279" s="52" t="s">
        <v>481</v>
      </c>
      <c r="L279" s="52"/>
    </row>
    <row r="280" customFormat="false" ht="15" hidden="false" customHeight="false" outlineLevel="0" collapsed="false">
      <c r="A280" s="50" t="n">
        <v>46269</v>
      </c>
      <c r="B280" s="51" t="n">
        <f aca="false">IF(A280="","",MONTH(A280))</f>
        <v>9</v>
      </c>
      <c r="C280" s="52" t="s">
        <v>58</v>
      </c>
      <c r="D280" s="52" t="s">
        <v>53</v>
      </c>
      <c r="E280" s="52" t="n">
        <v>3</v>
      </c>
      <c r="F280" s="53" t="n">
        <v>3097000</v>
      </c>
      <c r="G280" s="52" t="n">
        <v>1</v>
      </c>
      <c r="H280" s="54" t="n">
        <f aca="false">IF(E280="","",E280*N(F280)*IF(G280="",1,G280))</f>
        <v>9291000</v>
      </c>
      <c r="I280" s="55" t="str">
        <f aca="false">IF(C280="","",IFERROR(INDEX('DANH MỤC'!$B$5:$B$200,MATCH(C280,'DANH MỤC'!$A$5:$A$200,0)),"⚠ Mã chưa có trong DANH MỤC"))</f>
        <v>Sơn lót ngoại thất kháng kiềm Silver EL5</v>
      </c>
      <c r="J280" s="52"/>
      <c r="K280" s="52" t="s">
        <v>482</v>
      </c>
      <c r="L280" s="52"/>
    </row>
    <row r="281" customFormat="false" ht="15" hidden="false" customHeight="false" outlineLevel="0" collapsed="false">
      <c r="A281" s="50" t="n">
        <v>46269</v>
      </c>
      <c r="B281" s="51" t="n">
        <f aca="false">IF(A281="","",MONTH(A281))</f>
        <v>9</v>
      </c>
      <c r="C281" s="52" t="s">
        <v>72</v>
      </c>
      <c r="D281" s="52" t="s">
        <v>53</v>
      </c>
      <c r="E281" s="52" t="n">
        <v>1</v>
      </c>
      <c r="F281" s="53" t="n">
        <v>4821000</v>
      </c>
      <c r="G281" s="52" t="n">
        <v>1</v>
      </c>
      <c r="H281" s="54" t="n">
        <f aca="false">IF(E281="","",E281*N(F281)*IF(G281="",1,G281))</f>
        <v>4821000</v>
      </c>
      <c r="I281" s="55" t="str">
        <f aca="false">IF(C281="","",IFERROR(INDEX('DANH MỤC'!$B$5:$B$200,MATCH(C281,'DANH MỤC'!$A$5:$A$200,0)),"⚠ Mã chưa có trong DANH MỤC"))</f>
        <v>Sơn chống thấm màu ETM 309 (ghi đậm)</v>
      </c>
      <c r="J281" s="52" t="s">
        <v>179</v>
      </c>
      <c r="K281" s="52" t="s">
        <v>483</v>
      </c>
      <c r="L281" s="52"/>
    </row>
    <row r="282" customFormat="false" ht="15" hidden="false" customHeight="false" outlineLevel="0" collapsed="false">
      <c r="A282" s="50" t="n">
        <v>46269</v>
      </c>
      <c r="B282" s="51" t="n">
        <f aca="false">IF(A282="","",MONTH(A282))</f>
        <v>9</v>
      </c>
      <c r="C282" s="52" t="s">
        <v>76</v>
      </c>
      <c r="D282" s="52" t="s">
        <v>77</v>
      </c>
      <c r="E282" s="52" t="n">
        <v>5</v>
      </c>
      <c r="F282" s="53" t="n">
        <v>481000</v>
      </c>
      <c r="G282" s="52" t="n">
        <v>1</v>
      </c>
      <c r="H282" s="54" t="n">
        <f aca="false">IF(E282="","",E282*N(F282)*IF(G282="",1,G282))</f>
        <v>2405000</v>
      </c>
      <c r="I282" s="55" t="str">
        <f aca="false">IF(C282="","",IFERROR(INDEX('DANH MỤC'!$B$5:$B$200,MATCH(C282,'DANH MỤC'!$A$5:$A$200,0)),"⚠ Mã chưa có trong DANH MỤC"))</f>
        <v>Bột bả nội thất Imperia IP15 (40kg)</v>
      </c>
      <c r="J282" s="52"/>
      <c r="K282" s="52" t="s">
        <v>484</v>
      </c>
      <c r="L282" s="52"/>
    </row>
    <row r="283" customFormat="false" ht="15" hidden="false" customHeight="false" outlineLevel="0" collapsed="false">
      <c r="A283" s="50" t="n">
        <v>46271</v>
      </c>
      <c r="B283" s="51" t="n">
        <f aca="false">IF(A283="","",MONTH(A283))</f>
        <v>9</v>
      </c>
      <c r="C283" s="52" t="s">
        <v>68</v>
      </c>
      <c r="D283" s="52" t="s">
        <v>53</v>
      </c>
      <c r="E283" s="52" t="n">
        <v>1</v>
      </c>
      <c r="F283" s="53" t="n">
        <v>5331000</v>
      </c>
      <c r="G283" s="52" t="n">
        <v>1</v>
      </c>
      <c r="H283" s="54" t="n">
        <f aca="false">IF(E283="","",E283*N(F283)*IF(G283="",1,G283))</f>
        <v>5331000</v>
      </c>
      <c r="I283" s="55" t="str">
        <f aca="false">IF(C283="","",IFERROR(INDEX('DANH MỤC'!$B$5:$B$200,MATCH(C283,'DANH MỤC'!$A$5:$A$200,0)),"⚠ Mã chưa có trong DANH MỤC"))</f>
        <v>Sơn ngoại thất cao cấp bóng mờ Imperia ESG10</v>
      </c>
      <c r="J283" s="52" t="s">
        <v>485</v>
      </c>
      <c r="K283" s="52" t="s">
        <v>486</v>
      </c>
      <c r="L283" s="52"/>
    </row>
    <row r="284" customFormat="false" ht="15" hidden="false" customHeight="false" outlineLevel="0" collapsed="false">
      <c r="A284" s="50" t="n">
        <v>46271</v>
      </c>
      <c r="B284" s="51" t="n">
        <f aca="false">IF(A284="","",MONTH(A284))</f>
        <v>9</v>
      </c>
      <c r="C284" s="52" t="s">
        <v>68</v>
      </c>
      <c r="D284" s="52" t="s">
        <v>52</v>
      </c>
      <c r="E284" s="52" t="n">
        <v>1</v>
      </c>
      <c r="F284" s="53" t="n">
        <v>1536000</v>
      </c>
      <c r="G284" s="52" t="n">
        <v>1.15</v>
      </c>
      <c r="H284" s="54" t="n">
        <f aca="false">IF(E284="","",E284*N(F284)*IF(G284="",1,G284))</f>
        <v>1766400</v>
      </c>
      <c r="I284" s="55" t="str">
        <f aca="false">IF(C284="","",IFERROR(INDEX('DANH MỤC'!$B$5:$B$200,MATCH(C284,'DANH MỤC'!$A$5:$A$200,0)),"⚠ Mã chưa có trong DANH MỤC"))</f>
        <v>Sơn ngoại thất cao cấp bóng mờ Imperia ESG10</v>
      </c>
      <c r="J284" s="52" t="s">
        <v>487</v>
      </c>
      <c r="K284" s="52" t="s">
        <v>488</v>
      </c>
      <c r="L284" s="52"/>
    </row>
    <row r="285" customFormat="false" ht="15" hidden="false" customHeight="false" outlineLevel="0" collapsed="false">
      <c r="A285" s="50" t="n">
        <v>46271</v>
      </c>
      <c r="B285" s="51" t="n">
        <f aca="false">IF(A285="","",MONTH(A285))</f>
        <v>9</v>
      </c>
      <c r="C285" s="52" t="s">
        <v>68</v>
      </c>
      <c r="D285" s="52" t="s">
        <v>66</v>
      </c>
      <c r="E285" s="52" t="n">
        <v>1</v>
      </c>
      <c r="F285" s="53" t="n">
        <v>409000</v>
      </c>
      <c r="G285" s="52" t="n">
        <v>1</v>
      </c>
      <c r="H285" s="54" t="n">
        <f aca="false">IF(E285="","",E285*N(F285)*IF(G285="",1,G285))</f>
        <v>409000</v>
      </c>
      <c r="I285" s="55" t="str">
        <f aca="false">IF(C285="","",IFERROR(INDEX('DANH MỤC'!$B$5:$B$200,MATCH(C285,'DANH MỤC'!$A$5:$A$200,0)),"⚠ Mã chưa có trong DANH MỤC"))</f>
        <v>Sơn ngoại thất cao cấp bóng mờ Imperia ESG10</v>
      </c>
      <c r="J285" s="52" t="s">
        <v>489</v>
      </c>
      <c r="K285" s="52" t="s">
        <v>490</v>
      </c>
      <c r="L285" s="52"/>
    </row>
    <row r="286" customFormat="false" ht="15" hidden="false" customHeight="false" outlineLevel="0" collapsed="false">
      <c r="A286" s="50" t="n">
        <v>46271</v>
      </c>
      <c r="B286" s="51" t="n">
        <f aca="false">IF(A286="","",MONTH(A286))</f>
        <v>9</v>
      </c>
      <c r="C286" s="52" t="s">
        <v>68</v>
      </c>
      <c r="D286" s="52" t="s">
        <v>66</v>
      </c>
      <c r="E286" s="52" t="n">
        <v>1</v>
      </c>
      <c r="F286" s="53" t="n">
        <v>409000</v>
      </c>
      <c r="G286" s="52" t="n">
        <v>1</v>
      </c>
      <c r="H286" s="54" t="n">
        <f aca="false">IF(E286="","",E286*N(F286)*IF(G286="",1,G286))</f>
        <v>409000</v>
      </c>
      <c r="I286" s="55" t="str">
        <f aca="false">IF(C286="","",IFERROR(INDEX('DANH MỤC'!$B$5:$B$200,MATCH(C286,'DANH MỤC'!$A$5:$A$200,0)),"⚠ Mã chưa có trong DANH MỤC"))</f>
        <v>Sơn ngoại thất cao cấp bóng mờ Imperia ESG10</v>
      </c>
      <c r="J286" s="52" t="s">
        <v>491</v>
      </c>
      <c r="K286" s="52" t="s">
        <v>492</v>
      </c>
      <c r="L286" s="52"/>
    </row>
    <row r="287" customFormat="false" ht="15" hidden="false" customHeight="false" outlineLevel="0" collapsed="false">
      <c r="A287" s="50" t="n">
        <v>46271</v>
      </c>
      <c r="B287" s="51" t="n">
        <f aca="false">IF(A287="","",MONTH(A287))</f>
        <v>9</v>
      </c>
      <c r="C287" s="52" t="s">
        <v>51</v>
      </c>
      <c r="D287" s="52" t="s">
        <v>53</v>
      </c>
      <c r="E287" s="52" t="n">
        <v>1</v>
      </c>
      <c r="F287" s="53"/>
      <c r="G287" s="52"/>
      <c r="H287" s="54" t="n">
        <f aca="false">IF(E287="","",E287*N(F287)*IF(G287="",1,G287))</f>
        <v>0</v>
      </c>
      <c r="I287" s="55" t="str">
        <f aca="false">IF(C287="","",IFERROR(INDEX('DANH MỤC'!$B$5:$B$200,MATCH(C287,'DANH MỤC'!$A$5:$A$200,0)),"⚠ Mã chưa có trong DANH MỤC"))</f>
        <v>Sơn lót nội thất kháng kiềm cao cấp Imperia PI04</v>
      </c>
      <c r="J287" s="52" t="s">
        <v>493</v>
      </c>
      <c r="K287" s="52" t="s">
        <v>494</v>
      </c>
      <c r="L287" s="56" t="s">
        <v>495</v>
      </c>
    </row>
    <row r="288" customFormat="false" ht="15" hidden="false" customHeight="false" outlineLevel="0" collapsed="false">
      <c r="A288" s="50" t="n">
        <v>46273</v>
      </c>
      <c r="B288" s="51" t="n">
        <f aca="false">IF(A288="","",MONTH(A288))</f>
        <v>9</v>
      </c>
      <c r="C288" s="52" t="s">
        <v>61</v>
      </c>
      <c r="D288" s="52" t="s">
        <v>53</v>
      </c>
      <c r="E288" s="52" t="n">
        <v>5</v>
      </c>
      <c r="F288" s="53" t="n">
        <v>4597000</v>
      </c>
      <c r="G288" s="52" t="n">
        <v>1</v>
      </c>
      <c r="H288" s="54" t="n">
        <f aca="false">IF(E288="","",E288*N(F288)*IF(G288="",1,G288))</f>
        <v>22985000</v>
      </c>
      <c r="I288" s="55" t="str">
        <f aca="false">IF(C288="","",IFERROR(INDEX('DANH MỤC'!$B$5:$B$200,MATCH(C288,'DANH MỤC'!$A$5:$A$200,0)),"⚠ Mã chưa có trong DANH MỤC"))</f>
        <v>Sơn nội thất cao cấp bóng mờ Imperia ISG06</v>
      </c>
      <c r="J288" s="52" t="s">
        <v>131</v>
      </c>
      <c r="K288" s="52" t="s">
        <v>496</v>
      </c>
      <c r="L288" s="52"/>
    </row>
    <row r="289" customFormat="false" ht="15" hidden="false" customHeight="false" outlineLevel="0" collapsed="false">
      <c r="A289" s="50" t="n">
        <v>46273</v>
      </c>
      <c r="B289" s="51" t="n">
        <f aca="false">IF(A289="","",MONTH(A289))</f>
        <v>9</v>
      </c>
      <c r="C289" s="52" t="s">
        <v>59</v>
      </c>
      <c r="D289" s="52" t="s">
        <v>53</v>
      </c>
      <c r="E289" s="52" t="n">
        <v>1</v>
      </c>
      <c r="F289" s="53" t="n">
        <v>2712000</v>
      </c>
      <c r="G289" s="52" t="n">
        <v>1</v>
      </c>
      <c r="H289" s="54" t="n">
        <f aca="false">IF(E289="","",E289*N(F289)*IF(G289="",1,G289))</f>
        <v>2712000</v>
      </c>
      <c r="I289" s="55" t="str">
        <f aca="false">IF(C289="","",IFERROR(INDEX('DANH MỤC'!$B$5:$B$200,MATCH(C289,'DANH MỤC'!$A$5:$A$200,0)),"⚠ Mã chưa có trong DANH MỤC"))</f>
        <v>Sơn nội thất siêu trắng Imperia IEW</v>
      </c>
      <c r="J289" s="52"/>
      <c r="K289" s="52" t="s">
        <v>497</v>
      </c>
      <c r="L289" s="52"/>
    </row>
    <row r="290" customFormat="false" ht="15" hidden="false" customHeight="false" outlineLevel="0" collapsed="false">
      <c r="A290" s="50" t="n">
        <v>46273</v>
      </c>
      <c r="B290" s="51" t="n">
        <f aca="false">IF(A290="","",MONTH(A290))</f>
        <v>9</v>
      </c>
      <c r="C290" s="52" t="s">
        <v>61</v>
      </c>
      <c r="D290" s="52" t="s">
        <v>52</v>
      </c>
      <c r="E290" s="52" t="n">
        <v>2</v>
      </c>
      <c r="F290" s="53" t="n">
        <v>1302000</v>
      </c>
      <c r="G290" s="52" t="n">
        <v>1</v>
      </c>
      <c r="H290" s="54" t="n">
        <f aca="false">IF(E290="","",E290*N(F290)*IF(G290="",1,G290))</f>
        <v>2604000</v>
      </c>
      <c r="I290" s="55" t="str">
        <f aca="false">IF(C290="","",IFERROR(INDEX('DANH MỤC'!$B$5:$B$200,MATCH(C290,'DANH MỤC'!$A$5:$A$200,0)),"⚠ Mã chưa có trong DANH MỤC"))</f>
        <v>Sơn nội thất cao cấp bóng mờ Imperia ISG06</v>
      </c>
      <c r="J290" s="52" t="s">
        <v>121</v>
      </c>
      <c r="K290" s="52" t="s">
        <v>498</v>
      </c>
      <c r="L290" s="52"/>
    </row>
    <row r="291" customFormat="false" ht="15" hidden="false" customHeight="false" outlineLevel="0" collapsed="false">
      <c r="A291" s="50" t="n">
        <v>46274</v>
      </c>
      <c r="B291" s="51" t="n">
        <f aca="false">IF(A291="","",MONTH(A291))</f>
        <v>9</v>
      </c>
      <c r="C291" s="52" t="s">
        <v>76</v>
      </c>
      <c r="D291" s="52" t="s">
        <v>77</v>
      </c>
      <c r="E291" s="52" t="n">
        <v>3</v>
      </c>
      <c r="F291" s="53" t="n">
        <v>481000</v>
      </c>
      <c r="G291" s="52" t="n">
        <v>1</v>
      </c>
      <c r="H291" s="54" t="n">
        <f aca="false">IF(E291="","",E291*N(F291)*IF(G291="",1,G291))</f>
        <v>1443000</v>
      </c>
      <c r="I291" s="55" t="str">
        <f aca="false">IF(C291="","",IFERROR(INDEX('DANH MỤC'!$B$5:$B$200,MATCH(C291,'DANH MỤC'!$A$5:$A$200,0)),"⚠ Mã chưa có trong DANH MỤC"))</f>
        <v>Bột bả nội thất Imperia IP15 (40kg)</v>
      </c>
      <c r="J291" s="52"/>
      <c r="K291" s="52" t="s">
        <v>499</v>
      </c>
      <c r="L291" s="52"/>
    </row>
    <row r="292" customFormat="false" ht="15" hidden="false" customHeight="false" outlineLevel="0" collapsed="false">
      <c r="A292" s="50" t="n">
        <v>46274</v>
      </c>
      <c r="B292" s="51" t="n">
        <f aca="false">IF(A292="","",MONTH(A292))</f>
        <v>9</v>
      </c>
      <c r="C292" s="52" t="s">
        <v>62</v>
      </c>
      <c r="D292" s="52" t="s">
        <v>53</v>
      </c>
      <c r="E292" s="52" t="n">
        <v>1</v>
      </c>
      <c r="F292" s="53" t="n">
        <v>5530000</v>
      </c>
      <c r="G292" s="52" t="n">
        <v>1</v>
      </c>
      <c r="H292" s="54" t="n">
        <f aca="false">IF(E292="","",E292*N(F292)*IF(G292="",1,G292))</f>
        <v>5530000</v>
      </c>
      <c r="I292" s="55" t="str">
        <f aca="false">IF(C292="","",IFERROR(INDEX('DANH MỤC'!$B$5:$B$200,MATCH(C292,'DANH MỤC'!$A$5:$A$200,0)),"⚠ Mã chưa có trong DANH MỤC"))</f>
        <v>Sơn nội thất siêu bóng cao cấp Imperia IG05</v>
      </c>
      <c r="J292" s="52" t="s">
        <v>500</v>
      </c>
      <c r="K292" s="52" t="s">
        <v>501</v>
      </c>
      <c r="L292" s="52"/>
    </row>
    <row r="293" customFormat="false" ht="15" hidden="false" customHeight="false" outlineLevel="0" collapsed="false">
      <c r="A293" s="50" t="n">
        <v>46274</v>
      </c>
      <c r="B293" s="51" t="n">
        <f aca="false">IF(A293="","",MONTH(A293))</f>
        <v>9</v>
      </c>
      <c r="C293" s="52" t="s">
        <v>69</v>
      </c>
      <c r="D293" s="52" t="s">
        <v>52</v>
      </c>
      <c r="E293" s="52" t="n">
        <v>1</v>
      </c>
      <c r="F293" s="53" t="n">
        <v>2089000</v>
      </c>
      <c r="G293" s="52" t="n">
        <v>1</v>
      </c>
      <c r="H293" s="54" t="n">
        <f aca="false">IF(E293="","",E293*N(F293)*IF(G293="",1,G293))</f>
        <v>2089000</v>
      </c>
      <c r="I293" s="55" t="str">
        <f aca="false">IF(C293="","",IFERROR(INDEX('DANH MỤC'!$B$5:$B$200,MATCH(C293,'DANH MỤC'!$A$5:$A$200,0)),"⚠ Mã chưa có trong DANH MỤC"))</f>
        <v>Sơn ngoại thất siêu bóng cao cấp Imperia EG09</v>
      </c>
      <c r="J293" s="52" t="s">
        <v>250</v>
      </c>
      <c r="K293" s="52" t="s">
        <v>502</v>
      </c>
      <c r="L293" s="52"/>
    </row>
    <row r="294" customFormat="false" ht="15" hidden="false" customHeight="false" outlineLevel="0" collapsed="false">
      <c r="A294" s="50" t="n">
        <v>46274</v>
      </c>
      <c r="B294" s="51" t="n">
        <f aca="false">IF(A294="","",MONTH(A294))</f>
        <v>9</v>
      </c>
      <c r="C294" s="52" t="s">
        <v>69</v>
      </c>
      <c r="D294" s="52" t="s">
        <v>52</v>
      </c>
      <c r="E294" s="52" t="n">
        <v>1</v>
      </c>
      <c r="F294" s="53" t="n">
        <v>2089000</v>
      </c>
      <c r="G294" s="52" t="n">
        <v>1.1</v>
      </c>
      <c r="H294" s="54" t="n">
        <f aca="false">IF(E294="","",E294*N(F294)*IF(G294="",1,G294))</f>
        <v>2297900</v>
      </c>
      <c r="I294" s="55" t="str">
        <f aca="false">IF(C294="","",IFERROR(INDEX('DANH MỤC'!$B$5:$B$200,MATCH(C294,'DANH MỤC'!$A$5:$A$200,0)),"⚠ Mã chưa có trong DANH MỤC"))</f>
        <v>Sơn ngoại thất siêu bóng cao cấp Imperia EG09</v>
      </c>
      <c r="J294" s="52" t="s">
        <v>503</v>
      </c>
      <c r="K294" s="52" t="s">
        <v>504</v>
      </c>
      <c r="L294" s="52"/>
    </row>
    <row r="295" customFormat="false" ht="15" hidden="false" customHeight="false" outlineLevel="0" collapsed="false">
      <c r="A295" s="50" t="n">
        <v>46275</v>
      </c>
      <c r="B295" s="51" t="n">
        <f aca="false">IF(A295="","",MONTH(A295))</f>
        <v>9</v>
      </c>
      <c r="C295" s="52" t="s">
        <v>60</v>
      </c>
      <c r="D295" s="52" t="s">
        <v>52</v>
      </c>
      <c r="E295" s="52" t="n">
        <v>2</v>
      </c>
      <c r="F295" s="53" t="n">
        <v>631000</v>
      </c>
      <c r="G295" s="52" t="n">
        <v>1</v>
      </c>
      <c r="H295" s="54" t="n">
        <f aca="false">IF(E295="","",E295*N(F295)*IF(G295="",1,G295))</f>
        <v>1262000</v>
      </c>
      <c r="I295" s="55" t="str">
        <f aca="false">IF(C295="","",IFERROR(INDEX('DANH MỤC'!$B$5:$B$200,MATCH(C295,'DANH MỤC'!$A$5:$A$200,0)),"⚠ Mã chưa có trong DANH MỤC"))</f>
        <v>Sơn nội thất bền màu Silver ISI</v>
      </c>
      <c r="J295" s="52" t="s">
        <v>162</v>
      </c>
      <c r="K295" s="52" t="s">
        <v>505</v>
      </c>
      <c r="L295" s="52"/>
    </row>
    <row r="296" customFormat="false" ht="15" hidden="false" customHeight="false" outlineLevel="0" collapsed="false">
      <c r="A296" s="50" t="n">
        <v>46276</v>
      </c>
      <c r="B296" s="51" t="n">
        <f aca="false">IF(A296="","",MONTH(A296))</f>
        <v>9</v>
      </c>
      <c r="C296" s="52" t="s">
        <v>59</v>
      </c>
      <c r="D296" s="52" t="s">
        <v>53</v>
      </c>
      <c r="E296" s="52" t="n">
        <v>2</v>
      </c>
      <c r="F296" s="53" t="n">
        <v>2712000</v>
      </c>
      <c r="G296" s="52" t="n">
        <v>1</v>
      </c>
      <c r="H296" s="54" t="n">
        <f aca="false">IF(E296="","",E296*N(F296)*IF(G296="",1,G296))</f>
        <v>5424000</v>
      </c>
      <c r="I296" s="55" t="str">
        <f aca="false">IF(C296="","",IFERROR(INDEX('DANH MỤC'!$B$5:$B$200,MATCH(C296,'DANH MỤC'!$A$5:$A$200,0)),"⚠ Mã chưa có trong DANH MỤC"))</f>
        <v>Sơn nội thất siêu trắng Imperia IEW</v>
      </c>
      <c r="J296" s="52"/>
      <c r="K296" s="52" t="s">
        <v>506</v>
      </c>
      <c r="L296" s="52"/>
    </row>
    <row r="297" customFormat="false" ht="15" hidden="false" customHeight="false" outlineLevel="0" collapsed="false">
      <c r="A297" s="50" t="n">
        <v>46276</v>
      </c>
      <c r="B297" s="51" t="n">
        <f aca="false">IF(A297="","",MONTH(A297))</f>
        <v>9</v>
      </c>
      <c r="C297" s="52" t="s">
        <v>62</v>
      </c>
      <c r="D297" s="52" t="s">
        <v>52</v>
      </c>
      <c r="E297" s="52" t="n">
        <v>1</v>
      </c>
      <c r="F297" s="53" t="n">
        <v>1874000</v>
      </c>
      <c r="G297" s="52" t="n">
        <v>1</v>
      </c>
      <c r="H297" s="54" t="n">
        <f aca="false">IF(E297="","",E297*N(F297)*IF(G297="",1,G297))</f>
        <v>1874000</v>
      </c>
      <c r="I297" s="55" t="str">
        <f aca="false">IF(C297="","",IFERROR(INDEX('DANH MỤC'!$B$5:$B$200,MATCH(C297,'DANH MỤC'!$A$5:$A$200,0)),"⚠ Mã chưa có trong DANH MỤC"))</f>
        <v>Sơn nội thất siêu bóng cao cấp Imperia IG05</v>
      </c>
      <c r="J297" s="52" t="s">
        <v>420</v>
      </c>
      <c r="K297" s="52" t="s">
        <v>507</v>
      </c>
      <c r="L297" s="52"/>
    </row>
    <row r="298" customFormat="false" ht="15" hidden="false" customHeight="false" outlineLevel="0" collapsed="false">
      <c r="A298" s="50" t="n">
        <v>46277</v>
      </c>
      <c r="B298" s="51" t="n">
        <f aca="false">IF(A298="","",MONTH(A298))</f>
        <v>9</v>
      </c>
      <c r="C298" s="52" t="s">
        <v>62</v>
      </c>
      <c r="D298" s="52" t="s">
        <v>53</v>
      </c>
      <c r="E298" s="52" t="n">
        <v>1</v>
      </c>
      <c r="F298" s="53" t="n">
        <v>5530000</v>
      </c>
      <c r="G298" s="52" t="n">
        <v>1</v>
      </c>
      <c r="H298" s="54" t="n">
        <f aca="false">IF(E298="","",E298*N(F298)*IF(G298="",1,G298))</f>
        <v>5530000</v>
      </c>
      <c r="I298" s="55" t="str">
        <f aca="false">IF(C298="","",IFERROR(INDEX('DANH MỤC'!$B$5:$B$200,MATCH(C298,'DANH MỤC'!$A$5:$A$200,0)),"⚠ Mã chưa có trong DANH MỤC"))</f>
        <v>Sơn nội thất siêu bóng cao cấp Imperia IG05</v>
      </c>
      <c r="J298" s="52" t="s">
        <v>500</v>
      </c>
      <c r="K298" s="52" t="s">
        <v>508</v>
      </c>
      <c r="L298" s="52"/>
    </row>
    <row r="299" customFormat="false" ht="15" hidden="false" customHeight="false" outlineLevel="0" collapsed="false">
      <c r="A299" s="50" t="n">
        <v>46277</v>
      </c>
      <c r="B299" s="51" t="n">
        <f aca="false">IF(A299="","",MONTH(A299))</f>
        <v>9</v>
      </c>
      <c r="C299" s="52" t="s">
        <v>68</v>
      </c>
      <c r="D299" s="52" t="s">
        <v>52</v>
      </c>
      <c r="E299" s="52" t="n">
        <v>1</v>
      </c>
      <c r="F299" s="53" t="n">
        <v>1536000</v>
      </c>
      <c r="G299" s="52" t="n">
        <v>1.1</v>
      </c>
      <c r="H299" s="54" t="n">
        <f aca="false">IF(E299="","",E299*N(F299)*IF(G299="",1,G299))</f>
        <v>1689600</v>
      </c>
      <c r="I299" s="55" t="str">
        <f aca="false">IF(C299="","",IFERROR(INDEX('DANH MỤC'!$B$5:$B$200,MATCH(C299,'DANH MỤC'!$A$5:$A$200,0)),"⚠ Mã chưa có trong DANH MỤC"))</f>
        <v>Sơn ngoại thất cao cấp bóng mờ Imperia ESG10</v>
      </c>
      <c r="J299" s="52" t="s">
        <v>509</v>
      </c>
      <c r="K299" s="52" t="s">
        <v>510</v>
      </c>
      <c r="L299" s="52"/>
    </row>
    <row r="300" customFormat="false" ht="15" hidden="false" customHeight="false" outlineLevel="0" collapsed="false">
      <c r="A300" s="50" t="n">
        <v>46277</v>
      </c>
      <c r="B300" s="51" t="n">
        <f aca="false">IF(A300="","",MONTH(A300))</f>
        <v>9</v>
      </c>
      <c r="C300" s="52" t="s">
        <v>59</v>
      </c>
      <c r="D300" s="52" t="s">
        <v>52</v>
      </c>
      <c r="E300" s="52" t="n">
        <v>1</v>
      </c>
      <c r="F300" s="53" t="n">
        <v>954000</v>
      </c>
      <c r="G300" s="52" t="n">
        <v>1</v>
      </c>
      <c r="H300" s="54" t="n">
        <f aca="false">IF(E300="","",E300*N(F300)*IF(G300="",1,G300))</f>
        <v>954000</v>
      </c>
      <c r="I300" s="55" t="str">
        <f aca="false">IF(C300="","",IFERROR(INDEX('DANH MỤC'!$B$5:$B$200,MATCH(C300,'DANH MỤC'!$A$5:$A$200,0)),"⚠ Mã chưa có trong DANH MỤC"))</f>
        <v>Sơn nội thất siêu trắng Imperia IEW</v>
      </c>
      <c r="J300" s="52"/>
      <c r="K300" s="52" t="s">
        <v>511</v>
      </c>
      <c r="L300" s="52"/>
    </row>
    <row r="301" customFormat="false" ht="15" hidden="false" customHeight="false" outlineLevel="0" collapsed="false">
      <c r="A301" s="50" t="n">
        <v>46277</v>
      </c>
      <c r="B301" s="51" t="n">
        <f aca="false">IF(A301="","",MONTH(A301))</f>
        <v>9</v>
      </c>
      <c r="C301" s="52" t="s">
        <v>72</v>
      </c>
      <c r="D301" s="52" t="s">
        <v>53</v>
      </c>
      <c r="E301" s="52" t="n">
        <v>2</v>
      </c>
      <c r="F301" s="53" t="n">
        <v>4821000</v>
      </c>
      <c r="G301" s="52" t="n">
        <v>1</v>
      </c>
      <c r="H301" s="54" t="n">
        <f aca="false">IF(E301="","",E301*N(F301)*IF(G301="",1,G301))</f>
        <v>9642000</v>
      </c>
      <c r="I301" s="55" t="str">
        <f aca="false">IF(C301="","",IFERROR(INDEX('DANH MỤC'!$B$5:$B$200,MATCH(C301,'DANH MỤC'!$A$5:$A$200,0)),"⚠ Mã chưa có trong DANH MỤC"))</f>
        <v>Sơn chống thấm màu ETM 309 (ghi đậm)</v>
      </c>
      <c r="J301" s="52" t="s">
        <v>149</v>
      </c>
      <c r="K301" s="52" t="s">
        <v>512</v>
      </c>
      <c r="L301" s="52"/>
    </row>
    <row r="302" customFormat="false" ht="15" hidden="false" customHeight="false" outlineLevel="0" collapsed="false">
      <c r="A302" s="50" t="n">
        <v>46277</v>
      </c>
      <c r="B302" s="51" t="n">
        <f aca="false">IF(A302="","",MONTH(A302))</f>
        <v>9</v>
      </c>
      <c r="C302" s="52" t="s">
        <v>58</v>
      </c>
      <c r="D302" s="52" t="s">
        <v>53</v>
      </c>
      <c r="E302" s="52" t="n">
        <v>2</v>
      </c>
      <c r="F302" s="53" t="n">
        <v>3097000</v>
      </c>
      <c r="G302" s="52" t="n">
        <v>1</v>
      </c>
      <c r="H302" s="54" t="n">
        <f aca="false">IF(E302="","",E302*N(F302)*IF(G302="",1,G302))</f>
        <v>6194000</v>
      </c>
      <c r="I302" s="55" t="str">
        <f aca="false">IF(C302="","",IFERROR(INDEX('DANH MỤC'!$B$5:$B$200,MATCH(C302,'DANH MỤC'!$A$5:$A$200,0)),"⚠ Mã chưa có trong DANH MỤC"))</f>
        <v>Sơn lót ngoại thất kháng kiềm Silver EL5</v>
      </c>
      <c r="J302" s="52"/>
      <c r="K302" s="52" t="s">
        <v>513</v>
      </c>
      <c r="L302" s="52"/>
    </row>
    <row r="303" customFormat="false" ht="15" hidden="false" customHeight="false" outlineLevel="0" collapsed="false">
      <c r="A303" s="50" t="n">
        <v>46278</v>
      </c>
      <c r="B303" s="51" t="n">
        <f aca="false">IF(A303="","",MONTH(A303))</f>
        <v>9</v>
      </c>
      <c r="C303" s="52" t="s">
        <v>54</v>
      </c>
      <c r="D303" s="52" t="s">
        <v>52</v>
      </c>
      <c r="E303" s="52" t="n">
        <v>2</v>
      </c>
      <c r="F303" s="53" t="n">
        <v>1419000</v>
      </c>
      <c r="G303" s="52" t="n">
        <v>1</v>
      </c>
      <c r="H303" s="54" t="n">
        <f aca="false">IF(E303="","",E303*N(F303)*IF(G303="",1,G303))</f>
        <v>2838000</v>
      </c>
      <c r="I303" s="55" t="str">
        <f aca="false">IF(C303="","",IFERROR(INDEX('DANH MỤC'!$B$5:$B$200,MATCH(C303,'DANH MỤC'!$A$5:$A$200,0)),"⚠ Mã chưa có trong DANH MỤC"))</f>
        <v>Sơn lót ngoại thất kháng kiềm cao cấp Imperia PE02</v>
      </c>
      <c r="J303" s="52"/>
      <c r="K303" s="52" t="s">
        <v>514</v>
      </c>
      <c r="L303" s="52"/>
    </row>
    <row r="304" customFormat="false" ht="15" hidden="false" customHeight="false" outlineLevel="0" collapsed="false">
      <c r="A304" s="50" t="n">
        <v>46285</v>
      </c>
      <c r="B304" s="51" t="n">
        <f aca="false">IF(A304="","",MONTH(A304))</f>
        <v>9</v>
      </c>
      <c r="C304" s="52" t="s">
        <v>51</v>
      </c>
      <c r="D304" s="52" t="s">
        <v>53</v>
      </c>
      <c r="E304" s="52" t="n">
        <v>2</v>
      </c>
      <c r="F304" s="53" t="n">
        <v>3012000</v>
      </c>
      <c r="G304" s="52" t="n">
        <v>1</v>
      </c>
      <c r="H304" s="54" t="n">
        <f aca="false">IF(E304="","",E304*N(F304)*IF(G304="",1,G304))</f>
        <v>6024000</v>
      </c>
      <c r="I304" s="55" t="str">
        <f aca="false">IF(C304="","",IFERROR(INDEX('DANH MỤC'!$B$5:$B$200,MATCH(C304,'DANH MỤC'!$A$5:$A$200,0)),"⚠ Mã chưa có trong DANH MỤC"))</f>
        <v>Sơn lót nội thất kháng kiềm cao cấp Imperia PI04</v>
      </c>
      <c r="J304" s="52"/>
      <c r="K304" s="52" t="s">
        <v>515</v>
      </c>
      <c r="L304" s="52"/>
    </row>
    <row r="305" customFormat="false" ht="15" hidden="false" customHeight="false" outlineLevel="0" collapsed="false">
      <c r="A305" s="50" t="n">
        <v>46285</v>
      </c>
      <c r="B305" s="51" t="n">
        <f aca="false">IF(A305="","",MONTH(A305))</f>
        <v>9</v>
      </c>
      <c r="C305" s="52" t="s">
        <v>61</v>
      </c>
      <c r="D305" s="52" t="s">
        <v>53</v>
      </c>
      <c r="E305" s="52" t="n">
        <v>1</v>
      </c>
      <c r="F305" s="53" t="n">
        <v>4597000</v>
      </c>
      <c r="G305" s="52" t="n">
        <v>1</v>
      </c>
      <c r="H305" s="54" t="n">
        <f aca="false">IF(E305="","",E305*N(F305)*IF(G305="",1,G305))</f>
        <v>4597000</v>
      </c>
      <c r="I305" s="55" t="str">
        <f aca="false">IF(C305="","",IFERROR(INDEX('DANH MỤC'!$B$5:$B$200,MATCH(C305,'DANH MỤC'!$A$5:$A$200,0)),"⚠ Mã chưa có trong DANH MỤC"))</f>
        <v>Sơn nội thất cao cấp bóng mờ Imperia ISG06</v>
      </c>
      <c r="J305" s="52" t="s">
        <v>131</v>
      </c>
      <c r="K305" s="52" t="s">
        <v>516</v>
      </c>
      <c r="L305" s="52"/>
    </row>
    <row r="306" customFormat="false" ht="15" hidden="false" customHeight="false" outlineLevel="0" collapsed="false">
      <c r="A306" s="50" t="n">
        <v>46285</v>
      </c>
      <c r="B306" s="51" t="n">
        <f aca="false">IF(A306="","",MONTH(A306))</f>
        <v>9</v>
      </c>
      <c r="C306" s="52" t="s">
        <v>60</v>
      </c>
      <c r="D306" s="52" t="s">
        <v>53</v>
      </c>
      <c r="E306" s="52" t="n">
        <v>1</v>
      </c>
      <c r="F306" s="53" t="n">
        <v>2128000</v>
      </c>
      <c r="G306" s="52" t="n">
        <v>1</v>
      </c>
      <c r="H306" s="54" t="n">
        <f aca="false">IF(E306="","",E306*N(F306)*IF(G306="",1,G306))</f>
        <v>2128000</v>
      </c>
      <c r="I306" s="55" t="str">
        <f aca="false">IF(C306="","",IFERROR(INDEX('DANH MỤC'!$B$5:$B$200,MATCH(C306,'DANH MỤC'!$A$5:$A$200,0)),"⚠ Mã chưa có trong DANH MỤC"))</f>
        <v>Sơn nội thất bền màu Silver ISI</v>
      </c>
      <c r="J306" s="52" t="s">
        <v>131</v>
      </c>
      <c r="K306" s="52" t="s">
        <v>517</v>
      </c>
      <c r="L306" s="52"/>
    </row>
    <row r="307" customFormat="false" ht="15" hidden="false" customHeight="false" outlineLevel="0" collapsed="false">
      <c r="A307" s="50" t="n">
        <v>46285</v>
      </c>
      <c r="B307" s="51" t="n">
        <f aca="false">IF(A307="","",MONTH(A307))</f>
        <v>9</v>
      </c>
      <c r="C307" s="52" t="s">
        <v>75</v>
      </c>
      <c r="D307" s="52" t="s">
        <v>52</v>
      </c>
      <c r="E307" s="52" t="n">
        <v>1</v>
      </c>
      <c r="F307" s="53" t="n">
        <v>1470000</v>
      </c>
      <c r="G307" s="52" t="n">
        <v>1</v>
      </c>
      <c r="H307" s="54" t="n">
        <f aca="false">IF(E307="","",E307*N(F307)*IF(G307="",1,G307))</f>
        <v>1470000</v>
      </c>
      <c r="I307" s="55" t="str">
        <f aca="false">IF(C307="","",IFERROR(INDEX('DANH MỤC'!$B$5:$B$200,MATCH(C307,'DANH MỤC'!$A$5:$A$200,0)),"⚠ Mã chưa có trong DANH MỤC"))</f>
        <v>Sơn chống thấm siêu co giãn CTS-01</v>
      </c>
      <c r="J307" s="52"/>
      <c r="K307" s="52" t="s">
        <v>518</v>
      </c>
      <c r="L307" s="52"/>
    </row>
    <row r="308" customFormat="false" ht="15" hidden="false" customHeight="false" outlineLevel="0" collapsed="false">
      <c r="A308" s="50" t="n">
        <v>46285</v>
      </c>
      <c r="B308" s="51" t="n">
        <f aca="false">IF(A308="","",MONTH(A308))</f>
        <v>9</v>
      </c>
      <c r="C308" s="52" t="s">
        <v>54</v>
      </c>
      <c r="D308" s="52" t="s">
        <v>52</v>
      </c>
      <c r="E308" s="52" t="n">
        <v>1</v>
      </c>
      <c r="F308" s="53" t="n">
        <v>1419000</v>
      </c>
      <c r="G308" s="52" t="n">
        <v>1</v>
      </c>
      <c r="H308" s="54" t="n">
        <f aca="false">IF(E308="","",E308*N(F308)*IF(G308="",1,G308))</f>
        <v>1419000</v>
      </c>
      <c r="I308" s="55" t="str">
        <f aca="false">IF(C308="","",IFERROR(INDEX('DANH MỤC'!$B$5:$B$200,MATCH(C308,'DANH MỤC'!$A$5:$A$200,0)),"⚠ Mã chưa có trong DANH MỤC"))</f>
        <v>Sơn lót ngoại thất kháng kiềm cao cấp Imperia PE02</v>
      </c>
      <c r="J308" s="52"/>
      <c r="K308" s="52" t="s">
        <v>519</v>
      </c>
      <c r="L308" s="52"/>
    </row>
    <row r="309" customFormat="false" ht="15" hidden="false" customHeight="false" outlineLevel="0" collapsed="false">
      <c r="A309" s="50" t="n">
        <v>46285</v>
      </c>
      <c r="B309" s="51" t="n">
        <f aca="false">IF(A309="","",MONTH(A309))</f>
        <v>9</v>
      </c>
      <c r="C309" s="52" t="s">
        <v>61</v>
      </c>
      <c r="D309" s="52" t="s">
        <v>52</v>
      </c>
      <c r="E309" s="52" t="n">
        <v>1</v>
      </c>
      <c r="F309" s="53" t="n">
        <v>1302000</v>
      </c>
      <c r="G309" s="52" t="n">
        <v>1</v>
      </c>
      <c r="H309" s="54" t="n">
        <f aca="false">IF(E309="","",E309*N(F309)*IF(G309="",1,G309))</f>
        <v>1302000</v>
      </c>
      <c r="I309" s="55" t="str">
        <f aca="false">IF(C309="","",IFERROR(INDEX('DANH MỤC'!$B$5:$B$200,MATCH(C309,'DANH MỤC'!$A$5:$A$200,0)),"⚠ Mã chưa có trong DANH MỤC"))</f>
        <v>Sơn nội thất cao cấp bóng mờ Imperia ISG06</v>
      </c>
      <c r="J309" s="52" t="s">
        <v>149</v>
      </c>
      <c r="K309" s="52" t="s">
        <v>520</v>
      </c>
      <c r="L309" s="52"/>
    </row>
    <row r="310" customFormat="false" ht="15" hidden="false" customHeight="false" outlineLevel="0" collapsed="false">
      <c r="A310" s="50" t="n">
        <v>46285</v>
      </c>
      <c r="B310" s="51" t="n">
        <f aca="false">IF(A310="","",MONTH(A310))</f>
        <v>9</v>
      </c>
      <c r="C310" s="52" t="s">
        <v>61</v>
      </c>
      <c r="D310" s="52" t="s">
        <v>52</v>
      </c>
      <c r="E310" s="52" t="n">
        <v>1</v>
      </c>
      <c r="F310" s="53" t="n">
        <v>1302000</v>
      </c>
      <c r="G310" s="52" t="n">
        <v>1</v>
      </c>
      <c r="H310" s="54" t="n">
        <f aca="false">IF(E310="","",E310*N(F310)*IF(G310="",1,G310))</f>
        <v>1302000</v>
      </c>
      <c r="I310" s="55" t="str">
        <f aca="false">IF(C310="","",IFERROR(INDEX('DANH MỤC'!$B$5:$B$200,MATCH(C310,'DANH MỤC'!$A$5:$A$200,0)),"⚠ Mã chưa có trong DANH MỤC"))</f>
        <v>Sơn nội thất cao cấp bóng mờ Imperia ISG06</v>
      </c>
      <c r="J310" s="52" t="s">
        <v>133</v>
      </c>
      <c r="K310" s="52" t="s">
        <v>521</v>
      </c>
      <c r="L310" s="52"/>
    </row>
    <row r="311" customFormat="false" ht="15" hidden="false" customHeight="false" outlineLevel="0" collapsed="false">
      <c r="A311" s="50" t="n">
        <v>46285</v>
      </c>
      <c r="B311" s="51" t="n">
        <f aca="false">IF(A311="","",MONTH(A311))</f>
        <v>9</v>
      </c>
      <c r="C311" s="52" t="s">
        <v>68</v>
      </c>
      <c r="D311" s="52" t="s">
        <v>66</v>
      </c>
      <c r="E311" s="52" t="n">
        <v>2</v>
      </c>
      <c r="F311" s="53" t="n">
        <v>409000</v>
      </c>
      <c r="G311" s="52" t="n">
        <v>1</v>
      </c>
      <c r="H311" s="54" t="n">
        <f aca="false">IF(E311="","",E311*N(F311)*IF(G311="",1,G311))</f>
        <v>818000</v>
      </c>
      <c r="I311" s="55" t="str">
        <f aca="false">IF(C311="","",IFERROR(INDEX('DANH MỤC'!$B$5:$B$200,MATCH(C311,'DANH MỤC'!$A$5:$A$200,0)),"⚠ Mã chưa có trong DANH MỤC"))</f>
        <v>Sơn ngoại thất cao cấp bóng mờ Imperia ESG10</v>
      </c>
      <c r="J311" s="52" t="s">
        <v>522</v>
      </c>
      <c r="K311" s="52" t="s">
        <v>523</v>
      </c>
      <c r="L311" s="52"/>
    </row>
    <row r="312" customFormat="false" ht="15" hidden="false" customHeight="false" outlineLevel="0" collapsed="false">
      <c r="A312" s="50" t="n">
        <v>46287</v>
      </c>
      <c r="B312" s="51" t="n">
        <f aca="false">IF(A312="","",MONTH(A312))</f>
        <v>9</v>
      </c>
      <c r="C312" s="52" t="s">
        <v>72</v>
      </c>
      <c r="D312" s="52" t="s">
        <v>53</v>
      </c>
      <c r="E312" s="52" t="n">
        <v>2</v>
      </c>
      <c r="F312" s="53" t="n">
        <v>4821000</v>
      </c>
      <c r="G312" s="52" t="n">
        <v>1</v>
      </c>
      <c r="H312" s="54" t="n">
        <f aca="false">IF(E312="","",E312*N(F312)*IF(G312="",1,G312))</f>
        <v>9642000</v>
      </c>
      <c r="I312" s="55" t="str">
        <f aca="false">IF(C312="","",IFERROR(INDEX('DANH MỤC'!$B$5:$B$200,MATCH(C312,'DANH MỤC'!$A$5:$A$200,0)),"⚠ Mã chưa có trong DANH MỤC"))</f>
        <v>Sơn chống thấm màu ETM 309 (ghi đậm)</v>
      </c>
      <c r="J312" s="52" t="s">
        <v>149</v>
      </c>
      <c r="K312" s="52" t="s">
        <v>524</v>
      </c>
      <c r="L312" s="52"/>
    </row>
    <row r="313" customFormat="false" ht="15" hidden="false" customHeight="false" outlineLevel="0" collapsed="false">
      <c r="A313" s="50" t="n">
        <v>46289</v>
      </c>
      <c r="B313" s="51" t="n">
        <f aca="false">IF(A313="","",MONTH(A313))</f>
        <v>9</v>
      </c>
      <c r="C313" s="52" t="s">
        <v>62</v>
      </c>
      <c r="D313" s="52" t="s">
        <v>53</v>
      </c>
      <c r="E313" s="52" t="n">
        <v>6</v>
      </c>
      <c r="F313" s="53" t="n">
        <v>5027000</v>
      </c>
      <c r="G313" s="52" t="n">
        <v>1</v>
      </c>
      <c r="H313" s="54" t="n">
        <f aca="false">IF(E313="","",E313*N(F313)*IF(G313="",1,G313))</f>
        <v>30162000</v>
      </c>
      <c r="I313" s="55" t="str">
        <f aca="false">IF(C313="","",IFERROR(INDEX('DANH MỤC'!$B$5:$B$200,MATCH(C313,'DANH MỤC'!$A$5:$A$200,0)),"⚠ Mã chưa có trong DANH MỤC"))</f>
        <v>Sơn nội thất siêu bóng cao cấp Imperia IG05</v>
      </c>
      <c r="J313" s="52" t="s">
        <v>525</v>
      </c>
      <c r="K313" s="52" t="s">
        <v>526</v>
      </c>
      <c r="L313" s="52"/>
    </row>
    <row r="314" customFormat="false" ht="15" hidden="false" customHeight="false" outlineLevel="0" collapsed="false">
      <c r="A314" s="50" t="n">
        <v>46289</v>
      </c>
      <c r="B314" s="51" t="n">
        <f aca="false">IF(A314="","",MONTH(A314))</f>
        <v>9</v>
      </c>
      <c r="C314" s="52" t="s">
        <v>69</v>
      </c>
      <c r="D314" s="52" t="s">
        <v>52</v>
      </c>
      <c r="E314" s="52" t="n">
        <v>1</v>
      </c>
      <c r="F314" s="53" t="n">
        <v>1899000</v>
      </c>
      <c r="G314" s="52" t="n">
        <v>1</v>
      </c>
      <c r="H314" s="54" t="n">
        <f aca="false">IF(E314="","",E314*N(F314)*IF(G314="",1,G314))</f>
        <v>1899000</v>
      </c>
      <c r="I314" s="55" t="str">
        <f aca="false">IF(C314="","",IFERROR(INDEX('DANH MỤC'!$B$5:$B$200,MATCH(C314,'DANH MỤC'!$A$5:$A$200,0)),"⚠ Mã chưa có trong DANH MỤC"))</f>
        <v>Sơn ngoại thất siêu bóng cao cấp Imperia EG09</v>
      </c>
      <c r="J314" s="52" t="s">
        <v>527</v>
      </c>
      <c r="K314" s="52" t="s">
        <v>528</v>
      </c>
      <c r="L314" s="52"/>
    </row>
    <row r="315" customFormat="false" ht="15" hidden="false" customHeight="false" outlineLevel="0" collapsed="false">
      <c r="A315" s="50" t="n">
        <v>46289</v>
      </c>
      <c r="B315" s="51" t="n">
        <f aca="false">IF(A315="","",MONTH(A315))</f>
        <v>9</v>
      </c>
      <c r="C315" s="52" t="s">
        <v>69</v>
      </c>
      <c r="D315" s="52" t="s">
        <v>66</v>
      </c>
      <c r="E315" s="52" t="n">
        <v>2</v>
      </c>
      <c r="F315" s="53" t="n">
        <v>435000</v>
      </c>
      <c r="G315" s="52" t="n">
        <v>1</v>
      </c>
      <c r="H315" s="54" t="n">
        <f aca="false">IF(E315="","",E315*N(F315)*IF(G315="",1,G315))</f>
        <v>870000</v>
      </c>
      <c r="I315" s="55" t="str">
        <f aca="false">IF(C315="","",IFERROR(INDEX('DANH MỤC'!$B$5:$B$200,MATCH(C315,'DANH MỤC'!$A$5:$A$200,0)),"⚠ Mã chưa có trong DANH MỤC"))</f>
        <v>Sơn ngoại thất siêu bóng cao cấp Imperia EG09</v>
      </c>
      <c r="J315" s="52" t="s">
        <v>529</v>
      </c>
      <c r="K315" s="52" t="s">
        <v>530</v>
      </c>
      <c r="L315" s="52"/>
    </row>
    <row r="316" customFormat="false" ht="15" hidden="false" customHeight="false" outlineLevel="0" collapsed="false">
      <c r="A316" s="50" t="n">
        <v>46289</v>
      </c>
      <c r="B316" s="51" t="n">
        <f aca="false">IF(A316="","",MONTH(A316))</f>
        <v>9</v>
      </c>
      <c r="C316" s="52" t="s">
        <v>62</v>
      </c>
      <c r="D316" s="52" t="s">
        <v>53</v>
      </c>
      <c r="E316" s="52" t="n">
        <v>4</v>
      </c>
      <c r="F316" s="53" t="n">
        <v>5530000</v>
      </c>
      <c r="G316" s="52" t="n">
        <v>1</v>
      </c>
      <c r="H316" s="54" t="n">
        <f aca="false">IF(E316="","",E316*N(F316)*IF(G316="",1,G316))</f>
        <v>22120000</v>
      </c>
      <c r="I316" s="55" t="str">
        <f aca="false">IF(C316="","",IFERROR(INDEX('DANH MỤC'!$B$5:$B$200,MATCH(C316,'DANH MỤC'!$A$5:$A$200,0)),"⚠ Mã chưa có trong DANH MỤC"))</f>
        <v>Sơn nội thất siêu bóng cao cấp Imperia IG05</v>
      </c>
      <c r="J316" s="52" t="s">
        <v>179</v>
      </c>
      <c r="K316" s="52" t="s">
        <v>531</v>
      </c>
      <c r="L316" s="52"/>
    </row>
    <row r="317" customFormat="false" ht="15" hidden="false" customHeight="false" outlineLevel="0" collapsed="false">
      <c r="A317" s="50" t="n">
        <v>46289</v>
      </c>
      <c r="B317" s="51" t="n">
        <f aca="false">IF(A317="","",MONTH(A317))</f>
        <v>9</v>
      </c>
      <c r="C317" s="52" t="s">
        <v>69</v>
      </c>
      <c r="D317" s="52" t="s">
        <v>53</v>
      </c>
      <c r="E317" s="52" t="n">
        <v>2</v>
      </c>
      <c r="F317" s="53" t="n">
        <v>6504000</v>
      </c>
      <c r="G317" s="52" t="n">
        <v>1</v>
      </c>
      <c r="H317" s="54" t="n">
        <f aca="false">IF(E317="","",E317*N(F317)*IF(G317="",1,G317))</f>
        <v>13008000</v>
      </c>
      <c r="I317" s="55" t="str">
        <f aca="false">IF(C317="","",IFERROR(INDEX('DANH MỤC'!$B$5:$B$200,MATCH(C317,'DANH MỤC'!$A$5:$A$200,0)),"⚠ Mã chưa có trong DANH MỤC"))</f>
        <v>Sơn ngoại thất siêu bóng cao cấp Imperia EG09</v>
      </c>
      <c r="J317" s="52" t="s">
        <v>179</v>
      </c>
      <c r="K317" s="52" t="s">
        <v>532</v>
      </c>
      <c r="L317" s="52"/>
    </row>
    <row r="318" customFormat="false" ht="15" hidden="false" customHeight="false" outlineLevel="0" collapsed="false">
      <c r="A318" s="50" t="n">
        <v>46289</v>
      </c>
      <c r="B318" s="51" t="n">
        <f aca="false">IF(A318="","",MONTH(A318))</f>
        <v>9</v>
      </c>
      <c r="C318" s="52" t="s">
        <v>69</v>
      </c>
      <c r="D318" s="52" t="s">
        <v>52</v>
      </c>
      <c r="E318" s="52" t="n">
        <v>2</v>
      </c>
      <c r="F318" s="53" t="n">
        <v>2089000</v>
      </c>
      <c r="G318" s="52" t="n">
        <v>1.1</v>
      </c>
      <c r="H318" s="54" t="n">
        <f aca="false">IF(E318="","",E318*N(F318)*IF(G318="",1,G318))</f>
        <v>4595800</v>
      </c>
      <c r="I318" s="55" t="str">
        <f aca="false">IF(C318="","",IFERROR(INDEX('DANH MỤC'!$B$5:$B$200,MATCH(C318,'DANH MỤC'!$A$5:$A$200,0)),"⚠ Mã chưa có trong DANH MỤC"))</f>
        <v>Sơn ngoại thất siêu bóng cao cấp Imperia EG09</v>
      </c>
      <c r="J318" s="52" t="s">
        <v>533</v>
      </c>
      <c r="K318" s="52" t="s">
        <v>534</v>
      </c>
      <c r="L318" s="52"/>
    </row>
    <row r="319" customFormat="false" ht="15" hidden="false" customHeight="false" outlineLevel="0" collapsed="false">
      <c r="A319" s="50" t="n">
        <v>46289</v>
      </c>
      <c r="B319" s="51" t="n">
        <f aca="false">IF(A319="","",MONTH(A319))</f>
        <v>9</v>
      </c>
      <c r="C319" s="52" t="s">
        <v>69</v>
      </c>
      <c r="D319" s="52" t="s">
        <v>52</v>
      </c>
      <c r="E319" s="52" t="n">
        <v>1</v>
      </c>
      <c r="F319" s="53" t="n">
        <v>2089000</v>
      </c>
      <c r="G319" s="52" t="n">
        <v>1.1</v>
      </c>
      <c r="H319" s="54" t="n">
        <f aca="false">IF(E319="","",E319*N(F319)*IF(G319="",1,G319))</f>
        <v>2297900</v>
      </c>
      <c r="I319" s="55" t="str">
        <f aca="false">IF(C319="","",IFERROR(INDEX('DANH MỤC'!$B$5:$B$200,MATCH(C319,'DANH MỤC'!$A$5:$A$200,0)),"⚠ Mã chưa có trong DANH MỤC"))</f>
        <v>Sơn ngoại thất siêu bóng cao cấp Imperia EG09</v>
      </c>
      <c r="J319" s="52" t="s">
        <v>503</v>
      </c>
      <c r="K319" s="52" t="s">
        <v>535</v>
      </c>
      <c r="L319" s="52"/>
    </row>
    <row r="320" customFormat="false" ht="15" hidden="false" customHeight="false" outlineLevel="0" collapsed="false">
      <c r="A320" s="50" t="n">
        <v>46290</v>
      </c>
      <c r="B320" s="51" t="n">
        <f aca="false">IF(A320="","",MONTH(A320))</f>
        <v>9</v>
      </c>
      <c r="C320" s="52" t="s">
        <v>75</v>
      </c>
      <c r="D320" s="52" t="s">
        <v>53</v>
      </c>
      <c r="E320" s="52" t="n">
        <v>1</v>
      </c>
      <c r="F320" s="53" t="n">
        <v>5025000</v>
      </c>
      <c r="G320" s="52" t="n">
        <v>1</v>
      </c>
      <c r="H320" s="54" t="n">
        <f aca="false">IF(E320="","",E320*N(F320)*IF(G320="",1,G320))</f>
        <v>5025000</v>
      </c>
      <c r="I320" s="55" t="str">
        <f aca="false">IF(C320="","",IFERROR(INDEX('DANH MỤC'!$B$5:$B$200,MATCH(C320,'DANH MỤC'!$A$5:$A$200,0)),"⚠ Mã chưa có trong DANH MỤC"))</f>
        <v>Sơn chống thấm siêu co giãn CTS-01</v>
      </c>
      <c r="J320" s="52" t="s">
        <v>536</v>
      </c>
      <c r="K320" s="52" t="s">
        <v>537</v>
      </c>
      <c r="L320" s="52"/>
    </row>
    <row r="321" customFormat="false" ht="15" hidden="false" customHeight="false" outlineLevel="0" collapsed="false">
      <c r="A321" s="50" t="n">
        <v>46290</v>
      </c>
      <c r="B321" s="51" t="n">
        <f aca="false">IF(A321="","",MONTH(A321))</f>
        <v>9</v>
      </c>
      <c r="C321" s="52" t="s">
        <v>72</v>
      </c>
      <c r="D321" s="52" t="s">
        <v>52</v>
      </c>
      <c r="E321" s="52" t="n">
        <v>1</v>
      </c>
      <c r="F321" s="53" t="n">
        <v>1447000</v>
      </c>
      <c r="G321" s="52" t="n">
        <v>1</v>
      </c>
      <c r="H321" s="54" t="n">
        <f aca="false">IF(E321="","",E321*N(F321)*IF(G321="",1,G321))</f>
        <v>1447000</v>
      </c>
      <c r="I321" s="55" t="str">
        <f aca="false">IF(C321="","",IFERROR(INDEX('DANH MỤC'!$B$5:$B$200,MATCH(C321,'DANH MỤC'!$A$5:$A$200,0)),"⚠ Mã chưa có trong DANH MỤC"))</f>
        <v>Sơn chống thấm màu ETM 309 (ghi đậm)</v>
      </c>
      <c r="J321" s="52" t="s">
        <v>538</v>
      </c>
      <c r="K321" s="52" t="s">
        <v>539</v>
      </c>
      <c r="L321" s="52"/>
    </row>
    <row r="322" customFormat="false" ht="15" hidden="false" customHeight="false" outlineLevel="0" collapsed="false">
      <c r="A322" s="50" t="n">
        <v>46290</v>
      </c>
      <c r="B322" s="51" t="n">
        <f aca="false">IF(A322="","",MONTH(A322))</f>
        <v>9</v>
      </c>
      <c r="C322" s="52" t="s">
        <v>62</v>
      </c>
      <c r="D322" s="52" t="s">
        <v>53</v>
      </c>
      <c r="E322" s="52" t="n">
        <v>2</v>
      </c>
      <c r="F322" s="53" t="n">
        <v>5530000</v>
      </c>
      <c r="G322" s="52" t="n">
        <v>1</v>
      </c>
      <c r="H322" s="54" t="n">
        <f aca="false">IF(E322="","",E322*N(F322)*IF(G322="",1,G322))</f>
        <v>11060000</v>
      </c>
      <c r="I322" s="55" t="str">
        <f aca="false">IF(C322="","",IFERROR(INDEX('DANH MỤC'!$B$5:$B$200,MATCH(C322,'DANH MỤC'!$A$5:$A$200,0)),"⚠ Mã chưa có trong DANH MỤC"))</f>
        <v>Sơn nội thất siêu bóng cao cấp Imperia IG05</v>
      </c>
      <c r="J322" s="52" t="s">
        <v>179</v>
      </c>
      <c r="K322" s="52" t="s">
        <v>540</v>
      </c>
      <c r="L322" s="52"/>
    </row>
    <row r="323" customFormat="false" ht="15" hidden="false" customHeight="false" outlineLevel="0" collapsed="false">
      <c r="A323" s="50" t="n">
        <v>46294</v>
      </c>
      <c r="B323" s="51" t="n">
        <f aca="false">IF(A323="","",MONTH(A323))</f>
        <v>9</v>
      </c>
      <c r="C323" s="52" t="s">
        <v>68</v>
      </c>
      <c r="D323" s="52" t="s">
        <v>53</v>
      </c>
      <c r="E323" s="52" t="n">
        <v>1</v>
      </c>
      <c r="F323" s="53" t="n">
        <v>5331000</v>
      </c>
      <c r="G323" s="52" t="n">
        <v>1</v>
      </c>
      <c r="H323" s="54" t="n">
        <f aca="false">IF(E323="","",E323*N(F323)*IF(G323="",1,G323))</f>
        <v>5331000</v>
      </c>
      <c r="I323" s="55" t="str">
        <f aca="false">IF(C323="","",IFERROR(INDEX('DANH MỤC'!$B$5:$B$200,MATCH(C323,'DANH MỤC'!$A$5:$A$200,0)),"⚠ Mã chưa có trong DANH MỤC"))</f>
        <v>Sơn ngoại thất cao cấp bóng mờ Imperia ESG10</v>
      </c>
      <c r="J323" s="52" t="s">
        <v>541</v>
      </c>
      <c r="K323" s="52" t="s">
        <v>542</v>
      </c>
      <c r="L323" s="52"/>
    </row>
    <row r="324" customFormat="false" ht="15" hidden="false" customHeight="false" outlineLevel="0" collapsed="false">
      <c r="A324" s="50" t="n">
        <v>46294</v>
      </c>
      <c r="B324" s="51" t="n">
        <f aca="false">IF(A324="","",MONTH(A324))</f>
        <v>9</v>
      </c>
      <c r="C324" s="52" t="s">
        <v>51</v>
      </c>
      <c r="D324" s="52" t="s">
        <v>53</v>
      </c>
      <c r="E324" s="52" t="n">
        <v>1</v>
      </c>
      <c r="F324" s="53" t="n">
        <v>3012000</v>
      </c>
      <c r="G324" s="52" t="n">
        <v>1</v>
      </c>
      <c r="H324" s="54" t="n">
        <f aca="false">IF(E324="","",E324*N(F324)*IF(G324="",1,G324))</f>
        <v>3012000</v>
      </c>
      <c r="I324" s="55" t="str">
        <f aca="false">IF(C324="","",IFERROR(INDEX('DANH MỤC'!$B$5:$B$200,MATCH(C324,'DANH MỤC'!$A$5:$A$200,0)),"⚠ Mã chưa có trong DANH MỤC"))</f>
        <v>Sơn lót nội thất kháng kiềm cao cấp Imperia PI04</v>
      </c>
      <c r="J324" s="52"/>
      <c r="K324" s="52" t="s">
        <v>543</v>
      </c>
      <c r="L324" s="52"/>
    </row>
    <row r="325" customFormat="false" ht="15" hidden="false" customHeight="false" outlineLevel="0" collapsed="false">
      <c r="A325" s="50" t="n">
        <v>46294</v>
      </c>
      <c r="B325" s="51" t="n">
        <f aca="false">IF(A325="","",MONTH(A325))</f>
        <v>9</v>
      </c>
      <c r="C325" s="52" t="s">
        <v>61</v>
      </c>
      <c r="D325" s="52" t="s">
        <v>52</v>
      </c>
      <c r="E325" s="52" t="n">
        <v>1</v>
      </c>
      <c r="F325" s="53" t="n">
        <v>1302000</v>
      </c>
      <c r="G325" s="52" t="n">
        <v>1</v>
      </c>
      <c r="H325" s="54" t="n">
        <f aca="false">IF(E325="","",E325*N(F325)*IF(G325="",1,G325))</f>
        <v>1302000</v>
      </c>
      <c r="I325" s="55" t="str">
        <f aca="false">IF(C325="","",IFERROR(INDEX('DANH MỤC'!$B$5:$B$200,MATCH(C325,'DANH MỤC'!$A$5:$A$200,0)),"⚠ Mã chưa có trong DANH MỤC"))</f>
        <v>Sơn nội thất cao cấp bóng mờ Imperia ISG06</v>
      </c>
      <c r="J325" s="52" t="s">
        <v>544</v>
      </c>
      <c r="K325" s="52" t="s">
        <v>545</v>
      </c>
      <c r="L325" s="52"/>
    </row>
    <row r="326" customFormat="false" ht="15" hidden="false" customHeight="false" outlineLevel="0" collapsed="false">
      <c r="A326" s="50" t="n">
        <v>46294</v>
      </c>
      <c r="B326" s="51" t="n">
        <f aca="false">IF(A326="","",MONTH(A326))</f>
        <v>9</v>
      </c>
      <c r="C326" s="52" t="s">
        <v>69</v>
      </c>
      <c r="D326" s="52" t="s">
        <v>52</v>
      </c>
      <c r="E326" s="52" t="n">
        <v>1</v>
      </c>
      <c r="F326" s="53" t="n">
        <v>2089000</v>
      </c>
      <c r="G326" s="52" t="n">
        <v>1</v>
      </c>
      <c r="H326" s="54" t="n">
        <f aca="false">IF(E326="","",E326*N(F326)*IF(G326="",1,G326))</f>
        <v>2089000</v>
      </c>
      <c r="I326" s="55" t="str">
        <f aca="false">IF(C326="","",IFERROR(INDEX('DANH MỤC'!$B$5:$B$200,MATCH(C326,'DANH MỤC'!$A$5:$A$200,0)),"⚠ Mã chưa có trong DANH MỤC"))</f>
        <v>Sơn ngoại thất siêu bóng cao cấp Imperia EG09</v>
      </c>
      <c r="J326" s="52" t="s">
        <v>179</v>
      </c>
      <c r="K326" s="52" t="s">
        <v>546</v>
      </c>
      <c r="L326" s="52"/>
    </row>
    <row r="327" customFormat="false" ht="15" hidden="false" customHeight="false" outlineLevel="0" collapsed="false">
      <c r="A327" s="50" t="n">
        <v>46294</v>
      </c>
      <c r="B327" s="51" t="n">
        <f aca="false">IF(A327="","",MONTH(A327))</f>
        <v>9</v>
      </c>
      <c r="C327" s="52" t="s">
        <v>69</v>
      </c>
      <c r="D327" s="52" t="s">
        <v>66</v>
      </c>
      <c r="E327" s="52" t="n">
        <v>2</v>
      </c>
      <c r="F327" s="53" t="n">
        <v>479000</v>
      </c>
      <c r="G327" s="52" t="n">
        <v>1.15</v>
      </c>
      <c r="H327" s="54" t="n">
        <f aca="false">IF(E327="","",E327*N(F327)*IF(G327="",1,G327))</f>
        <v>1101700</v>
      </c>
      <c r="I327" s="55" t="str">
        <f aca="false">IF(C327="","",IFERROR(INDEX('DANH MỤC'!$B$5:$B$200,MATCH(C327,'DANH MỤC'!$A$5:$A$200,0)),"⚠ Mã chưa có trong DANH MỤC"))</f>
        <v>Sơn ngoại thất siêu bóng cao cấp Imperia EG09</v>
      </c>
      <c r="J327" s="52" t="s">
        <v>422</v>
      </c>
      <c r="K327" s="52" t="s">
        <v>547</v>
      </c>
      <c r="L327" s="52"/>
    </row>
    <row r="328" customFormat="false" ht="15" hidden="false" customHeight="false" outlineLevel="0" collapsed="false">
      <c r="A328" s="50"/>
      <c r="B328" s="51" t="str">
        <f aca="false">IF(A328="","",MONTH(A328))</f>
        <v/>
      </c>
      <c r="C328" s="52"/>
      <c r="D328" s="52"/>
      <c r="E328" s="52"/>
      <c r="F328" s="53"/>
      <c r="G328" s="52"/>
      <c r="H328" s="54" t="str">
        <f aca="false">IF(E328="","",E328*N(F328)*IF(G328="",1,G328))</f>
        <v/>
      </c>
      <c r="I328" s="55" t="str">
        <f aca="false">IF(C328="","",IFERROR(INDEX('DANH MỤC'!$B$5:$B$200,MATCH(C328,'DANH MỤC'!$A$5:$A$200,0)),"⚠ Mã chưa có trong DANH MỤC"))</f>
        <v/>
      </c>
      <c r="J328" s="52"/>
      <c r="K328" s="52"/>
      <c r="L328" s="52"/>
    </row>
    <row r="329" customFormat="false" ht="15" hidden="false" customHeight="false" outlineLevel="0" collapsed="false">
      <c r="A329" s="50"/>
      <c r="B329" s="51" t="str">
        <f aca="false">IF(A329="","",MONTH(A329))</f>
        <v/>
      </c>
      <c r="C329" s="52"/>
      <c r="D329" s="52"/>
      <c r="E329" s="52"/>
      <c r="F329" s="53"/>
      <c r="G329" s="52"/>
      <c r="H329" s="54" t="str">
        <f aca="false">IF(E329="","",E329*N(F329)*IF(G329="",1,G329))</f>
        <v/>
      </c>
      <c r="I329" s="55" t="str">
        <f aca="false">IF(C329="","",IFERROR(INDEX('DANH MỤC'!$B$5:$B$200,MATCH(C329,'DANH MỤC'!$A$5:$A$200,0)),"⚠ Mã chưa có trong DANH MỤC"))</f>
        <v/>
      </c>
      <c r="J329" s="52"/>
      <c r="K329" s="52"/>
      <c r="L329" s="52"/>
    </row>
    <row r="330" customFormat="false" ht="15" hidden="false" customHeight="false" outlineLevel="0" collapsed="false">
      <c r="A330" s="50"/>
      <c r="B330" s="51" t="str">
        <f aca="false">IF(A330="","",MONTH(A330))</f>
        <v/>
      </c>
      <c r="C330" s="52"/>
      <c r="D330" s="52"/>
      <c r="E330" s="52"/>
      <c r="F330" s="53"/>
      <c r="G330" s="52"/>
      <c r="H330" s="54" t="str">
        <f aca="false">IF(E330="","",E330*N(F330)*IF(G330="",1,G330))</f>
        <v/>
      </c>
      <c r="I330" s="55" t="str">
        <f aca="false">IF(C330="","",IFERROR(INDEX('DANH MỤC'!$B$5:$B$200,MATCH(C330,'DANH MỤC'!$A$5:$A$200,0)),"⚠ Mã chưa có trong DANH MỤC"))</f>
        <v/>
      </c>
      <c r="J330" s="52"/>
      <c r="K330" s="52"/>
      <c r="L330" s="52"/>
    </row>
    <row r="331" customFormat="false" ht="15" hidden="false" customHeight="false" outlineLevel="0" collapsed="false">
      <c r="A331" s="50"/>
      <c r="B331" s="51" t="str">
        <f aca="false">IF(A331="","",MONTH(A331))</f>
        <v/>
      </c>
      <c r="C331" s="52"/>
      <c r="D331" s="52"/>
      <c r="E331" s="52"/>
      <c r="F331" s="53"/>
      <c r="G331" s="52"/>
      <c r="H331" s="54" t="str">
        <f aca="false">IF(E331="","",E331*N(F331)*IF(G331="",1,G331))</f>
        <v/>
      </c>
      <c r="I331" s="55" t="str">
        <f aca="false">IF(C331="","",IFERROR(INDEX('DANH MỤC'!$B$5:$B$200,MATCH(C331,'DANH MỤC'!$A$5:$A$200,0)),"⚠ Mã chưa có trong DANH MỤC"))</f>
        <v/>
      </c>
      <c r="J331" s="52"/>
      <c r="K331" s="52"/>
      <c r="L331" s="52"/>
    </row>
    <row r="332" customFormat="false" ht="15" hidden="false" customHeight="false" outlineLevel="0" collapsed="false">
      <c r="A332" s="50"/>
      <c r="B332" s="51" t="str">
        <f aca="false">IF(A332="","",MONTH(A332))</f>
        <v/>
      </c>
      <c r="C332" s="52"/>
      <c r="D332" s="52"/>
      <c r="E332" s="52"/>
      <c r="F332" s="53"/>
      <c r="G332" s="52"/>
      <c r="H332" s="54" t="str">
        <f aca="false">IF(E332="","",E332*N(F332)*IF(G332="",1,G332))</f>
        <v/>
      </c>
      <c r="I332" s="55" t="str">
        <f aca="false">IF(C332="","",IFERROR(INDEX('DANH MỤC'!$B$5:$B$200,MATCH(C332,'DANH MỤC'!$A$5:$A$200,0)),"⚠ Mã chưa có trong DANH MỤC"))</f>
        <v/>
      </c>
      <c r="J332" s="52"/>
      <c r="K332" s="52"/>
      <c r="L332" s="52"/>
    </row>
    <row r="333" customFormat="false" ht="15" hidden="false" customHeight="false" outlineLevel="0" collapsed="false">
      <c r="A333" s="50"/>
      <c r="B333" s="51" t="str">
        <f aca="false">IF(A333="","",MONTH(A333))</f>
        <v/>
      </c>
      <c r="C333" s="52"/>
      <c r="D333" s="52"/>
      <c r="E333" s="52"/>
      <c r="F333" s="53"/>
      <c r="G333" s="52"/>
      <c r="H333" s="54" t="str">
        <f aca="false">IF(E333="","",E333*N(F333)*IF(G333="",1,G333))</f>
        <v/>
      </c>
      <c r="I333" s="55" t="str">
        <f aca="false">IF(C333="","",IFERROR(INDEX('DANH MỤC'!$B$5:$B$200,MATCH(C333,'DANH MỤC'!$A$5:$A$200,0)),"⚠ Mã chưa có trong DANH MỤC"))</f>
        <v/>
      </c>
      <c r="J333" s="52"/>
      <c r="K333" s="52"/>
      <c r="L333" s="52"/>
    </row>
    <row r="334" customFormat="false" ht="15" hidden="false" customHeight="false" outlineLevel="0" collapsed="false">
      <c r="A334" s="50"/>
      <c r="B334" s="51" t="str">
        <f aca="false">IF(A334="","",MONTH(A334))</f>
        <v/>
      </c>
      <c r="C334" s="52"/>
      <c r="D334" s="52"/>
      <c r="E334" s="52"/>
      <c r="F334" s="53"/>
      <c r="G334" s="52"/>
      <c r="H334" s="54" t="str">
        <f aca="false">IF(E334="","",E334*N(F334)*IF(G334="",1,G334))</f>
        <v/>
      </c>
      <c r="I334" s="55" t="str">
        <f aca="false">IF(C334="","",IFERROR(INDEX('DANH MỤC'!$B$5:$B$200,MATCH(C334,'DANH MỤC'!$A$5:$A$200,0)),"⚠ Mã chưa có trong DANH MỤC"))</f>
        <v/>
      </c>
      <c r="J334" s="52"/>
      <c r="K334" s="52"/>
      <c r="L334" s="52"/>
    </row>
    <row r="335" customFormat="false" ht="15" hidden="false" customHeight="false" outlineLevel="0" collapsed="false">
      <c r="A335" s="50"/>
      <c r="B335" s="51" t="str">
        <f aca="false">IF(A335="","",MONTH(A335))</f>
        <v/>
      </c>
      <c r="C335" s="52"/>
      <c r="D335" s="52"/>
      <c r="E335" s="52"/>
      <c r="F335" s="53"/>
      <c r="G335" s="52"/>
      <c r="H335" s="54" t="str">
        <f aca="false">IF(E335="","",E335*N(F335)*IF(G335="",1,G335))</f>
        <v/>
      </c>
      <c r="I335" s="55" t="str">
        <f aca="false">IF(C335="","",IFERROR(INDEX('DANH MỤC'!$B$5:$B$200,MATCH(C335,'DANH MỤC'!$A$5:$A$200,0)),"⚠ Mã chưa có trong DANH MỤC"))</f>
        <v/>
      </c>
      <c r="J335" s="52"/>
      <c r="K335" s="52"/>
      <c r="L335" s="52"/>
    </row>
    <row r="336" customFormat="false" ht="15" hidden="false" customHeight="false" outlineLevel="0" collapsed="false">
      <c r="A336" s="50"/>
      <c r="B336" s="51" t="str">
        <f aca="false">IF(A336="","",MONTH(A336))</f>
        <v/>
      </c>
      <c r="C336" s="52"/>
      <c r="D336" s="52"/>
      <c r="E336" s="52"/>
      <c r="F336" s="53"/>
      <c r="G336" s="52"/>
      <c r="H336" s="54" t="str">
        <f aca="false">IF(E336="","",E336*N(F336)*IF(G336="",1,G336))</f>
        <v/>
      </c>
      <c r="I336" s="55" t="str">
        <f aca="false">IF(C336="","",IFERROR(INDEX('DANH MỤC'!$B$5:$B$200,MATCH(C336,'DANH MỤC'!$A$5:$A$200,0)),"⚠ Mã chưa có trong DANH MỤC"))</f>
        <v/>
      </c>
      <c r="J336" s="52"/>
      <c r="K336" s="52"/>
      <c r="L336" s="52"/>
    </row>
    <row r="337" customFormat="false" ht="15" hidden="false" customHeight="false" outlineLevel="0" collapsed="false">
      <c r="A337" s="50"/>
      <c r="B337" s="51" t="str">
        <f aca="false">IF(A337="","",MONTH(A337))</f>
        <v/>
      </c>
      <c r="C337" s="52"/>
      <c r="D337" s="52"/>
      <c r="E337" s="52"/>
      <c r="F337" s="53"/>
      <c r="G337" s="52"/>
      <c r="H337" s="54" t="str">
        <f aca="false">IF(E337="","",E337*N(F337)*IF(G337="",1,G337))</f>
        <v/>
      </c>
      <c r="I337" s="55" t="str">
        <f aca="false">IF(C337="","",IFERROR(INDEX('DANH MỤC'!$B$5:$B$200,MATCH(C337,'DANH MỤC'!$A$5:$A$200,0)),"⚠ Mã chưa có trong DANH MỤC"))</f>
        <v/>
      </c>
      <c r="J337" s="52"/>
      <c r="K337" s="52"/>
      <c r="L337" s="52"/>
    </row>
    <row r="338" customFormat="false" ht="15" hidden="false" customHeight="false" outlineLevel="0" collapsed="false">
      <c r="A338" s="50"/>
      <c r="B338" s="51" t="str">
        <f aca="false">IF(A338="","",MONTH(A338))</f>
        <v/>
      </c>
      <c r="C338" s="52"/>
      <c r="D338" s="52"/>
      <c r="E338" s="52"/>
      <c r="F338" s="53"/>
      <c r="G338" s="52"/>
      <c r="H338" s="54" t="str">
        <f aca="false">IF(E338="","",E338*N(F338)*IF(G338="",1,G338))</f>
        <v/>
      </c>
      <c r="I338" s="55" t="str">
        <f aca="false">IF(C338="","",IFERROR(INDEX('DANH MỤC'!$B$5:$B$200,MATCH(C338,'DANH MỤC'!$A$5:$A$200,0)),"⚠ Mã chưa có trong DANH MỤC"))</f>
        <v/>
      </c>
      <c r="J338" s="52"/>
      <c r="K338" s="52"/>
      <c r="L338" s="52"/>
    </row>
    <row r="339" customFormat="false" ht="15" hidden="false" customHeight="false" outlineLevel="0" collapsed="false">
      <c r="A339" s="50"/>
      <c r="B339" s="51" t="str">
        <f aca="false">IF(A339="","",MONTH(A339))</f>
        <v/>
      </c>
      <c r="C339" s="52"/>
      <c r="D339" s="52"/>
      <c r="E339" s="52"/>
      <c r="F339" s="53"/>
      <c r="G339" s="52"/>
      <c r="H339" s="54" t="str">
        <f aca="false">IF(E339="","",E339*N(F339)*IF(G339="",1,G339))</f>
        <v/>
      </c>
      <c r="I339" s="55" t="str">
        <f aca="false">IF(C339="","",IFERROR(INDEX('DANH MỤC'!$B$5:$B$200,MATCH(C339,'DANH MỤC'!$A$5:$A$200,0)),"⚠ Mã chưa có trong DANH MỤC"))</f>
        <v/>
      </c>
      <c r="J339" s="52"/>
      <c r="K339" s="52"/>
      <c r="L339" s="52"/>
    </row>
    <row r="340" customFormat="false" ht="15" hidden="false" customHeight="false" outlineLevel="0" collapsed="false">
      <c r="A340" s="50"/>
      <c r="B340" s="51" t="str">
        <f aca="false">IF(A340="","",MONTH(A340))</f>
        <v/>
      </c>
      <c r="C340" s="52"/>
      <c r="D340" s="52"/>
      <c r="E340" s="52"/>
      <c r="F340" s="53"/>
      <c r="G340" s="52"/>
      <c r="H340" s="54" t="str">
        <f aca="false">IF(E340="","",E340*N(F340)*IF(G340="",1,G340))</f>
        <v/>
      </c>
      <c r="I340" s="55" t="str">
        <f aca="false">IF(C340="","",IFERROR(INDEX('DANH MỤC'!$B$5:$B$200,MATCH(C340,'DANH MỤC'!$A$5:$A$200,0)),"⚠ Mã chưa có trong DANH MỤC"))</f>
        <v/>
      </c>
      <c r="J340" s="52"/>
      <c r="K340" s="52"/>
      <c r="L340" s="52"/>
    </row>
    <row r="341" customFormat="false" ht="15" hidden="false" customHeight="false" outlineLevel="0" collapsed="false">
      <c r="A341" s="50"/>
      <c r="B341" s="51" t="str">
        <f aca="false">IF(A341="","",MONTH(A341))</f>
        <v/>
      </c>
      <c r="C341" s="52"/>
      <c r="D341" s="52"/>
      <c r="E341" s="52"/>
      <c r="F341" s="53"/>
      <c r="G341" s="52"/>
      <c r="H341" s="54" t="str">
        <f aca="false">IF(E341="","",E341*N(F341)*IF(G341="",1,G341))</f>
        <v/>
      </c>
      <c r="I341" s="55" t="str">
        <f aca="false">IF(C341="","",IFERROR(INDEX('DANH MỤC'!$B$5:$B$200,MATCH(C341,'DANH MỤC'!$A$5:$A$200,0)),"⚠ Mã chưa có trong DANH MỤC"))</f>
        <v/>
      </c>
      <c r="J341" s="52"/>
      <c r="K341" s="52"/>
      <c r="L341" s="52"/>
    </row>
    <row r="342" customFormat="false" ht="15" hidden="false" customHeight="false" outlineLevel="0" collapsed="false">
      <c r="A342" s="50"/>
      <c r="B342" s="51" t="str">
        <f aca="false">IF(A342="","",MONTH(A342))</f>
        <v/>
      </c>
      <c r="C342" s="52"/>
      <c r="D342" s="52"/>
      <c r="E342" s="52"/>
      <c r="F342" s="53"/>
      <c r="G342" s="52"/>
      <c r="H342" s="54" t="str">
        <f aca="false">IF(E342="","",E342*N(F342)*IF(G342="",1,G342))</f>
        <v/>
      </c>
      <c r="I342" s="55" t="str">
        <f aca="false">IF(C342="","",IFERROR(INDEX('DANH MỤC'!$B$5:$B$200,MATCH(C342,'DANH MỤC'!$A$5:$A$200,0)),"⚠ Mã chưa có trong DANH MỤC"))</f>
        <v/>
      </c>
      <c r="J342" s="52"/>
      <c r="K342" s="52"/>
      <c r="L342" s="52"/>
    </row>
    <row r="343" customFormat="false" ht="15" hidden="false" customHeight="false" outlineLevel="0" collapsed="false">
      <c r="A343" s="50"/>
      <c r="B343" s="51" t="str">
        <f aca="false">IF(A343="","",MONTH(A343))</f>
        <v/>
      </c>
      <c r="C343" s="52"/>
      <c r="D343" s="52"/>
      <c r="E343" s="52"/>
      <c r="F343" s="53"/>
      <c r="G343" s="52"/>
      <c r="H343" s="54" t="str">
        <f aca="false">IF(E343="","",E343*N(F343)*IF(G343="",1,G343))</f>
        <v/>
      </c>
      <c r="I343" s="55" t="str">
        <f aca="false">IF(C343="","",IFERROR(INDEX('DANH MỤC'!$B$5:$B$200,MATCH(C343,'DANH MỤC'!$A$5:$A$200,0)),"⚠ Mã chưa có trong DANH MỤC"))</f>
        <v/>
      </c>
      <c r="J343" s="52"/>
      <c r="K343" s="52"/>
      <c r="L343" s="52"/>
    </row>
    <row r="344" customFormat="false" ht="15" hidden="false" customHeight="false" outlineLevel="0" collapsed="false">
      <c r="A344" s="50"/>
      <c r="B344" s="51" t="str">
        <f aca="false">IF(A344="","",MONTH(A344))</f>
        <v/>
      </c>
      <c r="C344" s="52"/>
      <c r="D344" s="52"/>
      <c r="E344" s="52"/>
      <c r="F344" s="53"/>
      <c r="G344" s="52"/>
      <c r="H344" s="54" t="str">
        <f aca="false">IF(E344="","",E344*N(F344)*IF(G344="",1,G344))</f>
        <v/>
      </c>
      <c r="I344" s="55" t="str">
        <f aca="false">IF(C344="","",IFERROR(INDEX('DANH MỤC'!$B$5:$B$200,MATCH(C344,'DANH MỤC'!$A$5:$A$200,0)),"⚠ Mã chưa có trong DANH MỤC"))</f>
        <v/>
      </c>
      <c r="J344" s="52"/>
      <c r="K344" s="52"/>
      <c r="L344" s="52"/>
    </row>
    <row r="345" customFormat="false" ht="15" hidden="false" customHeight="false" outlineLevel="0" collapsed="false">
      <c r="A345" s="50"/>
      <c r="B345" s="51" t="str">
        <f aca="false">IF(A345="","",MONTH(A345))</f>
        <v/>
      </c>
      <c r="C345" s="52"/>
      <c r="D345" s="52"/>
      <c r="E345" s="52"/>
      <c r="F345" s="53"/>
      <c r="G345" s="52"/>
      <c r="H345" s="54" t="str">
        <f aca="false">IF(E345="","",E345*N(F345)*IF(G345="",1,G345))</f>
        <v/>
      </c>
      <c r="I345" s="55" t="str">
        <f aca="false">IF(C345="","",IFERROR(INDEX('DANH MỤC'!$B$5:$B$200,MATCH(C345,'DANH MỤC'!$A$5:$A$200,0)),"⚠ Mã chưa có trong DANH MỤC"))</f>
        <v/>
      </c>
      <c r="J345" s="52"/>
      <c r="K345" s="52"/>
      <c r="L345" s="52"/>
    </row>
    <row r="346" customFormat="false" ht="15" hidden="false" customHeight="false" outlineLevel="0" collapsed="false">
      <c r="A346" s="50"/>
      <c r="B346" s="51" t="str">
        <f aca="false">IF(A346="","",MONTH(A346))</f>
        <v/>
      </c>
      <c r="C346" s="52"/>
      <c r="D346" s="52"/>
      <c r="E346" s="52"/>
      <c r="F346" s="53"/>
      <c r="G346" s="52"/>
      <c r="H346" s="54" t="str">
        <f aca="false">IF(E346="","",E346*N(F346)*IF(G346="",1,G346))</f>
        <v/>
      </c>
      <c r="I346" s="55" t="str">
        <f aca="false">IF(C346="","",IFERROR(INDEX('DANH MỤC'!$B$5:$B$200,MATCH(C346,'DANH MỤC'!$A$5:$A$200,0)),"⚠ Mã chưa có trong DANH MỤC"))</f>
        <v/>
      </c>
      <c r="J346" s="52"/>
      <c r="K346" s="52"/>
      <c r="L346" s="52"/>
    </row>
    <row r="347" customFormat="false" ht="15" hidden="false" customHeight="false" outlineLevel="0" collapsed="false">
      <c r="A347" s="50"/>
      <c r="B347" s="51" t="str">
        <f aca="false">IF(A347="","",MONTH(A347))</f>
        <v/>
      </c>
      <c r="C347" s="52"/>
      <c r="D347" s="52"/>
      <c r="E347" s="52"/>
      <c r="F347" s="53"/>
      <c r="G347" s="52"/>
      <c r="H347" s="54" t="str">
        <f aca="false">IF(E347="","",E347*N(F347)*IF(G347="",1,G347))</f>
        <v/>
      </c>
      <c r="I347" s="55" t="str">
        <f aca="false">IF(C347="","",IFERROR(INDEX('DANH MỤC'!$B$5:$B$200,MATCH(C347,'DANH MỤC'!$A$5:$A$200,0)),"⚠ Mã chưa có trong DANH MỤC"))</f>
        <v/>
      </c>
      <c r="J347" s="52"/>
      <c r="K347" s="52"/>
      <c r="L347" s="52"/>
    </row>
    <row r="348" customFormat="false" ht="15" hidden="false" customHeight="false" outlineLevel="0" collapsed="false">
      <c r="A348" s="50"/>
      <c r="B348" s="51" t="str">
        <f aca="false">IF(A348="","",MONTH(A348))</f>
        <v/>
      </c>
      <c r="C348" s="52"/>
      <c r="D348" s="52"/>
      <c r="E348" s="52"/>
      <c r="F348" s="53"/>
      <c r="G348" s="52"/>
      <c r="H348" s="54" t="str">
        <f aca="false">IF(E348="","",E348*N(F348)*IF(G348="",1,G348))</f>
        <v/>
      </c>
      <c r="I348" s="55" t="str">
        <f aca="false">IF(C348="","",IFERROR(INDEX('DANH MỤC'!$B$5:$B$200,MATCH(C348,'DANH MỤC'!$A$5:$A$200,0)),"⚠ Mã chưa có trong DANH MỤC"))</f>
        <v/>
      </c>
      <c r="J348" s="52"/>
      <c r="K348" s="52"/>
      <c r="L348" s="52"/>
    </row>
    <row r="349" customFormat="false" ht="15" hidden="false" customHeight="false" outlineLevel="0" collapsed="false">
      <c r="A349" s="50"/>
      <c r="B349" s="51" t="str">
        <f aca="false">IF(A349="","",MONTH(A349))</f>
        <v/>
      </c>
      <c r="C349" s="52"/>
      <c r="D349" s="52"/>
      <c r="E349" s="52"/>
      <c r="F349" s="53"/>
      <c r="G349" s="52"/>
      <c r="H349" s="54" t="str">
        <f aca="false">IF(E349="","",E349*N(F349)*IF(G349="",1,G349))</f>
        <v/>
      </c>
      <c r="I349" s="55" t="str">
        <f aca="false">IF(C349="","",IFERROR(INDEX('DANH MỤC'!$B$5:$B$200,MATCH(C349,'DANH MỤC'!$A$5:$A$200,0)),"⚠ Mã chưa có trong DANH MỤC"))</f>
        <v/>
      </c>
      <c r="J349" s="52"/>
      <c r="K349" s="52"/>
      <c r="L349" s="52"/>
    </row>
    <row r="350" customFormat="false" ht="15" hidden="false" customHeight="false" outlineLevel="0" collapsed="false">
      <c r="A350" s="50"/>
      <c r="B350" s="51" t="str">
        <f aca="false">IF(A350="","",MONTH(A350))</f>
        <v/>
      </c>
      <c r="C350" s="52"/>
      <c r="D350" s="52"/>
      <c r="E350" s="52"/>
      <c r="F350" s="53"/>
      <c r="G350" s="52"/>
      <c r="H350" s="54" t="str">
        <f aca="false">IF(E350="","",E350*N(F350)*IF(G350="",1,G350))</f>
        <v/>
      </c>
      <c r="I350" s="55" t="str">
        <f aca="false">IF(C350="","",IFERROR(INDEX('DANH MỤC'!$B$5:$B$200,MATCH(C350,'DANH MỤC'!$A$5:$A$200,0)),"⚠ Mã chưa có trong DANH MỤC"))</f>
        <v/>
      </c>
      <c r="J350" s="52"/>
      <c r="K350" s="52"/>
      <c r="L350" s="52"/>
    </row>
    <row r="351" customFormat="false" ht="15" hidden="false" customHeight="false" outlineLevel="0" collapsed="false">
      <c r="A351" s="50"/>
      <c r="B351" s="51" t="str">
        <f aca="false">IF(A351="","",MONTH(A351))</f>
        <v/>
      </c>
      <c r="C351" s="52"/>
      <c r="D351" s="52"/>
      <c r="E351" s="52"/>
      <c r="F351" s="53"/>
      <c r="G351" s="52"/>
      <c r="H351" s="54" t="str">
        <f aca="false">IF(E351="","",E351*N(F351)*IF(G351="",1,G351))</f>
        <v/>
      </c>
      <c r="I351" s="55" t="str">
        <f aca="false">IF(C351="","",IFERROR(INDEX('DANH MỤC'!$B$5:$B$200,MATCH(C351,'DANH MỤC'!$A$5:$A$200,0)),"⚠ Mã chưa có trong DANH MỤC"))</f>
        <v/>
      </c>
      <c r="J351" s="52"/>
      <c r="K351" s="52"/>
      <c r="L351" s="52"/>
    </row>
    <row r="352" customFormat="false" ht="15" hidden="false" customHeight="false" outlineLevel="0" collapsed="false">
      <c r="A352" s="50"/>
      <c r="B352" s="51" t="str">
        <f aca="false">IF(A352="","",MONTH(A352))</f>
        <v/>
      </c>
      <c r="C352" s="52"/>
      <c r="D352" s="52"/>
      <c r="E352" s="52"/>
      <c r="F352" s="53"/>
      <c r="G352" s="52"/>
      <c r="H352" s="54" t="str">
        <f aca="false">IF(E352="","",E352*N(F352)*IF(G352="",1,G352))</f>
        <v/>
      </c>
      <c r="I352" s="55" t="str">
        <f aca="false">IF(C352="","",IFERROR(INDEX('DANH MỤC'!$B$5:$B$200,MATCH(C352,'DANH MỤC'!$A$5:$A$200,0)),"⚠ Mã chưa có trong DANH MỤC"))</f>
        <v/>
      </c>
      <c r="J352" s="52"/>
      <c r="K352" s="52"/>
      <c r="L352" s="52"/>
    </row>
    <row r="353" customFormat="false" ht="15" hidden="false" customHeight="false" outlineLevel="0" collapsed="false">
      <c r="A353" s="50"/>
      <c r="B353" s="51" t="str">
        <f aca="false">IF(A353="","",MONTH(A353))</f>
        <v/>
      </c>
      <c r="C353" s="52"/>
      <c r="D353" s="52"/>
      <c r="E353" s="52"/>
      <c r="F353" s="53"/>
      <c r="G353" s="52"/>
      <c r="H353" s="54" t="str">
        <f aca="false">IF(E353="","",E353*N(F353)*IF(G353="",1,G353))</f>
        <v/>
      </c>
      <c r="I353" s="55" t="str">
        <f aca="false">IF(C353="","",IFERROR(INDEX('DANH MỤC'!$B$5:$B$200,MATCH(C353,'DANH MỤC'!$A$5:$A$200,0)),"⚠ Mã chưa có trong DANH MỤC"))</f>
        <v/>
      </c>
      <c r="J353" s="52"/>
      <c r="K353" s="52"/>
      <c r="L353" s="52"/>
    </row>
    <row r="354" customFormat="false" ht="15" hidden="false" customHeight="false" outlineLevel="0" collapsed="false">
      <c r="A354" s="50"/>
      <c r="B354" s="51" t="str">
        <f aca="false">IF(A354="","",MONTH(A354))</f>
        <v/>
      </c>
      <c r="C354" s="52"/>
      <c r="D354" s="52"/>
      <c r="E354" s="52"/>
      <c r="F354" s="53"/>
      <c r="G354" s="52"/>
      <c r="H354" s="54" t="str">
        <f aca="false">IF(E354="","",E354*N(F354)*IF(G354="",1,G354))</f>
        <v/>
      </c>
      <c r="I354" s="55" t="str">
        <f aca="false">IF(C354="","",IFERROR(INDEX('DANH MỤC'!$B$5:$B$200,MATCH(C354,'DANH MỤC'!$A$5:$A$200,0)),"⚠ Mã chưa có trong DANH MỤC"))</f>
        <v/>
      </c>
      <c r="J354" s="52"/>
      <c r="K354" s="52"/>
      <c r="L354" s="52"/>
    </row>
    <row r="355" customFormat="false" ht="15" hidden="false" customHeight="false" outlineLevel="0" collapsed="false">
      <c r="A355" s="50"/>
      <c r="B355" s="51" t="str">
        <f aca="false">IF(A355="","",MONTH(A355))</f>
        <v/>
      </c>
      <c r="C355" s="52"/>
      <c r="D355" s="52"/>
      <c r="E355" s="52"/>
      <c r="F355" s="53"/>
      <c r="G355" s="52"/>
      <c r="H355" s="54" t="str">
        <f aca="false">IF(E355="","",E355*N(F355)*IF(G355="",1,G355))</f>
        <v/>
      </c>
      <c r="I355" s="55" t="str">
        <f aca="false">IF(C355="","",IFERROR(INDEX('DANH MỤC'!$B$5:$B$200,MATCH(C355,'DANH MỤC'!$A$5:$A$200,0)),"⚠ Mã chưa có trong DANH MỤC"))</f>
        <v/>
      </c>
      <c r="J355" s="52"/>
      <c r="K355" s="52"/>
      <c r="L355" s="52"/>
    </row>
    <row r="356" customFormat="false" ht="15" hidden="false" customHeight="false" outlineLevel="0" collapsed="false">
      <c r="A356" s="50"/>
      <c r="B356" s="51" t="str">
        <f aca="false">IF(A356="","",MONTH(A356))</f>
        <v/>
      </c>
      <c r="C356" s="52"/>
      <c r="D356" s="52"/>
      <c r="E356" s="52"/>
      <c r="F356" s="53"/>
      <c r="G356" s="52"/>
      <c r="H356" s="54" t="str">
        <f aca="false">IF(E356="","",E356*N(F356)*IF(G356="",1,G356))</f>
        <v/>
      </c>
      <c r="I356" s="55" t="str">
        <f aca="false">IF(C356="","",IFERROR(INDEX('DANH MỤC'!$B$5:$B$200,MATCH(C356,'DANH MỤC'!$A$5:$A$200,0)),"⚠ Mã chưa có trong DANH MỤC"))</f>
        <v/>
      </c>
      <c r="J356" s="52"/>
      <c r="K356" s="52"/>
      <c r="L356" s="52"/>
    </row>
    <row r="357" customFormat="false" ht="15" hidden="false" customHeight="false" outlineLevel="0" collapsed="false">
      <c r="A357" s="50"/>
      <c r="B357" s="51" t="str">
        <f aca="false">IF(A357="","",MONTH(A357))</f>
        <v/>
      </c>
      <c r="C357" s="52"/>
      <c r="D357" s="52"/>
      <c r="E357" s="52"/>
      <c r="F357" s="53"/>
      <c r="G357" s="52"/>
      <c r="H357" s="54" t="str">
        <f aca="false">IF(E357="","",E357*N(F357)*IF(G357="",1,G357))</f>
        <v/>
      </c>
      <c r="I357" s="55" t="str">
        <f aca="false">IF(C357="","",IFERROR(INDEX('DANH MỤC'!$B$5:$B$200,MATCH(C357,'DANH MỤC'!$A$5:$A$200,0)),"⚠ Mã chưa có trong DANH MỤC"))</f>
        <v/>
      </c>
      <c r="J357" s="52"/>
      <c r="K357" s="52"/>
      <c r="L357" s="52"/>
    </row>
    <row r="358" customFormat="false" ht="15" hidden="false" customHeight="false" outlineLevel="0" collapsed="false">
      <c r="A358" s="50"/>
      <c r="B358" s="51" t="str">
        <f aca="false">IF(A358="","",MONTH(A358))</f>
        <v/>
      </c>
      <c r="C358" s="52"/>
      <c r="D358" s="52"/>
      <c r="E358" s="52"/>
      <c r="F358" s="53"/>
      <c r="G358" s="52"/>
      <c r="H358" s="54" t="str">
        <f aca="false">IF(E358="","",E358*N(F358)*IF(G358="",1,G358))</f>
        <v/>
      </c>
      <c r="I358" s="55" t="str">
        <f aca="false">IF(C358="","",IFERROR(INDEX('DANH MỤC'!$B$5:$B$200,MATCH(C358,'DANH MỤC'!$A$5:$A$200,0)),"⚠ Mã chưa có trong DANH MỤC"))</f>
        <v/>
      </c>
      <c r="J358" s="52"/>
      <c r="K358" s="52"/>
      <c r="L358" s="52"/>
    </row>
    <row r="359" customFormat="false" ht="15" hidden="false" customHeight="false" outlineLevel="0" collapsed="false">
      <c r="A359" s="50"/>
      <c r="B359" s="51" t="str">
        <f aca="false">IF(A359="","",MONTH(A359))</f>
        <v/>
      </c>
      <c r="C359" s="52"/>
      <c r="D359" s="52"/>
      <c r="E359" s="52"/>
      <c r="F359" s="53"/>
      <c r="G359" s="52"/>
      <c r="H359" s="54" t="str">
        <f aca="false">IF(E359="","",E359*N(F359)*IF(G359="",1,G359))</f>
        <v/>
      </c>
      <c r="I359" s="55" t="str">
        <f aca="false">IF(C359="","",IFERROR(INDEX('DANH MỤC'!$B$5:$B$200,MATCH(C359,'DANH MỤC'!$A$5:$A$200,0)),"⚠ Mã chưa có trong DANH MỤC"))</f>
        <v/>
      </c>
      <c r="J359" s="52"/>
      <c r="K359" s="52"/>
      <c r="L359" s="52"/>
    </row>
    <row r="360" customFormat="false" ht="15" hidden="false" customHeight="false" outlineLevel="0" collapsed="false">
      <c r="A360" s="50"/>
      <c r="B360" s="51" t="str">
        <f aca="false">IF(A360="","",MONTH(A360))</f>
        <v/>
      </c>
      <c r="C360" s="52"/>
      <c r="D360" s="52"/>
      <c r="E360" s="52"/>
      <c r="F360" s="53"/>
      <c r="G360" s="52"/>
      <c r="H360" s="54" t="str">
        <f aca="false">IF(E360="","",E360*N(F360)*IF(G360="",1,G360))</f>
        <v/>
      </c>
      <c r="I360" s="55" t="str">
        <f aca="false">IF(C360="","",IFERROR(INDEX('DANH MỤC'!$B$5:$B$200,MATCH(C360,'DANH MỤC'!$A$5:$A$200,0)),"⚠ Mã chưa có trong DANH MỤC"))</f>
        <v/>
      </c>
      <c r="J360" s="52"/>
      <c r="K360" s="52"/>
      <c r="L360" s="52"/>
    </row>
    <row r="361" customFormat="false" ht="15" hidden="false" customHeight="false" outlineLevel="0" collapsed="false">
      <c r="A361" s="50"/>
      <c r="B361" s="51" t="str">
        <f aca="false">IF(A361="","",MONTH(A361))</f>
        <v/>
      </c>
      <c r="C361" s="52"/>
      <c r="D361" s="52"/>
      <c r="E361" s="52"/>
      <c r="F361" s="53"/>
      <c r="G361" s="52"/>
      <c r="H361" s="54" t="str">
        <f aca="false">IF(E361="","",E361*N(F361)*IF(G361="",1,G361))</f>
        <v/>
      </c>
      <c r="I361" s="55" t="str">
        <f aca="false">IF(C361="","",IFERROR(INDEX('DANH MỤC'!$B$5:$B$200,MATCH(C361,'DANH MỤC'!$A$5:$A$200,0)),"⚠ Mã chưa có trong DANH MỤC"))</f>
        <v/>
      </c>
      <c r="J361" s="52"/>
      <c r="K361" s="52"/>
      <c r="L361" s="52"/>
    </row>
    <row r="362" customFormat="false" ht="15" hidden="false" customHeight="false" outlineLevel="0" collapsed="false">
      <c r="A362" s="50"/>
      <c r="B362" s="51" t="str">
        <f aca="false">IF(A362="","",MONTH(A362))</f>
        <v/>
      </c>
      <c r="C362" s="52"/>
      <c r="D362" s="52"/>
      <c r="E362" s="52"/>
      <c r="F362" s="53"/>
      <c r="G362" s="52"/>
      <c r="H362" s="54" t="str">
        <f aca="false">IF(E362="","",E362*N(F362)*IF(G362="",1,G362))</f>
        <v/>
      </c>
      <c r="I362" s="55" t="str">
        <f aca="false">IF(C362="","",IFERROR(INDEX('DANH MỤC'!$B$5:$B$200,MATCH(C362,'DANH MỤC'!$A$5:$A$200,0)),"⚠ Mã chưa có trong DANH MỤC"))</f>
        <v/>
      </c>
      <c r="J362" s="52"/>
      <c r="K362" s="52"/>
      <c r="L362" s="52"/>
    </row>
    <row r="363" customFormat="false" ht="15" hidden="false" customHeight="false" outlineLevel="0" collapsed="false">
      <c r="A363" s="50"/>
      <c r="B363" s="51" t="str">
        <f aca="false">IF(A363="","",MONTH(A363))</f>
        <v/>
      </c>
      <c r="C363" s="52"/>
      <c r="D363" s="52"/>
      <c r="E363" s="52"/>
      <c r="F363" s="53"/>
      <c r="G363" s="52"/>
      <c r="H363" s="54" t="str">
        <f aca="false">IF(E363="","",E363*N(F363)*IF(G363="",1,G363))</f>
        <v/>
      </c>
      <c r="I363" s="55" t="str">
        <f aca="false">IF(C363="","",IFERROR(INDEX('DANH MỤC'!$B$5:$B$200,MATCH(C363,'DANH MỤC'!$A$5:$A$200,0)),"⚠ Mã chưa có trong DANH MỤC"))</f>
        <v/>
      </c>
      <c r="J363" s="52"/>
      <c r="K363" s="52"/>
      <c r="L363" s="52"/>
    </row>
    <row r="364" customFormat="false" ht="15" hidden="false" customHeight="false" outlineLevel="0" collapsed="false">
      <c r="A364" s="50"/>
      <c r="B364" s="51" t="str">
        <f aca="false">IF(A364="","",MONTH(A364))</f>
        <v/>
      </c>
      <c r="C364" s="52"/>
      <c r="D364" s="52"/>
      <c r="E364" s="52"/>
      <c r="F364" s="53"/>
      <c r="G364" s="52"/>
      <c r="H364" s="54" t="str">
        <f aca="false">IF(E364="","",E364*N(F364)*IF(G364="",1,G364))</f>
        <v/>
      </c>
      <c r="I364" s="55" t="str">
        <f aca="false">IF(C364="","",IFERROR(INDEX('DANH MỤC'!$B$5:$B$200,MATCH(C364,'DANH MỤC'!$A$5:$A$200,0)),"⚠ Mã chưa có trong DANH MỤC"))</f>
        <v/>
      </c>
      <c r="J364" s="52"/>
      <c r="K364" s="52"/>
      <c r="L364" s="52"/>
    </row>
    <row r="365" customFormat="false" ht="15" hidden="false" customHeight="false" outlineLevel="0" collapsed="false">
      <c r="A365" s="50"/>
      <c r="B365" s="51" t="str">
        <f aca="false">IF(A365="","",MONTH(A365))</f>
        <v/>
      </c>
      <c r="C365" s="52"/>
      <c r="D365" s="52"/>
      <c r="E365" s="52"/>
      <c r="F365" s="53"/>
      <c r="G365" s="52"/>
      <c r="H365" s="54" t="str">
        <f aca="false">IF(E365="","",E365*N(F365)*IF(G365="",1,G365))</f>
        <v/>
      </c>
      <c r="I365" s="55" t="str">
        <f aca="false">IF(C365="","",IFERROR(INDEX('DANH MỤC'!$B$5:$B$200,MATCH(C365,'DANH MỤC'!$A$5:$A$200,0)),"⚠ Mã chưa có trong DANH MỤC"))</f>
        <v/>
      </c>
      <c r="J365" s="52"/>
      <c r="K365" s="52"/>
      <c r="L365" s="52"/>
    </row>
    <row r="366" customFormat="false" ht="15" hidden="false" customHeight="false" outlineLevel="0" collapsed="false">
      <c r="A366" s="50"/>
      <c r="B366" s="51" t="str">
        <f aca="false">IF(A366="","",MONTH(A366))</f>
        <v/>
      </c>
      <c r="C366" s="52"/>
      <c r="D366" s="52"/>
      <c r="E366" s="52"/>
      <c r="F366" s="53"/>
      <c r="G366" s="52"/>
      <c r="H366" s="54" t="str">
        <f aca="false">IF(E366="","",E366*N(F366)*IF(G366="",1,G366))</f>
        <v/>
      </c>
      <c r="I366" s="55" t="str">
        <f aca="false">IF(C366="","",IFERROR(INDEX('DANH MỤC'!$B$5:$B$200,MATCH(C366,'DANH MỤC'!$A$5:$A$200,0)),"⚠ Mã chưa có trong DANH MỤC"))</f>
        <v/>
      </c>
      <c r="J366" s="52"/>
      <c r="K366" s="52"/>
      <c r="L366" s="52"/>
    </row>
    <row r="367" customFormat="false" ht="15" hidden="false" customHeight="false" outlineLevel="0" collapsed="false">
      <c r="A367" s="50"/>
      <c r="B367" s="51" t="str">
        <f aca="false">IF(A367="","",MONTH(A367))</f>
        <v/>
      </c>
      <c r="C367" s="52"/>
      <c r="D367" s="52"/>
      <c r="E367" s="52"/>
      <c r="F367" s="53"/>
      <c r="G367" s="52"/>
      <c r="H367" s="54" t="str">
        <f aca="false">IF(E367="","",E367*N(F367)*IF(G367="",1,G367))</f>
        <v/>
      </c>
      <c r="I367" s="55" t="str">
        <f aca="false">IF(C367="","",IFERROR(INDEX('DANH MỤC'!$B$5:$B$200,MATCH(C367,'DANH MỤC'!$A$5:$A$200,0)),"⚠ Mã chưa có trong DANH MỤC"))</f>
        <v/>
      </c>
      <c r="J367" s="52"/>
      <c r="K367" s="52"/>
      <c r="L367" s="52"/>
    </row>
    <row r="368" customFormat="false" ht="15" hidden="false" customHeight="false" outlineLevel="0" collapsed="false">
      <c r="A368" s="50"/>
      <c r="B368" s="51" t="str">
        <f aca="false">IF(A368="","",MONTH(A368))</f>
        <v/>
      </c>
      <c r="C368" s="52"/>
      <c r="D368" s="52"/>
      <c r="E368" s="52"/>
      <c r="F368" s="53"/>
      <c r="G368" s="52"/>
      <c r="H368" s="54" t="str">
        <f aca="false">IF(E368="","",E368*N(F368)*IF(G368="",1,G368))</f>
        <v/>
      </c>
      <c r="I368" s="55" t="str">
        <f aca="false">IF(C368="","",IFERROR(INDEX('DANH MỤC'!$B$5:$B$200,MATCH(C368,'DANH MỤC'!$A$5:$A$200,0)),"⚠ Mã chưa có trong DANH MỤC"))</f>
        <v/>
      </c>
      <c r="J368" s="52"/>
      <c r="K368" s="52"/>
      <c r="L368" s="52"/>
    </row>
    <row r="369" customFormat="false" ht="15" hidden="false" customHeight="false" outlineLevel="0" collapsed="false">
      <c r="A369" s="50"/>
      <c r="B369" s="51" t="str">
        <f aca="false">IF(A369="","",MONTH(A369))</f>
        <v/>
      </c>
      <c r="C369" s="52"/>
      <c r="D369" s="52"/>
      <c r="E369" s="52"/>
      <c r="F369" s="53"/>
      <c r="G369" s="52"/>
      <c r="H369" s="54" t="str">
        <f aca="false">IF(E369="","",E369*N(F369)*IF(G369="",1,G369))</f>
        <v/>
      </c>
      <c r="I369" s="55" t="str">
        <f aca="false">IF(C369="","",IFERROR(INDEX('DANH MỤC'!$B$5:$B$200,MATCH(C369,'DANH MỤC'!$A$5:$A$200,0)),"⚠ Mã chưa có trong DANH MỤC"))</f>
        <v/>
      </c>
      <c r="J369" s="52"/>
      <c r="K369" s="52"/>
      <c r="L369" s="52"/>
    </row>
    <row r="370" customFormat="false" ht="15" hidden="false" customHeight="false" outlineLevel="0" collapsed="false">
      <c r="A370" s="50"/>
      <c r="B370" s="51" t="str">
        <f aca="false">IF(A370="","",MONTH(A370))</f>
        <v/>
      </c>
      <c r="C370" s="52"/>
      <c r="D370" s="52"/>
      <c r="E370" s="52"/>
      <c r="F370" s="53"/>
      <c r="G370" s="52"/>
      <c r="H370" s="54" t="str">
        <f aca="false">IF(E370="","",E370*N(F370)*IF(G370="",1,G370))</f>
        <v/>
      </c>
      <c r="I370" s="55" t="str">
        <f aca="false">IF(C370="","",IFERROR(INDEX('DANH MỤC'!$B$5:$B$200,MATCH(C370,'DANH MỤC'!$A$5:$A$200,0)),"⚠ Mã chưa có trong DANH MỤC"))</f>
        <v/>
      </c>
      <c r="J370" s="52"/>
      <c r="K370" s="52"/>
      <c r="L370" s="52"/>
    </row>
    <row r="371" customFormat="false" ht="15" hidden="false" customHeight="false" outlineLevel="0" collapsed="false">
      <c r="A371" s="50"/>
      <c r="B371" s="51" t="str">
        <f aca="false">IF(A371="","",MONTH(A371))</f>
        <v/>
      </c>
      <c r="C371" s="52"/>
      <c r="D371" s="52"/>
      <c r="E371" s="52"/>
      <c r="F371" s="53"/>
      <c r="G371" s="52"/>
      <c r="H371" s="54" t="str">
        <f aca="false">IF(E371="","",E371*N(F371)*IF(G371="",1,G371))</f>
        <v/>
      </c>
      <c r="I371" s="55" t="str">
        <f aca="false">IF(C371="","",IFERROR(INDEX('DANH MỤC'!$B$5:$B$200,MATCH(C371,'DANH MỤC'!$A$5:$A$200,0)),"⚠ Mã chưa có trong DANH MỤC"))</f>
        <v/>
      </c>
      <c r="J371" s="52"/>
      <c r="K371" s="52"/>
      <c r="L371" s="52"/>
    </row>
    <row r="372" customFormat="false" ht="15" hidden="false" customHeight="false" outlineLevel="0" collapsed="false">
      <c r="A372" s="50"/>
      <c r="B372" s="51" t="str">
        <f aca="false">IF(A372="","",MONTH(A372))</f>
        <v/>
      </c>
      <c r="C372" s="52"/>
      <c r="D372" s="52"/>
      <c r="E372" s="52"/>
      <c r="F372" s="53"/>
      <c r="G372" s="52"/>
      <c r="H372" s="54" t="str">
        <f aca="false">IF(E372="","",E372*N(F372)*IF(G372="",1,G372))</f>
        <v/>
      </c>
      <c r="I372" s="55" t="str">
        <f aca="false">IF(C372="","",IFERROR(INDEX('DANH MỤC'!$B$5:$B$200,MATCH(C372,'DANH MỤC'!$A$5:$A$200,0)),"⚠ Mã chưa có trong DANH MỤC"))</f>
        <v/>
      </c>
      <c r="J372" s="52"/>
      <c r="K372" s="52"/>
      <c r="L372" s="52"/>
    </row>
    <row r="373" customFormat="false" ht="15" hidden="false" customHeight="false" outlineLevel="0" collapsed="false">
      <c r="A373" s="50"/>
      <c r="B373" s="51" t="str">
        <f aca="false">IF(A373="","",MONTH(A373))</f>
        <v/>
      </c>
      <c r="C373" s="52"/>
      <c r="D373" s="52"/>
      <c r="E373" s="52"/>
      <c r="F373" s="53"/>
      <c r="G373" s="52"/>
      <c r="H373" s="54" t="str">
        <f aca="false">IF(E373="","",E373*N(F373)*IF(G373="",1,G373))</f>
        <v/>
      </c>
      <c r="I373" s="55" t="str">
        <f aca="false">IF(C373="","",IFERROR(INDEX('DANH MỤC'!$B$5:$B$200,MATCH(C373,'DANH MỤC'!$A$5:$A$200,0)),"⚠ Mã chưa có trong DANH MỤC"))</f>
        <v/>
      </c>
      <c r="J373" s="52"/>
      <c r="K373" s="52"/>
      <c r="L373" s="52"/>
    </row>
    <row r="374" customFormat="false" ht="15" hidden="false" customHeight="false" outlineLevel="0" collapsed="false">
      <c r="A374" s="50"/>
      <c r="B374" s="51" t="str">
        <f aca="false">IF(A374="","",MONTH(A374))</f>
        <v/>
      </c>
      <c r="C374" s="52"/>
      <c r="D374" s="52"/>
      <c r="E374" s="52"/>
      <c r="F374" s="53"/>
      <c r="G374" s="52"/>
      <c r="H374" s="54" t="str">
        <f aca="false">IF(E374="","",E374*N(F374)*IF(G374="",1,G374))</f>
        <v/>
      </c>
      <c r="I374" s="55" t="str">
        <f aca="false">IF(C374="","",IFERROR(INDEX('DANH MỤC'!$B$5:$B$200,MATCH(C374,'DANH MỤC'!$A$5:$A$200,0)),"⚠ Mã chưa có trong DANH MỤC"))</f>
        <v/>
      </c>
      <c r="J374" s="52"/>
      <c r="K374" s="52"/>
      <c r="L374" s="52"/>
    </row>
    <row r="375" customFormat="false" ht="15" hidden="false" customHeight="false" outlineLevel="0" collapsed="false">
      <c r="A375" s="50"/>
      <c r="B375" s="51" t="str">
        <f aca="false">IF(A375="","",MONTH(A375))</f>
        <v/>
      </c>
      <c r="C375" s="52"/>
      <c r="D375" s="52"/>
      <c r="E375" s="52"/>
      <c r="F375" s="53"/>
      <c r="G375" s="52"/>
      <c r="H375" s="54" t="str">
        <f aca="false">IF(E375="","",E375*N(F375)*IF(G375="",1,G375))</f>
        <v/>
      </c>
      <c r="I375" s="55" t="str">
        <f aca="false">IF(C375="","",IFERROR(INDEX('DANH MỤC'!$B$5:$B$200,MATCH(C375,'DANH MỤC'!$A$5:$A$200,0)),"⚠ Mã chưa có trong DANH MỤC"))</f>
        <v/>
      </c>
      <c r="J375" s="52"/>
      <c r="K375" s="52"/>
      <c r="L375" s="52"/>
    </row>
    <row r="376" customFormat="false" ht="15" hidden="false" customHeight="false" outlineLevel="0" collapsed="false">
      <c r="A376" s="50"/>
      <c r="B376" s="51" t="str">
        <f aca="false">IF(A376="","",MONTH(A376))</f>
        <v/>
      </c>
      <c r="C376" s="52"/>
      <c r="D376" s="52"/>
      <c r="E376" s="52"/>
      <c r="F376" s="53"/>
      <c r="G376" s="52"/>
      <c r="H376" s="54" t="str">
        <f aca="false">IF(E376="","",E376*N(F376)*IF(G376="",1,G376))</f>
        <v/>
      </c>
      <c r="I376" s="55" t="str">
        <f aca="false">IF(C376="","",IFERROR(INDEX('DANH MỤC'!$B$5:$B$200,MATCH(C376,'DANH MỤC'!$A$5:$A$200,0)),"⚠ Mã chưa có trong DANH MỤC"))</f>
        <v/>
      </c>
      <c r="J376" s="52"/>
      <c r="K376" s="52"/>
      <c r="L376" s="52"/>
    </row>
    <row r="377" customFormat="false" ht="15" hidden="false" customHeight="false" outlineLevel="0" collapsed="false">
      <c r="A377" s="50"/>
      <c r="B377" s="51" t="str">
        <f aca="false">IF(A377="","",MONTH(A377))</f>
        <v/>
      </c>
      <c r="C377" s="52"/>
      <c r="D377" s="52"/>
      <c r="E377" s="52"/>
      <c r="F377" s="53"/>
      <c r="G377" s="52"/>
      <c r="H377" s="54" t="str">
        <f aca="false">IF(E377="","",E377*N(F377)*IF(G377="",1,G377))</f>
        <v/>
      </c>
      <c r="I377" s="55" t="str">
        <f aca="false">IF(C377="","",IFERROR(INDEX('DANH MỤC'!$B$5:$B$200,MATCH(C377,'DANH MỤC'!$A$5:$A$200,0)),"⚠ Mã chưa có trong DANH MỤC"))</f>
        <v/>
      </c>
      <c r="J377" s="52"/>
      <c r="K377" s="52"/>
      <c r="L377" s="52"/>
    </row>
    <row r="378" customFormat="false" ht="15" hidden="false" customHeight="false" outlineLevel="0" collapsed="false">
      <c r="A378" s="50"/>
      <c r="B378" s="51" t="str">
        <f aca="false">IF(A378="","",MONTH(A378))</f>
        <v/>
      </c>
      <c r="C378" s="52"/>
      <c r="D378" s="52"/>
      <c r="E378" s="52"/>
      <c r="F378" s="53"/>
      <c r="G378" s="52"/>
      <c r="H378" s="54" t="str">
        <f aca="false">IF(E378="","",E378*N(F378)*IF(G378="",1,G378))</f>
        <v/>
      </c>
      <c r="I378" s="55" t="str">
        <f aca="false">IF(C378="","",IFERROR(INDEX('DANH MỤC'!$B$5:$B$200,MATCH(C378,'DANH MỤC'!$A$5:$A$200,0)),"⚠ Mã chưa có trong DANH MỤC"))</f>
        <v/>
      </c>
      <c r="J378" s="52"/>
      <c r="K378" s="52"/>
      <c r="L378" s="52"/>
    </row>
    <row r="379" customFormat="false" ht="15" hidden="false" customHeight="false" outlineLevel="0" collapsed="false">
      <c r="A379" s="50"/>
      <c r="B379" s="51" t="str">
        <f aca="false">IF(A379="","",MONTH(A379))</f>
        <v/>
      </c>
      <c r="C379" s="52"/>
      <c r="D379" s="52"/>
      <c r="E379" s="52"/>
      <c r="F379" s="53"/>
      <c r="G379" s="52"/>
      <c r="H379" s="54" t="str">
        <f aca="false">IF(E379="","",E379*N(F379)*IF(G379="",1,G379))</f>
        <v/>
      </c>
      <c r="I379" s="55" t="str">
        <f aca="false">IF(C379="","",IFERROR(INDEX('DANH MỤC'!$B$5:$B$200,MATCH(C379,'DANH MỤC'!$A$5:$A$200,0)),"⚠ Mã chưa có trong DANH MỤC"))</f>
        <v/>
      </c>
      <c r="J379" s="52"/>
      <c r="K379" s="52"/>
      <c r="L379" s="52"/>
    </row>
    <row r="380" customFormat="false" ht="15" hidden="false" customHeight="false" outlineLevel="0" collapsed="false">
      <c r="A380" s="50"/>
      <c r="B380" s="51" t="str">
        <f aca="false">IF(A380="","",MONTH(A380))</f>
        <v/>
      </c>
      <c r="C380" s="52"/>
      <c r="D380" s="52"/>
      <c r="E380" s="52"/>
      <c r="F380" s="53"/>
      <c r="G380" s="52"/>
      <c r="H380" s="54" t="str">
        <f aca="false">IF(E380="","",E380*N(F380)*IF(G380="",1,G380))</f>
        <v/>
      </c>
      <c r="I380" s="55" t="str">
        <f aca="false">IF(C380="","",IFERROR(INDEX('DANH MỤC'!$B$5:$B$200,MATCH(C380,'DANH MỤC'!$A$5:$A$200,0)),"⚠ Mã chưa có trong DANH MỤC"))</f>
        <v/>
      </c>
      <c r="J380" s="52"/>
      <c r="K380" s="52"/>
      <c r="L380" s="52"/>
    </row>
    <row r="381" customFormat="false" ht="15" hidden="false" customHeight="false" outlineLevel="0" collapsed="false">
      <c r="A381" s="50"/>
      <c r="B381" s="51" t="str">
        <f aca="false">IF(A381="","",MONTH(A381))</f>
        <v/>
      </c>
      <c r="C381" s="52"/>
      <c r="D381" s="52"/>
      <c r="E381" s="52"/>
      <c r="F381" s="53"/>
      <c r="G381" s="52"/>
      <c r="H381" s="54" t="str">
        <f aca="false">IF(E381="","",E381*N(F381)*IF(G381="",1,G381))</f>
        <v/>
      </c>
      <c r="I381" s="55" t="str">
        <f aca="false">IF(C381="","",IFERROR(INDEX('DANH MỤC'!$B$5:$B$200,MATCH(C381,'DANH MỤC'!$A$5:$A$200,0)),"⚠ Mã chưa có trong DANH MỤC"))</f>
        <v/>
      </c>
      <c r="J381" s="52"/>
      <c r="K381" s="52"/>
      <c r="L381" s="52"/>
    </row>
    <row r="382" customFormat="false" ht="15" hidden="false" customHeight="false" outlineLevel="0" collapsed="false">
      <c r="A382" s="50"/>
      <c r="B382" s="51" t="str">
        <f aca="false">IF(A382="","",MONTH(A382))</f>
        <v/>
      </c>
      <c r="C382" s="52"/>
      <c r="D382" s="52"/>
      <c r="E382" s="52"/>
      <c r="F382" s="53"/>
      <c r="G382" s="52"/>
      <c r="H382" s="54" t="str">
        <f aca="false">IF(E382="","",E382*N(F382)*IF(G382="",1,G382))</f>
        <v/>
      </c>
      <c r="I382" s="55" t="str">
        <f aca="false">IF(C382="","",IFERROR(INDEX('DANH MỤC'!$B$5:$B$200,MATCH(C382,'DANH MỤC'!$A$5:$A$200,0)),"⚠ Mã chưa có trong DANH MỤC"))</f>
        <v/>
      </c>
      <c r="J382" s="52"/>
      <c r="K382" s="52"/>
      <c r="L382" s="52"/>
    </row>
    <row r="383" customFormat="false" ht="15" hidden="false" customHeight="false" outlineLevel="0" collapsed="false">
      <c r="A383" s="50"/>
      <c r="B383" s="51" t="str">
        <f aca="false">IF(A383="","",MONTH(A383))</f>
        <v/>
      </c>
      <c r="C383" s="52"/>
      <c r="D383" s="52"/>
      <c r="E383" s="52"/>
      <c r="F383" s="53"/>
      <c r="G383" s="52"/>
      <c r="H383" s="54" t="str">
        <f aca="false">IF(E383="","",E383*N(F383)*IF(G383="",1,G383))</f>
        <v/>
      </c>
      <c r="I383" s="55" t="str">
        <f aca="false">IF(C383="","",IFERROR(INDEX('DANH MỤC'!$B$5:$B$200,MATCH(C383,'DANH MỤC'!$A$5:$A$200,0)),"⚠ Mã chưa có trong DANH MỤC"))</f>
        <v/>
      </c>
      <c r="J383" s="52"/>
      <c r="K383" s="52"/>
      <c r="L383" s="52"/>
    </row>
    <row r="384" customFormat="false" ht="15" hidden="false" customHeight="false" outlineLevel="0" collapsed="false">
      <c r="A384" s="50"/>
      <c r="B384" s="51" t="str">
        <f aca="false">IF(A384="","",MONTH(A384))</f>
        <v/>
      </c>
      <c r="C384" s="52"/>
      <c r="D384" s="52"/>
      <c r="E384" s="52"/>
      <c r="F384" s="53"/>
      <c r="G384" s="52"/>
      <c r="H384" s="54" t="str">
        <f aca="false">IF(E384="","",E384*N(F384)*IF(G384="",1,G384))</f>
        <v/>
      </c>
      <c r="I384" s="55" t="str">
        <f aca="false">IF(C384="","",IFERROR(INDEX('DANH MỤC'!$B$5:$B$200,MATCH(C384,'DANH MỤC'!$A$5:$A$200,0)),"⚠ Mã chưa có trong DANH MỤC"))</f>
        <v/>
      </c>
      <c r="J384" s="52"/>
      <c r="K384" s="52"/>
      <c r="L384" s="52"/>
    </row>
    <row r="385" customFormat="false" ht="15" hidden="false" customHeight="false" outlineLevel="0" collapsed="false">
      <c r="A385" s="50"/>
      <c r="B385" s="51" t="str">
        <f aca="false">IF(A385="","",MONTH(A385))</f>
        <v/>
      </c>
      <c r="C385" s="52"/>
      <c r="D385" s="52"/>
      <c r="E385" s="52"/>
      <c r="F385" s="53"/>
      <c r="G385" s="52"/>
      <c r="H385" s="54" t="str">
        <f aca="false">IF(E385="","",E385*N(F385)*IF(G385="",1,G385))</f>
        <v/>
      </c>
      <c r="I385" s="55" t="str">
        <f aca="false">IF(C385="","",IFERROR(INDEX('DANH MỤC'!$B$5:$B$200,MATCH(C385,'DANH MỤC'!$A$5:$A$200,0)),"⚠ Mã chưa có trong DANH MỤC"))</f>
        <v/>
      </c>
      <c r="J385" s="52"/>
      <c r="K385" s="52"/>
      <c r="L385" s="52"/>
    </row>
    <row r="386" customFormat="false" ht="15" hidden="false" customHeight="false" outlineLevel="0" collapsed="false">
      <c r="A386" s="50"/>
      <c r="B386" s="51" t="str">
        <f aca="false">IF(A386="","",MONTH(A386))</f>
        <v/>
      </c>
      <c r="C386" s="52"/>
      <c r="D386" s="52"/>
      <c r="E386" s="52"/>
      <c r="F386" s="53"/>
      <c r="G386" s="52"/>
      <c r="H386" s="54" t="str">
        <f aca="false">IF(E386="","",E386*N(F386)*IF(G386="",1,G386))</f>
        <v/>
      </c>
      <c r="I386" s="55" t="str">
        <f aca="false">IF(C386="","",IFERROR(INDEX('DANH MỤC'!$B$5:$B$200,MATCH(C386,'DANH MỤC'!$A$5:$A$200,0)),"⚠ Mã chưa có trong DANH MỤC"))</f>
        <v/>
      </c>
      <c r="J386" s="52"/>
      <c r="K386" s="52"/>
      <c r="L386" s="52"/>
    </row>
    <row r="387" customFormat="false" ht="15" hidden="false" customHeight="false" outlineLevel="0" collapsed="false">
      <c r="A387" s="50"/>
      <c r="B387" s="51" t="str">
        <f aca="false">IF(A387="","",MONTH(A387))</f>
        <v/>
      </c>
      <c r="C387" s="52"/>
      <c r="D387" s="52"/>
      <c r="E387" s="52"/>
      <c r="F387" s="53"/>
      <c r="G387" s="52"/>
      <c r="H387" s="54" t="str">
        <f aca="false">IF(E387="","",E387*N(F387)*IF(G387="",1,G387))</f>
        <v/>
      </c>
      <c r="I387" s="55" t="str">
        <f aca="false">IF(C387="","",IFERROR(INDEX('DANH MỤC'!$B$5:$B$200,MATCH(C387,'DANH MỤC'!$A$5:$A$200,0)),"⚠ Mã chưa có trong DANH MỤC"))</f>
        <v/>
      </c>
      <c r="J387" s="52"/>
      <c r="K387" s="52"/>
      <c r="L387" s="52"/>
    </row>
    <row r="388" customFormat="false" ht="15" hidden="false" customHeight="false" outlineLevel="0" collapsed="false">
      <c r="A388" s="50"/>
      <c r="B388" s="51" t="str">
        <f aca="false">IF(A388="","",MONTH(A388))</f>
        <v/>
      </c>
      <c r="C388" s="52"/>
      <c r="D388" s="52"/>
      <c r="E388" s="52"/>
      <c r="F388" s="53"/>
      <c r="G388" s="52"/>
      <c r="H388" s="54" t="str">
        <f aca="false">IF(E388="","",E388*N(F388)*IF(G388="",1,G388))</f>
        <v/>
      </c>
      <c r="I388" s="55" t="str">
        <f aca="false">IF(C388="","",IFERROR(INDEX('DANH MỤC'!$B$5:$B$200,MATCH(C388,'DANH MỤC'!$A$5:$A$200,0)),"⚠ Mã chưa có trong DANH MỤC"))</f>
        <v/>
      </c>
      <c r="J388" s="52"/>
      <c r="K388" s="52"/>
      <c r="L388" s="52"/>
    </row>
    <row r="389" customFormat="false" ht="15" hidden="false" customHeight="false" outlineLevel="0" collapsed="false">
      <c r="A389" s="50"/>
      <c r="B389" s="51" t="str">
        <f aca="false">IF(A389="","",MONTH(A389))</f>
        <v/>
      </c>
      <c r="C389" s="52"/>
      <c r="D389" s="52"/>
      <c r="E389" s="52"/>
      <c r="F389" s="53"/>
      <c r="G389" s="52"/>
      <c r="H389" s="54" t="str">
        <f aca="false">IF(E389="","",E389*N(F389)*IF(G389="",1,G389))</f>
        <v/>
      </c>
      <c r="I389" s="55" t="str">
        <f aca="false">IF(C389="","",IFERROR(INDEX('DANH MỤC'!$B$5:$B$200,MATCH(C389,'DANH MỤC'!$A$5:$A$200,0)),"⚠ Mã chưa có trong DANH MỤC"))</f>
        <v/>
      </c>
      <c r="J389" s="52"/>
      <c r="K389" s="52"/>
      <c r="L389" s="52"/>
    </row>
    <row r="390" customFormat="false" ht="15" hidden="false" customHeight="false" outlineLevel="0" collapsed="false">
      <c r="A390" s="50"/>
      <c r="B390" s="51" t="str">
        <f aca="false">IF(A390="","",MONTH(A390))</f>
        <v/>
      </c>
      <c r="C390" s="52"/>
      <c r="D390" s="52"/>
      <c r="E390" s="52"/>
      <c r="F390" s="53"/>
      <c r="G390" s="52"/>
      <c r="H390" s="54" t="str">
        <f aca="false">IF(E390="","",E390*N(F390)*IF(G390="",1,G390))</f>
        <v/>
      </c>
      <c r="I390" s="55" t="str">
        <f aca="false">IF(C390="","",IFERROR(INDEX('DANH MỤC'!$B$5:$B$200,MATCH(C390,'DANH MỤC'!$A$5:$A$200,0)),"⚠ Mã chưa có trong DANH MỤC"))</f>
        <v/>
      </c>
      <c r="J390" s="52"/>
      <c r="K390" s="52"/>
      <c r="L390" s="52"/>
    </row>
    <row r="391" customFormat="false" ht="15" hidden="false" customHeight="false" outlineLevel="0" collapsed="false">
      <c r="A391" s="50"/>
      <c r="B391" s="51" t="str">
        <f aca="false">IF(A391="","",MONTH(A391))</f>
        <v/>
      </c>
      <c r="C391" s="52"/>
      <c r="D391" s="52"/>
      <c r="E391" s="52"/>
      <c r="F391" s="53"/>
      <c r="G391" s="52"/>
      <c r="H391" s="54" t="str">
        <f aca="false">IF(E391="","",E391*N(F391)*IF(G391="",1,G391))</f>
        <v/>
      </c>
      <c r="I391" s="55" t="str">
        <f aca="false">IF(C391="","",IFERROR(INDEX('DANH MỤC'!$B$5:$B$200,MATCH(C391,'DANH MỤC'!$A$5:$A$200,0)),"⚠ Mã chưa có trong DANH MỤC"))</f>
        <v/>
      </c>
      <c r="J391" s="52"/>
      <c r="K391" s="52"/>
      <c r="L391" s="52"/>
    </row>
    <row r="392" customFormat="false" ht="15" hidden="false" customHeight="false" outlineLevel="0" collapsed="false">
      <c r="A392" s="50"/>
      <c r="B392" s="51" t="str">
        <f aca="false">IF(A392="","",MONTH(A392))</f>
        <v/>
      </c>
      <c r="C392" s="52"/>
      <c r="D392" s="52"/>
      <c r="E392" s="52"/>
      <c r="F392" s="53"/>
      <c r="G392" s="52"/>
      <c r="H392" s="54" t="str">
        <f aca="false">IF(E392="","",E392*N(F392)*IF(G392="",1,G392))</f>
        <v/>
      </c>
      <c r="I392" s="55" t="str">
        <f aca="false">IF(C392="","",IFERROR(INDEX('DANH MỤC'!$B$5:$B$200,MATCH(C392,'DANH MỤC'!$A$5:$A$200,0)),"⚠ Mã chưa có trong DANH MỤC"))</f>
        <v/>
      </c>
      <c r="J392" s="52"/>
      <c r="K392" s="52"/>
      <c r="L392" s="52"/>
    </row>
    <row r="393" customFormat="false" ht="15" hidden="false" customHeight="false" outlineLevel="0" collapsed="false">
      <c r="A393" s="50"/>
      <c r="B393" s="51" t="str">
        <f aca="false">IF(A393="","",MONTH(A393))</f>
        <v/>
      </c>
      <c r="C393" s="52"/>
      <c r="D393" s="52"/>
      <c r="E393" s="52"/>
      <c r="F393" s="53"/>
      <c r="G393" s="52"/>
      <c r="H393" s="54" t="str">
        <f aca="false">IF(E393="","",E393*N(F393)*IF(G393="",1,G393))</f>
        <v/>
      </c>
      <c r="I393" s="55" t="str">
        <f aca="false">IF(C393="","",IFERROR(INDEX('DANH MỤC'!$B$5:$B$200,MATCH(C393,'DANH MỤC'!$A$5:$A$200,0)),"⚠ Mã chưa có trong DANH MỤC"))</f>
        <v/>
      </c>
      <c r="J393" s="52"/>
      <c r="K393" s="52"/>
      <c r="L393" s="52"/>
    </row>
    <row r="394" customFormat="false" ht="15" hidden="false" customHeight="false" outlineLevel="0" collapsed="false">
      <c r="A394" s="50"/>
      <c r="B394" s="51" t="str">
        <f aca="false">IF(A394="","",MONTH(A394))</f>
        <v/>
      </c>
      <c r="C394" s="52"/>
      <c r="D394" s="52"/>
      <c r="E394" s="52"/>
      <c r="F394" s="53"/>
      <c r="G394" s="52"/>
      <c r="H394" s="54" t="str">
        <f aca="false">IF(E394="","",E394*N(F394)*IF(G394="",1,G394))</f>
        <v/>
      </c>
      <c r="I394" s="55" t="str">
        <f aca="false">IF(C394="","",IFERROR(INDEX('DANH MỤC'!$B$5:$B$200,MATCH(C394,'DANH MỤC'!$A$5:$A$200,0)),"⚠ Mã chưa có trong DANH MỤC"))</f>
        <v/>
      </c>
      <c r="J394" s="52"/>
      <c r="K394" s="52"/>
      <c r="L394" s="52"/>
    </row>
    <row r="395" customFormat="false" ht="15" hidden="false" customHeight="false" outlineLevel="0" collapsed="false">
      <c r="A395" s="50"/>
      <c r="B395" s="51" t="str">
        <f aca="false">IF(A395="","",MONTH(A395))</f>
        <v/>
      </c>
      <c r="C395" s="52"/>
      <c r="D395" s="52"/>
      <c r="E395" s="52"/>
      <c r="F395" s="53"/>
      <c r="G395" s="52"/>
      <c r="H395" s="54" t="str">
        <f aca="false">IF(E395="","",E395*N(F395)*IF(G395="",1,G395))</f>
        <v/>
      </c>
      <c r="I395" s="55" t="str">
        <f aca="false">IF(C395="","",IFERROR(INDEX('DANH MỤC'!$B$5:$B$200,MATCH(C395,'DANH MỤC'!$A$5:$A$200,0)),"⚠ Mã chưa có trong DANH MỤC"))</f>
        <v/>
      </c>
      <c r="J395" s="52"/>
      <c r="K395" s="52"/>
      <c r="L395" s="52"/>
    </row>
    <row r="396" customFormat="false" ht="15" hidden="false" customHeight="false" outlineLevel="0" collapsed="false">
      <c r="A396" s="50"/>
      <c r="B396" s="51" t="str">
        <f aca="false">IF(A396="","",MONTH(A396))</f>
        <v/>
      </c>
      <c r="C396" s="52"/>
      <c r="D396" s="52"/>
      <c r="E396" s="52"/>
      <c r="F396" s="53"/>
      <c r="G396" s="52"/>
      <c r="H396" s="54" t="str">
        <f aca="false">IF(E396="","",E396*N(F396)*IF(G396="",1,G396))</f>
        <v/>
      </c>
      <c r="I396" s="55" t="str">
        <f aca="false">IF(C396="","",IFERROR(INDEX('DANH MỤC'!$B$5:$B$200,MATCH(C396,'DANH MỤC'!$A$5:$A$200,0)),"⚠ Mã chưa có trong DANH MỤC"))</f>
        <v/>
      </c>
      <c r="J396" s="52"/>
      <c r="K396" s="52"/>
      <c r="L396" s="52"/>
    </row>
    <row r="397" customFormat="false" ht="15" hidden="false" customHeight="false" outlineLevel="0" collapsed="false">
      <c r="A397" s="50"/>
      <c r="B397" s="51" t="str">
        <f aca="false">IF(A397="","",MONTH(A397))</f>
        <v/>
      </c>
      <c r="C397" s="52"/>
      <c r="D397" s="52"/>
      <c r="E397" s="52"/>
      <c r="F397" s="53"/>
      <c r="G397" s="52"/>
      <c r="H397" s="54" t="str">
        <f aca="false">IF(E397="","",E397*N(F397)*IF(G397="",1,G397))</f>
        <v/>
      </c>
      <c r="I397" s="55" t="str">
        <f aca="false">IF(C397="","",IFERROR(INDEX('DANH MỤC'!$B$5:$B$200,MATCH(C397,'DANH MỤC'!$A$5:$A$200,0)),"⚠ Mã chưa có trong DANH MỤC"))</f>
        <v/>
      </c>
      <c r="J397" s="52"/>
      <c r="K397" s="52"/>
      <c r="L397" s="52"/>
    </row>
    <row r="398" customFormat="false" ht="15" hidden="false" customHeight="false" outlineLevel="0" collapsed="false">
      <c r="A398" s="50"/>
      <c r="B398" s="51" t="str">
        <f aca="false">IF(A398="","",MONTH(A398))</f>
        <v/>
      </c>
      <c r="C398" s="52"/>
      <c r="D398" s="52"/>
      <c r="E398" s="52"/>
      <c r="F398" s="53"/>
      <c r="G398" s="52"/>
      <c r="H398" s="54" t="str">
        <f aca="false">IF(E398="","",E398*N(F398)*IF(G398="",1,G398))</f>
        <v/>
      </c>
      <c r="I398" s="55" t="str">
        <f aca="false">IF(C398="","",IFERROR(INDEX('DANH MỤC'!$B$5:$B$200,MATCH(C398,'DANH MỤC'!$A$5:$A$200,0)),"⚠ Mã chưa có trong DANH MỤC"))</f>
        <v/>
      </c>
      <c r="J398" s="52"/>
      <c r="K398" s="52"/>
      <c r="L398" s="52"/>
    </row>
    <row r="399" customFormat="false" ht="15" hidden="false" customHeight="false" outlineLevel="0" collapsed="false">
      <c r="A399" s="50"/>
      <c r="B399" s="51" t="str">
        <f aca="false">IF(A399="","",MONTH(A399))</f>
        <v/>
      </c>
      <c r="C399" s="52"/>
      <c r="D399" s="52"/>
      <c r="E399" s="52"/>
      <c r="F399" s="53"/>
      <c r="G399" s="52"/>
      <c r="H399" s="54" t="str">
        <f aca="false">IF(E399="","",E399*N(F399)*IF(G399="",1,G399))</f>
        <v/>
      </c>
      <c r="I399" s="55" t="str">
        <f aca="false">IF(C399="","",IFERROR(INDEX('DANH MỤC'!$B$5:$B$200,MATCH(C399,'DANH MỤC'!$A$5:$A$200,0)),"⚠ Mã chưa có trong DANH MỤC"))</f>
        <v/>
      </c>
      <c r="J399" s="52"/>
      <c r="K399" s="52"/>
      <c r="L399" s="52"/>
    </row>
    <row r="400" customFormat="false" ht="15" hidden="false" customHeight="false" outlineLevel="0" collapsed="false">
      <c r="A400" s="50"/>
      <c r="B400" s="51" t="str">
        <f aca="false">IF(A400="","",MONTH(A400))</f>
        <v/>
      </c>
      <c r="C400" s="52"/>
      <c r="D400" s="52"/>
      <c r="E400" s="52"/>
      <c r="F400" s="53"/>
      <c r="G400" s="52"/>
      <c r="H400" s="54" t="str">
        <f aca="false">IF(E400="","",E400*N(F400)*IF(G400="",1,G400))</f>
        <v/>
      </c>
      <c r="I400" s="55" t="str">
        <f aca="false">IF(C400="","",IFERROR(INDEX('DANH MỤC'!$B$5:$B$200,MATCH(C400,'DANH MỤC'!$A$5:$A$200,0)),"⚠ Mã chưa có trong DANH MỤC"))</f>
        <v/>
      </c>
      <c r="J400" s="52"/>
      <c r="K400" s="52"/>
      <c r="L400" s="52"/>
    </row>
    <row r="401" customFormat="false" ht="15" hidden="false" customHeight="false" outlineLevel="0" collapsed="false">
      <c r="A401" s="50"/>
      <c r="B401" s="51" t="str">
        <f aca="false">IF(A401="","",MONTH(A401))</f>
        <v/>
      </c>
      <c r="C401" s="52"/>
      <c r="D401" s="52"/>
      <c r="E401" s="52"/>
      <c r="F401" s="53"/>
      <c r="G401" s="52"/>
      <c r="H401" s="54" t="str">
        <f aca="false">IF(E401="","",E401*N(F401)*IF(G401="",1,G401))</f>
        <v/>
      </c>
      <c r="I401" s="55" t="str">
        <f aca="false">IF(C401="","",IFERROR(INDEX('DANH MỤC'!$B$5:$B$200,MATCH(C401,'DANH MỤC'!$A$5:$A$200,0)),"⚠ Mã chưa có trong DANH MỤC"))</f>
        <v/>
      </c>
      <c r="J401" s="52"/>
      <c r="K401" s="52"/>
      <c r="L401" s="52"/>
    </row>
    <row r="402" customFormat="false" ht="15" hidden="false" customHeight="false" outlineLevel="0" collapsed="false">
      <c r="A402" s="50"/>
      <c r="B402" s="51" t="str">
        <f aca="false">IF(A402="","",MONTH(A402))</f>
        <v/>
      </c>
      <c r="C402" s="52"/>
      <c r="D402" s="52"/>
      <c r="E402" s="52"/>
      <c r="F402" s="53"/>
      <c r="G402" s="52"/>
      <c r="H402" s="54" t="str">
        <f aca="false">IF(E402="","",E402*N(F402)*IF(G402="",1,G402))</f>
        <v/>
      </c>
      <c r="I402" s="55" t="str">
        <f aca="false">IF(C402="","",IFERROR(INDEX('DANH MỤC'!$B$5:$B$200,MATCH(C402,'DANH MỤC'!$A$5:$A$200,0)),"⚠ Mã chưa có trong DANH MỤC"))</f>
        <v/>
      </c>
      <c r="J402" s="52"/>
      <c r="K402" s="52"/>
      <c r="L402" s="52"/>
    </row>
    <row r="403" customFormat="false" ht="15" hidden="false" customHeight="false" outlineLevel="0" collapsed="false">
      <c r="A403" s="50"/>
      <c r="B403" s="51" t="str">
        <f aca="false">IF(A403="","",MONTH(A403))</f>
        <v/>
      </c>
      <c r="C403" s="52"/>
      <c r="D403" s="52"/>
      <c r="E403" s="52"/>
      <c r="F403" s="53"/>
      <c r="G403" s="52"/>
      <c r="H403" s="54" t="str">
        <f aca="false">IF(E403="","",E403*N(F403)*IF(G403="",1,G403))</f>
        <v/>
      </c>
      <c r="I403" s="55" t="str">
        <f aca="false">IF(C403="","",IFERROR(INDEX('DANH MỤC'!$B$5:$B$200,MATCH(C403,'DANH MỤC'!$A$5:$A$200,0)),"⚠ Mã chưa có trong DANH MỤC"))</f>
        <v/>
      </c>
      <c r="J403" s="52"/>
      <c r="K403" s="52"/>
      <c r="L403" s="52"/>
    </row>
    <row r="404" customFormat="false" ht="15" hidden="false" customHeight="false" outlineLevel="0" collapsed="false">
      <c r="A404" s="50"/>
      <c r="B404" s="51" t="str">
        <f aca="false">IF(A404="","",MONTH(A404))</f>
        <v/>
      </c>
      <c r="C404" s="52"/>
      <c r="D404" s="52"/>
      <c r="E404" s="52"/>
      <c r="F404" s="53"/>
      <c r="G404" s="52"/>
      <c r="H404" s="54" t="str">
        <f aca="false">IF(E404="","",E404*N(F404)*IF(G404="",1,G404))</f>
        <v/>
      </c>
      <c r="I404" s="55" t="str">
        <f aca="false">IF(C404="","",IFERROR(INDEX('DANH MỤC'!$B$5:$B$200,MATCH(C404,'DANH MỤC'!$A$5:$A$200,0)),"⚠ Mã chưa có trong DANH MỤC"))</f>
        <v/>
      </c>
      <c r="J404" s="52"/>
      <c r="K404" s="52"/>
      <c r="L404" s="52"/>
    </row>
    <row r="405" customFormat="false" ht="15" hidden="false" customHeight="false" outlineLevel="0" collapsed="false">
      <c r="A405" s="50"/>
      <c r="B405" s="51" t="str">
        <f aca="false">IF(A405="","",MONTH(A405))</f>
        <v/>
      </c>
      <c r="C405" s="52"/>
      <c r="D405" s="52"/>
      <c r="E405" s="52"/>
      <c r="F405" s="53"/>
      <c r="G405" s="52"/>
      <c r="H405" s="54" t="str">
        <f aca="false">IF(E405="","",E405*N(F405)*IF(G405="",1,G405))</f>
        <v/>
      </c>
      <c r="I405" s="55" t="str">
        <f aca="false">IF(C405="","",IFERROR(INDEX('DANH MỤC'!$B$5:$B$200,MATCH(C405,'DANH MỤC'!$A$5:$A$200,0)),"⚠ Mã chưa có trong DANH MỤC"))</f>
        <v/>
      </c>
      <c r="J405" s="52"/>
      <c r="K405" s="52"/>
      <c r="L405" s="52"/>
    </row>
    <row r="406" customFormat="false" ht="15" hidden="false" customHeight="false" outlineLevel="0" collapsed="false">
      <c r="A406" s="50"/>
      <c r="B406" s="51" t="str">
        <f aca="false">IF(A406="","",MONTH(A406))</f>
        <v/>
      </c>
      <c r="C406" s="52"/>
      <c r="D406" s="52"/>
      <c r="E406" s="52"/>
      <c r="F406" s="53"/>
      <c r="G406" s="52"/>
      <c r="H406" s="54" t="str">
        <f aca="false">IF(E406="","",E406*N(F406)*IF(G406="",1,G406))</f>
        <v/>
      </c>
      <c r="I406" s="55" t="str">
        <f aca="false">IF(C406="","",IFERROR(INDEX('DANH MỤC'!$B$5:$B$200,MATCH(C406,'DANH MỤC'!$A$5:$A$200,0)),"⚠ Mã chưa có trong DANH MỤC"))</f>
        <v/>
      </c>
      <c r="J406" s="52"/>
      <c r="K406" s="52"/>
      <c r="L406" s="52"/>
    </row>
    <row r="407" customFormat="false" ht="15" hidden="false" customHeight="false" outlineLevel="0" collapsed="false">
      <c r="A407" s="50"/>
      <c r="B407" s="51" t="str">
        <f aca="false">IF(A407="","",MONTH(A407))</f>
        <v/>
      </c>
      <c r="C407" s="52"/>
      <c r="D407" s="52"/>
      <c r="E407" s="52"/>
      <c r="F407" s="53"/>
      <c r="G407" s="52"/>
      <c r="H407" s="54" t="str">
        <f aca="false">IF(E407="","",E407*N(F407)*IF(G407="",1,G407))</f>
        <v/>
      </c>
      <c r="I407" s="55" t="str">
        <f aca="false">IF(C407="","",IFERROR(INDEX('DANH MỤC'!$B$5:$B$200,MATCH(C407,'DANH MỤC'!$A$5:$A$200,0)),"⚠ Mã chưa có trong DANH MỤC"))</f>
        <v/>
      </c>
      <c r="J407" s="52"/>
      <c r="K407" s="52"/>
      <c r="L407" s="52"/>
    </row>
    <row r="408" customFormat="false" ht="15" hidden="false" customHeight="false" outlineLevel="0" collapsed="false">
      <c r="A408" s="50"/>
      <c r="B408" s="51" t="str">
        <f aca="false">IF(A408="","",MONTH(A408))</f>
        <v/>
      </c>
      <c r="C408" s="52"/>
      <c r="D408" s="52"/>
      <c r="E408" s="52"/>
      <c r="F408" s="53"/>
      <c r="G408" s="52"/>
      <c r="H408" s="54" t="str">
        <f aca="false">IF(E408="","",E408*N(F408)*IF(G408="",1,G408))</f>
        <v/>
      </c>
      <c r="I408" s="55" t="str">
        <f aca="false">IF(C408="","",IFERROR(INDEX('DANH MỤC'!$B$5:$B$200,MATCH(C408,'DANH MỤC'!$A$5:$A$200,0)),"⚠ Mã chưa có trong DANH MỤC"))</f>
        <v/>
      </c>
      <c r="J408" s="52"/>
      <c r="K408" s="52"/>
      <c r="L408" s="52"/>
    </row>
    <row r="409" customFormat="false" ht="15" hidden="false" customHeight="false" outlineLevel="0" collapsed="false">
      <c r="A409" s="50"/>
      <c r="B409" s="51" t="str">
        <f aca="false">IF(A409="","",MONTH(A409))</f>
        <v/>
      </c>
      <c r="C409" s="52"/>
      <c r="D409" s="52"/>
      <c r="E409" s="52"/>
      <c r="F409" s="53"/>
      <c r="G409" s="52"/>
      <c r="H409" s="54" t="str">
        <f aca="false">IF(E409="","",E409*N(F409)*IF(G409="",1,G409))</f>
        <v/>
      </c>
      <c r="I409" s="55" t="str">
        <f aca="false">IF(C409="","",IFERROR(INDEX('DANH MỤC'!$B$5:$B$200,MATCH(C409,'DANH MỤC'!$A$5:$A$200,0)),"⚠ Mã chưa có trong DANH MỤC"))</f>
        <v/>
      </c>
      <c r="J409" s="52"/>
      <c r="K409" s="52"/>
      <c r="L409" s="52"/>
    </row>
    <row r="410" customFormat="false" ht="15" hidden="false" customHeight="false" outlineLevel="0" collapsed="false">
      <c r="A410" s="50"/>
      <c r="B410" s="51" t="str">
        <f aca="false">IF(A410="","",MONTH(A410))</f>
        <v/>
      </c>
      <c r="C410" s="52"/>
      <c r="D410" s="52"/>
      <c r="E410" s="52"/>
      <c r="F410" s="53"/>
      <c r="G410" s="52"/>
      <c r="H410" s="54" t="str">
        <f aca="false">IF(E410="","",E410*N(F410)*IF(G410="",1,G410))</f>
        <v/>
      </c>
      <c r="I410" s="55" t="str">
        <f aca="false">IF(C410="","",IFERROR(INDEX('DANH MỤC'!$B$5:$B$200,MATCH(C410,'DANH MỤC'!$A$5:$A$200,0)),"⚠ Mã chưa có trong DANH MỤC"))</f>
        <v/>
      </c>
      <c r="J410" s="52"/>
      <c r="K410" s="52"/>
      <c r="L410" s="52"/>
    </row>
    <row r="411" customFormat="false" ht="15" hidden="false" customHeight="false" outlineLevel="0" collapsed="false">
      <c r="A411" s="50"/>
      <c r="B411" s="51" t="str">
        <f aca="false">IF(A411="","",MONTH(A411))</f>
        <v/>
      </c>
      <c r="C411" s="52"/>
      <c r="D411" s="52"/>
      <c r="E411" s="52"/>
      <c r="F411" s="53"/>
      <c r="G411" s="52"/>
      <c r="H411" s="54" t="str">
        <f aca="false">IF(E411="","",E411*N(F411)*IF(G411="",1,G411))</f>
        <v/>
      </c>
      <c r="I411" s="55" t="str">
        <f aca="false">IF(C411="","",IFERROR(INDEX('DANH MỤC'!$B$5:$B$200,MATCH(C411,'DANH MỤC'!$A$5:$A$200,0)),"⚠ Mã chưa có trong DANH MỤC"))</f>
        <v/>
      </c>
      <c r="J411" s="52"/>
      <c r="K411" s="52"/>
      <c r="L411" s="52"/>
    </row>
    <row r="412" customFormat="false" ht="15" hidden="false" customHeight="false" outlineLevel="0" collapsed="false">
      <c r="A412" s="50"/>
      <c r="B412" s="51" t="str">
        <f aca="false">IF(A412="","",MONTH(A412))</f>
        <v/>
      </c>
      <c r="C412" s="52"/>
      <c r="D412" s="52"/>
      <c r="E412" s="52"/>
      <c r="F412" s="53"/>
      <c r="G412" s="52"/>
      <c r="H412" s="54" t="str">
        <f aca="false">IF(E412="","",E412*N(F412)*IF(G412="",1,G412))</f>
        <v/>
      </c>
      <c r="I412" s="55" t="str">
        <f aca="false">IF(C412="","",IFERROR(INDEX('DANH MỤC'!$B$5:$B$200,MATCH(C412,'DANH MỤC'!$A$5:$A$200,0)),"⚠ Mã chưa có trong DANH MỤC"))</f>
        <v/>
      </c>
      <c r="J412" s="52"/>
      <c r="K412" s="52"/>
      <c r="L412" s="52"/>
    </row>
    <row r="413" customFormat="false" ht="15" hidden="false" customHeight="false" outlineLevel="0" collapsed="false">
      <c r="A413" s="50"/>
      <c r="B413" s="51" t="str">
        <f aca="false">IF(A413="","",MONTH(A413))</f>
        <v/>
      </c>
      <c r="C413" s="52"/>
      <c r="D413" s="52"/>
      <c r="E413" s="52"/>
      <c r="F413" s="53"/>
      <c r="G413" s="52"/>
      <c r="H413" s="54" t="str">
        <f aca="false">IF(E413="","",E413*N(F413)*IF(G413="",1,G413))</f>
        <v/>
      </c>
      <c r="I413" s="55" t="str">
        <f aca="false">IF(C413="","",IFERROR(INDEX('DANH MỤC'!$B$5:$B$200,MATCH(C413,'DANH MỤC'!$A$5:$A$200,0)),"⚠ Mã chưa có trong DANH MỤC"))</f>
        <v/>
      </c>
      <c r="J413" s="52"/>
      <c r="K413" s="52"/>
      <c r="L413" s="52"/>
    </row>
    <row r="414" customFormat="false" ht="15" hidden="false" customHeight="false" outlineLevel="0" collapsed="false">
      <c r="A414" s="50"/>
      <c r="B414" s="51" t="str">
        <f aca="false">IF(A414="","",MONTH(A414))</f>
        <v/>
      </c>
      <c r="C414" s="52"/>
      <c r="D414" s="52"/>
      <c r="E414" s="52"/>
      <c r="F414" s="53"/>
      <c r="G414" s="52"/>
      <c r="H414" s="54" t="str">
        <f aca="false">IF(E414="","",E414*N(F414)*IF(G414="",1,G414))</f>
        <v/>
      </c>
      <c r="I414" s="55" t="str">
        <f aca="false">IF(C414="","",IFERROR(INDEX('DANH MỤC'!$B$5:$B$200,MATCH(C414,'DANH MỤC'!$A$5:$A$200,0)),"⚠ Mã chưa có trong DANH MỤC"))</f>
        <v/>
      </c>
      <c r="J414" s="52"/>
      <c r="K414" s="52"/>
      <c r="L414" s="52"/>
    </row>
    <row r="415" customFormat="false" ht="15" hidden="false" customHeight="false" outlineLevel="0" collapsed="false">
      <c r="A415" s="50"/>
      <c r="B415" s="51" t="str">
        <f aca="false">IF(A415="","",MONTH(A415))</f>
        <v/>
      </c>
      <c r="C415" s="52"/>
      <c r="D415" s="52"/>
      <c r="E415" s="52"/>
      <c r="F415" s="53"/>
      <c r="G415" s="52"/>
      <c r="H415" s="54" t="str">
        <f aca="false">IF(E415="","",E415*N(F415)*IF(G415="",1,G415))</f>
        <v/>
      </c>
      <c r="I415" s="55" t="str">
        <f aca="false">IF(C415="","",IFERROR(INDEX('DANH MỤC'!$B$5:$B$200,MATCH(C415,'DANH MỤC'!$A$5:$A$200,0)),"⚠ Mã chưa có trong DANH MỤC"))</f>
        <v/>
      </c>
      <c r="J415" s="52"/>
      <c r="K415" s="52"/>
      <c r="L415" s="52"/>
    </row>
    <row r="416" customFormat="false" ht="15" hidden="false" customHeight="false" outlineLevel="0" collapsed="false">
      <c r="A416" s="50"/>
      <c r="B416" s="51" t="str">
        <f aca="false">IF(A416="","",MONTH(A416))</f>
        <v/>
      </c>
      <c r="C416" s="52"/>
      <c r="D416" s="52"/>
      <c r="E416" s="52"/>
      <c r="F416" s="53"/>
      <c r="G416" s="52"/>
      <c r="H416" s="54" t="str">
        <f aca="false">IF(E416="","",E416*N(F416)*IF(G416="",1,G416))</f>
        <v/>
      </c>
      <c r="I416" s="55" t="str">
        <f aca="false">IF(C416="","",IFERROR(INDEX('DANH MỤC'!$B$5:$B$200,MATCH(C416,'DANH MỤC'!$A$5:$A$200,0)),"⚠ Mã chưa có trong DANH MỤC"))</f>
        <v/>
      </c>
      <c r="J416" s="52"/>
      <c r="K416" s="52"/>
      <c r="L416" s="52"/>
    </row>
    <row r="417" customFormat="false" ht="15" hidden="false" customHeight="false" outlineLevel="0" collapsed="false">
      <c r="A417" s="50"/>
      <c r="B417" s="51" t="str">
        <f aca="false">IF(A417="","",MONTH(A417))</f>
        <v/>
      </c>
      <c r="C417" s="52"/>
      <c r="D417" s="52"/>
      <c r="E417" s="52"/>
      <c r="F417" s="53"/>
      <c r="G417" s="52"/>
      <c r="H417" s="54" t="str">
        <f aca="false">IF(E417="","",E417*N(F417)*IF(G417="",1,G417))</f>
        <v/>
      </c>
      <c r="I417" s="55" t="str">
        <f aca="false">IF(C417="","",IFERROR(INDEX('DANH MỤC'!$B$5:$B$200,MATCH(C417,'DANH MỤC'!$A$5:$A$200,0)),"⚠ Mã chưa có trong DANH MỤC"))</f>
        <v/>
      </c>
      <c r="J417" s="52"/>
      <c r="K417" s="52"/>
      <c r="L417" s="52"/>
    </row>
    <row r="418" customFormat="false" ht="15" hidden="false" customHeight="false" outlineLevel="0" collapsed="false">
      <c r="A418" s="50"/>
      <c r="B418" s="51" t="str">
        <f aca="false">IF(A418="","",MONTH(A418))</f>
        <v/>
      </c>
      <c r="C418" s="52"/>
      <c r="D418" s="52"/>
      <c r="E418" s="52"/>
      <c r="F418" s="53"/>
      <c r="G418" s="52"/>
      <c r="H418" s="54" t="str">
        <f aca="false">IF(E418="","",E418*N(F418)*IF(G418="",1,G418))</f>
        <v/>
      </c>
      <c r="I418" s="55" t="str">
        <f aca="false">IF(C418="","",IFERROR(INDEX('DANH MỤC'!$B$5:$B$200,MATCH(C418,'DANH MỤC'!$A$5:$A$200,0)),"⚠ Mã chưa có trong DANH MỤC"))</f>
        <v/>
      </c>
      <c r="J418" s="52"/>
      <c r="K418" s="52"/>
      <c r="L418" s="52"/>
    </row>
    <row r="419" customFormat="false" ht="15" hidden="false" customHeight="false" outlineLevel="0" collapsed="false">
      <c r="A419" s="50"/>
      <c r="B419" s="51" t="str">
        <f aca="false">IF(A419="","",MONTH(A419))</f>
        <v/>
      </c>
      <c r="C419" s="52"/>
      <c r="D419" s="52"/>
      <c r="E419" s="52"/>
      <c r="F419" s="53"/>
      <c r="G419" s="52"/>
      <c r="H419" s="54" t="str">
        <f aca="false">IF(E419="","",E419*N(F419)*IF(G419="",1,G419))</f>
        <v/>
      </c>
      <c r="I419" s="55" t="str">
        <f aca="false">IF(C419="","",IFERROR(INDEX('DANH MỤC'!$B$5:$B$200,MATCH(C419,'DANH MỤC'!$A$5:$A$200,0)),"⚠ Mã chưa có trong DANH MỤC"))</f>
        <v/>
      </c>
      <c r="J419" s="52"/>
      <c r="K419" s="52"/>
      <c r="L419" s="52"/>
    </row>
    <row r="420" customFormat="false" ht="15" hidden="false" customHeight="false" outlineLevel="0" collapsed="false">
      <c r="A420" s="50"/>
      <c r="B420" s="51" t="str">
        <f aca="false">IF(A420="","",MONTH(A420))</f>
        <v/>
      </c>
      <c r="C420" s="52"/>
      <c r="D420" s="52"/>
      <c r="E420" s="52"/>
      <c r="F420" s="53"/>
      <c r="G420" s="52"/>
      <c r="H420" s="54" t="str">
        <f aca="false">IF(E420="","",E420*N(F420)*IF(G420="",1,G420))</f>
        <v/>
      </c>
      <c r="I420" s="55" t="str">
        <f aca="false">IF(C420="","",IFERROR(INDEX('DANH MỤC'!$B$5:$B$200,MATCH(C420,'DANH MỤC'!$A$5:$A$200,0)),"⚠ Mã chưa có trong DANH MỤC"))</f>
        <v/>
      </c>
      <c r="J420" s="52"/>
      <c r="K420" s="52"/>
      <c r="L420" s="52"/>
    </row>
    <row r="421" customFormat="false" ht="15" hidden="false" customHeight="false" outlineLevel="0" collapsed="false">
      <c r="A421" s="50"/>
      <c r="B421" s="51" t="str">
        <f aca="false">IF(A421="","",MONTH(A421))</f>
        <v/>
      </c>
      <c r="C421" s="52"/>
      <c r="D421" s="52"/>
      <c r="E421" s="52"/>
      <c r="F421" s="53"/>
      <c r="G421" s="52"/>
      <c r="H421" s="54" t="str">
        <f aca="false">IF(E421="","",E421*N(F421)*IF(G421="",1,G421))</f>
        <v/>
      </c>
      <c r="I421" s="55" t="str">
        <f aca="false">IF(C421="","",IFERROR(INDEX('DANH MỤC'!$B$5:$B$200,MATCH(C421,'DANH MỤC'!$A$5:$A$200,0)),"⚠ Mã chưa có trong DANH MỤC"))</f>
        <v/>
      </c>
      <c r="J421" s="52"/>
      <c r="K421" s="52"/>
      <c r="L421" s="52"/>
    </row>
    <row r="422" customFormat="false" ht="15" hidden="false" customHeight="false" outlineLevel="0" collapsed="false">
      <c r="A422" s="50"/>
      <c r="B422" s="51" t="str">
        <f aca="false">IF(A422="","",MONTH(A422))</f>
        <v/>
      </c>
      <c r="C422" s="52"/>
      <c r="D422" s="52"/>
      <c r="E422" s="52"/>
      <c r="F422" s="53"/>
      <c r="G422" s="52"/>
      <c r="H422" s="54" t="str">
        <f aca="false">IF(E422="","",E422*N(F422)*IF(G422="",1,G422))</f>
        <v/>
      </c>
      <c r="I422" s="55" t="str">
        <f aca="false">IF(C422="","",IFERROR(INDEX('DANH MỤC'!$B$5:$B$200,MATCH(C422,'DANH MỤC'!$A$5:$A$200,0)),"⚠ Mã chưa có trong DANH MỤC"))</f>
        <v/>
      </c>
      <c r="J422" s="52"/>
      <c r="K422" s="52"/>
      <c r="L422" s="52"/>
    </row>
    <row r="423" customFormat="false" ht="15" hidden="false" customHeight="false" outlineLevel="0" collapsed="false">
      <c r="A423" s="50"/>
      <c r="B423" s="51" t="str">
        <f aca="false">IF(A423="","",MONTH(A423))</f>
        <v/>
      </c>
      <c r="C423" s="52"/>
      <c r="D423" s="52"/>
      <c r="E423" s="52"/>
      <c r="F423" s="53"/>
      <c r="G423" s="52"/>
      <c r="H423" s="54" t="str">
        <f aca="false">IF(E423="","",E423*N(F423)*IF(G423="",1,G423))</f>
        <v/>
      </c>
      <c r="I423" s="55" t="str">
        <f aca="false">IF(C423="","",IFERROR(INDEX('DANH MỤC'!$B$5:$B$200,MATCH(C423,'DANH MỤC'!$A$5:$A$200,0)),"⚠ Mã chưa có trong DANH MỤC"))</f>
        <v/>
      </c>
      <c r="J423" s="52"/>
      <c r="K423" s="52"/>
      <c r="L423" s="52"/>
    </row>
    <row r="424" customFormat="false" ht="15" hidden="false" customHeight="false" outlineLevel="0" collapsed="false">
      <c r="A424" s="50"/>
      <c r="B424" s="51" t="str">
        <f aca="false">IF(A424="","",MONTH(A424))</f>
        <v/>
      </c>
      <c r="C424" s="52"/>
      <c r="D424" s="52"/>
      <c r="E424" s="52"/>
      <c r="F424" s="53"/>
      <c r="G424" s="52"/>
      <c r="H424" s="54" t="str">
        <f aca="false">IF(E424="","",E424*N(F424)*IF(G424="",1,G424))</f>
        <v/>
      </c>
      <c r="I424" s="55" t="str">
        <f aca="false">IF(C424="","",IFERROR(INDEX('DANH MỤC'!$B$5:$B$200,MATCH(C424,'DANH MỤC'!$A$5:$A$200,0)),"⚠ Mã chưa có trong DANH MỤC"))</f>
        <v/>
      </c>
      <c r="J424" s="52"/>
      <c r="K424" s="52"/>
      <c r="L424" s="52"/>
    </row>
    <row r="425" customFormat="false" ht="15" hidden="false" customHeight="false" outlineLevel="0" collapsed="false">
      <c r="A425" s="50"/>
      <c r="B425" s="51" t="str">
        <f aca="false">IF(A425="","",MONTH(A425))</f>
        <v/>
      </c>
      <c r="C425" s="52"/>
      <c r="D425" s="52"/>
      <c r="E425" s="52"/>
      <c r="F425" s="53"/>
      <c r="G425" s="52"/>
      <c r="H425" s="54" t="str">
        <f aca="false">IF(E425="","",E425*N(F425)*IF(G425="",1,G425))</f>
        <v/>
      </c>
      <c r="I425" s="55" t="str">
        <f aca="false">IF(C425="","",IFERROR(INDEX('DANH MỤC'!$B$5:$B$200,MATCH(C425,'DANH MỤC'!$A$5:$A$200,0)),"⚠ Mã chưa có trong DANH MỤC"))</f>
        <v/>
      </c>
      <c r="J425" s="52"/>
      <c r="K425" s="52"/>
      <c r="L425" s="52"/>
    </row>
    <row r="426" customFormat="false" ht="15" hidden="false" customHeight="false" outlineLevel="0" collapsed="false">
      <c r="A426" s="50"/>
      <c r="B426" s="51" t="str">
        <f aca="false">IF(A426="","",MONTH(A426))</f>
        <v/>
      </c>
      <c r="C426" s="52"/>
      <c r="D426" s="52"/>
      <c r="E426" s="52"/>
      <c r="F426" s="53"/>
      <c r="G426" s="52"/>
      <c r="H426" s="54" t="str">
        <f aca="false">IF(E426="","",E426*N(F426)*IF(G426="",1,G426))</f>
        <v/>
      </c>
      <c r="I426" s="55" t="str">
        <f aca="false">IF(C426="","",IFERROR(INDEX('DANH MỤC'!$B$5:$B$200,MATCH(C426,'DANH MỤC'!$A$5:$A$200,0)),"⚠ Mã chưa có trong DANH MỤC"))</f>
        <v/>
      </c>
      <c r="J426" s="52"/>
      <c r="K426" s="52"/>
      <c r="L426" s="52"/>
    </row>
    <row r="427" customFormat="false" ht="15" hidden="false" customHeight="false" outlineLevel="0" collapsed="false">
      <c r="A427" s="50"/>
      <c r="B427" s="51" t="str">
        <f aca="false">IF(A427="","",MONTH(A427))</f>
        <v/>
      </c>
      <c r="C427" s="52"/>
      <c r="D427" s="52"/>
      <c r="E427" s="52"/>
      <c r="F427" s="53"/>
      <c r="G427" s="52"/>
      <c r="H427" s="54" t="str">
        <f aca="false">IF(E427="","",E427*N(F427)*IF(G427="",1,G427))</f>
        <v/>
      </c>
      <c r="I427" s="55" t="str">
        <f aca="false">IF(C427="","",IFERROR(INDEX('DANH MỤC'!$B$5:$B$200,MATCH(C427,'DANH MỤC'!$A$5:$A$200,0)),"⚠ Mã chưa có trong DANH MỤC"))</f>
        <v/>
      </c>
      <c r="J427" s="52"/>
      <c r="K427" s="52"/>
      <c r="L427" s="52"/>
    </row>
    <row r="428" customFormat="false" ht="15" hidden="false" customHeight="false" outlineLevel="0" collapsed="false">
      <c r="A428" s="50"/>
      <c r="B428" s="51" t="str">
        <f aca="false">IF(A428="","",MONTH(A428))</f>
        <v/>
      </c>
      <c r="C428" s="52"/>
      <c r="D428" s="52"/>
      <c r="E428" s="52"/>
      <c r="F428" s="53"/>
      <c r="G428" s="52"/>
      <c r="H428" s="54" t="str">
        <f aca="false">IF(E428="","",E428*N(F428)*IF(G428="",1,G428))</f>
        <v/>
      </c>
      <c r="I428" s="55" t="str">
        <f aca="false">IF(C428="","",IFERROR(INDEX('DANH MỤC'!$B$5:$B$200,MATCH(C428,'DANH MỤC'!$A$5:$A$200,0)),"⚠ Mã chưa có trong DANH MỤC"))</f>
        <v/>
      </c>
      <c r="J428" s="52"/>
      <c r="K428" s="52"/>
      <c r="L428" s="52"/>
    </row>
    <row r="429" customFormat="false" ht="15" hidden="false" customHeight="false" outlineLevel="0" collapsed="false">
      <c r="A429" s="50"/>
      <c r="B429" s="51" t="str">
        <f aca="false">IF(A429="","",MONTH(A429))</f>
        <v/>
      </c>
      <c r="C429" s="52"/>
      <c r="D429" s="52"/>
      <c r="E429" s="52"/>
      <c r="F429" s="53"/>
      <c r="G429" s="52"/>
      <c r="H429" s="54" t="str">
        <f aca="false">IF(E429="","",E429*N(F429)*IF(G429="",1,G429))</f>
        <v/>
      </c>
      <c r="I429" s="55" t="str">
        <f aca="false">IF(C429="","",IFERROR(INDEX('DANH MỤC'!$B$5:$B$200,MATCH(C429,'DANH MỤC'!$A$5:$A$200,0)),"⚠ Mã chưa có trong DANH MỤC"))</f>
        <v/>
      </c>
      <c r="J429" s="52"/>
      <c r="K429" s="52"/>
      <c r="L429" s="52"/>
    </row>
    <row r="430" customFormat="false" ht="15" hidden="false" customHeight="false" outlineLevel="0" collapsed="false">
      <c r="A430" s="50"/>
      <c r="B430" s="51" t="str">
        <f aca="false">IF(A430="","",MONTH(A430))</f>
        <v/>
      </c>
      <c r="C430" s="52"/>
      <c r="D430" s="52"/>
      <c r="E430" s="52"/>
      <c r="F430" s="53"/>
      <c r="G430" s="52"/>
      <c r="H430" s="54" t="str">
        <f aca="false">IF(E430="","",E430*N(F430)*IF(G430="",1,G430))</f>
        <v/>
      </c>
      <c r="I430" s="55" t="str">
        <f aca="false">IF(C430="","",IFERROR(INDEX('DANH MỤC'!$B$5:$B$200,MATCH(C430,'DANH MỤC'!$A$5:$A$200,0)),"⚠ Mã chưa có trong DANH MỤC"))</f>
        <v/>
      </c>
      <c r="J430" s="52"/>
      <c r="K430" s="52"/>
      <c r="L430" s="52"/>
    </row>
    <row r="431" customFormat="false" ht="15" hidden="false" customHeight="false" outlineLevel="0" collapsed="false">
      <c r="A431" s="50"/>
      <c r="B431" s="51" t="str">
        <f aca="false">IF(A431="","",MONTH(A431))</f>
        <v/>
      </c>
      <c r="C431" s="52"/>
      <c r="D431" s="52"/>
      <c r="E431" s="52"/>
      <c r="F431" s="53"/>
      <c r="G431" s="52"/>
      <c r="H431" s="54" t="str">
        <f aca="false">IF(E431="","",E431*N(F431)*IF(G431="",1,G431))</f>
        <v/>
      </c>
      <c r="I431" s="55" t="str">
        <f aca="false">IF(C431="","",IFERROR(INDEX('DANH MỤC'!$B$5:$B$200,MATCH(C431,'DANH MỤC'!$A$5:$A$200,0)),"⚠ Mã chưa có trong DANH MỤC"))</f>
        <v/>
      </c>
      <c r="J431" s="52"/>
      <c r="K431" s="52"/>
      <c r="L431" s="52"/>
    </row>
    <row r="432" customFormat="false" ht="15" hidden="false" customHeight="false" outlineLevel="0" collapsed="false">
      <c r="A432" s="50"/>
      <c r="B432" s="51" t="str">
        <f aca="false">IF(A432="","",MONTH(A432))</f>
        <v/>
      </c>
      <c r="C432" s="52"/>
      <c r="D432" s="52"/>
      <c r="E432" s="52"/>
      <c r="F432" s="53"/>
      <c r="G432" s="52"/>
      <c r="H432" s="54" t="str">
        <f aca="false">IF(E432="","",E432*N(F432)*IF(G432="",1,G432))</f>
        <v/>
      </c>
      <c r="I432" s="55" t="str">
        <f aca="false">IF(C432="","",IFERROR(INDEX('DANH MỤC'!$B$5:$B$200,MATCH(C432,'DANH MỤC'!$A$5:$A$200,0)),"⚠ Mã chưa có trong DANH MỤC"))</f>
        <v/>
      </c>
      <c r="J432" s="52"/>
      <c r="K432" s="52"/>
      <c r="L432" s="52"/>
    </row>
    <row r="433" customFormat="false" ht="15" hidden="false" customHeight="false" outlineLevel="0" collapsed="false">
      <c r="A433" s="50"/>
      <c r="B433" s="51" t="str">
        <f aca="false">IF(A433="","",MONTH(A433))</f>
        <v/>
      </c>
      <c r="C433" s="52"/>
      <c r="D433" s="52"/>
      <c r="E433" s="52"/>
      <c r="F433" s="53"/>
      <c r="G433" s="52"/>
      <c r="H433" s="54" t="str">
        <f aca="false">IF(E433="","",E433*N(F433)*IF(G433="",1,G433))</f>
        <v/>
      </c>
      <c r="I433" s="55" t="str">
        <f aca="false">IF(C433="","",IFERROR(INDEX('DANH MỤC'!$B$5:$B$200,MATCH(C433,'DANH MỤC'!$A$5:$A$200,0)),"⚠ Mã chưa có trong DANH MỤC"))</f>
        <v/>
      </c>
      <c r="J433" s="52"/>
      <c r="K433" s="52"/>
      <c r="L433" s="52"/>
    </row>
    <row r="434" customFormat="false" ht="15" hidden="false" customHeight="false" outlineLevel="0" collapsed="false">
      <c r="A434" s="50"/>
      <c r="B434" s="51" t="str">
        <f aca="false">IF(A434="","",MONTH(A434))</f>
        <v/>
      </c>
      <c r="C434" s="52"/>
      <c r="D434" s="52"/>
      <c r="E434" s="52"/>
      <c r="F434" s="53"/>
      <c r="G434" s="52"/>
      <c r="H434" s="54" t="str">
        <f aca="false">IF(E434="","",E434*N(F434)*IF(G434="",1,G434))</f>
        <v/>
      </c>
      <c r="I434" s="55" t="str">
        <f aca="false">IF(C434="","",IFERROR(INDEX('DANH MỤC'!$B$5:$B$200,MATCH(C434,'DANH MỤC'!$A$5:$A$200,0)),"⚠ Mã chưa có trong DANH MỤC"))</f>
        <v/>
      </c>
      <c r="J434" s="52"/>
      <c r="K434" s="52"/>
      <c r="L434" s="52"/>
    </row>
    <row r="435" customFormat="false" ht="15" hidden="false" customHeight="false" outlineLevel="0" collapsed="false">
      <c r="A435" s="50"/>
      <c r="B435" s="51" t="str">
        <f aca="false">IF(A435="","",MONTH(A435))</f>
        <v/>
      </c>
      <c r="C435" s="52"/>
      <c r="D435" s="52"/>
      <c r="E435" s="52"/>
      <c r="F435" s="53"/>
      <c r="G435" s="52"/>
      <c r="H435" s="54" t="str">
        <f aca="false">IF(E435="","",E435*N(F435)*IF(G435="",1,G435))</f>
        <v/>
      </c>
      <c r="I435" s="55" t="str">
        <f aca="false">IF(C435="","",IFERROR(INDEX('DANH MỤC'!$B$5:$B$200,MATCH(C435,'DANH MỤC'!$A$5:$A$200,0)),"⚠ Mã chưa có trong DANH MỤC"))</f>
        <v/>
      </c>
      <c r="J435" s="52"/>
      <c r="K435" s="52"/>
      <c r="L435" s="52"/>
    </row>
    <row r="436" customFormat="false" ht="15" hidden="false" customHeight="false" outlineLevel="0" collapsed="false">
      <c r="A436" s="50"/>
      <c r="B436" s="51" t="str">
        <f aca="false">IF(A436="","",MONTH(A436))</f>
        <v/>
      </c>
      <c r="C436" s="52"/>
      <c r="D436" s="52"/>
      <c r="E436" s="52"/>
      <c r="F436" s="53"/>
      <c r="G436" s="52"/>
      <c r="H436" s="54" t="str">
        <f aca="false">IF(E436="","",E436*N(F436)*IF(G436="",1,G436))</f>
        <v/>
      </c>
      <c r="I436" s="55" t="str">
        <f aca="false">IF(C436="","",IFERROR(INDEX('DANH MỤC'!$B$5:$B$200,MATCH(C436,'DANH MỤC'!$A$5:$A$200,0)),"⚠ Mã chưa có trong DANH MỤC"))</f>
        <v/>
      </c>
      <c r="J436" s="52"/>
      <c r="K436" s="52"/>
      <c r="L436" s="52"/>
    </row>
    <row r="437" customFormat="false" ht="15" hidden="false" customHeight="false" outlineLevel="0" collapsed="false">
      <c r="A437" s="50"/>
      <c r="B437" s="51" t="str">
        <f aca="false">IF(A437="","",MONTH(A437))</f>
        <v/>
      </c>
      <c r="C437" s="52"/>
      <c r="D437" s="52"/>
      <c r="E437" s="52"/>
      <c r="F437" s="53"/>
      <c r="G437" s="52"/>
      <c r="H437" s="54" t="str">
        <f aca="false">IF(E437="","",E437*N(F437)*IF(G437="",1,G437))</f>
        <v/>
      </c>
      <c r="I437" s="55" t="str">
        <f aca="false">IF(C437="","",IFERROR(INDEX('DANH MỤC'!$B$5:$B$200,MATCH(C437,'DANH MỤC'!$A$5:$A$200,0)),"⚠ Mã chưa có trong DANH MỤC"))</f>
        <v/>
      </c>
      <c r="J437" s="52"/>
      <c r="K437" s="52"/>
      <c r="L437" s="52"/>
    </row>
    <row r="438" customFormat="false" ht="15" hidden="false" customHeight="false" outlineLevel="0" collapsed="false">
      <c r="A438" s="50"/>
      <c r="B438" s="51" t="str">
        <f aca="false">IF(A438="","",MONTH(A438))</f>
        <v/>
      </c>
      <c r="C438" s="52"/>
      <c r="D438" s="52"/>
      <c r="E438" s="52"/>
      <c r="F438" s="53"/>
      <c r="G438" s="52"/>
      <c r="H438" s="54" t="str">
        <f aca="false">IF(E438="","",E438*N(F438)*IF(G438="",1,G438))</f>
        <v/>
      </c>
      <c r="I438" s="55" t="str">
        <f aca="false">IF(C438="","",IFERROR(INDEX('DANH MỤC'!$B$5:$B$200,MATCH(C438,'DANH MỤC'!$A$5:$A$200,0)),"⚠ Mã chưa có trong DANH MỤC"))</f>
        <v/>
      </c>
      <c r="J438" s="52"/>
      <c r="K438" s="52"/>
      <c r="L438" s="52"/>
    </row>
    <row r="439" customFormat="false" ht="15" hidden="false" customHeight="false" outlineLevel="0" collapsed="false">
      <c r="A439" s="50"/>
      <c r="B439" s="51" t="str">
        <f aca="false">IF(A439="","",MONTH(A439))</f>
        <v/>
      </c>
      <c r="C439" s="52"/>
      <c r="D439" s="52"/>
      <c r="E439" s="52"/>
      <c r="F439" s="53"/>
      <c r="G439" s="52"/>
      <c r="H439" s="54" t="str">
        <f aca="false">IF(E439="","",E439*N(F439)*IF(G439="",1,G439))</f>
        <v/>
      </c>
      <c r="I439" s="55" t="str">
        <f aca="false">IF(C439="","",IFERROR(INDEX('DANH MỤC'!$B$5:$B$200,MATCH(C439,'DANH MỤC'!$A$5:$A$200,0)),"⚠ Mã chưa có trong DANH MỤC"))</f>
        <v/>
      </c>
      <c r="J439" s="52"/>
      <c r="K439" s="52"/>
      <c r="L439" s="52"/>
    </row>
    <row r="440" customFormat="false" ht="15" hidden="false" customHeight="false" outlineLevel="0" collapsed="false">
      <c r="A440" s="50"/>
      <c r="B440" s="51" t="str">
        <f aca="false">IF(A440="","",MONTH(A440))</f>
        <v/>
      </c>
      <c r="C440" s="52"/>
      <c r="D440" s="52"/>
      <c r="E440" s="52"/>
      <c r="F440" s="53"/>
      <c r="G440" s="52"/>
      <c r="H440" s="54" t="str">
        <f aca="false">IF(E440="","",E440*N(F440)*IF(G440="",1,G440))</f>
        <v/>
      </c>
      <c r="I440" s="55" t="str">
        <f aca="false">IF(C440="","",IFERROR(INDEX('DANH MỤC'!$B$5:$B$200,MATCH(C440,'DANH MỤC'!$A$5:$A$200,0)),"⚠ Mã chưa có trong DANH MỤC"))</f>
        <v/>
      </c>
      <c r="J440" s="52"/>
      <c r="K440" s="52"/>
      <c r="L440" s="52"/>
    </row>
    <row r="441" customFormat="false" ht="15" hidden="false" customHeight="false" outlineLevel="0" collapsed="false">
      <c r="A441" s="50"/>
      <c r="B441" s="51" t="str">
        <f aca="false">IF(A441="","",MONTH(A441))</f>
        <v/>
      </c>
      <c r="C441" s="52"/>
      <c r="D441" s="52"/>
      <c r="E441" s="52"/>
      <c r="F441" s="53"/>
      <c r="G441" s="52"/>
      <c r="H441" s="54" t="str">
        <f aca="false">IF(E441="","",E441*N(F441)*IF(G441="",1,G441))</f>
        <v/>
      </c>
      <c r="I441" s="55" t="str">
        <f aca="false">IF(C441="","",IFERROR(INDEX('DANH MỤC'!$B$5:$B$200,MATCH(C441,'DANH MỤC'!$A$5:$A$200,0)),"⚠ Mã chưa có trong DANH MỤC"))</f>
        <v/>
      </c>
      <c r="J441" s="52"/>
      <c r="K441" s="52"/>
      <c r="L441" s="52"/>
    </row>
    <row r="442" customFormat="false" ht="15" hidden="false" customHeight="false" outlineLevel="0" collapsed="false">
      <c r="A442" s="50"/>
      <c r="B442" s="51" t="str">
        <f aca="false">IF(A442="","",MONTH(A442))</f>
        <v/>
      </c>
      <c r="C442" s="52"/>
      <c r="D442" s="52"/>
      <c r="E442" s="52"/>
      <c r="F442" s="53"/>
      <c r="G442" s="52"/>
      <c r="H442" s="54" t="str">
        <f aca="false">IF(E442="","",E442*N(F442)*IF(G442="",1,G442))</f>
        <v/>
      </c>
      <c r="I442" s="55" t="str">
        <f aca="false">IF(C442="","",IFERROR(INDEX('DANH MỤC'!$B$5:$B$200,MATCH(C442,'DANH MỤC'!$A$5:$A$200,0)),"⚠ Mã chưa có trong DANH MỤC"))</f>
        <v/>
      </c>
      <c r="J442" s="52"/>
      <c r="K442" s="52"/>
      <c r="L442" s="52"/>
    </row>
    <row r="443" customFormat="false" ht="15" hidden="false" customHeight="false" outlineLevel="0" collapsed="false">
      <c r="A443" s="50"/>
      <c r="B443" s="51" t="str">
        <f aca="false">IF(A443="","",MONTH(A443))</f>
        <v/>
      </c>
      <c r="C443" s="52"/>
      <c r="D443" s="52"/>
      <c r="E443" s="52"/>
      <c r="F443" s="53"/>
      <c r="G443" s="52"/>
      <c r="H443" s="54" t="str">
        <f aca="false">IF(E443="","",E443*N(F443)*IF(G443="",1,G443))</f>
        <v/>
      </c>
      <c r="I443" s="55" t="str">
        <f aca="false">IF(C443="","",IFERROR(INDEX('DANH MỤC'!$B$5:$B$200,MATCH(C443,'DANH MỤC'!$A$5:$A$200,0)),"⚠ Mã chưa có trong DANH MỤC"))</f>
        <v/>
      </c>
      <c r="J443" s="52"/>
      <c r="K443" s="52"/>
      <c r="L443" s="52"/>
    </row>
    <row r="444" customFormat="false" ht="15" hidden="false" customHeight="false" outlineLevel="0" collapsed="false">
      <c r="A444" s="50"/>
      <c r="B444" s="51" t="str">
        <f aca="false">IF(A444="","",MONTH(A444))</f>
        <v/>
      </c>
      <c r="C444" s="52"/>
      <c r="D444" s="52"/>
      <c r="E444" s="52"/>
      <c r="F444" s="53"/>
      <c r="G444" s="52"/>
      <c r="H444" s="54" t="str">
        <f aca="false">IF(E444="","",E444*N(F444)*IF(G444="",1,G444))</f>
        <v/>
      </c>
      <c r="I444" s="55" t="str">
        <f aca="false">IF(C444="","",IFERROR(INDEX('DANH MỤC'!$B$5:$B$200,MATCH(C444,'DANH MỤC'!$A$5:$A$200,0)),"⚠ Mã chưa có trong DANH MỤC"))</f>
        <v/>
      </c>
      <c r="J444" s="52"/>
      <c r="K444" s="52"/>
      <c r="L444" s="52"/>
    </row>
    <row r="445" customFormat="false" ht="15" hidden="false" customHeight="false" outlineLevel="0" collapsed="false">
      <c r="A445" s="50"/>
      <c r="B445" s="51" t="str">
        <f aca="false">IF(A445="","",MONTH(A445))</f>
        <v/>
      </c>
      <c r="C445" s="52"/>
      <c r="D445" s="52"/>
      <c r="E445" s="52"/>
      <c r="F445" s="53"/>
      <c r="G445" s="52"/>
      <c r="H445" s="54" t="str">
        <f aca="false">IF(E445="","",E445*N(F445)*IF(G445="",1,G445))</f>
        <v/>
      </c>
      <c r="I445" s="55" t="str">
        <f aca="false">IF(C445="","",IFERROR(INDEX('DANH MỤC'!$B$5:$B$200,MATCH(C445,'DANH MỤC'!$A$5:$A$200,0)),"⚠ Mã chưa có trong DANH MỤC"))</f>
        <v/>
      </c>
      <c r="J445" s="52"/>
      <c r="K445" s="52"/>
      <c r="L445" s="52"/>
    </row>
    <row r="446" customFormat="false" ht="15" hidden="false" customHeight="false" outlineLevel="0" collapsed="false">
      <c r="A446" s="50"/>
      <c r="B446" s="51" t="str">
        <f aca="false">IF(A446="","",MONTH(A446))</f>
        <v/>
      </c>
      <c r="C446" s="52"/>
      <c r="D446" s="52"/>
      <c r="E446" s="52"/>
      <c r="F446" s="53"/>
      <c r="G446" s="52"/>
      <c r="H446" s="54" t="str">
        <f aca="false">IF(E446="","",E446*N(F446)*IF(G446="",1,G446))</f>
        <v/>
      </c>
      <c r="I446" s="55" t="str">
        <f aca="false">IF(C446="","",IFERROR(INDEX('DANH MỤC'!$B$5:$B$200,MATCH(C446,'DANH MỤC'!$A$5:$A$200,0)),"⚠ Mã chưa có trong DANH MỤC"))</f>
        <v/>
      </c>
      <c r="J446" s="52"/>
      <c r="K446" s="52"/>
      <c r="L446" s="52"/>
    </row>
    <row r="447" customFormat="false" ht="15" hidden="false" customHeight="false" outlineLevel="0" collapsed="false">
      <c r="A447" s="50"/>
      <c r="B447" s="51" t="str">
        <f aca="false">IF(A447="","",MONTH(A447))</f>
        <v/>
      </c>
      <c r="C447" s="52"/>
      <c r="D447" s="52"/>
      <c r="E447" s="52"/>
      <c r="F447" s="53"/>
      <c r="G447" s="52"/>
      <c r="H447" s="54" t="str">
        <f aca="false">IF(E447="","",E447*N(F447)*IF(G447="",1,G447))</f>
        <v/>
      </c>
      <c r="I447" s="55" t="str">
        <f aca="false">IF(C447="","",IFERROR(INDEX('DANH MỤC'!$B$5:$B$200,MATCH(C447,'DANH MỤC'!$A$5:$A$200,0)),"⚠ Mã chưa có trong DANH MỤC"))</f>
        <v/>
      </c>
      <c r="J447" s="52"/>
      <c r="K447" s="52"/>
      <c r="L447" s="52"/>
    </row>
    <row r="448" customFormat="false" ht="15" hidden="false" customHeight="false" outlineLevel="0" collapsed="false">
      <c r="A448" s="50"/>
      <c r="B448" s="51" t="str">
        <f aca="false">IF(A448="","",MONTH(A448))</f>
        <v/>
      </c>
      <c r="C448" s="52"/>
      <c r="D448" s="52"/>
      <c r="E448" s="52"/>
      <c r="F448" s="53"/>
      <c r="G448" s="52"/>
      <c r="H448" s="54" t="str">
        <f aca="false">IF(E448="","",E448*N(F448)*IF(G448="",1,G448))</f>
        <v/>
      </c>
      <c r="I448" s="55" t="str">
        <f aca="false">IF(C448="","",IFERROR(INDEX('DANH MỤC'!$B$5:$B$200,MATCH(C448,'DANH MỤC'!$A$5:$A$200,0)),"⚠ Mã chưa có trong DANH MỤC"))</f>
        <v/>
      </c>
      <c r="J448" s="52"/>
      <c r="K448" s="52"/>
      <c r="L448" s="52"/>
    </row>
    <row r="449" customFormat="false" ht="15" hidden="false" customHeight="false" outlineLevel="0" collapsed="false">
      <c r="A449" s="50"/>
      <c r="B449" s="51" t="str">
        <f aca="false">IF(A449="","",MONTH(A449))</f>
        <v/>
      </c>
      <c r="C449" s="52"/>
      <c r="D449" s="52"/>
      <c r="E449" s="52"/>
      <c r="F449" s="53"/>
      <c r="G449" s="52"/>
      <c r="H449" s="54" t="str">
        <f aca="false">IF(E449="","",E449*N(F449)*IF(G449="",1,G449))</f>
        <v/>
      </c>
      <c r="I449" s="55" t="str">
        <f aca="false">IF(C449="","",IFERROR(INDEX('DANH MỤC'!$B$5:$B$200,MATCH(C449,'DANH MỤC'!$A$5:$A$200,0)),"⚠ Mã chưa có trong DANH MỤC"))</f>
        <v/>
      </c>
      <c r="J449" s="52"/>
      <c r="K449" s="52"/>
      <c r="L449" s="52"/>
    </row>
    <row r="450" customFormat="false" ht="15" hidden="false" customHeight="false" outlineLevel="0" collapsed="false">
      <c r="A450" s="50"/>
      <c r="B450" s="51" t="str">
        <f aca="false">IF(A450="","",MONTH(A450))</f>
        <v/>
      </c>
      <c r="C450" s="52"/>
      <c r="D450" s="52"/>
      <c r="E450" s="52"/>
      <c r="F450" s="53"/>
      <c r="G450" s="52"/>
      <c r="H450" s="54" t="str">
        <f aca="false">IF(E450="","",E450*N(F450)*IF(G450="",1,G450))</f>
        <v/>
      </c>
      <c r="I450" s="55" t="str">
        <f aca="false">IF(C450="","",IFERROR(INDEX('DANH MỤC'!$B$5:$B$200,MATCH(C450,'DANH MỤC'!$A$5:$A$200,0)),"⚠ Mã chưa có trong DANH MỤC"))</f>
        <v/>
      </c>
      <c r="J450" s="52"/>
      <c r="K450" s="52"/>
      <c r="L450" s="52"/>
    </row>
    <row r="451" customFormat="false" ht="15" hidden="false" customHeight="false" outlineLevel="0" collapsed="false">
      <c r="A451" s="50"/>
      <c r="B451" s="51" t="str">
        <f aca="false">IF(A451="","",MONTH(A451))</f>
        <v/>
      </c>
      <c r="C451" s="52"/>
      <c r="D451" s="52"/>
      <c r="E451" s="52"/>
      <c r="F451" s="53"/>
      <c r="G451" s="52"/>
      <c r="H451" s="54" t="str">
        <f aca="false">IF(E451="","",E451*N(F451)*IF(G451="",1,G451))</f>
        <v/>
      </c>
      <c r="I451" s="55" t="str">
        <f aca="false">IF(C451="","",IFERROR(INDEX('DANH MỤC'!$B$5:$B$200,MATCH(C451,'DANH MỤC'!$A$5:$A$200,0)),"⚠ Mã chưa có trong DANH MỤC"))</f>
        <v/>
      </c>
      <c r="J451" s="52"/>
      <c r="K451" s="52"/>
      <c r="L451" s="52"/>
    </row>
    <row r="452" customFormat="false" ht="15" hidden="false" customHeight="false" outlineLevel="0" collapsed="false">
      <c r="A452" s="50"/>
      <c r="B452" s="51" t="str">
        <f aca="false">IF(A452="","",MONTH(A452))</f>
        <v/>
      </c>
      <c r="C452" s="52"/>
      <c r="D452" s="52"/>
      <c r="E452" s="52"/>
      <c r="F452" s="53"/>
      <c r="G452" s="52"/>
      <c r="H452" s="54" t="str">
        <f aca="false">IF(E452="","",E452*N(F452)*IF(G452="",1,G452))</f>
        <v/>
      </c>
      <c r="I452" s="55" t="str">
        <f aca="false">IF(C452="","",IFERROR(INDEX('DANH MỤC'!$B$5:$B$200,MATCH(C452,'DANH MỤC'!$A$5:$A$200,0)),"⚠ Mã chưa có trong DANH MỤC"))</f>
        <v/>
      </c>
      <c r="J452" s="52"/>
      <c r="K452" s="52"/>
      <c r="L452" s="52"/>
    </row>
    <row r="453" customFormat="false" ht="15" hidden="false" customHeight="false" outlineLevel="0" collapsed="false">
      <c r="A453" s="50"/>
      <c r="B453" s="51" t="str">
        <f aca="false">IF(A453="","",MONTH(A453))</f>
        <v/>
      </c>
      <c r="C453" s="52"/>
      <c r="D453" s="52"/>
      <c r="E453" s="52"/>
      <c r="F453" s="53"/>
      <c r="G453" s="52"/>
      <c r="H453" s="54" t="str">
        <f aca="false">IF(E453="","",E453*N(F453)*IF(G453="",1,G453))</f>
        <v/>
      </c>
      <c r="I453" s="55" t="str">
        <f aca="false">IF(C453="","",IFERROR(INDEX('DANH MỤC'!$B$5:$B$200,MATCH(C453,'DANH MỤC'!$A$5:$A$200,0)),"⚠ Mã chưa có trong DANH MỤC"))</f>
        <v/>
      </c>
      <c r="J453" s="52"/>
      <c r="K453" s="52"/>
      <c r="L453" s="52"/>
    </row>
    <row r="454" customFormat="false" ht="15" hidden="false" customHeight="false" outlineLevel="0" collapsed="false">
      <c r="A454" s="50"/>
      <c r="B454" s="51" t="str">
        <f aca="false">IF(A454="","",MONTH(A454))</f>
        <v/>
      </c>
      <c r="C454" s="52"/>
      <c r="D454" s="52"/>
      <c r="E454" s="52"/>
      <c r="F454" s="53"/>
      <c r="G454" s="52"/>
      <c r="H454" s="54" t="str">
        <f aca="false">IF(E454="","",E454*N(F454)*IF(G454="",1,G454))</f>
        <v/>
      </c>
      <c r="I454" s="55" t="str">
        <f aca="false">IF(C454="","",IFERROR(INDEX('DANH MỤC'!$B$5:$B$200,MATCH(C454,'DANH MỤC'!$A$5:$A$200,0)),"⚠ Mã chưa có trong DANH MỤC"))</f>
        <v/>
      </c>
      <c r="J454" s="52"/>
      <c r="K454" s="52"/>
      <c r="L454" s="52"/>
    </row>
    <row r="455" customFormat="false" ht="15" hidden="false" customHeight="false" outlineLevel="0" collapsed="false">
      <c r="A455" s="50"/>
      <c r="B455" s="51" t="str">
        <f aca="false">IF(A455="","",MONTH(A455))</f>
        <v/>
      </c>
      <c r="C455" s="52"/>
      <c r="D455" s="52"/>
      <c r="E455" s="52"/>
      <c r="F455" s="53"/>
      <c r="G455" s="52"/>
      <c r="H455" s="54" t="str">
        <f aca="false">IF(E455="","",E455*N(F455)*IF(G455="",1,G455))</f>
        <v/>
      </c>
      <c r="I455" s="55" t="str">
        <f aca="false">IF(C455="","",IFERROR(INDEX('DANH MỤC'!$B$5:$B$200,MATCH(C455,'DANH MỤC'!$A$5:$A$200,0)),"⚠ Mã chưa có trong DANH MỤC"))</f>
        <v/>
      </c>
      <c r="J455" s="52"/>
      <c r="K455" s="52"/>
      <c r="L455" s="52"/>
    </row>
    <row r="456" customFormat="false" ht="15" hidden="false" customHeight="false" outlineLevel="0" collapsed="false">
      <c r="A456" s="50"/>
      <c r="B456" s="51" t="str">
        <f aca="false">IF(A456="","",MONTH(A456))</f>
        <v/>
      </c>
      <c r="C456" s="52"/>
      <c r="D456" s="52"/>
      <c r="E456" s="52"/>
      <c r="F456" s="53"/>
      <c r="G456" s="52"/>
      <c r="H456" s="54" t="str">
        <f aca="false">IF(E456="","",E456*N(F456)*IF(G456="",1,G456))</f>
        <v/>
      </c>
      <c r="I456" s="55" t="str">
        <f aca="false">IF(C456="","",IFERROR(INDEX('DANH MỤC'!$B$5:$B$200,MATCH(C456,'DANH MỤC'!$A$5:$A$200,0)),"⚠ Mã chưa có trong DANH MỤC"))</f>
        <v/>
      </c>
      <c r="J456" s="52"/>
      <c r="K456" s="52"/>
      <c r="L456" s="52"/>
    </row>
    <row r="457" customFormat="false" ht="15" hidden="false" customHeight="false" outlineLevel="0" collapsed="false">
      <c r="A457" s="50"/>
      <c r="B457" s="51" t="str">
        <f aca="false">IF(A457="","",MONTH(A457))</f>
        <v/>
      </c>
      <c r="C457" s="52"/>
      <c r="D457" s="52"/>
      <c r="E457" s="52"/>
      <c r="F457" s="53"/>
      <c r="G457" s="52"/>
      <c r="H457" s="54" t="str">
        <f aca="false">IF(E457="","",E457*N(F457)*IF(G457="",1,G457))</f>
        <v/>
      </c>
      <c r="I457" s="55" t="str">
        <f aca="false">IF(C457="","",IFERROR(INDEX('DANH MỤC'!$B$5:$B$200,MATCH(C457,'DANH MỤC'!$A$5:$A$200,0)),"⚠ Mã chưa có trong DANH MỤC"))</f>
        <v/>
      </c>
      <c r="J457" s="52"/>
      <c r="K457" s="52"/>
      <c r="L457" s="52"/>
    </row>
    <row r="458" customFormat="false" ht="15" hidden="false" customHeight="false" outlineLevel="0" collapsed="false">
      <c r="A458" s="50"/>
      <c r="B458" s="51" t="str">
        <f aca="false">IF(A458="","",MONTH(A458))</f>
        <v/>
      </c>
      <c r="C458" s="52"/>
      <c r="D458" s="52"/>
      <c r="E458" s="52"/>
      <c r="F458" s="53"/>
      <c r="G458" s="52"/>
      <c r="H458" s="54" t="str">
        <f aca="false">IF(E458="","",E458*N(F458)*IF(G458="",1,G458))</f>
        <v/>
      </c>
      <c r="I458" s="55" t="str">
        <f aca="false">IF(C458="","",IFERROR(INDEX('DANH MỤC'!$B$5:$B$200,MATCH(C458,'DANH MỤC'!$A$5:$A$200,0)),"⚠ Mã chưa có trong DANH MỤC"))</f>
        <v/>
      </c>
      <c r="J458" s="52"/>
      <c r="K458" s="52"/>
      <c r="L458" s="52"/>
    </row>
    <row r="459" customFormat="false" ht="15" hidden="false" customHeight="false" outlineLevel="0" collapsed="false">
      <c r="A459" s="50"/>
      <c r="B459" s="51" t="str">
        <f aca="false">IF(A459="","",MONTH(A459))</f>
        <v/>
      </c>
      <c r="C459" s="52"/>
      <c r="D459" s="52"/>
      <c r="E459" s="52"/>
      <c r="F459" s="53"/>
      <c r="G459" s="52"/>
      <c r="H459" s="54" t="str">
        <f aca="false">IF(E459="","",E459*N(F459)*IF(G459="",1,G459))</f>
        <v/>
      </c>
      <c r="I459" s="55" t="str">
        <f aca="false">IF(C459="","",IFERROR(INDEX('DANH MỤC'!$B$5:$B$200,MATCH(C459,'DANH MỤC'!$A$5:$A$200,0)),"⚠ Mã chưa có trong DANH MỤC"))</f>
        <v/>
      </c>
      <c r="J459" s="52"/>
      <c r="K459" s="52"/>
      <c r="L459" s="52"/>
    </row>
    <row r="460" customFormat="false" ht="15" hidden="false" customHeight="false" outlineLevel="0" collapsed="false">
      <c r="A460" s="50"/>
      <c r="B460" s="51" t="str">
        <f aca="false">IF(A460="","",MONTH(A460))</f>
        <v/>
      </c>
      <c r="C460" s="52"/>
      <c r="D460" s="52"/>
      <c r="E460" s="52"/>
      <c r="F460" s="53"/>
      <c r="G460" s="52"/>
      <c r="H460" s="54" t="str">
        <f aca="false">IF(E460="","",E460*N(F460)*IF(G460="",1,G460))</f>
        <v/>
      </c>
      <c r="I460" s="55" t="str">
        <f aca="false">IF(C460="","",IFERROR(INDEX('DANH MỤC'!$B$5:$B$200,MATCH(C460,'DANH MỤC'!$A$5:$A$200,0)),"⚠ Mã chưa có trong DANH MỤC"))</f>
        <v/>
      </c>
      <c r="J460" s="52"/>
      <c r="K460" s="52"/>
      <c r="L460" s="52"/>
    </row>
    <row r="461" customFormat="false" ht="15" hidden="false" customHeight="false" outlineLevel="0" collapsed="false">
      <c r="A461" s="50"/>
      <c r="B461" s="51" t="str">
        <f aca="false">IF(A461="","",MONTH(A461))</f>
        <v/>
      </c>
      <c r="C461" s="52"/>
      <c r="D461" s="52"/>
      <c r="E461" s="52"/>
      <c r="F461" s="53"/>
      <c r="G461" s="52"/>
      <c r="H461" s="54" t="str">
        <f aca="false">IF(E461="","",E461*N(F461)*IF(G461="",1,G461))</f>
        <v/>
      </c>
      <c r="I461" s="55" t="str">
        <f aca="false">IF(C461="","",IFERROR(INDEX('DANH MỤC'!$B$5:$B$200,MATCH(C461,'DANH MỤC'!$A$5:$A$200,0)),"⚠ Mã chưa có trong DANH MỤC"))</f>
        <v/>
      </c>
      <c r="J461" s="52"/>
      <c r="K461" s="52"/>
      <c r="L461" s="52"/>
    </row>
    <row r="462" customFormat="false" ht="15" hidden="false" customHeight="false" outlineLevel="0" collapsed="false">
      <c r="A462" s="50"/>
      <c r="B462" s="51" t="str">
        <f aca="false">IF(A462="","",MONTH(A462))</f>
        <v/>
      </c>
      <c r="C462" s="52"/>
      <c r="D462" s="52"/>
      <c r="E462" s="52"/>
      <c r="F462" s="53"/>
      <c r="G462" s="52"/>
      <c r="H462" s="54" t="str">
        <f aca="false">IF(E462="","",E462*N(F462)*IF(G462="",1,G462))</f>
        <v/>
      </c>
      <c r="I462" s="55" t="str">
        <f aca="false">IF(C462="","",IFERROR(INDEX('DANH MỤC'!$B$5:$B$200,MATCH(C462,'DANH MỤC'!$A$5:$A$200,0)),"⚠ Mã chưa có trong DANH MỤC"))</f>
        <v/>
      </c>
      <c r="J462" s="52"/>
      <c r="K462" s="52"/>
      <c r="L462" s="52"/>
    </row>
    <row r="463" customFormat="false" ht="15" hidden="false" customHeight="false" outlineLevel="0" collapsed="false">
      <c r="A463" s="50"/>
      <c r="B463" s="51" t="str">
        <f aca="false">IF(A463="","",MONTH(A463))</f>
        <v/>
      </c>
      <c r="C463" s="52"/>
      <c r="D463" s="52"/>
      <c r="E463" s="52"/>
      <c r="F463" s="53"/>
      <c r="G463" s="52"/>
      <c r="H463" s="54" t="str">
        <f aca="false">IF(E463="","",E463*N(F463)*IF(G463="",1,G463))</f>
        <v/>
      </c>
      <c r="I463" s="55" t="str">
        <f aca="false">IF(C463="","",IFERROR(INDEX('DANH MỤC'!$B$5:$B$200,MATCH(C463,'DANH MỤC'!$A$5:$A$200,0)),"⚠ Mã chưa có trong DANH MỤC"))</f>
        <v/>
      </c>
      <c r="J463" s="52"/>
      <c r="K463" s="52"/>
      <c r="L463" s="52"/>
    </row>
    <row r="464" customFormat="false" ht="15" hidden="false" customHeight="false" outlineLevel="0" collapsed="false">
      <c r="A464" s="50"/>
      <c r="B464" s="51" t="str">
        <f aca="false">IF(A464="","",MONTH(A464))</f>
        <v/>
      </c>
      <c r="C464" s="52"/>
      <c r="D464" s="52"/>
      <c r="E464" s="52"/>
      <c r="F464" s="53"/>
      <c r="G464" s="52"/>
      <c r="H464" s="54" t="str">
        <f aca="false">IF(E464="","",E464*N(F464)*IF(G464="",1,G464))</f>
        <v/>
      </c>
      <c r="I464" s="55" t="str">
        <f aca="false">IF(C464="","",IFERROR(INDEX('DANH MỤC'!$B$5:$B$200,MATCH(C464,'DANH MỤC'!$A$5:$A$200,0)),"⚠ Mã chưa có trong DANH MỤC"))</f>
        <v/>
      </c>
      <c r="J464" s="52"/>
      <c r="K464" s="52"/>
      <c r="L464" s="52"/>
    </row>
    <row r="465" customFormat="false" ht="15" hidden="false" customHeight="false" outlineLevel="0" collapsed="false">
      <c r="A465" s="50"/>
      <c r="B465" s="51" t="str">
        <f aca="false">IF(A465="","",MONTH(A465))</f>
        <v/>
      </c>
      <c r="C465" s="52"/>
      <c r="D465" s="52"/>
      <c r="E465" s="52"/>
      <c r="F465" s="53"/>
      <c r="G465" s="52"/>
      <c r="H465" s="54" t="str">
        <f aca="false">IF(E465="","",E465*N(F465)*IF(G465="",1,G465))</f>
        <v/>
      </c>
      <c r="I465" s="55" t="str">
        <f aca="false">IF(C465="","",IFERROR(INDEX('DANH MỤC'!$B$5:$B$200,MATCH(C465,'DANH MỤC'!$A$5:$A$200,0)),"⚠ Mã chưa có trong DANH MỤC"))</f>
        <v/>
      </c>
      <c r="J465" s="52"/>
      <c r="K465" s="52"/>
      <c r="L465" s="52"/>
    </row>
    <row r="466" customFormat="false" ht="15" hidden="false" customHeight="false" outlineLevel="0" collapsed="false">
      <c r="A466" s="50"/>
      <c r="B466" s="51" t="str">
        <f aca="false">IF(A466="","",MONTH(A466))</f>
        <v/>
      </c>
      <c r="C466" s="52"/>
      <c r="D466" s="52"/>
      <c r="E466" s="52"/>
      <c r="F466" s="53"/>
      <c r="G466" s="52"/>
      <c r="H466" s="54" t="str">
        <f aca="false">IF(E466="","",E466*N(F466)*IF(G466="",1,G466))</f>
        <v/>
      </c>
      <c r="I466" s="55" t="str">
        <f aca="false">IF(C466="","",IFERROR(INDEX('DANH MỤC'!$B$5:$B$200,MATCH(C466,'DANH MỤC'!$A$5:$A$200,0)),"⚠ Mã chưa có trong DANH MỤC"))</f>
        <v/>
      </c>
      <c r="J466" s="52"/>
      <c r="K466" s="52"/>
      <c r="L466" s="52"/>
    </row>
    <row r="467" customFormat="false" ht="15" hidden="false" customHeight="false" outlineLevel="0" collapsed="false">
      <c r="A467" s="50"/>
      <c r="B467" s="51" t="str">
        <f aca="false">IF(A467="","",MONTH(A467))</f>
        <v/>
      </c>
      <c r="C467" s="52"/>
      <c r="D467" s="52"/>
      <c r="E467" s="52"/>
      <c r="F467" s="53"/>
      <c r="G467" s="52"/>
      <c r="H467" s="54" t="str">
        <f aca="false">IF(E467="","",E467*N(F467)*IF(G467="",1,G467))</f>
        <v/>
      </c>
      <c r="I467" s="55" t="str">
        <f aca="false">IF(C467="","",IFERROR(INDEX('DANH MỤC'!$B$5:$B$200,MATCH(C467,'DANH MỤC'!$A$5:$A$200,0)),"⚠ Mã chưa có trong DANH MỤC"))</f>
        <v/>
      </c>
      <c r="J467" s="52"/>
      <c r="K467" s="52"/>
      <c r="L467" s="52"/>
    </row>
    <row r="468" customFormat="false" ht="15" hidden="false" customHeight="false" outlineLevel="0" collapsed="false">
      <c r="A468" s="50"/>
      <c r="B468" s="51" t="str">
        <f aca="false">IF(A468="","",MONTH(A468))</f>
        <v/>
      </c>
      <c r="C468" s="52"/>
      <c r="D468" s="52"/>
      <c r="E468" s="52"/>
      <c r="F468" s="53"/>
      <c r="G468" s="52"/>
      <c r="H468" s="54" t="str">
        <f aca="false">IF(E468="","",E468*N(F468)*IF(G468="",1,G468))</f>
        <v/>
      </c>
      <c r="I468" s="55" t="str">
        <f aca="false">IF(C468="","",IFERROR(INDEX('DANH MỤC'!$B$5:$B$200,MATCH(C468,'DANH MỤC'!$A$5:$A$200,0)),"⚠ Mã chưa có trong DANH MỤC"))</f>
        <v/>
      </c>
      <c r="J468" s="52"/>
      <c r="K468" s="52"/>
      <c r="L468" s="52"/>
    </row>
    <row r="469" customFormat="false" ht="15" hidden="false" customHeight="false" outlineLevel="0" collapsed="false">
      <c r="A469" s="50"/>
      <c r="B469" s="51" t="str">
        <f aca="false">IF(A469="","",MONTH(A469))</f>
        <v/>
      </c>
      <c r="C469" s="52"/>
      <c r="D469" s="52"/>
      <c r="E469" s="52"/>
      <c r="F469" s="53"/>
      <c r="G469" s="52"/>
      <c r="H469" s="54" t="str">
        <f aca="false">IF(E469="","",E469*N(F469)*IF(G469="",1,G469))</f>
        <v/>
      </c>
      <c r="I469" s="55" t="str">
        <f aca="false">IF(C469="","",IFERROR(INDEX('DANH MỤC'!$B$5:$B$200,MATCH(C469,'DANH MỤC'!$A$5:$A$200,0)),"⚠ Mã chưa có trong DANH MỤC"))</f>
        <v/>
      </c>
      <c r="J469" s="52"/>
      <c r="K469" s="52"/>
      <c r="L469" s="52"/>
    </row>
    <row r="470" customFormat="false" ht="15" hidden="false" customHeight="false" outlineLevel="0" collapsed="false">
      <c r="A470" s="50"/>
      <c r="B470" s="51" t="str">
        <f aca="false">IF(A470="","",MONTH(A470))</f>
        <v/>
      </c>
      <c r="C470" s="52"/>
      <c r="D470" s="52"/>
      <c r="E470" s="52"/>
      <c r="F470" s="53"/>
      <c r="G470" s="52"/>
      <c r="H470" s="54" t="str">
        <f aca="false">IF(E470="","",E470*N(F470)*IF(G470="",1,G470))</f>
        <v/>
      </c>
      <c r="I470" s="55" t="str">
        <f aca="false">IF(C470="","",IFERROR(INDEX('DANH MỤC'!$B$5:$B$200,MATCH(C470,'DANH MỤC'!$A$5:$A$200,0)),"⚠ Mã chưa có trong DANH MỤC"))</f>
        <v/>
      </c>
      <c r="J470" s="52"/>
      <c r="K470" s="52"/>
      <c r="L470" s="52"/>
    </row>
    <row r="471" customFormat="false" ht="15" hidden="false" customHeight="false" outlineLevel="0" collapsed="false">
      <c r="A471" s="50"/>
      <c r="B471" s="51" t="str">
        <f aca="false">IF(A471="","",MONTH(A471))</f>
        <v/>
      </c>
      <c r="C471" s="52"/>
      <c r="D471" s="52"/>
      <c r="E471" s="52"/>
      <c r="F471" s="53"/>
      <c r="G471" s="52"/>
      <c r="H471" s="54" t="str">
        <f aca="false">IF(E471="","",E471*N(F471)*IF(G471="",1,G471))</f>
        <v/>
      </c>
      <c r="I471" s="55" t="str">
        <f aca="false">IF(C471="","",IFERROR(INDEX('DANH MỤC'!$B$5:$B$200,MATCH(C471,'DANH MỤC'!$A$5:$A$200,0)),"⚠ Mã chưa có trong DANH MỤC"))</f>
        <v/>
      </c>
      <c r="J471" s="52"/>
      <c r="K471" s="52"/>
      <c r="L471" s="52"/>
    </row>
    <row r="472" customFormat="false" ht="15" hidden="false" customHeight="false" outlineLevel="0" collapsed="false">
      <c r="A472" s="50"/>
      <c r="B472" s="51" t="str">
        <f aca="false">IF(A472="","",MONTH(A472))</f>
        <v/>
      </c>
      <c r="C472" s="52"/>
      <c r="D472" s="52"/>
      <c r="E472" s="52"/>
      <c r="F472" s="53"/>
      <c r="G472" s="52"/>
      <c r="H472" s="54" t="str">
        <f aca="false">IF(E472="","",E472*N(F472)*IF(G472="",1,G472))</f>
        <v/>
      </c>
      <c r="I472" s="55" t="str">
        <f aca="false">IF(C472="","",IFERROR(INDEX('DANH MỤC'!$B$5:$B$200,MATCH(C472,'DANH MỤC'!$A$5:$A$200,0)),"⚠ Mã chưa có trong DANH MỤC"))</f>
        <v/>
      </c>
      <c r="J472" s="52"/>
      <c r="K472" s="52"/>
      <c r="L472" s="52"/>
    </row>
    <row r="473" customFormat="false" ht="15" hidden="false" customHeight="false" outlineLevel="0" collapsed="false">
      <c r="A473" s="50"/>
      <c r="B473" s="51" t="str">
        <f aca="false">IF(A473="","",MONTH(A473))</f>
        <v/>
      </c>
      <c r="C473" s="52"/>
      <c r="D473" s="52"/>
      <c r="E473" s="52"/>
      <c r="F473" s="53"/>
      <c r="G473" s="52"/>
      <c r="H473" s="54" t="str">
        <f aca="false">IF(E473="","",E473*N(F473)*IF(G473="",1,G473))</f>
        <v/>
      </c>
      <c r="I473" s="55" t="str">
        <f aca="false">IF(C473="","",IFERROR(INDEX('DANH MỤC'!$B$5:$B$200,MATCH(C473,'DANH MỤC'!$A$5:$A$200,0)),"⚠ Mã chưa có trong DANH MỤC"))</f>
        <v/>
      </c>
      <c r="J473" s="52"/>
      <c r="K473" s="52"/>
      <c r="L473" s="52"/>
    </row>
    <row r="474" customFormat="false" ht="15" hidden="false" customHeight="false" outlineLevel="0" collapsed="false">
      <c r="A474" s="50"/>
      <c r="B474" s="51" t="str">
        <f aca="false">IF(A474="","",MONTH(A474))</f>
        <v/>
      </c>
      <c r="C474" s="52"/>
      <c r="D474" s="52"/>
      <c r="E474" s="52"/>
      <c r="F474" s="53"/>
      <c r="G474" s="52"/>
      <c r="H474" s="54" t="str">
        <f aca="false">IF(E474="","",E474*N(F474)*IF(G474="",1,G474))</f>
        <v/>
      </c>
      <c r="I474" s="55" t="str">
        <f aca="false">IF(C474="","",IFERROR(INDEX('DANH MỤC'!$B$5:$B$200,MATCH(C474,'DANH MỤC'!$A$5:$A$200,0)),"⚠ Mã chưa có trong DANH MỤC"))</f>
        <v/>
      </c>
      <c r="J474" s="52"/>
      <c r="K474" s="52"/>
      <c r="L474" s="52"/>
    </row>
    <row r="475" customFormat="false" ht="15" hidden="false" customHeight="false" outlineLevel="0" collapsed="false">
      <c r="A475" s="50"/>
      <c r="B475" s="51" t="str">
        <f aca="false">IF(A475="","",MONTH(A475))</f>
        <v/>
      </c>
      <c r="C475" s="52"/>
      <c r="D475" s="52"/>
      <c r="E475" s="52"/>
      <c r="F475" s="53"/>
      <c r="G475" s="52"/>
      <c r="H475" s="54" t="str">
        <f aca="false">IF(E475="","",E475*N(F475)*IF(G475="",1,G475))</f>
        <v/>
      </c>
      <c r="I475" s="55" t="str">
        <f aca="false">IF(C475="","",IFERROR(INDEX('DANH MỤC'!$B$5:$B$200,MATCH(C475,'DANH MỤC'!$A$5:$A$200,0)),"⚠ Mã chưa có trong DANH MỤC"))</f>
        <v/>
      </c>
      <c r="J475" s="52"/>
      <c r="K475" s="52"/>
      <c r="L475" s="52"/>
    </row>
    <row r="476" customFormat="false" ht="15" hidden="false" customHeight="false" outlineLevel="0" collapsed="false">
      <c r="A476" s="50"/>
      <c r="B476" s="51" t="str">
        <f aca="false">IF(A476="","",MONTH(A476))</f>
        <v/>
      </c>
      <c r="C476" s="52"/>
      <c r="D476" s="52"/>
      <c r="E476" s="52"/>
      <c r="F476" s="53"/>
      <c r="G476" s="52"/>
      <c r="H476" s="54" t="str">
        <f aca="false">IF(E476="","",E476*N(F476)*IF(G476="",1,G476))</f>
        <v/>
      </c>
      <c r="I476" s="55" t="str">
        <f aca="false">IF(C476="","",IFERROR(INDEX('DANH MỤC'!$B$5:$B$200,MATCH(C476,'DANH MỤC'!$A$5:$A$200,0)),"⚠ Mã chưa có trong DANH MỤC"))</f>
        <v/>
      </c>
      <c r="J476" s="52"/>
      <c r="K476" s="52"/>
      <c r="L476" s="52"/>
    </row>
    <row r="477" customFormat="false" ht="15" hidden="false" customHeight="false" outlineLevel="0" collapsed="false">
      <c r="A477" s="50"/>
      <c r="B477" s="51" t="str">
        <f aca="false">IF(A477="","",MONTH(A477))</f>
        <v/>
      </c>
      <c r="C477" s="52"/>
      <c r="D477" s="52"/>
      <c r="E477" s="52"/>
      <c r="F477" s="53"/>
      <c r="G477" s="52"/>
      <c r="H477" s="54" t="str">
        <f aca="false">IF(E477="","",E477*N(F477)*IF(G477="",1,G477))</f>
        <v/>
      </c>
      <c r="I477" s="55" t="str">
        <f aca="false">IF(C477="","",IFERROR(INDEX('DANH MỤC'!$B$5:$B$200,MATCH(C477,'DANH MỤC'!$A$5:$A$200,0)),"⚠ Mã chưa có trong DANH MỤC"))</f>
        <v/>
      </c>
      <c r="J477" s="52"/>
      <c r="K477" s="52"/>
      <c r="L477" s="52"/>
    </row>
    <row r="478" customFormat="false" ht="15" hidden="false" customHeight="false" outlineLevel="0" collapsed="false">
      <c r="A478" s="50"/>
      <c r="B478" s="51" t="str">
        <f aca="false">IF(A478="","",MONTH(A478))</f>
        <v/>
      </c>
      <c r="C478" s="52"/>
      <c r="D478" s="52"/>
      <c r="E478" s="52"/>
      <c r="F478" s="53"/>
      <c r="G478" s="52"/>
      <c r="H478" s="54" t="str">
        <f aca="false">IF(E478="","",E478*N(F478)*IF(G478="",1,G478))</f>
        <v/>
      </c>
      <c r="I478" s="55" t="str">
        <f aca="false">IF(C478="","",IFERROR(INDEX('DANH MỤC'!$B$5:$B$200,MATCH(C478,'DANH MỤC'!$A$5:$A$200,0)),"⚠ Mã chưa có trong DANH MỤC"))</f>
        <v/>
      </c>
      <c r="J478" s="52"/>
      <c r="K478" s="52"/>
      <c r="L478" s="52"/>
    </row>
    <row r="479" customFormat="false" ht="15" hidden="false" customHeight="false" outlineLevel="0" collapsed="false">
      <c r="A479" s="50"/>
      <c r="B479" s="51" t="str">
        <f aca="false">IF(A479="","",MONTH(A479))</f>
        <v/>
      </c>
      <c r="C479" s="52"/>
      <c r="D479" s="52"/>
      <c r="E479" s="52"/>
      <c r="F479" s="53"/>
      <c r="G479" s="52"/>
      <c r="H479" s="54" t="str">
        <f aca="false">IF(E479="","",E479*N(F479)*IF(G479="",1,G479))</f>
        <v/>
      </c>
      <c r="I479" s="55" t="str">
        <f aca="false">IF(C479="","",IFERROR(INDEX('DANH MỤC'!$B$5:$B$200,MATCH(C479,'DANH MỤC'!$A$5:$A$200,0)),"⚠ Mã chưa có trong DANH MỤC"))</f>
        <v/>
      </c>
      <c r="J479" s="52"/>
      <c r="K479" s="52"/>
      <c r="L479" s="52"/>
    </row>
    <row r="480" customFormat="false" ht="15" hidden="false" customHeight="false" outlineLevel="0" collapsed="false">
      <c r="A480" s="50"/>
      <c r="B480" s="51" t="str">
        <f aca="false">IF(A480="","",MONTH(A480))</f>
        <v/>
      </c>
      <c r="C480" s="52"/>
      <c r="D480" s="52"/>
      <c r="E480" s="52"/>
      <c r="F480" s="53"/>
      <c r="G480" s="52"/>
      <c r="H480" s="54" t="str">
        <f aca="false">IF(E480="","",E480*N(F480)*IF(G480="",1,G480))</f>
        <v/>
      </c>
      <c r="I480" s="55" t="str">
        <f aca="false">IF(C480="","",IFERROR(INDEX('DANH MỤC'!$B$5:$B$200,MATCH(C480,'DANH MỤC'!$A$5:$A$200,0)),"⚠ Mã chưa có trong DANH MỤC"))</f>
        <v/>
      </c>
      <c r="J480" s="52"/>
      <c r="K480" s="52"/>
      <c r="L480" s="52"/>
    </row>
    <row r="481" customFormat="false" ht="15" hidden="false" customHeight="false" outlineLevel="0" collapsed="false">
      <c r="A481" s="50"/>
      <c r="B481" s="51" t="str">
        <f aca="false">IF(A481="","",MONTH(A481))</f>
        <v/>
      </c>
      <c r="C481" s="52"/>
      <c r="D481" s="52"/>
      <c r="E481" s="52"/>
      <c r="F481" s="53"/>
      <c r="G481" s="52"/>
      <c r="H481" s="54" t="str">
        <f aca="false">IF(E481="","",E481*N(F481)*IF(G481="",1,G481))</f>
        <v/>
      </c>
      <c r="I481" s="55" t="str">
        <f aca="false">IF(C481="","",IFERROR(INDEX('DANH MỤC'!$B$5:$B$200,MATCH(C481,'DANH MỤC'!$A$5:$A$200,0)),"⚠ Mã chưa có trong DANH MỤC"))</f>
        <v/>
      </c>
      <c r="J481" s="52"/>
      <c r="K481" s="52"/>
      <c r="L481" s="52"/>
    </row>
    <row r="482" customFormat="false" ht="15" hidden="false" customHeight="false" outlineLevel="0" collapsed="false">
      <c r="A482" s="50"/>
      <c r="B482" s="51" t="str">
        <f aca="false">IF(A482="","",MONTH(A482))</f>
        <v/>
      </c>
      <c r="C482" s="52"/>
      <c r="D482" s="52"/>
      <c r="E482" s="52"/>
      <c r="F482" s="53"/>
      <c r="G482" s="52"/>
      <c r="H482" s="54" t="str">
        <f aca="false">IF(E482="","",E482*N(F482)*IF(G482="",1,G482))</f>
        <v/>
      </c>
      <c r="I482" s="55" t="str">
        <f aca="false">IF(C482="","",IFERROR(INDEX('DANH MỤC'!$B$5:$B$200,MATCH(C482,'DANH MỤC'!$A$5:$A$200,0)),"⚠ Mã chưa có trong DANH MỤC"))</f>
        <v/>
      </c>
      <c r="J482" s="52"/>
      <c r="K482" s="52"/>
      <c r="L482" s="52"/>
    </row>
    <row r="483" customFormat="false" ht="15" hidden="false" customHeight="false" outlineLevel="0" collapsed="false">
      <c r="A483" s="50"/>
      <c r="B483" s="51" t="str">
        <f aca="false">IF(A483="","",MONTH(A483))</f>
        <v/>
      </c>
      <c r="C483" s="52"/>
      <c r="D483" s="52"/>
      <c r="E483" s="52"/>
      <c r="F483" s="53"/>
      <c r="G483" s="52"/>
      <c r="H483" s="54" t="str">
        <f aca="false">IF(E483="","",E483*N(F483)*IF(G483="",1,G483))</f>
        <v/>
      </c>
      <c r="I483" s="55" t="str">
        <f aca="false">IF(C483="","",IFERROR(INDEX('DANH MỤC'!$B$5:$B$200,MATCH(C483,'DANH MỤC'!$A$5:$A$200,0)),"⚠ Mã chưa có trong DANH MỤC"))</f>
        <v/>
      </c>
      <c r="J483" s="52"/>
      <c r="K483" s="52"/>
      <c r="L483" s="52"/>
    </row>
    <row r="484" customFormat="false" ht="15" hidden="false" customHeight="false" outlineLevel="0" collapsed="false">
      <c r="A484" s="50"/>
      <c r="B484" s="51" t="str">
        <f aca="false">IF(A484="","",MONTH(A484))</f>
        <v/>
      </c>
      <c r="C484" s="52"/>
      <c r="D484" s="52"/>
      <c r="E484" s="52"/>
      <c r="F484" s="53"/>
      <c r="G484" s="52"/>
      <c r="H484" s="54" t="str">
        <f aca="false">IF(E484="","",E484*N(F484)*IF(G484="",1,G484))</f>
        <v/>
      </c>
      <c r="I484" s="55" t="str">
        <f aca="false">IF(C484="","",IFERROR(INDEX('DANH MỤC'!$B$5:$B$200,MATCH(C484,'DANH MỤC'!$A$5:$A$200,0)),"⚠ Mã chưa có trong DANH MỤC"))</f>
        <v/>
      </c>
      <c r="J484" s="52"/>
      <c r="K484" s="52"/>
      <c r="L484" s="52"/>
    </row>
    <row r="485" customFormat="false" ht="15" hidden="false" customHeight="false" outlineLevel="0" collapsed="false">
      <c r="A485" s="50"/>
      <c r="B485" s="51" t="str">
        <f aca="false">IF(A485="","",MONTH(A485))</f>
        <v/>
      </c>
      <c r="C485" s="52"/>
      <c r="D485" s="52"/>
      <c r="E485" s="52"/>
      <c r="F485" s="53"/>
      <c r="G485" s="52"/>
      <c r="H485" s="54" t="str">
        <f aca="false">IF(E485="","",E485*N(F485)*IF(G485="",1,G485))</f>
        <v/>
      </c>
      <c r="I485" s="55" t="str">
        <f aca="false">IF(C485="","",IFERROR(INDEX('DANH MỤC'!$B$5:$B$200,MATCH(C485,'DANH MỤC'!$A$5:$A$200,0)),"⚠ Mã chưa có trong DANH MỤC"))</f>
        <v/>
      </c>
      <c r="J485" s="52"/>
      <c r="K485" s="52"/>
      <c r="L485" s="52"/>
    </row>
    <row r="486" customFormat="false" ht="15" hidden="false" customHeight="false" outlineLevel="0" collapsed="false">
      <c r="A486" s="50"/>
      <c r="B486" s="51" t="str">
        <f aca="false">IF(A486="","",MONTH(A486))</f>
        <v/>
      </c>
      <c r="C486" s="52"/>
      <c r="D486" s="52"/>
      <c r="E486" s="52"/>
      <c r="F486" s="53"/>
      <c r="G486" s="52"/>
      <c r="H486" s="54" t="str">
        <f aca="false">IF(E486="","",E486*N(F486)*IF(G486="",1,G486))</f>
        <v/>
      </c>
      <c r="I486" s="55" t="str">
        <f aca="false">IF(C486="","",IFERROR(INDEX('DANH MỤC'!$B$5:$B$200,MATCH(C486,'DANH MỤC'!$A$5:$A$200,0)),"⚠ Mã chưa có trong DANH MỤC"))</f>
        <v/>
      </c>
      <c r="J486" s="52"/>
      <c r="K486" s="52"/>
      <c r="L486" s="52"/>
    </row>
    <row r="487" customFormat="false" ht="15" hidden="false" customHeight="false" outlineLevel="0" collapsed="false">
      <c r="A487" s="50"/>
      <c r="B487" s="51" t="str">
        <f aca="false">IF(A487="","",MONTH(A487))</f>
        <v/>
      </c>
      <c r="C487" s="52"/>
      <c r="D487" s="52"/>
      <c r="E487" s="52"/>
      <c r="F487" s="53"/>
      <c r="G487" s="52"/>
      <c r="H487" s="54" t="str">
        <f aca="false">IF(E487="","",E487*N(F487)*IF(G487="",1,G487))</f>
        <v/>
      </c>
      <c r="I487" s="55" t="str">
        <f aca="false">IF(C487="","",IFERROR(INDEX('DANH MỤC'!$B$5:$B$200,MATCH(C487,'DANH MỤC'!$A$5:$A$200,0)),"⚠ Mã chưa có trong DANH MỤC"))</f>
        <v/>
      </c>
      <c r="J487" s="52"/>
      <c r="K487" s="52"/>
      <c r="L487" s="52"/>
    </row>
    <row r="488" customFormat="false" ht="15" hidden="false" customHeight="false" outlineLevel="0" collapsed="false">
      <c r="A488" s="50"/>
      <c r="B488" s="51" t="str">
        <f aca="false">IF(A488="","",MONTH(A488))</f>
        <v/>
      </c>
      <c r="C488" s="52"/>
      <c r="D488" s="52"/>
      <c r="E488" s="52"/>
      <c r="F488" s="53"/>
      <c r="G488" s="52"/>
      <c r="H488" s="54" t="str">
        <f aca="false">IF(E488="","",E488*N(F488)*IF(G488="",1,G488))</f>
        <v/>
      </c>
      <c r="I488" s="55" t="str">
        <f aca="false">IF(C488="","",IFERROR(INDEX('DANH MỤC'!$B$5:$B$200,MATCH(C488,'DANH MỤC'!$A$5:$A$200,0)),"⚠ Mã chưa có trong DANH MỤC"))</f>
        <v/>
      </c>
      <c r="J488" s="52"/>
      <c r="K488" s="52"/>
      <c r="L488" s="52"/>
    </row>
    <row r="489" customFormat="false" ht="15" hidden="false" customHeight="false" outlineLevel="0" collapsed="false">
      <c r="A489" s="50"/>
      <c r="B489" s="51" t="str">
        <f aca="false">IF(A489="","",MONTH(A489))</f>
        <v/>
      </c>
      <c r="C489" s="52"/>
      <c r="D489" s="52"/>
      <c r="E489" s="52"/>
      <c r="F489" s="53"/>
      <c r="G489" s="52"/>
      <c r="H489" s="54" t="str">
        <f aca="false">IF(E489="","",E489*N(F489)*IF(G489="",1,G489))</f>
        <v/>
      </c>
      <c r="I489" s="55" t="str">
        <f aca="false">IF(C489="","",IFERROR(INDEX('DANH MỤC'!$B$5:$B$200,MATCH(C489,'DANH MỤC'!$A$5:$A$200,0)),"⚠ Mã chưa có trong DANH MỤC"))</f>
        <v/>
      </c>
      <c r="J489" s="52"/>
      <c r="K489" s="52"/>
      <c r="L489" s="52"/>
    </row>
    <row r="490" customFormat="false" ht="15" hidden="false" customHeight="false" outlineLevel="0" collapsed="false">
      <c r="A490" s="50"/>
      <c r="B490" s="51" t="str">
        <f aca="false">IF(A490="","",MONTH(A490))</f>
        <v/>
      </c>
      <c r="C490" s="52"/>
      <c r="D490" s="52"/>
      <c r="E490" s="52"/>
      <c r="F490" s="53"/>
      <c r="G490" s="52"/>
      <c r="H490" s="54" t="str">
        <f aca="false">IF(E490="","",E490*N(F490)*IF(G490="",1,G490))</f>
        <v/>
      </c>
      <c r="I490" s="55" t="str">
        <f aca="false">IF(C490="","",IFERROR(INDEX('DANH MỤC'!$B$5:$B$200,MATCH(C490,'DANH MỤC'!$A$5:$A$200,0)),"⚠ Mã chưa có trong DANH MỤC"))</f>
        <v/>
      </c>
      <c r="J490" s="52"/>
      <c r="K490" s="52"/>
      <c r="L490" s="52"/>
    </row>
    <row r="491" customFormat="false" ht="15" hidden="false" customHeight="false" outlineLevel="0" collapsed="false">
      <c r="A491" s="50"/>
      <c r="B491" s="51" t="str">
        <f aca="false">IF(A491="","",MONTH(A491))</f>
        <v/>
      </c>
      <c r="C491" s="52"/>
      <c r="D491" s="52"/>
      <c r="E491" s="52"/>
      <c r="F491" s="53"/>
      <c r="G491" s="52"/>
      <c r="H491" s="54" t="str">
        <f aca="false">IF(E491="","",E491*N(F491)*IF(G491="",1,G491))</f>
        <v/>
      </c>
      <c r="I491" s="55" t="str">
        <f aca="false">IF(C491="","",IFERROR(INDEX('DANH MỤC'!$B$5:$B$200,MATCH(C491,'DANH MỤC'!$A$5:$A$200,0)),"⚠ Mã chưa có trong DANH MỤC"))</f>
        <v/>
      </c>
      <c r="J491" s="52"/>
      <c r="K491" s="52"/>
      <c r="L491" s="52"/>
    </row>
    <row r="492" customFormat="false" ht="15" hidden="false" customHeight="false" outlineLevel="0" collapsed="false">
      <c r="A492" s="50"/>
      <c r="B492" s="51" t="str">
        <f aca="false">IF(A492="","",MONTH(A492))</f>
        <v/>
      </c>
      <c r="C492" s="52"/>
      <c r="D492" s="52"/>
      <c r="E492" s="52"/>
      <c r="F492" s="53"/>
      <c r="G492" s="52"/>
      <c r="H492" s="54" t="str">
        <f aca="false">IF(E492="","",E492*N(F492)*IF(G492="",1,G492))</f>
        <v/>
      </c>
      <c r="I492" s="55" t="str">
        <f aca="false">IF(C492="","",IFERROR(INDEX('DANH MỤC'!$B$5:$B$200,MATCH(C492,'DANH MỤC'!$A$5:$A$200,0)),"⚠ Mã chưa có trong DANH MỤC"))</f>
        <v/>
      </c>
      <c r="J492" s="52"/>
      <c r="K492" s="52"/>
      <c r="L492" s="52"/>
    </row>
    <row r="493" customFormat="false" ht="15" hidden="false" customHeight="false" outlineLevel="0" collapsed="false">
      <c r="A493" s="50"/>
      <c r="B493" s="51" t="str">
        <f aca="false">IF(A493="","",MONTH(A493))</f>
        <v/>
      </c>
      <c r="C493" s="52"/>
      <c r="D493" s="52"/>
      <c r="E493" s="52"/>
      <c r="F493" s="53"/>
      <c r="G493" s="52"/>
      <c r="H493" s="54" t="str">
        <f aca="false">IF(E493="","",E493*N(F493)*IF(G493="",1,G493))</f>
        <v/>
      </c>
      <c r="I493" s="55" t="str">
        <f aca="false">IF(C493="","",IFERROR(INDEX('DANH MỤC'!$B$5:$B$200,MATCH(C493,'DANH MỤC'!$A$5:$A$200,0)),"⚠ Mã chưa có trong DANH MỤC"))</f>
        <v/>
      </c>
      <c r="J493" s="52"/>
      <c r="K493" s="52"/>
      <c r="L493" s="52"/>
    </row>
    <row r="494" customFormat="false" ht="15" hidden="false" customHeight="false" outlineLevel="0" collapsed="false">
      <c r="A494" s="50"/>
      <c r="B494" s="51" t="str">
        <f aca="false">IF(A494="","",MONTH(A494))</f>
        <v/>
      </c>
      <c r="C494" s="52"/>
      <c r="D494" s="52"/>
      <c r="E494" s="52"/>
      <c r="F494" s="53"/>
      <c r="G494" s="52"/>
      <c r="H494" s="54" t="str">
        <f aca="false">IF(E494="","",E494*N(F494)*IF(G494="",1,G494))</f>
        <v/>
      </c>
      <c r="I494" s="55" t="str">
        <f aca="false">IF(C494="","",IFERROR(INDEX('DANH MỤC'!$B$5:$B$200,MATCH(C494,'DANH MỤC'!$A$5:$A$200,0)),"⚠ Mã chưa có trong DANH MỤC"))</f>
        <v/>
      </c>
      <c r="J494" s="52"/>
      <c r="K494" s="52"/>
      <c r="L494" s="52"/>
    </row>
    <row r="495" customFormat="false" ht="15" hidden="false" customHeight="false" outlineLevel="0" collapsed="false">
      <c r="A495" s="50"/>
      <c r="B495" s="51" t="str">
        <f aca="false">IF(A495="","",MONTH(A495))</f>
        <v/>
      </c>
      <c r="C495" s="52"/>
      <c r="D495" s="52"/>
      <c r="E495" s="52"/>
      <c r="F495" s="53"/>
      <c r="G495" s="52"/>
      <c r="H495" s="54" t="str">
        <f aca="false">IF(E495="","",E495*N(F495)*IF(G495="",1,G495))</f>
        <v/>
      </c>
      <c r="I495" s="55" t="str">
        <f aca="false">IF(C495="","",IFERROR(INDEX('DANH MỤC'!$B$5:$B$200,MATCH(C495,'DANH MỤC'!$A$5:$A$200,0)),"⚠ Mã chưa có trong DANH MỤC"))</f>
        <v/>
      </c>
      <c r="J495" s="52"/>
      <c r="K495" s="52"/>
      <c r="L495" s="52"/>
    </row>
    <row r="496" customFormat="false" ht="15" hidden="false" customHeight="false" outlineLevel="0" collapsed="false">
      <c r="A496" s="50"/>
      <c r="B496" s="51" t="str">
        <f aca="false">IF(A496="","",MONTH(A496))</f>
        <v/>
      </c>
      <c r="C496" s="52"/>
      <c r="D496" s="52"/>
      <c r="E496" s="52"/>
      <c r="F496" s="53"/>
      <c r="G496" s="52"/>
      <c r="H496" s="54" t="str">
        <f aca="false">IF(E496="","",E496*N(F496)*IF(G496="",1,G496))</f>
        <v/>
      </c>
      <c r="I496" s="55" t="str">
        <f aca="false">IF(C496="","",IFERROR(INDEX('DANH MỤC'!$B$5:$B$200,MATCH(C496,'DANH MỤC'!$A$5:$A$200,0)),"⚠ Mã chưa có trong DANH MỤC"))</f>
        <v/>
      </c>
      <c r="J496" s="52"/>
      <c r="K496" s="52"/>
      <c r="L496" s="52"/>
    </row>
    <row r="497" customFormat="false" ht="15" hidden="false" customHeight="false" outlineLevel="0" collapsed="false">
      <c r="A497" s="50"/>
      <c r="B497" s="51" t="str">
        <f aca="false">IF(A497="","",MONTH(A497))</f>
        <v/>
      </c>
      <c r="C497" s="52"/>
      <c r="D497" s="52"/>
      <c r="E497" s="52"/>
      <c r="F497" s="53"/>
      <c r="G497" s="52"/>
      <c r="H497" s="54" t="str">
        <f aca="false">IF(E497="","",E497*N(F497)*IF(G497="",1,G497))</f>
        <v/>
      </c>
      <c r="I497" s="55" t="str">
        <f aca="false">IF(C497="","",IFERROR(INDEX('DANH MỤC'!$B$5:$B$200,MATCH(C497,'DANH MỤC'!$A$5:$A$200,0)),"⚠ Mã chưa có trong DANH MỤC"))</f>
        <v/>
      </c>
      <c r="J497" s="52"/>
      <c r="K497" s="52"/>
      <c r="L497" s="52"/>
    </row>
    <row r="498" customFormat="false" ht="15" hidden="false" customHeight="false" outlineLevel="0" collapsed="false">
      <c r="A498" s="50"/>
      <c r="B498" s="51" t="str">
        <f aca="false">IF(A498="","",MONTH(A498))</f>
        <v/>
      </c>
      <c r="C498" s="52"/>
      <c r="D498" s="52"/>
      <c r="E498" s="52"/>
      <c r="F498" s="53"/>
      <c r="G498" s="52"/>
      <c r="H498" s="54" t="str">
        <f aca="false">IF(E498="","",E498*N(F498)*IF(G498="",1,G498))</f>
        <v/>
      </c>
      <c r="I498" s="55" t="str">
        <f aca="false">IF(C498="","",IFERROR(INDEX('DANH MỤC'!$B$5:$B$200,MATCH(C498,'DANH MỤC'!$A$5:$A$200,0)),"⚠ Mã chưa có trong DANH MỤC"))</f>
        <v/>
      </c>
      <c r="J498" s="52"/>
      <c r="K498" s="52"/>
      <c r="L498" s="52"/>
    </row>
    <row r="499" customFormat="false" ht="15" hidden="false" customHeight="false" outlineLevel="0" collapsed="false">
      <c r="A499" s="50"/>
      <c r="B499" s="51" t="str">
        <f aca="false">IF(A499="","",MONTH(A499))</f>
        <v/>
      </c>
      <c r="C499" s="52"/>
      <c r="D499" s="52"/>
      <c r="E499" s="52"/>
      <c r="F499" s="53"/>
      <c r="G499" s="52"/>
      <c r="H499" s="54" t="str">
        <f aca="false">IF(E499="","",E499*N(F499)*IF(G499="",1,G499))</f>
        <v/>
      </c>
      <c r="I499" s="55" t="str">
        <f aca="false">IF(C499="","",IFERROR(INDEX('DANH MỤC'!$B$5:$B$200,MATCH(C499,'DANH MỤC'!$A$5:$A$200,0)),"⚠ Mã chưa có trong DANH MỤC"))</f>
        <v/>
      </c>
      <c r="J499" s="52"/>
      <c r="K499" s="52"/>
      <c r="L499" s="52"/>
    </row>
    <row r="500" customFormat="false" ht="15" hidden="false" customHeight="false" outlineLevel="0" collapsed="false">
      <c r="A500" s="50"/>
      <c r="B500" s="51" t="str">
        <f aca="false">IF(A500="","",MONTH(A500))</f>
        <v/>
      </c>
      <c r="C500" s="52"/>
      <c r="D500" s="52"/>
      <c r="E500" s="52"/>
      <c r="F500" s="53"/>
      <c r="G500" s="52"/>
      <c r="H500" s="54" t="str">
        <f aca="false">IF(E500="","",E500*N(F500)*IF(G500="",1,G500))</f>
        <v/>
      </c>
      <c r="I500" s="55" t="str">
        <f aca="false">IF(C500="","",IFERROR(INDEX('DANH MỤC'!$B$5:$B$200,MATCH(C500,'DANH MỤC'!$A$5:$A$200,0)),"⚠ Mã chưa có trong DANH MỤC"))</f>
        <v/>
      </c>
      <c r="J500" s="52"/>
      <c r="K500" s="52"/>
      <c r="L500" s="52"/>
    </row>
    <row r="501" customFormat="false" ht="15" hidden="false" customHeight="false" outlineLevel="0" collapsed="false">
      <c r="A501" s="50"/>
      <c r="B501" s="51" t="str">
        <f aca="false">IF(A501="","",MONTH(A501))</f>
        <v/>
      </c>
      <c r="C501" s="52"/>
      <c r="D501" s="52"/>
      <c r="E501" s="52"/>
      <c r="F501" s="53"/>
      <c r="G501" s="52"/>
      <c r="H501" s="54" t="str">
        <f aca="false">IF(E501="","",E501*N(F501)*IF(G501="",1,G501))</f>
        <v/>
      </c>
      <c r="I501" s="55" t="str">
        <f aca="false">IF(C501="","",IFERROR(INDEX('DANH MỤC'!$B$5:$B$200,MATCH(C501,'DANH MỤC'!$A$5:$A$200,0)),"⚠ Mã chưa có trong DANH MỤC"))</f>
        <v/>
      </c>
      <c r="J501" s="52"/>
      <c r="K501" s="52"/>
      <c r="L501" s="52"/>
    </row>
    <row r="502" customFormat="false" ht="15" hidden="false" customHeight="false" outlineLevel="0" collapsed="false">
      <c r="A502" s="50"/>
      <c r="B502" s="51" t="str">
        <f aca="false">IF(A502="","",MONTH(A502))</f>
        <v/>
      </c>
      <c r="C502" s="52"/>
      <c r="D502" s="52"/>
      <c r="E502" s="52"/>
      <c r="F502" s="53"/>
      <c r="G502" s="52"/>
      <c r="H502" s="54" t="str">
        <f aca="false">IF(E502="","",E502*N(F502)*IF(G502="",1,G502))</f>
        <v/>
      </c>
      <c r="I502" s="55" t="str">
        <f aca="false">IF(C502="","",IFERROR(INDEX('DANH MỤC'!$B$5:$B$200,MATCH(C502,'DANH MỤC'!$A$5:$A$200,0)),"⚠ Mã chưa có trong DANH MỤC"))</f>
        <v/>
      </c>
      <c r="J502" s="52"/>
      <c r="K502" s="52"/>
      <c r="L502" s="52"/>
    </row>
    <row r="503" customFormat="false" ht="15" hidden="false" customHeight="false" outlineLevel="0" collapsed="false">
      <c r="A503" s="50"/>
      <c r="B503" s="51" t="str">
        <f aca="false">IF(A503="","",MONTH(A503))</f>
        <v/>
      </c>
      <c r="C503" s="52"/>
      <c r="D503" s="52"/>
      <c r="E503" s="52"/>
      <c r="F503" s="53"/>
      <c r="G503" s="52"/>
      <c r="H503" s="54" t="str">
        <f aca="false">IF(E503="","",E503*N(F503)*IF(G503="",1,G503))</f>
        <v/>
      </c>
      <c r="I503" s="55" t="str">
        <f aca="false">IF(C503="","",IFERROR(INDEX('DANH MỤC'!$B$5:$B$200,MATCH(C503,'DANH MỤC'!$A$5:$A$200,0)),"⚠ Mã chưa có trong DANH MỤC"))</f>
        <v/>
      </c>
      <c r="J503" s="52"/>
      <c r="K503" s="52"/>
      <c r="L503" s="52"/>
    </row>
    <row r="504" customFormat="false" ht="15" hidden="false" customHeight="false" outlineLevel="0" collapsed="false">
      <c r="A504" s="50"/>
      <c r="B504" s="51" t="str">
        <f aca="false">IF(A504="","",MONTH(A504))</f>
        <v/>
      </c>
      <c r="C504" s="52"/>
      <c r="D504" s="52"/>
      <c r="E504" s="52"/>
      <c r="F504" s="53"/>
      <c r="G504" s="52"/>
      <c r="H504" s="54" t="str">
        <f aca="false">IF(E504="","",E504*N(F504)*IF(G504="",1,G504))</f>
        <v/>
      </c>
      <c r="I504" s="55" t="str">
        <f aca="false">IF(C504="","",IFERROR(INDEX('DANH MỤC'!$B$5:$B$200,MATCH(C504,'DANH MỤC'!$A$5:$A$200,0)),"⚠ Mã chưa có trong DANH MỤC"))</f>
        <v/>
      </c>
      <c r="J504" s="52"/>
      <c r="K504" s="52"/>
      <c r="L504" s="52"/>
    </row>
    <row r="505" customFormat="false" ht="15" hidden="false" customHeight="false" outlineLevel="0" collapsed="false">
      <c r="A505" s="50"/>
      <c r="B505" s="51" t="str">
        <f aca="false">IF(A505="","",MONTH(A505))</f>
        <v/>
      </c>
      <c r="C505" s="52"/>
      <c r="D505" s="52"/>
      <c r="E505" s="52"/>
      <c r="F505" s="53"/>
      <c r="G505" s="52"/>
      <c r="H505" s="54" t="str">
        <f aca="false">IF(E505="","",E505*N(F505)*IF(G505="",1,G505))</f>
        <v/>
      </c>
      <c r="I505" s="55" t="str">
        <f aca="false">IF(C505="","",IFERROR(INDEX('DANH MỤC'!$B$5:$B$200,MATCH(C505,'DANH MỤC'!$A$5:$A$200,0)),"⚠ Mã chưa có trong DANH MỤC"))</f>
        <v/>
      </c>
      <c r="J505" s="52"/>
      <c r="K505" s="52"/>
      <c r="L505" s="52"/>
    </row>
    <row r="506" customFormat="false" ht="15" hidden="false" customHeight="false" outlineLevel="0" collapsed="false">
      <c r="A506" s="50"/>
      <c r="B506" s="51" t="str">
        <f aca="false">IF(A506="","",MONTH(A506))</f>
        <v/>
      </c>
      <c r="C506" s="52"/>
      <c r="D506" s="52"/>
      <c r="E506" s="52"/>
      <c r="F506" s="53"/>
      <c r="G506" s="52"/>
      <c r="H506" s="54" t="str">
        <f aca="false">IF(E506="","",E506*N(F506)*IF(G506="",1,G506))</f>
        <v/>
      </c>
      <c r="I506" s="55" t="str">
        <f aca="false">IF(C506="","",IFERROR(INDEX('DANH MỤC'!$B$5:$B$200,MATCH(C506,'DANH MỤC'!$A$5:$A$200,0)),"⚠ Mã chưa có trong DANH MỤC"))</f>
        <v/>
      </c>
      <c r="J506" s="52"/>
      <c r="K506" s="52"/>
      <c r="L506" s="52"/>
    </row>
    <row r="507" customFormat="false" ht="15" hidden="false" customHeight="false" outlineLevel="0" collapsed="false">
      <c r="A507" s="50"/>
      <c r="B507" s="51" t="str">
        <f aca="false">IF(A507="","",MONTH(A507))</f>
        <v/>
      </c>
      <c r="C507" s="52"/>
      <c r="D507" s="52"/>
      <c r="E507" s="52"/>
      <c r="F507" s="53"/>
      <c r="G507" s="52"/>
      <c r="H507" s="54" t="str">
        <f aca="false">IF(E507="","",E507*N(F507)*IF(G507="",1,G507))</f>
        <v/>
      </c>
      <c r="I507" s="55" t="str">
        <f aca="false">IF(C507="","",IFERROR(INDEX('DANH MỤC'!$B$5:$B$200,MATCH(C507,'DANH MỤC'!$A$5:$A$200,0)),"⚠ Mã chưa có trong DANH MỤC"))</f>
        <v/>
      </c>
      <c r="J507" s="52"/>
      <c r="K507" s="52"/>
      <c r="L507" s="52"/>
    </row>
    <row r="508" customFormat="false" ht="15" hidden="false" customHeight="false" outlineLevel="0" collapsed="false">
      <c r="A508" s="50"/>
      <c r="B508" s="51" t="str">
        <f aca="false">IF(A508="","",MONTH(A508))</f>
        <v/>
      </c>
      <c r="C508" s="52"/>
      <c r="D508" s="52"/>
      <c r="E508" s="52"/>
      <c r="F508" s="53"/>
      <c r="G508" s="52"/>
      <c r="H508" s="54" t="str">
        <f aca="false">IF(E508="","",E508*N(F508)*IF(G508="",1,G508))</f>
        <v/>
      </c>
      <c r="I508" s="55" t="str">
        <f aca="false">IF(C508="","",IFERROR(INDEX('DANH MỤC'!$B$5:$B$200,MATCH(C508,'DANH MỤC'!$A$5:$A$200,0)),"⚠ Mã chưa có trong DANH MỤC"))</f>
        <v/>
      </c>
      <c r="J508" s="52"/>
      <c r="K508" s="52"/>
      <c r="L508" s="52"/>
    </row>
    <row r="509" customFormat="false" ht="15" hidden="false" customHeight="false" outlineLevel="0" collapsed="false">
      <c r="A509" s="50"/>
      <c r="B509" s="51" t="str">
        <f aca="false">IF(A509="","",MONTH(A509))</f>
        <v/>
      </c>
      <c r="C509" s="52"/>
      <c r="D509" s="52"/>
      <c r="E509" s="52"/>
      <c r="F509" s="53"/>
      <c r="G509" s="52"/>
      <c r="H509" s="54" t="str">
        <f aca="false">IF(E509="","",E509*N(F509)*IF(G509="",1,G509))</f>
        <v/>
      </c>
      <c r="I509" s="55" t="str">
        <f aca="false">IF(C509="","",IFERROR(INDEX('DANH MỤC'!$B$5:$B$200,MATCH(C509,'DANH MỤC'!$A$5:$A$200,0)),"⚠ Mã chưa có trong DANH MỤC"))</f>
        <v/>
      </c>
      <c r="J509" s="52"/>
      <c r="K509" s="52"/>
      <c r="L509" s="52"/>
    </row>
    <row r="510" customFormat="false" ht="15" hidden="false" customHeight="false" outlineLevel="0" collapsed="false">
      <c r="A510" s="50"/>
      <c r="B510" s="51" t="str">
        <f aca="false">IF(A510="","",MONTH(A510))</f>
        <v/>
      </c>
      <c r="C510" s="52"/>
      <c r="D510" s="52"/>
      <c r="E510" s="52"/>
      <c r="F510" s="53"/>
      <c r="G510" s="52"/>
      <c r="H510" s="54" t="str">
        <f aca="false">IF(E510="","",E510*N(F510)*IF(G510="",1,G510))</f>
        <v/>
      </c>
      <c r="I510" s="55" t="str">
        <f aca="false">IF(C510="","",IFERROR(INDEX('DANH MỤC'!$B$5:$B$200,MATCH(C510,'DANH MỤC'!$A$5:$A$200,0)),"⚠ Mã chưa có trong DANH MỤC"))</f>
        <v/>
      </c>
      <c r="J510" s="52"/>
      <c r="K510" s="52"/>
      <c r="L510" s="52"/>
    </row>
    <row r="511" customFormat="false" ht="15" hidden="false" customHeight="false" outlineLevel="0" collapsed="false">
      <c r="A511" s="50"/>
      <c r="B511" s="51" t="str">
        <f aca="false">IF(A511="","",MONTH(A511))</f>
        <v/>
      </c>
      <c r="C511" s="52"/>
      <c r="D511" s="52"/>
      <c r="E511" s="52"/>
      <c r="F511" s="53"/>
      <c r="G511" s="52"/>
      <c r="H511" s="54" t="str">
        <f aca="false">IF(E511="","",E511*N(F511)*IF(G511="",1,G511))</f>
        <v/>
      </c>
      <c r="I511" s="55" t="str">
        <f aca="false">IF(C511="","",IFERROR(INDEX('DANH MỤC'!$B$5:$B$200,MATCH(C511,'DANH MỤC'!$A$5:$A$200,0)),"⚠ Mã chưa có trong DANH MỤC"))</f>
        <v/>
      </c>
      <c r="J511" s="52"/>
      <c r="K511" s="52"/>
      <c r="L511" s="52"/>
    </row>
    <row r="512" customFormat="false" ht="15" hidden="false" customHeight="false" outlineLevel="0" collapsed="false">
      <c r="A512" s="50"/>
      <c r="B512" s="51" t="str">
        <f aca="false">IF(A512="","",MONTH(A512))</f>
        <v/>
      </c>
      <c r="C512" s="52"/>
      <c r="D512" s="52"/>
      <c r="E512" s="52"/>
      <c r="F512" s="53"/>
      <c r="G512" s="52"/>
      <c r="H512" s="54" t="str">
        <f aca="false">IF(E512="","",E512*N(F512)*IF(G512="",1,G512))</f>
        <v/>
      </c>
      <c r="I512" s="55" t="str">
        <f aca="false">IF(C512="","",IFERROR(INDEX('DANH MỤC'!$B$5:$B$200,MATCH(C512,'DANH MỤC'!$A$5:$A$200,0)),"⚠ Mã chưa có trong DANH MỤC"))</f>
        <v/>
      </c>
      <c r="J512" s="52"/>
      <c r="K512" s="52"/>
      <c r="L512" s="52"/>
    </row>
    <row r="513" customFormat="false" ht="15" hidden="false" customHeight="false" outlineLevel="0" collapsed="false">
      <c r="A513" s="50"/>
      <c r="B513" s="51" t="str">
        <f aca="false">IF(A513="","",MONTH(A513))</f>
        <v/>
      </c>
      <c r="C513" s="52"/>
      <c r="D513" s="52"/>
      <c r="E513" s="52"/>
      <c r="F513" s="53"/>
      <c r="G513" s="52"/>
      <c r="H513" s="54" t="str">
        <f aca="false">IF(E513="","",E513*N(F513)*IF(G513="",1,G513))</f>
        <v/>
      </c>
      <c r="I513" s="55" t="str">
        <f aca="false">IF(C513="","",IFERROR(INDEX('DANH MỤC'!$B$5:$B$200,MATCH(C513,'DANH MỤC'!$A$5:$A$200,0)),"⚠ Mã chưa có trong DANH MỤC"))</f>
        <v/>
      </c>
      <c r="J513" s="52"/>
      <c r="K513" s="52"/>
      <c r="L513" s="52"/>
    </row>
    <row r="514" customFormat="false" ht="15" hidden="false" customHeight="false" outlineLevel="0" collapsed="false">
      <c r="A514" s="50"/>
      <c r="B514" s="51" t="str">
        <f aca="false">IF(A514="","",MONTH(A514))</f>
        <v/>
      </c>
      <c r="C514" s="52"/>
      <c r="D514" s="52"/>
      <c r="E514" s="52"/>
      <c r="F514" s="53"/>
      <c r="G514" s="52"/>
      <c r="H514" s="54" t="str">
        <f aca="false">IF(E514="","",E514*N(F514)*IF(G514="",1,G514))</f>
        <v/>
      </c>
      <c r="I514" s="55" t="str">
        <f aca="false">IF(C514="","",IFERROR(INDEX('DANH MỤC'!$B$5:$B$200,MATCH(C514,'DANH MỤC'!$A$5:$A$200,0)),"⚠ Mã chưa có trong DANH MỤC"))</f>
        <v/>
      </c>
      <c r="J514" s="52"/>
      <c r="K514" s="52"/>
      <c r="L514" s="52"/>
    </row>
    <row r="515" customFormat="false" ht="15" hidden="false" customHeight="false" outlineLevel="0" collapsed="false">
      <c r="A515" s="50"/>
      <c r="B515" s="51" t="str">
        <f aca="false">IF(A515="","",MONTH(A515))</f>
        <v/>
      </c>
      <c r="C515" s="52"/>
      <c r="D515" s="52"/>
      <c r="E515" s="52"/>
      <c r="F515" s="53"/>
      <c r="G515" s="52"/>
      <c r="H515" s="54" t="str">
        <f aca="false">IF(E515="","",E515*N(F515)*IF(G515="",1,G515))</f>
        <v/>
      </c>
      <c r="I515" s="55" t="str">
        <f aca="false">IF(C515="","",IFERROR(INDEX('DANH MỤC'!$B$5:$B$200,MATCH(C515,'DANH MỤC'!$A$5:$A$200,0)),"⚠ Mã chưa có trong DANH MỤC"))</f>
        <v/>
      </c>
      <c r="J515" s="52"/>
      <c r="K515" s="52"/>
      <c r="L515" s="52"/>
    </row>
    <row r="516" customFormat="false" ht="15" hidden="false" customHeight="false" outlineLevel="0" collapsed="false">
      <c r="A516" s="50"/>
      <c r="B516" s="51" t="str">
        <f aca="false">IF(A516="","",MONTH(A516))</f>
        <v/>
      </c>
      <c r="C516" s="52"/>
      <c r="D516" s="52"/>
      <c r="E516" s="52"/>
      <c r="F516" s="53"/>
      <c r="G516" s="52"/>
      <c r="H516" s="54" t="str">
        <f aca="false">IF(E516="","",E516*N(F516)*IF(G516="",1,G516))</f>
        <v/>
      </c>
      <c r="I516" s="55" t="str">
        <f aca="false">IF(C516="","",IFERROR(INDEX('DANH MỤC'!$B$5:$B$200,MATCH(C516,'DANH MỤC'!$A$5:$A$200,0)),"⚠ Mã chưa có trong DANH MỤC"))</f>
        <v/>
      </c>
      <c r="J516" s="52"/>
      <c r="K516" s="52"/>
      <c r="L516" s="52"/>
    </row>
    <row r="517" customFormat="false" ht="15" hidden="false" customHeight="false" outlineLevel="0" collapsed="false">
      <c r="A517" s="50"/>
      <c r="B517" s="51" t="str">
        <f aca="false">IF(A517="","",MONTH(A517))</f>
        <v/>
      </c>
      <c r="C517" s="52"/>
      <c r="D517" s="52"/>
      <c r="E517" s="52"/>
      <c r="F517" s="53"/>
      <c r="G517" s="52"/>
      <c r="H517" s="54" t="str">
        <f aca="false">IF(E517="","",E517*N(F517)*IF(G517="",1,G517))</f>
        <v/>
      </c>
      <c r="I517" s="55" t="str">
        <f aca="false">IF(C517="","",IFERROR(INDEX('DANH MỤC'!$B$5:$B$200,MATCH(C517,'DANH MỤC'!$A$5:$A$200,0)),"⚠ Mã chưa có trong DANH MỤC"))</f>
        <v/>
      </c>
      <c r="J517" s="52"/>
      <c r="K517" s="52"/>
      <c r="L517" s="52"/>
    </row>
    <row r="518" customFormat="false" ht="15" hidden="false" customHeight="false" outlineLevel="0" collapsed="false">
      <c r="A518" s="50"/>
      <c r="B518" s="51" t="str">
        <f aca="false">IF(A518="","",MONTH(A518))</f>
        <v/>
      </c>
      <c r="C518" s="52"/>
      <c r="D518" s="52"/>
      <c r="E518" s="52"/>
      <c r="F518" s="53"/>
      <c r="G518" s="52"/>
      <c r="H518" s="54" t="str">
        <f aca="false">IF(E518="","",E518*N(F518)*IF(G518="",1,G518))</f>
        <v/>
      </c>
      <c r="I518" s="55" t="str">
        <f aca="false">IF(C518="","",IFERROR(INDEX('DANH MỤC'!$B$5:$B$200,MATCH(C518,'DANH MỤC'!$A$5:$A$200,0)),"⚠ Mã chưa có trong DANH MỤC"))</f>
        <v/>
      </c>
      <c r="J518" s="52"/>
      <c r="K518" s="52"/>
      <c r="L518" s="52"/>
    </row>
    <row r="519" customFormat="false" ht="15" hidden="false" customHeight="false" outlineLevel="0" collapsed="false">
      <c r="A519" s="50"/>
      <c r="B519" s="51" t="str">
        <f aca="false">IF(A519="","",MONTH(A519))</f>
        <v/>
      </c>
      <c r="C519" s="52"/>
      <c r="D519" s="52"/>
      <c r="E519" s="52"/>
      <c r="F519" s="53"/>
      <c r="G519" s="52"/>
      <c r="H519" s="54" t="str">
        <f aca="false">IF(E519="","",E519*N(F519)*IF(G519="",1,G519))</f>
        <v/>
      </c>
      <c r="I519" s="55" t="str">
        <f aca="false">IF(C519="","",IFERROR(INDEX('DANH MỤC'!$B$5:$B$200,MATCH(C519,'DANH MỤC'!$A$5:$A$200,0)),"⚠ Mã chưa có trong DANH MỤC"))</f>
        <v/>
      </c>
      <c r="J519" s="52"/>
      <c r="K519" s="52"/>
      <c r="L519" s="52"/>
    </row>
    <row r="520" customFormat="false" ht="15" hidden="false" customHeight="false" outlineLevel="0" collapsed="false">
      <c r="A520" s="50"/>
      <c r="B520" s="51" t="str">
        <f aca="false">IF(A520="","",MONTH(A520))</f>
        <v/>
      </c>
      <c r="C520" s="52"/>
      <c r="D520" s="52"/>
      <c r="E520" s="52"/>
      <c r="F520" s="53"/>
      <c r="G520" s="52"/>
      <c r="H520" s="54" t="str">
        <f aca="false">IF(E520="","",E520*N(F520)*IF(G520="",1,G520))</f>
        <v/>
      </c>
      <c r="I520" s="55" t="str">
        <f aca="false">IF(C520="","",IFERROR(INDEX('DANH MỤC'!$B$5:$B$200,MATCH(C520,'DANH MỤC'!$A$5:$A$200,0)),"⚠ Mã chưa có trong DANH MỤC"))</f>
        <v/>
      </c>
      <c r="J520" s="52"/>
      <c r="K520" s="52"/>
      <c r="L520" s="52"/>
    </row>
    <row r="521" customFormat="false" ht="15" hidden="false" customHeight="false" outlineLevel="0" collapsed="false">
      <c r="A521" s="50"/>
      <c r="B521" s="51" t="str">
        <f aca="false">IF(A521="","",MONTH(A521))</f>
        <v/>
      </c>
      <c r="C521" s="52"/>
      <c r="D521" s="52"/>
      <c r="E521" s="52"/>
      <c r="F521" s="53"/>
      <c r="G521" s="52"/>
      <c r="H521" s="54" t="str">
        <f aca="false">IF(E521="","",E521*N(F521)*IF(G521="",1,G521))</f>
        <v/>
      </c>
      <c r="I521" s="55" t="str">
        <f aca="false">IF(C521="","",IFERROR(INDEX('DANH MỤC'!$B$5:$B$200,MATCH(C521,'DANH MỤC'!$A$5:$A$200,0)),"⚠ Mã chưa có trong DANH MỤC"))</f>
        <v/>
      </c>
      <c r="J521" s="52"/>
      <c r="K521" s="52"/>
      <c r="L521" s="52"/>
    </row>
    <row r="522" customFormat="false" ht="15" hidden="false" customHeight="false" outlineLevel="0" collapsed="false">
      <c r="A522" s="50"/>
      <c r="B522" s="51" t="str">
        <f aca="false">IF(A522="","",MONTH(A522))</f>
        <v/>
      </c>
      <c r="C522" s="52"/>
      <c r="D522" s="52"/>
      <c r="E522" s="52"/>
      <c r="F522" s="53"/>
      <c r="G522" s="52"/>
      <c r="H522" s="54" t="str">
        <f aca="false">IF(E522="","",E522*N(F522)*IF(G522="",1,G522))</f>
        <v/>
      </c>
      <c r="I522" s="55" t="str">
        <f aca="false">IF(C522="","",IFERROR(INDEX('DANH MỤC'!$B$5:$B$200,MATCH(C522,'DANH MỤC'!$A$5:$A$200,0)),"⚠ Mã chưa có trong DANH MỤC"))</f>
        <v/>
      </c>
      <c r="J522" s="52"/>
      <c r="K522" s="52"/>
      <c r="L522" s="52"/>
    </row>
    <row r="523" customFormat="false" ht="15" hidden="false" customHeight="false" outlineLevel="0" collapsed="false">
      <c r="A523" s="50"/>
      <c r="B523" s="51" t="str">
        <f aca="false">IF(A523="","",MONTH(A523))</f>
        <v/>
      </c>
      <c r="C523" s="52"/>
      <c r="D523" s="52"/>
      <c r="E523" s="52"/>
      <c r="F523" s="53"/>
      <c r="G523" s="52"/>
      <c r="H523" s="54" t="str">
        <f aca="false">IF(E523="","",E523*N(F523)*IF(G523="",1,G523))</f>
        <v/>
      </c>
      <c r="I523" s="55" t="str">
        <f aca="false">IF(C523="","",IFERROR(INDEX('DANH MỤC'!$B$5:$B$200,MATCH(C523,'DANH MỤC'!$A$5:$A$200,0)),"⚠ Mã chưa có trong DANH MỤC"))</f>
        <v/>
      </c>
      <c r="J523" s="52"/>
      <c r="K523" s="52"/>
      <c r="L523" s="52"/>
    </row>
    <row r="524" customFormat="false" ht="15" hidden="false" customHeight="false" outlineLevel="0" collapsed="false">
      <c r="A524" s="50"/>
      <c r="B524" s="51" t="str">
        <f aca="false">IF(A524="","",MONTH(A524))</f>
        <v/>
      </c>
      <c r="C524" s="52"/>
      <c r="D524" s="52"/>
      <c r="E524" s="52"/>
      <c r="F524" s="53"/>
      <c r="G524" s="52"/>
      <c r="H524" s="54" t="str">
        <f aca="false">IF(E524="","",E524*N(F524)*IF(G524="",1,G524))</f>
        <v/>
      </c>
      <c r="I524" s="55" t="str">
        <f aca="false">IF(C524="","",IFERROR(INDEX('DANH MỤC'!$B$5:$B$200,MATCH(C524,'DANH MỤC'!$A$5:$A$200,0)),"⚠ Mã chưa có trong DANH MỤC"))</f>
        <v/>
      </c>
      <c r="J524" s="52"/>
      <c r="K524" s="52"/>
      <c r="L524" s="52"/>
    </row>
    <row r="525" customFormat="false" ht="15" hidden="false" customHeight="false" outlineLevel="0" collapsed="false">
      <c r="A525" s="50"/>
      <c r="B525" s="51" t="str">
        <f aca="false">IF(A525="","",MONTH(A525))</f>
        <v/>
      </c>
      <c r="C525" s="52"/>
      <c r="D525" s="52"/>
      <c r="E525" s="52"/>
      <c r="F525" s="53"/>
      <c r="G525" s="52"/>
      <c r="H525" s="54" t="str">
        <f aca="false">IF(E525="","",E525*N(F525)*IF(G525="",1,G525))</f>
        <v/>
      </c>
      <c r="I525" s="55" t="str">
        <f aca="false">IF(C525="","",IFERROR(INDEX('DANH MỤC'!$B$5:$B$200,MATCH(C525,'DANH MỤC'!$A$5:$A$200,0)),"⚠ Mã chưa có trong DANH MỤC"))</f>
        <v/>
      </c>
      <c r="J525" s="52"/>
      <c r="K525" s="52"/>
      <c r="L525" s="52"/>
    </row>
    <row r="526" customFormat="false" ht="15" hidden="false" customHeight="false" outlineLevel="0" collapsed="false">
      <c r="A526" s="50"/>
      <c r="B526" s="51" t="str">
        <f aca="false">IF(A526="","",MONTH(A526))</f>
        <v/>
      </c>
      <c r="C526" s="52"/>
      <c r="D526" s="52"/>
      <c r="E526" s="52"/>
      <c r="F526" s="53"/>
      <c r="G526" s="52"/>
      <c r="H526" s="54" t="str">
        <f aca="false">IF(E526="","",E526*N(F526)*IF(G526="",1,G526))</f>
        <v/>
      </c>
      <c r="I526" s="55" t="str">
        <f aca="false">IF(C526="","",IFERROR(INDEX('DANH MỤC'!$B$5:$B$200,MATCH(C526,'DANH MỤC'!$A$5:$A$200,0)),"⚠ Mã chưa có trong DANH MỤC"))</f>
        <v/>
      </c>
      <c r="J526" s="52"/>
      <c r="K526" s="52"/>
      <c r="L526" s="52"/>
    </row>
    <row r="527" customFormat="false" ht="15" hidden="false" customHeight="false" outlineLevel="0" collapsed="false">
      <c r="A527" s="50"/>
      <c r="B527" s="51" t="str">
        <f aca="false">IF(A527="","",MONTH(A527))</f>
        <v/>
      </c>
      <c r="C527" s="52"/>
      <c r="D527" s="52"/>
      <c r="E527" s="52"/>
      <c r="F527" s="53"/>
      <c r="G527" s="52"/>
      <c r="H527" s="54" t="str">
        <f aca="false">IF(E527="","",E527*N(F527)*IF(G527="",1,G527))</f>
        <v/>
      </c>
      <c r="I527" s="55" t="str">
        <f aca="false">IF(C527="","",IFERROR(INDEX('DANH MỤC'!$B$5:$B$200,MATCH(C527,'DANH MỤC'!$A$5:$A$200,0)),"⚠ Mã chưa có trong DANH MỤC"))</f>
        <v/>
      </c>
      <c r="J527" s="52"/>
      <c r="K527" s="52"/>
      <c r="L527" s="52"/>
    </row>
    <row r="528" customFormat="false" ht="15" hidden="false" customHeight="false" outlineLevel="0" collapsed="false">
      <c r="A528" s="50"/>
      <c r="B528" s="51" t="str">
        <f aca="false">IF(A528="","",MONTH(A528))</f>
        <v/>
      </c>
      <c r="C528" s="52"/>
      <c r="D528" s="52"/>
      <c r="E528" s="52"/>
      <c r="F528" s="53"/>
      <c r="G528" s="52"/>
      <c r="H528" s="54" t="str">
        <f aca="false">IF(E528="","",E528*N(F528)*IF(G528="",1,G528))</f>
        <v/>
      </c>
      <c r="I528" s="55" t="str">
        <f aca="false">IF(C528="","",IFERROR(INDEX('DANH MỤC'!$B$5:$B$200,MATCH(C528,'DANH MỤC'!$A$5:$A$200,0)),"⚠ Mã chưa có trong DANH MỤC"))</f>
        <v/>
      </c>
      <c r="J528" s="52"/>
      <c r="K528" s="52"/>
      <c r="L528" s="52"/>
    </row>
    <row r="529" customFormat="false" ht="15" hidden="false" customHeight="false" outlineLevel="0" collapsed="false">
      <c r="A529" s="50"/>
      <c r="B529" s="51" t="str">
        <f aca="false">IF(A529="","",MONTH(A529))</f>
        <v/>
      </c>
      <c r="C529" s="52"/>
      <c r="D529" s="52"/>
      <c r="E529" s="52"/>
      <c r="F529" s="53"/>
      <c r="G529" s="52"/>
      <c r="H529" s="54" t="str">
        <f aca="false">IF(E529="","",E529*N(F529)*IF(G529="",1,G529))</f>
        <v/>
      </c>
      <c r="I529" s="55" t="str">
        <f aca="false">IF(C529="","",IFERROR(INDEX('DANH MỤC'!$B$5:$B$200,MATCH(C529,'DANH MỤC'!$A$5:$A$200,0)),"⚠ Mã chưa có trong DANH MỤC"))</f>
        <v/>
      </c>
      <c r="J529" s="52"/>
      <c r="K529" s="52"/>
      <c r="L529" s="52"/>
    </row>
    <row r="530" customFormat="false" ht="15" hidden="false" customHeight="false" outlineLevel="0" collapsed="false">
      <c r="A530" s="50"/>
      <c r="B530" s="51" t="str">
        <f aca="false">IF(A530="","",MONTH(A530))</f>
        <v/>
      </c>
      <c r="C530" s="52"/>
      <c r="D530" s="52"/>
      <c r="E530" s="52"/>
      <c r="F530" s="53"/>
      <c r="G530" s="52"/>
      <c r="H530" s="54" t="str">
        <f aca="false">IF(E530="","",E530*N(F530)*IF(G530="",1,G530))</f>
        <v/>
      </c>
      <c r="I530" s="55" t="str">
        <f aca="false">IF(C530="","",IFERROR(INDEX('DANH MỤC'!$B$5:$B$200,MATCH(C530,'DANH MỤC'!$A$5:$A$200,0)),"⚠ Mã chưa có trong DANH MỤC"))</f>
        <v/>
      </c>
      <c r="J530" s="52"/>
      <c r="K530" s="52"/>
      <c r="L530" s="52"/>
    </row>
    <row r="531" customFormat="false" ht="15" hidden="false" customHeight="false" outlineLevel="0" collapsed="false">
      <c r="A531" s="50"/>
      <c r="B531" s="51" t="str">
        <f aca="false">IF(A531="","",MONTH(A531))</f>
        <v/>
      </c>
      <c r="C531" s="52"/>
      <c r="D531" s="52"/>
      <c r="E531" s="52"/>
      <c r="F531" s="53"/>
      <c r="G531" s="52"/>
      <c r="H531" s="54" t="str">
        <f aca="false">IF(E531="","",E531*N(F531)*IF(G531="",1,G531))</f>
        <v/>
      </c>
      <c r="I531" s="55" t="str">
        <f aca="false">IF(C531="","",IFERROR(INDEX('DANH MỤC'!$B$5:$B$200,MATCH(C531,'DANH MỤC'!$A$5:$A$200,0)),"⚠ Mã chưa có trong DANH MỤC"))</f>
        <v/>
      </c>
      <c r="J531" s="52"/>
      <c r="K531" s="52"/>
      <c r="L531" s="52"/>
    </row>
    <row r="532" customFormat="false" ht="15" hidden="false" customHeight="false" outlineLevel="0" collapsed="false">
      <c r="A532" s="50"/>
      <c r="B532" s="51" t="str">
        <f aca="false">IF(A532="","",MONTH(A532))</f>
        <v/>
      </c>
      <c r="C532" s="52"/>
      <c r="D532" s="52"/>
      <c r="E532" s="52"/>
      <c r="F532" s="53"/>
      <c r="G532" s="52"/>
      <c r="H532" s="54" t="str">
        <f aca="false">IF(E532="","",E532*N(F532)*IF(G532="",1,G532))</f>
        <v/>
      </c>
      <c r="I532" s="55" t="str">
        <f aca="false">IF(C532="","",IFERROR(INDEX('DANH MỤC'!$B$5:$B$200,MATCH(C532,'DANH MỤC'!$A$5:$A$200,0)),"⚠ Mã chưa có trong DANH MỤC"))</f>
        <v/>
      </c>
      <c r="J532" s="52"/>
      <c r="K532" s="52"/>
      <c r="L532" s="52"/>
    </row>
    <row r="533" customFormat="false" ht="15" hidden="false" customHeight="false" outlineLevel="0" collapsed="false">
      <c r="A533" s="50"/>
      <c r="B533" s="51" t="str">
        <f aca="false">IF(A533="","",MONTH(A533))</f>
        <v/>
      </c>
      <c r="C533" s="52"/>
      <c r="D533" s="52"/>
      <c r="E533" s="52"/>
      <c r="F533" s="53"/>
      <c r="G533" s="52"/>
      <c r="H533" s="54" t="str">
        <f aca="false">IF(E533="","",E533*N(F533)*IF(G533="",1,G533))</f>
        <v/>
      </c>
      <c r="I533" s="55" t="str">
        <f aca="false">IF(C533="","",IFERROR(INDEX('DANH MỤC'!$B$5:$B$200,MATCH(C533,'DANH MỤC'!$A$5:$A$200,0)),"⚠ Mã chưa có trong DANH MỤC"))</f>
        <v/>
      </c>
      <c r="J533" s="52"/>
      <c r="K533" s="52"/>
      <c r="L533" s="52"/>
    </row>
    <row r="534" customFormat="false" ht="15" hidden="false" customHeight="false" outlineLevel="0" collapsed="false">
      <c r="A534" s="50"/>
      <c r="B534" s="51" t="str">
        <f aca="false">IF(A534="","",MONTH(A534))</f>
        <v/>
      </c>
      <c r="C534" s="52"/>
      <c r="D534" s="52"/>
      <c r="E534" s="52"/>
      <c r="F534" s="53"/>
      <c r="G534" s="52"/>
      <c r="H534" s="54" t="str">
        <f aca="false">IF(E534="","",E534*N(F534)*IF(G534="",1,G534))</f>
        <v/>
      </c>
      <c r="I534" s="55" t="str">
        <f aca="false">IF(C534="","",IFERROR(INDEX('DANH MỤC'!$B$5:$B$200,MATCH(C534,'DANH MỤC'!$A$5:$A$200,0)),"⚠ Mã chưa có trong DANH MỤC"))</f>
        <v/>
      </c>
      <c r="J534" s="52"/>
      <c r="K534" s="52"/>
      <c r="L534" s="52"/>
    </row>
    <row r="535" customFormat="false" ht="15" hidden="false" customHeight="false" outlineLevel="0" collapsed="false">
      <c r="A535" s="50"/>
      <c r="B535" s="51" t="str">
        <f aca="false">IF(A535="","",MONTH(A535))</f>
        <v/>
      </c>
      <c r="C535" s="52"/>
      <c r="D535" s="52"/>
      <c r="E535" s="52"/>
      <c r="F535" s="53"/>
      <c r="G535" s="52"/>
      <c r="H535" s="54" t="str">
        <f aca="false">IF(E535="","",E535*N(F535)*IF(G535="",1,G535))</f>
        <v/>
      </c>
      <c r="I535" s="55" t="str">
        <f aca="false">IF(C535="","",IFERROR(INDEX('DANH MỤC'!$B$5:$B$200,MATCH(C535,'DANH MỤC'!$A$5:$A$200,0)),"⚠ Mã chưa có trong DANH MỤC"))</f>
        <v/>
      </c>
      <c r="J535" s="52"/>
      <c r="K535" s="52"/>
      <c r="L535" s="52"/>
    </row>
    <row r="536" customFormat="false" ht="15" hidden="false" customHeight="false" outlineLevel="0" collapsed="false">
      <c r="A536" s="50"/>
      <c r="B536" s="51" t="str">
        <f aca="false">IF(A536="","",MONTH(A536))</f>
        <v/>
      </c>
      <c r="C536" s="52"/>
      <c r="D536" s="52"/>
      <c r="E536" s="52"/>
      <c r="F536" s="53"/>
      <c r="G536" s="52"/>
      <c r="H536" s="54" t="str">
        <f aca="false">IF(E536="","",E536*N(F536)*IF(G536="",1,G536))</f>
        <v/>
      </c>
      <c r="I536" s="55" t="str">
        <f aca="false">IF(C536="","",IFERROR(INDEX('DANH MỤC'!$B$5:$B$200,MATCH(C536,'DANH MỤC'!$A$5:$A$200,0)),"⚠ Mã chưa có trong DANH MỤC"))</f>
        <v/>
      </c>
      <c r="J536" s="52"/>
      <c r="K536" s="52"/>
      <c r="L536" s="52"/>
    </row>
    <row r="537" customFormat="false" ht="15" hidden="false" customHeight="false" outlineLevel="0" collapsed="false">
      <c r="A537" s="50"/>
      <c r="B537" s="51" t="str">
        <f aca="false">IF(A537="","",MONTH(A537))</f>
        <v/>
      </c>
      <c r="C537" s="52"/>
      <c r="D537" s="52"/>
      <c r="E537" s="52"/>
      <c r="F537" s="53"/>
      <c r="G537" s="52"/>
      <c r="H537" s="54" t="str">
        <f aca="false">IF(E537="","",E537*N(F537)*IF(G537="",1,G537))</f>
        <v/>
      </c>
      <c r="I537" s="55" t="str">
        <f aca="false">IF(C537="","",IFERROR(INDEX('DANH MỤC'!$B$5:$B$200,MATCH(C537,'DANH MỤC'!$A$5:$A$200,0)),"⚠ Mã chưa có trong DANH MỤC"))</f>
        <v/>
      </c>
      <c r="J537" s="52"/>
      <c r="K537" s="52"/>
      <c r="L537" s="52"/>
    </row>
    <row r="538" customFormat="false" ht="15" hidden="false" customHeight="false" outlineLevel="0" collapsed="false">
      <c r="A538" s="50"/>
      <c r="B538" s="51" t="str">
        <f aca="false">IF(A538="","",MONTH(A538))</f>
        <v/>
      </c>
      <c r="C538" s="52"/>
      <c r="D538" s="52"/>
      <c r="E538" s="52"/>
      <c r="F538" s="53"/>
      <c r="G538" s="52"/>
      <c r="H538" s="54" t="str">
        <f aca="false">IF(E538="","",E538*N(F538)*IF(G538="",1,G538))</f>
        <v/>
      </c>
      <c r="I538" s="55" t="str">
        <f aca="false">IF(C538="","",IFERROR(INDEX('DANH MỤC'!$B$5:$B$200,MATCH(C538,'DANH MỤC'!$A$5:$A$200,0)),"⚠ Mã chưa có trong DANH MỤC"))</f>
        <v/>
      </c>
      <c r="J538" s="52"/>
      <c r="K538" s="52"/>
      <c r="L538" s="52"/>
    </row>
    <row r="539" customFormat="false" ht="15" hidden="false" customHeight="false" outlineLevel="0" collapsed="false">
      <c r="A539" s="50"/>
      <c r="B539" s="51" t="str">
        <f aca="false">IF(A539="","",MONTH(A539))</f>
        <v/>
      </c>
      <c r="C539" s="52"/>
      <c r="D539" s="52"/>
      <c r="E539" s="52"/>
      <c r="F539" s="53"/>
      <c r="G539" s="52"/>
      <c r="H539" s="54" t="str">
        <f aca="false">IF(E539="","",E539*N(F539)*IF(G539="",1,G539))</f>
        <v/>
      </c>
      <c r="I539" s="55" t="str">
        <f aca="false">IF(C539="","",IFERROR(INDEX('DANH MỤC'!$B$5:$B$200,MATCH(C539,'DANH MỤC'!$A$5:$A$200,0)),"⚠ Mã chưa có trong DANH MỤC"))</f>
        <v/>
      </c>
      <c r="J539" s="52"/>
      <c r="K539" s="52"/>
      <c r="L539" s="52"/>
    </row>
    <row r="540" customFormat="false" ht="15" hidden="false" customHeight="false" outlineLevel="0" collapsed="false">
      <c r="A540" s="50"/>
      <c r="B540" s="51" t="str">
        <f aca="false">IF(A540="","",MONTH(A540))</f>
        <v/>
      </c>
      <c r="C540" s="52"/>
      <c r="D540" s="52"/>
      <c r="E540" s="52"/>
      <c r="F540" s="53"/>
      <c r="G540" s="52"/>
      <c r="H540" s="54" t="str">
        <f aca="false">IF(E540="","",E540*N(F540)*IF(G540="",1,G540))</f>
        <v/>
      </c>
      <c r="I540" s="55" t="str">
        <f aca="false">IF(C540="","",IFERROR(INDEX('DANH MỤC'!$B$5:$B$200,MATCH(C540,'DANH MỤC'!$A$5:$A$200,0)),"⚠ Mã chưa có trong DANH MỤC"))</f>
        <v/>
      </c>
      <c r="J540" s="52"/>
      <c r="K540" s="52"/>
      <c r="L540" s="52"/>
    </row>
    <row r="541" customFormat="false" ht="15" hidden="false" customHeight="false" outlineLevel="0" collapsed="false">
      <c r="A541" s="50"/>
      <c r="B541" s="51" t="str">
        <f aca="false">IF(A541="","",MONTH(A541))</f>
        <v/>
      </c>
      <c r="C541" s="52"/>
      <c r="D541" s="52"/>
      <c r="E541" s="52"/>
      <c r="F541" s="53"/>
      <c r="G541" s="52"/>
      <c r="H541" s="54" t="str">
        <f aca="false">IF(E541="","",E541*N(F541)*IF(G541="",1,G541))</f>
        <v/>
      </c>
      <c r="I541" s="55" t="str">
        <f aca="false">IF(C541="","",IFERROR(INDEX('DANH MỤC'!$B$5:$B$200,MATCH(C541,'DANH MỤC'!$A$5:$A$200,0)),"⚠ Mã chưa có trong DANH MỤC"))</f>
        <v/>
      </c>
      <c r="J541" s="52"/>
      <c r="K541" s="52"/>
      <c r="L541" s="52"/>
    </row>
    <row r="542" customFormat="false" ht="15" hidden="false" customHeight="false" outlineLevel="0" collapsed="false">
      <c r="A542" s="50"/>
      <c r="B542" s="51" t="str">
        <f aca="false">IF(A542="","",MONTH(A542))</f>
        <v/>
      </c>
      <c r="C542" s="52"/>
      <c r="D542" s="52"/>
      <c r="E542" s="52"/>
      <c r="F542" s="53"/>
      <c r="G542" s="52"/>
      <c r="H542" s="54" t="str">
        <f aca="false">IF(E542="","",E542*N(F542)*IF(G542="",1,G542))</f>
        <v/>
      </c>
      <c r="I542" s="55" t="str">
        <f aca="false">IF(C542="","",IFERROR(INDEX('DANH MỤC'!$B$5:$B$200,MATCH(C542,'DANH MỤC'!$A$5:$A$200,0)),"⚠ Mã chưa có trong DANH MỤC"))</f>
        <v/>
      </c>
      <c r="J542" s="52"/>
      <c r="K542" s="52"/>
      <c r="L542" s="52"/>
    </row>
    <row r="543" customFormat="false" ht="15" hidden="false" customHeight="false" outlineLevel="0" collapsed="false">
      <c r="A543" s="50"/>
      <c r="B543" s="51" t="str">
        <f aca="false">IF(A543="","",MONTH(A543))</f>
        <v/>
      </c>
      <c r="C543" s="52"/>
      <c r="D543" s="52"/>
      <c r="E543" s="52"/>
      <c r="F543" s="53"/>
      <c r="G543" s="52"/>
      <c r="H543" s="54" t="str">
        <f aca="false">IF(E543="","",E543*N(F543)*IF(G543="",1,G543))</f>
        <v/>
      </c>
      <c r="I543" s="55" t="str">
        <f aca="false">IF(C543="","",IFERROR(INDEX('DANH MỤC'!$B$5:$B$200,MATCH(C543,'DANH MỤC'!$A$5:$A$200,0)),"⚠ Mã chưa có trong DANH MỤC"))</f>
        <v/>
      </c>
      <c r="J543" s="52"/>
      <c r="K543" s="52"/>
      <c r="L543" s="52"/>
    </row>
    <row r="544" customFormat="false" ht="15" hidden="false" customHeight="false" outlineLevel="0" collapsed="false">
      <c r="A544" s="50"/>
      <c r="B544" s="51" t="str">
        <f aca="false">IF(A544="","",MONTH(A544))</f>
        <v/>
      </c>
      <c r="C544" s="52"/>
      <c r="D544" s="52"/>
      <c r="E544" s="52"/>
      <c r="F544" s="53"/>
      <c r="G544" s="52"/>
      <c r="H544" s="54" t="str">
        <f aca="false">IF(E544="","",E544*N(F544)*IF(G544="",1,G544))</f>
        <v/>
      </c>
      <c r="I544" s="55" t="str">
        <f aca="false">IF(C544="","",IFERROR(INDEX('DANH MỤC'!$B$5:$B$200,MATCH(C544,'DANH MỤC'!$A$5:$A$200,0)),"⚠ Mã chưa có trong DANH MỤC"))</f>
        <v/>
      </c>
      <c r="J544" s="52"/>
      <c r="K544" s="52"/>
      <c r="L544" s="52"/>
    </row>
    <row r="545" customFormat="false" ht="15" hidden="false" customHeight="false" outlineLevel="0" collapsed="false">
      <c r="A545" s="50"/>
      <c r="B545" s="51" t="str">
        <f aca="false">IF(A545="","",MONTH(A545))</f>
        <v/>
      </c>
      <c r="C545" s="52"/>
      <c r="D545" s="52"/>
      <c r="E545" s="52"/>
      <c r="F545" s="53"/>
      <c r="G545" s="52"/>
      <c r="H545" s="54" t="str">
        <f aca="false">IF(E545="","",E545*N(F545)*IF(G545="",1,G545))</f>
        <v/>
      </c>
      <c r="I545" s="55" t="str">
        <f aca="false">IF(C545="","",IFERROR(INDEX('DANH MỤC'!$B$5:$B$200,MATCH(C545,'DANH MỤC'!$A$5:$A$200,0)),"⚠ Mã chưa có trong DANH MỤC"))</f>
        <v/>
      </c>
      <c r="J545" s="52"/>
      <c r="K545" s="52"/>
      <c r="L545" s="52"/>
    </row>
    <row r="546" customFormat="false" ht="15" hidden="false" customHeight="false" outlineLevel="0" collapsed="false">
      <c r="A546" s="50"/>
      <c r="B546" s="51" t="str">
        <f aca="false">IF(A546="","",MONTH(A546))</f>
        <v/>
      </c>
      <c r="C546" s="52"/>
      <c r="D546" s="52"/>
      <c r="E546" s="52"/>
      <c r="F546" s="53"/>
      <c r="G546" s="52"/>
      <c r="H546" s="54" t="str">
        <f aca="false">IF(E546="","",E546*N(F546)*IF(G546="",1,G546))</f>
        <v/>
      </c>
      <c r="I546" s="55" t="str">
        <f aca="false">IF(C546="","",IFERROR(INDEX('DANH MỤC'!$B$5:$B$200,MATCH(C546,'DANH MỤC'!$A$5:$A$200,0)),"⚠ Mã chưa có trong DANH MỤC"))</f>
        <v/>
      </c>
      <c r="J546" s="52"/>
      <c r="K546" s="52"/>
      <c r="L546" s="52"/>
    </row>
    <row r="547" customFormat="false" ht="15" hidden="false" customHeight="false" outlineLevel="0" collapsed="false">
      <c r="A547" s="50"/>
      <c r="B547" s="51" t="str">
        <f aca="false">IF(A547="","",MONTH(A547))</f>
        <v/>
      </c>
      <c r="C547" s="52"/>
      <c r="D547" s="52"/>
      <c r="E547" s="52"/>
      <c r="F547" s="53"/>
      <c r="G547" s="52"/>
      <c r="H547" s="54" t="str">
        <f aca="false">IF(E547="","",E547*N(F547)*IF(G547="",1,G547))</f>
        <v/>
      </c>
      <c r="I547" s="55" t="str">
        <f aca="false">IF(C547="","",IFERROR(INDEX('DANH MỤC'!$B$5:$B$200,MATCH(C547,'DANH MỤC'!$A$5:$A$200,0)),"⚠ Mã chưa có trong DANH MỤC"))</f>
        <v/>
      </c>
      <c r="J547" s="52"/>
      <c r="K547" s="52"/>
      <c r="L547" s="52"/>
    </row>
    <row r="548" customFormat="false" ht="15" hidden="false" customHeight="false" outlineLevel="0" collapsed="false">
      <c r="A548" s="50"/>
      <c r="B548" s="51" t="str">
        <f aca="false">IF(A548="","",MONTH(A548))</f>
        <v/>
      </c>
      <c r="C548" s="52"/>
      <c r="D548" s="52"/>
      <c r="E548" s="52"/>
      <c r="F548" s="53"/>
      <c r="G548" s="52"/>
      <c r="H548" s="54" t="str">
        <f aca="false">IF(E548="","",E548*N(F548)*IF(G548="",1,G548))</f>
        <v/>
      </c>
      <c r="I548" s="55" t="str">
        <f aca="false">IF(C548="","",IFERROR(INDEX('DANH MỤC'!$B$5:$B$200,MATCH(C548,'DANH MỤC'!$A$5:$A$200,0)),"⚠ Mã chưa có trong DANH MỤC"))</f>
        <v/>
      </c>
      <c r="J548" s="52"/>
      <c r="K548" s="52"/>
      <c r="L548" s="52"/>
    </row>
    <row r="549" customFormat="false" ht="15" hidden="false" customHeight="false" outlineLevel="0" collapsed="false">
      <c r="A549" s="50"/>
      <c r="B549" s="51" t="str">
        <f aca="false">IF(A549="","",MONTH(A549))</f>
        <v/>
      </c>
      <c r="C549" s="52"/>
      <c r="D549" s="52"/>
      <c r="E549" s="52"/>
      <c r="F549" s="53"/>
      <c r="G549" s="52"/>
      <c r="H549" s="54" t="str">
        <f aca="false">IF(E549="","",E549*N(F549)*IF(G549="",1,G549))</f>
        <v/>
      </c>
      <c r="I549" s="55" t="str">
        <f aca="false">IF(C549="","",IFERROR(INDEX('DANH MỤC'!$B$5:$B$200,MATCH(C549,'DANH MỤC'!$A$5:$A$200,0)),"⚠ Mã chưa có trong DANH MỤC"))</f>
        <v/>
      </c>
      <c r="J549" s="52"/>
      <c r="K549" s="52"/>
      <c r="L549" s="52"/>
    </row>
    <row r="550" customFormat="false" ht="15" hidden="false" customHeight="false" outlineLevel="0" collapsed="false">
      <c r="A550" s="50"/>
      <c r="B550" s="51" t="str">
        <f aca="false">IF(A550="","",MONTH(A550))</f>
        <v/>
      </c>
      <c r="C550" s="52"/>
      <c r="D550" s="52"/>
      <c r="E550" s="52"/>
      <c r="F550" s="53"/>
      <c r="G550" s="52"/>
      <c r="H550" s="54" t="str">
        <f aca="false">IF(E550="","",E550*N(F550)*IF(G550="",1,G550))</f>
        <v/>
      </c>
      <c r="I550" s="55" t="str">
        <f aca="false">IF(C550="","",IFERROR(INDEX('DANH MỤC'!$B$5:$B$200,MATCH(C550,'DANH MỤC'!$A$5:$A$200,0)),"⚠ Mã chưa có trong DANH MỤC"))</f>
        <v/>
      </c>
      <c r="J550" s="52"/>
      <c r="K550" s="52"/>
      <c r="L550" s="52"/>
    </row>
    <row r="551" customFormat="false" ht="15" hidden="false" customHeight="false" outlineLevel="0" collapsed="false">
      <c r="A551" s="50"/>
      <c r="B551" s="51" t="str">
        <f aca="false">IF(A551="","",MONTH(A551))</f>
        <v/>
      </c>
      <c r="C551" s="52"/>
      <c r="D551" s="52"/>
      <c r="E551" s="52"/>
      <c r="F551" s="53"/>
      <c r="G551" s="52"/>
      <c r="H551" s="54" t="str">
        <f aca="false">IF(E551="","",E551*N(F551)*IF(G551="",1,G551))</f>
        <v/>
      </c>
      <c r="I551" s="55" t="str">
        <f aca="false">IF(C551="","",IFERROR(INDEX('DANH MỤC'!$B$5:$B$200,MATCH(C551,'DANH MỤC'!$A$5:$A$200,0)),"⚠ Mã chưa có trong DANH MỤC"))</f>
        <v/>
      </c>
      <c r="J551" s="52"/>
      <c r="K551" s="52"/>
      <c r="L551" s="52"/>
    </row>
    <row r="552" customFormat="false" ht="15" hidden="false" customHeight="false" outlineLevel="0" collapsed="false">
      <c r="A552" s="50"/>
      <c r="B552" s="51" t="str">
        <f aca="false">IF(A552="","",MONTH(A552))</f>
        <v/>
      </c>
      <c r="C552" s="52"/>
      <c r="D552" s="52"/>
      <c r="E552" s="52"/>
      <c r="F552" s="53"/>
      <c r="G552" s="52"/>
      <c r="H552" s="54" t="str">
        <f aca="false">IF(E552="","",E552*N(F552)*IF(G552="",1,G552))</f>
        <v/>
      </c>
      <c r="I552" s="55" t="str">
        <f aca="false">IF(C552="","",IFERROR(INDEX('DANH MỤC'!$B$5:$B$200,MATCH(C552,'DANH MỤC'!$A$5:$A$200,0)),"⚠ Mã chưa có trong DANH MỤC"))</f>
        <v/>
      </c>
      <c r="J552" s="52"/>
      <c r="K552" s="52"/>
      <c r="L552" s="52"/>
    </row>
    <row r="553" customFormat="false" ht="15" hidden="false" customHeight="false" outlineLevel="0" collapsed="false">
      <c r="A553" s="50"/>
      <c r="B553" s="51" t="str">
        <f aca="false">IF(A553="","",MONTH(A553))</f>
        <v/>
      </c>
      <c r="C553" s="52"/>
      <c r="D553" s="52"/>
      <c r="E553" s="52"/>
      <c r="F553" s="53"/>
      <c r="G553" s="52"/>
      <c r="H553" s="54" t="str">
        <f aca="false">IF(E553="","",E553*N(F553)*IF(G553="",1,G553))</f>
        <v/>
      </c>
      <c r="I553" s="55" t="str">
        <f aca="false">IF(C553="","",IFERROR(INDEX('DANH MỤC'!$B$5:$B$200,MATCH(C553,'DANH MỤC'!$A$5:$A$200,0)),"⚠ Mã chưa có trong DANH MỤC"))</f>
        <v/>
      </c>
      <c r="J553" s="52"/>
      <c r="K553" s="52"/>
      <c r="L553" s="52"/>
    </row>
    <row r="554" customFormat="false" ht="15" hidden="false" customHeight="false" outlineLevel="0" collapsed="false">
      <c r="A554" s="50"/>
      <c r="B554" s="51" t="str">
        <f aca="false">IF(A554="","",MONTH(A554))</f>
        <v/>
      </c>
      <c r="C554" s="52"/>
      <c r="D554" s="52"/>
      <c r="E554" s="52"/>
      <c r="F554" s="53"/>
      <c r="G554" s="52"/>
      <c r="H554" s="54" t="str">
        <f aca="false">IF(E554="","",E554*N(F554)*IF(G554="",1,G554))</f>
        <v/>
      </c>
      <c r="I554" s="55" t="str">
        <f aca="false">IF(C554="","",IFERROR(INDEX('DANH MỤC'!$B$5:$B$200,MATCH(C554,'DANH MỤC'!$A$5:$A$200,0)),"⚠ Mã chưa có trong DANH MỤC"))</f>
        <v/>
      </c>
      <c r="J554" s="52"/>
      <c r="K554" s="52"/>
      <c r="L554" s="52"/>
    </row>
    <row r="555" customFormat="false" ht="15" hidden="false" customHeight="false" outlineLevel="0" collapsed="false">
      <c r="A555" s="50"/>
      <c r="B555" s="51" t="str">
        <f aca="false">IF(A555="","",MONTH(A555))</f>
        <v/>
      </c>
      <c r="C555" s="52"/>
      <c r="D555" s="52"/>
      <c r="E555" s="52"/>
      <c r="F555" s="53"/>
      <c r="G555" s="52"/>
      <c r="H555" s="54" t="str">
        <f aca="false">IF(E555="","",E555*N(F555)*IF(G555="",1,G555))</f>
        <v/>
      </c>
      <c r="I555" s="55" t="str">
        <f aca="false">IF(C555="","",IFERROR(INDEX('DANH MỤC'!$B$5:$B$200,MATCH(C555,'DANH MỤC'!$A$5:$A$200,0)),"⚠ Mã chưa có trong DANH MỤC"))</f>
        <v/>
      </c>
      <c r="J555" s="52"/>
      <c r="K555" s="52"/>
      <c r="L555" s="52"/>
    </row>
    <row r="556" customFormat="false" ht="15" hidden="false" customHeight="false" outlineLevel="0" collapsed="false">
      <c r="A556" s="50"/>
      <c r="B556" s="51" t="str">
        <f aca="false">IF(A556="","",MONTH(A556))</f>
        <v/>
      </c>
      <c r="C556" s="52"/>
      <c r="D556" s="52"/>
      <c r="E556" s="52"/>
      <c r="F556" s="53"/>
      <c r="G556" s="52"/>
      <c r="H556" s="54" t="str">
        <f aca="false">IF(E556="","",E556*N(F556)*IF(G556="",1,G556))</f>
        <v/>
      </c>
      <c r="I556" s="55" t="str">
        <f aca="false">IF(C556="","",IFERROR(INDEX('DANH MỤC'!$B$5:$B$200,MATCH(C556,'DANH MỤC'!$A$5:$A$200,0)),"⚠ Mã chưa có trong DANH MỤC"))</f>
        <v/>
      </c>
      <c r="J556" s="52"/>
      <c r="K556" s="52"/>
      <c r="L556" s="52"/>
    </row>
    <row r="557" customFormat="false" ht="15" hidden="false" customHeight="false" outlineLevel="0" collapsed="false">
      <c r="A557" s="50"/>
      <c r="B557" s="51" t="str">
        <f aca="false">IF(A557="","",MONTH(A557))</f>
        <v/>
      </c>
      <c r="C557" s="52"/>
      <c r="D557" s="52"/>
      <c r="E557" s="52"/>
      <c r="F557" s="53"/>
      <c r="G557" s="52"/>
      <c r="H557" s="54" t="str">
        <f aca="false">IF(E557="","",E557*N(F557)*IF(G557="",1,G557))</f>
        <v/>
      </c>
      <c r="I557" s="55" t="str">
        <f aca="false">IF(C557="","",IFERROR(INDEX('DANH MỤC'!$B$5:$B$200,MATCH(C557,'DANH MỤC'!$A$5:$A$200,0)),"⚠ Mã chưa có trong DANH MỤC"))</f>
        <v/>
      </c>
      <c r="J557" s="52"/>
      <c r="K557" s="52"/>
      <c r="L557" s="52"/>
    </row>
    <row r="558" customFormat="false" ht="15" hidden="false" customHeight="false" outlineLevel="0" collapsed="false">
      <c r="A558" s="50"/>
      <c r="B558" s="51" t="str">
        <f aca="false">IF(A558="","",MONTH(A558))</f>
        <v/>
      </c>
      <c r="C558" s="52"/>
      <c r="D558" s="52"/>
      <c r="E558" s="52"/>
      <c r="F558" s="53"/>
      <c r="G558" s="52"/>
      <c r="H558" s="54" t="str">
        <f aca="false">IF(E558="","",E558*N(F558)*IF(G558="",1,G558))</f>
        <v/>
      </c>
      <c r="I558" s="55" t="str">
        <f aca="false">IF(C558="","",IFERROR(INDEX('DANH MỤC'!$B$5:$B$200,MATCH(C558,'DANH MỤC'!$A$5:$A$200,0)),"⚠ Mã chưa có trong DANH MỤC"))</f>
        <v/>
      </c>
      <c r="J558" s="52"/>
      <c r="K558" s="52"/>
      <c r="L558" s="52"/>
    </row>
    <row r="559" customFormat="false" ht="15" hidden="false" customHeight="false" outlineLevel="0" collapsed="false">
      <c r="A559" s="50"/>
      <c r="B559" s="51" t="str">
        <f aca="false">IF(A559="","",MONTH(A559))</f>
        <v/>
      </c>
      <c r="C559" s="52"/>
      <c r="D559" s="52"/>
      <c r="E559" s="52"/>
      <c r="F559" s="53"/>
      <c r="G559" s="52"/>
      <c r="H559" s="54" t="str">
        <f aca="false">IF(E559="","",E559*N(F559)*IF(G559="",1,G559))</f>
        <v/>
      </c>
      <c r="I559" s="55" t="str">
        <f aca="false">IF(C559="","",IFERROR(INDEX('DANH MỤC'!$B$5:$B$200,MATCH(C559,'DANH MỤC'!$A$5:$A$200,0)),"⚠ Mã chưa có trong DANH MỤC"))</f>
        <v/>
      </c>
      <c r="J559" s="52"/>
      <c r="K559" s="52"/>
      <c r="L559" s="52"/>
    </row>
    <row r="560" customFormat="false" ht="15" hidden="false" customHeight="false" outlineLevel="0" collapsed="false">
      <c r="A560" s="50"/>
      <c r="B560" s="51" t="str">
        <f aca="false">IF(A560="","",MONTH(A560))</f>
        <v/>
      </c>
      <c r="C560" s="52"/>
      <c r="D560" s="52"/>
      <c r="E560" s="52"/>
      <c r="F560" s="53"/>
      <c r="G560" s="52"/>
      <c r="H560" s="54" t="str">
        <f aca="false">IF(E560="","",E560*N(F560)*IF(G560="",1,G560))</f>
        <v/>
      </c>
      <c r="I560" s="55" t="str">
        <f aca="false">IF(C560="","",IFERROR(INDEX('DANH MỤC'!$B$5:$B$200,MATCH(C560,'DANH MỤC'!$A$5:$A$200,0)),"⚠ Mã chưa có trong DANH MỤC"))</f>
        <v/>
      </c>
      <c r="J560" s="52"/>
      <c r="K560" s="52"/>
      <c r="L560" s="52"/>
    </row>
    <row r="561" customFormat="false" ht="15" hidden="false" customHeight="false" outlineLevel="0" collapsed="false">
      <c r="A561" s="50"/>
      <c r="B561" s="51" t="str">
        <f aca="false">IF(A561="","",MONTH(A561))</f>
        <v/>
      </c>
      <c r="C561" s="52"/>
      <c r="D561" s="52"/>
      <c r="E561" s="52"/>
      <c r="F561" s="53"/>
      <c r="G561" s="52"/>
      <c r="H561" s="54" t="str">
        <f aca="false">IF(E561="","",E561*N(F561)*IF(G561="",1,G561))</f>
        <v/>
      </c>
      <c r="I561" s="55" t="str">
        <f aca="false">IF(C561="","",IFERROR(INDEX('DANH MỤC'!$B$5:$B$200,MATCH(C561,'DANH MỤC'!$A$5:$A$200,0)),"⚠ Mã chưa có trong DANH MỤC"))</f>
        <v/>
      </c>
      <c r="J561" s="52"/>
      <c r="K561" s="52"/>
      <c r="L561" s="52"/>
    </row>
    <row r="562" customFormat="false" ht="15" hidden="false" customHeight="false" outlineLevel="0" collapsed="false">
      <c r="A562" s="50"/>
      <c r="B562" s="51" t="str">
        <f aca="false">IF(A562="","",MONTH(A562))</f>
        <v/>
      </c>
      <c r="C562" s="52"/>
      <c r="D562" s="52"/>
      <c r="E562" s="52"/>
      <c r="F562" s="53"/>
      <c r="G562" s="52"/>
      <c r="H562" s="54" t="str">
        <f aca="false">IF(E562="","",E562*N(F562)*IF(G562="",1,G562))</f>
        <v/>
      </c>
      <c r="I562" s="55" t="str">
        <f aca="false">IF(C562="","",IFERROR(INDEX('DANH MỤC'!$B$5:$B$200,MATCH(C562,'DANH MỤC'!$A$5:$A$200,0)),"⚠ Mã chưa có trong DANH MỤC"))</f>
        <v/>
      </c>
      <c r="J562" s="52"/>
      <c r="K562" s="52"/>
      <c r="L562" s="52"/>
    </row>
    <row r="563" customFormat="false" ht="15" hidden="false" customHeight="false" outlineLevel="0" collapsed="false">
      <c r="A563" s="50"/>
      <c r="B563" s="51" t="str">
        <f aca="false">IF(A563="","",MONTH(A563))</f>
        <v/>
      </c>
      <c r="C563" s="52"/>
      <c r="D563" s="52"/>
      <c r="E563" s="52"/>
      <c r="F563" s="53"/>
      <c r="G563" s="52"/>
      <c r="H563" s="54" t="str">
        <f aca="false">IF(E563="","",E563*N(F563)*IF(G563="",1,G563))</f>
        <v/>
      </c>
      <c r="I563" s="55" t="str">
        <f aca="false">IF(C563="","",IFERROR(INDEX('DANH MỤC'!$B$5:$B$200,MATCH(C563,'DANH MỤC'!$A$5:$A$200,0)),"⚠ Mã chưa có trong DANH MỤC"))</f>
        <v/>
      </c>
      <c r="J563" s="52"/>
      <c r="K563" s="52"/>
      <c r="L563" s="52"/>
    </row>
    <row r="564" customFormat="false" ht="15" hidden="false" customHeight="false" outlineLevel="0" collapsed="false">
      <c r="A564" s="50"/>
      <c r="B564" s="51" t="str">
        <f aca="false">IF(A564="","",MONTH(A564))</f>
        <v/>
      </c>
      <c r="C564" s="52"/>
      <c r="D564" s="52"/>
      <c r="E564" s="52"/>
      <c r="F564" s="53"/>
      <c r="G564" s="52"/>
      <c r="H564" s="54" t="str">
        <f aca="false">IF(E564="","",E564*N(F564)*IF(G564="",1,G564))</f>
        <v/>
      </c>
      <c r="I564" s="55" t="str">
        <f aca="false">IF(C564="","",IFERROR(INDEX('DANH MỤC'!$B$5:$B$200,MATCH(C564,'DANH MỤC'!$A$5:$A$200,0)),"⚠ Mã chưa có trong DANH MỤC"))</f>
        <v/>
      </c>
      <c r="J564" s="52"/>
      <c r="K564" s="52"/>
      <c r="L564" s="52"/>
    </row>
    <row r="565" customFormat="false" ht="15" hidden="false" customHeight="false" outlineLevel="0" collapsed="false">
      <c r="A565" s="50"/>
      <c r="B565" s="51" t="str">
        <f aca="false">IF(A565="","",MONTH(A565))</f>
        <v/>
      </c>
      <c r="C565" s="52"/>
      <c r="D565" s="52"/>
      <c r="E565" s="52"/>
      <c r="F565" s="53"/>
      <c r="G565" s="52"/>
      <c r="H565" s="54" t="str">
        <f aca="false">IF(E565="","",E565*N(F565)*IF(G565="",1,G565))</f>
        <v/>
      </c>
      <c r="I565" s="55" t="str">
        <f aca="false">IF(C565="","",IFERROR(INDEX('DANH MỤC'!$B$5:$B$200,MATCH(C565,'DANH MỤC'!$A$5:$A$200,0)),"⚠ Mã chưa có trong DANH MỤC"))</f>
        <v/>
      </c>
      <c r="J565" s="52"/>
      <c r="K565" s="52"/>
      <c r="L565" s="52"/>
    </row>
    <row r="566" customFormat="false" ht="15" hidden="false" customHeight="false" outlineLevel="0" collapsed="false">
      <c r="A566" s="50"/>
      <c r="B566" s="51" t="str">
        <f aca="false">IF(A566="","",MONTH(A566))</f>
        <v/>
      </c>
      <c r="C566" s="52"/>
      <c r="D566" s="52"/>
      <c r="E566" s="52"/>
      <c r="F566" s="53"/>
      <c r="G566" s="52"/>
      <c r="H566" s="54" t="str">
        <f aca="false">IF(E566="","",E566*N(F566)*IF(G566="",1,G566))</f>
        <v/>
      </c>
      <c r="I566" s="55" t="str">
        <f aca="false">IF(C566="","",IFERROR(INDEX('DANH MỤC'!$B$5:$B$200,MATCH(C566,'DANH MỤC'!$A$5:$A$200,0)),"⚠ Mã chưa có trong DANH MỤC"))</f>
        <v/>
      </c>
      <c r="J566" s="52"/>
      <c r="K566" s="52"/>
      <c r="L566" s="52"/>
    </row>
    <row r="567" customFormat="false" ht="15" hidden="false" customHeight="false" outlineLevel="0" collapsed="false">
      <c r="A567" s="50"/>
      <c r="B567" s="51" t="str">
        <f aca="false">IF(A567="","",MONTH(A567))</f>
        <v/>
      </c>
      <c r="C567" s="52"/>
      <c r="D567" s="52"/>
      <c r="E567" s="52"/>
      <c r="F567" s="53"/>
      <c r="G567" s="52"/>
      <c r="H567" s="54" t="str">
        <f aca="false">IF(E567="","",E567*N(F567)*IF(G567="",1,G567))</f>
        <v/>
      </c>
      <c r="I567" s="55" t="str">
        <f aca="false">IF(C567="","",IFERROR(INDEX('DANH MỤC'!$B$5:$B$200,MATCH(C567,'DANH MỤC'!$A$5:$A$200,0)),"⚠ Mã chưa có trong DANH MỤC"))</f>
        <v/>
      </c>
      <c r="J567" s="52"/>
      <c r="K567" s="52"/>
      <c r="L567" s="52"/>
    </row>
    <row r="568" customFormat="false" ht="15" hidden="false" customHeight="false" outlineLevel="0" collapsed="false">
      <c r="A568" s="50"/>
      <c r="B568" s="51" t="str">
        <f aca="false">IF(A568="","",MONTH(A568))</f>
        <v/>
      </c>
      <c r="C568" s="52"/>
      <c r="D568" s="52"/>
      <c r="E568" s="52"/>
      <c r="F568" s="53"/>
      <c r="G568" s="52"/>
      <c r="H568" s="54" t="str">
        <f aca="false">IF(E568="","",E568*N(F568)*IF(G568="",1,G568))</f>
        <v/>
      </c>
      <c r="I568" s="55" t="str">
        <f aca="false">IF(C568="","",IFERROR(INDEX('DANH MỤC'!$B$5:$B$200,MATCH(C568,'DANH MỤC'!$A$5:$A$200,0)),"⚠ Mã chưa có trong DANH MỤC"))</f>
        <v/>
      </c>
      <c r="J568" s="52"/>
      <c r="K568" s="52"/>
      <c r="L568" s="52"/>
    </row>
    <row r="569" customFormat="false" ht="15" hidden="false" customHeight="false" outlineLevel="0" collapsed="false">
      <c r="A569" s="50"/>
      <c r="B569" s="51" t="str">
        <f aca="false">IF(A569="","",MONTH(A569))</f>
        <v/>
      </c>
      <c r="C569" s="52"/>
      <c r="D569" s="52"/>
      <c r="E569" s="52"/>
      <c r="F569" s="53"/>
      <c r="G569" s="52"/>
      <c r="H569" s="54" t="str">
        <f aca="false">IF(E569="","",E569*N(F569)*IF(G569="",1,G569))</f>
        <v/>
      </c>
      <c r="I569" s="55" t="str">
        <f aca="false">IF(C569="","",IFERROR(INDEX('DANH MỤC'!$B$5:$B$200,MATCH(C569,'DANH MỤC'!$A$5:$A$200,0)),"⚠ Mã chưa có trong DANH MỤC"))</f>
        <v/>
      </c>
      <c r="J569" s="52"/>
      <c r="K569" s="52"/>
      <c r="L569" s="52"/>
    </row>
    <row r="570" customFormat="false" ht="15" hidden="false" customHeight="false" outlineLevel="0" collapsed="false">
      <c r="A570" s="50"/>
      <c r="B570" s="51" t="str">
        <f aca="false">IF(A570="","",MONTH(A570))</f>
        <v/>
      </c>
      <c r="C570" s="52"/>
      <c r="D570" s="52"/>
      <c r="E570" s="52"/>
      <c r="F570" s="53"/>
      <c r="G570" s="52"/>
      <c r="H570" s="54" t="str">
        <f aca="false">IF(E570="","",E570*N(F570)*IF(G570="",1,G570))</f>
        <v/>
      </c>
      <c r="I570" s="55" t="str">
        <f aca="false">IF(C570="","",IFERROR(INDEX('DANH MỤC'!$B$5:$B$200,MATCH(C570,'DANH MỤC'!$A$5:$A$200,0)),"⚠ Mã chưa có trong DANH MỤC"))</f>
        <v/>
      </c>
      <c r="J570" s="52"/>
      <c r="K570" s="52"/>
      <c r="L570" s="52"/>
    </row>
    <row r="571" customFormat="false" ht="15" hidden="false" customHeight="false" outlineLevel="0" collapsed="false">
      <c r="A571" s="50"/>
      <c r="B571" s="51" t="str">
        <f aca="false">IF(A571="","",MONTH(A571))</f>
        <v/>
      </c>
      <c r="C571" s="52"/>
      <c r="D571" s="52"/>
      <c r="E571" s="52"/>
      <c r="F571" s="53"/>
      <c r="G571" s="52"/>
      <c r="H571" s="54" t="str">
        <f aca="false">IF(E571="","",E571*N(F571)*IF(G571="",1,G571))</f>
        <v/>
      </c>
      <c r="I571" s="55" t="str">
        <f aca="false">IF(C571="","",IFERROR(INDEX('DANH MỤC'!$B$5:$B$200,MATCH(C571,'DANH MỤC'!$A$5:$A$200,0)),"⚠ Mã chưa có trong DANH MỤC"))</f>
        <v/>
      </c>
      <c r="J571" s="52"/>
      <c r="K571" s="52"/>
      <c r="L571" s="52"/>
    </row>
    <row r="572" customFormat="false" ht="15" hidden="false" customHeight="false" outlineLevel="0" collapsed="false">
      <c r="A572" s="50"/>
      <c r="B572" s="51" t="str">
        <f aca="false">IF(A572="","",MONTH(A572))</f>
        <v/>
      </c>
      <c r="C572" s="52"/>
      <c r="D572" s="52"/>
      <c r="E572" s="52"/>
      <c r="F572" s="53"/>
      <c r="G572" s="52"/>
      <c r="H572" s="54" t="str">
        <f aca="false">IF(E572="","",E572*N(F572)*IF(G572="",1,G572))</f>
        <v/>
      </c>
      <c r="I572" s="55" t="str">
        <f aca="false">IF(C572="","",IFERROR(INDEX('DANH MỤC'!$B$5:$B$200,MATCH(C572,'DANH MỤC'!$A$5:$A$200,0)),"⚠ Mã chưa có trong DANH MỤC"))</f>
        <v/>
      </c>
      <c r="J572" s="52"/>
      <c r="K572" s="52"/>
      <c r="L572" s="52"/>
    </row>
    <row r="573" customFormat="false" ht="15" hidden="false" customHeight="false" outlineLevel="0" collapsed="false">
      <c r="A573" s="50"/>
      <c r="B573" s="51" t="str">
        <f aca="false">IF(A573="","",MONTH(A573))</f>
        <v/>
      </c>
      <c r="C573" s="52"/>
      <c r="D573" s="52"/>
      <c r="E573" s="52"/>
      <c r="F573" s="53"/>
      <c r="G573" s="52"/>
      <c r="H573" s="54" t="str">
        <f aca="false">IF(E573="","",E573*N(F573)*IF(G573="",1,G573))</f>
        <v/>
      </c>
      <c r="I573" s="55" t="str">
        <f aca="false">IF(C573="","",IFERROR(INDEX('DANH MỤC'!$B$5:$B$200,MATCH(C573,'DANH MỤC'!$A$5:$A$200,0)),"⚠ Mã chưa có trong DANH MỤC"))</f>
        <v/>
      </c>
      <c r="J573" s="52"/>
      <c r="K573" s="52"/>
      <c r="L573" s="52"/>
    </row>
    <row r="574" customFormat="false" ht="15" hidden="false" customHeight="false" outlineLevel="0" collapsed="false">
      <c r="A574" s="50"/>
      <c r="B574" s="51" t="str">
        <f aca="false">IF(A574="","",MONTH(A574))</f>
        <v/>
      </c>
      <c r="C574" s="52"/>
      <c r="D574" s="52"/>
      <c r="E574" s="52"/>
      <c r="F574" s="53"/>
      <c r="G574" s="52"/>
      <c r="H574" s="54" t="str">
        <f aca="false">IF(E574="","",E574*N(F574)*IF(G574="",1,G574))</f>
        <v/>
      </c>
      <c r="I574" s="55" t="str">
        <f aca="false">IF(C574="","",IFERROR(INDEX('DANH MỤC'!$B$5:$B$200,MATCH(C574,'DANH MỤC'!$A$5:$A$200,0)),"⚠ Mã chưa có trong DANH MỤC"))</f>
        <v/>
      </c>
      <c r="J574" s="52"/>
      <c r="K574" s="52"/>
      <c r="L574" s="52"/>
    </row>
    <row r="575" customFormat="false" ht="15" hidden="false" customHeight="false" outlineLevel="0" collapsed="false">
      <c r="A575" s="50"/>
      <c r="B575" s="51" t="str">
        <f aca="false">IF(A575="","",MONTH(A575))</f>
        <v/>
      </c>
      <c r="C575" s="52"/>
      <c r="D575" s="52"/>
      <c r="E575" s="52"/>
      <c r="F575" s="53"/>
      <c r="G575" s="52"/>
      <c r="H575" s="54" t="str">
        <f aca="false">IF(E575="","",E575*N(F575)*IF(G575="",1,G575))</f>
        <v/>
      </c>
      <c r="I575" s="55" t="str">
        <f aca="false">IF(C575="","",IFERROR(INDEX('DANH MỤC'!$B$5:$B$200,MATCH(C575,'DANH MỤC'!$A$5:$A$200,0)),"⚠ Mã chưa có trong DANH MỤC"))</f>
        <v/>
      </c>
      <c r="J575" s="52"/>
      <c r="K575" s="52"/>
      <c r="L575" s="52"/>
    </row>
    <row r="576" customFormat="false" ht="15" hidden="false" customHeight="false" outlineLevel="0" collapsed="false">
      <c r="A576" s="50"/>
      <c r="B576" s="51" t="str">
        <f aca="false">IF(A576="","",MONTH(A576))</f>
        <v/>
      </c>
      <c r="C576" s="52"/>
      <c r="D576" s="52"/>
      <c r="E576" s="52"/>
      <c r="F576" s="53"/>
      <c r="G576" s="52"/>
      <c r="H576" s="54" t="str">
        <f aca="false">IF(E576="","",E576*N(F576)*IF(G576="",1,G576))</f>
        <v/>
      </c>
      <c r="I576" s="55" t="str">
        <f aca="false">IF(C576="","",IFERROR(INDEX('DANH MỤC'!$B$5:$B$200,MATCH(C576,'DANH MỤC'!$A$5:$A$200,0)),"⚠ Mã chưa có trong DANH MỤC"))</f>
        <v/>
      </c>
      <c r="J576" s="52"/>
      <c r="K576" s="52"/>
      <c r="L576" s="52"/>
    </row>
    <row r="577" customFormat="false" ht="15" hidden="false" customHeight="false" outlineLevel="0" collapsed="false">
      <c r="A577" s="50"/>
      <c r="B577" s="51" t="str">
        <f aca="false">IF(A577="","",MONTH(A577))</f>
        <v/>
      </c>
      <c r="C577" s="52"/>
      <c r="D577" s="52"/>
      <c r="E577" s="52"/>
      <c r="F577" s="53"/>
      <c r="G577" s="52"/>
      <c r="H577" s="54" t="str">
        <f aca="false">IF(E577="","",E577*N(F577)*IF(G577="",1,G577))</f>
        <v/>
      </c>
      <c r="I577" s="55" t="str">
        <f aca="false">IF(C577="","",IFERROR(INDEX('DANH MỤC'!$B$5:$B$200,MATCH(C577,'DANH MỤC'!$A$5:$A$200,0)),"⚠ Mã chưa có trong DANH MỤC"))</f>
        <v/>
      </c>
      <c r="J577" s="52"/>
      <c r="K577" s="52"/>
      <c r="L577" s="52"/>
    </row>
    <row r="578" customFormat="false" ht="15" hidden="false" customHeight="false" outlineLevel="0" collapsed="false">
      <c r="A578" s="50"/>
      <c r="B578" s="51" t="str">
        <f aca="false">IF(A578="","",MONTH(A578))</f>
        <v/>
      </c>
      <c r="C578" s="52"/>
      <c r="D578" s="52"/>
      <c r="E578" s="52"/>
      <c r="F578" s="53"/>
      <c r="G578" s="52"/>
      <c r="H578" s="54" t="str">
        <f aca="false">IF(E578="","",E578*N(F578)*IF(G578="",1,G578))</f>
        <v/>
      </c>
      <c r="I578" s="55" t="str">
        <f aca="false">IF(C578="","",IFERROR(INDEX('DANH MỤC'!$B$5:$B$200,MATCH(C578,'DANH MỤC'!$A$5:$A$200,0)),"⚠ Mã chưa có trong DANH MỤC"))</f>
        <v/>
      </c>
      <c r="J578" s="52"/>
      <c r="K578" s="52"/>
      <c r="L578" s="52"/>
    </row>
    <row r="579" customFormat="false" ht="15" hidden="false" customHeight="false" outlineLevel="0" collapsed="false">
      <c r="A579" s="50"/>
      <c r="B579" s="51" t="str">
        <f aca="false">IF(A579="","",MONTH(A579))</f>
        <v/>
      </c>
      <c r="C579" s="52"/>
      <c r="D579" s="52"/>
      <c r="E579" s="52"/>
      <c r="F579" s="53"/>
      <c r="G579" s="52"/>
      <c r="H579" s="54" t="str">
        <f aca="false">IF(E579="","",E579*N(F579)*IF(G579="",1,G579))</f>
        <v/>
      </c>
      <c r="I579" s="55" t="str">
        <f aca="false">IF(C579="","",IFERROR(INDEX('DANH MỤC'!$B$5:$B$200,MATCH(C579,'DANH MỤC'!$A$5:$A$200,0)),"⚠ Mã chưa có trong DANH MỤC"))</f>
        <v/>
      </c>
      <c r="J579" s="52"/>
      <c r="K579" s="52"/>
      <c r="L579" s="52"/>
    </row>
    <row r="580" customFormat="false" ht="15" hidden="false" customHeight="false" outlineLevel="0" collapsed="false">
      <c r="A580" s="50"/>
      <c r="B580" s="51" t="str">
        <f aca="false">IF(A580="","",MONTH(A580))</f>
        <v/>
      </c>
      <c r="C580" s="52"/>
      <c r="D580" s="52"/>
      <c r="E580" s="52"/>
      <c r="F580" s="53"/>
      <c r="G580" s="52"/>
      <c r="H580" s="54" t="str">
        <f aca="false">IF(E580="","",E580*N(F580)*IF(G580="",1,G580))</f>
        <v/>
      </c>
      <c r="I580" s="55" t="str">
        <f aca="false">IF(C580="","",IFERROR(INDEX('DANH MỤC'!$B$5:$B$200,MATCH(C580,'DANH MỤC'!$A$5:$A$200,0)),"⚠ Mã chưa có trong DANH MỤC"))</f>
        <v/>
      </c>
      <c r="J580" s="52"/>
      <c r="K580" s="52"/>
      <c r="L580" s="52"/>
    </row>
    <row r="581" customFormat="false" ht="15" hidden="false" customHeight="false" outlineLevel="0" collapsed="false">
      <c r="A581" s="50"/>
      <c r="B581" s="51" t="str">
        <f aca="false">IF(A581="","",MONTH(A581))</f>
        <v/>
      </c>
      <c r="C581" s="52"/>
      <c r="D581" s="52"/>
      <c r="E581" s="52"/>
      <c r="F581" s="53"/>
      <c r="G581" s="52"/>
      <c r="H581" s="54" t="str">
        <f aca="false">IF(E581="","",E581*N(F581)*IF(G581="",1,G581))</f>
        <v/>
      </c>
      <c r="I581" s="55" t="str">
        <f aca="false">IF(C581="","",IFERROR(INDEX('DANH MỤC'!$B$5:$B$200,MATCH(C581,'DANH MỤC'!$A$5:$A$200,0)),"⚠ Mã chưa có trong DANH MỤC"))</f>
        <v/>
      </c>
      <c r="J581" s="52"/>
      <c r="K581" s="52"/>
      <c r="L581" s="52"/>
    </row>
    <row r="582" customFormat="false" ht="15" hidden="false" customHeight="false" outlineLevel="0" collapsed="false">
      <c r="A582" s="50"/>
      <c r="B582" s="51" t="str">
        <f aca="false">IF(A582="","",MONTH(A582))</f>
        <v/>
      </c>
      <c r="C582" s="52"/>
      <c r="D582" s="52"/>
      <c r="E582" s="52"/>
      <c r="F582" s="53"/>
      <c r="G582" s="52"/>
      <c r="H582" s="54" t="str">
        <f aca="false">IF(E582="","",E582*N(F582)*IF(G582="",1,G582))</f>
        <v/>
      </c>
      <c r="I582" s="55" t="str">
        <f aca="false">IF(C582="","",IFERROR(INDEX('DANH MỤC'!$B$5:$B$200,MATCH(C582,'DANH MỤC'!$A$5:$A$200,0)),"⚠ Mã chưa có trong DANH MỤC"))</f>
        <v/>
      </c>
      <c r="J582" s="52"/>
      <c r="K582" s="52"/>
      <c r="L582" s="52"/>
    </row>
    <row r="583" customFormat="false" ht="15" hidden="false" customHeight="false" outlineLevel="0" collapsed="false">
      <c r="A583" s="50"/>
      <c r="B583" s="51" t="str">
        <f aca="false">IF(A583="","",MONTH(A583))</f>
        <v/>
      </c>
      <c r="C583" s="52"/>
      <c r="D583" s="52"/>
      <c r="E583" s="52"/>
      <c r="F583" s="53"/>
      <c r="G583" s="52"/>
      <c r="H583" s="54" t="str">
        <f aca="false">IF(E583="","",E583*N(F583)*IF(G583="",1,G583))</f>
        <v/>
      </c>
      <c r="I583" s="55" t="str">
        <f aca="false">IF(C583="","",IFERROR(INDEX('DANH MỤC'!$B$5:$B$200,MATCH(C583,'DANH MỤC'!$A$5:$A$200,0)),"⚠ Mã chưa có trong DANH MỤC"))</f>
        <v/>
      </c>
      <c r="J583" s="52"/>
      <c r="K583" s="52"/>
      <c r="L583" s="52"/>
    </row>
    <row r="584" customFormat="false" ht="15" hidden="false" customHeight="false" outlineLevel="0" collapsed="false">
      <c r="A584" s="50"/>
      <c r="B584" s="51" t="str">
        <f aca="false">IF(A584="","",MONTH(A584))</f>
        <v/>
      </c>
      <c r="C584" s="52"/>
      <c r="D584" s="52"/>
      <c r="E584" s="52"/>
      <c r="F584" s="53"/>
      <c r="G584" s="52"/>
      <c r="H584" s="54" t="str">
        <f aca="false">IF(E584="","",E584*N(F584)*IF(G584="",1,G584))</f>
        <v/>
      </c>
      <c r="I584" s="55" t="str">
        <f aca="false">IF(C584="","",IFERROR(INDEX('DANH MỤC'!$B$5:$B$200,MATCH(C584,'DANH MỤC'!$A$5:$A$200,0)),"⚠ Mã chưa có trong DANH MỤC"))</f>
        <v/>
      </c>
      <c r="J584" s="52"/>
      <c r="K584" s="52"/>
      <c r="L584" s="52"/>
    </row>
    <row r="585" customFormat="false" ht="15" hidden="false" customHeight="false" outlineLevel="0" collapsed="false">
      <c r="A585" s="50"/>
      <c r="B585" s="51" t="str">
        <f aca="false">IF(A585="","",MONTH(A585))</f>
        <v/>
      </c>
      <c r="C585" s="52"/>
      <c r="D585" s="52"/>
      <c r="E585" s="52"/>
      <c r="F585" s="53"/>
      <c r="G585" s="52"/>
      <c r="H585" s="54" t="str">
        <f aca="false">IF(E585="","",E585*N(F585)*IF(G585="",1,G585))</f>
        <v/>
      </c>
      <c r="I585" s="55" t="str">
        <f aca="false">IF(C585="","",IFERROR(INDEX('DANH MỤC'!$B$5:$B$200,MATCH(C585,'DANH MỤC'!$A$5:$A$200,0)),"⚠ Mã chưa có trong DANH MỤC"))</f>
        <v/>
      </c>
      <c r="J585" s="52"/>
      <c r="K585" s="52"/>
      <c r="L585" s="52"/>
    </row>
    <row r="586" customFormat="false" ht="15" hidden="false" customHeight="false" outlineLevel="0" collapsed="false">
      <c r="A586" s="50"/>
      <c r="B586" s="51" t="str">
        <f aca="false">IF(A586="","",MONTH(A586))</f>
        <v/>
      </c>
      <c r="C586" s="52"/>
      <c r="D586" s="52"/>
      <c r="E586" s="52"/>
      <c r="F586" s="53"/>
      <c r="G586" s="52"/>
      <c r="H586" s="54" t="str">
        <f aca="false">IF(E586="","",E586*N(F586)*IF(G586="",1,G586))</f>
        <v/>
      </c>
      <c r="I586" s="55" t="str">
        <f aca="false">IF(C586="","",IFERROR(INDEX('DANH MỤC'!$B$5:$B$200,MATCH(C586,'DANH MỤC'!$A$5:$A$200,0)),"⚠ Mã chưa có trong DANH MỤC"))</f>
        <v/>
      </c>
      <c r="J586" s="52"/>
      <c r="K586" s="52"/>
      <c r="L586" s="52"/>
    </row>
    <row r="587" customFormat="false" ht="15" hidden="false" customHeight="false" outlineLevel="0" collapsed="false">
      <c r="A587" s="50"/>
      <c r="B587" s="51" t="str">
        <f aca="false">IF(A587="","",MONTH(A587))</f>
        <v/>
      </c>
      <c r="C587" s="52"/>
      <c r="D587" s="52"/>
      <c r="E587" s="52"/>
      <c r="F587" s="53"/>
      <c r="G587" s="52"/>
      <c r="H587" s="54" t="str">
        <f aca="false">IF(E587="","",E587*N(F587)*IF(G587="",1,G587))</f>
        <v/>
      </c>
      <c r="I587" s="55" t="str">
        <f aca="false">IF(C587="","",IFERROR(INDEX('DANH MỤC'!$B$5:$B$200,MATCH(C587,'DANH MỤC'!$A$5:$A$200,0)),"⚠ Mã chưa có trong DANH MỤC"))</f>
        <v/>
      </c>
      <c r="J587" s="52"/>
      <c r="K587" s="52"/>
      <c r="L587" s="52"/>
    </row>
    <row r="588" customFormat="false" ht="15" hidden="false" customHeight="false" outlineLevel="0" collapsed="false">
      <c r="A588" s="50"/>
      <c r="B588" s="51" t="str">
        <f aca="false">IF(A588="","",MONTH(A588))</f>
        <v/>
      </c>
      <c r="C588" s="52"/>
      <c r="D588" s="52"/>
      <c r="E588" s="52"/>
      <c r="F588" s="53"/>
      <c r="G588" s="52"/>
      <c r="H588" s="54" t="str">
        <f aca="false">IF(E588="","",E588*N(F588)*IF(G588="",1,G588))</f>
        <v/>
      </c>
      <c r="I588" s="55" t="str">
        <f aca="false">IF(C588="","",IFERROR(INDEX('DANH MỤC'!$B$5:$B$200,MATCH(C588,'DANH MỤC'!$A$5:$A$200,0)),"⚠ Mã chưa có trong DANH MỤC"))</f>
        <v/>
      </c>
      <c r="J588" s="52"/>
      <c r="K588" s="52"/>
      <c r="L588" s="52"/>
    </row>
    <row r="589" customFormat="false" ht="15" hidden="false" customHeight="false" outlineLevel="0" collapsed="false">
      <c r="A589" s="50"/>
      <c r="B589" s="51" t="str">
        <f aca="false">IF(A589="","",MONTH(A589))</f>
        <v/>
      </c>
      <c r="C589" s="52"/>
      <c r="D589" s="52"/>
      <c r="E589" s="52"/>
      <c r="F589" s="53"/>
      <c r="G589" s="52"/>
      <c r="H589" s="54" t="str">
        <f aca="false">IF(E589="","",E589*N(F589)*IF(G589="",1,G589))</f>
        <v/>
      </c>
      <c r="I589" s="55" t="str">
        <f aca="false">IF(C589="","",IFERROR(INDEX('DANH MỤC'!$B$5:$B$200,MATCH(C589,'DANH MỤC'!$A$5:$A$200,0)),"⚠ Mã chưa có trong DANH MỤC"))</f>
        <v/>
      </c>
      <c r="J589" s="52"/>
      <c r="K589" s="52"/>
      <c r="L589" s="52"/>
    </row>
    <row r="590" customFormat="false" ht="15" hidden="false" customHeight="false" outlineLevel="0" collapsed="false">
      <c r="A590" s="50"/>
      <c r="B590" s="51" t="str">
        <f aca="false">IF(A590="","",MONTH(A590))</f>
        <v/>
      </c>
      <c r="C590" s="52"/>
      <c r="D590" s="52"/>
      <c r="E590" s="52"/>
      <c r="F590" s="53"/>
      <c r="G590" s="52"/>
      <c r="H590" s="54" t="str">
        <f aca="false">IF(E590="","",E590*N(F590)*IF(G590="",1,G590))</f>
        <v/>
      </c>
      <c r="I590" s="55" t="str">
        <f aca="false">IF(C590="","",IFERROR(INDEX('DANH MỤC'!$B$5:$B$200,MATCH(C590,'DANH MỤC'!$A$5:$A$200,0)),"⚠ Mã chưa có trong DANH MỤC"))</f>
        <v/>
      </c>
      <c r="J590" s="52"/>
      <c r="K590" s="52"/>
      <c r="L590" s="52"/>
    </row>
    <row r="591" customFormat="false" ht="15" hidden="false" customHeight="false" outlineLevel="0" collapsed="false">
      <c r="A591" s="50"/>
      <c r="B591" s="51" t="str">
        <f aca="false">IF(A591="","",MONTH(A591))</f>
        <v/>
      </c>
      <c r="C591" s="52"/>
      <c r="D591" s="52"/>
      <c r="E591" s="52"/>
      <c r="F591" s="53"/>
      <c r="G591" s="52"/>
      <c r="H591" s="54" t="str">
        <f aca="false">IF(E591="","",E591*N(F591)*IF(G591="",1,G591))</f>
        <v/>
      </c>
      <c r="I591" s="55" t="str">
        <f aca="false">IF(C591="","",IFERROR(INDEX('DANH MỤC'!$B$5:$B$200,MATCH(C591,'DANH MỤC'!$A$5:$A$200,0)),"⚠ Mã chưa có trong DANH MỤC"))</f>
        <v/>
      </c>
      <c r="J591" s="52"/>
      <c r="K591" s="52"/>
      <c r="L591" s="52"/>
    </row>
    <row r="592" customFormat="false" ht="15" hidden="false" customHeight="false" outlineLevel="0" collapsed="false">
      <c r="A592" s="50"/>
      <c r="B592" s="51" t="str">
        <f aca="false">IF(A592="","",MONTH(A592))</f>
        <v/>
      </c>
      <c r="C592" s="52"/>
      <c r="D592" s="52"/>
      <c r="E592" s="52"/>
      <c r="F592" s="53"/>
      <c r="G592" s="52"/>
      <c r="H592" s="54" t="str">
        <f aca="false">IF(E592="","",E592*N(F592)*IF(G592="",1,G592))</f>
        <v/>
      </c>
      <c r="I592" s="55" t="str">
        <f aca="false">IF(C592="","",IFERROR(INDEX('DANH MỤC'!$B$5:$B$200,MATCH(C592,'DANH MỤC'!$A$5:$A$200,0)),"⚠ Mã chưa có trong DANH MỤC"))</f>
        <v/>
      </c>
      <c r="J592" s="52"/>
      <c r="K592" s="52"/>
      <c r="L592" s="52"/>
    </row>
    <row r="593" customFormat="false" ht="15" hidden="false" customHeight="false" outlineLevel="0" collapsed="false">
      <c r="A593" s="50"/>
      <c r="B593" s="51" t="str">
        <f aca="false">IF(A593="","",MONTH(A593))</f>
        <v/>
      </c>
      <c r="C593" s="52"/>
      <c r="D593" s="52"/>
      <c r="E593" s="52"/>
      <c r="F593" s="53"/>
      <c r="G593" s="52"/>
      <c r="H593" s="54" t="str">
        <f aca="false">IF(E593="","",E593*N(F593)*IF(G593="",1,G593))</f>
        <v/>
      </c>
      <c r="I593" s="55" t="str">
        <f aca="false">IF(C593="","",IFERROR(INDEX('DANH MỤC'!$B$5:$B$200,MATCH(C593,'DANH MỤC'!$A$5:$A$200,0)),"⚠ Mã chưa có trong DANH MỤC"))</f>
        <v/>
      </c>
      <c r="J593" s="52"/>
      <c r="K593" s="52"/>
      <c r="L593" s="52"/>
    </row>
    <row r="594" customFormat="false" ht="15" hidden="false" customHeight="false" outlineLevel="0" collapsed="false">
      <c r="A594" s="50"/>
      <c r="B594" s="51" t="str">
        <f aca="false">IF(A594="","",MONTH(A594))</f>
        <v/>
      </c>
      <c r="C594" s="52"/>
      <c r="D594" s="52"/>
      <c r="E594" s="52"/>
      <c r="F594" s="53"/>
      <c r="G594" s="52"/>
      <c r="H594" s="54" t="str">
        <f aca="false">IF(E594="","",E594*N(F594)*IF(G594="",1,G594))</f>
        <v/>
      </c>
      <c r="I594" s="55" t="str">
        <f aca="false">IF(C594="","",IFERROR(INDEX('DANH MỤC'!$B$5:$B$200,MATCH(C594,'DANH MỤC'!$A$5:$A$200,0)),"⚠ Mã chưa có trong DANH MỤC"))</f>
        <v/>
      </c>
      <c r="J594" s="52"/>
      <c r="K594" s="52"/>
      <c r="L594" s="52"/>
    </row>
    <row r="595" customFormat="false" ht="15" hidden="false" customHeight="false" outlineLevel="0" collapsed="false">
      <c r="A595" s="50"/>
      <c r="B595" s="51" t="str">
        <f aca="false">IF(A595="","",MONTH(A595))</f>
        <v/>
      </c>
      <c r="C595" s="52"/>
      <c r="D595" s="52"/>
      <c r="E595" s="52"/>
      <c r="F595" s="53"/>
      <c r="G595" s="52"/>
      <c r="H595" s="54" t="str">
        <f aca="false">IF(E595="","",E595*N(F595)*IF(G595="",1,G595))</f>
        <v/>
      </c>
      <c r="I595" s="55" t="str">
        <f aca="false">IF(C595="","",IFERROR(INDEX('DANH MỤC'!$B$5:$B$200,MATCH(C595,'DANH MỤC'!$A$5:$A$200,0)),"⚠ Mã chưa có trong DANH MỤC"))</f>
        <v/>
      </c>
      <c r="J595" s="52"/>
      <c r="K595" s="52"/>
      <c r="L595" s="52"/>
    </row>
    <row r="596" customFormat="false" ht="15" hidden="false" customHeight="false" outlineLevel="0" collapsed="false">
      <c r="A596" s="50"/>
      <c r="B596" s="51" t="str">
        <f aca="false">IF(A596="","",MONTH(A596))</f>
        <v/>
      </c>
      <c r="C596" s="52"/>
      <c r="D596" s="52"/>
      <c r="E596" s="52"/>
      <c r="F596" s="53"/>
      <c r="G596" s="52"/>
      <c r="H596" s="54" t="str">
        <f aca="false">IF(E596="","",E596*N(F596)*IF(G596="",1,G596))</f>
        <v/>
      </c>
      <c r="I596" s="55" t="str">
        <f aca="false">IF(C596="","",IFERROR(INDEX('DANH MỤC'!$B$5:$B$200,MATCH(C596,'DANH MỤC'!$A$5:$A$200,0)),"⚠ Mã chưa có trong DANH MỤC"))</f>
        <v/>
      </c>
      <c r="J596" s="52"/>
      <c r="K596" s="52"/>
      <c r="L596" s="52"/>
    </row>
    <row r="597" customFormat="false" ht="15" hidden="false" customHeight="false" outlineLevel="0" collapsed="false">
      <c r="A597" s="50"/>
      <c r="B597" s="51" t="str">
        <f aca="false">IF(A597="","",MONTH(A597))</f>
        <v/>
      </c>
      <c r="C597" s="52"/>
      <c r="D597" s="52"/>
      <c r="E597" s="52"/>
      <c r="F597" s="53"/>
      <c r="G597" s="52"/>
      <c r="H597" s="54" t="str">
        <f aca="false">IF(E597="","",E597*N(F597)*IF(G597="",1,G597))</f>
        <v/>
      </c>
      <c r="I597" s="55" t="str">
        <f aca="false">IF(C597="","",IFERROR(INDEX('DANH MỤC'!$B$5:$B$200,MATCH(C597,'DANH MỤC'!$A$5:$A$200,0)),"⚠ Mã chưa có trong DANH MỤC"))</f>
        <v/>
      </c>
      <c r="J597" s="52"/>
      <c r="K597" s="52"/>
      <c r="L597" s="52"/>
    </row>
    <row r="598" customFormat="false" ht="15" hidden="false" customHeight="false" outlineLevel="0" collapsed="false">
      <c r="A598" s="50"/>
      <c r="B598" s="51" t="str">
        <f aca="false">IF(A598="","",MONTH(A598))</f>
        <v/>
      </c>
      <c r="C598" s="52"/>
      <c r="D598" s="52"/>
      <c r="E598" s="52"/>
      <c r="F598" s="53"/>
      <c r="G598" s="52"/>
      <c r="H598" s="54" t="str">
        <f aca="false">IF(E598="","",E598*N(F598)*IF(G598="",1,G598))</f>
        <v/>
      </c>
      <c r="I598" s="55" t="str">
        <f aca="false">IF(C598="","",IFERROR(INDEX('DANH MỤC'!$B$5:$B$200,MATCH(C598,'DANH MỤC'!$A$5:$A$200,0)),"⚠ Mã chưa có trong DANH MỤC"))</f>
        <v/>
      </c>
      <c r="J598" s="52"/>
      <c r="K598" s="52"/>
      <c r="L598" s="52"/>
    </row>
    <row r="599" customFormat="false" ht="15" hidden="false" customHeight="false" outlineLevel="0" collapsed="false">
      <c r="A599" s="50"/>
      <c r="B599" s="51" t="str">
        <f aca="false">IF(A599="","",MONTH(A599))</f>
        <v/>
      </c>
      <c r="C599" s="52"/>
      <c r="D599" s="52"/>
      <c r="E599" s="52"/>
      <c r="F599" s="53"/>
      <c r="G599" s="52"/>
      <c r="H599" s="54" t="str">
        <f aca="false">IF(E599="","",E599*N(F599)*IF(G599="",1,G599))</f>
        <v/>
      </c>
      <c r="I599" s="55" t="str">
        <f aca="false">IF(C599="","",IFERROR(INDEX('DANH MỤC'!$B$5:$B$200,MATCH(C599,'DANH MỤC'!$A$5:$A$200,0)),"⚠ Mã chưa có trong DANH MỤC"))</f>
        <v/>
      </c>
      <c r="J599" s="52"/>
      <c r="K599" s="52"/>
      <c r="L599" s="52"/>
    </row>
    <row r="600" customFormat="false" ht="15" hidden="false" customHeight="false" outlineLevel="0" collapsed="false">
      <c r="A600" s="50"/>
      <c r="B600" s="51" t="str">
        <f aca="false">IF(A600="","",MONTH(A600))</f>
        <v/>
      </c>
      <c r="C600" s="52"/>
      <c r="D600" s="52"/>
      <c r="E600" s="52"/>
      <c r="F600" s="53"/>
      <c r="G600" s="52"/>
      <c r="H600" s="54" t="str">
        <f aca="false">IF(E600="","",E600*N(F600)*IF(G600="",1,G600))</f>
        <v/>
      </c>
      <c r="I600" s="55" t="str">
        <f aca="false">IF(C600="","",IFERROR(INDEX('DANH MỤC'!$B$5:$B$200,MATCH(C600,'DANH MỤC'!$A$5:$A$200,0)),"⚠ Mã chưa có trong DANH MỤC"))</f>
        <v/>
      </c>
      <c r="J600" s="52"/>
      <c r="K600" s="52"/>
      <c r="L600" s="52"/>
    </row>
    <row r="601" customFormat="false" ht="15" hidden="false" customHeight="false" outlineLevel="0" collapsed="false">
      <c r="A601" s="50"/>
      <c r="B601" s="51" t="str">
        <f aca="false">IF(A601="","",MONTH(A601))</f>
        <v/>
      </c>
      <c r="C601" s="52"/>
      <c r="D601" s="52"/>
      <c r="E601" s="52"/>
      <c r="F601" s="53"/>
      <c r="G601" s="52"/>
      <c r="H601" s="54" t="str">
        <f aca="false">IF(E601="","",E601*N(F601)*IF(G601="",1,G601))</f>
        <v/>
      </c>
      <c r="I601" s="55" t="str">
        <f aca="false">IF(C601="","",IFERROR(INDEX('DANH MỤC'!$B$5:$B$200,MATCH(C601,'DANH MỤC'!$A$5:$A$200,0)),"⚠ Mã chưa có trong DANH MỤC"))</f>
        <v/>
      </c>
      <c r="J601" s="52"/>
      <c r="K601" s="52"/>
      <c r="L601" s="52"/>
    </row>
    <row r="602" customFormat="false" ht="15" hidden="false" customHeight="false" outlineLevel="0" collapsed="false">
      <c r="A602" s="50"/>
      <c r="B602" s="51" t="str">
        <f aca="false">IF(A602="","",MONTH(A602))</f>
        <v/>
      </c>
      <c r="C602" s="52"/>
      <c r="D602" s="52"/>
      <c r="E602" s="52"/>
      <c r="F602" s="53"/>
      <c r="G602" s="52"/>
      <c r="H602" s="54" t="str">
        <f aca="false">IF(E602="","",E602*N(F602)*IF(G602="",1,G602))</f>
        <v/>
      </c>
      <c r="I602" s="55" t="str">
        <f aca="false">IF(C602="","",IFERROR(INDEX('DANH MỤC'!$B$5:$B$200,MATCH(C602,'DANH MỤC'!$A$5:$A$200,0)),"⚠ Mã chưa có trong DANH MỤC"))</f>
        <v/>
      </c>
      <c r="J602" s="52"/>
      <c r="K602" s="52"/>
      <c r="L602" s="52"/>
    </row>
    <row r="603" customFormat="false" ht="15" hidden="false" customHeight="false" outlineLevel="0" collapsed="false">
      <c r="A603" s="50"/>
      <c r="B603" s="51" t="str">
        <f aca="false">IF(A603="","",MONTH(A603))</f>
        <v/>
      </c>
      <c r="C603" s="52"/>
      <c r="D603" s="52"/>
      <c r="E603" s="52"/>
      <c r="F603" s="53"/>
      <c r="G603" s="52"/>
      <c r="H603" s="54" t="str">
        <f aca="false">IF(E603="","",E603*N(F603)*IF(G603="",1,G603))</f>
        <v/>
      </c>
      <c r="I603" s="55" t="str">
        <f aca="false">IF(C603="","",IFERROR(INDEX('DANH MỤC'!$B$5:$B$200,MATCH(C603,'DANH MỤC'!$A$5:$A$200,0)),"⚠ Mã chưa có trong DANH MỤC"))</f>
        <v/>
      </c>
      <c r="J603" s="52"/>
      <c r="K603" s="52"/>
      <c r="L603" s="52"/>
    </row>
    <row r="604" customFormat="false" ht="15" hidden="false" customHeight="false" outlineLevel="0" collapsed="false">
      <c r="A604" s="50"/>
      <c r="B604" s="51" t="str">
        <f aca="false">IF(A604="","",MONTH(A604))</f>
        <v/>
      </c>
      <c r="C604" s="52"/>
      <c r="D604" s="52"/>
      <c r="E604" s="52"/>
      <c r="F604" s="53"/>
      <c r="G604" s="52"/>
      <c r="H604" s="54" t="str">
        <f aca="false">IF(E604="","",E604*N(F604)*IF(G604="",1,G604))</f>
        <v/>
      </c>
      <c r="I604" s="55" t="str">
        <f aca="false">IF(C604="","",IFERROR(INDEX('DANH MỤC'!$B$5:$B$200,MATCH(C604,'DANH MỤC'!$A$5:$A$200,0)),"⚠ Mã chưa có trong DANH MỤC"))</f>
        <v/>
      </c>
      <c r="J604" s="52"/>
      <c r="K604" s="52"/>
      <c r="L604" s="52"/>
    </row>
    <row r="605" customFormat="false" ht="15" hidden="false" customHeight="false" outlineLevel="0" collapsed="false">
      <c r="A605" s="50"/>
      <c r="B605" s="51" t="str">
        <f aca="false">IF(A605="","",MONTH(A605))</f>
        <v/>
      </c>
      <c r="C605" s="52"/>
      <c r="D605" s="52"/>
      <c r="E605" s="52"/>
      <c r="F605" s="53"/>
      <c r="G605" s="52"/>
      <c r="H605" s="54" t="str">
        <f aca="false">IF(E605="","",E605*N(F605)*IF(G605="",1,G605))</f>
        <v/>
      </c>
      <c r="I605" s="55" t="str">
        <f aca="false">IF(C605="","",IFERROR(INDEX('DANH MỤC'!$B$5:$B$200,MATCH(C605,'DANH MỤC'!$A$5:$A$200,0)),"⚠ Mã chưa có trong DANH MỤC"))</f>
        <v/>
      </c>
      <c r="J605" s="52"/>
      <c r="K605" s="52"/>
      <c r="L605" s="52"/>
    </row>
    <row r="606" customFormat="false" ht="15" hidden="false" customHeight="false" outlineLevel="0" collapsed="false">
      <c r="A606" s="50"/>
      <c r="B606" s="51" t="str">
        <f aca="false">IF(A606="","",MONTH(A606))</f>
        <v/>
      </c>
      <c r="C606" s="52"/>
      <c r="D606" s="52"/>
      <c r="E606" s="52"/>
      <c r="F606" s="53"/>
      <c r="G606" s="52"/>
      <c r="H606" s="54" t="str">
        <f aca="false">IF(E606="","",E606*N(F606)*IF(G606="",1,G606))</f>
        <v/>
      </c>
      <c r="I606" s="55" t="str">
        <f aca="false">IF(C606="","",IFERROR(INDEX('DANH MỤC'!$B$5:$B$200,MATCH(C606,'DANH MỤC'!$A$5:$A$200,0)),"⚠ Mã chưa có trong DANH MỤC"))</f>
        <v/>
      </c>
      <c r="J606" s="52"/>
      <c r="K606" s="52"/>
      <c r="L606" s="52"/>
    </row>
    <row r="607" customFormat="false" ht="15" hidden="false" customHeight="false" outlineLevel="0" collapsed="false">
      <c r="A607" s="50"/>
      <c r="B607" s="51" t="str">
        <f aca="false">IF(A607="","",MONTH(A607))</f>
        <v/>
      </c>
      <c r="C607" s="52"/>
      <c r="D607" s="52"/>
      <c r="E607" s="52"/>
      <c r="F607" s="53"/>
      <c r="G607" s="52"/>
      <c r="H607" s="54" t="str">
        <f aca="false">IF(E607="","",E607*N(F607)*IF(G607="",1,G607))</f>
        <v/>
      </c>
      <c r="I607" s="55" t="str">
        <f aca="false">IF(C607="","",IFERROR(INDEX('DANH MỤC'!$B$5:$B$200,MATCH(C607,'DANH MỤC'!$A$5:$A$200,0)),"⚠ Mã chưa có trong DANH MỤC"))</f>
        <v/>
      </c>
      <c r="J607" s="52"/>
      <c r="K607" s="52"/>
      <c r="L607" s="52"/>
    </row>
    <row r="608" customFormat="false" ht="15" hidden="false" customHeight="false" outlineLevel="0" collapsed="false">
      <c r="A608" s="50"/>
      <c r="B608" s="51" t="str">
        <f aca="false">IF(A608="","",MONTH(A608))</f>
        <v/>
      </c>
      <c r="C608" s="52"/>
      <c r="D608" s="52"/>
      <c r="E608" s="52"/>
      <c r="F608" s="53"/>
      <c r="G608" s="52"/>
      <c r="H608" s="54" t="str">
        <f aca="false">IF(E608="","",E608*N(F608)*IF(G608="",1,G608))</f>
        <v/>
      </c>
      <c r="I608" s="55" t="str">
        <f aca="false">IF(C608="","",IFERROR(INDEX('DANH MỤC'!$B$5:$B$200,MATCH(C608,'DANH MỤC'!$A$5:$A$200,0)),"⚠ Mã chưa có trong DANH MỤC"))</f>
        <v/>
      </c>
      <c r="J608" s="52"/>
      <c r="K608" s="52"/>
      <c r="L608" s="52"/>
    </row>
    <row r="609" customFormat="false" ht="15" hidden="false" customHeight="false" outlineLevel="0" collapsed="false">
      <c r="A609" s="50"/>
      <c r="B609" s="51" t="str">
        <f aca="false">IF(A609="","",MONTH(A609))</f>
        <v/>
      </c>
      <c r="C609" s="52"/>
      <c r="D609" s="52"/>
      <c r="E609" s="52"/>
      <c r="F609" s="53"/>
      <c r="G609" s="52"/>
      <c r="H609" s="54" t="str">
        <f aca="false">IF(E609="","",E609*N(F609)*IF(G609="",1,G609))</f>
        <v/>
      </c>
      <c r="I609" s="55" t="str">
        <f aca="false">IF(C609="","",IFERROR(INDEX('DANH MỤC'!$B$5:$B$200,MATCH(C609,'DANH MỤC'!$A$5:$A$200,0)),"⚠ Mã chưa có trong DANH MỤC"))</f>
        <v/>
      </c>
      <c r="J609" s="52"/>
      <c r="K609" s="52"/>
      <c r="L609" s="52"/>
    </row>
    <row r="610" customFormat="false" ht="15" hidden="false" customHeight="false" outlineLevel="0" collapsed="false">
      <c r="A610" s="50"/>
      <c r="B610" s="51" t="str">
        <f aca="false">IF(A610="","",MONTH(A610))</f>
        <v/>
      </c>
      <c r="C610" s="52"/>
      <c r="D610" s="52"/>
      <c r="E610" s="52"/>
      <c r="F610" s="53"/>
      <c r="G610" s="52"/>
      <c r="H610" s="54" t="str">
        <f aca="false">IF(E610="","",E610*N(F610)*IF(G610="",1,G610))</f>
        <v/>
      </c>
      <c r="I610" s="55" t="str">
        <f aca="false">IF(C610="","",IFERROR(INDEX('DANH MỤC'!$B$5:$B$200,MATCH(C610,'DANH MỤC'!$A$5:$A$200,0)),"⚠ Mã chưa có trong DANH MỤC"))</f>
        <v/>
      </c>
      <c r="J610" s="52"/>
      <c r="K610" s="52"/>
      <c r="L610" s="52"/>
    </row>
    <row r="611" customFormat="false" ht="15" hidden="false" customHeight="false" outlineLevel="0" collapsed="false">
      <c r="A611" s="50"/>
      <c r="B611" s="51" t="str">
        <f aca="false">IF(A611="","",MONTH(A611))</f>
        <v/>
      </c>
      <c r="C611" s="52"/>
      <c r="D611" s="52"/>
      <c r="E611" s="52"/>
      <c r="F611" s="53"/>
      <c r="G611" s="52"/>
      <c r="H611" s="54" t="str">
        <f aca="false">IF(E611="","",E611*N(F611)*IF(G611="",1,G611))</f>
        <v/>
      </c>
      <c r="I611" s="55" t="str">
        <f aca="false">IF(C611="","",IFERROR(INDEX('DANH MỤC'!$B$5:$B$200,MATCH(C611,'DANH MỤC'!$A$5:$A$200,0)),"⚠ Mã chưa có trong DANH MỤC"))</f>
        <v/>
      </c>
      <c r="J611" s="52"/>
      <c r="K611" s="52"/>
      <c r="L611" s="52"/>
    </row>
    <row r="612" customFormat="false" ht="15" hidden="false" customHeight="false" outlineLevel="0" collapsed="false">
      <c r="A612" s="50"/>
      <c r="B612" s="51" t="str">
        <f aca="false">IF(A612="","",MONTH(A612))</f>
        <v/>
      </c>
      <c r="C612" s="52"/>
      <c r="D612" s="52"/>
      <c r="E612" s="52"/>
      <c r="F612" s="53"/>
      <c r="G612" s="52"/>
      <c r="H612" s="54" t="str">
        <f aca="false">IF(E612="","",E612*N(F612)*IF(G612="",1,G612))</f>
        <v/>
      </c>
      <c r="I612" s="55" t="str">
        <f aca="false">IF(C612="","",IFERROR(INDEX('DANH MỤC'!$B$5:$B$200,MATCH(C612,'DANH MỤC'!$A$5:$A$200,0)),"⚠ Mã chưa có trong DANH MỤC"))</f>
        <v/>
      </c>
      <c r="J612" s="52"/>
      <c r="K612" s="52"/>
      <c r="L612" s="52"/>
    </row>
    <row r="613" customFormat="false" ht="15" hidden="false" customHeight="false" outlineLevel="0" collapsed="false">
      <c r="A613" s="50"/>
      <c r="B613" s="51" t="str">
        <f aca="false">IF(A613="","",MONTH(A613))</f>
        <v/>
      </c>
      <c r="C613" s="52"/>
      <c r="D613" s="52"/>
      <c r="E613" s="52"/>
      <c r="F613" s="53"/>
      <c r="G613" s="52"/>
      <c r="H613" s="54" t="str">
        <f aca="false">IF(E613="","",E613*N(F613)*IF(G613="",1,G613))</f>
        <v/>
      </c>
      <c r="I613" s="55" t="str">
        <f aca="false">IF(C613="","",IFERROR(INDEX('DANH MỤC'!$B$5:$B$200,MATCH(C613,'DANH MỤC'!$A$5:$A$200,0)),"⚠ Mã chưa có trong DANH MỤC"))</f>
        <v/>
      </c>
      <c r="J613" s="52"/>
      <c r="K613" s="52"/>
      <c r="L613" s="52"/>
    </row>
    <row r="614" customFormat="false" ht="15" hidden="false" customHeight="false" outlineLevel="0" collapsed="false">
      <c r="A614" s="50"/>
      <c r="B614" s="51" t="str">
        <f aca="false">IF(A614="","",MONTH(A614))</f>
        <v/>
      </c>
      <c r="C614" s="52"/>
      <c r="D614" s="52"/>
      <c r="E614" s="52"/>
      <c r="F614" s="53"/>
      <c r="G614" s="52"/>
      <c r="H614" s="54" t="str">
        <f aca="false">IF(E614="","",E614*N(F614)*IF(G614="",1,G614))</f>
        <v/>
      </c>
      <c r="I614" s="55" t="str">
        <f aca="false">IF(C614="","",IFERROR(INDEX('DANH MỤC'!$B$5:$B$200,MATCH(C614,'DANH MỤC'!$A$5:$A$200,0)),"⚠ Mã chưa có trong DANH MỤC"))</f>
        <v/>
      </c>
      <c r="J614" s="52"/>
      <c r="K614" s="52"/>
      <c r="L614" s="52"/>
    </row>
    <row r="615" customFormat="false" ht="15" hidden="false" customHeight="false" outlineLevel="0" collapsed="false">
      <c r="A615" s="50"/>
      <c r="B615" s="51" t="str">
        <f aca="false">IF(A615="","",MONTH(A615))</f>
        <v/>
      </c>
      <c r="C615" s="52"/>
      <c r="D615" s="52"/>
      <c r="E615" s="52"/>
      <c r="F615" s="53"/>
      <c r="G615" s="52"/>
      <c r="H615" s="54" t="str">
        <f aca="false">IF(E615="","",E615*N(F615)*IF(G615="",1,G615))</f>
        <v/>
      </c>
      <c r="I615" s="55" t="str">
        <f aca="false">IF(C615="","",IFERROR(INDEX('DANH MỤC'!$B$5:$B$200,MATCH(C615,'DANH MỤC'!$A$5:$A$200,0)),"⚠ Mã chưa có trong DANH MỤC"))</f>
        <v/>
      </c>
      <c r="J615" s="52"/>
      <c r="K615" s="52"/>
      <c r="L615" s="52"/>
    </row>
    <row r="616" customFormat="false" ht="15" hidden="false" customHeight="false" outlineLevel="0" collapsed="false">
      <c r="A616" s="50"/>
      <c r="B616" s="51" t="str">
        <f aca="false">IF(A616="","",MONTH(A616))</f>
        <v/>
      </c>
      <c r="C616" s="52"/>
      <c r="D616" s="52"/>
      <c r="E616" s="52"/>
      <c r="F616" s="53"/>
      <c r="G616" s="52"/>
      <c r="H616" s="54" t="str">
        <f aca="false">IF(E616="","",E616*N(F616)*IF(G616="",1,G616))</f>
        <v/>
      </c>
      <c r="I616" s="55" t="str">
        <f aca="false">IF(C616="","",IFERROR(INDEX('DANH MỤC'!$B$5:$B$200,MATCH(C616,'DANH MỤC'!$A$5:$A$200,0)),"⚠ Mã chưa có trong DANH MỤC"))</f>
        <v/>
      </c>
      <c r="J616" s="52"/>
      <c r="K616" s="52"/>
      <c r="L616" s="52"/>
    </row>
    <row r="617" customFormat="false" ht="15" hidden="false" customHeight="false" outlineLevel="0" collapsed="false">
      <c r="A617" s="50"/>
      <c r="B617" s="51" t="str">
        <f aca="false">IF(A617="","",MONTH(A617))</f>
        <v/>
      </c>
      <c r="C617" s="52"/>
      <c r="D617" s="52"/>
      <c r="E617" s="52"/>
      <c r="F617" s="53"/>
      <c r="G617" s="52"/>
      <c r="H617" s="54" t="str">
        <f aca="false">IF(E617="","",E617*N(F617)*IF(G617="",1,G617))</f>
        <v/>
      </c>
      <c r="I617" s="55" t="str">
        <f aca="false">IF(C617="","",IFERROR(INDEX('DANH MỤC'!$B$5:$B$200,MATCH(C617,'DANH MỤC'!$A$5:$A$200,0)),"⚠ Mã chưa có trong DANH MỤC"))</f>
        <v/>
      </c>
      <c r="J617" s="52"/>
      <c r="K617" s="52"/>
      <c r="L617" s="52"/>
    </row>
    <row r="618" customFormat="false" ht="15" hidden="false" customHeight="false" outlineLevel="0" collapsed="false">
      <c r="A618" s="50"/>
      <c r="B618" s="51" t="str">
        <f aca="false">IF(A618="","",MONTH(A618))</f>
        <v/>
      </c>
      <c r="C618" s="52"/>
      <c r="D618" s="52"/>
      <c r="E618" s="52"/>
      <c r="F618" s="53"/>
      <c r="G618" s="52"/>
      <c r="H618" s="54" t="str">
        <f aca="false">IF(E618="","",E618*N(F618)*IF(G618="",1,G618))</f>
        <v/>
      </c>
      <c r="I618" s="55" t="str">
        <f aca="false">IF(C618="","",IFERROR(INDEX('DANH MỤC'!$B$5:$B$200,MATCH(C618,'DANH MỤC'!$A$5:$A$200,0)),"⚠ Mã chưa có trong DANH MỤC"))</f>
        <v/>
      </c>
      <c r="J618" s="52"/>
      <c r="K618" s="52"/>
      <c r="L618" s="52"/>
    </row>
    <row r="619" customFormat="false" ht="15" hidden="false" customHeight="false" outlineLevel="0" collapsed="false">
      <c r="A619" s="50"/>
      <c r="B619" s="51" t="str">
        <f aca="false">IF(A619="","",MONTH(A619))</f>
        <v/>
      </c>
      <c r="C619" s="52"/>
      <c r="D619" s="52"/>
      <c r="E619" s="52"/>
      <c r="F619" s="53"/>
      <c r="G619" s="52"/>
      <c r="H619" s="54" t="str">
        <f aca="false">IF(E619="","",E619*N(F619)*IF(G619="",1,G619))</f>
        <v/>
      </c>
      <c r="I619" s="55" t="str">
        <f aca="false">IF(C619="","",IFERROR(INDEX('DANH MỤC'!$B$5:$B$200,MATCH(C619,'DANH MỤC'!$A$5:$A$200,0)),"⚠ Mã chưa có trong DANH MỤC"))</f>
        <v/>
      </c>
      <c r="J619" s="52"/>
      <c r="K619" s="52"/>
      <c r="L619" s="52"/>
    </row>
    <row r="620" customFormat="false" ht="15" hidden="false" customHeight="false" outlineLevel="0" collapsed="false">
      <c r="A620" s="50"/>
      <c r="B620" s="51" t="str">
        <f aca="false">IF(A620="","",MONTH(A620))</f>
        <v/>
      </c>
      <c r="C620" s="52"/>
      <c r="D620" s="52"/>
      <c r="E620" s="52"/>
      <c r="F620" s="53"/>
      <c r="G620" s="52"/>
      <c r="H620" s="54" t="str">
        <f aca="false">IF(E620="","",E620*N(F620)*IF(G620="",1,G620))</f>
        <v/>
      </c>
      <c r="I620" s="55" t="str">
        <f aca="false">IF(C620="","",IFERROR(INDEX('DANH MỤC'!$B$5:$B$200,MATCH(C620,'DANH MỤC'!$A$5:$A$200,0)),"⚠ Mã chưa có trong DANH MỤC"))</f>
        <v/>
      </c>
      <c r="J620" s="52"/>
      <c r="K620" s="52"/>
      <c r="L620" s="52"/>
    </row>
    <row r="621" customFormat="false" ht="15" hidden="false" customHeight="false" outlineLevel="0" collapsed="false">
      <c r="A621" s="50"/>
      <c r="B621" s="51" t="str">
        <f aca="false">IF(A621="","",MONTH(A621))</f>
        <v/>
      </c>
      <c r="C621" s="52"/>
      <c r="D621" s="52"/>
      <c r="E621" s="52"/>
      <c r="F621" s="53"/>
      <c r="G621" s="52"/>
      <c r="H621" s="54" t="str">
        <f aca="false">IF(E621="","",E621*N(F621)*IF(G621="",1,G621))</f>
        <v/>
      </c>
      <c r="I621" s="55" t="str">
        <f aca="false">IF(C621="","",IFERROR(INDEX('DANH MỤC'!$B$5:$B$200,MATCH(C621,'DANH MỤC'!$A$5:$A$200,0)),"⚠ Mã chưa có trong DANH MỤC"))</f>
        <v/>
      </c>
      <c r="J621" s="52"/>
      <c r="K621" s="52"/>
      <c r="L621" s="52"/>
    </row>
    <row r="622" customFormat="false" ht="15" hidden="false" customHeight="false" outlineLevel="0" collapsed="false">
      <c r="A622" s="50"/>
      <c r="B622" s="51" t="str">
        <f aca="false">IF(A622="","",MONTH(A622))</f>
        <v/>
      </c>
      <c r="C622" s="52"/>
      <c r="D622" s="52"/>
      <c r="E622" s="52"/>
      <c r="F622" s="53"/>
      <c r="G622" s="52"/>
      <c r="H622" s="54" t="str">
        <f aca="false">IF(E622="","",E622*N(F622)*IF(G622="",1,G622))</f>
        <v/>
      </c>
      <c r="I622" s="55" t="str">
        <f aca="false">IF(C622="","",IFERROR(INDEX('DANH MỤC'!$B$5:$B$200,MATCH(C622,'DANH MỤC'!$A$5:$A$200,0)),"⚠ Mã chưa có trong DANH MỤC"))</f>
        <v/>
      </c>
      <c r="J622" s="52"/>
      <c r="K622" s="52"/>
      <c r="L622" s="52"/>
    </row>
    <row r="623" customFormat="false" ht="15" hidden="false" customHeight="false" outlineLevel="0" collapsed="false">
      <c r="A623" s="50"/>
      <c r="B623" s="51" t="str">
        <f aca="false">IF(A623="","",MONTH(A623))</f>
        <v/>
      </c>
      <c r="C623" s="52"/>
      <c r="D623" s="52"/>
      <c r="E623" s="52"/>
      <c r="F623" s="53"/>
      <c r="G623" s="52"/>
      <c r="H623" s="54" t="str">
        <f aca="false">IF(E623="","",E623*N(F623)*IF(G623="",1,G623))</f>
        <v/>
      </c>
      <c r="I623" s="55" t="str">
        <f aca="false">IF(C623="","",IFERROR(INDEX('DANH MỤC'!$B$5:$B$200,MATCH(C623,'DANH MỤC'!$A$5:$A$200,0)),"⚠ Mã chưa có trong DANH MỤC"))</f>
        <v/>
      </c>
      <c r="J623" s="52"/>
      <c r="K623" s="52"/>
      <c r="L623" s="52"/>
    </row>
    <row r="624" customFormat="false" ht="15" hidden="false" customHeight="false" outlineLevel="0" collapsed="false">
      <c r="A624" s="50"/>
      <c r="B624" s="51" t="str">
        <f aca="false">IF(A624="","",MONTH(A624))</f>
        <v/>
      </c>
      <c r="C624" s="52"/>
      <c r="D624" s="52"/>
      <c r="E624" s="52"/>
      <c r="F624" s="53"/>
      <c r="G624" s="52"/>
      <c r="H624" s="54" t="str">
        <f aca="false">IF(E624="","",E624*N(F624)*IF(G624="",1,G624))</f>
        <v/>
      </c>
      <c r="I624" s="55" t="str">
        <f aca="false">IF(C624="","",IFERROR(INDEX('DANH MỤC'!$B$5:$B$200,MATCH(C624,'DANH MỤC'!$A$5:$A$200,0)),"⚠ Mã chưa có trong DANH MỤC"))</f>
        <v/>
      </c>
      <c r="J624" s="52"/>
      <c r="K624" s="52"/>
      <c r="L624" s="52"/>
    </row>
    <row r="625" customFormat="false" ht="15" hidden="false" customHeight="false" outlineLevel="0" collapsed="false">
      <c r="A625" s="50"/>
      <c r="B625" s="51" t="str">
        <f aca="false">IF(A625="","",MONTH(A625))</f>
        <v/>
      </c>
      <c r="C625" s="52"/>
      <c r="D625" s="52"/>
      <c r="E625" s="52"/>
      <c r="F625" s="53"/>
      <c r="G625" s="52"/>
      <c r="H625" s="54" t="str">
        <f aca="false">IF(E625="","",E625*N(F625)*IF(G625="",1,G625))</f>
        <v/>
      </c>
      <c r="I625" s="55" t="str">
        <f aca="false">IF(C625="","",IFERROR(INDEX('DANH MỤC'!$B$5:$B$200,MATCH(C625,'DANH MỤC'!$A$5:$A$200,0)),"⚠ Mã chưa có trong DANH MỤC"))</f>
        <v/>
      </c>
      <c r="J625" s="52"/>
      <c r="K625" s="52"/>
      <c r="L625" s="52"/>
    </row>
    <row r="626" customFormat="false" ht="15" hidden="false" customHeight="false" outlineLevel="0" collapsed="false">
      <c r="A626" s="50"/>
      <c r="B626" s="51" t="str">
        <f aca="false">IF(A626="","",MONTH(A626))</f>
        <v/>
      </c>
      <c r="C626" s="52"/>
      <c r="D626" s="52"/>
      <c r="E626" s="52"/>
      <c r="F626" s="53"/>
      <c r="G626" s="52"/>
      <c r="H626" s="54" t="str">
        <f aca="false">IF(E626="","",E626*N(F626)*IF(G626="",1,G626))</f>
        <v/>
      </c>
      <c r="I626" s="55" t="str">
        <f aca="false">IF(C626="","",IFERROR(INDEX('DANH MỤC'!$B$5:$B$200,MATCH(C626,'DANH MỤC'!$A$5:$A$200,0)),"⚠ Mã chưa có trong DANH MỤC"))</f>
        <v/>
      </c>
      <c r="J626" s="52"/>
      <c r="K626" s="52"/>
      <c r="L626" s="52"/>
    </row>
    <row r="627" customFormat="false" ht="15" hidden="false" customHeight="false" outlineLevel="0" collapsed="false">
      <c r="A627" s="50"/>
      <c r="B627" s="51" t="str">
        <f aca="false">IF(A627="","",MONTH(A627))</f>
        <v/>
      </c>
      <c r="C627" s="52"/>
      <c r="D627" s="52"/>
      <c r="E627" s="52"/>
      <c r="F627" s="53"/>
      <c r="G627" s="52"/>
      <c r="H627" s="54" t="str">
        <f aca="false">IF(E627="","",E627*N(F627)*IF(G627="",1,G627))</f>
        <v/>
      </c>
      <c r="I627" s="55" t="str">
        <f aca="false">IF(C627="","",IFERROR(INDEX('DANH MỤC'!$B$5:$B$200,MATCH(C627,'DANH MỤC'!$A$5:$A$200,0)),"⚠ Mã chưa có trong DANH MỤC"))</f>
        <v/>
      </c>
      <c r="J627" s="52"/>
      <c r="K627" s="52"/>
      <c r="L627" s="52"/>
    </row>
    <row r="628" customFormat="false" ht="15" hidden="false" customHeight="false" outlineLevel="0" collapsed="false">
      <c r="A628" s="50"/>
      <c r="B628" s="51" t="str">
        <f aca="false">IF(A628="","",MONTH(A628))</f>
        <v/>
      </c>
      <c r="C628" s="52"/>
      <c r="D628" s="52"/>
      <c r="E628" s="52"/>
      <c r="F628" s="53"/>
      <c r="G628" s="52"/>
      <c r="H628" s="54" t="str">
        <f aca="false">IF(E628="","",E628*N(F628)*IF(G628="",1,G628))</f>
        <v/>
      </c>
      <c r="I628" s="55" t="str">
        <f aca="false">IF(C628="","",IFERROR(INDEX('DANH MỤC'!$B$5:$B$200,MATCH(C628,'DANH MỤC'!$A$5:$A$200,0)),"⚠ Mã chưa có trong DANH MỤC"))</f>
        <v/>
      </c>
      <c r="J628" s="52"/>
      <c r="K628" s="52"/>
      <c r="L628" s="52"/>
    </row>
    <row r="629" customFormat="false" ht="15" hidden="false" customHeight="false" outlineLevel="0" collapsed="false">
      <c r="A629" s="50"/>
      <c r="B629" s="51" t="str">
        <f aca="false">IF(A629="","",MONTH(A629))</f>
        <v/>
      </c>
      <c r="C629" s="52"/>
      <c r="D629" s="52"/>
      <c r="E629" s="52"/>
      <c r="F629" s="53"/>
      <c r="G629" s="52"/>
      <c r="H629" s="54" t="str">
        <f aca="false">IF(E629="","",E629*N(F629)*IF(G629="",1,G629))</f>
        <v/>
      </c>
      <c r="I629" s="55" t="str">
        <f aca="false">IF(C629="","",IFERROR(INDEX('DANH MỤC'!$B$5:$B$200,MATCH(C629,'DANH MỤC'!$A$5:$A$200,0)),"⚠ Mã chưa có trong DANH MỤC"))</f>
        <v/>
      </c>
      <c r="J629" s="52"/>
      <c r="K629" s="52"/>
      <c r="L629" s="52"/>
    </row>
    <row r="630" customFormat="false" ht="15" hidden="false" customHeight="false" outlineLevel="0" collapsed="false">
      <c r="A630" s="50"/>
      <c r="B630" s="51" t="str">
        <f aca="false">IF(A630="","",MONTH(A630))</f>
        <v/>
      </c>
      <c r="C630" s="52"/>
      <c r="D630" s="52"/>
      <c r="E630" s="52"/>
      <c r="F630" s="53"/>
      <c r="G630" s="52"/>
      <c r="H630" s="54" t="str">
        <f aca="false">IF(E630="","",E630*N(F630)*IF(G630="",1,G630))</f>
        <v/>
      </c>
      <c r="I630" s="55" t="str">
        <f aca="false">IF(C630="","",IFERROR(INDEX('DANH MỤC'!$B$5:$B$200,MATCH(C630,'DANH MỤC'!$A$5:$A$200,0)),"⚠ Mã chưa có trong DANH MỤC"))</f>
        <v/>
      </c>
      <c r="J630" s="52"/>
      <c r="K630" s="52"/>
      <c r="L630" s="52"/>
    </row>
    <row r="631" customFormat="false" ht="15" hidden="false" customHeight="false" outlineLevel="0" collapsed="false">
      <c r="A631" s="50"/>
      <c r="B631" s="51" t="str">
        <f aca="false">IF(A631="","",MONTH(A631))</f>
        <v/>
      </c>
      <c r="C631" s="52"/>
      <c r="D631" s="52"/>
      <c r="E631" s="52"/>
      <c r="F631" s="53"/>
      <c r="G631" s="52"/>
      <c r="H631" s="54" t="str">
        <f aca="false">IF(E631="","",E631*N(F631)*IF(G631="",1,G631))</f>
        <v/>
      </c>
      <c r="I631" s="55" t="str">
        <f aca="false">IF(C631="","",IFERROR(INDEX('DANH MỤC'!$B$5:$B$200,MATCH(C631,'DANH MỤC'!$A$5:$A$200,0)),"⚠ Mã chưa có trong DANH MỤC"))</f>
        <v/>
      </c>
      <c r="J631" s="52"/>
      <c r="K631" s="52"/>
      <c r="L631" s="52"/>
    </row>
    <row r="632" customFormat="false" ht="15" hidden="false" customHeight="false" outlineLevel="0" collapsed="false">
      <c r="A632" s="50"/>
      <c r="B632" s="51" t="str">
        <f aca="false">IF(A632="","",MONTH(A632))</f>
        <v/>
      </c>
      <c r="C632" s="52"/>
      <c r="D632" s="52"/>
      <c r="E632" s="52"/>
      <c r="F632" s="53"/>
      <c r="G632" s="52"/>
      <c r="H632" s="54" t="str">
        <f aca="false">IF(E632="","",E632*N(F632)*IF(G632="",1,G632))</f>
        <v/>
      </c>
      <c r="I632" s="55" t="str">
        <f aca="false">IF(C632="","",IFERROR(INDEX('DANH MỤC'!$B$5:$B$200,MATCH(C632,'DANH MỤC'!$A$5:$A$200,0)),"⚠ Mã chưa có trong DANH MỤC"))</f>
        <v/>
      </c>
      <c r="J632" s="52"/>
      <c r="K632" s="52"/>
      <c r="L632" s="52"/>
    </row>
    <row r="633" customFormat="false" ht="15" hidden="false" customHeight="false" outlineLevel="0" collapsed="false">
      <c r="A633" s="50"/>
      <c r="B633" s="51" t="str">
        <f aca="false">IF(A633="","",MONTH(A633))</f>
        <v/>
      </c>
      <c r="C633" s="52"/>
      <c r="D633" s="52"/>
      <c r="E633" s="52"/>
      <c r="F633" s="53"/>
      <c r="G633" s="52"/>
      <c r="H633" s="54" t="str">
        <f aca="false">IF(E633="","",E633*N(F633)*IF(G633="",1,G633))</f>
        <v/>
      </c>
      <c r="I633" s="55" t="str">
        <f aca="false">IF(C633="","",IFERROR(INDEX('DANH MỤC'!$B$5:$B$200,MATCH(C633,'DANH MỤC'!$A$5:$A$200,0)),"⚠ Mã chưa có trong DANH MỤC"))</f>
        <v/>
      </c>
      <c r="J633" s="52"/>
      <c r="K633" s="52"/>
      <c r="L633" s="52"/>
    </row>
    <row r="634" customFormat="false" ht="15" hidden="false" customHeight="false" outlineLevel="0" collapsed="false">
      <c r="A634" s="50"/>
      <c r="B634" s="51" t="str">
        <f aca="false">IF(A634="","",MONTH(A634))</f>
        <v/>
      </c>
      <c r="C634" s="52"/>
      <c r="D634" s="52"/>
      <c r="E634" s="52"/>
      <c r="F634" s="53"/>
      <c r="G634" s="52"/>
      <c r="H634" s="54" t="str">
        <f aca="false">IF(E634="","",E634*N(F634)*IF(G634="",1,G634))</f>
        <v/>
      </c>
      <c r="I634" s="55" t="str">
        <f aca="false">IF(C634="","",IFERROR(INDEX('DANH MỤC'!$B$5:$B$200,MATCH(C634,'DANH MỤC'!$A$5:$A$200,0)),"⚠ Mã chưa có trong DANH MỤC"))</f>
        <v/>
      </c>
      <c r="J634" s="52"/>
      <c r="K634" s="52"/>
      <c r="L634" s="52"/>
    </row>
    <row r="635" customFormat="false" ht="15" hidden="false" customHeight="false" outlineLevel="0" collapsed="false">
      <c r="A635" s="50"/>
      <c r="B635" s="51" t="str">
        <f aca="false">IF(A635="","",MONTH(A635))</f>
        <v/>
      </c>
      <c r="C635" s="52"/>
      <c r="D635" s="52"/>
      <c r="E635" s="52"/>
      <c r="F635" s="53"/>
      <c r="G635" s="52"/>
      <c r="H635" s="54" t="str">
        <f aca="false">IF(E635="","",E635*N(F635)*IF(G635="",1,G635))</f>
        <v/>
      </c>
      <c r="I635" s="55" t="str">
        <f aca="false">IF(C635="","",IFERROR(INDEX('DANH MỤC'!$B$5:$B$200,MATCH(C635,'DANH MỤC'!$A$5:$A$200,0)),"⚠ Mã chưa có trong DANH MỤC"))</f>
        <v/>
      </c>
      <c r="J635" s="52"/>
      <c r="K635" s="52"/>
      <c r="L635" s="52"/>
    </row>
    <row r="636" customFormat="false" ht="15" hidden="false" customHeight="false" outlineLevel="0" collapsed="false">
      <c r="A636" s="50"/>
      <c r="B636" s="51" t="str">
        <f aca="false">IF(A636="","",MONTH(A636))</f>
        <v/>
      </c>
      <c r="C636" s="52"/>
      <c r="D636" s="52"/>
      <c r="E636" s="52"/>
      <c r="F636" s="53"/>
      <c r="G636" s="52"/>
      <c r="H636" s="54" t="str">
        <f aca="false">IF(E636="","",E636*N(F636)*IF(G636="",1,G636))</f>
        <v/>
      </c>
      <c r="I636" s="55" t="str">
        <f aca="false">IF(C636="","",IFERROR(INDEX('DANH MỤC'!$B$5:$B$200,MATCH(C636,'DANH MỤC'!$A$5:$A$200,0)),"⚠ Mã chưa có trong DANH MỤC"))</f>
        <v/>
      </c>
      <c r="J636" s="52"/>
      <c r="K636" s="52"/>
      <c r="L636" s="52"/>
    </row>
    <row r="637" customFormat="false" ht="15" hidden="false" customHeight="false" outlineLevel="0" collapsed="false">
      <c r="A637" s="50"/>
      <c r="B637" s="51" t="str">
        <f aca="false">IF(A637="","",MONTH(A637))</f>
        <v/>
      </c>
      <c r="C637" s="52"/>
      <c r="D637" s="52"/>
      <c r="E637" s="52"/>
      <c r="F637" s="53"/>
      <c r="G637" s="52"/>
      <c r="H637" s="54" t="str">
        <f aca="false">IF(E637="","",E637*N(F637)*IF(G637="",1,G637))</f>
        <v/>
      </c>
      <c r="I637" s="55" t="str">
        <f aca="false">IF(C637="","",IFERROR(INDEX('DANH MỤC'!$B$5:$B$200,MATCH(C637,'DANH MỤC'!$A$5:$A$200,0)),"⚠ Mã chưa có trong DANH MỤC"))</f>
        <v/>
      </c>
      <c r="J637" s="52"/>
      <c r="K637" s="52"/>
      <c r="L637" s="52"/>
    </row>
    <row r="638" customFormat="false" ht="15" hidden="false" customHeight="false" outlineLevel="0" collapsed="false">
      <c r="A638" s="50"/>
      <c r="B638" s="51" t="str">
        <f aca="false">IF(A638="","",MONTH(A638))</f>
        <v/>
      </c>
      <c r="C638" s="52"/>
      <c r="D638" s="52"/>
      <c r="E638" s="52"/>
      <c r="F638" s="53"/>
      <c r="G638" s="52"/>
      <c r="H638" s="54" t="str">
        <f aca="false">IF(E638="","",E638*N(F638)*IF(G638="",1,G638))</f>
        <v/>
      </c>
      <c r="I638" s="55" t="str">
        <f aca="false">IF(C638="","",IFERROR(INDEX('DANH MỤC'!$B$5:$B$200,MATCH(C638,'DANH MỤC'!$A$5:$A$200,0)),"⚠ Mã chưa có trong DANH MỤC"))</f>
        <v/>
      </c>
      <c r="J638" s="52"/>
      <c r="K638" s="52"/>
      <c r="L638" s="52"/>
    </row>
    <row r="639" customFormat="false" ht="15" hidden="false" customHeight="false" outlineLevel="0" collapsed="false">
      <c r="A639" s="50"/>
      <c r="B639" s="51" t="str">
        <f aca="false">IF(A639="","",MONTH(A639))</f>
        <v/>
      </c>
      <c r="C639" s="52"/>
      <c r="D639" s="52"/>
      <c r="E639" s="52"/>
      <c r="F639" s="53"/>
      <c r="G639" s="52"/>
      <c r="H639" s="54" t="str">
        <f aca="false">IF(E639="","",E639*N(F639)*IF(G639="",1,G639))</f>
        <v/>
      </c>
      <c r="I639" s="55" t="str">
        <f aca="false">IF(C639="","",IFERROR(INDEX('DANH MỤC'!$B$5:$B$200,MATCH(C639,'DANH MỤC'!$A$5:$A$200,0)),"⚠ Mã chưa có trong DANH MỤC"))</f>
        <v/>
      </c>
      <c r="J639" s="52"/>
      <c r="K639" s="52"/>
      <c r="L639" s="52"/>
    </row>
    <row r="640" customFormat="false" ht="15" hidden="false" customHeight="false" outlineLevel="0" collapsed="false">
      <c r="A640" s="50"/>
      <c r="B640" s="51" t="str">
        <f aca="false">IF(A640="","",MONTH(A640))</f>
        <v/>
      </c>
      <c r="C640" s="52"/>
      <c r="D640" s="52"/>
      <c r="E640" s="52"/>
      <c r="F640" s="53"/>
      <c r="G640" s="52"/>
      <c r="H640" s="54" t="str">
        <f aca="false">IF(E640="","",E640*N(F640)*IF(G640="",1,G640))</f>
        <v/>
      </c>
      <c r="I640" s="55" t="str">
        <f aca="false">IF(C640="","",IFERROR(INDEX('DANH MỤC'!$B$5:$B$200,MATCH(C640,'DANH MỤC'!$A$5:$A$200,0)),"⚠ Mã chưa có trong DANH MỤC"))</f>
        <v/>
      </c>
      <c r="J640" s="52"/>
      <c r="K640" s="52"/>
      <c r="L640" s="52"/>
    </row>
    <row r="641" customFormat="false" ht="15" hidden="false" customHeight="false" outlineLevel="0" collapsed="false">
      <c r="A641" s="50"/>
      <c r="B641" s="51" t="str">
        <f aca="false">IF(A641="","",MONTH(A641))</f>
        <v/>
      </c>
      <c r="C641" s="52"/>
      <c r="D641" s="52"/>
      <c r="E641" s="52"/>
      <c r="F641" s="53"/>
      <c r="G641" s="52"/>
      <c r="H641" s="54" t="str">
        <f aca="false">IF(E641="","",E641*N(F641)*IF(G641="",1,G641))</f>
        <v/>
      </c>
      <c r="I641" s="55" t="str">
        <f aca="false">IF(C641="","",IFERROR(INDEX('DANH MỤC'!$B$5:$B$200,MATCH(C641,'DANH MỤC'!$A$5:$A$200,0)),"⚠ Mã chưa có trong DANH MỤC"))</f>
        <v/>
      </c>
      <c r="J641" s="52"/>
      <c r="K641" s="52"/>
      <c r="L641" s="52"/>
    </row>
    <row r="642" customFormat="false" ht="15" hidden="false" customHeight="false" outlineLevel="0" collapsed="false">
      <c r="A642" s="50"/>
      <c r="B642" s="51" t="str">
        <f aca="false">IF(A642="","",MONTH(A642))</f>
        <v/>
      </c>
      <c r="C642" s="52"/>
      <c r="D642" s="52"/>
      <c r="E642" s="52"/>
      <c r="F642" s="53"/>
      <c r="G642" s="52"/>
      <c r="H642" s="54" t="str">
        <f aca="false">IF(E642="","",E642*N(F642)*IF(G642="",1,G642))</f>
        <v/>
      </c>
      <c r="I642" s="55" t="str">
        <f aca="false">IF(C642="","",IFERROR(INDEX('DANH MỤC'!$B$5:$B$200,MATCH(C642,'DANH MỤC'!$A$5:$A$200,0)),"⚠ Mã chưa có trong DANH MỤC"))</f>
        <v/>
      </c>
      <c r="J642" s="52"/>
      <c r="K642" s="52"/>
      <c r="L642" s="52"/>
    </row>
    <row r="643" customFormat="false" ht="15" hidden="false" customHeight="false" outlineLevel="0" collapsed="false">
      <c r="A643" s="50"/>
      <c r="B643" s="51" t="str">
        <f aca="false">IF(A643="","",MONTH(A643))</f>
        <v/>
      </c>
      <c r="C643" s="52"/>
      <c r="D643" s="52"/>
      <c r="E643" s="52"/>
      <c r="F643" s="53"/>
      <c r="G643" s="52"/>
      <c r="H643" s="54" t="str">
        <f aca="false">IF(E643="","",E643*N(F643)*IF(G643="",1,G643))</f>
        <v/>
      </c>
      <c r="I643" s="55" t="str">
        <f aca="false">IF(C643="","",IFERROR(INDEX('DANH MỤC'!$B$5:$B$200,MATCH(C643,'DANH MỤC'!$A$5:$A$200,0)),"⚠ Mã chưa có trong DANH MỤC"))</f>
        <v/>
      </c>
      <c r="J643" s="52"/>
      <c r="K643" s="52"/>
      <c r="L643" s="52"/>
    </row>
    <row r="644" customFormat="false" ht="15" hidden="false" customHeight="false" outlineLevel="0" collapsed="false">
      <c r="A644" s="50"/>
      <c r="B644" s="51" t="str">
        <f aca="false">IF(A644="","",MONTH(A644))</f>
        <v/>
      </c>
      <c r="C644" s="52"/>
      <c r="D644" s="52"/>
      <c r="E644" s="52"/>
      <c r="F644" s="53"/>
      <c r="G644" s="52"/>
      <c r="H644" s="54" t="str">
        <f aca="false">IF(E644="","",E644*N(F644)*IF(G644="",1,G644))</f>
        <v/>
      </c>
      <c r="I644" s="55" t="str">
        <f aca="false">IF(C644="","",IFERROR(INDEX('DANH MỤC'!$B$5:$B$200,MATCH(C644,'DANH MỤC'!$A$5:$A$200,0)),"⚠ Mã chưa có trong DANH MỤC"))</f>
        <v/>
      </c>
      <c r="J644" s="52"/>
      <c r="K644" s="52"/>
      <c r="L644" s="52"/>
    </row>
    <row r="645" customFormat="false" ht="15" hidden="false" customHeight="false" outlineLevel="0" collapsed="false">
      <c r="A645" s="50"/>
      <c r="B645" s="51" t="str">
        <f aca="false">IF(A645="","",MONTH(A645))</f>
        <v/>
      </c>
      <c r="C645" s="52"/>
      <c r="D645" s="52"/>
      <c r="E645" s="52"/>
      <c r="F645" s="53"/>
      <c r="G645" s="52"/>
      <c r="H645" s="54" t="str">
        <f aca="false">IF(E645="","",E645*N(F645)*IF(G645="",1,G645))</f>
        <v/>
      </c>
      <c r="I645" s="55" t="str">
        <f aca="false">IF(C645="","",IFERROR(INDEX('DANH MỤC'!$B$5:$B$200,MATCH(C645,'DANH MỤC'!$A$5:$A$200,0)),"⚠ Mã chưa có trong DANH MỤC"))</f>
        <v/>
      </c>
      <c r="J645" s="52"/>
      <c r="K645" s="52"/>
      <c r="L645" s="52"/>
    </row>
    <row r="646" customFormat="false" ht="15" hidden="false" customHeight="false" outlineLevel="0" collapsed="false">
      <c r="A646" s="50"/>
      <c r="B646" s="51" t="str">
        <f aca="false">IF(A646="","",MONTH(A646))</f>
        <v/>
      </c>
      <c r="C646" s="52"/>
      <c r="D646" s="52"/>
      <c r="E646" s="52"/>
      <c r="F646" s="53"/>
      <c r="G646" s="52"/>
      <c r="H646" s="54" t="str">
        <f aca="false">IF(E646="","",E646*N(F646)*IF(G646="",1,G646))</f>
        <v/>
      </c>
      <c r="I646" s="55" t="str">
        <f aca="false">IF(C646="","",IFERROR(INDEX('DANH MỤC'!$B$5:$B$200,MATCH(C646,'DANH MỤC'!$A$5:$A$200,0)),"⚠ Mã chưa có trong DANH MỤC"))</f>
        <v/>
      </c>
      <c r="J646" s="52"/>
      <c r="K646" s="52"/>
      <c r="L646" s="52"/>
    </row>
    <row r="647" customFormat="false" ht="15" hidden="false" customHeight="false" outlineLevel="0" collapsed="false">
      <c r="A647" s="50"/>
      <c r="B647" s="51" t="str">
        <f aca="false">IF(A647="","",MONTH(A647))</f>
        <v/>
      </c>
      <c r="C647" s="52"/>
      <c r="D647" s="52"/>
      <c r="E647" s="52"/>
      <c r="F647" s="53"/>
      <c r="G647" s="52"/>
      <c r="H647" s="54" t="str">
        <f aca="false">IF(E647="","",E647*N(F647)*IF(G647="",1,G647))</f>
        <v/>
      </c>
      <c r="I647" s="55" t="str">
        <f aca="false">IF(C647="","",IFERROR(INDEX('DANH MỤC'!$B$5:$B$200,MATCH(C647,'DANH MỤC'!$A$5:$A$200,0)),"⚠ Mã chưa có trong DANH MỤC"))</f>
        <v/>
      </c>
      <c r="J647" s="52"/>
      <c r="K647" s="52"/>
      <c r="L647" s="52"/>
    </row>
    <row r="648" customFormat="false" ht="15" hidden="false" customHeight="false" outlineLevel="0" collapsed="false">
      <c r="A648" s="50"/>
      <c r="B648" s="51" t="str">
        <f aca="false">IF(A648="","",MONTH(A648))</f>
        <v/>
      </c>
      <c r="C648" s="52"/>
      <c r="D648" s="52"/>
      <c r="E648" s="52"/>
      <c r="F648" s="53"/>
      <c r="G648" s="52"/>
      <c r="H648" s="54" t="str">
        <f aca="false">IF(E648="","",E648*N(F648)*IF(G648="",1,G648))</f>
        <v/>
      </c>
      <c r="I648" s="55" t="str">
        <f aca="false">IF(C648="","",IFERROR(INDEX('DANH MỤC'!$B$5:$B$200,MATCH(C648,'DANH MỤC'!$A$5:$A$200,0)),"⚠ Mã chưa có trong DANH MỤC"))</f>
        <v/>
      </c>
      <c r="J648" s="52"/>
      <c r="K648" s="52"/>
      <c r="L648" s="52"/>
    </row>
    <row r="649" customFormat="false" ht="15" hidden="false" customHeight="false" outlineLevel="0" collapsed="false">
      <c r="A649" s="50"/>
      <c r="B649" s="51" t="str">
        <f aca="false">IF(A649="","",MONTH(A649))</f>
        <v/>
      </c>
      <c r="C649" s="52"/>
      <c r="D649" s="52"/>
      <c r="E649" s="52"/>
      <c r="F649" s="53"/>
      <c r="G649" s="52"/>
      <c r="H649" s="54" t="str">
        <f aca="false">IF(E649="","",E649*N(F649)*IF(G649="",1,G649))</f>
        <v/>
      </c>
      <c r="I649" s="55" t="str">
        <f aca="false">IF(C649="","",IFERROR(INDEX('DANH MỤC'!$B$5:$B$200,MATCH(C649,'DANH MỤC'!$A$5:$A$200,0)),"⚠ Mã chưa có trong DANH MỤC"))</f>
        <v/>
      </c>
      <c r="J649" s="52"/>
      <c r="K649" s="52"/>
      <c r="L649" s="52"/>
    </row>
    <row r="650" customFormat="false" ht="15" hidden="false" customHeight="false" outlineLevel="0" collapsed="false">
      <c r="A650" s="50"/>
      <c r="B650" s="51" t="str">
        <f aca="false">IF(A650="","",MONTH(A650))</f>
        <v/>
      </c>
      <c r="C650" s="52"/>
      <c r="D650" s="52"/>
      <c r="E650" s="52"/>
      <c r="F650" s="53"/>
      <c r="G650" s="52"/>
      <c r="H650" s="54" t="str">
        <f aca="false">IF(E650="","",E650*N(F650)*IF(G650="",1,G650))</f>
        <v/>
      </c>
      <c r="I650" s="55" t="str">
        <f aca="false">IF(C650="","",IFERROR(INDEX('DANH MỤC'!$B$5:$B$200,MATCH(C650,'DANH MỤC'!$A$5:$A$200,0)),"⚠ Mã chưa có trong DANH MỤC"))</f>
        <v/>
      </c>
      <c r="J650" s="52"/>
      <c r="K650" s="52"/>
      <c r="L650" s="52"/>
    </row>
    <row r="651" customFormat="false" ht="15" hidden="false" customHeight="false" outlineLevel="0" collapsed="false">
      <c r="A651" s="50"/>
      <c r="B651" s="51" t="str">
        <f aca="false">IF(A651="","",MONTH(A651))</f>
        <v/>
      </c>
      <c r="C651" s="52"/>
      <c r="D651" s="52"/>
      <c r="E651" s="52"/>
      <c r="F651" s="53"/>
      <c r="G651" s="52"/>
      <c r="H651" s="54" t="str">
        <f aca="false">IF(E651="","",E651*N(F651)*IF(G651="",1,G651))</f>
        <v/>
      </c>
      <c r="I651" s="55" t="str">
        <f aca="false">IF(C651="","",IFERROR(INDEX('DANH MỤC'!$B$5:$B$200,MATCH(C651,'DANH MỤC'!$A$5:$A$200,0)),"⚠ Mã chưa có trong DANH MỤC"))</f>
        <v/>
      </c>
      <c r="J651" s="52"/>
      <c r="K651" s="52"/>
      <c r="L651" s="52"/>
    </row>
    <row r="652" customFormat="false" ht="15" hidden="false" customHeight="false" outlineLevel="0" collapsed="false">
      <c r="A652" s="50"/>
      <c r="B652" s="51" t="str">
        <f aca="false">IF(A652="","",MONTH(A652))</f>
        <v/>
      </c>
      <c r="C652" s="52"/>
      <c r="D652" s="52"/>
      <c r="E652" s="52"/>
      <c r="F652" s="53"/>
      <c r="G652" s="52"/>
      <c r="H652" s="54" t="str">
        <f aca="false">IF(E652="","",E652*N(F652)*IF(G652="",1,G652))</f>
        <v/>
      </c>
      <c r="I652" s="55" t="str">
        <f aca="false">IF(C652="","",IFERROR(INDEX('DANH MỤC'!$B$5:$B$200,MATCH(C652,'DANH MỤC'!$A$5:$A$200,0)),"⚠ Mã chưa có trong DANH MỤC"))</f>
        <v/>
      </c>
      <c r="J652" s="52"/>
      <c r="K652" s="52"/>
      <c r="L652" s="52"/>
    </row>
    <row r="653" customFormat="false" ht="15" hidden="false" customHeight="false" outlineLevel="0" collapsed="false">
      <c r="A653" s="50"/>
      <c r="B653" s="51" t="str">
        <f aca="false">IF(A653="","",MONTH(A653))</f>
        <v/>
      </c>
      <c r="C653" s="52"/>
      <c r="D653" s="52"/>
      <c r="E653" s="52"/>
      <c r="F653" s="53"/>
      <c r="G653" s="52"/>
      <c r="H653" s="54" t="str">
        <f aca="false">IF(E653="","",E653*N(F653)*IF(G653="",1,G653))</f>
        <v/>
      </c>
      <c r="I653" s="55" t="str">
        <f aca="false">IF(C653="","",IFERROR(INDEX('DANH MỤC'!$B$5:$B$200,MATCH(C653,'DANH MỤC'!$A$5:$A$200,0)),"⚠ Mã chưa có trong DANH MỤC"))</f>
        <v/>
      </c>
      <c r="J653" s="52"/>
      <c r="K653" s="52"/>
      <c r="L653" s="52"/>
    </row>
    <row r="654" customFormat="false" ht="15" hidden="false" customHeight="false" outlineLevel="0" collapsed="false">
      <c r="A654" s="50"/>
      <c r="B654" s="51" t="str">
        <f aca="false">IF(A654="","",MONTH(A654))</f>
        <v/>
      </c>
      <c r="C654" s="52"/>
      <c r="D654" s="52"/>
      <c r="E654" s="52"/>
      <c r="F654" s="53"/>
      <c r="G654" s="52"/>
      <c r="H654" s="54" t="str">
        <f aca="false">IF(E654="","",E654*N(F654)*IF(G654="",1,G654))</f>
        <v/>
      </c>
      <c r="I654" s="55" t="str">
        <f aca="false">IF(C654="","",IFERROR(INDEX('DANH MỤC'!$B$5:$B$200,MATCH(C654,'DANH MỤC'!$A$5:$A$200,0)),"⚠ Mã chưa có trong DANH MỤC"))</f>
        <v/>
      </c>
      <c r="J654" s="52"/>
      <c r="K654" s="52"/>
      <c r="L654" s="52"/>
    </row>
    <row r="655" customFormat="false" ht="15" hidden="false" customHeight="false" outlineLevel="0" collapsed="false">
      <c r="A655" s="50"/>
      <c r="B655" s="51" t="str">
        <f aca="false">IF(A655="","",MONTH(A655))</f>
        <v/>
      </c>
      <c r="C655" s="52"/>
      <c r="D655" s="52"/>
      <c r="E655" s="52"/>
      <c r="F655" s="53"/>
      <c r="G655" s="52"/>
      <c r="H655" s="54" t="str">
        <f aca="false">IF(E655="","",E655*N(F655)*IF(G655="",1,G655))</f>
        <v/>
      </c>
      <c r="I655" s="55" t="str">
        <f aca="false">IF(C655="","",IFERROR(INDEX('DANH MỤC'!$B$5:$B$200,MATCH(C655,'DANH MỤC'!$A$5:$A$200,0)),"⚠ Mã chưa có trong DANH MỤC"))</f>
        <v/>
      </c>
      <c r="J655" s="52"/>
      <c r="K655" s="52"/>
      <c r="L655" s="52"/>
    </row>
    <row r="656" customFormat="false" ht="15" hidden="false" customHeight="false" outlineLevel="0" collapsed="false">
      <c r="A656" s="50"/>
      <c r="B656" s="51" t="str">
        <f aca="false">IF(A656="","",MONTH(A656))</f>
        <v/>
      </c>
      <c r="C656" s="52"/>
      <c r="D656" s="52"/>
      <c r="E656" s="52"/>
      <c r="F656" s="53"/>
      <c r="G656" s="52"/>
      <c r="H656" s="54" t="str">
        <f aca="false">IF(E656="","",E656*N(F656)*IF(G656="",1,G656))</f>
        <v/>
      </c>
      <c r="I656" s="55" t="str">
        <f aca="false">IF(C656="","",IFERROR(INDEX('DANH MỤC'!$B$5:$B$200,MATCH(C656,'DANH MỤC'!$A$5:$A$200,0)),"⚠ Mã chưa có trong DANH MỤC"))</f>
        <v/>
      </c>
      <c r="J656" s="52"/>
      <c r="K656" s="52"/>
      <c r="L656" s="52"/>
    </row>
    <row r="657" customFormat="false" ht="15" hidden="false" customHeight="false" outlineLevel="0" collapsed="false">
      <c r="A657" s="50"/>
      <c r="B657" s="51" t="str">
        <f aca="false">IF(A657="","",MONTH(A657))</f>
        <v/>
      </c>
      <c r="C657" s="52"/>
      <c r="D657" s="52"/>
      <c r="E657" s="52"/>
      <c r="F657" s="53"/>
      <c r="G657" s="52"/>
      <c r="H657" s="54" t="str">
        <f aca="false">IF(E657="","",E657*N(F657)*IF(G657="",1,G657))</f>
        <v/>
      </c>
      <c r="I657" s="55" t="str">
        <f aca="false">IF(C657="","",IFERROR(INDEX('DANH MỤC'!$B$5:$B$200,MATCH(C657,'DANH MỤC'!$A$5:$A$200,0)),"⚠ Mã chưa có trong DANH MỤC"))</f>
        <v/>
      </c>
      <c r="J657" s="52"/>
      <c r="K657" s="52"/>
      <c r="L657" s="52"/>
    </row>
    <row r="658" customFormat="false" ht="15" hidden="false" customHeight="false" outlineLevel="0" collapsed="false">
      <c r="A658" s="50"/>
      <c r="B658" s="51" t="str">
        <f aca="false">IF(A658="","",MONTH(A658))</f>
        <v/>
      </c>
      <c r="C658" s="52"/>
      <c r="D658" s="52"/>
      <c r="E658" s="52"/>
      <c r="F658" s="53"/>
      <c r="G658" s="52"/>
      <c r="H658" s="54" t="str">
        <f aca="false">IF(E658="","",E658*N(F658)*IF(G658="",1,G658))</f>
        <v/>
      </c>
      <c r="I658" s="55" t="str">
        <f aca="false">IF(C658="","",IFERROR(INDEX('DANH MỤC'!$B$5:$B$200,MATCH(C658,'DANH MỤC'!$A$5:$A$200,0)),"⚠ Mã chưa có trong DANH MỤC"))</f>
        <v/>
      </c>
      <c r="J658" s="52"/>
      <c r="K658" s="52"/>
      <c r="L658" s="52"/>
    </row>
    <row r="659" customFormat="false" ht="15" hidden="false" customHeight="false" outlineLevel="0" collapsed="false">
      <c r="A659" s="50"/>
      <c r="B659" s="51" t="str">
        <f aca="false">IF(A659="","",MONTH(A659))</f>
        <v/>
      </c>
      <c r="C659" s="52"/>
      <c r="D659" s="52"/>
      <c r="E659" s="52"/>
      <c r="F659" s="53"/>
      <c r="G659" s="52"/>
      <c r="H659" s="54" t="str">
        <f aca="false">IF(E659="","",E659*N(F659)*IF(G659="",1,G659))</f>
        <v/>
      </c>
      <c r="I659" s="55" t="str">
        <f aca="false">IF(C659="","",IFERROR(INDEX('DANH MỤC'!$B$5:$B$200,MATCH(C659,'DANH MỤC'!$A$5:$A$200,0)),"⚠ Mã chưa có trong DANH MỤC"))</f>
        <v/>
      </c>
      <c r="J659" s="52"/>
      <c r="K659" s="52"/>
      <c r="L659" s="52"/>
    </row>
    <row r="660" customFormat="false" ht="15" hidden="false" customHeight="false" outlineLevel="0" collapsed="false">
      <c r="A660" s="50"/>
      <c r="B660" s="51" t="str">
        <f aca="false">IF(A660="","",MONTH(A660))</f>
        <v/>
      </c>
      <c r="C660" s="52"/>
      <c r="D660" s="52"/>
      <c r="E660" s="52"/>
      <c r="F660" s="53"/>
      <c r="G660" s="52"/>
      <c r="H660" s="54" t="str">
        <f aca="false">IF(E660="","",E660*N(F660)*IF(G660="",1,G660))</f>
        <v/>
      </c>
      <c r="I660" s="55" t="str">
        <f aca="false">IF(C660="","",IFERROR(INDEX('DANH MỤC'!$B$5:$B$200,MATCH(C660,'DANH MỤC'!$A$5:$A$200,0)),"⚠ Mã chưa có trong DANH MỤC"))</f>
        <v/>
      </c>
      <c r="J660" s="52"/>
      <c r="K660" s="52"/>
      <c r="L660" s="52"/>
    </row>
    <row r="661" customFormat="false" ht="15" hidden="false" customHeight="false" outlineLevel="0" collapsed="false">
      <c r="A661" s="50"/>
      <c r="B661" s="51" t="str">
        <f aca="false">IF(A661="","",MONTH(A661))</f>
        <v/>
      </c>
      <c r="C661" s="52"/>
      <c r="D661" s="52"/>
      <c r="E661" s="52"/>
      <c r="F661" s="53"/>
      <c r="G661" s="52"/>
      <c r="H661" s="54" t="str">
        <f aca="false">IF(E661="","",E661*N(F661)*IF(G661="",1,G661))</f>
        <v/>
      </c>
      <c r="I661" s="55" t="str">
        <f aca="false">IF(C661="","",IFERROR(INDEX('DANH MỤC'!$B$5:$B$200,MATCH(C661,'DANH MỤC'!$A$5:$A$200,0)),"⚠ Mã chưa có trong DANH MỤC"))</f>
        <v/>
      </c>
      <c r="J661" s="52"/>
      <c r="K661" s="52"/>
      <c r="L661" s="52"/>
    </row>
    <row r="662" customFormat="false" ht="15" hidden="false" customHeight="false" outlineLevel="0" collapsed="false">
      <c r="A662" s="50"/>
      <c r="B662" s="51" t="str">
        <f aca="false">IF(A662="","",MONTH(A662))</f>
        <v/>
      </c>
      <c r="C662" s="52"/>
      <c r="D662" s="52"/>
      <c r="E662" s="52"/>
      <c r="F662" s="53"/>
      <c r="G662" s="52"/>
      <c r="H662" s="54" t="str">
        <f aca="false">IF(E662="","",E662*N(F662)*IF(G662="",1,G662))</f>
        <v/>
      </c>
      <c r="I662" s="55" t="str">
        <f aca="false">IF(C662="","",IFERROR(INDEX('DANH MỤC'!$B$5:$B$200,MATCH(C662,'DANH MỤC'!$A$5:$A$200,0)),"⚠ Mã chưa có trong DANH MỤC"))</f>
        <v/>
      </c>
      <c r="J662" s="52"/>
      <c r="K662" s="52"/>
      <c r="L662" s="52"/>
    </row>
    <row r="663" customFormat="false" ht="15" hidden="false" customHeight="false" outlineLevel="0" collapsed="false">
      <c r="A663" s="50"/>
      <c r="B663" s="51" t="str">
        <f aca="false">IF(A663="","",MONTH(A663))</f>
        <v/>
      </c>
      <c r="C663" s="52"/>
      <c r="D663" s="52"/>
      <c r="E663" s="52"/>
      <c r="F663" s="53"/>
      <c r="G663" s="52"/>
      <c r="H663" s="54" t="str">
        <f aca="false">IF(E663="","",E663*N(F663)*IF(G663="",1,G663))</f>
        <v/>
      </c>
      <c r="I663" s="55" t="str">
        <f aca="false">IF(C663="","",IFERROR(INDEX('DANH MỤC'!$B$5:$B$200,MATCH(C663,'DANH MỤC'!$A$5:$A$200,0)),"⚠ Mã chưa có trong DANH MỤC"))</f>
        <v/>
      </c>
      <c r="J663" s="52"/>
      <c r="K663" s="52"/>
      <c r="L663" s="52"/>
    </row>
    <row r="664" customFormat="false" ht="15" hidden="false" customHeight="false" outlineLevel="0" collapsed="false">
      <c r="A664" s="50"/>
      <c r="B664" s="51" t="str">
        <f aca="false">IF(A664="","",MONTH(A664))</f>
        <v/>
      </c>
      <c r="C664" s="52"/>
      <c r="D664" s="52"/>
      <c r="E664" s="52"/>
      <c r="F664" s="53"/>
      <c r="G664" s="52"/>
      <c r="H664" s="54" t="str">
        <f aca="false">IF(E664="","",E664*N(F664)*IF(G664="",1,G664))</f>
        <v/>
      </c>
      <c r="I664" s="55" t="str">
        <f aca="false">IF(C664="","",IFERROR(INDEX('DANH MỤC'!$B$5:$B$200,MATCH(C664,'DANH MỤC'!$A$5:$A$200,0)),"⚠ Mã chưa có trong DANH MỤC"))</f>
        <v/>
      </c>
      <c r="J664" s="52"/>
      <c r="K664" s="52"/>
      <c r="L664" s="52"/>
    </row>
    <row r="665" customFormat="false" ht="15" hidden="false" customHeight="false" outlineLevel="0" collapsed="false">
      <c r="A665" s="50"/>
      <c r="B665" s="51" t="str">
        <f aca="false">IF(A665="","",MONTH(A665))</f>
        <v/>
      </c>
      <c r="C665" s="52"/>
      <c r="D665" s="52"/>
      <c r="E665" s="52"/>
      <c r="F665" s="53"/>
      <c r="G665" s="52"/>
      <c r="H665" s="54" t="str">
        <f aca="false">IF(E665="","",E665*N(F665)*IF(G665="",1,G665))</f>
        <v/>
      </c>
      <c r="I665" s="55" t="str">
        <f aca="false">IF(C665="","",IFERROR(INDEX('DANH MỤC'!$B$5:$B$200,MATCH(C665,'DANH MỤC'!$A$5:$A$200,0)),"⚠ Mã chưa có trong DANH MỤC"))</f>
        <v/>
      </c>
      <c r="J665" s="52"/>
      <c r="K665" s="52"/>
      <c r="L665" s="52"/>
    </row>
    <row r="666" customFormat="false" ht="15" hidden="false" customHeight="false" outlineLevel="0" collapsed="false">
      <c r="A666" s="50"/>
      <c r="B666" s="51" t="str">
        <f aca="false">IF(A666="","",MONTH(A666))</f>
        <v/>
      </c>
      <c r="C666" s="52"/>
      <c r="D666" s="52"/>
      <c r="E666" s="52"/>
      <c r="F666" s="53"/>
      <c r="G666" s="52"/>
      <c r="H666" s="54" t="str">
        <f aca="false">IF(E666="","",E666*N(F666)*IF(G666="",1,G666))</f>
        <v/>
      </c>
      <c r="I666" s="55" t="str">
        <f aca="false">IF(C666="","",IFERROR(INDEX('DANH MỤC'!$B$5:$B$200,MATCH(C666,'DANH MỤC'!$A$5:$A$200,0)),"⚠ Mã chưa có trong DANH MỤC"))</f>
        <v/>
      </c>
      <c r="J666" s="52"/>
      <c r="K666" s="52"/>
      <c r="L666" s="52"/>
    </row>
    <row r="667" customFormat="false" ht="15" hidden="false" customHeight="false" outlineLevel="0" collapsed="false">
      <c r="A667" s="50"/>
      <c r="B667" s="51" t="str">
        <f aca="false">IF(A667="","",MONTH(A667))</f>
        <v/>
      </c>
      <c r="C667" s="52"/>
      <c r="D667" s="52"/>
      <c r="E667" s="52"/>
      <c r="F667" s="53"/>
      <c r="G667" s="52"/>
      <c r="H667" s="54" t="str">
        <f aca="false">IF(E667="","",E667*N(F667)*IF(G667="",1,G667))</f>
        <v/>
      </c>
      <c r="I667" s="55" t="str">
        <f aca="false">IF(C667="","",IFERROR(INDEX('DANH MỤC'!$B$5:$B$200,MATCH(C667,'DANH MỤC'!$A$5:$A$200,0)),"⚠ Mã chưa có trong DANH MỤC"))</f>
        <v/>
      </c>
      <c r="J667" s="52"/>
      <c r="K667" s="52"/>
      <c r="L667" s="52"/>
    </row>
    <row r="668" customFormat="false" ht="15" hidden="false" customHeight="false" outlineLevel="0" collapsed="false">
      <c r="A668" s="50"/>
      <c r="B668" s="51" t="str">
        <f aca="false">IF(A668="","",MONTH(A668))</f>
        <v/>
      </c>
      <c r="C668" s="52"/>
      <c r="D668" s="52"/>
      <c r="E668" s="52"/>
      <c r="F668" s="53"/>
      <c r="G668" s="52"/>
      <c r="H668" s="54" t="str">
        <f aca="false">IF(E668="","",E668*N(F668)*IF(G668="",1,G668))</f>
        <v/>
      </c>
      <c r="I668" s="55" t="str">
        <f aca="false">IF(C668="","",IFERROR(INDEX('DANH MỤC'!$B$5:$B$200,MATCH(C668,'DANH MỤC'!$A$5:$A$200,0)),"⚠ Mã chưa có trong DANH MỤC"))</f>
        <v/>
      </c>
      <c r="J668" s="52"/>
      <c r="K668" s="52"/>
      <c r="L668" s="52"/>
    </row>
    <row r="669" customFormat="false" ht="15" hidden="false" customHeight="false" outlineLevel="0" collapsed="false">
      <c r="A669" s="50"/>
      <c r="B669" s="51" t="str">
        <f aca="false">IF(A669="","",MONTH(A669))</f>
        <v/>
      </c>
      <c r="C669" s="52"/>
      <c r="D669" s="52"/>
      <c r="E669" s="52"/>
      <c r="F669" s="53"/>
      <c r="G669" s="52"/>
      <c r="H669" s="54" t="str">
        <f aca="false">IF(E669="","",E669*N(F669)*IF(G669="",1,G669))</f>
        <v/>
      </c>
      <c r="I669" s="55" t="str">
        <f aca="false">IF(C669="","",IFERROR(INDEX('DANH MỤC'!$B$5:$B$200,MATCH(C669,'DANH MỤC'!$A$5:$A$200,0)),"⚠ Mã chưa có trong DANH MỤC"))</f>
        <v/>
      </c>
      <c r="J669" s="52"/>
      <c r="K669" s="52"/>
      <c r="L669" s="52"/>
    </row>
    <row r="670" customFormat="false" ht="15" hidden="false" customHeight="false" outlineLevel="0" collapsed="false">
      <c r="A670" s="50"/>
      <c r="B670" s="51" t="str">
        <f aca="false">IF(A670="","",MONTH(A670))</f>
        <v/>
      </c>
      <c r="C670" s="52"/>
      <c r="D670" s="52"/>
      <c r="E670" s="52"/>
      <c r="F670" s="53"/>
      <c r="G670" s="52"/>
      <c r="H670" s="54" t="str">
        <f aca="false">IF(E670="","",E670*N(F670)*IF(G670="",1,G670))</f>
        <v/>
      </c>
      <c r="I670" s="55" t="str">
        <f aca="false">IF(C670="","",IFERROR(INDEX('DANH MỤC'!$B$5:$B$200,MATCH(C670,'DANH MỤC'!$A$5:$A$200,0)),"⚠ Mã chưa có trong DANH MỤC"))</f>
        <v/>
      </c>
      <c r="J670" s="52"/>
      <c r="K670" s="52"/>
      <c r="L670" s="52"/>
    </row>
    <row r="671" customFormat="false" ht="15" hidden="false" customHeight="false" outlineLevel="0" collapsed="false">
      <c r="A671" s="50"/>
      <c r="B671" s="51" t="str">
        <f aca="false">IF(A671="","",MONTH(A671))</f>
        <v/>
      </c>
      <c r="C671" s="52"/>
      <c r="D671" s="52"/>
      <c r="E671" s="52"/>
      <c r="F671" s="53"/>
      <c r="G671" s="52"/>
      <c r="H671" s="54" t="str">
        <f aca="false">IF(E671="","",E671*N(F671)*IF(G671="",1,G671))</f>
        <v/>
      </c>
      <c r="I671" s="55" t="str">
        <f aca="false">IF(C671="","",IFERROR(INDEX('DANH MỤC'!$B$5:$B$200,MATCH(C671,'DANH MỤC'!$A$5:$A$200,0)),"⚠ Mã chưa có trong DANH MỤC"))</f>
        <v/>
      </c>
      <c r="J671" s="52"/>
      <c r="K671" s="52"/>
      <c r="L671" s="52"/>
    </row>
    <row r="672" customFormat="false" ht="15" hidden="false" customHeight="false" outlineLevel="0" collapsed="false">
      <c r="A672" s="50"/>
      <c r="B672" s="51" t="str">
        <f aca="false">IF(A672="","",MONTH(A672))</f>
        <v/>
      </c>
      <c r="C672" s="52"/>
      <c r="D672" s="52"/>
      <c r="E672" s="52"/>
      <c r="F672" s="53"/>
      <c r="G672" s="52"/>
      <c r="H672" s="54" t="str">
        <f aca="false">IF(E672="","",E672*N(F672)*IF(G672="",1,G672))</f>
        <v/>
      </c>
      <c r="I672" s="55" t="str">
        <f aca="false">IF(C672="","",IFERROR(INDEX('DANH MỤC'!$B$5:$B$200,MATCH(C672,'DANH MỤC'!$A$5:$A$200,0)),"⚠ Mã chưa có trong DANH MỤC"))</f>
        <v/>
      </c>
      <c r="J672" s="52"/>
      <c r="K672" s="52"/>
      <c r="L672" s="52"/>
    </row>
    <row r="673" customFormat="false" ht="15" hidden="false" customHeight="false" outlineLevel="0" collapsed="false">
      <c r="A673" s="50"/>
      <c r="B673" s="51" t="str">
        <f aca="false">IF(A673="","",MONTH(A673))</f>
        <v/>
      </c>
      <c r="C673" s="52"/>
      <c r="D673" s="52"/>
      <c r="E673" s="52"/>
      <c r="F673" s="53"/>
      <c r="G673" s="52"/>
      <c r="H673" s="54" t="str">
        <f aca="false">IF(E673="","",E673*N(F673)*IF(G673="",1,G673))</f>
        <v/>
      </c>
      <c r="I673" s="55" t="str">
        <f aca="false">IF(C673="","",IFERROR(INDEX('DANH MỤC'!$B$5:$B$200,MATCH(C673,'DANH MỤC'!$A$5:$A$200,0)),"⚠ Mã chưa có trong DANH MỤC"))</f>
        <v/>
      </c>
      <c r="J673" s="52"/>
      <c r="K673" s="52"/>
      <c r="L673" s="52"/>
    </row>
    <row r="674" customFormat="false" ht="15" hidden="false" customHeight="false" outlineLevel="0" collapsed="false">
      <c r="A674" s="50"/>
      <c r="B674" s="51" t="str">
        <f aca="false">IF(A674="","",MONTH(A674))</f>
        <v/>
      </c>
      <c r="C674" s="52"/>
      <c r="D674" s="52"/>
      <c r="E674" s="52"/>
      <c r="F674" s="53"/>
      <c r="G674" s="52"/>
      <c r="H674" s="54" t="str">
        <f aca="false">IF(E674="","",E674*N(F674)*IF(G674="",1,G674))</f>
        <v/>
      </c>
      <c r="I674" s="55" t="str">
        <f aca="false">IF(C674="","",IFERROR(INDEX('DANH MỤC'!$B$5:$B$200,MATCH(C674,'DANH MỤC'!$A$5:$A$200,0)),"⚠ Mã chưa có trong DANH MỤC"))</f>
        <v/>
      </c>
      <c r="J674" s="52"/>
      <c r="K674" s="52"/>
      <c r="L674" s="52"/>
    </row>
    <row r="675" customFormat="false" ht="15" hidden="false" customHeight="false" outlineLevel="0" collapsed="false">
      <c r="A675" s="50"/>
      <c r="B675" s="51" t="str">
        <f aca="false">IF(A675="","",MONTH(A675))</f>
        <v/>
      </c>
      <c r="C675" s="52"/>
      <c r="D675" s="52"/>
      <c r="E675" s="52"/>
      <c r="F675" s="53"/>
      <c r="G675" s="52"/>
      <c r="H675" s="54" t="str">
        <f aca="false">IF(E675="","",E675*N(F675)*IF(G675="",1,G675))</f>
        <v/>
      </c>
      <c r="I675" s="55" t="str">
        <f aca="false">IF(C675="","",IFERROR(INDEX('DANH MỤC'!$B$5:$B$200,MATCH(C675,'DANH MỤC'!$A$5:$A$200,0)),"⚠ Mã chưa có trong DANH MỤC"))</f>
        <v/>
      </c>
      <c r="J675" s="52"/>
      <c r="K675" s="52"/>
      <c r="L675" s="52"/>
    </row>
    <row r="676" customFormat="false" ht="15" hidden="false" customHeight="false" outlineLevel="0" collapsed="false">
      <c r="A676" s="50"/>
      <c r="B676" s="51" t="str">
        <f aca="false">IF(A676="","",MONTH(A676))</f>
        <v/>
      </c>
      <c r="C676" s="52"/>
      <c r="D676" s="52"/>
      <c r="E676" s="52"/>
      <c r="F676" s="53"/>
      <c r="G676" s="52"/>
      <c r="H676" s="54" t="str">
        <f aca="false">IF(E676="","",E676*N(F676)*IF(G676="",1,G676))</f>
        <v/>
      </c>
      <c r="I676" s="55" t="str">
        <f aca="false">IF(C676="","",IFERROR(INDEX('DANH MỤC'!$B$5:$B$200,MATCH(C676,'DANH MỤC'!$A$5:$A$200,0)),"⚠ Mã chưa có trong DANH MỤC"))</f>
        <v/>
      </c>
      <c r="J676" s="52"/>
      <c r="K676" s="52"/>
      <c r="L676" s="52"/>
    </row>
    <row r="677" customFormat="false" ht="15" hidden="false" customHeight="false" outlineLevel="0" collapsed="false">
      <c r="A677" s="50"/>
      <c r="B677" s="51" t="str">
        <f aca="false">IF(A677="","",MONTH(A677))</f>
        <v/>
      </c>
      <c r="C677" s="52"/>
      <c r="D677" s="52"/>
      <c r="E677" s="52"/>
      <c r="F677" s="53"/>
      <c r="G677" s="52"/>
      <c r="H677" s="54" t="str">
        <f aca="false">IF(E677="","",E677*N(F677)*IF(G677="",1,G677))</f>
        <v/>
      </c>
      <c r="I677" s="55" t="str">
        <f aca="false">IF(C677="","",IFERROR(INDEX('DANH MỤC'!$B$5:$B$200,MATCH(C677,'DANH MỤC'!$A$5:$A$200,0)),"⚠ Mã chưa có trong DANH MỤC"))</f>
        <v/>
      </c>
      <c r="J677" s="52"/>
      <c r="K677" s="52"/>
      <c r="L677" s="52"/>
    </row>
    <row r="678" customFormat="false" ht="15" hidden="false" customHeight="false" outlineLevel="0" collapsed="false">
      <c r="A678" s="50"/>
      <c r="B678" s="51" t="str">
        <f aca="false">IF(A678="","",MONTH(A678))</f>
        <v/>
      </c>
      <c r="C678" s="52"/>
      <c r="D678" s="52"/>
      <c r="E678" s="52"/>
      <c r="F678" s="53"/>
      <c r="G678" s="52"/>
      <c r="H678" s="54" t="str">
        <f aca="false">IF(E678="","",E678*N(F678)*IF(G678="",1,G678))</f>
        <v/>
      </c>
      <c r="I678" s="55" t="str">
        <f aca="false">IF(C678="","",IFERROR(INDEX('DANH MỤC'!$B$5:$B$200,MATCH(C678,'DANH MỤC'!$A$5:$A$200,0)),"⚠ Mã chưa có trong DANH MỤC"))</f>
        <v/>
      </c>
      <c r="J678" s="52"/>
      <c r="K678" s="52"/>
      <c r="L678" s="52"/>
    </row>
    <row r="679" customFormat="false" ht="15" hidden="false" customHeight="false" outlineLevel="0" collapsed="false">
      <c r="A679" s="50"/>
      <c r="B679" s="51" t="str">
        <f aca="false">IF(A679="","",MONTH(A679))</f>
        <v/>
      </c>
      <c r="C679" s="52"/>
      <c r="D679" s="52"/>
      <c r="E679" s="52"/>
      <c r="F679" s="53"/>
      <c r="G679" s="52"/>
      <c r="H679" s="54" t="str">
        <f aca="false">IF(E679="","",E679*N(F679)*IF(G679="",1,G679))</f>
        <v/>
      </c>
      <c r="I679" s="55" t="str">
        <f aca="false">IF(C679="","",IFERROR(INDEX('DANH MỤC'!$B$5:$B$200,MATCH(C679,'DANH MỤC'!$A$5:$A$200,0)),"⚠ Mã chưa có trong DANH MỤC"))</f>
        <v/>
      </c>
      <c r="J679" s="52"/>
      <c r="K679" s="52"/>
      <c r="L679" s="52"/>
    </row>
    <row r="680" customFormat="false" ht="15" hidden="false" customHeight="false" outlineLevel="0" collapsed="false">
      <c r="A680" s="50"/>
      <c r="B680" s="51" t="str">
        <f aca="false">IF(A680="","",MONTH(A680))</f>
        <v/>
      </c>
      <c r="C680" s="52"/>
      <c r="D680" s="52"/>
      <c r="E680" s="52"/>
      <c r="F680" s="53"/>
      <c r="G680" s="52"/>
      <c r="H680" s="54" t="str">
        <f aca="false">IF(E680="","",E680*N(F680)*IF(G680="",1,G680))</f>
        <v/>
      </c>
      <c r="I680" s="55" t="str">
        <f aca="false">IF(C680="","",IFERROR(INDEX('DANH MỤC'!$B$5:$B$200,MATCH(C680,'DANH MỤC'!$A$5:$A$200,0)),"⚠ Mã chưa có trong DANH MỤC"))</f>
        <v/>
      </c>
      <c r="J680" s="52"/>
      <c r="K680" s="52"/>
      <c r="L680" s="52"/>
    </row>
    <row r="681" customFormat="false" ht="15" hidden="false" customHeight="false" outlineLevel="0" collapsed="false">
      <c r="A681" s="50"/>
      <c r="B681" s="51" t="str">
        <f aca="false">IF(A681="","",MONTH(A681))</f>
        <v/>
      </c>
      <c r="C681" s="52"/>
      <c r="D681" s="52"/>
      <c r="E681" s="52"/>
      <c r="F681" s="53"/>
      <c r="G681" s="52"/>
      <c r="H681" s="54" t="str">
        <f aca="false">IF(E681="","",E681*N(F681)*IF(G681="",1,G681))</f>
        <v/>
      </c>
      <c r="I681" s="55" t="str">
        <f aca="false">IF(C681="","",IFERROR(INDEX('DANH MỤC'!$B$5:$B$200,MATCH(C681,'DANH MỤC'!$A$5:$A$200,0)),"⚠ Mã chưa có trong DANH MỤC"))</f>
        <v/>
      </c>
      <c r="J681" s="52"/>
      <c r="K681" s="52"/>
      <c r="L681" s="52"/>
    </row>
    <row r="682" customFormat="false" ht="15" hidden="false" customHeight="false" outlineLevel="0" collapsed="false">
      <c r="A682" s="50"/>
      <c r="B682" s="51" t="str">
        <f aca="false">IF(A682="","",MONTH(A682))</f>
        <v/>
      </c>
      <c r="C682" s="52"/>
      <c r="D682" s="52"/>
      <c r="E682" s="52"/>
      <c r="F682" s="53"/>
      <c r="G682" s="52"/>
      <c r="H682" s="54" t="str">
        <f aca="false">IF(E682="","",E682*N(F682)*IF(G682="",1,G682))</f>
        <v/>
      </c>
      <c r="I682" s="55" t="str">
        <f aca="false">IF(C682="","",IFERROR(INDEX('DANH MỤC'!$B$5:$B$200,MATCH(C682,'DANH MỤC'!$A$5:$A$200,0)),"⚠ Mã chưa có trong DANH MỤC"))</f>
        <v/>
      </c>
      <c r="J682" s="52"/>
      <c r="K682" s="52"/>
      <c r="L682" s="52"/>
    </row>
    <row r="683" customFormat="false" ht="15" hidden="false" customHeight="false" outlineLevel="0" collapsed="false">
      <c r="A683" s="50"/>
      <c r="B683" s="51" t="str">
        <f aca="false">IF(A683="","",MONTH(A683))</f>
        <v/>
      </c>
      <c r="C683" s="52"/>
      <c r="D683" s="52"/>
      <c r="E683" s="52"/>
      <c r="F683" s="53"/>
      <c r="G683" s="52"/>
      <c r="H683" s="54" t="str">
        <f aca="false">IF(E683="","",E683*N(F683)*IF(G683="",1,G683))</f>
        <v/>
      </c>
      <c r="I683" s="55" t="str">
        <f aca="false">IF(C683="","",IFERROR(INDEX('DANH MỤC'!$B$5:$B$200,MATCH(C683,'DANH MỤC'!$A$5:$A$200,0)),"⚠ Mã chưa có trong DANH MỤC"))</f>
        <v/>
      </c>
      <c r="J683" s="52"/>
      <c r="K683" s="52"/>
      <c r="L683" s="52"/>
    </row>
    <row r="684" customFormat="false" ht="15" hidden="false" customHeight="false" outlineLevel="0" collapsed="false">
      <c r="A684" s="50"/>
      <c r="B684" s="51" t="str">
        <f aca="false">IF(A684="","",MONTH(A684))</f>
        <v/>
      </c>
      <c r="C684" s="52"/>
      <c r="D684" s="52"/>
      <c r="E684" s="52"/>
      <c r="F684" s="53"/>
      <c r="G684" s="52"/>
      <c r="H684" s="54" t="str">
        <f aca="false">IF(E684="","",E684*N(F684)*IF(G684="",1,G684))</f>
        <v/>
      </c>
      <c r="I684" s="55" t="str">
        <f aca="false">IF(C684="","",IFERROR(INDEX('DANH MỤC'!$B$5:$B$200,MATCH(C684,'DANH MỤC'!$A$5:$A$200,0)),"⚠ Mã chưa có trong DANH MỤC"))</f>
        <v/>
      </c>
      <c r="J684" s="52"/>
      <c r="K684" s="52"/>
      <c r="L684" s="52"/>
    </row>
    <row r="685" customFormat="false" ht="15" hidden="false" customHeight="false" outlineLevel="0" collapsed="false">
      <c r="A685" s="50"/>
      <c r="B685" s="51" t="str">
        <f aca="false">IF(A685="","",MONTH(A685))</f>
        <v/>
      </c>
      <c r="C685" s="52"/>
      <c r="D685" s="52"/>
      <c r="E685" s="52"/>
      <c r="F685" s="53"/>
      <c r="G685" s="52"/>
      <c r="H685" s="54" t="str">
        <f aca="false">IF(E685="","",E685*N(F685)*IF(G685="",1,G685))</f>
        <v/>
      </c>
      <c r="I685" s="55" t="str">
        <f aca="false">IF(C685="","",IFERROR(INDEX('DANH MỤC'!$B$5:$B$200,MATCH(C685,'DANH MỤC'!$A$5:$A$200,0)),"⚠ Mã chưa có trong DANH MỤC"))</f>
        <v/>
      </c>
      <c r="J685" s="52"/>
      <c r="K685" s="52"/>
      <c r="L685" s="52"/>
    </row>
    <row r="686" customFormat="false" ht="15" hidden="false" customHeight="false" outlineLevel="0" collapsed="false">
      <c r="A686" s="50"/>
      <c r="B686" s="51" t="str">
        <f aca="false">IF(A686="","",MONTH(A686))</f>
        <v/>
      </c>
      <c r="C686" s="52"/>
      <c r="D686" s="52"/>
      <c r="E686" s="52"/>
      <c r="F686" s="53"/>
      <c r="G686" s="52"/>
      <c r="H686" s="54" t="str">
        <f aca="false">IF(E686="","",E686*N(F686)*IF(G686="",1,G686))</f>
        <v/>
      </c>
      <c r="I686" s="55" t="str">
        <f aca="false">IF(C686="","",IFERROR(INDEX('DANH MỤC'!$B$5:$B$200,MATCH(C686,'DANH MỤC'!$A$5:$A$200,0)),"⚠ Mã chưa có trong DANH MỤC"))</f>
        <v/>
      </c>
      <c r="J686" s="52"/>
      <c r="K686" s="52"/>
      <c r="L686" s="52"/>
    </row>
    <row r="687" customFormat="false" ht="15" hidden="false" customHeight="false" outlineLevel="0" collapsed="false">
      <c r="A687" s="50"/>
      <c r="B687" s="51" t="str">
        <f aca="false">IF(A687="","",MONTH(A687))</f>
        <v/>
      </c>
      <c r="C687" s="52"/>
      <c r="D687" s="52"/>
      <c r="E687" s="52"/>
      <c r="F687" s="53"/>
      <c r="G687" s="52"/>
      <c r="H687" s="54" t="str">
        <f aca="false">IF(E687="","",E687*N(F687)*IF(G687="",1,G687))</f>
        <v/>
      </c>
      <c r="I687" s="55" t="str">
        <f aca="false">IF(C687="","",IFERROR(INDEX('DANH MỤC'!$B$5:$B$200,MATCH(C687,'DANH MỤC'!$A$5:$A$200,0)),"⚠ Mã chưa có trong DANH MỤC"))</f>
        <v/>
      </c>
      <c r="J687" s="52"/>
      <c r="K687" s="52"/>
      <c r="L687" s="52"/>
    </row>
    <row r="688" customFormat="false" ht="15" hidden="false" customHeight="false" outlineLevel="0" collapsed="false">
      <c r="A688" s="50"/>
      <c r="B688" s="51" t="str">
        <f aca="false">IF(A688="","",MONTH(A688))</f>
        <v/>
      </c>
      <c r="C688" s="52"/>
      <c r="D688" s="52"/>
      <c r="E688" s="52"/>
      <c r="F688" s="53"/>
      <c r="G688" s="52"/>
      <c r="H688" s="54" t="str">
        <f aca="false">IF(E688="","",E688*N(F688)*IF(G688="",1,G688))</f>
        <v/>
      </c>
      <c r="I688" s="55" t="str">
        <f aca="false">IF(C688="","",IFERROR(INDEX('DANH MỤC'!$B$5:$B$200,MATCH(C688,'DANH MỤC'!$A$5:$A$200,0)),"⚠ Mã chưa có trong DANH MỤC"))</f>
        <v/>
      </c>
      <c r="J688" s="52"/>
      <c r="K688" s="52"/>
      <c r="L688" s="52"/>
    </row>
    <row r="689" customFormat="false" ht="15" hidden="false" customHeight="false" outlineLevel="0" collapsed="false">
      <c r="A689" s="50"/>
      <c r="B689" s="51" t="str">
        <f aca="false">IF(A689="","",MONTH(A689))</f>
        <v/>
      </c>
      <c r="C689" s="52"/>
      <c r="D689" s="52"/>
      <c r="E689" s="52"/>
      <c r="F689" s="53"/>
      <c r="G689" s="52"/>
      <c r="H689" s="54" t="str">
        <f aca="false">IF(E689="","",E689*N(F689)*IF(G689="",1,G689))</f>
        <v/>
      </c>
      <c r="I689" s="55" t="str">
        <f aca="false">IF(C689="","",IFERROR(INDEX('DANH MỤC'!$B$5:$B$200,MATCH(C689,'DANH MỤC'!$A$5:$A$200,0)),"⚠ Mã chưa có trong DANH MỤC"))</f>
        <v/>
      </c>
      <c r="J689" s="52"/>
      <c r="K689" s="52"/>
      <c r="L689" s="52"/>
    </row>
    <row r="690" customFormat="false" ht="15" hidden="false" customHeight="false" outlineLevel="0" collapsed="false">
      <c r="A690" s="50"/>
      <c r="B690" s="51" t="str">
        <f aca="false">IF(A690="","",MONTH(A690))</f>
        <v/>
      </c>
      <c r="C690" s="52"/>
      <c r="D690" s="52"/>
      <c r="E690" s="52"/>
      <c r="F690" s="53"/>
      <c r="G690" s="52"/>
      <c r="H690" s="54" t="str">
        <f aca="false">IF(E690="","",E690*N(F690)*IF(G690="",1,G690))</f>
        <v/>
      </c>
      <c r="I690" s="55" t="str">
        <f aca="false">IF(C690="","",IFERROR(INDEX('DANH MỤC'!$B$5:$B$200,MATCH(C690,'DANH MỤC'!$A$5:$A$200,0)),"⚠ Mã chưa có trong DANH MỤC"))</f>
        <v/>
      </c>
      <c r="J690" s="52"/>
      <c r="K690" s="52"/>
      <c r="L690" s="52"/>
    </row>
    <row r="691" customFormat="false" ht="15" hidden="false" customHeight="false" outlineLevel="0" collapsed="false">
      <c r="A691" s="50"/>
      <c r="B691" s="51" t="str">
        <f aca="false">IF(A691="","",MONTH(A691))</f>
        <v/>
      </c>
      <c r="C691" s="52"/>
      <c r="D691" s="52"/>
      <c r="E691" s="52"/>
      <c r="F691" s="53"/>
      <c r="G691" s="52"/>
      <c r="H691" s="54" t="str">
        <f aca="false">IF(E691="","",E691*N(F691)*IF(G691="",1,G691))</f>
        <v/>
      </c>
      <c r="I691" s="55" t="str">
        <f aca="false">IF(C691="","",IFERROR(INDEX('DANH MỤC'!$B$5:$B$200,MATCH(C691,'DANH MỤC'!$A$5:$A$200,0)),"⚠ Mã chưa có trong DANH MỤC"))</f>
        <v/>
      </c>
      <c r="J691" s="52"/>
      <c r="K691" s="52"/>
      <c r="L691" s="52"/>
    </row>
    <row r="692" customFormat="false" ht="15" hidden="false" customHeight="false" outlineLevel="0" collapsed="false">
      <c r="A692" s="50"/>
      <c r="B692" s="51" t="str">
        <f aca="false">IF(A692="","",MONTH(A692))</f>
        <v/>
      </c>
      <c r="C692" s="52"/>
      <c r="D692" s="52"/>
      <c r="E692" s="52"/>
      <c r="F692" s="53"/>
      <c r="G692" s="52"/>
      <c r="H692" s="54" t="str">
        <f aca="false">IF(E692="","",E692*N(F692)*IF(G692="",1,G692))</f>
        <v/>
      </c>
      <c r="I692" s="55" t="str">
        <f aca="false">IF(C692="","",IFERROR(INDEX('DANH MỤC'!$B$5:$B$200,MATCH(C692,'DANH MỤC'!$A$5:$A$200,0)),"⚠ Mã chưa có trong DANH MỤC"))</f>
        <v/>
      </c>
      <c r="J692" s="52"/>
      <c r="K692" s="52"/>
      <c r="L692" s="52"/>
    </row>
    <row r="693" customFormat="false" ht="15" hidden="false" customHeight="false" outlineLevel="0" collapsed="false">
      <c r="A693" s="50"/>
      <c r="B693" s="51" t="str">
        <f aca="false">IF(A693="","",MONTH(A693))</f>
        <v/>
      </c>
      <c r="C693" s="52"/>
      <c r="D693" s="52"/>
      <c r="E693" s="52"/>
      <c r="F693" s="53"/>
      <c r="G693" s="52"/>
      <c r="H693" s="54" t="str">
        <f aca="false">IF(E693="","",E693*N(F693)*IF(G693="",1,G693))</f>
        <v/>
      </c>
      <c r="I693" s="55" t="str">
        <f aca="false">IF(C693="","",IFERROR(INDEX('DANH MỤC'!$B$5:$B$200,MATCH(C693,'DANH MỤC'!$A$5:$A$200,0)),"⚠ Mã chưa có trong DANH MỤC"))</f>
        <v/>
      </c>
      <c r="J693" s="52"/>
      <c r="K693" s="52"/>
      <c r="L693" s="52"/>
    </row>
    <row r="694" customFormat="false" ht="15" hidden="false" customHeight="false" outlineLevel="0" collapsed="false">
      <c r="A694" s="50"/>
      <c r="B694" s="51" t="str">
        <f aca="false">IF(A694="","",MONTH(A694))</f>
        <v/>
      </c>
      <c r="C694" s="52"/>
      <c r="D694" s="52"/>
      <c r="E694" s="52"/>
      <c r="F694" s="53"/>
      <c r="G694" s="52"/>
      <c r="H694" s="54" t="str">
        <f aca="false">IF(E694="","",E694*N(F694)*IF(G694="",1,G694))</f>
        <v/>
      </c>
      <c r="I694" s="55" t="str">
        <f aca="false">IF(C694="","",IFERROR(INDEX('DANH MỤC'!$B$5:$B$200,MATCH(C694,'DANH MỤC'!$A$5:$A$200,0)),"⚠ Mã chưa có trong DANH MỤC"))</f>
        <v/>
      </c>
      <c r="J694" s="52"/>
      <c r="K694" s="52"/>
      <c r="L694" s="52"/>
    </row>
    <row r="695" customFormat="false" ht="15" hidden="false" customHeight="false" outlineLevel="0" collapsed="false">
      <c r="A695" s="50"/>
      <c r="B695" s="51" t="str">
        <f aca="false">IF(A695="","",MONTH(A695))</f>
        <v/>
      </c>
      <c r="C695" s="52"/>
      <c r="D695" s="52"/>
      <c r="E695" s="52"/>
      <c r="F695" s="53"/>
      <c r="G695" s="52"/>
      <c r="H695" s="54" t="str">
        <f aca="false">IF(E695="","",E695*N(F695)*IF(G695="",1,G695))</f>
        <v/>
      </c>
      <c r="I695" s="55" t="str">
        <f aca="false">IF(C695="","",IFERROR(INDEX('DANH MỤC'!$B$5:$B$200,MATCH(C695,'DANH MỤC'!$A$5:$A$200,0)),"⚠ Mã chưa có trong DANH MỤC"))</f>
        <v/>
      </c>
      <c r="J695" s="52"/>
      <c r="K695" s="52"/>
      <c r="L695" s="52"/>
    </row>
    <row r="696" customFormat="false" ht="15" hidden="false" customHeight="false" outlineLevel="0" collapsed="false">
      <c r="A696" s="50"/>
      <c r="B696" s="51" t="str">
        <f aca="false">IF(A696="","",MONTH(A696))</f>
        <v/>
      </c>
      <c r="C696" s="52"/>
      <c r="D696" s="52"/>
      <c r="E696" s="52"/>
      <c r="F696" s="53"/>
      <c r="G696" s="52"/>
      <c r="H696" s="54" t="str">
        <f aca="false">IF(E696="","",E696*N(F696)*IF(G696="",1,G696))</f>
        <v/>
      </c>
      <c r="I696" s="55" t="str">
        <f aca="false">IF(C696="","",IFERROR(INDEX('DANH MỤC'!$B$5:$B$200,MATCH(C696,'DANH MỤC'!$A$5:$A$200,0)),"⚠ Mã chưa có trong DANH MỤC"))</f>
        <v/>
      </c>
      <c r="J696" s="52"/>
      <c r="K696" s="52"/>
      <c r="L696" s="52"/>
    </row>
    <row r="697" customFormat="false" ht="15" hidden="false" customHeight="false" outlineLevel="0" collapsed="false">
      <c r="A697" s="50"/>
      <c r="B697" s="51" t="str">
        <f aca="false">IF(A697="","",MONTH(A697))</f>
        <v/>
      </c>
      <c r="C697" s="52"/>
      <c r="D697" s="52"/>
      <c r="E697" s="52"/>
      <c r="F697" s="53"/>
      <c r="G697" s="52"/>
      <c r="H697" s="54" t="str">
        <f aca="false">IF(E697="","",E697*N(F697)*IF(G697="",1,G697))</f>
        <v/>
      </c>
      <c r="I697" s="55" t="str">
        <f aca="false">IF(C697="","",IFERROR(INDEX('DANH MỤC'!$B$5:$B$200,MATCH(C697,'DANH MỤC'!$A$5:$A$200,0)),"⚠ Mã chưa có trong DANH MỤC"))</f>
        <v/>
      </c>
      <c r="J697" s="52"/>
      <c r="K697" s="52"/>
      <c r="L697" s="52"/>
    </row>
    <row r="698" customFormat="false" ht="15" hidden="false" customHeight="false" outlineLevel="0" collapsed="false">
      <c r="A698" s="50"/>
      <c r="B698" s="51" t="str">
        <f aca="false">IF(A698="","",MONTH(A698))</f>
        <v/>
      </c>
      <c r="C698" s="52"/>
      <c r="D698" s="52"/>
      <c r="E698" s="52"/>
      <c r="F698" s="53"/>
      <c r="G698" s="52"/>
      <c r="H698" s="54" t="str">
        <f aca="false">IF(E698="","",E698*N(F698)*IF(G698="",1,G698))</f>
        <v/>
      </c>
      <c r="I698" s="55" t="str">
        <f aca="false">IF(C698="","",IFERROR(INDEX('DANH MỤC'!$B$5:$B$200,MATCH(C698,'DANH MỤC'!$A$5:$A$200,0)),"⚠ Mã chưa có trong DANH MỤC"))</f>
        <v/>
      </c>
      <c r="J698" s="52"/>
      <c r="K698" s="52"/>
      <c r="L698" s="52"/>
    </row>
    <row r="699" customFormat="false" ht="15" hidden="false" customHeight="false" outlineLevel="0" collapsed="false">
      <c r="A699" s="50"/>
      <c r="B699" s="51" t="str">
        <f aca="false">IF(A699="","",MONTH(A699))</f>
        <v/>
      </c>
      <c r="C699" s="52"/>
      <c r="D699" s="52"/>
      <c r="E699" s="52"/>
      <c r="F699" s="53"/>
      <c r="G699" s="52"/>
      <c r="H699" s="54" t="str">
        <f aca="false">IF(E699="","",E699*N(F699)*IF(G699="",1,G699))</f>
        <v/>
      </c>
      <c r="I699" s="55" t="str">
        <f aca="false">IF(C699="","",IFERROR(INDEX('DANH MỤC'!$B$5:$B$200,MATCH(C699,'DANH MỤC'!$A$5:$A$200,0)),"⚠ Mã chưa có trong DANH MỤC"))</f>
        <v/>
      </c>
      <c r="J699" s="52"/>
      <c r="K699" s="52"/>
      <c r="L699" s="52"/>
    </row>
    <row r="700" customFormat="false" ht="15" hidden="false" customHeight="false" outlineLevel="0" collapsed="false">
      <c r="A700" s="50"/>
      <c r="B700" s="51" t="str">
        <f aca="false">IF(A700="","",MONTH(A700))</f>
        <v/>
      </c>
      <c r="C700" s="52"/>
      <c r="D700" s="52"/>
      <c r="E700" s="52"/>
      <c r="F700" s="53"/>
      <c r="G700" s="52"/>
      <c r="H700" s="54" t="str">
        <f aca="false">IF(E700="","",E700*N(F700)*IF(G700="",1,G700))</f>
        <v/>
      </c>
      <c r="I700" s="55" t="str">
        <f aca="false">IF(C700="","",IFERROR(INDEX('DANH MỤC'!$B$5:$B$200,MATCH(C700,'DANH MỤC'!$A$5:$A$200,0)),"⚠ Mã chưa có trong DANH MỤC"))</f>
        <v/>
      </c>
      <c r="J700" s="52"/>
      <c r="K700" s="52"/>
      <c r="L700" s="52"/>
    </row>
    <row r="701" customFormat="false" ht="15" hidden="false" customHeight="false" outlineLevel="0" collapsed="false">
      <c r="A701" s="50"/>
      <c r="B701" s="51" t="str">
        <f aca="false">IF(A701="","",MONTH(A701))</f>
        <v/>
      </c>
      <c r="C701" s="52"/>
      <c r="D701" s="52"/>
      <c r="E701" s="52"/>
      <c r="F701" s="53"/>
      <c r="G701" s="52"/>
      <c r="H701" s="54" t="str">
        <f aca="false">IF(E701="","",E701*N(F701)*IF(G701="",1,G701))</f>
        <v/>
      </c>
      <c r="I701" s="55" t="str">
        <f aca="false">IF(C701="","",IFERROR(INDEX('DANH MỤC'!$B$5:$B$200,MATCH(C701,'DANH MỤC'!$A$5:$A$200,0)),"⚠ Mã chưa có trong DANH MỤC"))</f>
        <v/>
      </c>
      <c r="J701" s="52"/>
      <c r="K701" s="52"/>
      <c r="L701" s="52"/>
    </row>
    <row r="702" customFormat="false" ht="15" hidden="false" customHeight="false" outlineLevel="0" collapsed="false">
      <c r="A702" s="50"/>
      <c r="B702" s="51" t="str">
        <f aca="false">IF(A702="","",MONTH(A702))</f>
        <v/>
      </c>
      <c r="C702" s="52"/>
      <c r="D702" s="52"/>
      <c r="E702" s="52"/>
      <c r="F702" s="53"/>
      <c r="G702" s="52"/>
      <c r="H702" s="54" t="str">
        <f aca="false">IF(E702="","",E702*N(F702)*IF(G702="",1,G702))</f>
        <v/>
      </c>
      <c r="I702" s="55" t="str">
        <f aca="false">IF(C702="","",IFERROR(INDEX('DANH MỤC'!$B$5:$B$200,MATCH(C702,'DANH MỤC'!$A$5:$A$200,0)),"⚠ Mã chưa có trong DANH MỤC"))</f>
        <v/>
      </c>
      <c r="J702" s="52"/>
      <c r="K702" s="52"/>
      <c r="L702" s="52"/>
    </row>
    <row r="703" customFormat="false" ht="15" hidden="false" customHeight="false" outlineLevel="0" collapsed="false">
      <c r="A703" s="50"/>
      <c r="B703" s="51" t="str">
        <f aca="false">IF(A703="","",MONTH(A703))</f>
        <v/>
      </c>
      <c r="C703" s="52"/>
      <c r="D703" s="52"/>
      <c r="E703" s="52"/>
      <c r="F703" s="53"/>
      <c r="G703" s="52"/>
      <c r="H703" s="54" t="str">
        <f aca="false">IF(E703="","",E703*N(F703)*IF(G703="",1,G703))</f>
        <v/>
      </c>
      <c r="I703" s="55" t="str">
        <f aca="false">IF(C703="","",IFERROR(INDEX('DANH MỤC'!$B$5:$B$200,MATCH(C703,'DANH MỤC'!$A$5:$A$200,0)),"⚠ Mã chưa có trong DANH MỤC"))</f>
        <v/>
      </c>
      <c r="J703" s="52"/>
      <c r="K703" s="52"/>
      <c r="L703" s="52"/>
    </row>
    <row r="704" customFormat="false" ht="15" hidden="false" customHeight="false" outlineLevel="0" collapsed="false">
      <c r="A704" s="50"/>
      <c r="B704" s="51" t="str">
        <f aca="false">IF(A704="","",MONTH(A704))</f>
        <v/>
      </c>
      <c r="C704" s="52"/>
      <c r="D704" s="52"/>
      <c r="E704" s="52"/>
      <c r="F704" s="53"/>
      <c r="G704" s="52"/>
      <c r="H704" s="54" t="str">
        <f aca="false">IF(E704="","",E704*N(F704)*IF(G704="",1,G704))</f>
        <v/>
      </c>
      <c r="I704" s="55" t="str">
        <f aca="false">IF(C704="","",IFERROR(INDEX('DANH MỤC'!$B$5:$B$200,MATCH(C704,'DANH MỤC'!$A$5:$A$200,0)),"⚠ Mã chưa có trong DANH MỤC"))</f>
        <v/>
      </c>
      <c r="J704" s="52"/>
      <c r="K704" s="52"/>
      <c r="L704" s="52"/>
    </row>
    <row r="705" customFormat="false" ht="15" hidden="false" customHeight="false" outlineLevel="0" collapsed="false">
      <c r="A705" s="50"/>
      <c r="B705" s="51" t="str">
        <f aca="false">IF(A705="","",MONTH(A705))</f>
        <v/>
      </c>
      <c r="C705" s="52"/>
      <c r="D705" s="52"/>
      <c r="E705" s="52"/>
      <c r="F705" s="53"/>
      <c r="G705" s="52"/>
      <c r="H705" s="54" t="str">
        <f aca="false">IF(E705="","",E705*N(F705)*IF(G705="",1,G705))</f>
        <v/>
      </c>
      <c r="I705" s="55" t="str">
        <f aca="false">IF(C705="","",IFERROR(INDEX('DANH MỤC'!$B$5:$B$200,MATCH(C705,'DANH MỤC'!$A$5:$A$200,0)),"⚠ Mã chưa có trong DANH MỤC"))</f>
        <v/>
      </c>
      <c r="J705" s="52"/>
      <c r="K705" s="52"/>
      <c r="L705" s="52"/>
    </row>
    <row r="706" customFormat="false" ht="15" hidden="false" customHeight="false" outlineLevel="0" collapsed="false">
      <c r="A706" s="50"/>
      <c r="B706" s="51" t="str">
        <f aca="false">IF(A706="","",MONTH(A706))</f>
        <v/>
      </c>
      <c r="C706" s="52"/>
      <c r="D706" s="52"/>
      <c r="E706" s="52"/>
      <c r="F706" s="53"/>
      <c r="G706" s="52"/>
      <c r="H706" s="54" t="str">
        <f aca="false">IF(E706="","",E706*N(F706)*IF(G706="",1,G706))</f>
        <v/>
      </c>
      <c r="I706" s="55" t="str">
        <f aca="false">IF(C706="","",IFERROR(INDEX('DANH MỤC'!$B$5:$B$200,MATCH(C706,'DANH MỤC'!$A$5:$A$200,0)),"⚠ Mã chưa có trong DANH MỤC"))</f>
        <v/>
      </c>
      <c r="J706" s="52"/>
      <c r="K706" s="52"/>
      <c r="L706" s="52"/>
    </row>
    <row r="707" customFormat="false" ht="15" hidden="false" customHeight="false" outlineLevel="0" collapsed="false">
      <c r="A707" s="50"/>
      <c r="B707" s="51" t="str">
        <f aca="false">IF(A707="","",MONTH(A707))</f>
        <v/>
      </c>
      <c r="C707" s="52"/>
      <c r="D707" s="52"/>
      <c r="E707" s="52"/>
      <c r="F707" s="53"/>
      <c r="G707" s="52"/>
      <c r="H707" s="54" t="str">
        <f aca="false">IF(E707="","",E707*N(F707)*IF(G707="",1,G707))</f>
        <v/>
      </c>
      <c r="I707" s="55" t="str">
        <f aca="false">IF(C707="","",IFERROR(INDEX('DANH MỤC'!$B$5:$B$200,MATCH(C707,'DANH MỤC'!$A$5:$A$200,0)),"⚠ Mã chưa có trong DANH MỤC"))</f>
        <v/>
      </c>
      <c r="J707" s="52"/>
      <c r="K707" s="52"/>
      <c r="L707" s="52"/>
    </row>
    <row r="708" customFormat="false" ht="15" hidden="false" customHeight="false" outlineLevel="0" collapsed="false">
      <c r="A708" s="50"/>
      <c r="B708" s="51" t="str">
        <f aca="false">IF(A708="","",MONTH(A708))</f>
        <v/>
      </c>
      <c r="C708" s="52"/>
      <c r="D708" s="52"/>
      <c r="E708" s="52"/>
      <c r="F708" s="53"/>
      <c r="G708" s="52"/>
      <c r="H708" s="54" t="str">
        <f aca="false">IF(E708="","",E708*N(F708)*IF(G708="",1,G708))</f>
        <v/>
      </c>
      <c r="I708" s="55" t="str">
        <f aca="false">IF(C708="","",IFERROR(INDEX('DANH MỤC'!$B$5:$B$200,MATCH(C708,'DANH MỤC'!$A$5:$A$200,0)),"⚠ Mã chưa có trong DANH MỤC"))</f>
        <v/>
      </c>
      <c r="J708" s="52"/>
      <c r="K708" s="52"/>
      <c r="L708" s="52"/>
    </row>
    <row r="709" customFormat="false" ht="15" hidden="false" customHeight="false" outlineLevel="0" collapsed="false">
      <c r="A709" s="50"/>
      <c r="B709" s="51" t="str">
        <f aca="false">IF(A709="","",MONTH(A709))</f>
        <v/>
      </c>
      <c r="C709" s="52"/>
      <c r="D709" s="52"/>
      <c r="E709" s="52"/>
      <c r="F709" s="53"/>
      <c r="G709" s="52"/>
      <c r="H709" s="54" t="str">
        <f aca="false">IF(E709="","",E709*N(F709)*IF(G709="",1,G709))</f>
        <v/>
      </c>
      <c r="I709" s="55" t="str">
        <f aca="false">IF(C709="","",IFERROR(INDEX('DANH MỤC'!$B$5:$B$200,MATCH(C709,'DANH MỤC'!$A$5:$A$200,0)),"⚠ Mã chưa có trong DANH MỤC"))</f>
        <v/>
      </c>
      <c r="J709" s="52"/>
      <c r="K709" s="52"/>
      <c r="L709" s="52"/>
    </row>
    <row r="710" customFormat="false" ht="15" hidden="false" customHeight="false" outlineLevel="0" collapsed="false">
      <c r="A710" s="50"/>
      <c r="B710" s="51" t="str">
        <f aca="false">IF(A710="","",MONTH(A710))</f>
        <v/>
      </c>
      <c r="C710" s="52"/>
      <c r="D710" s="52"/>
      <c r="E710" s="52"/>
      <c r="F710" s="53"/>
      <c r="G710" s="52"/>
      <c r="H710" s="54" t="str">
        <f aca="false">IF(E710="","",E710*N(F710)*IF(G710="",1,G710))</f>
        <v/>
      </c>
      <c r="I710" s="55" t="str">
        <f aca="false">IF(C710="","",IFERROR(INDEX('DANH MỤC'!$B$5:$B$200,MATCH(C710,'DANH MỤC'!$A$5:$A$200,0)),"⚠ Mã chưa có trong DANH MỤC"))</f>
        <v/>
      </c>
      <c r="J710" s="52"/>
      <c r="K710" s="52"/>
      <c r="L710" s="52"/>
    </row>
    <row r="711" customFormat="false" ht="15" hidden="false" customHeight="false" outlineLevel="0" collapsed="false">
      <c r="A711" s="50"/>
      <c r="B711" s="51" t="str">
        <f aca="false">IF(A711="","",MONTH(A711))</f>
        <v/>
      </c>
      <c r="C711" s="52"/>
      <c r="D711" s="52"/>
      <c r="E711" s="52"/>
      <c r="F711" s="53"/>
      <c r="G711" s="52"/>
      <c r="H711" s="54" t="str">
        <f aca="false">IF(E711="","",E711*N(F711)*IF(G711="",1,G711))</f>
        <v/>
      </c>
      <c r="I711" s="55" t="str">
        <f aca="false">IF(C711="","",IFERROR(INDEX('DANH MỤC'!$B$5:$B$200,MATCH(C711,'DANH MỤC'!$A$5:$A$200,0)),"⚠ Mã chưa có trong DANH MỤC"))</f>
        <v/>
      </c>
      <c r="J711" s="52"/>
      <c r="K711" s="52"/>
      <c r="L711" s="52"/>
    </row>
    <row r="712" customFormat="false" ht="15" hidden="false" customHeight="false" outlineLevel="0" collapsed="false">
      <c r="A712" s="50"/>
      <c r="B712" s="51" t="str">
        <f aca="false">IF(A712="","",MONTH(A712))</f>
        <v/>
      </c>
      <c r="C712" s="52"/>
      <c r="D712" s="52"/>
      <c r="E712" s="52"/>
      <c r="F712" s="53"/>
      <c r="G712" s="52"/>
      <c r="H712" s="54" t="str">
        <f aca="false">IF(E712="","",E712*N(F712)*IF(G712="",1,G712))</f>
        <v/>
      </c>
      <c r="I712" s="55" t="str">
        <f aca="false">IF(C712="","",IFERROR(INDEX('DANH MỤC'!$B$5:$B$200,MATCH(C712,'DANH MỤC'!$A$5:$A$200,0)),"⚠ Mã chưa có trong DANH MỤC"))</f>
        <v/>
      </c>
      <c r="J712" s="52"/>
      <c r="K712" s="52"/>
      <c r="L712" s="52"/>
    </row>
    <row r="713" customFormat="false" ht="15" hidden="false" customHeight="false" outlineLevel="0" collapsed="false">
      <c r="A713" s="50"/>
      <c r="B713" s="51" t="str">
        <f aca="false">IF(A713="","",MONTH(A713))</f>
        <v/>
      </c>
      <c r="C713" s="52"/>
      <c r="D713" s="52"/>
      <c r="E713" s="52"/>
      <c r="F713" s="53"/>
      <c r="G713" s="52"/>
      <c r="H713" s="54" t="str">
        <f aca="false">IF(E713="","",E713*N(F713)*IF(G713="",1,G713))</f>
        <v/>
      </c>
      <c r="I713" s="55" t="str">
        <f aca="false">IF(C713="","",IFERROR(INDEX('DANH MỤC'!$B$5:$B$200,MATCH(C713,'DANH MỤC'!$A$5:$A$200,0)),"⚠ Mã chưa có trong DANH MỤC"))</f>
        <v/>
      </c>
      <c r="J713" s="52"/>
      <c r="K713" s="52"/>
      <c r="L713" s="52"/>
    </row>
    <row r="714" customFormat="false" ht="15" hidden="false" customHeight="false" outlineLevel="0" collapsed="false">
      <c r="A714" s="50"/>
      <c r="B714" s="51" t="str">
        <f aca="false">IF(A714="","",MONTH(A714))</f>
        <v/>
      </c>
      <c r="C714" s="52"/>
      <c r="D714" s="52"/>
      <c r="E714" s="52"/>
      <c r="F714" s="53"/>
      <c r="G714" s="52"/>
      <c r="H714" s="54" t="str">
        <f aca="false">IF(E714="","",E714*N(F714)*IF(G714="",1,G714))</f>
        <v/>
      </c>
      <c r="I714" s="55" t="str">
        <f aca="false">IF(C714="","",IFERROR(INDEX('DANH MỤC'!$B$5:$B$200,MATCH(C714,'DANH MỤC'!$A$5:$A$200,0)),"⚠ Mã chưa có trong DANH MỤC"))</f>
        <v/>
      </c>
      <c r="J714" s="52"/>
      <c r="K714" s="52"/>
      <c r="L714" s="52"/>
    </row>
    <row r="715" customFormat="false" ht="15" hidden="false" customHeight="false" outlineLevel="0" collapsed="false">
      <c r="A715" s="50"/>
      <c r="B715" s="51" t="str">
        <f aca="false">IF(A715="","",MONTH(A715))</f>
        <v/>
      </c>
      <c r="C715" s="52"/>
      <c r="D715" s="52"/>
      <c r="E715" s="52"/>
      <c r="F715" s="53"/>
      <c r="G715" s="52"/>
      <c r="H715" s="54" t="str">
        <f aca="false">IF(E715="","",E715*N(F715)*IF(G715="",1,G715))</f>
        <v/>
      </c>
      <c r="I715" s="55" t="str">
        <f aca="false">IF(C715="","",IFERROR(INDEX('DANH MỤC'!$B$5:$B$200,MATCH(C715,'DANH MỤC'!$A$5:$A$200,0)),"⚠ Mã chưa có trong DANH MỤC"))</f>
        <v/>
      </c>
      <c r="J715" s="52"/>
      <c r="K715" s="52"/>
      <c r="L715" s="52"/>
    </row>
    <row r="716" customFormat="false" ht="15" hidden="false" customHeight="false" outlineLevel="0" collapsed="false">
      <c r="A716" s="50"/>
      <c r="B716" s="51" t="str">
        <f aca="false">IF(A716="","",MONTH(A716))</f>
        <v/>
      </c>
      <c r="C716" s="52"/>
      <c r="D716" s="52"/>
      <c r="E716" s="52"/>
      <c r="F716" s="53"/>
      <c r="G716" s="52"/>
      <c r="H716" s="54" t="str">
        <f aca="false">IF(E716="","",E716*N(F716)*IF(G716="",1,G716))</f>
        <v/>
      </c>
      <c r="I716" s="55" t="str">
        <f aca="false">IF(C716="","",IFERROR(INDEX('DANH MỤC'!$B$5:$B$200,MATCH(C716,'DANH MỤC'!$A$5:$A$200,0)),"⚠ Mã chưa có trong DANH MỤC"))</f>
        <v/>
      </c>
      <c r="J716" s="52"/>
      <c r="K716" s="52"/>
      <c r="L716" s="52"/>
    </row>
    <row r="717" customFormat="false" ht="15" hidden="false" customHeight="false" outlineLevel="0" collapsed="false">
      <c r="A717" s="50"/>
      <c r="B717" s="51" t="str">
        <f aca="false">IF(A717="","",MONTH(A717))</f>
        <v/>
      </c>
      <c r="C717" s="52"/>
      <c r="D717" s="52"/>
      <c r="E717" s="52"/>
      <c r="F717" s="53"/>
      <c r="G717" s="52"/>
      <c r="H717" s="54" t="str">
        <f aca="false">IF(E717="","",E717*N(F717)*IF(G717="",1,G717))</f>
        <v/>
      </c>
      <c r="I717" s="55" t="str">
        <f aca="false">IF(C717="","",IFERROR(INDEX('DANH MỤC'!$B$5:$B$200,MATCH(C717,'DANH MỤC'!$A$5:$A$200,0)),"⚠ Mã chưa có trong DANH MỤC"))</f>
        <v/>
      </c>
      <c r="J717" s="52"/>
      <c r="K717" s="52"/>
      <c r="L717" s="52"/>
    </row>
    <row r="718" customFormat="false" ht="15" hidden="false" customHeight="false" outlineLevel="0" collapsed="false">
      <c r="A718" s="50"/>
      <c r="B718" s="51" t="str">
        <f aca="false">IF(A718="","",MONTH(A718))</f>
        <v/>
      </c>
      <c r="C718" s="52"/>
      <c r="D718" s="52"/>
      <c r="E718" s="52"/>
      <c r="F718" s="53"/>
      <c r="G718" s="52"/>
      <c r="H718" s="54" t="str">
        <f aca="false">IF(E718="","",E718*N(F718)*IF(G718="",1,G718))</f>
        <v/>
      </c>
      <c r="I718" s="55" t="str">
        <f aca="false">IF(C718="","",IFERROR(INDEX('DANH MỤC'!$B$5:$B$200,MATCH(C718,'DANH MỤC'!$A$5:$A$200,0)),"⚠ Mã chưa có trong DANH MỤC"))</f>
        <v/>
      </c>
      <c r="J718" s="52"/>
      <c r="K718" s="52"/>
      <c r="L718" s="52"/>
    </row>
    <row r="719" customFormat="false" ht="15" hidden="false" customHeight="false" outlineLevel="0" collapsed="false">
      <c r="A719" s="50"/>
      <c r="B719" s="51" t="str">
        <f aca="false">IF(A719="","",MONTH(A719))</f>
        <v/>
      </c>
      <c r="C719" s="52"/>
      <c r="D719" s="52"/>
      <c r="E719" s="52"/>
      <c r="F719" s="53"/>
      <c r="G719" s="52"/>
      <c r="H719" s="54" t="str">
        <f aca="false">IF(E719="","",E719*N(F719)*IF(G719="",1,G719))</f>
        <v/>
      </c>
      <c r="I719" s="55" t="str">
        <f aca="false">IF(C719="","",IFERROR(INDEX('DANH MỤC'!$B$5:$B$200,MATCH(C719,'DANH MỤC'!$A$5:$A$200,0)),"⚠ Mã chưa có trong DANH MỤC"))</f>
        <v/>
      </c>
      <c r="J719" s="52"/>
      <c r="K719" s="52"/>
      <c r="L719" s="52"/>
    </row>
    <row r="720" customFormat="false" ht="15" hidden="false" customHeight="false" outlineLevel="0" collapsed="false">
      <c r="A720" s="50"/>
      <c r="B720" s="51" t="str">
        <f aca="false">IF(A720="","",MONTH(A720))</f>
        <v/>
      </c>
      <c r="C720" s="52"/>
      <c r="D720" s="52"/>
      <c r="E720" s="52"/>
      <c r="F720" s="53"/>
      <c r="G720" s="52"/>
      <c r="H720" s="54" t="str">
        <f aca="false">IF(E720="","",E720*N(F720)*IF(G720="",1,G720))</f>
        <v/>
      </c>
      <c r="I720" s="55" t="str">
        <f aca="false">IF(C720="","",IFERROR(INDEX('DANH MỤC'!$B$5:$B$200,MATCH(C720,'DANH MỤC'!$A$5:$A$200,0)),"⚠ Mã chưa có trong DANH MỤC"))</f>
        <v/>
      </c>
      <c r="J720" s="52"/>
      <c r="K720" s="52"/>
      <c r="L720" s="52"/>
    </row>
    <row r="721" customFormat="false" ht="15" hidden="false" customHeight="false" outlineLevel="0" collapsed="false">
      <c r="A721" s="50"/>
      <c r="B721" s="51" t="str">
        <f aca="false">IF(A721="","",MONTH(A721))</f>
        <v/>
      </c>
      <c r="C721" s="52"/>
      <c r="D721" s="52"/>
      <c r="E721" s="52"/>
      <c r="F721" s="53"/>
      <c r="G721" s="52"/>
      <c r="H721" s="54" t="str">
        <f aca="false">IF(E721="","",E721*N(F721)*IF(G721="",1,G721))</f>
        <v/>
      </c>
      <c r="I721" s="55" t="str">
        <f aca="false">IF(C721="","",IFERROR(INDEX('DANH MỤC'!$B$5:$B$200,MATCH(C721,'DANH MỤC'!$A$5:$A$200,0)),"⚠ Mã chưa có trong DANH MỤC"))</f>
        <v/>
      </c>
      <c r="J721" s="52"/>
      <c r="K721" s="52"/>
      <c r="L721" s="52"/>
    </row>
    <row r="722" customFormat="false" ht="15" hidden="false" customHeight="false" outlineLevel="0" collapsed="false">
      <c r="A722" s="50"/>
      <c r="B722" s="51" t="str">
        <f aca="false">IF(A722="","",MONTH(A722))</f>
        <v/>
      </c>
      <c r="C722" s="52"/>
      <c r="D722" s="52"/>
      <c r="E722" s="52"/>
      <c r="F722" s="53"/>
      <c r="G722" s="52"/>
      <c r="H722" s="54" t="str">
        <f aca="false">IF(E722="","",E722*N(F722)*IF(G722="",1,G722))</f>
        <v/>
      </c>
      <c r="I722" s="55" t="str">
        <f aca="false">IF(C722="","",IFERROR(INDEX('DANH MỤC'!$B$5:$B$200,MATCH(C722,'DANH MỤC'!$A$5:$A$200,0)),"⚠ Mã chưa có trong DANH MỤC"))</f>
        <v/>
      </c>
      <c r="J722" s="52"/>
      <c r="K722" s="52"/>
      <c r="L722" s="52"/>
    </row>
    <row r="723" customFormat="false" ht="15" hidden="false" customHeight="false" outlineLevel="0" collapsed="false">
      <c r="A723" s="50"/>
      <c r="B723" s="51" t="str">
        <f aca="false">IF(A723="","",MONTH(A723))</f>
        <v/>
      </c>
      <c r="C723" s="52"/>
      <c r="D723" s="52"/>
      <c r="E723" s="52"/>
      <c r="F723" s="53"/>
      <c r="G723" s="52"/>
      <c r="H723" s="54" t="str">
        <f aca="false">IF(E723="","",E723*N(F723)*IF(G723="",1,G723))</f>
        <v/>
      </c>
      <c r="I723" s="55" t="str">
        <f aca="false">IF(C723="","",IFERROR(INDEX('DANH MỤC'!$B$5:$B$200,MATCH(C723,'DANH MỤC'!$A$5:$A$200,0)),"⚠ Mã chưa có trong DANH MỤC"))</f>
        <v/>
      </c>
      <c r="J723" s="52"/>
      <c r="K723" s="52"/>
      <c r="L723" s="52"/>
    </row>
    <row r="724" customFormat="false" ht="15" hidden="false" customHeight="false" outlineLevel="0" collapsed="false">
      <c r="A724" s="50"/>
      <c r="B724" s="51" t="str">
        <f aca="false">IF(A724="","",MONTH(A724))</f>
        <v/>
      </c>
      <c r="C724" s="52"/>
      <c r="D724" s="52"/>
      <c r="E724" s="52"/>
      <c r="F724" s="53"/>
      <c r="G724" s="52"/>
      <c r="H724" s="54" t="str">
        <f aca="false">IF(E724="","",E724*N(F724)*IF(G724="",1,G724))</f>
        <v/>
      </c>
      <c r="I724" s="55" t="str">
        <f aca="false">IF(C724="","",IFERROR(INDEX('DANH MỤC'!$B$5:$B$200,MATCH(C724,'DANH MỤC'!$A$5:$A$200,0)),"⚠ Mã chưa có trong DANH MỤC"))</f>
        <v/>
      </c>
      <c r="J724" s="52"/>
      <c r="K724" s="52"/>
      <c r="L724" s="52"/>
    </row>
    <row r="725" customFormat="false" ht="15" hidden="false" customHeight="false" outlineLevel="0" collapsed="false">
      <c r="A725" s="50"/>
      <c r="B725" s="51" t="str">
        <f aca="false">IF(A725="","",MONTH(A725))</f>
        <v/>
      </c>
      <c r="C725" s="52"/>
      <c r="D725" s="52"/>
      <c r="E725" s="52"/>
      <c r="F725" s="53"/>
      <c r="G725" s="52"/>
      <c r="H725" s="54" t="str">
        <f aca="false">IF(E725="","",E725*N(F725)*IF(G725="",1,G725))</f>
        <v/>
      </c>
      <c r="I725" s="55" t="str">
        <f aca="false">IF(C725="","",IFERROR(INDEX('DANH MỤC'!$B$5:$B$200,MATCH(C725,'DANH MỤC'!$A$5:$A$200,0)),"⚠ Mã chưa có trong DANH MỤC"))</f>
        <v/>
      </c>
      <c r="J725" s="52"/>
      <c r="K725" s="52"/>
      <c r="L725" s="52"/>
    </row>
    <row r="726" customFormat="false" ht="15" hidden="false" customHeight="false" outlineLevel="0" collapsed="false">
      <c r="A726" s="50"/>
      <c r="B726" s="51" t="str">
        <f aca="false">IF(A726="","",MONTH(A726))</f>
        <v/>
      </c>
      <c r="C726" s="52"/>
      <c r="D726" s="52"/>
      <c r="E726" s="52"/>
      <c r="F726" s="53"/>
      <c r="G726" s="52"/>
      <c r="H726" s="54" t="str">
        <f aca="false">IF(E726="","",E726*N(F726)*IF(G726="",1,G726))</f>
        <v/>
      </c>
      <c r="I726" s="55" t="str">
        <f aca="false">IF(C726="","",IFERROR(INDEX('DANH MỤC'!$B$5:$B$200,MATCH(C726,'DANH MỤC'!$A$5:$A$200,0)),"⚠ Mã chưa có trong DANH MỤC"))</f>
        <v/>
      </c>
      <c r="J726" s="52"/>
      <c r="K726" s="52"/>
      <c r="L726" s="52"/>
    </row>
    <row r="727" customFormat="false" ht="15" hidden="false" customHeight="false" outlineLevel="0" collapsed="false">
      <c r="A727" s="50"/>
      <c r="B727" s="51" t="str">
        <f aca="false">IF(A727="","",MONTH(A727))</f>
        <v/>
      </c>
      <c r="C727" s="52"/>
      <c r="D727" s="52"/>
      <c r="E727" s="52"/>
      <c r="F727" s="53"/>
      <c r="G727" s="52"/>
      <c r="H727" s="54" t="str">
        <f aca="false">IF(E727="","",E727*N(F727)*IF(G727="",1,G727))</f>
        <v/>
      </c>
      <c r="I727" s="55" t="str">
        <f aca="false">IF(C727="","",IFERROR(INDEX('DANH MỤC'!$B$5:$B$200,MATCH(C727,'DANH MỤC'!$A$5:$A$200,0)),"⚠ Mã chưa có trong DANH MỤC"))</f>
        <v/>
      </c>
      <c r="J727" s="52"/>
      <c r="K727" s="52"/>
      <c r="L727" s="52"/>
    </row>
    <row r="728" customFormat="false" ht="15" hidden="false" customHeight="false" outlineLevel="0" collapsed="false">
      <c r="A728" s="50"/>
      <c r="B728" s="51" t="str">
        <f aca="false">IF(A728="","",MONTH(A728))</f>
        <v/>
      </c>
      <c r="C728" s="52"/>
      <c r="D728" s="52"/>
      <c r="E728" s="52"/>
      <c r="F728" s="53"/>
      <c r="G728" s="52"/>
      <c r="H728" s="54" t="str">
        <f aca="false">IF(E728="","",E728*N(F728)*IF(G728="",1,G728))</f>
        <v/>
      </c>
      <c r="I728" s="55" t="str">
        <f aca="false">IF(C728="","",IFERROR(INDEX('DANH MỤC'!$B$5:$B$200,MATCH(C728,'DANH MỤC'!$A$5:$A$200,0)),"⚠ Mã chưa có trong DANH MỤC"))</f>
        <v/>
      </c>
      <c r="J728" s="52"/>
      <c r="K728" s="52"/>
      <c r="L728" s="52"/>
    </row>
    <row r="729" customFormat="false" ht="15" hidden="false" customHeight="false" outlineLevel="0" collapsed="false">
      <c r="A729" s="50"/>
      <c r="B729" s="51" t="str">
        <f aca="false">IF(A729="","",MONTH(A729))</f>
        <v/>
      </c>
      <c r="C729" s="52"/>
      <c r="D729" s="52"/>
      <c r="E729" s="52"/>
      <c r="F729" s="53"/>
      <c r="G729" s="52"/>
      <c r="H729" s="54" t="str">
        <f aca="false">IF(E729="","",E729*N(F729)*IF(G729="",1,G729))</f>
        <v/>
      </c>
      <c r="I729" s="55" t="str">
        <f aca="false">IF(C729="","",IFERROR(INDEX('DANH MỤC'!$B$5:$B$200,MATCH(C729,'DANH MỤC'!$A$5:$A$200,0)),"⚠ Mã chưa có trong DANH MỤC"))</f>
        <v/>
      </c>
      <c r="J729" s="52"/>
      <c r="K729" s="52"/>
      <c r="L729" s="52"/>
    </row>
    <row r="730" customFormat="false" ht="15" hidden="false" customHeight="false" outlineLevel="0" collapsed="false">
      <c r="A730" s="50"/>
      <c r="B730" s="51" t="str">
        <f aca="false">IF(A730="","",MONTH(A730))</f>
        <v/>
      </c>
      <c r="C730" s="52"/>
      <c r="D730" s="52"/>
      <c r="E730" s="52"/>
      <c r="F730" s="53"/>
      <c r="G730" s="52"/>
      <c r="H730" s="54" t="str">
        <f aca="false">IF(E730="","",E730*N(F730)*IF(G730="",1,G730))</f>
        <v/>
      </c>
      <c r="I730" s="55" t="str">
        <f aca="false">IF(C730="","",IFERROR(INDEX('DANH MỤC'!$B$5:$B$200,MATCH(C730,'DANH MỤC'!$A$5:$A$200,0)),"⚠ Mã chưa có trong DANH MỤC"))</f>
        <v/>
      </c>
      <c r="J730" s="52"/>
      <c r="K730" s="52"/>
      <c r="L730" s="52"/>
    </row>
    <row r="731" customFormat="false" ht="15" hidden="false" customHeight="false" outlineLevel="0" collapsed="false">
      <c r="A731" s="50"/>
      <c r="B731" s="51" t="str">
        <f aca="false">IF(A731="","",MONTH(A731))</f>
        <v/>
      </c>
      <c r="C731" s="52"/>
      <c r="D731" s="52"/>
      <c r="E731" s="52"/>
      <c r="F731" s="53"/>
      <c r="G731" s="52"/>
      <c r="H731" s="54" t="str">
        <f aca="false">IF(E731="","",E731*N(F731)*IF(G731="",1,G731))</f>
        <v/>
      </c>
      <c r="I731" s="55" t="str">
        <f aca="false">IF(C731="","",IFERROR(INDEX('DANH MỤC'!$B$5:$B$200,MATCH(C731,'DANH MỤC'!$A$5:$A$200,0)),"⚠ Mã chưa có trong DANH MỤC"))</f>
        <v/>
      </c>
      <c r="J731" s="52"/>
      <c r="K731" s="52"/>
      <c r="L731" s="52"/>
    </row>
    <row r="732" customFormat="false" ht="15" hidden="false" customHeight="false" outlineLevel="0" collapsed="false">
      <c r="A732" s="50"/>
      <c r="B732" s="51" t="str">
        <f aca="false">IF(A732="","",MONTH(A732))</f>
        <v/>
      </c>
      <c r="C732" s="52"/>
      <c r="D732" s="52"/>
      <c r="E732" s="52"/>
      <c r="F732" s="53"/>
      <c r="G732" s="52"/>
      <c r="H732" s="54" t="str">
        <f aca="false">IF(E732="","",E732*N(F732)*IF(G732="",1,G732))</f>
        <v/>
      </c>
      <c r="I732" s="55" t="str">
        <f aca="false">IF(C732="","",IFERROR(INDEX('DANH MỤC'!$B$5:$B$200,MATCH(C732,'DANH MỤC'!$A$5:$A$200,0)),"⚠ Mã chưa có trong DANH MỤC"))</f>
        <v/>
      </c>
      <c r="J732" s="52"/>
      <c r="K732" s="52"/>
      <c r="L732" s="52"/>
    </row>
    <row r="733" customFormat="false" ht="15" hidden="false" customHeight="false" outlineLevel="0" collapsed="false">
      <c r="A733" s="50"/>
      <c r="B733" s="51" t="str">
        <f aca="false">IF(A733="","",MONTH(A733))</f>
        <v/>
      </c>
      <c r="C733" s="52"/>
      <c r="D733" s="52"/>
      <c r="E733" s="52"/>
      <c r="F733" s="53"/>
      <c r="G733" s="52"/>
      <c r="H733" s="54" t="str">
        <f aca="false">IF(E733="","",E733*N(F733)*IF(G733="",1,G733))</f>
        <v/>
      </c>
      <c r="I733" s="55" t="str">
        <f aca="false">IF(C733="","",IFERROR(INDEX('DANH MỤC'!$B$5:$B$200,MATCH(C733,'DANH MỤC'!$A$5:$A$200,0)),"⚠ Mã chưa có trong DANH MỤC"))</f>
        <v/>
      </c>
      <c r="J733" s="52"/>
      <c r="K733" s="52"/>
      <c r="L733" s="52"/>
    </row>
    <row r="734" customFormat="false" ht="15" hidden="false" customHeight="false" outlineLevel="0" collapsed="false">
      <c r="A734" s="50"/>
      <c r="B734" s="51" t="str">
        <f aca="false">IF(A734="","",MONTH(A734))</f>
        <v/>
      </c>
      <c r="C734" s="52"/>
      <c r="D734" s="52"/>
      <c r="E734" s="52"/>
      <c r="F734" s="53"/>
      <c r="G734" s="52"/>
      <c r="H734" s="54" t="str">
        <f aca="false">IF(E734="","",E734*N(F734)*IF(G734="",1,G734))</f>
        <v/>
      </c>
      <c r="I734" s="55" t="str">
        <f aca="false">IF(C734="","",IFERROR(INDEX('DANH MỤC'!$B$5:$B$200,MATCH(C734,'DANH MỤC'!$A$5:$A$200,0)),"⚠ Mã chưa có trong DANH MỤC"))</f>
        <v/>
      </c>
      <c r="J734" s="52"/>
      <c r="K734" s="52"/>
      <c r="L734" s="52"/>
    </row>
    <row r="735" customFormat="false" ht="15" hidden="false" customHeight="false" outlineLevel="0" collapsed="false">
      <c r="A735" s="50"/>
      <c r="B735" s="51" t="str">
        <f aca="false">IF(A735="","",MONTH(A735))</f>
        <v/>
      </c>
      <c r="C735" s="52"/>
      <c r="D735" s="52"/>
      <c r="E735" s="52"/>
      <c r="F735" s="53"/>
      <c r="G735" s="52"/>
      <c r="H735" s="54" t="str">
        <f aca="false">IF(E735="","",E735*N(F735)*IF(G735="",1,G735))</f>
        <v/>
      </c>
      <c r="I735" s="55" t="str">
        <f aca="false">IF(C735="","",IFERROR(INDEX('DANH MỤC'!$B$5:$B$200,MATCH(C735,'DANH MỤC'!$A$5:$A$200,0)),"⚠ Mã chưa có trong DANH MỤC"))</f>
        <v/>
      </c>
      <c r="J735" s="52"/>
      <c r="K735" s="52"/>
      <c r="L735" s="52"/>
    </row>
    <row r="736" customFormat="false" ht="15" hidden="false" customHeight="false" outlineLevel="0" collapsed="false">
      <c r="A736" s="50"/>
      <c r="B736" s="51" t="str">
        <f aca="false">IF(A736="","",MONTH(A736))</f>
        <v/>
      </c>
      <c r="C736" s="52"/>
      <c r="D736" s="52"/>
      <c r="E736" s="52"/>
      <c r="F736" s="53"/>
      <c r="G736" s="52"/>
      <c r="H736" s="54" t="str">
        <f aca="false">IF(E736="","",E736*N(F736)*IF(G736="",1,G736))</f>
        <v/>
      </c>
      <c r="I736" s="55" t="str">
        <f aca="false">IF(C736="","",IFERROR(INDEX('DANH MỤC'!$B$5:$B$200,MATCH(C736,'DANH MỤC'!$A$5:$A$200,0)),"⚠ Mã chưa có trong DANH MỤC"))</f>
        <v/>
      </c>
      <c r="J736" s="52"/>
      <c r="K736" s="52"/>
      <c r="L736" s="52"/>
    </row>
    <row r="737" customFormat="false" ht="15" hidden="false" customHeight="false" outlineLevel="0" collapsed="false">
      <c r="A737" s="50"/>
      <c r="B737" s="51" t="str">
        <f aca="false">IF(A737="","",MONTH(A737))</f>
        <v/>
      </c>
      <c r="C737" s="52"/>
      <c r="D737" s="52"/>
      <c r="E737" s="52"/>
      <c r="F737" s="53"/>
      <c r="G737" s="52"/>
      <c r="H737" s="54" t="str">
        <f aca="false">IF(E737="","",E737*N(F737)*IF(G737="",1,G737))</f>
        <v/>
      </c>
      <c r="I737" s="55" t="str">
        <f aca="false">IF(C737="","",IFERROR(INDEX('DANH MỤC'!$B$5:$B$200,MATCH(C737,'DANH MỤC'!$A$5:$A$200,0)),"⚠ Mã chưa có trong DANH MỤC"))</f>
        <v/>
      </c>
      <c r="J737" s="52"/>
      <c r="K737" s="52"/>
      <c r="L737" s="52"/>
    </row>
    <row r="738" customFormat="false" ht="15" hidden="false" customHeight="false" outlineLevel="0" collapsed="false">
      <c r="A738" s="50"/>
      <c r="B738" s="51" t="str">
        <f aca="false">IF(A738="","",MONTH(A738))</f>
        <v/>
      </c>
      <c r="C738" s="52"/>
      <c r="D738" s="52"/>
      <c r="E738" s="52"/>
      <c r="F738" s="53"/>
      <c r="G738" s="52"/>
      <c r="H738" s="54" t="str">
        <f aca="false">IF(E738="","",E738*N(F738)*IF(G738="",1,G738))</f>
        <v/>
      </c>
      <c r="I738" s="55" t="str">
        <f aca="false">IF(C738="","",IFERROR(INDEX('DANH MỤC'!$B$5:$B$200,MATCH(C738,'DANH MỤC'!$A$5:$A$200,0)),"⚠ Mã chưa có trong DANH MỤC"))</f>
        <v/>
      </c>
      <c r="J738" s="52"/>
      <c r="K738" s="52"/>
      <c r="L738" s="52"/>
    </row>
    <row r="739" customFormat="false" ht="15" hidden="false" customHeight="false" outlineLevel="0" collapsed="false">
      <c r="A739" s="50"/>
      <c r="B739" s="51" t="str">
        <f aca="false">IF(A739="","",MONTH(A739))</f>
        <v/>
      </c>
      <c r="C739" s="52"/>
      <c r="D739" s="52"/>
      <c r="E739" s="52"/>
      <c r="F739" s="53"/>
      <c r="G739" s="52"/>
      <c r="H739" s="54" t="str">
        <f aca="false">IF(E739="","",E739*N(F739)*IF(G739="",1,G739))</f>
        <v/>
      </c>
      <c r="I739" s="55" t="str">
        <f aca="false">IF(C739="","",IFERROR(INDEX('DANH MỤC'!$B$5:$B$200,MATCH(C739,'DANH MỤC'!$A$5:$A$200,0)),"⚠ Mã chưa có trong DANH MỤC"))</f>
        <v/>
      </c>
      <c r="J739" s="52"/>
      <c r="K739" s="52"/>
      <c r="L739" s="52"/>
    </row>
    <row r="740" customFormat="false" ht="15" hidden="false" customHeight="false" outlineLevel="0" collapsed="false">
      <c r="A740" s="50"/>
      <c r="B740" s="51" t="str">
        <f aca="false">IF(A740="","",MONTH(A740))</f>
        <v/>
      </c>
      <c r="C740" s="52"/>
      <c r="D740" s="52"/>
      <c r="E740" s="52"/>
      <c r="F740" s="53"/>
      <c r="G740" s="52"/>
      <c r="H740" s="54" t="str">
        <f aca="false">IF(E740="","",E740*N(F740)*IF(G740="",1,G740))</f>
        <v/>
      </c>
      <c r="I740" s="55" t="str">
        <f aca="false">IF(C740="","",IFERROR(INDEX('DANH MỤC'!$B$5:$B$200,MATCH(C740,'DANH MỤC'!$A$5:$A$200,0)),"⚠ Mã chưa có trong DANH MỤC"))</f>
        <v/>
      </c>
      <c r="J740" s="52"/>
      <c r="K740" s="52"/>
      <c r="L740" s="52"/>
    </row>
    <row r="741" customFormat="false" ht="15" hidden="false" customHeight="false" outlineLevel="0" collapsed="false">
      <c r="A741" s="50"/>
      <c r="B741" s="51" t="str">
        <f aca="false">IF(A741="","",MONTH(A741))</f>
        <v/>
      </c>
      <c r="C741" s="52"/>
      <c r="D741" s="52"/>
      <c r="E741" s="52"/>
      <c r="F741" s="53"/>
      <c r="G741" s="52"/>
      <c r="H741" s="54" t="str">
        <f aca="false">IF(E741="","",E741*N(F741)*IF(G741="",1,G741))</f>
        <v/>
      </c>
      <c r="I741" s="55" t="str">
        <f aca="false">IF(C741="","",IFERROR(INDEX('DANH MỤC'!$B$5:$B$200,MATCH(C741,'DANH MỤC'!$A$5:$A$200,0)),"⚠ Mã chưa có trong DANH MỤC"))</f>
        <v/>
      </c>
      <c r="J741" s="52"/>
      <c r="K741" s="52"/>
      <c r="L741" s="52"/>
    </row>
    <row r="742" customFormat="false" ht="15" hidden="false" customHeight="false" outlineLevel="0" collapsed="false">
      <c r="A742" s="50"/>
      <c r="B742" s="51" t="str">
        <f aca="false">IF(A742="","",MONTH(A742))</f>
        <v/>
      </c>
      <c r="C742" s="52"/>
      <c r="D742" s="52"/>
      <c r="E742" s="52"/>
      <c r="F742" s="53"/>
      <c r="G742" s="52"/>
      <c r="H742" s="54" t="str">
        <f aca="false">IF(E742="","",E742*N(F742)*IF(G742="",1,G742))</f>
        <v/>
      </c>
      <c r="I742" s="55" t="str">
        <f aca="false">IF(C742="","",IFERROR(INDEX('DANH MỤC'!$B$5:$B$200,MATCH(C742,'DANH MỤC'!$A$5:$A$200,0)),"⚠ Mã chưa có trong DANH MỤC"))</f>
        <v/>
      </c>
      <c r="J742" s="52"/>
      <c r="K742" s="52"/>
      <c r="L742" s="52"/>
    </row>
    <row r="743" customFormat="false" ht="15" hidden="false" customHeight="false" outlineLevel="0" collapsed="false">
      <c r="A743" s="50"/>
      <c r="B743" s="51" t="str">
        <f aca="false">IF(A743="","",MONTH(A743))</f>
        <v/>
      </c>
      <c r="C743" s="52"/>
      <c r="D743" s="52"/>
      <c r="E743" s="52"/>
      <c r="F743" s="53"/>
      <c r="G743" s="52"/>
      <c r="H743" s="54" t="str">
        <f aca="false">IF(E743="","",E743*N(F743)*IF(G743="",1,G743))</f>
        <v/>
      </c>
      <c r="I743" s="55" t="str">
        <f aca="false">IF(C743="","",IFERROR(INDEX('DANH MỤC'!$B$5:$B$200,MATCH(C743,'DANH MỤC'!$A$5:$A$200,0)),"⚠ Mã chưa có trong DANH MỤC"))</f>
        <v/>
      </c>
      <c r="J743" s="52"/>
      <c r="K743" s="52"/>
      <c r="L743" s="52"/>
    </row>
    <row r="744" customFormat="false" ht="15" hidden="false" customHeight="false" outlineLevel="0" collapsed="false">
      <c r="A744" s="50"/>
      <c r="B744" s="51" t="str">
        <f aca="false">IF(A744="","",MONTH(A744))</f>
        <v/>
      </c>
      <c r="C744" s="52"/>
      <c r="D744" s="52"/>
      <c r="E744" s="52"/>
      <c r="F744" s="53"/>
      <c r="G744" s="52"/>
      <c r="H744" s="54" t="str">
        <f aca="false">IF(E744="","",E744*N(F744)*IF(G744="",1,G744))</f>
        <v/>
      </c>
      <c r="I744" s="55" t="str">
        <f aca="false">IF(C744="","",IFERROR(INDEX('DANH MỤC'!$B$5:$B$200,MATCH(C744,'DANH MỤC'!$A$5:$A$200,0)),"⚠ Mã chưa có trong DANH MỤC"))</f>
        <v/>
      </c>
      <c r="J744" s="52"/>
      <c r="K744" s="52"/>
      <c r="L744" s="52"/>
    </row>
    <row r="745" customFormat="false" ht="15" hidden="false" customHeight="false" outlineLevel="0" collapsed="false">
      <c r="A745" s="50"/>
      <c r="B745" s="51" t="str">
        <f aca="false">IF(A745="","",MONTH(A745))</f>
        <v/>
      </c>
      <c r="C745" s="52"/>
      <c r="D745" s="52"/>
      <c r="E745" s="52"/>
      <c r="F745" s="53"/>
      <c r="G745" s="52"/>
      <c r="H745" s="54" t="str">
        <f aca="false">IF(E745="","",E745*N(F745)*IF(G745="",1,G745))</f>
        <v/>
      </c>
      <c r="I745" s="55" t="str">
        <f aca="false">IF(C745="","",IFERROR(INDEX('DANH MỤC'!$B$5:$B$200,MATCH(C745,'DANH MỤC'!$A$5:$A$200,0)),"⚠ Mã chưa có trong DANH MỤC"))</f>
        <v/>
      </c>
      <c r="J745" s="52"/>
      <c r="K745" s="52"/>
      <c r="L745" s="52"/>
    </row>
    <row r="746" customFormat="false" ht="15" hidden="false" customHeight="false" outlineLevel="0" collapsed="false">
      <c r="A746" s="50"/>
      <c r="B746" s="51" t="str">
        <f aca="false">IF(A746="","",MONTH(A746))</f>
        <v/>
      </c>
      <c r="C746" s="52"/>
      <c r="D746" s="52"/>
      <c r="E746" s="52"/>
      <c r="F746" s="53"/>
      <c r="G746" s="52"/>
      <c r="H746" s="54" t="str">
        <f aca="false">IF(E746="","",E746*N(F746)*IF(G746="",1,G746))</f>
        <v/>
      </c>
      <c r="I746" s="55" t="str">
        <f aca="false">IF(C746="","",IFERROR(INDEX('DANH MỤC'!$B$5:$B$200,MATCH(C746,'DANH MỤC'!$A$5:$A$200,0)),"⚠ Mã chưa có trong DANH MỤC"))</f>
        <v/>
      </c>
      <c r="J746" s="52"/>
      <c r="K746" s="52"/>
      <c r="L746" s="52"/>
    </row>
    <row r="747" customFormat="false" ht="15" hidden="false" customHeight="false" outlineLevel="0" collapsed="false">
      <c r="A747" s="50"/>
      <c r="B747" s="51" t="str">
        <f aca="false">IF(A747="","",MONTH(A747))</f>
        <v/>
      </c>
      <c r="C747" s="52"/>
      <c r="D747" s="52"/>
      <c r="E747" s="52"/>
      <c r="F747" s="53"/>
      <c r="G747" s="52"/>
      <c r="H747" s="54" t="str">
        <f aca="false">IF(E747="","",E747*N(F747)*IF(G747="",1,G747))</f>
        <v/>
      </c>
      <c r="I747" s="55" t="str">
        <f aca="false">IF(C747="","",IFERROR(INDEX('DANH MỤC'!$B$5:$B$200,MATCH(C747,'DANH MỤC'!$A$5:$A$200,0)),"⚠ Mã chưa có trong DANH MỤC"))</f>
        <v/>
      </c>
      <c r="J747" s="52"/>
      <c r="K747" s="52"/>
      <c r="L747" s="52"/>
    </row>
    <row r="748" customFormat="false" ht="15" hidden="false" customHeight="false" outlineLevel="0" collapsed="false">
      <c r="A748" s="50"/>
      <c r="B748" s="51" t="str">
        <f aca="false">IF(A748="","",MONTH(A748))</f>
        <v/>
      </c>
      <c r="C748" s="52"/>
      <c r="D748" s="52"/>
      <c r="E748" s="52"/>
      <c r="F748" s="53"/>
      <c r="G748" s="52"/>
      <c r="H748" s="54" t="str">
        <f aca="false">IF(E748="","",E748*N(F748)*IF(G748="",1,G748))</f>
        <v/>
      </c>
      <c r="I748" s="55" t="str">
        <f aca="false">IF(C748="","",IFERROR(INDEX('DANH MỤC'!$B$5:$B$200,MATCH(C748,'DANH MỤC'!$A$5:$A$200,0)),"⚠ Mã chưa có trong DANH MỤC"))</f>
        <v/>
      </c>
      <c r="J748" s="52"/>
      <c r="K748" s="52"/>
      <c r="L748" s="52"/>
    </row>
    <row r="749" customFormat="false" ht="15" hidden="false" customHeight="false" outlineLevel="0" collapsed="false">
      <c r="A749" s="50"/>
      <c r="B749" s="51" t="str">
        <f aca="false">IF(A749="","",MONTH(A749))</f>
        <v/>
      </c>
      <c r="C749" s="52"/>
      <c r="D749" s="52"/>
      <c r="E749" s="52"/>
      <c r="F749" s="53"/>
      <c r="G749" s="52"/>
      <c r="H749" s="54" t="str">
        <f aca="false">IF(E749="","",E749*N(F749)*IF(G749="",1,G749))</f>
        <v/>
      </c>
      <c r="I749" s="55" t="str">
        <f aca="false">IF(C749="","",IFERROR(INDEX('DANH MỤC'!$B$5:$B$200,MATCH(C749,'DANH MỤC'!$A$5:$A$200,0)),"⚠ Mã chưa có trong DANH MỤC"))</f>
        <v/>
      </c>
      <c r="J749" s="52"/>
      <c r="K749" s="52"/>
      <c r="L749" s="52"/>
    </row>
    <row r="750" customFormat="false" ht="15" hidden="false" customHeight="false" outlineLevel="0" collapsed="false">
      <c r="A750" s="50"/>
      <c r="B750" s="51" t="str">
        <f aca="false">IF(A750="","",MONTH(A750))</f>
        <v/>
      </c>
      <c r="C750" s="52"/>
      <c r="D750" s="52"/>
      <c r="E750" s="52"/>
      <c r="F750" s="53"/>
      <c r="G750" s="52"/>
      <c r="H750" s="54" t="str">
        <f aca="false">IF(E750="","",E750*N(F750)*IF(G750="",1,G750))</f>
        <v/>
      </c>
      <c r="I750" s="55" t="str">
        <f aca="false">IF(C750="","",IFERROR(INDEX('DANH MỤC'!$B$5:$B$200,MATCH(C750,'DANH MỤC'!$A$5:$A$200,0)),"⚠ Mã chưa có trong DANH MỤC"))</f>
        <v/>
      </c>
      <c r="J750" s="52"/>
      <c r="K750" s="52"/>
      <c r="L750" s="52"/>
    </row>
    <row r="751" customFormat="false" ht="15" hidden="false" customHeight="false" outlineLevel="0" collapsed="false">
      <c r="A751" s="50"/>
      <c r="B751" s="51" t="str">
        <f aca="false">IF(A751="","",MONTH(A751))</f>
        <v/>
      </c>
      <c r="C751" s="52"/>
      <c r="D751" s="52"/>
      <c r="E751" s="52"/>
      <c r="F751" s="53"/>
      <c r="G751" s="52"/>
      <c r="H751" s="54" t="str">
        <f aca="false">IF(E751="","",E751*N(F751)*IF(G751="",1,G751))</f>
        <v/>
      </c>
      <c r="I751" s="55" t="str">
        <f aca="false">IF(C751="","",IFERROR(INDEX('DANH MỤC'!$B$5:$B$200,MATCH(C751,'DANH MỤC'!$A$5:$A$200,0)),"⚠ Mã chưa có trong DANH MỤC"))</f>
        <v/>
      </c>
      <c r="J751" s="52"/>
      <c r="K751" s="52"/>
      <c r="L751" s="52"/>
    </row>
    <row r="752" customFormat="false" ht="15" hidden="false" customHeight="false" outlineLevel="0" collapsed="false">
      <c r="A752" s="50"/>
      <c r="B752" s="51" t="str">
        <f aca="false">IF(A752="","",MONTH(A752))</f>
        <v/>
      </c>
      <c r="C752" s="52"/>
      <c r="D752" s="52"/>
      <c r="E752" s="52"/>
      <c r="F752" s="53"/>
      <c r="G752" s="52"/>
      <c r="H752" s="54" t="str">
        <f aca="false">IF(E752="","",E752*N(F752)*IF(G752="",1,G752))</f>
        <v/>
      </c>
      <c r="I752" s="55" t="str">
        <f aca="false">IF(C752="","",IFERROR(INDEX('DANH MỤC'!$B$5:$B$200,MATCH(C752,'DANH MỤC'!$A$5:$A$200,0)),"⚠ Mã chưa có trong DANH MỤC"))</f>
        <v/>
      </c>
      <c r="J752" s="52"/>
      <c r="K752" s="52"/>
      <c r="L752" s="52"/>
    </row>
    <row r="753" customFormat="false" ht="15" hidden="false" customHeight="false" outlineLevel="0" collapsed="false">
      <c r="A753" s="50"/>
      <c r="B753" s="51" t="str">
        <f aca="false">IF(A753="","",MONTH(A753))</f>
        <v/>
      </c>
      <c r="C753" s="52"/>
      <c r="D753" s="52"/>
      <c r="E753" s="52"/>
      <c r="F753" s="53"/>
      <c r="G753" s="52"/>
      <c r="H753" s="54" t="str">
        <f aca="false">IF(E753="","",E753*N(F753)*IF(G753="",1,G753))</f>
        <v/>
      </c>
      <c r="I753" s="55" t="str">
        <f aca="false">IF(C753="","",IFERROR(INDEX('DANH MỤC'!$B$5:$B$200,MATCH(C753,'DANH MỤC'!$A$5:$A$200,0)),"⚠ Mã chưa có trong DANH MỤC"))</f>
        <v/>
      </c>
      <c r="J753" s="52"/>
      <c r="K753" s="52"/>
      <c r="L753" s="52"/>
    </row>
    <row r="754" customFormat="false" ht="15" hidden="false" customHeight="false" outlineLevel="0" collapsed="false">
      <c r="A754" s="50"/>
      <c r="B754" s="51" t="str">
        <f aca="false">IF(A754="","",MONTH(A754))</f>
        <v/>
      </c>
      <c r="C754" s="52"/>
      <c r="D754" s="52"/>
      <c r="E754" s="52"/>
      <c r="F754" s="53"/>
      <c r="G754" s="52"/>
      <c r="H754" s="54" t="str">
        <f aca="false">IF(E754="","",E754*N(F754)*IF(G754="",1,G754))</f>
        <v/>
      </c>
      <c r="I754" s="55" t="str">
        <f aca="false">IF(C754="","",IFERROR(INDEX('DANH MỤC'!$B$5:$B$200,MATCH(C754,'DANH MỤC'!$A$5:$A$200,0)),"⚠ Mã chưa có trong DANH MỤC"))</f>
        <v/>
      </c>
      <c r="J754" s="52"/>
      <c r="K754" s="52"/>
      <c r="L754" s="52"/>
    </row>
    <row r="755" customFormat="false" ht="15" hidden="false" customHeight="false" outlineLevel="0" collapsed="false">
      <c r="A755" s="50"/>
      <c r="B755" s="51" t="str">
        <f aca="false">IF(A755="","",MONTH(A755))</f>
        <v/>
      </c>
      <c r="C755" s="52"/>
      <c r="D755" s="52"/>
      <c r="E755" s="52"/>
      <c r="F755" s="53"/>
      <c r="G755" s="52"/>
      <c r="H755" s="54" t="str">
        <f aca="false">IF(E755="","",E755*N(F755)*IF(G755="",1,G755))</f>
        <v/>
      </c>
      <c r="I755" s="55" t="str">
        <f aca="false">IF(C755="","",IFERROR(INDEX('DANH MỤC'!$B$5:$B$200,MATCH(C755,'DANH MỤC'!$A$5:$A$200,0)),"⚠ Mã chưa có trong DANH MỤC"))</f>
        <v/>
      </c>
      <c r="J755" s="52"/>
      <c r="K755" s="52"/>
      <c r="L755" s="52"/>
    </row>
    <row r="756" customFormat="false" ht="15" hidden="false" customHeight="false" outlineLevel="0" collapsed="false">
      <c r="A756" s="50"/>
      <c r="B756" s="51" t="str">
        <f aca="false">IF(A756="","",MONTH(A756))</f>
        <v/>
      </c>
      <c r="C756" s="52"/>
      <c r="D756" s="52"/>
      <c r="E756" s="52"/>
      <c r="F756" s="53"/>
      <c r="G756" s="52"/>
      <c r="H756" s="54" t="str">
        <f aca="false">IF(E756="","",E756*N(F756)*IF(G756="",1,G756))</f>
        <v/>
      </c>
      <c r="I756" s="55" t="str">
        <f aca="false">IF(C756="","",IFERROR(INDEX('DANH MỤC'!$B$5:$B$200,MATCH(C756,'DANH MỤC'!$A$5:$A$200,0)),"⚠ Mã chưa có trong DANH MỤC"))</f>
        <v/>
      </c>
      <c r="J756" s="52"/>
      <c r="K756" s="52"/>
      <c r="L756" s="52"/>
    </row>
    <row r="757" customFormat="false" ht="15" hidden="false" customHeight="false" outlineLevel="0" collapsed="false">
      <c r="A757" s="50"/>
      <c r="B757" s="51" t="str">
        <f aca="false">IF(A757="","",MONTH(A757))</f>
        <v/>
      </c>
      <c r="C757" s="52"/>
      <c r="D757" s="52"/>
      <c r="E757" s="52"/>
      <c r="F757" s="53"/>
      <c r="G757" s="52"/>
      <c r="H757" s="54" t="str">
        <f aca="false">IF(E757="","",E757*N(F757)*IF(G757="",1,G757))</f>
        <v/>
      </c>
      <c r="I757" s="55" t="str">
        <f aca="false">IF(C757="","",IFERROR(INDEX('DANH MỤC'!$B$5:$B$200,MATCH(C757,'DANH MỤC'!$A$5:$A$200,0)),"⚠ Mã chưa có trong DANH MỤC"))</f>
        <v/>
      </c>
      <c r="J757" s="52"/>
      <c r="K757" s="52"/>
      <c r="L757" s="52"/>
    </row>
    <row r="758" customFormat="false" ht="15" hidden="false" customHeight="false" outlineLevel="0" collapsed="false">
      <c r="A758" s="50"/>
      <c r="B758" s="51" t="str">
        <f aca="false">IF(A758="","",MONTH(A758))</f>
        <v/>
      </c>
      <c r="C758" s="52"/>
      <c r="D758" s="52"/>
      <c r="E758" s="52"/>
      <c r="F758" s="53"/>
      <c r="G758" s="52"/>
      <c r="H758" s="54" t="str">
        <f aca="false">IF(E758="","",E758*N(F758)*IF(G758="",1,G758))</f>
        <v/>
      </c>
      <c r="I758" s="55" t="str">
        <f aca="false">IF(C758="","",IFERROR(INDEX('DANH MỤC'!$B$5:$B$200,MATCH(C758,'DANH MỤC'!$A$5:$A$200,0)),"⚠ Mã chưa có trong DANH MỤC"))</f>
        <v/>
      </c>
      <c r="J758" s="52"/>
      <c r="K758" s="52"/>
      <c r="L758" s="52"/>
    </row>
    <row r="759" customFormat="false" ht="15" hidden="false" customHeight="false" outlineLevel="0" collapsed="false">
      <c r="A759" s="50"/>
      <c r="B759" s="51" t="str">
        <f aca="false">IF(A759="","",MONTH(A759))</f>
        <v/>
      </c>
      <c r="C759" s="52"/>
      <c r="D759" s="52"/>
      <c r="E759" s="52"/>
      <c r="F759" s="53"/>
      <c r="G759" s="52"/>
      <c r="H759" s="54" t="str">
        <f aca="false">IF(E759="","",E759*N(F759)*IF(G759="",1,G759))</f>
        <v/>
      </c>
      <c r="I759" s="55" t="str">
        <f aca="false">IF(C759="","",IFERROR(INDEX('DANH MỤC'!$B$5:$B$200,MATCH(C759,'DANH MỤC'!$A$5:$A$200,0)),"⚠ Mã chưa có trong DANH MỤC"))</f>
        <v/>
      </c>
      <c r="J759" s="52"/>
      <c r="K759" s="52"/>
      <c r="L759" s="52"/>
    </row>
    <row r="760" customFormat="false" ht="15" hidden="false" customHeight="false" outlineLevel="0" collapsed="false">
      <c r="A760" s="50"/>
      <c r="B760" s="51" t="str">
        <f aca="false">IF(A760="","",MONTH(A760))</f>
        <v/>
      </c>
      <c r="C760" s="52"/>
      <c r="D760" s="52"/>
      <c r="E760" s="52"/>
      <c r="F760" s="53"/>
      <c r="G760" s="52"/>
      <c r="H760" s="54" t="str">
        <f aca="false">IF(E760="","",E760*N(F760)*IF(G760="",1,G760))</f>
        <v/>
      </c>
      <c r="I760" s="55" t="str">
        <f aca="false">IF(C760="","",IFERROR(INDEX('DANH MỤC'!$B$5:$B$200,MATCH(C760,'DANH MỤC'!$A$5:$A$200,0)),"⚠ Mã chưa có trong DANH MỤC"))</f>
        <v/>
      </c>
      <c r="J760" s="52"/>
      <c r="K760" s="52"/>
      <c r="L760" s="52"/>
    </row>
    <row r="761" customFormat="false" ht="15" hidden="false" customHeight="false" outlineLevel="0" collapsed="false">
      <c r="A761" s="50"/>
      <c r="B761" s="51" t="str">
        <f aca="false">IF(A761="","",MONTH(A761))</f>
        <v/>
      </c>
      <c r="C761" s="52"/>
      <c r="D761" s="52"/>
      <c r="E761" s="52"/>
      <c r="F761" s="53"/>
      <c r="G761" s="52"/>
      <c r="H761" s="54" t="str">
        <f aca="false">IF(E761="","",E761*N(F761)*IF(G761="",1,G761))</f>
        <v/>
      </c>
      <c r="I761" s="55" t="str">
        <f aca="false">IF(C761="","",IFERROR(INDEX('DANH MỤC'!$B$5:$B$200,MATCH(C761,'DANH MỤC'!$A$5:$A$200,0)),"⚠ Mã chưa có trong DANH MỤC"))</f>
        <v/>
      </c>
      <c r="J761" s="52"/>
      <c r="K761" s="52"/>
      <c r="L761" s="52"/>
    </row>
    <row r="762" customFormat="false" ht="15" hidden="false" customHeight="false" outlineLevel="0" collapsed="false">
      <c r="A762" s="50"/>
      <c r="B762" s="51" t="str">
        <f aca="false">IF(A762="","",MONTH(A762))</f>
        <v/>
      </c>
      <c r="C762" s="52"/>
      <c r="D762" s="52"/>
      <c r="E762" s="52"/>
      <c r="F762" s="53"/>
      <c r="G762" s="52"/>
      <c r="H762" s="54" t="str">
        <f aca="false">IF(E762="","",E762*N(F762)*IF(G762="",1,G762))</f>
        <v/>
      </c>
      <c r="I762" s="55" t="str">
        <f aca="false">IF(C762="","",IFERROR(INDEX('DANH MỤC'!$B$5:$B$200,MATCH(C762,'DANH MỤC'!$A$5:$A$200,0)),"⚠ Mã chưa có trong DANH MỤC"))</f>
        <v/>
      </c>
      <c r="J762" s="52"/>
      <c r="K762" s="52"/>
      <c r="L762" s="52"/>
    </row>
    <row r="763" customFormat="false" ht="15" hidden="false" customHeight="false" outlineLevel="0" collapsed="false">
      <c r="A763" s="50"/>
      <c r="B763" s="51" t="str">
        <f aca="false">IF(A763="","",MONTH(A763))</f>
        <v/>
      </c>
      <c r="C763" s="52"/>
      <c r="D763" s="52"/>
      <c r="E763" s="52"/>
      <c r="F763" s="53"/>
      <c r="G763" s="52"/>
      <c r="H763" s="54" t="str">
        <f aca="false">IF(E763="","",E763*N(F763)*IF(G763="",1,G763))</f>
        <v/>
      </c>
      <c r="I763" s="55" t="str">
        <f aca="false">IF(C763="","",IFERROR(INDEX('DANH MỤC'!$B$5:$B$200,MATCH(C763,'DANH MỤC'!$A$5:$A$200,0)),"⚠ Mã chưa có trong DANH MỤC"))</f>
        <v/>
      </c>
      <c r="J763" s="52"/>
      <c r="K763" s="52"/>
      <c r="L763" s="52"/>
    </row>
    <row r="764" customFormat="false" ht="15" hidden="false" customHeight="false" outlineLevel="0" collapsed="false">
      <c r="A764" s="50"/>
      <c r="B764" s="51" t="str">
        <f aca="false">IF(A764="","",MONTH(A764))</f>
        <v/>
      </c>
      <c r="C764" s="52"/>
      <c r="D764" s="52"/>
      <c r="E764" s="52"/>
      <c r="F764" s="53"/>
      <c r="G764" s="52"/>
      <c r="H764" s="54" t="str">
        <f aca="false">IF(E764="","",E764*N(F764)*IF(G764="",1,G764))</f>
        <v/>
      </c>
      <c r="I764" s="55" t="str">
        <f aca="false">IF(C764="","",IFERROR(INDEX('DANH MỤC'!$B$5:$B$200,MATCH(C764,'DANH MỤC'!$A$5:$A$200,0)),"⚠ Mã chưa có trong DANH MỤC"))</f>
        <v/>
      </c>
      <c r="J764" s="52"/>
      <c r="K764" s="52"/>
      <c r="L764" s="52"/>
    </row>
    <row r="765" customFormat="false" ht="15" hidden="false" customHeight="false" outlineLevel="0" collapsed="false">
      <c r="A765" s="50"/>
      <c r="B765" s="51" t="str">
        <f aca="false">IF(A765="","",MONTH(A765))</f>
        <v/>
      </c>
      <c r="C765" s="52"/>
      <c r="D765" s="52"/>
      <c r="E765" s="52"/>
      <c r="F765" s="53"/>
      <c r="G765" s="52"/>
      <c r="H765" s="54" t="str">
        <f aca="false">IF(E765="","",E765*N(F765)*IF(G765="",1,G765))</f>
        <v/>
      </c>
      <c r="I765" s="55" t="str">
        <f aca="false">IF(C765="","",IFERROR(INDEX('DANH MỤC'!$B$5:$B$200,MATCH(C765,'DANH MỤC'!$A$5:$A$200,0)),"⚠ Mã chưa có trong DANH MỤC"))</f>
        <v/>
      </c>
      <c r="J765" s="52"/>
      <c r="K765" s="52"/>
      <c r="L765" s="52"/>
    </row>
    <row r="766" customFormat="false" ht="15" hidden="false" customHeight="false" outlineLevel="0" collapsed="false">
      <c r="A766" s="50"/>
      <c r="B766" s="51" t="str">
        <f aca="false">IF(A766="","",MONTH(A766))</f>
        <v/>
      </c>
      <c r="C766" s="52"/>
      <c r="D766" s="52"/>
      <c r="E766" s="52"/>
      <c r="F766" s="53"/>
      <c r="G766" s="52"/>
      <c r="H766" s="54" t="str">
        <f aca="false">IF(E766="","",E766*N(F766)*IF(G766="",1,G766))</f>
        <v/>
      </c>
      <c r="I766" s="55" t="str">
        <f aca="false">IF(C766="","",IFERROR(INDEX('DANH MỤC'!$B$5:$B$200,MATCH(C766,'DANH MỤC'!$A$5:$A$200,0)),"⚠ Mã chưa có trong DANH MỤC"))</f>
        <v/>
      </c>
      <c r="J766" s="52"/>
      <c r="K766" s="52"/>
      <c r="L766" s="52"/>
    </row>
    <row r="767" customFormat="false" ht="15" hidden="false" customHeight="false" outlineLevel="0" collapsed="false">
      <c r="A767" s="50"/>
      <c r="B767" s="51" t="str">
        <f aca="false">IF(A767="","",MONTH(A767))</f>
        <v/>
      </c>
      <c r="C767" s="52"/>
      <c r="D767" s="52"/>
      <c r="E767" s="52"/>
      <c r="F767" s="53"/>
      <c r="G767" s="52"/>
      <c r="H767" s="54" t="str">
        <f aca="false">IF(E767="","",E767*N(F767)*IF(G767="",1,G767))</f>
        <v/>
      </c>
      <c r="I767" s="55" t="str">
        <f aca="false">IF(C767="","",IFERROR(INDEX('DANH MỤC'!$B$5:$B$200,MATCH(C767,'DANH MỤC'!$A$5:$A$200,0)),"⚠ Mã chưa có trong DANH MỤC"))</f>
        <v/>
      </c>
      <c r="J767" s="52"/>
      <c r="K767" s="52"/>
      <c r="L767" s="52"/>
    </row>
    <row r="768" customFormat="false" ht="15" hidden="false" customHeight="false" outlineLevel="0" collapsed="false">
      <c r="A768" s="50"/>
      <c r="B768" s="51" t="str">
        <f aca="false">IF(A768="","",MONTH(A768))</f>
        <v/>
      </c>
      <c r="C768" s="52"/>
      <c r="D768" s="52"/>
      <c r="E768" s="52"/>
      <c r="F768" s="53"/>
      <c r="G768" s="52"/>
      <c r="H768" s="54" t="str">
        <f aca="false">IF(E768="","",E768*N(F768)*IF(G768="",1,G768))</f>
        <v/>
      </c>
      <c r="I768" s="55" t="str">
        <f aca="false">IF(C768="","",IFERROR(INDEX('DANH MỤC'!$B$5:$B$200,MATCH(C768,'DANH MỤC'!$A$5:$A$200,0)),"⚠ Mã chưa có trong DANH MỤC"))</f>
        <v/>
      </c>
      <c r="J768" s="52"/>
      <c r="K768" s="52"/>
      <c r="L768" s="52"/>
    </row>
    <row r="769" customFormat="false" ht="15" hidden="false" customHeight="false" outlineLevel="0" collapsed="false">
      <c r="A769" s="50"/>
      <c r="B769" s="51" t="str">
        <f aca="false">IF(A769="","",MONTH(A769))</f>
        <v/>
      </c>
      <c r="C769" s="52"/>
      <c r="D769" s="52"/>
      <c r="E769" s="52"/>
      <c r="F769" s="53"/>
      <c r="G769" s="52"/>
      <c r="H769" s="54" t="str">
        <f aca="false">IF(E769="","",E769*N(F769)*IF(G769="",1,G769))</f>
        <v/>
      </c>
      <c r="I769" s="55" t="str">
        <f aca="false">IF(C769="","",IFERROR(INDEX('DANH MỤC'!$B$5:$B$200,MATCH(C769,'DANH MỤC'!$A$5:$A$200,0)),"⚠ Mã chưa có trong DANH MỤC"))</f>
        <v/>
      </c>
      <c r="J769" s="52"/>
      <c r="K769" s="52"/>
      <c r="L769" s="52"/>
    </row>
    <row r="770" customFormat="false" ht="15" hidden="false" customHeight="false" outlineLevel="0" collapsed="false">
      <c r="A770" s="50"/>
      <c r="B770" s="51" t="str">
        <f aca="false">IF(A770="","",MONTH(A770))</f>
        <v/>
      </c>
      <c r="C770" s="52"/>
      <c r="D770" s="52"/>
      <c r="E770" s="52"/>
      <c r="F770" s="53"/>
      <c r="G770" s="52"/>
      <c r="H770" s="54" t="str">
        <f aca="false">IF(E770="","",E770*N(F770)*IF(G770="",1,G770))</f>
        <v/>
      </c>
      <c r="I770" s="55" t="str">
        <f aca="false">IF(C770="","",IFERROR(INDEX('DANH MỤC'!$B$5:$B$200,MATCH(C770,'DANH MỤC'!$A$5:$A$200,0)),"⚠ Mã chưa có trong DANH MỤC"))</f>
        <v/>
      </c>
      <c r="J770" s="52"/>
      <c r="K770" s="52"/>
      <c r="L770" s="52"/>
    </row>
    <row r="771" customFormat="false" ht="15" hidden="false" customHeight="false" outlineLevel="0" collapsed="false">
      <c r="A771" s="50"/>
      <c r="B771" s="51" t="str">
        <f aca="false">IF(A771="","",MONTH(A771))</f>
        <v/>
      </c>
      <c r="C771" s="52"/>
      <c r="D771" s="52"/>
      <c r="E771" s="52"/>
      <c r="F771" s="53"/>
      <c r="G771" s="52"/>
      <c r="H771" s="54" t="str">
        <f aca="false">IF(E771="","",E771*N(F771)*IF(G771="",1,G771))</f>
        <v/>
      </c>
      <c r="I771" s="55" t="str">
        <f aca="false">IF(C771="","",IFERROR(INDEX('DANH MỤC'!$B$5:$B$200,MATCH(C771,'DANH MỤC'!$A$5:$A$200,0)),"⚠ Mã chưa có trong DANH MỤC"))</f>
        <v/>
      </c>
      <c r="J771" s="52"/>
      <c r="K771" s="52"/>
      <c r="L771" s="52"/>
    </row>
    <row r="772" customFormat="false" ht="15" hidden="false" customHeight="false" outlineLevel="0" collapsed="false">
      <c r="A772" s="50"/>
      <c r="B772" s="51" t="str">
        <f aca="false">IF(A772="","",MONTH(A772))</f>
        <v/>
      </c>
      <c r="C772" s="52"/>
      <c r="D772" s="52"/>
      <c r="E772" s="52"/>
      <c r="F772" s="53"/>
      <c r="G772" s="52"/>
      <c r="H772" s="54" t="str">
        <f aca="false">IF(E772="","",E772*N(F772)*IF(G772="",1,G772))</f>
        <v/>
      </c>
      <c r="I772" s="55" t="str">
        <f aca="false">IF(C772="","",IFERROR(INDEX('DANH MỤC'!$B$5:$B$200,MATCH(C772,'DANH MỤC'!$A$5:$A$200,0)),"⚠ Mã chưa có trong DANH MỤC"))</f>
        <v/>
      </c>
      <c r="J772" s="52"/>
      <c r="K772" s="52"/>
      <c r="L772" s="52"/>
    </row>
    <row r="773" customFormat="false" ht="15" hidden="false" customHeight="false" outlineLevel="0" collapsed="false">
      <c r="A773" s="50"/>
      <c r="B773" s="51" t="str">
        <f aca="false">IF(A773="","",MONTH(A773))</f>
        <v/>
      </c>
      <c r="C773" s="52"/>
      <c r="D773" s="52"/>
      <c r="E773" s="52"/>
      <c r="F773" s="53"/>
      <c r="G773" s="52"/>
      <c r="H773" s="54" t="str">
        <f aca="false">IF(E773="","",E773*N(F773)*IF(G773="",1,G773))</f>
        <v/>
      </c>
      <c r="I773" s="55" t="str">
        <f aca="false">IF(C773="","",IFERROR(INDEX('DANH MỤC'!$B$5:$B$200,MATCH(C773,'DANH MỤC'!$A$5:$A$200,0)),"⚠ Mã chưa có trong DANH MỤC"))</f>
        <v/>
      </c>
      <c r="J773" s="52"/>
      <c r="K773" s="52"/>
      <c r="L773" s="52"/>
    </row>
    <row r="774" customFormat="false" ht="15" hidden="false" customHeight="false" outlineLevel="0" collapsed="false">
      <c r="A774" s="50"/>
      <c r="B774" s="51" t="str">
        <f aca="false">IF(A774="","",MONTH(A774))</f>
        <v/>
      </c>
      <c r="C774" s="52"/>
      <c r="D774" s="52"/>
      <c r="E774" s="52"/>
      <c r="F774" s="53"/>
      <c r="G774" s="52"/>
      <c r="H774" s="54" t="str">
        <f aca="false">IF(E774="","",E774*N(F774)*IF(G774="",1,G774))</f>
        <v/>
      </c>
      <c r="I774" s="55" t="str">
        <f aca="false">IF(C774="","",IFERROR(INDEX('DANH MỤC'!$B$5:$B$200,MATCH(C774,'DANH MỤC'!$A$5:$A$200,0)),"⚠ Mã chưa có trong DANH MỤC"))</f>
        <v/>
      </c>
      <c r="J774" s="52"/>
      <c r="K774" s="52"/>
      <c r="L774" s="52"/>
    </row>
    <row r="775" customFormat="false" ht="15" hidden="false" customHeight="false" outlineLevel="0" collapsed="false">
      <c r="A775" s="50"/>
      <c r="B775" s="51" t="str">
        <f aca="false">IF(A775="","",MONTH(A775))</f>
        <v/>
      </c>
      <c r="C775" s="52"/>
      <c r="D775" s="52"/>
      <c r="E775" s="52"/>
      <c r="F775" s="53"/>
      <c r="G775" s="52"/>
      <c r="H775" s="54" t="str">
        <f aca="false">IF(E775="","",E775*N(F775)*IF(G775="",1,G775))</f>
        <v/>
      </c>
      <c r="I775" s="55" t="str">
        <f aca="false">IF(C775="","",IFERROR(INDEX('DANH MỤC'!$B$5:$B$200,MATCH(C775,'DANH MỤC'!$A$5:$A$200,0)),"⚠ Mã chưa có trong DANH MỤC"))</f>
        <v/>
      </c>
      <c r="J775" s="52"/>
      <c r="K775" s="52"/>
      <c r="L775" s="52"/>
    </row>
    <row r="776" customFormat="false" ht="15" hidden="false" customHeight="false" outlineLevel="0" collapsed="false">
      <c r="A776" s="50"/>
      <c r="B776" s="51" t="str">
        <f aca="false">IF(A776="","",MONTH(A776))</f>
        <v/>
      </c>
      <c r="C776" s="52"/>
      <c r="D776" s="52"/>
      <c r="E776" s="52"/>
      <c r="F776" s="53"/>
      <c r="G776" s="52"/>
      <c r="H776" s="54" t="str">
        <f aca="false">IF(E776="","",E776*N(F776)*IF(G776="",1,G776))</f>
        <v/>
      </c>
      <c r="I776" s="55" t="str">
        <f aca="false">IF(C776="","",IFERROR(INDEX('DANH MỤC'!$B$5:$B$200,MATCH(C776,'DANH MỤC'!$A$5:$A$200,0)),"⚠ Mã chưa có trong DANH MỤC"))</f>
        <v/>
      </c>
      <c r="J776" s="52"/>
      <c r="K776" s="52"/>
      <c r="L776" s="52"/>
    </row>
    <row r="777" customFormat="false" ht="15" hidden="false" customHeight="false" outlineLevel="0" collapsed="false">
      <c r="A777" s="50"/>
      <c r="B777" s="51" t="str">
        <f aca="false">IF(A777="","",MONTH(A777))</f>
        <v/>
      </c>
      <c r="C777" s="52"/>
      <c r="D777" s="52"/>
      <c r="E777" s="52"/>
      <c r="F777" s="53"/>
      <c r="G777" s="52"/>
      <c r="H777" s="54" t="str">
        <f aca="false">IF(E777="","",E777*N(F777)*IF(G777="",1,G777))</f>
        <v/>
      </c>
      <c r="I777" s="55" t="str">
        <f aca="false">IF(C777="","",IFERROR(INDEX('DANH MỤC'!$B$5:$B$200,MATCH(C777,'DANH MỤC'!$A$5:$A$200,0)),"⚠ Mã chưa có trong DANH MỤC"))</f>
        <v/>
      </c>
      <c r="J777" s="52"/>
      <c r="K777" s="52"/>
      <c r="L777" s="52"/>
    </row>
    <row r="778" customFormat="false" ht="15" hidden="false" customHeight="false" outlineLevel="0" collapsed="false">
      <c r="A778" s="50"/>
      <c r="B778" s="51" t="str">
        <f aca="false">IF(A778="","",MONTH(A778))</f>
        <v/>
      </c>
      <c r="C778" s="52"/>
      <c r="D778" s="52"/>
      <c r="E778" s="52"/>
      <c r="F778" s="53"/>
      <c r="G778" s="52"/>
      <c r="H778" s="54" t="str">
        <f aca="false">IF(E778="","",E778*N(F778)*IF(G778="",1,G778))</f>
        <v/>
      </c>
      <c r="I778" s="55" t="str">
        <f aca="false">IF(C778="","",IFERROR(INDEX('DANH MỤC'!$B$5:$B$200,MATCH(C778,'DANH MỤC'!$A$5:$A$200,0)),"⚠ Mã chưa có trong DANH MỤC"))</f>
        <v/>
      </c>
      <c r="J778" s="52"/>
      <c r="K778" s="52"/>
      <c r="L778" s="52"/>
    </row>
    <row r="779" customFormat="false" ht="15" hidden="false" customHeight="false" outlineLevel="0" collapsed="false">
      <c r="A779" s="50"/>
      <c r="B779" s="51" t="str">
        <f aca="false">IF(A779="","",MONTH(A779))</f>
        <v/>
      </c>
      <c r="C779" s="52"/>
      <c r="D779" s="52"/>
      <c r="E779" s="52"/>
      <c r="F779" s="53"/>
      <c r="G779" s="52"/>
      <c r="H779" s="54" t="str">
        <f aca="false">IF(E779="","",E779*N(F779)*IF(G779="",1,G779))</f>
        <v/>
      </c>
      <c r="I779" s="55" t="str">
        <f aca="false">IF(C779="","",IFERROR(INDEX('DANH MỤC'!$B$5:$B$200,MATCH(C779,'DANH MỤC'!$A$5:$A$200,0)),"⚠ Mã chưa có trong DANH MỤC"))</f>
        <v/>
      </c>
      <c r="J779" s="52"/>
      <c r="K779" s="52"/>
      <c r="L779" s="52"/>
    </row>
    <row r="780" customFormat="false" ht="15" hidden="false" customHeight="false" outlineLevel="0" collapsed="false">
      <c r="A780" s="50"/>
      <c r="B780" s="51" t="str">
        <f aca="false">IF(A780="","",MONTH(A780))</f>
        <v/>
      </c>
      <c r="C780" s="52"/>
      <c r="D780" s="52"/>
      <c r="E780" s="52"/>
      <c r="F780" s="53"/>
      <c r="G780" s="52"/>
      <c r="H780" s="54" t="str">
        <f aca="false">IF(E780="","",E780*N(F780)*IF(G780="",1,G780))</f>
        <v/>
      </c>
      <c r="I780" s="55" t="str">
        <f aca="false">IF(C780="","",IFERROR(INDEX('DANH MỤC'!$B$5:$B$200,MATCH(C780,'DANH MỤC'!$A$5:$A$200,0)),"⚠ Mã chưa có trong DANH MỤC"))</f>
        <v/>
      </c>
      <c r="J780" s="52"/>
      <c r="K780" s="52"/>
      <c r="L780" s="52"/>
    </row>
    <row r="781" customFormat="false" ht="15" hidden="false" customHeight="false" outlineLevel="0" collapsed="false">
      <c r="A781" s="50"/>
      <c r="B781" s="51" t="str">
        <f aca="false">IF(A781="","",MONTH(A781))</f>
        <v/>
      </c>
      <c r="C781" s="52"/>
      <c r="D781" s="52"/>
      <c r="E781" s="52"/>
      <c r="F781" s="53"/>
      <c r="G781" s="52"/>
      <c r="H781" s="54" t="str">
        <f aca="false">IF(E781="","",E781*N(F781)*IF(G781="",1,G781))</f>
        <v/>
      </c>
      <c r="I781" s="55" t="str">
        <f aca="false">IF(C781="","",IFERROR(INDEX('DANH MỤC'!$B$5:$B$200,MATCH(C781,'DANH MỤC'!$A$5:$A$200,0)),"⚠ Mã chưa có trong DANH MỤC"))</f>
        <v/>
      </c>
      <c r="J781" s="52"/>
      <c r="K781" s="52"/>
      <c r="L781" s="52"/>
    </row>
    <row r="782" customFormat="false" ht="15" hidden="false" customHeight="false" outlineLevel="0" collapsed="false">
      <c r="A782" s="50"/>
      <c r="B782" s="51" t="str">
        <f aca="false">IF(A782="","",MONTH(A782))</f>
        <v/>
      </c>
      <c r="C782" s="52"/>
      <c r="D782" s="52"/>
      <c r="E782" s="52"/>
      <c r="F782" s="53"/>
      <c r="G782" s="52"/>
      <c r="H782" s="54" t="str">
        <f aca="false">IF(E782="","",E782*N(F782)*IF(G782="",1,G782))</f>
        <v/>
      </c>
      <c r="I782" s="55" t="str">
        <f aca="false">IF(C782="","",IFERROR(INDEX('DANH MỤC'!$B$5:$B$200,MATCH(C782,'DANH MỤC'!$A$5:$A$200,0)),"⚠ Mã chưa có trong DANH MỤC"))</f>
        <v/>
      </c>
      <c r="J782" s="52"/>
      <c r="K782" s="52"/>
      <c r="L782" s="52"/>
    </row>
    <row r="783" customFormat="false" ht="15" hidden="false" customHeight="false" outlineLevel="0" collapsed="false">
      <c r="A783" s="50"/>
      <c r="B783" s="51" t="str">
        <f aca="false">IF(A783="","",MONTH(A783))</f>
        <v/>
      </c>
      <c r="C783" s="52"/>
      <c r="D783" s="52"/>
      <c r="E783" s="52"/>
      <c r="F783" s="53"/>
      <c r="G783" s="52"/>
      <c r="H783" s="54" t="str">
        <f aca="false">IF(E783="","",E783*N(F783)*IF(G783="",1,G783))</f>
        <v/>
      </c>
      <c r="I783" s="55" t="str">
        <f aca="false">IF(C783="","",IFERROR(INDEX('DANH MỤC'!$B$5:$B$200,MATCH(C783,'DANH MỤC'!$A$5:$A$200,0)),"⚠ Mã chưa có trong DANH MỤC"))</f>
        <v/>
      </c>
      <c r="J783" s="52"/>
      <c r="K783" s="52"/>
      <c r="L783" s="52"/>
    </row>
    <row r="784" customFormat="false" ht="15" hidden="false" customHeight="false" outlineLevel="0" collapsed="false">
      <c r="A784" s="50"/>
      <c r="B784" s="51" t="str">
        <f aca="false">IF(A784="","",MONTH(A784))</f>
        <v/>
      </c>
      <c r="C784" s="52"/>
      <c r="D784" s="52"/>
      <c r="E784" s="52"/>
      <c r="F784" s="53"/>
      <c r="G784" s="52"/>
      <c r="H784" s="54" t="str">
        <f aca="false">IF(E784="","",E784*N(F784)*IF(G784="",1,G784))</f>
        <v/>
      </c>
      <c r="I784" s="55" t="str">
        <f aca="false">IF(C784="","",IFERROR(INDEX('DANH MỤC'!$B$5:$B$200,MATCH(C784,'DANH MỤC'!$A$5:$A$200,0)),"⚠ Mã chưa có trong DANH MỤC"))</f>
        <v/>
      </c>
      <c r="J784" s="52"/>
      <c r="K784" s="52"/>
      <c r="L784" s="52"/>
    </row>
    <row r="785" customFormat="false" ht="15" hidden="false" customHeight="false" outlineLevel="0" collapsed="false">
      <c r="A785" s="50"/>
      <c r="B785" s="51" t="str">
        <f aca="false">IF(A785="","",MONTH(A785))</f>
        <v/>
      </c>
      <c r="C785" s="52"/>
      <c r="D785" s="52"/>
      <c r="E785" s="52"/>
      <c r="F785" s="53"/>
      <c r="G785" s="52"/>
      <c r="H785" s="54" t="str">
        <f aca="false">IF(E785="","",E785*N(F785)*IF(G785="",1,G785))</f>
        <v/>
      </c>
      <c r="I785" s="55" t="str">
        <f aca="false">IF(C785="","",IFERROR(INDEX('DANH MỤC'!$B$5:$B$200,MATCH(C785,'DANH MỤC'!$A$5:$A$200,0)),"⚠ Mã chưa có trong DANH MỤC"))</f>
        <v/>
      </c>
      <c r="J785" s="52"/>
      <c r="K785" s="52"/>
      <c r="L785" s="52"/>
    </row>
    <row r="786" customFormat="false" ht="15" hidden="false" customHeight="false" outlineLevel="0" collapsed="false">
      <c r="A786" s="50"/>
      <c r="B786" s="51" t="str">
        <f aca="false">IF(A786="","",MONTH(A786))</f>
        <v/>
      </c>
      <c r="C786" s="52"/>
      <c r="D786" s="52"/>
      <c r="E786" s="52"/>
      <c r="F786" s="53"/>
      <c r="G786" s="52"/>
      <c r="H786" s="54" t="str">
        <f aca="false">IF(E786="","",E786*N(F786)*IF(G786="",1,G786))</f>
        <v/>
      </c>
      <c r="I786" s="55" t="str">
        <f aca="false">IF(C786="","",IFERROR(INDEX('DANH MỤC'!$B$5:$B$200,MATCH(C786,'DANH MỤC'!$A$5:$A$200,0)),"⚠ Mã chưa có trong DANH MỤC"))</f>
        <v/>
      </c>
      <c r="J786" s="52"/>
      <c r="K786" s="52"/>
      <c r="L786" s="52"/>
    </row>
    <row r="787" customFormat="false" ht="15" hidden="false" customHeight="false" outlineLevel="0" collapsed="false">
      <c r="A787" s="50"/>
      <c r="B787" s="51" t="str">
        <f aca="false">IF(A787="","",MONTH(A787))</f>
        <v/>
      </c>
      <c r="C787" s="52"/>
      <c r="D787" s="52"/>
      <c r="E787" s="52"/>
      <c r="F787" s="53"/>
      <c r="G787" s="52"/>
      <c r="H787" s="54" t="str">
        <f aca="false">IF(E787="","",E787*N(F787)*IF(G787="",1,G787))</f>
        <v/>
      </c>
      <c r="I787" s="55" t="str">
        <f aca="false">IF(C787="","",IFERROR(INDEX('DANH MỤC'!$B$5:$B$200,MATCH(C787,'DANH MỤC'!$A$5:$A$200,0)),"⚠ Mã chưa có trong DANH MỤC"))</f>
        <v/>
      </c>
      <c r="J787" s="52"/>
      <c r="K787" s="52"/>
      <c r="L787" s="52"/>
    </row>
    <row r="788" customFormat="false" ht="15" hidden="false" customHeight="false" outlineLevel="0" collapsed="false">
      <c r="A788" s="50"/>
      <c r="B788" s="51" t="str">
        <f aca="false">IF(A788="","",MONTH(A788))</f>
        <v/>
      </c>
      <c r="C788" s="52"/>
      <c r="D788" s="52"/>
      <c r="E788" s="52"/>
      <c r="F788" s="53"/>
      <c r="G788" s="52"/>
      <c r="H788" s="54" t="str">
        <f aca="false">IF(E788="","",E788*N(F788)*IF(G788="",1,G788))</f>
        <v/>
      </c>
      <c r="I788" s="55" t="str">
        <f aca="false">IF(C788="","",IFERROR(INDEX('DANH MỤC'!$B$5:$B$200,MATCH(C788,'DANH MỤC'!$A$5:$A$200,0)),"⚠ Mã chưa có trong DANH MỤC"))</f>
        <v/>
      </c>
      <c r="J788" s="52"/>
      <c r="K788" s="52"/>
      <c r="L788" s="52"/>
    </row>
    <row r="789" customFormat="false" ht="15" hidden="false" customHeight="false" outlineLevel="0" collapsed="false">
      <c r="A789" s="50"/>
      <c r="B789" s="51" t="str">
        <f aca="false">IF(A789="","",MONTH(A789))</f>
        <v/>
      </c>
      <c r="C789" s="52"/>
      <c r="D789" s="52"/>
      <c r="E789" s="52"/>
      <c r="F789" s="53"/>
      <c r="G789" s="52"/>
      <c r="H789" s="54" t="str">
        <f aca="false">IF(E789="","",E789*N(F789)*IF(G789="",1,G789))</f>
        <v/>
      </c>
      <c r="I789" s="55" t="str">
        <f aca="false">IF(C789="","",IFERROR(INDEX('DANH MỤC'!$B$5:$B$200,MATCH(C789,'DANH MỤC'!$A$5:$A$200,0)),"⚠ Mã chưa có trong DANH MỤC"))</f>
        <v/>
      </c>
      <c r="J789" s="52"/>
      <c r="K789" s="52"/>
      <c r="L789" s="52"/>
    </row>
    <row r="790" customFormat="false" ht="15" hidden="false" customHeight="false" outlineLevel="0" collapsed="false">
      <c r="A790" s="50"/>
      <c r="B790" s="51" t="str">
        <f aca="false">IF(A790="","",MONTH(A790))</f>
        <v/>
      </c>
      <c r="C790" s="52"/>
      <c r="D790" s="52"/>
      <c r="E790" s="52"/>
      <c r="F790" s="53"/>
      <c r="G790" s="52"/>
      <c r="H790" s="54" t="str">
        <f aca="false">IF(E790="","",E790*N(F790)*IF(G790="",1,G790))</f>
        <v/>
      </c>
      <c r="I790" s="55" t="str">
        <f aca="false">IF(C790="","",IFERROR(INDEX('DANH MỤC'!$B$5:$B$200,MATCH(C790,'DANH MỤC'!$A$5:$A$200,0)),"⚠ Mã chưa có trong DANH MỤC"))</f>
        <v/>
      </c>
      <c r="J790" s="52"/>
      <c r="K790" s="52"/>
      <c r="L790" s="52"/>
    </row>
    <row r="791" customFormat="false" ht="15" hidden="false" customHeight="false" outlineLevel="0" collapsed="false">
      <c r="A791" s="50"/>
      <c r="B791" s="51" t="str">
        <f aca="false">IF(A791="","",MONTH(A791))</f>
        <v/>
      </c>
      <c r="C791" s="52"/>
      <c r="D791" s="52"/>
      <c r="E791" s="52"/>
      <c r="F791" s="53"/>
      <c r="G791" s="52"/>
      <c r="H791" s="54" t="str">
        <f aca="false">IF(E791="","",E791*N(F791)*IF(G791="",1,G791))</f>
        <v/>
      </c>
      <c r="I791" s="55" t="str">
        <f aca="false">IF(C791="","",IFERROR(INDEX('DANH MỤC'!$B$5:$B$200,MATCH(C791,'DANH MỤC'!$A$5:$A$200,0)),"⚠ Mã chưa có trong DANH MỤC"))</f>
        <v/>
      </c>
      <c r="J791" s="52"/>
      <c r="K791" s="52"/>
      <c r="L791" s="52"/>
    </row>
    <row r="792" customFormat="false" ht="15" hidden="false" customHeight="false" outlineLevel="0" collapsed="false">
      <c r="A792" s="50"/>
      <c r="B792" s="51" t="str">
        <f aca="false">IF(A792="","",MONTH(A792))</f>
        <v/>
      </c>
      <c r="C792" s="52"/>
      <c r="D792" s="52"/>
      <c r="E792" s="52"/>
      <c r="F792" s="53"/>
      <c r="G792" s="52"/>
      <c r="H792" s="54" t="str">
        <f aca="false">IF(E792="","",E792*N(F792)*IF(G792="",1,G792))</f>
        <v/>
      </c>
      <c r="I792" s="55" t="str">
        <f aca="false">IF(C792="","",IFERROR(INDEX('DANH MỤC'!$B$5:$B$200,MATCH(C792,'DANH MỤC'!$A$5:$A$200,0)),"⚠ Mã chưa có trong DANH MỤC"))</f>
        <v/>
      </c>
      <c r="J792" s="52"/>
      <c r="K792" s="52"/>
      <c r="L792" s="52"/>
    </row>
    <row r="793" customFormat="false" ht="15" hidden="false" customHeight="false" outlineLevel="0" collapsed="false">
      <c r="A793" s="50"/>
      <c r="B793" s="51" t="str">
        <f aca="false">IF(A793="","",MONTH(A793))</f>
        <v/>
      </c>
      <c r="C793" s="52"/>
      <c r="D793" s="52"/>
      <c r="E793" s="52"/>
      <c r="F793" s="53"/>
      <c r="G793" s="52"/>
      <c r="H793" s="54" t="str">
        <f aca="false">IF(E793="","",E793*N(F793)*IF(G793="",1,G793))</f>
        <v/>
      </c>
      <c r="I793" s="55" t="str">
        <f aca="false">IF(C793="","",IFERROR(INDEX('DANH MỤC'!$B$5:$B$200,MATCH(C793,'DANH MỤC'!$A$5:$A$200,0)),"⚠ Mã chưa có trong DANH MỤC"))</f>
        <v/>
      </c>
      <c r="J793" s="52"/>
      <c r="K793" s="52"/>
      <c r="L793" s="52"/>
    </row>
    <row r="794" customFormat="false" ht="15" hidden="false" customHeight="false" outlineLevel="0" collapsed="false">
      <c r="A794" s="50"/>
      <c r="B794" s="51" t="str">
        <f aca="false">IF(A794="","",MONTH(A794))</f>
        <v/>
      </c>
      <c r="C794" s="52"/>
      <c r="D794" s="52"/>
      <c r="E794" s="52"/>
      <c r="F794" s="53"/>
      <c r="G794" s="52"/>
      <c r="H794" s="54" t="str">
        <f aca="false">IF(E794="","",E794*N(F794)*IF(G794="",1,G794))</f>
        <v/>
      </c>
      <c r="I794" s="55" t="str">
        <f aca="false">IF(C794="","",IFERROR(INDEX('DANH MỤC'!$B$5:$B$200,MATCH(C794,'DANH MỤC'!$A$5:$A$200,0)),"⚠ Mã chưa có trong DANH MỤC"))</f>
        <v/>
      </c>
      <c r="J794" s="52"/>
      <c r="K794" s="52"/>
      <c r="L794" s="52"/>
    </row>
    <row r="795" customFormat="false" ht="15" hidden="false" customHeight="false" outlineLevel="0" collapsed="false">
      <c r="A795" s="50"/>
      <c r="B795" s="51" t="str">
        <f aca="false">IF(A795="","",MONTH(A795))</f>
        <v/>
      </c>
      <c r="C795" s="52"/>
      <c r="D795" s="52"/>
      <c r="E795" s="52"/>
      <c r="F795" s="53"/>
      <c r="G795" s="52"/>
      <c r="H795" s="54" t="str">
        <f aca="false">IF(E795="","",E795*N(F795)*IF(G795="",1,G795))</f>
        <v/>
      </c>
      <c r="I795" s="55" t="str">
        <f aca="false">IF(C795="","",IFERROR(INDEX('DANH MỤC'!$B$5:$B$200,MATCH(C795,'DANH MỤC'!$A$5:$A$200,0)),"⚠ Mã chưa có trong DANH MỤC"))</f>
        <v/>
      </c>
      <c r="J795" s="52"/>
      <c r="K795" s="52"/>
      <c r="L795" s="52"/>
    </row>
    <row r="796" customFormat="false" ht="15" hidden="false" customHeight="false" outlineLevel="0" collapsed="false">
      <c r="A796" s="50"/>
      <c r="B796" s="51" t="str">
        <f aca="false">IF(A796="","",MONTH(A796))</f>
        <v/>
      </c>
      <c r="C796" s="52"/>
      <c r="D796" s="52"/>
      <c r="E796" s="52"/>
      <c r="F796" s="53"/>
      <c r="G796" s="52"/>
      <c r="H796" s="54" t="str">
        <f aca="false">IF(E796="","",E796*N(F796)*IF(G796="",1,G796))</f>
        <v/>
      </c>
      <c r="I796" s="55" t="str">
        <f aca="false">IF(C796="","",IFERROR(INDEX('DANH MỤC'!$B$5:$B$200,MATCH(C796,'DANH MỤC'!$A$5:$A$200,0)),"⚠ Mã chưa có trong DANH MỤC"))</f>
        <v/>
      </c>
      <c r="J796" s="52"/>
      <c r="K796" s="52"/>
      <c r="L796" s="52"/>
    </row>
    <row r="797" customFormat="false" ht="15" hidden="false" customHeight="false" outlineLevel="0" collapsed="false">
      <c r="A797" s="50"/>
      <c r="B797" s="51" t="str">
        <f aca="false">IF(A797="","",MONTH(A797))</f>
        <v/>
      </c>
      <c r="C797" s="52"/>
      <c r="D797" s="52"/>
      <c r="E797" s="52"/>
      <c r="F797" s="53"/>
      <c r="G797" s="52"/>
      <c r="H797" s="54" t="str">
        <f aca="false">IF(E797="","",E797*N(F797)*IF(G797="",1,G797))</f>
        <v/>
      </c>
      <c r="I797" s="55" t="str">
        <f aca="false">IF(C797="","",IFERROR(INDEX('DANH MỤC'!$B$5:$B$200,MATCH(C797,'DANH MỤC'!$A$5:$A$200,0)),"⚠ Mã chưa có trong DANH MỤC"))</f>
        <v/>
      </c>
      <c r="J797" s="52"/>
      <c r="K797" s="52"/>
      <c r="L797" s="52"/>
    </row>
    <row r="798" customFormat="false" ht="15" hidden="false" customHeight="false" outlineLevel="0" collapsed="false">
      <c r="A798" s="50"/>
      <c r="B798" s="51" t="str">
        <f aca="false">IF(A798="","",MONTH(A798))</f>
        <v/>
      </c>
      <c r="C798" s="52"/>
      <c r="D798" s="52"/>
      <c r="E798" s="52"/>
      <c r="F798" s="53"/>
      <c r="G798" s="52"/>
      <c r="H798" s="54" t="str">
        <f aca="false">IF(E798="","",E798*N(F798)*IF(G798="",1,G798))</f>
        <v/>
      </c>
      <c r="I798" s="55" t="str">
        <f aca="false">IF(C798="","",IFERROR(INDEX('DANH MỤC'!$B$5:$B$200,MATCH(C798,'DANH MỤC'!$A$5:$A$200,0)),"⚠ Mã chưa có trong DANH MỤC"))</f>
        <v/>
      </c>
      <c r="J798" s="52"/>
      <c r="K798" s="52"/>
      <c r="L798" s="52"/>
    </row>
    <row r="799" customFormat="false" ht="15" hidden="false" customHeight="false" outlineLevel="0" collapsed="false">
      <c r="A799" s="50"/>
      <c r="B799" s="51" t="str">
        <f aca="false">IF(A799="","",MONTH(A799))</f>
        <v/>
      </c>
      <c r="C799" s="52"/>
      <c r="D799" s="52"/>
      <c r="E799" s="52"/>
      <c r="F799" s="53"/>
      <c r="G799" s="52"/>
      <c r="H799" s="54" t="str">
        <f aca="false">IF(E799="","",E799*N(F799)*IF(G799="",1,G799))</f>
        <v/>
      </c>
      <c r="I799" s="55" t="str">
        <f aca="false">IF(C799="","",IFERROR(INDEX('DANH MỤC'!$B$5:$B$200,MATCH(C799,'DANH MỤC'!$A$5:$A$200,0)),"⚠ Mã chưa có trong DANH MỤC"))</f>
        <v/>
      </c>
      <c r="J799" s="52"/>
      <c r="K799" s="52"/>
      <c r="L799" s="52"/>
    </row>
    <row r="800" customFormat="false" ht="15" hidden="false" customHeight="false" outlineLevel="0" collapsed="false">
      <c r="A800" s="50"/>
      <c r="B800" s="51" t="str">
        <f aca="false">IF(A800="","",MONTH(A800))</f>
        <v/>
      </c>
      <c r="C800" s="52"/>
      <c r="D800" s="52"/>
      <c r="E800" s="52"/>
      <c r="F800" s="53"/>
      <c r="G800" s="52"/>
      <c r="H800" s="54" t="str">
        <f aca="false">IF(E800="","",E800*N(F800)*IF(G800="",1,G800))</f>
        <v/>
      </c>
      <c r="I800" s="55" t="str">
        <f aca="false">IF(C800="","",IFERROR(INDEX('DANH MỤC'!$B$5:$B$200,MATCH(C800,'DANH MỤC'!$A$5:$A$200,0)),"⚠ Mã chưa có trong DANH MỤC"))</f>
        <v/>
      </c>
      <c r="J800" s="52"/>
      <c r="K800" s="52"/>
      <c r="L800" s="52"/>
    </row>
    <row r="801" customFormat="false" ht="15" hidden="false" customHeight="false" outlineLevel="0" collapsed="false">
      <c r="A801" s="50"/>
      <c r="B801" s="51" t="str">
        <f aca="false">IF(A801="","",MONTH(A801))</f>
        <v/>
      </c>
      <c r="C801" s="52"/>
      <c r="D801" s="52"/>
      <c r="E801" s="52"/>
      <c r="F801" s="53"/>
      <c r="G801" s="52"/>
      <c r="H801" s="54" t="str">
        <f aca="false">IF(E801="","",E801*N(F801)*IF(G801="",1,G801))</f>
        <v/>
      </c>
      <c r="I801" s="55" t="str">
        <f aca="false">IF(C801="","",IFERROR(INDEX('DANH MỤC'!$B$5:$B$200,MATCH(C801,'DANH MỤC'!$A$5:$A$200,0)),"⚠ Mã chưa có trong DANH MỤC"))</f>
        <v/>
      </c>
      <c r="J801" s="52"/>
      <c r="K801" s="52"/>
      <c r="L801" s="52"/>
    </row>
    <row r="802" customFormat="false" ht="15" hidden="false" customHeight="false" outlineLevel="0" collapsed="false">
      <c r="A802" s="50"/>
      <c r="B802" s="51" t="str">
        <f aca="false">IF(A802="","",MONTH(A802))</f>
        <v/>
      </c>
      <c r="C802" s="52"/>
      <c r="D802" s="52"/>
      <c r="E802" s="52"/>
      <c r="F802" s="53"/>
      <c r="G802" s="52"/>
      <c r="H802" s="54" t="str">
        <f aca="false">IF(E802="","",E802*N(F802)*IF(G802="",1,G802))</f>
        <v/>
      </c>
      <c r="I802" s="55" t="str">
        <f aca="false">IF(C802="","",IFERROR(INDEX('DANH MỤC'!$B$5:$B$200,MATCH(C802,'DANH MỤC'!$A$5:$A$200,0)),"⚠ Mã chưa có trong DANH MỤC"))</f>
        <v/>
      </c>
      <c r="J802" s="52"/>
      <c r="K802" s="52"/>
      <c r="L802" s="52"/>
    </row>
    <row r="803" customFormat="false" ht="15" hidden="false" customHeight="false" outlineLevel="0" collapsed="false">
      <c r="A803" s="50"/>
      <c r="B803" s="51" t="str">
        <f aca="false">IF(A803="","",MONTH(A803))</f>
        <v/>
      </c>
      <c r="C803" s="52"/>
      <c r="D803" s="52"/>
      <c r="E803" s="52"/>
      <c r="F803" s="53"/>
      <c r="G803" s="52"/>
      <c r="H803" s="54" t="str">
        <f aca="false">IF(E803="","",E803*N(F803)*IF(G803="",1,G803))</f>
        <v/>
      </c>
      <c r="I803" s="55" t="str">
        <f aca="false">IF(C803="","",IFERROR(INDEX('DANH MỤC'!$B$5:$B$200,MATCH(C803,'DANH MỤC'!$A$5:$A$200,0)),"⚠ Mã chưa có trong DANH MỤC"))</f>
        <v/>
      </c>
      <c r="J803" s="52"/>
      <c r="K803" s="52"/>
      <c r="L803" s="52"/>
    </row>
    <row r="804" customFormat="false" ht="15" hidden="false" customHeight="false" outlineLevel="0" collapsed="false">
      <c r="A804" s="50"/>
      <c r="B804" s="51" t="str">
        <f aca="false">IF(A804="","",MONTH(A804))</f>
        <v/>
      </c>
      <c r="C804" s="52"/>
      <c r="D804" s="52"/>
      <c r="E804" s="52"/>
      <c r="F804" s="53"/>
      <c r="G804" s="52"/>
      <c r="H804" s="54" t="str">
        <f aca="false">IF(E804="","",E804*N(F804)*IF(G804="",1,G804))</f>
        <v/>
      </c>
      <c r="I804" s="55" t="str">
        <f aca="false">IF(C804="","",IFERROR(INDEX('DANH MỤC'!$B$5:$B$200,MATCH(C804,'DANH MỤC'!$A$5:$A$200,0)),"⚠ Mã chưa có trong DANH MỤC"))</f>
        <v/>
      </c>
      <c r="J804" s="52"/>
      <c r="K804" s="52"/>
      <c r="L804" s="52"/>
    </row>
    <row r="805" customFormat="false" ht="15" hidden="false" customHeight="false" outlineLevel="0" collapsed="false">
      <c r="A805" s="50"/>
      <c r="B805" s="51" t="str">
        <f aca="false">IF(A805="","",MONTH(A805))</f>
        <v/>
      </c>
      <c r="C805" s="52"/>
      <c r="D805" s="52"/>
      <c r="E805" s="52"/>
      <c r="F805" s="53"/>
      <c r="G805" s="52"/>
      <c r="H805" s="54" t="str">
        <f aca="false">IF(E805="","",E805*N(F805)*IF(G805="",1,G805))</f>
        <v/>
      </c>
      <c r="I805" s="55" t="str">
        <f aca="false">IF(C805="","",IFERROR(INDEX('DANH MỤC'!$B$5:$B$200,MATCH(C805,'DANH MỤC'!$A$5:$A$200,0)),"⚠ Mã chưa có trong DANH MỤC"))</f>
        <v/>
      </c>
      <c r="J805" s="52"/>
      <c r="K805" s="52"/>
      <c r="L805" s="52"/>
    </row>
    <row r="806" customFormat="false" ht="15" hidden="false" customHeight="false" outlineLevel="0" collapsed="false">
      <c r="A806" s="50"/>
      <c r="B806" s="51" t="str">
        <f aca="false">IF(A806="","",MONTH(A806))</f>
        <v/>
      </c>
      <c r="C806" s="52"/>
      <c r="D806" s="52"/>
      <c r="E806" s="52"/>
      <c r="F806" s="53"/>
      <c r="G806" s="52"/>
      <c r="H806" s="54" t="str">
        <f aca="false">IF(E806="","",E806*N(F806)*IF(G806="",1,G806))</f>
        <v/>
      </c>
      <c r="I806" s="55" t="str">
        <f aca="false">IF(C806="","",IFERROR(INDEX('DANH MỤC'!$B$5:$B$200,MATCH(C806,'DANH MỤC'!$A$5:$A$200,0)),"⚠ Mã chưa có trong DANH MỤC"))</f>
        <v/>
      </c>
      <c r="J806" s="52"/>
      <c r="K806" s="52"/>
      <c r="L806" s="52"/>
    </row>
    <row r="807" customFormat="false" ht="15" hidden="false" customHeight="false" outlineLevel="0" collapsed="false">
      <c r="A807" s="50"/>
      <c r="B807" s="51" t="str">
        <f aca="false">IF(A807="","",MONTH(A807))</f>
        <v/>
      </c>
      <c r="C807" s="52"/>
      <c r="D807" s="52"/>
      <c r="E807" s="52"/>
      <c r="F807" s="53"/>
      <c r="G807" s="52"/>
      <c r="H807" s="54" t="str">
        <f aca="false">IF(E807="","",E807*N(F807)*IF(G807="",1,G807))</f>
        <v/>
      </c>
      <c r="I807" s="55" t="str">
        <f aca="false">IF(C807="","",IFERROR(INDEX('DANH MỤC'!$B$5:$B$200,MATCH(C807,'DANH MỤC'!$A$5:$A$200,0)),"⚠ Mã chưa có trong DANH MỤC"))</f>
        <v/>
      </c>
      <c r="J807" s="52"/>
      <c r="K807" s="52"/>
      <c r="L807" s="52"/>
    </row>
    <row r="808" customFormat="false" ht="15" hidden="false" customHeight="false" outlineLevel="0" collapsed="false">
      <c r="A808" s="50"/>
      <c r="B808" s="51" t="str">
        <f aca="false">IF(A808="","",MONTH(A808))</f>
        <v/>
      </c>
      <c r="C808" s="52"/>
      <c r="D808" s="52"/>
      <c r="E808" s="52"/>
      <c r="F808" s="53"/>
      <c r="G808" s="52"/>
      <c r="H808" s="54" t="str">
        <f aca="false">IF(E808="","",E808*N(F808)*IF(G808="",1,G808))</f>
        <v/>
      </c>
      <c r="I808" s="55" t="str">
        <f aca="false">IF(C808="","",IFERROR(INDEX('DANH MỤC'!$B$5:$B$200,MATCH(C808,'DANH MỤC'!$A$5:$A$200,0)),"⚠ Mã chưa có trong DANH MỤC"))</f>
        <v/>
      </c>
      <c r="J808" s="52"/>
      <c r="K808" s="52"/>
      <c r="L808" s="52"/>
    </row>
    <row r="809" customFormat="false" ht="15" hidden="false" customHeight="false" outlineLevel="0" collapsed="false">
      <c r="A809" s="50"/>
      <c r="B809" s="51" t="str">
        <f aca="false">IF(A809="","",MONTH(A809))</f>
        <v/>
      </c>
      <c r="C809" s="52"/>
      <c r="D809" s="52"/>
      <c r="E809" s="52"/>
      <c r="F809" s="53"/>
      <c r="G809" s="52"/>
      <c r="H809" s="54" t="str">
        <f aca="false">IF(E809="","",E809*N(F809)*IF(G809="",1,G809))</f>
        <v/>
      </c>
      <c r="I809" s="55" t="str">
        <f aca="false">IF(C809="","",IFERROR(INDEX('DANH MỤC'!$B$5:$B$200,MATCH(C809,'DANH MỤC'!$A$5:$A$200,0)),"⚠ Mã chưa có trong DANH MỤC"))</f>
        <v/>
      </c>
      <c r="J809" s="52"/>
      <c r="K809" s="52"/>
      <c r="L809" s="52"/>
    </row>
    <row r="810" customFormat="false" ht="15" hidden="false" customHeight="false" outlineLevel="0" collapsed="false">
      <c r="A810" s="50"/>
      <c r="B810" s="51" t="str">
        <f aca="false">IF(A810="","",MONTH(A810))</f>
        <v/>
      </c>
      <c r="C810" s="52"/>
      <c r="D810" s="52"/>
      <c r="E810" s="52"/>
      <c r="F810" s="53"/>
      <c r="G810" s="52"/>
      <c r="H810" s="54" t="str">
        <f aca="false">IF(E810="","",E810*N(F810)*IF(G810="",1,G810))</f>
        <v/>
      </c>
      <c r="I810" s="55" t="str">
        <f aca="false">IF(C810="","",IFERROR(INDEX('DANH MỤC'!$B$5:$B$200,MATCH(C810,'DANH MỤC'!$A$5:$A$200,0)),"⚠ Mã chưa có trong DANH MỤC"))</f>
        <v/>
      </c>
      <c r="J810" s="52"/>
      <c r="K810" s="52"/>
      <c r="L810" s="52"/>
    </row>
    <row r="811" customFormat="false" ht="15" hidden="false" customHeight="false" outlineLevel="0" collapsed="false">
      <c r="A811" s="50"/>
      <c r="B811" s="51" t="str">
        <f aca="false">IF(A811="","",MONTH(A811))</f>
        <v/>
      </c>
      <c r="C811" s="52"/>
      <c r="D811" s="52"/>
      <c r="E811" s="52"/>
      <c r="F811" s="53"/>
      <c r="G811" s="52"/>
      <c r="H811" s="54" t="str">
        <f aca="false">IF(E811="","",E811*N(F811)*IF(G811="",1,G811))</f>
        <v/>
      </c>
      <c r="I811" s="55" t="str">
        <f aca="false">IF(C811="","",IFERROR(INDEX('DANH MỤC'!$B$5:$B$200,MATCH(C811,'DANH MỤC'!$A$5:$A$200,0)),"⚠ Mã chưa có trong DANH MỤC"))</f>
        <v/>
      </c>
      <c r="J811" s="52"/>
      <c r="K811" s="52"/>
      <c r="L811" s="52"/>
    </row>
    <row r="812" customFormat="false" ht="15" hidden="false" customHeight="false" outlineLevel="0" collapsed="false">
      <c r="A812" s="50"/>
      <c r="B812" s="51" t="str">
        <f aca="false">IF(A812="","",MONTH(A812))</f>
        <v/>
      </c>
      <c r="C812" s="52"/>
      <c r="D812" s="52"/>
      <c r="E812" s="52"/>
      <c r="F812" s="53"/>
      <c r="G812" s="52"/>
      <c r="H812" s="54" t="str">
        <f aca="false">IF(E812="","",E812*N(F812)*IF(G812="",1,G812))</f>
        <v/>
      </c>
      <c r="I812" s="55" t="str">
        <f aca="false">IF(C812="","",IFERROR(INDEX('DANH MỤC'!$B$5:$B$200,MATCH(C812,'DANH MỤC'!$A$5:$A$200,0)),"⚠ Mã chưa có trong DANH MỤC"))</f>
        <v/>
      </c>
      <c r="J812" s="52"/>
      <c r="K812" s="52"/>
      <c r="L812" s="52"/>
    </row>
    <row r="813" customFormat="false" ht="15" hidden="false" customHeight="false" outlineLevel="0" collapsed="false">
      <c r="A813" s="50"/>
      <c r="B813" s="51" t="str">
        <f aca="false">IF(A813="","",MONTH(A813))</f>
        <v/>
      </c>
      <c r="C813" s="52"/>
      <c r="D813" s="52"/>
      <c r="E813" s="52"/>
      <c r="F813" s="53"/>
      <c r="G813" s="52"/>
      <c r="H813" s="54" t="str">
        <f aca="false">IF(E813="","",E813*N(F813)*IF(G813="",1,G813))</f>
        <v/>
      </c>
      <c r="I813" s="55" t="str">
        <f aca="false">IF(C813="","",IFERROR(INDEX('DANH MỤC'!$B$5:$B$200,MATCH(C813,'DANH MỤC'!$A$5:$A$200,0)),"⚠ Mã chưa có trong DANH MỤC"))</f>
        <v/>
      </c>
      <c r="J813" s="52"/>
      <c r="K813" s="52"/>
      <c r="L813" s="52"/>
    </row>
    <row r="814" customFormat="false" ht="15" hidden="false" customHeight="false" outlineLevel="0" collapsed="false">
      <c r="A814" s="50"/>
      <c r="B814" s="51" t="str">
        <f aca="false">IF(A814="","",MONTH(A814))</f>
        <v/>
      </c>
      <c r="C814" s="52"/>
      <c r="D814" s="52"/>
      <c r="E814" s="52"/>
      <c r="F814" s="53"/>
      <c r="G814" s="52"/>
      <c r="H814" s="54" t="str">
        <f aca="false">IF(E814="","",E814*N(F814)*IF(G814="",1,G814))</f>
        <v/>
      </c>
      <c r="I814" s="55" t="str">
        <f aca="false">IF(C814="","",IFERROR(INDEX('DANH MỤC'!$B$5:$B$200,MATCH(C814,'DANH MỤC'!$A$5:$A$200,0)),"⚠ Mã chưa có trong DANH MỤC"))</f>
        <v/>
      </c>
      <c r="J814" s="52"/>
      <c r="K814" s="52"/>
      <c r="L814" s="52"/>
    </row>
    <row r="815" customFormat="false" ht="15" hidden="false" customHeight="false" outlineLevel="0" collapsed="false">
      <c r="A815" s="50"/>
      <c r="B815" s="51" t="str">
        <f aca="false">IF(A815="","",MONTH(A815))</f>
        <v/>
      </c>
      <c r="C815" s="52"/>
      <c r="D815" s="52"/>
      <c r="E815" s="52"/>
      <c r="F815" s="53"/>
      <c r="G815" s="52"/>
      <c r="H815" s="54" t="str">
        <f aca="false">IF(E815="","",E815*N(F815)*IF(G815="",1,G815))</f>
        <v/>
      </c>
      <c r="I815" s="55" t="str">
        <f aca="false">IF(C815="","",IFERROR(INDEX('DANH MỤC'!$B$5:$B$200,MATCH(C815,'DANH MỤC'!$A$5:$A$200,0)),"⚠ Mã chưa có trong DANH MỤC"))</f>
        <v/>
      </c>
      <c r="J815" s="52"/>
      <c r="K815" s="52"/>
      <c r="L815" s="52"/>
    </row>
    <row r="816" customFormat="false" ht="15" hidden="false" customHeight="false" outlineLevel="0" collapsed="false">
      <c r="A816" s="50"/>
      <c r="B816" s="51" t="str">
        <f aca="false">IF(A816="","",MONTH(A816))</f>
        <v/>
      </c>
      <c r="C816" s="52"/>
      <c r="D816" s="52"/>
      <c r="E816" s="52"/>
      <c r="F816" s="53"/>
      <c r="G816" s="52"/>
      <c r="H816" s="54" t="str">
        <f aca="false">IF(E816="","",E816*N(F816)*IF(G816="",1,G816))</f>
        <v/>
      </c>
      <c r="I816" s="55" t="str">
        <f aca="false">IF(C816="","",IFERROR(INDEX('DANH MỤC'!$B$5:$B$200,MATCH(C816,'DANH MỤC'!$A$5:$A$200,0)),"⚠ Mã chưa có trong DANH MỤC"))</f>
        <v/>
      </c>
      <c r="J816" s="52"/>
      <c r="K816" s="52"/>
      <c r="L816" s="52"/>
    </row>
    <row r="817" customFormat="false" ht="15" hidden="false" customHeight="false" outlineLevel="0" collapsed="false">
      <c r="A817" s="50"/>
      <c r="B817" s="51" t="str">
        <f aca="false">IF(A817="","",MONTH(A817))</f>
        <v/>
      </c>
      <c r="C817" s="52"/>
      <c r="D817" s="52"/>
      <c r="E817" s="52"/>
      <c r="F817" s="53"/>
      <c r="G817" s="52"/>
      <c r="H817" s="54" t="str">
        <f aca="false">IF(E817="","",E817*N(F817)*IF(G817="",1,G817))</f>
        <v/>
      </c>
      <c r="I817" s="55" t="str">
        <f aca="false">IF(C817="","",IFERROR(INDEX('DANH MỤC'!$B$5:$B$200,MATCH(C817,'DANH MỤC'!$A$5:$A$200,0)),"⚠ Mã chưa có trong DANH MỤC"))</f>
        <v/>
      </c>
      <c r="J817" s="52"/>
      <c r="K817" s="52"/>
      <c r="L817" s="52"/>
    </row>
    <row r="818" customFormat="false" ht="15" hidden="false" customHeight="false" outlineLevel="0" collapsed="false">
      <c r="A818" s="50"/>
      <c r="B818" s="51" t="str">
        <f aca="false">IF(A818="","",MONTH(A818))</f>
        <v/>
      </c>
      <c r="C818" s="52"/>
      <c r="D818" s="52"/>
      <c r="E818" s="52"/>
      <c r="F818" s="53"/>
      <c r="G818" s="52"/>
      <c r="H818" s="54" t="str">
        <f aca="false">IF(E818="","",E818*N(F818)*IF(G818="",1,G818))</f>
        <v/>
      </c>
      <c r="I818" s="55" t="str">
        <f aca="false">IF(C818="","",IFERROR(INDEX('DANH MỤC'!$B$5:$B$200,MATCH(C818,'DANH MỤC'!$A$5:$A$200,0)),"⚠ Mã chưa có trong DANH MỤC"))</f>
        <v/>
      </c>
      <c r="J818" s="52"/>
      <c r="K818" s="52"/>
      <c r="L818" s="52"/>
    </row>
    <row r="819" customFormat="false" ht="15" hidden="false" customHeight="false" outlineLevel="0" collapsed="false">
      <c r="A819" s="50"/>
      <c r="B819" s="51" t="str">
        <f aca="false">IF(A819="","",MONTH(A819))</f>
        <v/>
      </c>
      <c r="C819" s="52"/>
      <c r="D819" s="52"/>
      <c r="E819" s="52"/>
      <c r="F819" s="53"/>
      <c r="G819" s="52"/>
      <c r="H819" s="54" t="str">
        <f aca="false">IF(E819="","",E819*N(F819)*IF(G819="",1,G819))</f>
        <v/>
      </c>
      <c r="I819" s="55" t="str">
        <f aca="false">IF(C819="","",IFERROR(INDEX('DANH MỤC'!$B$5:$B$200,MATCH(C819,'DANH MỤC'!$A$5:$A$200,0)),"⚠ Mã chưa có trong DANH MỤC"))</f>
        <v/>
      </c>
      <c r="J819" s="52"/>
      <c r="K819" s="52"/>
      <c r="L819" s="52"/>
    </row>
    <row r="820" customFormat="false" ht="15" hidden="false" customHeight="false" outlineLevel="0" collapsed="false">
      <c r="A820" s="50"/>
      <c r="B820" s="51" t="str">
        <f aca="false">IF(A820="","",MONTH(A820))</f>
        <v/>
      </c>
      <c r="C820" s="52"/>
      <c r="D820" s="52"/>
      <c r="E820" s="52"/>
      <c r="F820" s="53"/>
      <c r="G820" s="52"/>
      <c r="H820" s="54" t="str">
        <f aca="false">IF(E820="","",E820*N(F820)*IF(G820="",1,G820))</f>
        <v/>
      </c>
      <c r="I820" s="55" t="str">
        <f aca="false">IF(C820="","",IFERROR(INDEX('DANH MỤC'!$B$5:$B$200,MATCH(C820,'DANH MỤC'!$A$5:$A$200,0)),"⚠ Mã chưa có trong DANH MỤC"))</f>
        <v/>
      </c>
      <c r="J820" s="52"/>
      <c r="K820" s="52"/>
      <c r="L820" s="52"/>
    </row>
    <row r="821" customFormat="false" ht="15" hidden="false" customHeight="false" outlineLevel="0" collapsed="false">
      <c r="A821" s="50"/>
      <c r="B821" s="51" t="str">
        <f aca="false">IF(A821="","",MONTH(A821))</f>
        <v/>
      </c>
      <c r="C821" s="52"/>
      <c r="D821" s="52"/>
      <c r="E821" s="52"/>
      <c r="F821" s="53"/>
      <c r="G821" s="52"/>
      <c r="H821" s="54" t="str">
        <f aca="false">IF(E821="","",E821*N(F821)*IF(G821="",1,G821))</f>
        <v/>
      </c>
      <c r="I821" s="55" t="str">
        <f aca="false">IF(C821="","",IFERROR(INDEX('DANH MỤC'!$B$5:$B$200,MATCH(C821,'DANH MỤC'!$A$5:$A$200,0)),"⚠ Mã chưa có trong DANH MỤC"))</f>
        <v/>
      </c>
      <c r="J821" s="52"/>
      <c r="K821" s="52"/>
      <c r="L821" s="52"/>
    </row>
    <row r="822" customFormat="false" ht="15" hidden="false" customHeight="false" outlineLevel="0" collapsed="false">
      <c r="A822" s="50"/>
      <c r="B822" s="51" t="str">
        <f aca="false">IF(A822="","",MONTH(A822))</f>
        <v/>
      </c>
      <c r="C822" s="52"/>
      <c r="D822" s="52"/>
      <c r="E822" s="52"/>
      <c r="F822" s="53"/>
      <c r="G822" s="52"/>
      <c r="H822" s="54" t="str">
        <f aca="false">IF(E822="","",E822*N(F822)*IF(G822="",1,G822))</f>
        <v/>
      </c>
      <c r="I822" s="55" t="str">
        <f aca="false">IF(C822="","",IFERROR(INDEX('DANH MỤC'!$B$5:$B$200,MATCH(C822,'DANH MỤC'!$A$5:$A$200,0)),"⚠ Mã chưa có trong DANH MỤC"))</f>
        <v/>
      </c>
      <c r="J822" s="52"/>
      <c r="K822" s="52"/>
      <c r="L822" s="52"/>
    </row>
    <row r="823" customFormat="false" ht="15" hidden="false" customHeight="false" outlineLevel="0" collapsed="false">
      <c r="A823" s="50"/>
      <c r="B823" s="51" t="str">
        <f aca="false">IF(A823="","",MONTH(A823))</f>
        <v/>
      </c>
      <c r="C823" s="52"/>
      <c r="D823" s="52"/>
      <c r="E823" s="52"/>
      <c r="F823" s="53"/>
      <c r="G823" s="52"/>
      <c r="H823" s="54" t="str">
        <f aca="false">IF(E823="","",E823*N(F823)*IF(G823="",1,G823))</f>
        <v/>
      </c>
      <c r="I823" s="55" t="str">
        <f aca="false">IF(C823="","",IFERROR(INDEX('DANH MỤC'!$B$5:$B$200,MATCH(C823,'DANH MỤC'!$A$5:$A$200,0)),"⚠ Mã chưa có trong DANH MỤC"))</f>
        <v/>
      </c>
      <c r="J823" s="52"/>
      <c r="K823" s="52"/>
      <c r="L823" s="52"/>
    </row>
    <row r="824" customFormat="false" ht="15" hidden="false" customHeight="false" outlineLevel="0" collapsed="false">
      <c r="A824" s="50"/>
      <c r="B824" s="51" t="str">
        <f aca="false">IF(A824="","",MONTH(A824))</f>
        <v/>
      </c>
      <c r="C824" s="52"/>
      <c r="D824" s="52"/>
      <c r="E824" s="52"/>
      <c r="F824" s="53"/>
      <c r="G824" s="52"/>
      <c r="H824" s="54" t="str">
        <f aca="false">IF(E824="","",E824*N(F824)*IF(G824="",1,G824))</f>
        <v/>
      </c>
      <c r="I824" s="55" t="str">
        <f aca="false">IF(C824="","",IFERROR(INDEX('DANH MỤC'!$B$5:$B$200,MATCH(C824,'DANH MỤC'!$A$5:$A$200,0)),"⚠ Mã chưa có trong DANH MỤC"))</f>
        <v/>
      </c>
      <c r="J824" s="52"/>
      <c r="K824" s="52"/>
      <c r="L824" s="52"/>
    </row>
    <row r="825" customFormat="false" ht="15" hidden="false" customHeight="false" outlineLevel="0" collapsed="false">
      <c r="A825" s="50"/>
      <c r="B825" s="51" t="str">
        <f aca="false">IF(A825="","",MONTH(A825))</f>
        <v/>
      </c>
      <c r="C825" s="52"/>
      <c r="D825" s="52"/>
      <c r="E825" s="52"/>
      <c r="F825" s="53"/>
      <c r="G825" s="52"/>
      <c r="H825" s="54" t="str">
        <f aca="false">IF(E825="","",E825*N(F825)*IF(G825="",1,G825))</f>
        <v/>
      </c>
      <c r="I825" s="55" t="str">
        <f aca="false">IF(C825="","",IFERROR(INDEX('DANH MỤC'!$B$5:$B$200,MATCH(C825,'DANH MỤC'!$A$5:$A$200,0)),"⚠ Mã chưa có trong DANH MỤC"))</f>
        <v/>
      </c>
      <c r="J825" s="52"/>
      <c r="K825" s="52"/>
      <c r="L825" s="52"/>
    </row>
    <row r="826" customFormat="false" ht="15" hidden="false" customHeight="false" outlineLevel="0" collapsed="false">
      <c r="A826" s="50"/>
      <c r="B826" s="51" t="str">
        <f aca="false">IF(A826="","",MONTH(A826))</f>
        <v/>
      </c>
      <c r="C826" s="52"/>
      <c r="D826" s="52"/>
      <c r="E826" s="52"/>
      <c r="F826" s="53"/>
      <c r="G826" s="52"/>
      <c r="H826" s="54" t="str">
        <f aca="false">IF(E826="","",E826*N(F826)*IF(G826="",1,G826))</f>
        <v/>
      </c>
      <c r="I826" s="55" t="str">
        <f aca="false">IF(C826="","",IFERROR(INDEX('DANH MỤC'!$B$5:$B$200,MATCH(C826,'DANH MỤC'!$A$5:$A$200,0)),"⚠ Mã chưa có trong DANH MỤC"))</f>
        <v/>
      </c>
      <c r="J826" s="52"/>
      <c r="K826" s="52"/>
      <c r="L826" s="52"/>
    </row>
    <row r="827" customFormat="false" ht="15" hidden="false" customHeight="false" outlineLevel="0" collapsed="false">
      <c r="A827" s="50"/>
      <c r="B827" s="51" t="str">
        <f aca="false">IF(A827="","",MONTH(A827))</f>
        <v/>
      </c>
      <c r="C827" s="52"/>
      <c r="D827" s="52"/>
      <c r="E827" s="52"/>
      <c r="F827" s="53"/>
      <c r="G827" s="52"/>
      <c r="H827" s="54" t="str">
        <f aca="false">IF(E827="","",E827*N(F827)*IF(G827="",1,G827))</f>
        <v/>
      </c>
      <c r="I827" s="55" t="str">
        <f aca="false">IF(C827="","",IFERROR(INDEX('DANH MỤC'!$B$5:$B$200,MATCH(C827,'DANH MỤC'!$A$5:$A$200,0)),"⚠ Mã chưa có trong DANH MỤC"))</f>
        <v/>
      </c>
      <c r="J827" s="52"/>
      <c r="K827" s="52"/>
      <c r="L827" s="52"/>
    </row>
    <row r="828" customFormat="false" ht="15" hidden="false" customHeight="false" outlineLevel="0" collapsed="false">
      <c r="A828" s="50"/>
      <c r="B828" s="51" t="str">
        <f aca="false">IF(A828="","",MONTH(A828))</f>
        <v/>
      </c>
      <c r="C828" s="52"/>
      <c r="D828" s="52"/>
      <c r="E828" s="52"/>
      <c r="F828" s="53"/>
      <c r="G828" s="52"/>
      <c r="H828" s="54" t="str">
        <f aca="false">IF(E828="","",E828*N(F828)*IF(G828="",1,G828))</f>
        <v/>
      </c>
      <c r="I828" s="55" t="str">
        <f aca="false">IF(C828="","",IFERROR(INDEX('DANH MỤC'!$B$5:$B$200,MATCH(C828,'DANH MỤC'!$A$5:$A$200,0)),"⚠ Mã chưa có trong DANH MỤC"))</f>
        <v/>
      </c>
      <c r="J828" s="52"/>
      <c r="K828" s="52"/>
      <c r="L828" s="52"/>
    </row>
    <row r="829" customFormat="false" ht="15" hidden="false" customHeight="false" outlineLevel="0" collapsed="false">
      <c r="A829" s="50"/>
      <c r="B829" s="51" t="str">
        <f aca="false">IF(A829="","",MONTH(A829))</f>
        <v/>
      </c>
      <c r="C829" s="52"/>
      <c r="D829" s="52"/>
      <c r="E829" s="52"/>
      <c r="F829" s="53"/>
      <c r="G829" s="52"/>
      <c r="H829" s="54" t="str">
        <f aca="false">IF(E829="","",E829*N(F829)*IF(G829="",1,G829))</f>
        <v/>
      </c>
      <c r="I829" s="55" t="str">
        <f aca="false">IF(C829="","",IFERROR(INDEX('DANH MỤC'!$B$5:$B$200,MATCH(C829,'DANH MỤC'!$A$5:$A$200,0)),"⚠ Mã chưa có trong DANH MỤC"))</f>
        <v/>
      </c>
      <c r="J829" s="52"/>
      <c r="K829" s="52"/>
      <c r="L829" s="52"/>
    </row>
    <row r="830" customFormat="false" ht="15" hidden="false" customHeight="false" outlineLevel="0" collapsed="false">
      <c r="A830" s="50"/>
      <c r="B830" s="51" t="str">
        <f aca="false">IF(A830="","",MONTH(A830))</f>
        <v/>
      </c>
      <c r="C830" s="52"/>
      <c r="D830" s="52"/>
      <c r="E830" s="52"/>
      <c r="F830" s="53"/>
      <c r="G830" s="52"/>
      <c r="H830" s="54" t="str">
        <f aca="false">IF(E830="","",E830*N(F830)*IF(G830="",1,G830))</f>
        <v/>
      </c>
      <c r="I830" s="55" t="str">
        <f aca="false">IF(C830="","",IFERROR(INDEX('DANH MỤC'!$B$5:$B$200,MATCH(C830,'DANH MỤC'!$A$5:$A$200,0)),"⚠ Mã chưa có trong DANH MỤC"))</f>
        <v/>
      </c>
      <c r="J830" s="52"/>
      <c r="K830" s="52"/>
      <c r="L830" s="52"/>
    </row>
    <row r="831" customFormat="false" ht="15" hidden="false" customHeight="false" outlineLevel="0" collapsed="false">
      <c r="A831" s="50"/>
      <c r="B831" s="51" t="str">
        <f aca="false">IF(A831="","",MONTH(A831))</f>
        <v/>
      </c>
      <c r="C831" s="52"/>
      <c r="D831" s="52"/>
      <c r="E831" s="52"/>
      <c r="F831" s="53"/>
      <c r="G831" s="52"/>
      <c r="H831" s="54" t="str">
        <f aca="false">IF(E831="","",E831*N(F831)*IF(G831="",1,G831))</f>
        <v/>
      </c>
      <c r="I831" s="55" t="str">
        <f aca="false">IF(C831="","",IFERROR(INDEX('DANH MỤC'!$B$5:$B$200,MATCH(C831,'DANH MỤC'!$A$5:$A$200,0)),"⚠ Mã chưa có trong DANH MỤC"))</f>
        <v/>
      </c>
      <c r="J831" s="52"/>
      <c r="K831" s="52"/>
      <c r="L831" s="52"/>
    </row>
    <row r="832" customFormat="false" ht="15" hidden="false" customHeight="false" outlineLevel="0" collapsed="false">
      <c r="A832" s="50"/>
      <c r="B832" s="51" t="str">
        <f aca="false">IF(A832="","",MONTH(A832))</f>
        <v/>
      </c>
      <c r="C832" s="52"/>
      <c r="D832" s="52"/>
      <c r="E832" s="52"/>
      <c r="F832" s="53"/>
      <c r="G832" s="52"/>
      <c r="H832" s="54" t="str">
        <f aca="false">IF(E832="","",E832*N(F832)*IF(G832="",1,G832))</f>
        <v/>
      </c>
      <c r="I832" s="55" t="str">
        <f aca="false">IF(C832="","",IFERROR(INDEX('DANH MỤC'!$B$5:$B$200,MATCH(C832,'DANH MỤC'!$A$5:$A$200,0)),"⚠ Mã chưa có trong DANH MỤC"))</f>
        <v/>
      </c>
      <c r="J832" s="52"/>
      <c r="K832" s="52"/>
      <c r="L832" s="52"/>
    </row>
    <row r="833" customFormat="false" ht="15" hidden="false" customHeight="false" outlineLevel="0" collapsed="false">
      <c r="A833" s="50"/>
      <c r="B833" s="51" t="str">
        <f aca="false">IF(A833="","",MONTH(A833))</f>
        <v/>
      </c>
      <c r="C833" s="52"/>
      <c r="D833" s="52"/>
      <c r="E833" s="52"/>
      <c r="F833" s="53"/>
      <c r="G833" s="52"/>
      <c r="H833" s="54" t="str">
        <f aca="false">IF(E833="","",E833*N(F833)*IF(G833="",1,G833))</f>
        <v/>
      </c>
      <c r="I833" s="55" t="str">
        <f aca="false">IF(C833="","",IFERROR(INDEX('DANH MỤC'!$B$5:$B$200,MATCH(C833,'DANH MỤC'!$A$5:$A$200,0)),"⚠ Mã chưa có trong DANH MỤC"))</f>
        <v/>
      </c>
      <c r="J833" s="52"/>
      <c r="K833" s="52"/>
      <c r="L833" s="52"/>
    </row>
    <row r="834" customFormat="false" ht="15" hidden="false" customHeight="false" outlineLevel="0" collapsed="false">
      <c r="A834" s="50"/>
      <c r="B834" s="51" t="str">
        <f aca="false">IF(A834="","",MONTH(A834))</f>
        <v/>
      </c>
      <c r="C834" s="52"/>
      <c r="D834" s="52"/>
      <c r="E834" s="52"/>
      <c r="F834" s="53"/>
      <c r="G834" s="52"/>
      <c r="H834" s="54" t="str">
        <f aca="false">IF(E834="","",E834*N(F834)*IF(G834="",1,G834))</f>
        <v/>
      </c>
      <c r="I834" s="55" t="str">
        <f aca="false">IF(C834="","",IFERROR(INDEX('DANH MỤC'!$B$5:$B$200,MATCH(C834,'DANH MỤC'!$A$5:$A$200,0)),"⚠ Mã chưa có trong DANH MỤC"))</f>
        <v/>
      </c>
      <c r="J834" s="52"/>
      <c r="K834" s="52"/>
      <c r="L834" s="52"/>
    </row>
    <row r="835" customFormat="false" ht="15" hidden="false" customHeight="false" outlineLevel="0" collapsed="false">
      <c r="A835" s="50"/>
      <c r="B835" s="51" t="str">
        <f aca="false">IF(A835="","",MONTH(A835))</f>
        <v/>
      </c>
      <c r="C835" s="52"/>
      <c r="D835" s="52"/>
      <c r="E835" s="52"/>
      <c r="F835" s="53"/>
      <c r="G835" s="52"/>
      <c r="H835" s="54" t="str">
        <f aca="false">IF(E835="","",E835*N(F835)*IF(G835="",1,G835))</f>
        <v/>
      </c>
      <c r="I835" s="55" t="str">
        <f aca="false">IF(C835="","",IFERROR(INDEX('DANH MỤC'!$B$5:$B$200,MATCH(C835,'DANH MỤC'!$A$5:$A$200,0)),"⚠ Mã chưa có trong DANH MỤC"))</f>
        <v/>
      </c>
      <c r="J835" s="52"/>
      <c r="K835" s="52"/>
      <c r="L835" s="52"/>
    </row>
    <row r="836" customFormat="false" ht="15" hidden="false" customHeight="false" outlineLevel="0" collapsed="false">
      <c r="A836" s="50"/>
      <c r="B836" s="51" t="str">
        <f aca="false">IF(A836="","",MONTH(A836))</f>
        <v/>
      </c>
      <c r="C836" s="52"/>
      <c r="D836" s="52"/>
      <c r="E836" s="52"/>
      <c r="F836" s="53"/>
      <c r="G836" s="52"/>
      <c r="H836" s="54" t="str">
        <f aca="false">IF(E836="","",E836*N(F836)*IF(G836="",1,G836))</f>
        <v/>
      </c>
      <c r="I836" s="55" t="str">
        <f aca="false">IF(C836="","",IFERROR(INDEX('DANH MỤC'!$B$5:$B$200,MATCH(C836,'DANH MỤC'!$A$5:$A$200,0)),"⚠ Mã chưa có trong DANH MỤC"))</f>
        <v/>
      </c>
      <c r="J836" s="52"/>
      <c r="K836" s="52"/>
      <c r="L836" s="52"/>
    </row>
    <row r="837" customFormat="false" ht="15" hidden="false" customHeight="false" outlineLevel="0" collapsed="false">
      <c r="A837" s="50"/>
      <c r="B837" s="51" t="str">
        <f aca="false">IF(A837="","",MONTH(A837))</f>
        <v/>
      </c>
      <c r="C837" s="52"/>
      <c r="D837" s="52"/>
      <c r="E837" s="52"/>
      <c r="F837" s="53"/>
      <c r="G837" s="52"/>
      <c r="H837" s="54" t="str">
        <f aca="false">IF(E837="","",E837*N(F837)*IF(G837="",1,G837))</f>
        <v/>
      </c>
      <c r="I837" s="55" t="str">
        <f aca="false">IF(C837="","",IFERROR(INDEX('DANH MỤC'!$B$5:$B$200,MATCH(C837,'DANH MỤC'!$A$5:$A$200,0)),"⚠ Mã chưa có trong DANH MỤC"))</f>
        <v/>
      </c>
      <c r="J837" s="52"/>
      <c r="K837" s="52"/>
      <c r="L837" s="52"/>
    </row>
    <row r="838" customFormat="false" ht="15" hidden="false" customHeight="false" outlineLevel="0" collapsed="false">
      <c r="A838" s="50"/>
      <c r="B838" s="51" t="str">
        <f aca="false">IF(A838="","",MONTH(A838))</f>
        <v/>
      </c>
      <c r="C838" s="52"/>
      <c r="D838" s="52"/>
      <c r="E838" s="52"/>
      <c r="F838" s="53"/>
      <c r="G838" s="52"/>
      <c r="H838" s="54" t="str">
        <f aca="false">IF(E838="","",E838*N(F838)*IF(G838="",1,G838))</f>
        <v/>
      </c>
      <c r="I838" s="55" t="str">
        <f aca="false">IF(C838="","",IFERROR(INDEX('DANH MỤC'!$B$5:$B$200,MATCH(C838,'DANH MỤC'!$A$5:$A$200,0)),"⚠ Mã chưa có trong DANH MỤC"))</f>
        <v/>
      </c>
      <c r="J838" s="52"/>
      <c r="K838" s="52"/>
      <c r="L838" s="52"/>
    </row>
    <row r="839" customFormat="false" ht="15" hidden="false" customHeight="false" outlineLevel="0" collapsed="false">
      <c r="A839" s="50"/>
      <c r="B839" s="51" t="str">
        <f aca="false">IF(A839="","",MONTH(A839))</f>
        <v/>
      </c>
      <c r="C839" s="52"/>
      <c r="D839" s="52"/>
      <c r="E839" s="52"/>
      <c r="F839" s="53"/>
      <c r="G839" s="52"/>
      <c r="H839" s="54" t="str">
        <f aca="false">IF(E839="","",E839*N(F839)*IF(G839="",1,G839))</f>
        <v/>
      </c>
      <c r="I839" s="55" t="str">
        <f aca="false">IF(C839="","",IFERROR(INDEX('DANH MỤC'!$B$5:$B$200,MATCH(C839,'DANH MỤC'!$A$5:$A$200,0)),"⚠ Mã chưa có trong DANH MỤC"))</f>
        <v/>
      </c>
      <c r="J839" s="52"/>
      <c r="K839" s="52"/>
      <c r="L839" s="52"/>
    </row>
    <row r="840" customFormat="false" ht="15" hidden="false" customHeight="false" outlineLevel="0" collapsed="false">
      <c r="A840" s="50"/>
      <c r="B840" s="51" t="str">
        <f aca="false">IF(A840="","",MONTH(A840))</f>
        <v/>
      </c>
      <c r="C840" s="52"/>
      <c r="D840" s="52"/>
      <c r="E840" s="52"/>
      <c r="F840" s="53"/>
      <c r="G840" s="52"/>
      <c r="H840" s="54" t="str">
        <f aca="false">IF(E840="","",E840*N(F840)*IF(G840="",1,G840))</f>
        <v/>
      </c>
      <c r="I840" s="55" t="str">
        <f aca="false">IF(C840="","",IFERROR(INDEX('DANH MỤC'!$B$5:$B$200,MATCH(C840,'DANH MỤC'!$A$5:$A$200,0)),"⚠ Mã chưa có trong DANH MỤC"))</f>
        <v/>
      </c>
      <c r="J840" s="52"/>
      <c r="K840" s="52"/>
      <c r="L840" s="52"/>
    </row>
    <row r="841" customFormat="false" ht="15" hidden="false" customHeight="false" outlineLevel="0" collapsed="false">
      <c r="A841" s="50"/>
      <c r="B841" s="51" t="str">
        <f aca="false">IF(A841="","",MONTH(A841))</f>
        <v/>
      </c>
      <c r="C841" s="52"/>
      <c r="D841" s="52"/>
      <c r="E841" s="52"/>
      <c r="F841" s="53"/>
      <c r="G841" s="52"/>
      <c r="H841" s="54" t="str">
        <f aca="false">IF(E841="","",E841*N(F841)*IF(G841="",1,G841))</f>
        <v/>
      </c>
      <c r="I841" s="55" t="str">
        <f aca="false">IF(C841="","",IFERROR(INDEX('DANH MỤC'!$B$5:$B$200,MATCH(C841,'DANH MỤC'!$A$5:$A$200,0)),"⚠ Mã chưa có trong DANH MỤC"))</f>
        <v/>
      </c>
      <c r="J841" s="52"/>
      <c r="K841" s="52"/>
      <c r="L841" s="52"/>
    </row>
    <row r="842" customFormat="false" ht="15" hidden="false" customHeight="false" outlineLevel="0" collapsed="false">
      <c r="A842" s="50"/>
      <c r="B842" s="51" t="str">
        <f aca="false">IF(A842="","",MONTH(A842))</f>
        <v/>
      </c>
      <c r="C842" s="52"/>
      <c r="D842" s="52"/>
      <c r="E842" s="52"/>
      <c r="F842" s="53"/>
      <c r="G842" s="52"/>
      <c r="H842" s="54" t="str">
        <f aca="false">IF(E842="","",E842*N(F842)*IF(G842="",1,G842))</f>
        <v/>
      </c>
      <c r="I842" s="55" t="str">
        <f aca="false">IF(C842="","",IFERROR(INDEX('DANH MỤC'!$B$5:$B$200,MATCH(C842,'DANH MỤC'!$A$5:$A$200,0)),"⚠ Mã chưa có trong DANH MỤC"))</f>
        <v/>
      </c>
      <c r="J842" s="52"/>
      <c r="K842" s="52"/>
      <c r="L842" s="52"/>
    </row>
    <row r="843" customFormat="false" ht="15" hidden="false" customHeight="false" outlineLevel="0" collapsed="false">
      <c r="A843" s="50"/>
      <c r="B843" s="51" t="str">
        <f aca="false">IF(A843="","",MONTH(A843))</f>
        <v/>
      </c>
      <c r="C843" s="52"/>
      <c r="D843" s="52"/>
      <c r="E843" s="52"/>
      <c r="F843" s="53"/>
      <c r="G843" s="52"/>
      <c r="H843" s="54" t="str">
        <f aca="false">IF(E843="","",E843*N(F843)*IF(G843="",1,G843))</f>
        <v/>
      </c>
      <c r="I843" s="55" t="str">
        <f aca="false">IF(C843="","",IFERROR(INDEX('DANH MỤC'!$B$5:$B$200,MATCH(C843,'DANH MỤC'!$A$5:$A$200,0)),"⚠ Mã chưa có trong DANH MỤC"))</f>
        <v/>
      </c>
      <c r="J843" s="52"/>
      <c r="K843" s="52"/>
      <c r="L843" s="52"/>
    </row>
    <row r="844" customFormat="false" ht="15" hidden="false" customHeight="false" outlineLevel="0" collapsed="false">
      <c r="A844" s="50"/>
      <c r="B844" s="51" t="str">
        <f aca="false">IF(A844="","",MONTH(A844))</f>
        <v/>
      </c>
      <c r="C844" s="52"/>
      <c r="D844" s="52"/>
      <c r="E844" s="52"/>
      <c r="F844" s="53"/>
      <c r="G844" s="52"/>
      <c r="H844" s="54" t="str">
        <f aca="false">IF(E844="","",E844*N(F844)*IF(G844="",1,G844))</f>
        <v/>
      </c>
      <c r="I844" s="55" t="str">
        <f aca="false">IF(C844="","",IFERROR(INDEX('DANH MỤC'!$B$5:$B$200,MATCH(C844,'DANH MỤC'!$A$5:$A$200,0)),"⚠ Mã chưa có trong DANH MỤC"))</f>
        <v/>
      </c>
      <c r="J844" s="52"/>
      <c r="K844" s="52"/>
      <c r="L844" s="52"/>
    </row>
    <row r="845" customFormat="false" ht="15" hidden="false" customHeight="false" outlineLevel="0" collapsed="false">
      <c r="A845" s="50"/>
      <c r="B845" s="51" t="str">
        <f aca="false">IF(A845="","",MONTH(A845))</f>
        <v/>
      </c>
      <c r="C845" s="52"/>
      <c r="D845" s="52"/>
      <c r="E845" s="52"/>
      <c r="F845" s="53"/>
      <c r="G845" s="52"/>
      <c r="H845" s="54" t="str">
        <f aca="false">IF(E845="","",E845*N(F845)*IF(G845="",1,G845))</f>
        <v/>
      </c>
      <c r="I845" s="55" t="str">
        <f aca="false">IF(C845="","",IFERROR(INDEX('DANH MỤC'!$B$5:$B$200,MATCH(C845,'DANH MỤC'!$A$5:$A$200,0)),"⚠ Mã chưa có trong DANH MỤC"))</f>
        <v/>
      </c>
      <c r="J845" s="52"/>
      <c r="K845" s="52"/>
      <c r="L845" s="52"/>
    </row>
    <row r="846" customFormat="false" ht="15" hidden="false" customHeight="false" outlineLevel="0" collapsed="false">
      <c r="A846" s="50"/>
      <c r="B846" s="51" t="str">
        <f aca="false">IF(A846="","",MONTH(A846))</f>
        <v/>
      </c>
      <c r="C846" s="52"/>
      <c r="D846" s="52"/>
      <c r="E846" s="52"/>
      <c r="F846" s="53"/>
      <c r="G846" s="52"/>
      <c r="H846" s="54" t="str">
        <f aca="false">IF(E846="","",E846*N(F846)*IF(G846="",1,G846))</f>
        <v/>
      </c>
      <c r="I846" s="55" t="str">
        <f aca="false">IF(C846="","",IFERROR(INDEX('DANH MỤC'!$B$5:$B$200,MATCH(C846,'DANH MỤC'!$A$5:$A$200,0)),"⚠ Mã chưa có trong DANH MỤC"))</f>
        <v/>
      </c>
      <c r="J846" s="52"/>
      <c r="K846" s="52"/>
      <c r="L846" s="52"/>
    </row>
    <row r="847" customFormat="false" ht="15" hidden="false" customHeight="false" outlineLevel="0" collapsed="false">
      <c r="A847" s="50"/>
      <c r="B847" s="51" t="str">
        <f aca="false">IF(A847="","",MONTH(A847))</f>
        <v/>
      </c>
      <c r="C847" s="52"/>
      <c r="D847" s="52"/>
      <c r="E847" s="52"/>
      <c r="F847" s="53"/>
      <c r="G847" s="52"/>
      <c r="H847" s="54" t="str">
        <f aca="false">IF(E847="","",E847*N(F847)*IF(G847="",1,G847))</f>
        <v/>
      </c>
      <c r="I847" s="55" t="str">
        <f aca="false">IF(C847="","",IFERROR(INDEX('DANH MỤC'!$B$5:$B$200,MATCH(C847,'DANH MỤC'!$A$5:$A$200,0)),"⚠ Mã chưa có trong DANH MỤC"))</f>
        <v/>
      </c>
      <c r="J847" s="52"/>
      <c r="K847" s="52"/>
      <c r="L847" s="52"/>
    </row>
    <row r="848" customFormat="false" ht="15" hidden="false" customHeight="false" outlineLevel="0" collapsed="false">
      <c r="A848" s="50"/>
      <c r="B848" s="51" t="str">
        <f aca="false">IF(A848="","",MONTH(A848))</f>
        <v/>
      </c>
      <c r="C848" s="52"/>
      <c r="D848" s="52"/>
      <c r="E848" s="52"/>
      <c r="F848" s="53"/>
      <c r="G848" s="52"/>
      <c r="H848" s="54" t="str">
        <f aca="false">IF(E848="","",E848*N(F848)*IF(G848="",1,G848))</f>
        <v/>
      </c>
      <c r="I848" s="55" t="str">
        <f aca="false">IF(C848="","",IFERROR(INDEX('DANH MỤC'!$B$5:$B$200,MATCH(C848,'DANH MỤC'!$A$5:$A$200,0)),"⚠ Mã chưa có trong DANH MỤC"))</f>
        <v/>
      </c>
      <c r="J848" s="52"/>
      <c r="K848" s="52"/>
      <c r="L848" s="52"/>
    </row>
    <row r="849" customFormat="false" ht="15" hidden="false" customHeight="false" outlineLevel="0" collapsed="false">
      <c r="A849" s="50"/>
      <c r="B849" s="51" t="str">
        <f aca="false">IF(A849="","",MONTH(A849))</f>
        <v/>
      </c>
      <c r="C849" s="52"/>
      <c r="D849" s="52"/>
      <c r="E849" s="52"/>
      <c r="F849" s="53"/>
      <c r="G849" s="52"/>
      <c r="H849" s="54" t="str">
        <f aca="false">IF(E849="","",E849*N(F849)*IF(G849="",1,G849))</f>
        <v/>
      </c>
      <c r="I849" s="55" t="str">
        <f aca="false">IF(C849="","",IFERROR(INDEX('DANH MỤC'!$B$5:$B$200,MATCH(C849,'DANH MỤC'!$A$5:$A$200,0)),"⚠ Mã chưa có trong DANH MỤC"))</f>
        <v/>
      </c>
      <c r="J849" s="52"/>
      <c r="K849" s="52"/>
      <c r="L849" s="52"/>
    </row>
    <row r="850" customFormat="false" ht="15" hidden="false" customHeight="false" outlineLevel="0" collapsed="false">
      <c r="A850" s="50"/>
      <c r="B850" s="51" t="str">
        <f aca="false">IF(A850="","",MONTH(A850))</f>
        <v/>
      </c>
      <c r="C850" s="52"/>
      <c r="D850" s="52"/>
      <c r="E850" s="52"/>
      <c r="F850" s="53"/>
      <c r="G850" s="52"/>
      <c r="H850" s="54" t="str">
        <f aca="false">IF(E850="","",E850*N(F850)*IF(G850="",1,G850))</f>
        <v/>
      </c>
      <c r="I850" s="55" t="str">
        <f aca="false">IF(C850="","",IFERROR(INDEX('DANH MỤC'!$B$5:$B$200,MATCH(C850,'DANH MỤC'!$A$5:$A$200,0)),"⚠ Mã chưa có trong DANH MỤC"))</f>
        <v/>
      </c>
      <c r="J850" s="52"/>
      <c r="K850" s="52"/>
      <c r="L850" s="52"/>
    </row>
    <row r="851" customFormat="false" ht="15" hidden="false" customHeight="false" outlineLevel="0" collapsed="false">
      <c r="A851" s="50"/>
      <c r="B851" s="51" t="str">
        <f aca="false">IF(A851="","",MONTH(A851))</f>
        <v/>
      </c>
      <c r="C851" s="52"/>
      <c r="D851" s="52"/>
      <c r="E851" s="52"/>
      <c r="F851" s="53"/>
      <c r="G851" s="52"/>
      <c r="H851" s="54" t="str">
        <f aca="false">IF(E851="","",E851*N(F851)*IF(G851="",1,G851))</f>
        <v/>
      </c>
      <c r="I851" s="55" t="str">
        <f aca="false">IF(C851="","",IFERROR(INDEX('DANH MỤC'!$B$5:$B$200,MATCH(C851,'DANH MỤC'!$A$5:$A$200,0)),"⚠ Mã chưa có trong DANH MỤC"))</f>
        <v/>
      </c>
      <c r="J851" s="52"/>
      <c r="K851" s="52"/>
      <c r="L851" s="52"/>
    </row>
    <row r="852" customFormat="false" ht="15" hidden="false" customHeight="false" outlineLevel="0" collapsed="false">
      <c r="A852" s="50"/>
      <c r="B852" s="51" t="str">
        <f aca="false">IF(A852="","",MONTH(A852))</f>
        <v/>
      </c>
      <c r="C852" s="52"/>
      <c r="D852" s="52"/>
      <c r="E852" s="52"/>
      <c r="F852" s="53"/>
      <c r="G852" s="52"/>
      <c r="H852" s="54" t="str">
        <f aca="false">IF(E852="","",E852*N(F852)*IF(G852="",1,G852))</f>
        <v/>
      </c>
      <c r="I852" s="55" t="str">
        <f aca="false">IF(C852="","",IFERROR(INDEX('DANH MỤC'!$B$5:$B$200,MATCH(C852,'DANH MỤC'!$A$5:$A$200,0)),"⚠ Mã chưa có trong DANH MỤC"))</f>
        <v/>
      </c>
      <c r="J852" s="52"/>
      <c r="K852" s="52"/>
      <c r="L852" s="52"/>
    </row>
    <row r="853" customFormat="false" ht="15" hidden="false" customHeight="false" outlineLevel="0" collapsed="false">
      <c r="A853" s="50"/>
      <c r="B853" s="51" t="str">
        <f aca="false">IF(A853="","",MONTH(A853))</f>
        <v/>
      </c>
      <c r="C853" s="52"/>
      <c r="D853" s="52"/>
      <c r="E853" s="52"/>
      <c r="F853" s="53"/>
      <c r="G853" s="52"/>
      <c r="H853" s="54" t="str">
        <f aca="false">IF(E853="","",E853*N(F853)*IF(G853="",1,G853))</f>
        <v/>
      </c>
      <c r="I853" s="55" t="str">
        <f aca="false">IF(C853="","",IFERROR(INDEX('DANH MỤC'!$B$5:$B$200,MATCH(C853,'DANH MỤC'!$A$5:$A$200,0)),"⚠ Mã chưa có trong DANH MỤC"))</f>
        <v/>
      </c>
      <c r="J853" s="52"/>
      <c r="K853" s="52"/>
      <c r="L853" s="52"/>
    </row>
    <row r="854" customFormat="false" ht="15" hidden="false" customHeight="false" outlineLevel="0" collapsed="false">
      <c r="A854" s="50"/>
      <c r="B854" s="51" t="str">
        <f aca="false">IF(A854="","",MONTH(A854))</f>
        <v/>
      </c>
      <c r="C854" s="52"/>
      <c r="D854" s="52"/>
      <c r="E854" s="52"/>
      <c r="F854" s="53"/>
      <c r="G854" s="52"/>
      <c r="H854" s="54" t="str">
        <f aca="false">IF(E854="","",E854*N(F854)*IF(G854="",1,G854))</f>
        <v/>
      </c>
      <c r="I854" s="55" t="str">
        <f aca="false">IF(C854="","",IFERROR(INDEX('DANH MỤC'!$B$5:$B$200,MATCH(C854,'DANH MỤC'!$A$5:$A$200,0)),"⚠ Mã chưa có trong DANH MỤC"))</f>
        <v/>
      </c>
      <c r="J854" s="52"/>
      <c r="K854" s="52"/>
      <c r="L854" s="52"/>
    </row>
    <row r="855" customFormat="false" ht="15" hidden="false" customHeight="false" outlineLevel="0" collapsed="false">
      <c r="A855" s="50"/>
      <c r="B855" s="51" t="str">
        <f aca="false">IF(A855="","",MONTH(A855))</f>
        <v/>
      </c>
      <c r="C855" s="52"/>
      <c r="D855" s="52"/>
      <c r="E855" s="52"/>
      <c r="F855" s="53"/>
      <c r="G855" s="52"/>
      <c r="H855" s="54" t="str">
        <f aca="false">IF(E855="","",E855*N(F855)*IF(G855="",1,G855))</f>
        <v/>
      </c>
      <c r="I855" s="55" t="str">
        <f aca="false">IF(C855="","",IFERROR(INDEX('DANH MỤC'!$B$5:$B$200,MATCH(C855,'DANH MỤC'!$A$5:$A$200,0)),"⚠ Mã chưa có trong DANH MỤC"))</f>
        <v/>
      </c>
      <c r="J855" s="52"/>
      <c r="K855" s="52"/>
      <c r="L855" s="52"/>
    </row>
    <row r="856" customFormat="false" ht="15" hidden="false" customHeight="false" outlineLevel="0" collapsed="false">
      <c r="A856" s="50"/>
      <c r="B856" s="51" t="str">
        <f aca="false">IF(A856="","",MONTH(A856))</f>
        <v/>
      </c>
      <c r="C856" s="52"/>
      <c r="D856" s="52"/>
      <c r="E856" s="52"/>
      <c r="F856" s="53"/>
      <c r="G856" s="52"/>
      <c r="H856" s="54" t="str">
        <f aca="false">IF(E856="","",E856*N(F856)*IF(G856="",1,G856))</f>
        <v/>
      </c>
      <c r="I856" s="55" t="str">
        <f aca="false">IF(C856="","",IFERROR(INDEX('DANH MỤC'!$B$5:$B$200,MATCH(C856,'DANH MỤC'!$A$5:$A$200,0)),"⚠ Mã chưa có trong DANH MỤC"))</f>
        <v/>
      </c>
      <c r="J856" s="52"/>
      <c r="K856" s="52"/>
      <c r="L856" s="52"/>
    </row>
    <row r="857" customFormat="false" ht="15" hidden="false" customHeight="false" outlineLevel="0" collapsed="false">
      <c r="A857" s="50"/>
      <c r="B857" s="51" t="str">
        <f aca="false">IF(A857="","",MONTH(A857))</f>
        <v/>
      </c>
      <c r="C857" s="52"/>
      <c r="D857" s="52"/>
      <c r="E857" s="52"/>
      <c r="F857" s="53"/>
      <c r="G857" s="52"/>
      <c r="H857" s="54" t="str">
        <f aca="false">IF(E857="","",E857*N(F857)*IF(G857="",1,G857))</f>
        <v/>
      </c>
      <c r="I857" s="55" t="str">
        <f aca="false">IF(C857="","",IFERROR(INDEX('DANH MỤC'!$B$5:$B$200,MATCH(C857,'DANH MỤC'!$A$5:$A$200,0)),"⚠ Mã chưa có trong DANH MỤC"))</f>
        <v/>
      </c>
      <c r="J857" s="52"/>
      <c r="K857" s="52"/>
      <c r="L857" s="52"/>
    </row>
    <row r="858" customFormat="false" ht="15" hidden="false" customHeight="false" outlineLevel="0" collapsed="false">
      <c r="A858" s="50"/>
      <c r="B858" s="51" t="str">
        <f aca="false">IF(A858="","",MONTH(A858))</f>
        <v/>
      </c>
      <c r="C858" s="52"/>
      <c r="D858" s="52"/>
      <c r="E858" s="52"/>
      <c r="F858" s="53"/>
      <c r="G858" s="52"/>
      <c r="H858" s="54" t="str">
        <f aca="false">IF(E858="","",E858*N(F858)*IF(G858="",1,G858))</f>
        <v/>
      </c>
      <c r="I858" s="55" t="str">
        <f aca="false">IF(C858="","",IFERROR(INDEX('DANH MỤC'!$B$5:$B$200,MATCH(C858,'DANH MỤC'!$A$5:$A$200,0)),"⚠ Mã chưa có trong DANH MỤC"))</f>
        <v/>
      </c>
      <c r="J858" s="52"/>
      <c r="K858" s="52"/>
      <c r="L858" s="52"/>
    </row>
    <row r="859" customFormat="false" ht="15" hidden="false" customHeight="false" outlineLevel="0" collapsed="false">
      <c r="A859" s="50"/>
      <c r="B859" s="51" t="str">
        <f aca="false">IF(A859="","",MONTH(A859))</f>
        <v/>
      </c>
      <c r="C859" s="52"/>
      <c r="D859" s="52"/>
      <c r="E859" s="52"/>
      <c r="F859" s="53"/>
      <c r="G859" s="52"/>
      <c r="H859" s="54" t="str">
        <f aca="false">IF(E859="","",E859*N(F859)*IF(G859="",1,G859))</f>
        <v/>
      </c>
      <c r="I859" s="55" t="str">
        <f aca="false">IF(C859="","",IFERROR(INDEX('DANH MỤC'!$B$5:$B$200,MATCH(C859,'DANH MỤC'!$A$5:$A$200,0)),"⚠ Mã chưa có trong DANH MỤC"))</f>
        <v/>
      </c>
      <c r="J859" s="52"/>
      <c r="K859" s="52"/>
      <c r="L859" s="52"/>
    </row>
    <row r="860" customFormat="false" ht="15" hidden="false" customHeight="false" outlineLevel="0" collapsed="false">
      <c r="A860" s="50"/>
      <c r="B860" s="51" t="str">
        <f aca="false">IF(A860="","",MONTH(A860))</f>
        <v/>
      </c>
      <c r="C860" s="52"/>
      <c r="D860" s="52"/>
      <c r="E860" s="52"/>
      <c r="F860" s="53"/>
      <c r="G860" s="52"/>
      <c r="H860" s="54" t="str">
        <f aca="false">IF(E860="","",E860*N(F860)*IF(G860="",1,G860))</f>
        <v/>
      </c>
      <c r="I860" s="55" t="str">
        <f aca="false">IF(C860="","",IFERROR(INDEX('DANH MỤC'!$B$5:$B$200,MATCH(C860,'DANH MỤC'!$A$5:$A$200,0)),"⚠ Mã chưa có trong DANH MỤC"))</f>
        <v/>
      </c>
      <c r="J860" s="52"/>
      <c r="K860" s="52"/>
      <c r="L860" s="52"/>
    </row>
    <row r="861" customFormat="false" ht="15" hidden="false" customHeight="false" outlineLevel="0" collapsed="false">
      <c r="A861" s="50"/>
      <c r="B861" s="51" t="str">
        <f aca="false">IF(A861="","",MONTH(A861))</f>
        <v/>
      </c>
      <c r="C861" s="52"/>
      <c r="D861" s="52"/>
      <c r="E861" s="52"/>
      <c r="F861" s="53"/>
      <c r="G861" s="52"/>
      <c r="H861" s="54" t="str">
        <f aca="false">IF(E861="","",E861*N(F861)*IF(G861="",1,G861))</f>
        <v/>
      </c>
      <c r="I861" s="55" t="str">
        <f aca="false">IF(C861="","",IFERROR(INDEX('DANH MỤC'!$B$5:$B$200,MATCH(C861,'DANH MỤC'!$A$5:$A$200,0)),"⚠ Mã chưa có trong DANH MỤC"))</f>
        <v/>
      </c>
      <c r="J861" s="52"/>
      <c r="K861" s="52"/>
      <c r="L861" s="52"/>
    </row>
    <row r="862" customFormat="false" ht="15" hidden="false" customHeight="false" outlineLevel="0" collapsed="false">
      <c r="A862" s="50"/>
      <c r="B862" s="51" t="str">
        <f aca="false">IF(A862="","",MONTH(A862))</f>
        <v/>
      </c>
      <c r="C862" s="52"/>
      <c r="D862" s="52"/>
      <c r="E862" s="52"/>
      <c r="F862" s="53"/>
      <c r="G862" s="52"/>
      <c r="H862" s="54" t="str">
        <f aca="false">IF(E862="","",E862*N(F862)*IF(G862="",1,G862))</f>
        <v/>
      </c>
      <c r="I862" s="55" t="str">
        <f aca="false">IF(C862="","",IFERROR(INDEX('DANH MỤC'!$B$5:$B$200,MATCH(C862,'DANH MỤC'!$A$5:$A$200,0)),"⚠ Mã chưa có trong DANH MỤC"))</f>
        <v/>
      </c>
      <c r="J862" s="52"/>
      <c r="K862" s="52"/>
      <c r="L862" s="52"/>
    </row>
    <row r="863" customFormat="false" ht="15" hidden="false" customHeight="false" outlineLevel="0" collapsed="false">
      <c r="A863" s="50"/>
      <c r="B863" s="51" t="str">
        <f aca="false">IF(A863="","",MONTH(A863))</f>
        <v/>
      </c>
      <c r="C863" s="52"/>
      <c r="D863" s="52"/>
      <c r="E863" s="52"/>
      <c r="F863" s="53"/>
      <c r="G863" s="52"/>
      <c r="H863" s="54" t="str">
        <f aca="false">IF(E863="","",E863*N(F863)*IF(G863="",1,G863))</f>
        <v/>
      </c>
      <c r="I863" s="55" t="str">
        <f aca="false">IF(C863="","",IFERROR(INDEX('DANH MỤC'!$B$5:$B$200,MATCH(C863,'DANH MỤC'!$A$5:$A$200,0)),"⚠ Mã chưa có trong DANH MỤC"))</f>
        <v/>
      </c>
      <c r="J863" s="52"/>
      <c r="K863" s="52"/>
      <c r="L863" s="52"/>
    </row>
    <row r="864" customFormat="false" ht="15" hidden="false" customHeight="false" outlineLevel="0" collapsed="false">
      <c r="A864" s="50"/>
      <c r="B864" s="51" t="str">
        <f aca="false">IF(A864="","",MONTH(A864))</f>
        <v/>
      </c>
      <c r="C864" s="52"/>
      <c r="D864" s="52"/>
      <c r="E864" s="52"/>
      <c r="F864" s="53"/>
      <c r="G864" s="52"/>
      <c r="H864" s="54" t="str">
        <f aca="false">IF(E864="","",E864*N(F864)*IF(G864="",1,G864))</f>
        <v/>
      </c>
      <c r="I864" s="55" t="str">
        <f aca="false">IF(C864="","",IFERROR(INDEX('DANH MỤC'!$B$5:$B$200,MATCH(C864,'DANH MỤC'!$A$5:$A$200,0)),"⚠ Mã chưa có trong DANH MỤC"))</f>
        <v/>
      </c>
      <c r="J864" s="52"/>
      <c r="K864" s="52"/>
      <c r="L864" s="52"/>
    </row>
    <row r="865" customFormat="false" ht="15" hidden="false" customHeight="false" outlineLevel="0" collapsed="false">
      <c r="A865" s="50"/>
      <c r="B865" s="51" t="str">
        <f aca="false">IF(A865="","",MONTH(A865))</f>
        <v/>
      </c>
      <c r="C865" s="52"/>
      <c r="D865" s="52"/>
      <c r="E865" s="52"/>
      <c r="F865" s="53"/>
      <c r="G865" s="52"/>
      <c r="H865" s="54" t="str">
        <f aca="false">IF(E865="","",E865*N(F865)*IF(G865="",1,G865))</f>
        <v/>
      </c>
      <c r="I865" s="55" t="str">
        <f aca="false">IF(C865="","",IFERROR(INDEX('DANH MỤC'!$B$5:$B$200,MATCH(C865,'DANH MỤC'!$A$5:$A$200,0)),"⚠ Mã chưa có trong DANH MỤC"))</f>
        <v/>
      </c>
      <c r="J865" s="52"/>
      <c r="K865" s="52"/>
      <c r="L865" s="52"/>
    </row>
    <row r="866" customFormat="false" ht="15" hidden="false" customHeight="false" outlineLevel="0" collapsed="false">
      <c r="A866" s="50"/>
      <c r="B866" s="51" t="str">
        <f aca="false">IF(A866="","",MONTH(A866))</f>
        <v/>
      </c>
      <c r="C866" s="52"/>
      <c r="D866" s="52"/>
      <c r="E866" s="52"/>
      <c r="F866" s="53"/>
      <c r="G866" s="52"/>
      <c r="H866" s="54" t="str">
        <f aca="false">IF(E866="","",E866*N(F866)*IF(G866="",1,G866))</f>
        <v/>
      </c>
      <c r="I866" s="55" t="str">
        <f aca="false">IF(C866="","",IFERROR(INDEX('DANH MỤC'!$B$5:$B$200,MATCH(C866,'DANH MỤC'!$A$5:$A$200,0)),"⚠ Mã chưa có trong DANH MỤC"))</f>
        <v/>
      </c>
      <c r="J866" s="52"/>
      <c r="K866" s="52"/>
      <c r="L866" s="52"/>
    </row>
    <row r="867" customFormat="false" ht="15" hidden="false" customHeight="false" outlineLevel="0" collapsed="false">
      <c r="A867" s="50"/>
      <c r="B867" s="51" t="str">
        <f aca="false">IF(A867="","",MONTH(A867))</f>
        <v/>
      </c>
      <c r="C867" s="52"/>
      <c r="D867" s="52"/>
      <c r="E867" s="52"/>
      <c r="F867" s="53"/>
      <c r="G867" s="52"/>
      <c r="H867" s="54" t="str">
        <f aca="false">IF(E867="","",E867*N(F867)*IF(G867="",1,G867))</f>
        <v/>
      </c>
      <c r="I867" s="55" t="str">
        <f aca="false">IF(C867="","",IFERROR(INDEX('DANH MỤC'!$B$5:$B$200,MATCH(C867,'DANH MỤC'!$A$5:$A$200,0)),"⚠ Mã chưa có trong DANH MỤC"))</f>
        <v/>
      </c>
      <c r="J867" s="52"/>
      <c r="K867" s="52"/>
      <c r="L867" s="52"/>
    </row>
    <row r="868" customFormat="false" ht="15" hidden="false" customHeight="false" outlineLevel="0" collapsed="false">
      <c r="A868" s="50"/>
      <c r="B868" s="51" t="str">
        <f aca="false">IF(A868="","",MONTH(A868))</f>
        <v/>
      </c>
      <c r="C868" s="52"/>
      <c r="D868" s="52"/>
      <c r="E868" s="52"/>
      <c r="F868" s="53"/>
      <c r="G868" s="52"/>
      <c r="H868" s="54" t="str">
        <f aca="false">IF(E868="","",E868*N(F868)*IF(G868="",1,G868))</f>
        <v/>
      </c>
      <c r="I868" s="55" t="str">
        <f aca="false">IF(C868="","",IFERROR(INDEX('DANH MỤC'!$B$5:$B$200,MATCH(C868,'DANH MỤC'!$A$5:$A$200,0)),"⚠ Mã chưa có trong DANH MỤC"))</f>
        <v/>
      </c>
      <c r="J868" s="52"/>
      <c r="K868" s="52"/>
      <c r="L868" s="52"/>
    </row>
    <row r="869" customFormat="false" ht="15" hidden="false" customHeight="false" outlineLevel="0" collapsed="false">
      <c r="A869" s="50"/>
      <c r="B869" s="51" t="str">
        <f aca="false">IF(A869="","",MONTH(A869))</f>
        <v/>
      </c>
      <c r="C869" s="52"/>
      <c r="D869" s="52"/>
      <c r="E869" s="52"/>
      <c r="F869" s="53"/>
      <c r="G869" s="52"/>
      <c r="H869" s="54" t="str">
        <f aca="false">IF(E869="","",E869*N(F869)*IF(G869="",1,G869))</f>
        <v/>
      </c>
      <c r="I869" s="55" t="str">
        <f aca="false">IF(C869="","",IFERROR(INDEX('DANH MỤC'!$B$5:$B$200,MATCH(C869,'DANH MỤC'!$A$5:$A$200,0)),"⚠ Mã chưa có trong DANH MỤC"))</f>
        <v/>
      </c>
      <c r="J869" s="52"/>
      <c r="K869" s="52"/>
      <c r="L869" s="52"/>
    </row>
    <row r="870" customFormat="false" ht="15" hidden="false" customHeight="false" outlineLevel="0" collapsed="false">
      <c r="A870" s="50"/>
      <c r="B870" s="51" t="str">
        <f aca="false">IF(A870="","",MONTH(A870))</f>
        <v/>
      </c>
      <c r="C870" s="52"/>
      <c r="D870" s="52"/>
      <c r="E870" s="52"/>
      <c r="F870" s="53"/>
      <c r="G870" s="52"/>
      <c r="H870" s="54" t="str">
        <f aca="false">IF(E870="","",E870*N(F870)*IF(G870="",1,G870))</f>
        <v/>
      </c>
      <c r="I870" s="55" t="str">
        <f aca="false">IF(C870="","",IFERROR(INDEX('DANH MỤC'!$B$5:$B$200,MATCH(C870,'DANH MỤC'!$A$5:$A$200,0)),"⚠ Mã chưa có trong DANH MỤC"))</f>
        <v/>
      </c>
      <c r="J870" s="52"/>
      <c r="K870" s="52"/>
      <c r="L870" s="52"/>
    </row>
    <row r="871" customFormat="false" ht="15" hidden="false" customHeight="false" outlineLevel="0" collapsed="false">
      <c r="A871" s="50"/>
      <c r="B871" s="51" t="str">
        <f aca="false">IF(A871="","",MONTH(A871))</f>
        <v/>
      </c>
      <c r="C871" s="52"/>
      <c r="D871" s="52"/>
      <c r="E871" s="52"/>
      <c r="F871" s="53"/>
      <c r="G871" s="52"/>
      <c r="H871" s="54" t="str">
        <f aca="false">IF(E871="","",E871*N(F871)*IF(G871="",1,G871))</f>
        <v/>
      </c>
      <c r="I871" s="55" t="str">
        <f aca="false">IF(C871="","",IFERROR(INDEX('DANH MỤC'!$B$5:$B$200,MATCH(C871,'DANH MỤC'!$A$5:$A$200,0)),"⚠ Mã chưa có trong DANH MỤC"))</f>
        <v/>
      </c>
      <c r="J871" s="52"/>
      <c r="K871" s="52"/>
      <c r="L871" s="52"/>
    </row>
    <row r="872" customFormat="false" ht="15" hidden="false" customHeight="false" outlineLevel="0" collapsed="false">
      <c r="A872" s="50"/>
      <c r="B872" s="51" t="str">
        <f aca="false">IF(A872="","",MONTH(A872))</f>
        <v/>
      </c>
      <c r="C872" s="52"/>
      <c r="D872" s="52"/>
      <c r="E872" s="52"/>
      <c r="F872" s="53"/>
      <c r="G872" s="52"/>
      <c r="H872" s="54" t="str">
        <f aca="false">IF(E872="","",E872*N(F872)*IF(G872="",1,G872))</f>
        <v/>
      </c>
      <c r="I872" s="55" t="str">
        <f aca="false">IF(C872="","",IFERROR(INDEX('DANH MỤC'!$B$5:$B$200,MATCH(C872,'DANH MỤC'!$A$5:$A$200,0)),"⚠ Mã chưa có trong DANH MỤC"))</f>
        <v/>
      </c>
      <c r="J872" s="52"/>
      <c r="K872" s="52"/>
      <c r="L872" s="52"/>
    </row>
    <row r="873" customFormat="false" ht="15" hidden="false" customHeight="false" outlineLevel="0" collapsed="false">
      <c r="A873" s="50"/>
      <c r="B873" s="51" t="str">
        <f aca="false">IF(A873="","",MONTH(A873))</f>
        <v/>
      </c>
      <c r="C873" s="52"/>
      <c r="D873" s="52"/>
      <c r="E873" s="52"/>
      <c r="F873" s="53"/>
      <c r="G873" s="52"/>
      <c r="H873" s="54" t="str">
        <f aca="false">IF(E873="","",E873*N(F873)*IF(G873="",1,G873))</f>
        <v/>
      </c>
      <c r="I873" s="55" t="str">
        <f aca="false">IF(C873="","",IFERROR(INDEX('DANH MỤC'!$B$5:$B$200,MATCH(C873,'DANH MỤC'!$A$5:$A$200,0)),"⚠ Mã chưa có trong DANH MỤC"))</f>
        <v/>
      </c>
      <c r="J873" s="52"/>
      <c r="K873" s="52"/>
      <c r="L873" s="52"/>
    </row>
    <row r="874" customFormat="false" ht="15" hidden="false" customHeight="false" outlineLevel="0" collapsed="false">
      <c r="A874" s="50"/>
      <c r="B874" s="51" t="str">
        <f aca="false">IF(A874="","",MONTH(A874))</f>
        <v/>
      </c>
      <c r="C874" s="52"/>
      <c r="D874" s="52"/>
      <c r="E874" s="52"/>
      <c r="F874" s="53"/>
      <c r="G874" s="52"/>
      <c r="H874" s="54" t="str">
        <f aca="false">IF(E874="","",E874*N(F874)*IF(G874="",1,G874))</f>
        <v/>
      </c>
      <c r="I874" s="55" t="str">
        <f aca="false">IF(C874="","",IFERROR(INDEX('DANH MỤC'!$B$5:$B$200,MATCH(C874,'DANH MỤC'!$A$5:$A$200,0)),"⚠ Mã chưa có trong DANH MỤC"))</f>
        <v/>
      </c>
      <c r="J874" s="52"/>
      <c r="K874" s="52"/>
      <c r="L874" s="52"/>
    </row>
    <row r="875" customFormat="false" ht="15" hidden="false" customHeight="false" outlineLevel="0" collapsed="false">
      <c r="A875" s="50"/>
      <c r="B875" s="51" t="str">
        <f aca="false">IF(A875="","",MONTH(A875))</f>
        <v/>
      </c>
      <c r="C875" s="52"/>
      <c r="D875" s="52"/>
      <c r="E875" s="52"/>
      <c r="F875" s="53"/>
      <c r="G875" s="52"/>
      <c r="H875" s="54" t="str">
        <f aca="false">IF(E875="","",E875*N(F875)*IF(G875="",1,G875))</f>
        <v/>
      </c>
      <c r="I875" s="55" t="str">
        <f aca="false">IF(C875="","",IFERROR(INDEX('DANH MỤC'!$B$5:$B$200,MATCH(C875,'DANH MỤC'!$A$5:$A$200,0)),"⚠ Mã chưa có trong DANH MỤC"))</f>
        <v/>
      </c>
      <c r="J875" s="52"/>
      <c r="K875" s="52"/>
      <c r="L875" s="52"/>
    </row>
    <row r="876" customFormat="false" ht="15" hidden="false" customHeight="false" outlineLevel="0" collapsed="false">
      <c r="A876" s="50"/>
      <c r="B876" s="51" t="str">
        <f aca="false">IF(A876="","",MONTH(A876))</f>
        <v/>
      </c>
      <c r="C876" s="52"/>
      <c r="D876" s="52"/>
      <c r="E876" s="52"/>
      <c r="F876" s="53"/>
      <c r="G876" s="52"/>
      <c r="H876" s="54" t="str">
        <f aca="false">IF(E876="","",E876*N(F876)*IF(G876="",1,G876))</f>
        <v/>
      </c>
      <c r="I876" s="55" t="str">
        <f aca="false">IF(C876="","",IFERROR(INDEX('DANH MỤC'!$B$5:$B$200,MATCH(C876,'DANH MỤC'!$A$5:$A$200,0)),"⚠ Mã chưa có trong DANH MỤC"))</f>
        <v/>
      </c>
      <c r="J876" s="52"/>
      <c r="K876" s="52"/>
      <c r="L876" s="52"/>
    </row>
    <row r="877" customFormat="false" ht="15" hidden="false" customHeight="false" outlineLevel="0" collapsed="false">
      <c r="A877" s="50"/>
      <c r="B877" s="51" t="str">
        <f aca="false">IF(A877="","",MONTH(A877))</f>
        <v/>
      </c>
      <c r="C877" s="52"/>
      <c r="D877" s="52"/>
      <c r="E877" s="52"/>
      <c r="F877" s="53"/>
      <c r="G877" s="52"/>
      <c r="H877" s="54" t="str">
        <f aca="false">IF(E877="","",E877*N(F877)*IF(G877="",1,G877))</f>
        <v/>
      </c>
      <c r="I877" s="55" t="str">
        <f aca="false">IF(C877="","",IFERROR(INDEX('DANH MỤC'!$B$5:$B$200,MATCH(C877,'DANH MỤC'!$A$5:$A$200,0)),"⚠ Mã chưa có trong DANH MỤC"))</f>
        <v/>
      </c>
      <c r="J877" s="52"/>
      <c r="K877" s="52"/>
      <c r="L877" s="52"/>
    </row>
    <row r="878" customFormat="false" ht="15" hidden="false" customHeight="false" outlineLevel="0" collapsed="false">
      <c r="A878" s="50"/>
      <c r="B878" s="51" t="str">
        <f aca="false">IF(A878="","",MONTH(A878))</f>
        <v/>
      </c>
      <c r="C878" s="52"/>
      <c r="D878" s="52"/>
      <c r="E878" s="52"/>
      <c r="F878" s="53"/>
      <c r="G878" s="52"/>
      <c r="H878" s="54" t="str">
        <f aca="false">IF(E878="","",E878*N(F878)*IF(G878="",1,G878))</f>
        <v/>
      </c>
      <c r="I878" s="55" t="str">
        <f aca="false">IF(C878="","",IFERROR(INDEX('DANH MỤC'!$B$5:$B$200,MATCH(C878,'DANH MỤC'!$A$5:$A$200,0)),"⚠ Mã chưa có trong DANH MỤC"))</f>
        <v/>
      </c>
      <c r="J878" s="52"/>
      <c r="K878" s="52"/>
      <c r="L878" s="52"/>
    </row>
    <row r="879" customFormat="false" ht="15" hidden="false" customHeight="false" outlineLevel="0" collapsed="false">
      <c r="A879" s="50"/>
      <c r="B879" s="51" t="str">
        <f aca="false">IF(A879="","",MONTH(A879))</f>
        <v/>
      </c>
      <c r="C879" s="52"/>
      <c r="D879" s="52"/>
      <c r="E879" s="52"/>
      <c r="F879" s="53"/>
      <c r="G879" s="52"/>
      <c r="H879" s="54" t="str">
        <f aca="false">IF(E879="","",E879*N(F879)*IF(G879="",1,G879))</f>
        <v/>
      </c>
      <c r="I879" s="55" t="str">
        <f aca="false">IF(C879="","",IFERROR(INDEX('DANH MỤC'!$B$5:$B$200,MATCH(C879,'DANH MỤC'!$A$5:$A$200,0)),"⚠ Mã chưa có trong DANH MỤC"))</f>
        <v/>
      </c>
      <c r="J879" s="52"/>
      <c r="K879" s="52"/>
      <c r="L879" s="52"/>
    </row>
    <row r="880" customFormat="false" ht="15" hidden="false" customHeight="false" outlineLevel="0" collapsed="false">
      <c r="A880" s="50"/>
      <c r="B880" s="51" t="str">
        <f aca="false">IF(A880="","",MONTH(A880))</f>
        <v/>
      </c>
      <c r="C880" s="52"/>
      <c r="D880" s="52"/>
      <c r="E880" s="52"/>
      <c r="F880" s="53"/>
      <c r="G880" s="52"/>
      <c r="H880" s="54" t="str">
        <f aca="false">IF(E880="","",E880*N(F880)*IF(G880="",1,G880))</f>
        <v/>
      </c>
      <c r="I880" s="55" t="str">
        <f aca="false">IF(C880="","",IFERROR(INDEX('DANH MỤC'!$B$5:$B$200,MATCH(C880,'DANH MỤC'!$A$5:$A$200,0)),"⚠ Mã chưa có trong DANH MỤC"))</f>
        <v/>
      </c>
      <c r="J880" s="52"/>
      <c r="K880" s="52"/>
      <c r="L880" s="52"/>
    </row>
    <row r="881" customFormat="false" ht="15" hidden="false" customHeight="false" outlineLevel="0" collapsed="false">
      <c r="A881" s="50"/>
      <c r="B881" s="51" t="str">
        <f aca="false">IF(A881="","",MONTH(A881))</f>
        <v/>
      </c>
      <c r="C881" s="52"/>
      <c r="D881" s="52"/>
      <c r="E881" s="52"/>
      <c r="F881" s="53"/>
      <c r="G881" s="52"/>
      <c r="H881" s="54" t="str">
        <f aca="false">IF(E881="","",E881*N(F881)*IF(G881="",1,G881))</f>
        <v/>
      </c>
      <c r="I881" s="55" t="str">
        <f aca="false">IF(C881="","",IFERROR(INDEX('DANH MỤC'!$B$5:$B$200,MATCH(C881,'DANH MỤC'!$A$5:$A$200,0)),"⚠ Mã chưa có trong DANH MỤC"))</f>
        <v/>
      </c>
      <c r="J881" s="52"/>
      <c r="K881" s="52"/>
      <c r="L881" s="52"/>
    </row>
    <row r="882" customFormat="false" ht="15" hidden="false" customHeight="false" outlineLevel="0" collapsed="false">
      <c r="A882" s="50"/>
      <c r="B882" s="51" t="str">
        <f aca="false">IF(A882="","",MONTH(A882))</f>
        <v/>
      </c>
      <c r="C882" s="52"/>
      <c r="D882" s="52"/>
      <c r="E882" s="52"/>
      <c r="F882" s="53"/>
      <c r="G882" s="52"/>
      <c r="H882" s="54" t="str">
        <f aca="false">IF(E882="","",E882*N(F882)*IF(G882="",1,G882))</f>
        <v/>
      </c>
      <c r="I882" s="55" t="str">
        <f aca="false">IF(C882="","",IFERROR(INDEX('DANH MỤC'!$B$5:$B$200,MATCH(C882,'DANH MỤC'!$A$5:$A$200,0)),"⚠ Mã chưa có trong DANH MỤC"))</f>
        <v/>
      </c>
      <c r="J882" s="52"/>
      <c r="K882" s="52"/>
      <c r="L882" s="52"/>
    </row>
    <row r="883" customFormat="false" ht="15" hidden="false" customHeight="false" outlineLevel="0" collapsed="false">
      <c r="A883" s="50"/>
      <c r="B883" s="51" t="str">
        <f aca="false">IF(A883="","",MONTH(A883))</f>
        <v/>
      </c>
      <c r="C883" s="52"/>
      <c r="D883" s="52"/>
      <c r="E883" s="52"/>
      <c r="F883" s="53"/>
      <c r="G883" s="52"/>
      <c r="H883" s="54" t="str">
        <f aca="false">IF(E883="","",E883*N(F883)*IF(G883="",1,G883))</f>
        <v/>
      </c>
      <c r="I883" s="55" t="str">
        <f aca="false">IF(C883="","",IFERROR(INDEX('DANH MỤC'!$B$5:$B$200,MATCH(C883,'DANH MỤC'!$A$5:$A$200,0)),"⚠ Mã chưa có trong DANH MỤC"))</f>
        <v/>
      </c>
      <c r="J883" s="52"/>
      <c r="K883" s="52"/>
      <c r="L883" s="52"/>
    </row>
    <row r="884" customFormat="false" ht="15" hidden="false" customHeight="false" outlineLevel="0" collapsed="false">
      <c r="A884" s="50"/>
      <c r="B884" s="51" t="str">
        <f aca="false">IF(A884="","",MONTH(A884))</f>
        <v/>
      </c>
      <c r="C884" s="52"/>
      <c r="D884" s="52"/>
      <c r="E884" s="52"/>
      <c r="F884" s="53"/>
      <c r="G884" s="52"/>
      <c r="H884" s="54" t="str">
        <f aca="false">IF(E884="","",E884*N(F884)*IF(G884="",1,G884))</f>
        <v/>
      </c>
      <c r="I884" s="55" t="str">
        <f aca="false">IF(C884="","",IFERROR(INDEX('DANH MỤC'!$B$5:$B$200,MATCH(C884,'DANH MỤC'!$A$5:$A$200,0)),"⚠ Mã chưa có trong DANH MỤC"))</f>
        <v/>
      </c>
      <c r="J884" s="52"/>
      <c r="K884" s="52"/>
      <c r="L884" s="52"/>
    </row>
    <row r="885" customFormat="false" ht="15" hidden="false" customHeight="false" outlineLevel="0" collapsed="false">
      <c r="A885" s="50"/>
      <c r="B885" s="51" t="str">
        <f aca="false">IF(A885="","",MONTH(A885))</f>
        <v/>
      </c>
      <c r="C885" s="52"/>
      <c r="D885" s="52"/>
      <c r="E885" s="52"/>
      <c r="F885" s="53"/>
      <c r="G885" s="52"/>
      <c r="H885" s="54" t="str">
        <f aca="false">IF(E885="","",E885*N(F885)*IF(G885="",1,G885))</f>
        <v/>
      </c>
      <c r="I885" s="55" t="str">
        <f aca="false">IF(C885="","",IFERROR(INDEX('DANH MỤC'!$B$5:$B$200,MATCH(C885,'DANH MỤC'!$A$5:$A$200,0)),"⚠ Mã chưa có trong DANH MỤC"))</f>
        <v/>
      </c>
      <c r="J885" s="52"/>
      <c r="K885" s="52"/>
      <c r="L885" s="52"/>
    </row>
    <row r="886" customFormat="false" ht="15" hidden="false" customHeight="false" outlineLevel="0" collapsed="false">
      <c r="A886" s="50"/>
      <c r="B886" s="51" t="str">
        <f aca="false">IF(A886="","",MONTH(A886))</f>
        <v/>
      </c>
      <c r="C886" s="52"/>
      <c r="D886" s="52"/>
      <c r="E886" s="52"/>
      <c r="F886" s="53"/>
      <c r="G886" s="52"/>
      <c r="H886" s="54" t="str">
        <f aca="false">IF(E886="","",E886*N(F886)*IF(G886="",1,G886))</f>
        <v/>
      </c>
      <c r="I886" s="55" t="str">
        <f aca="false">IF(C886="","",IFERROR(INDEX('DANH MỤC'!$B$5:$B$200,MATCH(C886,'DANH MỤC'!$A$5:$A$200,0)),"⚠ Mã chưa có trong DANH MỤC"))</f>
        <v/>
      </c>
      <c r="J886" s="52"/>
      <c r="K886" s="52"/>
      <c r="L886" s="52"/>
    </row>
    <row r="887" customFormat="false" ht="15" hidden="false" customHeight="false" outlineLevel="0" collapsed="false">
      <c r="A887" s="50"/>
      <c r="B887" s="51" t="str">
        <f aca="false">IF(A887="","",MONTH(A887))</f>
        <v/>
      </c>
      <c r="C887" s="52"/>
      <c r="D887" s="52"/>
      <c r="E887" s="52"/>
      <c r="F887" s="53"/>
      <c r="G887" s="52"/>
      <c r="H887" s="54" t="str">
        <f aca="false">IF(E887="","",E887*N(F887)*IF(G887="",1,G887))</f>
        <v/>
      </c>
      <c r="I887" s="55" t="str">
        <f aca="false">IF(C887="","",IFERROR(INDEX('DANH MỤC'!$B$5:$B$200,MATCH(C887,'DANH MỤC'!$A$5:$A$200,0)),"⚠ Mã chưa có trong DANH MỤC"))</f>
        <v/>
      </c>
      <c r="J887" s="52"/>
      <c r="K887" s="52"/>
      <c r="L887" s="52"/>
    </row>
    <row r="888" customFormat="false" ht="15" hidden="false" customHeight="false" outlineLevel="0" collapsed="false">
      <c r="A888" s="50"/>
      <c r="B888" s="51" t="str">
        <f aca="false">IF(A888="","",MONTH(A888))</f>
        <v/>
      </c>
      <c r="C888" s="52"/>
      <c r="D888" s="52"/>
      <c r="E888" s="52"/>
      <c r="F888" s="53"/>
      <c r="G888" s="52"/>
      <c r="H888" s="54" t="str">
        <f aca="false">IF(E888="","",E888*N(F888)*IF(G888="",1,G888))</f>
        <v/>
      </c>
      <c r="I888" s="55" t="str">
        <f aca="false">IF(C888="","",IFERROR(INDEX('DANH MỤC'!$B$5:$B$200,MATCH(C888,'DANH MỤC'!$A$5:$A$200,0)),"⚠ Mã chưa có trong DANH MỤC"))</f>
        <v/>
      </c>
      <c r="J888" s="52"/>
      <c r="K888" s="52"/>
      <c r="L888" s="52"/>
    </row>
    <row r="889" customFormat="false" ht="15" hidden="false" customHeight="false" outlineLevel="0" collapsed="false">
      <c r="A889" s="50"/>
      <c r="B889" s="51" t="str">
        <f aca="false">IF(A889="","",MONTH(A889))</f>
        <v/>
      </c>
      <c r="C889" s="52"/>
      <c r="D889" s="52"/>
      <c r="E889" s="52"/>
      <c r="F889" s="53"/>
      <c r="G889" s="52"/>
      <c r="H889" s="54" t="str">
        <f aca="false">IF(E889="","",E889*N(F889)*IF(G889="",1,G889))</f>
        <v/>
      </c>
      <c r="I889" s="55" t="str">
        <f aca="false">IF(C889="","",IFERROR(INDEX('DANH MỤC'!$B$5:$B$200,MATCH(C889,'DANH MỤC'!$A$5:$A$200,0)),"⚠ Mã chưa có trong DANH MỤC"))</f>
        <v/>
      </c>
      <c r="J889" s="52"/>
      <c r="K889" s="52"/>
      <c r="L889" s="52"/>
    </row>
    <row r="890" customFormat="false" ht="15" hidden="false" customHeight="false" outlineLevel="0" collapsed="false">
      <c r="A890" s="50"/>
      <c r="B890" s="51" t="str">
        <f aca="false">IF(A890="","",MONTH(A890))</f>
        <v/>
      </c>
      <c r="C890" s="52"/>
      <c r="D890" s="52"/>
      <c r="E890" s="52"/>
      <c r="F890" s="53"/>
      <c r="G890" s="52"/>
      <c r="H890" s="54" t="str">
        <f aca="false">IF(E890="","",E890*N(F890)*IF(G890="",1,G890))</f>
        <v/>
      </c>
      <c r="I890" s="55" t="str">
        <f aca="false">IF(C890="","",IFERROR(INDEX('DANH MỤC'!$B$5:$B$200,MATCH(C890,'DANH MỤC'!$A$5:$A$200,0)),"⚠ Mã chưa có trong DANH MỤC"))</f>
        <v/>
      </c>
      <c r="J890" s="52"/>
      <c r="K890" s="52"/>
      <c r="L890" s="52"/>
    </row>
    <row r="891" customFormat="false" ht="15" hidden="false" customHeight="false" outlineLevel="0" collapsed="false">
      <c r="A891" s="50"/>
      <c r="B891" s="51" t="str">
        <f aca="false">IF(A891="","",MONTH(A891))</f>
        <v/>
      </c>
      <c r="C891" s="52"/>
      <c r="D891" s="52"/>
      <c r="E891" s="52"/>
      <c r="F891" s="53"/>
      <c r="G891" s="52"/>
      <c r="H891" s="54" t="str">
        <f aca="false">IF(E891="","",E891*N(F891)*IF(G891="",1,G891))</f>
        <v/>
      </c>
      <c r="I891" s="55" t="str">
        <f aca="false">IF(C891="","",IFERROR(INDEX('DANH MỤC'!$B$5:$B$200,MATCH(C891,'DANH MỤC'!$A$5:$A$200,0)),"⚠ Mã chưa có trong DANH MỤC"))</f>
        <v/>
      </c>
      <c r="J891" s="52"/>
      <c r="K891" s="52"/>
      <c r="L891" s="52"/>
    </row>
    <row r="892" customFormat="false" ht="15" hidden="false" customHeight="false" outlineLevel="0" collapsed="false">
      <c r="A892" s="50"/>
      <c r="B892" s="51" t="str">
        <f aca="false">IF(A892="","",MONTH(A892))</f>
        <v/>
      </c>
      <c r="C892" s="52"/>
      <c r="D892" s="52"/>
      <c r="E892" s="52"/>
      <c r="F892" s="53"/>
      <c r="G892" s="52"/>
      <c r="H892" s="54" t="str">
        <f aca="false">IF(E892="","",E892*N(F892)*IF(G892="",1,G892))</f>
        <v/>
      </c>
      <c r="I892" s="55" t="str">
        <f aca="false">IF(C892="","",IFERROR(INDEX('DANH MỤC'!$B$5:$B$200,MATCH(C892,'DANH MỤC'!$A$5:$A$200,0)),"⚠ Mã chưa có trong DANH MỤC"))</f>
        <v/>
      </c>
      <c r="J892" s="52"/>
      <c r="K892" s="52"/>
      <c r="L892" s="52"/>
    </row>
    <row r="893" customFormat="false" ht="15" hidden="false" customHeight="false" outlineLevel="0" collapsed="false">
      <c r="A893" s="50"/>
      <c r="B893" s="51" t="str">
        <f aca="false">IF(A893="","",MONTH(A893))</f>
        <v/>
      </c>
      <c r="C893" s="52"/>
      <c r="D893" s="52"/>
      <c r="E893" s="52"/>
      <c r="F893" s="53"/>
      <c r="G893" s="52"/>
      <c r="H893" s="54" t="str">
        <f aca="false">IF(E893="","",E893*N(F893)*IF(G893="",1,G893))</f>
        <v/>
      </c>
      <c r="I893" s="55" t="str">
        <f aca="false">IF(C893="","",IFERROR(INDEX('DANH MỤC'!$B$5:$B$200,MATCH(C893,'DANH MỤC'!$A$5:$A$200,0)),"⚠ Mã chưa có trong DANH MỤC"))</f>
        <v/>
      </c>
      <c r="J893" s="52"/>
      <c r="K893" s="52"/>
      <c r="L893" s="52"/>
    </row>
    <row r="894" customFormat="false" ht="15" hidden="false" customHeight="false" outlineLevel="0" collapsed="false">
      <c r="A894" s="50"/>
      <c r="B894" s="51" t="str">
        <f aca="false">IF(A894="","",MONTH(A894))</f>
        <v/>
      </c>
      <c r="C894" s="52"/>
      <c r="D894" s="52"/>
      <c r="E894" s="52"/>
      <c r="F894" s="53"/>
      <c r="G894" s="52"/>
      <c r="H894" s="54" t="str">
        <f aca="false">IF(E894="","",E894*N(F894)*IF(G894="",1,G894))</f>
        <v/>
      </c>
      <c r="I894" s="55" t="str">
        <f aca="false">IF(C894="","",IFERROR(INDEX('DANH MỤC'!$B$5:$B$200,MATCH(C894,'DANH MỤC'!$A$5:$A$200,0)),"⚠ Mã chưa có trong DANH MỤC"))</f>
        <v/>
      </c>
      <c r="J894" s="52"/>
      <c r="K894" s="52"/>
      <c r="L894" s="52"/>
    </row>
    <row r="895" customFormat="false" ht="15" hidden="false" customHeight="false" outlineLevel="0" collapsed="false">
      <c r="A895" s="50"/>
      <c r="B895" s="51" t="str">
        <f aca="false">IF(A895="","",MONTH(A895))</f>
        <v/>
      </c>
      <c r="C895" s="52"/>
      <c r="D895" s="52"/>
      <c r="E895" s="52"/>
      <c r="F895" s="53"/>
      <c r="G895" s="52"/>
      <c r="H895" s="54" t="str">
        <f aca="false">IF(E895="","",E895*N(F895)*IF(G895="",1,G895))</f>
        <v/>
      </c>
      <c r="I895" s="55" t="str">
        <f aca="false">IF(C895="","",IFERROR(INDEX('DANH MỤC'!$B$5:$B$200,MATCH(C895,'DANH MỤC'!$A$5:$A$200,0)),"⚠ Mã chưa có trong DANH MỤC"))</f>
        <v/>
      </c>
      <c r="J895" s="52"/>
      <c r="K895" s="52"/>
      <c r="L895" s="52"/>
    </row>
    <row r="896" customFormat="false" ht="15" hidden="false" customHeight="false" outlineLevel="0" collapsed="false">
      <c r="A896" s="50"/>
      <c r="B896" s="51" t="str">
        <f aca="false">IF(A896="","",MONTH(A896))</f>
        <v/>
      </c>
      <c r="C896" s="52"/>
      <c r="D896" s="52"/>
      <c r="E896" s="52"/>
      <c r="F896" s="53"/>
      <c r="G896" s="52"/>
      <c r="H896" s="54" t="str">
        <f aca="false">IF(E896="","",E896*N(F896)*IF(G896="",1,G896))</f>
        <v/>
      </c>
      <c r="I896" s="55" t="str">
        <f aca="false">IF(C896="","",IFERROR(INDEX('DANH MỤC'!$B$5:$B$200,MATCH(C896,'DANH MỤC'!$A$5:$A$200,0)),"⚠ Mã chưa có trong DANH MỤC"))</f>
        <v/>
      </c>
      <c r="J896" s="52"/>
      <c r="K896" s="52"/>
      <c r="L896" s="52"/>
    </row>
    <row r="897" customFormat="false" ht="15" hidden="false" customHeight="false" outlineLevel="0" collapsed="false">
      <c r="A897" s="50"/>
      <c r="B897" s="51" t="str">
        <f aca="false">IF(A897="","",MONTH(A897))</f>
        <v/>
      </c>
      <c r="C897" s="52"/>
      <c r="D897" s="52"/>
      <c r="E897" s="52"/>
      <c r="F897" s="53"/>
      <c r="G897" s="52"/>
      <c r="H897" s="54" t="str">
        <f aca="false">IF(E897="","",E897*N(F897)*IF(G897="",1,G897))</f>
        <v/>
      </c>
      <c r="I897" s="55" t="str">
        <f aca="false">IF(C897="","",IFERROR(INDEX('DANH MỤC'!$B$5:$B$200,MATCH(C897,'DANH MỤC'!$A$5:$A$200,0)),"⚠ Mã chưa có trong DANH MỤC"))</f>
        <v/>
      </c>
      <c r="J897" s="52"/>
      <c r="K897" s="52"/>
      <c r="L897" s="52"/>
    </row>
    <row r="898" customFormat="false" ht="15" hidden="false" customHeight="false" outlineLevel="0" collapsed="false">
      <c r="A898" s="50"/>
      <c r="B898" s="51" t="str">
        <f aca="false">IF(A898="","",MONTH(A898))</f>
        <v/>
      </c>
      <c r="C898" s="52"/>
      <c r="D898" s="52"/>
      <c r="E898" s="52"/>
      <c r="F898" s="53"/>
      <c r="G898" s="52"/>
      <c r="H898" s="54" t="str">
        <f aca="false">IF(E898="","",E898*N(F898)*IF(G898="",1,G898))</f>
        <v/>
      </c>
      <c r="I898" s="55" t="str">
        <f aca="false">IF(C898="","",IFERROR(INDEX('DANH MỤC'!$B$5:$B$200,MATCH(C898,'DANH MỤC'!$A$5:$A$200,0)),"⚠ Mã chưa có trong DANH MỤC"))</f>
        <v/>
      </c>
      <c r="J898" s="52"/>
      <c r="K898" s="52"/>
      <c r="L898" s="52"/>
    </row>
    <row r="899" customFormat="false" ht="15" hidden="false" customHeight="false" outlineLevel="0" collapsed="false">
      <c r="A899" s="50"/>
      <c r="B899" s="51" t="str">
        <f aca="false">IF(A899="","",MONTH(A899))</f>
        <v/>
      </c>
      <c r="C899" s="52"/>
      <c r="D899" s="52"/>
      <c r="E899" s="52"/>
      <c r="F899" s="53"/>
      <c r="G899" s="52"/>
      <c r="H899" s="54" t="str">
        <f aca="false">IF(E899="","",E899*N(F899)*IF(G899="",1,G899))</f>
        <v/>
      </c>
      <c r="I899" s="55" t="str">
        <f aca="false">IF(C899="","",IFERROR(INDEX('DANH MỤC'!$B$5:$B$200,MATCH(C899,'DANH MỤC'!$A$5:$A$200,0)),"⚠ Mã chưa có trong DANH MỤC"))</f>
        <v/>
      </c>
      <c r="J899" s="52"/>
      <c r="K899" s="52"/>
      <c r="L899" s="52"/>
    </row>
    <row r="900" customFormat="false" ht="15" hidden="false" customHeight="false" outlineLevel="0" collapsed="false">
      <c r="A900" s="50"/>
      <c r="B900" s="51" t="str">
        <f aca="false">IF(A900="","",MONTH(A900))</f>
        <v/>
      </c>
      <c r="C900" s="52"/>
      <c r="D900" s="52"/>
      <c r="E900" s="52"/>
      <c r="F900" s="53"/>
      <c r="G900" s="52"/>
      <c r="H900" s="54" t="str">
        <f aca="false">IF(E900="","",E900*N(F900)*IF(G900="",1,G900))</f>
        <v/>
      </c>
      <c r="I900" s="55" t="str">
        <f aca="false">IF(C900="","",IFERROR(INDEX('DANH MỤC'!$B$5:$B$200,MATCH(C900,'DANH MỤC'!$A$5:$A$200,0)),"⚠ Mã chưa có trong DANH MỤC"))</f>
        <v/>
      </c>
      <c r="J900" s="52"/>
      <c r="K900" s="52"/>
      <c r="L900" s="52"/>
    </row>
    <row r="901" customFormat="false" ht="15" hidden="false" customHeight="false" outlineLevel="0" collapsed="false">
      <c r="A901" s="50"/>
      <c r="B901" s="51" t="str">
        <f aca="false">IF(A901="","",MONTH(A901))</f>
        <v/>
      </c>
      <c r="C901" s="52"/>
      <c r="D901" s="52"/>
      <c r="E901" s="52"/>
      <c r="F901" s="53"/>
      <c r="G901" s="52"/>
      <c r="H901" s="54" t="str">
        <f aca="false">IF(E901="","",E901*N(F901)*IF(G901="",1,G901))</f>
        <v/>
      </c>
      <c r="I901" s="55" t="str">
        <f aca="false">IF(C901="","",IFERROR(INDEX('DANH MỤC'!$B$5:$B$200,MATCH(C901,'DANH MỤC'!$A$5:$A$200,0)),"⚠ Mã chưa có trong DANH MỤC"))</f>
        <v/>
      </c>
      <c r="J901" s="52"/>
      <c r="K901" s="52"/>
      <c r="L901" s="52"/>
    </row>
    <row r="902" customFormat="false" ht="15" hidden="false" customHeight="false" outlineLevel="0" collapsed="false">
      <c r="A902" s="50"/>
      <c r="B902" s="51" t="str">
        <f aca="false">IF(A902="","",MONTH(A902))</f>
        <v/>
      </c>
      <c r="C902" s="52"/>
      <c r="D902" s="52"/>
      <c r="E902" s="52"/>
      <c r="F902" s="53"/>
      <c r="G902" s="52"/>
      <c r="H902" s="54" t="str">
        <f aca="false">IF(E902="","",E902*N(F902)*IF(G902="",1,G902))</f>
        <v/>
      </c>
      <c r="I902" s="55" t="str">
        <f aca="false">IF(C902="","",IFERROR(INDEX('DANH MỤC'!$B$5:$B$200,MATCH(C902,'DANH MỤC'!$A$5:$A$200,0)),"⚠ Mã chưa có trong DANH MỤC"))</f>
        <v/>
      </c>
      <c r="J902" s="52"/>
      <c r="K902" s="52"/>
      <c r="L902" s="52"/>
    </row>
    <row r="903" customFormat="false" ht="15" hidden="false" customHeight="false" outlineLevel="0" collapsed="false">
      <c r="A903" s="50"/>
      <c r="B903" s="51" t="str">
        <f aca="false">IF(A903="","",MONTH(A903))</f>
        <v/>
      </c>
      <c r="C903" s="52"/>
      <c r="D903" s="52"/>
      <c r="E903" s="52"/>
      <c r="F903" s="53"/>
      <c r="G903" s="52"/>
      <c r="H903" s="54" t="str">
        <f aca="false">IF(E903="","",E903*N(F903)*IF(G903="",1,G903))</f>
        <v/>
      </c>
      <c r="I903" s="55" t="str">
        <f aca="false">IF(C903="","",IFERROR(INDEX('DANH MỤC'!$B$5:$B$200,MATCH(C903,'DANH MỤC'!$A$5:$A$200,0)),"⚠ Mã chưa có trong DANH MỤC"))</f>
        <v/>
      </c>
      <c r="J903" s="52"/>
      <c r="K903" s="52"/>
      <c r="L903" s="52"/>
    </row>
    <row r="904" customFormat="false" ht="15" hidden="false" customHeight="false" outlineLevel="0" collapsed="false">
      <c r="A904" s="50"/>
      <c r="B904" s="51" t="str">
        <f aca="false">IF(A904="","",MONTH(A904))</f>
        <v/>
      </c>
      <c r="C904" s="52"/>
      <c r="D904" s="52"/>
      <c r="E904" s="52"/>
      <c r="F904" s="53"/>
      <c r="G904" s="52"/>
      <c r="H904" s="54" t="str">
        <f aca="false">IF(E904="","",E904*N(F904)*IF(G904="",1,G904))</f>
        <v/>
      </c>
      <c r="I904" s="55" t="str">
        <f aca="false">IF(C904="","",IFERROR(INDEX('DANH MỤC'!$B$5:$B$200,MATCH(C904,'DANH MỤC'!$A$5:$A$200,0)),"⚠ Mã chưa có trong DANH MỤC"))</f>
        <v/>
      </c>
      <c r="J904" s="52"/>
      <c r="K904" s="52"/>
      <c r="L904" s="52"/>
    </row>
    <row r="905" customFormat="false" ht="15" hidden="false" customHeight="false" outlineLevel="0" collapsed="false">
      <c r="A905" s="50"/>
      <c r="B905" s="51" t="str">
        <f aca="false">IF(A905="","",MONTH(A905))</f>
        <v/>
      </c>
      <c r="C905" s="52"/>
      <c r="D905" s="52"/>
      <c r="E905" s="52"/>
      <c r="F905" s="53"/>
      <c r="G905" s="52"/>
      <c r="H905" s="54" t="str">
        <f aca="false">IF(E905="","",E905*N(F905)*IF(G905="",1,G905))</f>
        <v/>
      </c>
      <c r="I905" s="55" t="str">
        <f aca="false">IF(C905="","",IFERROR(INDEX('DANH MỤC'!$B$5:$B$200,MATCH(C905,'DANH MỤC'!$A$5:$A$200,0)),"⚠ Mã chưa có trong DANH MỤC"))</f>
        <v/>
      </c>
      <c r="J905" s="52"/>
      <c r="K905" s="52"/>
      <c r="L905" s="52"/>
    </row>
    <row r="906" customFormat="false" ht="15" hidden="false" customHeight="false" outlineLevel="0" collapsed="false">
      <c r="A906" s="50"/>
      <c r="B906" s="51" t="str">
        <f aca="false">IF(A906="","",MONTH(A906))</f>
        <v/>
      </c>
      <c r="C906" s="52"/>
      <c r="D906" s="52"/>
      <c r="E906" s="52"/>
      <c r="F906" s="53"/>
      <c r="G906" s="52"/>
      <c r="H906" s="54" t="str">
        <f aca="false">IF(E906="","",E906*N(F906)*IF(G906="",1,G906))</f>
        <v/>
      </c>
      <c r="I906" s="55" t="str">
        <f aca="false">IF(C906="","",IFERROR(INDEX('DANH MỤC'!$B$5:$B$200,MATCH(C906,'DANH MỤC'!$A$5:$A$200,0)),"⚠ Mã chưa có trong DANH MỤC"))</f>
        <v/>
      </c>
      <c r="J906" s="52"/>
      <c r="K906" s="52"/>
      <c r="L906" s="52"/>
    </row>
    <row r="907" customFormat="false" ht="15" hidden="false" customHeight="false" outlineLevel="0" collapsed="false">
      <c r="A907" s="50"/>
      <c r="B907" s="51" t="str">
        <f aca="false">IF(A907="","",MONTH(A907))</f>
        <v/>
      </c>
      <c r="C907" s="52"/>
      <c r="D907" s="52"/>
      <c r="E907" s="52"/>
      <c r="F907" s="53"/>
      <c r="G907" s="52"/>
      <c r="H907" s="54" t="str">
        <f aca="false">IF(E907="","",E907*N(F907)*IF(G907="",1,G907))</f>
        <v/>
      </c>
      <c r="I907" s="55" t="str">
        <f aca="false">IF(C907="","",IFERROR(INDEX('DANH MỤC'!$B$5:$B$200,MATCH(C907,'DANH MỤC'!$A$5:$A$200,0)),"⚠ Mã chưa có trong DANH MỤC"))</f>
        <v/>
      </c>
      <c r="J907" s="52"/>
      <c r="K907" s="52"/>
      <c r="L907" s="52"/>
    </row>
    <row r="908" customFormat="false" ht="15" hidden="false" customHeight="false" outlineLevel="0" collapsed="false">
      <c r="A908" s="50"/>
      <c r="B908" s="51" t="str">
        <f aca="false">IF(A908="","",MONTH(A908))</f>
        <v/>
      </c>
      <c r="C908" s="52"/>
      <c r="D908" s="52"/>
      <c r="E908" s="52"/>
      <c r="F908" s="53"/>
      <c r="G908" s="52"/>
      <c r="H908" s="54" t="str">
        <f aca="false">IF(E908="","",E908*N(F908)*IF(G908="",1,G908))</f>
        <v/>
      </c>
      <c r="I908" s="55" t="str">
        <f aca="false">IF(C908="","",IFERROR(INDEX('DANH MỤC'!$B$5:$B$200,MATCH(C908,'DANH MỤC'!$A$5:$A$200,0)),"⚠ Mã chưa có trong DANH MỤC"))</f>
        <v/>
      </c>
      <c r="J908" s="52"/>
      <c r="K908" s="52"/>
      <c r="L908" s="52"/>
    </row>
    <row r="909" customFormat="false" ht="15" hidden="false" customHeight="false" outlineLevel="0" collapsed="false">
      <c r="A909" s="50"/>
      <c r="B909" s="51" t="str">
        <f aca="false">IF(A909="","",MONTH(A909))</f>
        <v/>
      </c>
      <c r="C909" s="52"/>
      <c r="D909" s="52"/>
      <c r="E909" s="52"/>
      <c r="F909" s="53"/>
      <c r="G909" s="52"/>
      <c r="H909" s="54" t="str">
        <f aca="false">IF(E909="","",E909*N(F909)*IF(G909="",1,G909))</f>
        <v/>
      </c>
      <c r="I909" s="55" t="str">
        <f aca="false">IF(C909="","",IFERROR(INDEX('DANH MỤC'!$B$5:$B$200,MATCH(C909,'DANH MỤC'!$A$5:$A$200,0)),"⚠ Mã chưa có trong DANH MỤC"))</f>
        <v/>
      </c>
      <c r="J909" s="52"/>
      <c r="K909" s="52"/>
      <c r="L909" s="52"/>
    </row>
    <row r="910" customFormat="false" ht="15" hidden="false" customHeight="false" outlineLevel="0" collapsed="false">
      <c r="A910" s="50"/>
      <c r="B910" s="51" t="str">
        <f aca="false">IF(A910="","",MONTH(A910))</f>
        <v/>
      </c>
      <c r="C910" s="52"/>
      <c r="D910" s="52"/>
      <c r="E910" s="52"/>
      <c r="F910" s="53"/>
      <c r="G910" s="52"/>
      <c r="H910" s="54" t="str">
        <f aca="false">IF(E910="","",E910*N(F910)*IF(G910="",1,G910))</f>
        <v/>
      </c>
      <c r="I910" s="55" t="str">
        <f aca="false">IF(C910="","",IFERROR(INDEX('DANH MỤC'!$B$5:$B$200,MATCH(C910,'DANH MỤC'!$A$5:$A$200,0)),"⚠ Mã chưa có trong DANH MỤC"))</f>
        <v/>
      </c>
      <c r="J910" s="52"/>
      <c r="K910" s="52"/>
      <c r="L910" s="52"/>
    </row>
    <row r="911" customFormat="false" ht="15" hidden="false" customHeight="false" outlineLevel="0" collapsed="false">
      <c r="A911" s="50"/>
      <c r="B911" s="51" t="str">
        <f aca="false">IF(A911="","",MONTH(A911))</f>
        <v/>
      </c>
      <c r="C911" s="52"/>
      <c r="D911" s="52"/>
      <c r="E911" s="52"/>
      <c r="F911" s="53"/>
      <c r="G911" s="52"/>
      <c r="H911" s="54" t="str">
        <f aca="false">IF(E911="","",E911*N(F911)*IF(G911="",1,G911))</f>
        <v/>
      </c>
      <c r="I911" s="55" t="str">
        <f aca="false">IF(C911="","",IFERROR(INDEX('DANH MỤC'!$B$5:$B$200,MATCH(C911,'DANH MỤC'!$A$5:$A$200,0)),"⚠ Mã chưa có trong DANH MỤC"))</f>
        <v/>
      </c>
      <c r="J911" s="52"/>
      <c r="K911" s="52"/>
      <c r="L911" s="52"/>
    </row>
    <row r="912" customFormat="false" ht="15" hidden="false" customHeight="false" outlineLevel="0" collapsed="false">
      <c r="A912" s="50"/>
      <c r="B912" s="51" t="str">
        <f aca="false">IF(A912="","",MONTH(A912))</f>
        <v/>
      </c>
      <c r="C912" s="52"/>
      <c r="D912" s="52"/>
      <c r="E912" s="52"/>
      <c r="F912" s="53"/>
      <c r="G912" s="52"/>
      <c r="H912" s="54" t="str">
        <f aca="false">IF(E912="","",E912*N(F912)*IF(G912="",1,G912))</f>
        <v/>
      </c>
      <c r="I912" s="55" t="str">
        <f aca="false">IF(C912="","",IFERROR(INDEX('DANH MỤC'!$B$5:$B$200,MATCH(C912,'DANH MỤC'!$A$5:$A$200,0)),"⚠ Mã chưa có trong DANH MỤC"))</f>
        <v/>
      </c>
      <c r="J912" s="52"/>
      <c r="K912" s="52"/>
      <c r="L912" s="52"/>
    </row>
    <row r="913" customFormat="false" ht="15" hidden="false" customHeight="false" outlineLevel="0" collapsed="false">
      <c r="A913" s="50"/>
      <c r="B913" s="51" t="str">
        <f aca="false">IF(A913="","",MONTH(A913))</f>
        <v/>
      </c>
      <c r="C913" s="52"/>
      <c r="D913" s="52"/>
      <c r="E913" s="52"/>
      <c r="F913" s="53"/>
      <c r="G913" s="52"/>
      <c r="H913" s="54" t="str">
        <f aca="false">IF(E913="","",E913*N(F913)*IF(G913="",1,G913))</f>
        <v/>
      </c>
      <c r="I913" s="55" t="str">
        <f aca="false">IF(C913="","",IFERROR(INDEX('DANH MỤC'!$B$5:$B$200,MATCH(C913,'DANH MỤC'!$A$5:$A$200,0)),"⚠ Mã chưa có trong DANH MỤC"))</f>
        <v/>
      </c>
      <c r="J913" s="52"/>
      <c r="K913" s="52"/>
      <c r="L913" s="52"/>
    </row>
    <row r="914" customFormat="false" ht="15" hidden="false" customHeight="false" outlineLevel="0" collapsed="false">
      <c r="A914" s="50"/>
      <c r="B914" s="51" t="str">
        <f aca="false">IF(A914="","",MONTH(A914))</f>
        <v/>
      </c>
      <c r="C914" s="52"/>
      <c r="D914" s="52"/>
      <c r="E914" s="52"/>
      <c r="F914" s="53"/>
      <c r="G914" s="52"/>
      <c r="H914" s="54" t="str">
        <f aca="false">IF(E914="","",E914*N(F914)*IF(G914="",1,G914))</f>
        <v/>
      </c>
      <c r="I914" s="55" t="str">
        <f aca="false">IF(C914="","",IFERROR(INDEX('DANH MỤC'!$B$5:$B$200,MATCH(C914,'DANH MỤC'!$A$5:$A$200,0)),"⚠ Mã chưa có trong DANH MỤC"))</f>
        <v/>
      </c>
      <c r="J914" s="52"/>
      <c r="K914" s="52"/>
      <c r="L914" s="52"/>
    </row>
    <row r="915" customFormat="false" ht="15" hidden="false" customHeight="false" outlineLevel="0" collapsed="false">
      <c r="A915" s="50"/>
      <c r="B915" s="51" t="str">
        <f aca="false">IF(A915="","",MONTH(A915))</f>
        <v/>
      </c>
      <c r="C915" s="52"/>
      <c r="D915" s="52"/>
      <c r="E915" s="52"/>
      <c r="F915" s="53"/>
      <c r="G915" s="52"/>
      <c r="H915" s="54" t="str">
        <f aca="false">IF(E915="","",E915*N(F915)*IF(G915="",1,G915))</f>
        <v/>
      </c>
      <c r="I915" s="55" t="str">
        <f aca="false">IF(C915="","",IFERROR(INDEX('DANH MỤC'!$B$5:$B$200,MATCH(C915,'DANH MỤC'!$A$5:$A$200,0)),"⚠ Mã chưa có trong DANH MỤC"))</f>
        <v/>
      </c>
      <c r="J915" s="52"/>
      <c r="K915" s="52"/>
      <c r="L915" s="52"/>
    </row>
    <row r="916" customFormat="false" ht="15" hidden="false" customHeight="false" outlineLevel="0" collapsed="false">
      <c r="A916" s="50"/>
      <c r="B916" s="51" t="str">
        <f aca="false">IF(A916="","",MONTH(A916))</f>
        <v/>
      </c>
      <c r="C916" s="52"/>
      <c r="D916" s="52"/>
      <c r="E916" s="52"/>
      <c r="F916" s="53"/>
      <c r="G916" s="52"/>
      <c r="H916" s="54" t="str">
        <f aca="false">IF(E916="","",E916*N(F916)*IF(G916="",1,G916))</f>
        <v/>
      </c>
      <c r="I916" s="55" t="str">
        <f aca="false">IF(C916="","",IFERROR(INDEX('DANH MỤC'!$B$5:$B$200,MATCH(C916,'DANH MỤC'!$A$5:$A$200,0)),"⚠ Mã chưa có trong DANH MỤC"))</f>
        <v/>
      </c>
      <c r="J916" s="52"/>
      <c r="K916" s="52"/>
      <c r="L916" s="52"/>
    </row>
    <row r="917" customFormat="false" ht="15" hidden="false" customHeight="false" outlineLevel="0" collapsed="false">
      <c r="A917" s="50"/>
      <c r="B917" s="51" t="str">
        <f aca="false">IF(A917="","",MONTH(A917))</f>
        <v/>
      </c>
      <c r="C917" s="52"/>
      <c r="D917" s="52"/>
      <c r="E917" s="52"/>
      <c r="F917" s="53"/>
      <c r="G917" s="52"/>
      <c r="H917" s="54" t="str">
        <f aca="false">IF(E917="","",E917*N(F917)*IF(G917="",1,G917))</f>
        <v/>
      </c>
      <c r="I917" s="55" t="str">
        <f aca="false">IF(C917="","",IFERROR(INDEX('DANH MỤC'!$B$5:$B$200,MATCH(C917,'DANH MỤC'!$A$5:$A$200,0)),"⚠ Mã chưa có trong DANH MỤC"))</f>
        <v/>
      </c>
      <c r="J917" s="52"/>
      <c r="K917" s="52"/>
      <c r="L917" s="52"/>
    </row>
    <row r="918" customFormat="false" ht="15" hidden="false" customHeight="false" outlineLevel="0" collapsed="false">
      <c r="A918" s="50"/>
      <c r="B918" s="51" t="str">
        <f aca="false">IF(A918="","",MONTH(A918))</f>
        <v/>
      </c>
      <c r="C918" s="52"/>
      <c r="D918" s="52"/>
      <c r="E918" s="52"/>
      <c r="F918" s="53"/>
      <c r="G918" s="52"/>
      <c r="H918" s="54" t="str">
        <f aca="false">IF(E918="","",E918*N(F918)*IF(G918="",1,G918))</f>
        <v/>
      </c>
      <c r="I918" s="55" t="str">
        <f aca="false">IF(C918="","",IFERROR(INDEX('DANH MỤC'!$B$5:$B$200,MATCH(C918,'DANH MỤC'!$A$5:$A$200,0)),"⚠ Mã chưa có trong DANH MỤC"))</f>
        <v/>
      </c>
      <c r="J918" s="52"/>
      <c r="K918" s="52"/>
      <c r="L918" s="52"/>
    </row>
    <row r="919" customFormat="false" ht="15" hidden="false" customHeight="false" outlineLevel="0" collapsed="false">
      <c r="A919" s="50"/>
      <c r="B919" s="51" t="str">
        <f aca="false">IF(A919="","",MONTH(A919))</f>
        <v/>
      </c>
      <c r="C919" s="52"/>
      <c r="D919" s="52"/>
      <c r="E919" s="52"/>
      <c r="F919" s="53"/>
      <c r="G919" s="52"/>
      <c r="H919" s="54" t="str">
        <f aca="false">IF(E919="","",E919*N(F919)*IF(G919="",1,G919))</f>
        <v/>
      </c>
      <c r="I919" s="55" t="str">
        <f aca="false">IF(C919="","",IFERROR(INDEX('DANH MỤC'!$B$5:$B$200,MATCH(C919,'DANH MỤC'!$A$5:$A$200,0)),"⚠ Mã chưa có trong DANH MỤC"))</f>
        <v/>
      </c>
      <c r="J919" s="52"/>
      <c r="K919" s="52"/>
      <c r="L919" s="52"/>
    </row>
    <row r="920" customFormat="false" ht="15" hidden="false" customHeight="false" outlineLevel="0" collapsed="false">
      <c r="A920" s="50"/>
      <c r="B920" s="51" t="str">
        <f aca="false">IF(A920="","",MONTH(A920))</f>
        <v/>
      </c>
      <c r="C920" s="52"/>
      <c r="D920" s="52"/>
      <c r="E920" s="52"/>
      <c r="F920" s="53"/>
      <c r="G920" s="52"/>
      <c r="H920" s="54" t="str">
        <f aca="false">IF(E920="","",E920*N(F920)*IF(G920="",1,G920))</f>
        <v/>
      </c>
      <c r="I920" s="55" t="str">
        <f aca="false">IF(C920="","",IFERROR(INDEX('DANH MỤC'!$B$5:$B$200,MATCH(C920,'DANH MỤC'!$A$5:$A$200,0)),"⚠ Mã chưa có trong DANH MỤC"))</f>
        <v/>
      </c>
      <c r="J920" s="52"/>
      <c r="K920" s="52"/>
      <c r="L920" s="52"/>
    </row>
    <row r="921" customFormat="false" ht="15" hidden="false" customHeight="false" outlineLevel="0" collapsed="false">
      <c r="A921" s="50"/>
      <c r="B921" s="51" t="str">
        <f aca="false">IF(A921="","",MONTH(A921))</f>
        <v/>
      </c>
      <c r="C921" s="52"/>
      <c r="D921" s="52"/>
      <c r="E921" s="52"/>
      <c r="F921" s="53"/>
      <c r="G921" s="52"/>
      <c r="H921" s="54" t="str">
        <f aca="false">IF(E921="","",E921*N(F921)*IF(G921="",1,G921))</f>
        <v/>
      </c>
      <c r="I921" s="55" t="str">
        <f aca="false">IF(C921="","",IFERROR(INDEX('DANH MỤC'!$B$5:$B$200,MATCH(C921,'DANH MỤC'!$A$5:$A$200,0)),"⚠ Mã chưa có trong DANH MỤC"))</f>
        <v/>
      </c>
      <c r="J921" s="52"/>
      <c r="K921" s="52"/>
      <c r="L921" s="52"/>
    </row>
    <row r="922" customFormat="false" ht="15" hidden="false" customHeight="false" outlineLevel="0" collapsed="false">
      <c r="A922" s="50"/>
      <c r="B922" s="51" t="str">
        <f aca="false">IF(A922="","",MONTH(A922))</f>
        <v/>
      </c>
      <c r="C922" s="52"/>
      <c r="D922" s="52"/>
      <c r="E922" s="52"/>
      <c r="F922" s="53"/>
      <c r="G922" s="52"/>
      <c r="H922" s="54" t="str">
        <f aca="false">IF(E922="","",E922*N(F922)*IF(G922="",1,G922))</f>
        <v/>
      </c>
      <c r="I922" s="55" t="str">
        <f aca="false">IF(C922="","",IFERROR(INDEX('DANH MỤC'!$B$5:$B$200,MATCH(C922,'DANH MỤC'!$A$5:$A$200,0)),"⚠ Mã chưa có trong DANH MỤC"))</f>
        <v/>
      </c>
      <c r="J922" s="52"/>
      <c r="K922" s="52"/>
      <c r="L922" s="52"/>
    </row>
    <row r="923" customFormat="false" ht="15" hidden="false" customHeight="false" outlineLevel="0" collapsed="false">
      <c r="A923" s="50"/>
      <c r="B923" s="51" t="str">
        <f aca="false">IF(A923="","",MONTH(A923))</f>
        <v/>
      </c>
      <c r="C923" s="52"/>
      <c r="D923" s="52"/>
      <c r="E923" s="52"/>
      <c r="F923" s="53"/>
      <c r="G923" s="52"/>
      <c r="H923" s="54" t="str">
        <f aca="false">IF(E923="","",E923*N(F923)*IF(G923="",1,G923))</f>
        <v/>
      </c>
      <c r="I923" s="55" t="str">
        <f aca="false">IF(C923="","",IFERROR(INDEX('DANH MỤC'!$B$5:$B$200,MATCH(C923,'DANH MỤC'!$A$5:$A$200,0)),"⚠ Mã chưa có trong DANH MỤC"))</f>
        <v/>
      </c>
      <c r="J923" s="52"/>
      <c r="K923" s="52"/>
      <c r="L923" s="52"/>
    </row>
    <row r="924" customFormat="false" ht="15" hidden="false" customHeight="false" outlineLevel="0" collapsed="false">
      <c r="A924" s="50"/>
      <c r="B924" s="51" t="str">
        <f aca="false">IF(A924="","",MONTH(A924))</f>
        <v/>
      </c>
      <c r="C924" s="52"/>
      <c r="D924" s="52"/>
      <c r="E924" s="52"/>
      <c r="F924" s="53"/>
      <c r="G924" s="52"/>
      <c r="H924" s="54" t="str">
        <f aca="false">IF(E924="","",E924*N(F924)*IF(G924="",1,G924))</f>
        <v/>
      </c>
      <c r="I924" s="55" t="str">
        <f aca="false">IF(C924="","",IFERROR(INDEX('DANH MỤC'!$B$5:$B$200,MATCH(C924,'DANH MỤC'!$A$5:$A$200,0)),"⚠ Mã chưa có trong DANH MỤC"))</f>
        <v/>
      </c>
      <c r="J924" s="52"/>
      <c r="K924" s="52"/>
      <c r="L924" s="52"/>
    </row>
    <row r="925" customFormat="false" ht="15" hidden="false" customHeight="false" outlineLevel="0" collapsed="false">
      <c r="A925" s="50"/>
      <c r="B925" s="51" t="str">
        <f aca="false">IF(A925="","",MONTH(A925))</f>
        <v/>
      </c>
      <c r="C925" s="52"/>
      <c r="D925" s="52"/>
      <c r="E925" s="52"/>
      <c r="F925" s="53"/>
      <c r="G925" s="52"/>
      <c r="H925" s="54" t="str">
        <f aca="false">IF(E925="","",E925*N(F925)*IF(G925="",1,G925))</f>
        <v/>
      </c>
      <c r="I925" s="55" t="str">
        <f aca="false">IF(C925="","",IFERROR(INDEX('DANH MỤC'!$B$5:$B$200,MATCH(C925,'DANH MỤC'!$A$5:$A$200,0)),"⚠ Mã chưa có trong DANH MỤC"))</f>
        <v/>
      </c>
      <c r="J925" s="52"/>
      <c r="K925" s="52"/>
      <c r="L925" s="52"/>
    </row>
    <row r="926" customFormat="false" ht="15" hidden="false" customHeight="false" outlineLevel="0" collapsed="false">
      <c r="A926" s="50"/>
      <c r="B926" s="51" t="str">
        <f aca="false">IF(A926="","",MONTH(A926))</f>
        <v/>
      </c>
      <c r="C926" s="52"/>
      <c r="D926" s="52"/>
      <c r="E926" s="52"/>
      <c r="F926" s="53"/>
      <c r="G926" s="52"/>
      <c r="H926" s="54" t="str">
        <f aca="false">IF(E926="","",E926*N(F926)*IF(G926="",1,G926))</f>
        <v/>
      </c>
      <c r="I926" s="55" t="str">
        <f aca="false">IF(C926="","",IFERROR(INDEX('DANH MỤC'!$B$5:$B$200,MATCH(C926,'DANH MỤC'!$A$5:$A$200,0)),"⚠ Mã chưa có trong DANH MỤC"))</f>
        <v/>
      </c>
      <c r="J926" s="52"/>
      <c r="K926" s="52"/>
      <c r="L926" s="52"/>
    </row>
    <row r="927" customFormat="false" ht="15" hidden="false" customHeight="false" outlineLevel="0" collapsed="false">
      <c r="A927" s="50"/>
      <c r="B927" s="51" t="str">
        <f aca="false">IF(A927="","",MONTH(A927))</f>
        <v/>
      </c>
      <c r="C927" s="52"/>
      <c r="D927" s="52"/>
      <c r="E927" s="52"/>
      <c r="F927" s="53"/>
      <c r="G927" s="52"/>
      <c r="H927" s="54" t="str">
        <f aca="false">IF(E927="","",E927*N(F927)*IF(G927="",1,G927))</f>
        <v/>
      </c>
      <c r="I927" s="55" t="str">
        <f aca="false">IF(C927="","",IFERROR(INDEX('DANH MỤC'!$B$5:$B$200,MATCH(C927,'DANH MỤC'!$A$5:$A$200,0)),"⚠ Mã chưa có trong DANH MỤC"))</f>
        <v/>
      </c>
      <c r="J927" s="52"/>
      <c r="K927" s="52"/>
      <c r="L927" s="52"/>
    </row>
    <row r="928" customFormat="false" ht="15" hidden="false" customHeight="false" outlineLevel="0" collapsed="false">
      <c r="A928" s="50"/>
      <c r="B928" s="51" t="str">
        <f aca="false">IF(A928="","",MONTH(A928))</f>
        <v/>
      </c>
      <c r="C928" s="52"/>
      <c r="D928" s="52"/>
      <c r="E928" s="52"/>
      <c r="F928" s="53"/>
      <c r="G928" s="52"/>
      <c r="H928" s="54" t="str">
        <f aca="false">IF(E928="","",E928*N(F928)*IF(G928="",1,G928))</f>
        <v/>
      </c>
      <c r="I928" s="55" t="str">
        <f aca="false">IF(C928="","",IFERROR(INDEX('DANH MỤC'!$B$5:$B$200,MATCH(C928,'DANH MỤC'!$A$5:$A$200,0)),"⚠ Mã chưa có trong DANH MỤC"))</f>
        <v/>
      </c>
      <c r="J928" s="52"/>
      <c r="K928" s="52"/>
      <c r="L928" s="52"/>
    </row>
    <row r="929" customFormat="false" ht="15" hidden="false" customHeight="false" outlineLevel="0" collapsed="false">
      <c r="A929" s="50"/>
      <c r="B929" s="51" t="str">
        <f aca="false">IF(A929="","",MONTH(A929))</f>
        <v/>
      </c>
      <c r="C929" s="52"/>
      <c r="D929" s="52"/>
      <c r="E929" s="52"/>
      <c r="F929" s="53"/>
      <c r="G929" s="52"/>
      <c r="H929" s="54" t="str">
        <f aca="false">IF(E929="","",E929*N(F929)*IF(G929="",1,G929))</f>
        <v/>
      </c>
      <c r="I929" s="55" t="str">
        <f aca="false">IF(C929="","",IFERROR(INDEX('DANH MỤC'!$B$5:$B$200,MATCH(C929,'DANH MỤC'!$A$5:$A$200,0)),"⚠ Mã chưa có trong DANH MỤC"))</f>
        <v/>
      </c>
      <c r="J929" s="52"/>
      <c r="K929" s="52"/>
      <c r="L929" s="52"/>
    </row>
    <row r="930" customFormat="false" ht="15" hidden="false" customHeight="false" outlineLevel="0" collapsed="false">
      <c r="A930" s="50"/>
      <c r="B930" s="51" t="str">
        <f aca="false">IF(A930="","",MONTH(A930))</f>
        <v/>
      </c>
      <c r="C930" s="52"/>
      <c r="D930" s="52"/>
      <c r="E930" s="52"/>
      <c r="F930" s="53"/>
      <c r="G930" s="52"/>
      <c r="H930" s="54" t="str">
        <f aca="false">IF(E930="","",E930*N(F930)*IF(G930="",1,G930))</f>
        <v/>
      </c>
      <c r="I930" s="55" t="str">
        <f aca="false">IF(C930="","",IFERROR(INDEX('DANH MỤC'!$B$5:$B$200,MATCH(C930,'DANH MỤC'!$A$5:$A$200,0)),"⚠ Mã chưa có trong DANH MỤC"))</f>
        <v/>
      </c>
      <c r="J930" s="52"/>
      <c r="K930" s="52"/>
      <c r="L930" s="52"/>
    </row>
    <row r="931" customFormat="false" ht="15" hidden="false" customHeight="false" outlineLevel="0" collapsed="false">
      <c r="A931" s="50"/>
      <c r="B931" s="51" t="str">
        <f aca="false">IF(A931="","",MONTH(A931))</f>
        <v/>
      </c>
      <c r="C931" s="52"/>
      <c r="D931" s="52"/>
      <c r="E931" s="52"/>
      <c r="F931" s="53"/>
      <c r="G931" s="52"/>
      <c r="H931" s="54" t="str">
        <f aca="false">IF(E931="","",E931*N(F931)*IF(G931="",1,G931))</f>
        <v/>
      </c>
      <c r="I931" s="55" t="str">
        <f aca="false">IF(C931="","",IFERROR(INDEX('DANH MỤC'!$B$5:$B$200,MATCH(C931,'DANH MỤC'!$A$5:$A$200,0)),"⚠ Mã chưa có trong DANH MỤC"))</f>
        <v/>
      </c>
      <c r="J931" s="52"/>
      <c r="K931" s="52"/>
      <c r="L931" s="52"/>
    </row>
    <row r="932" customFormat="false" ht="15" hidden="false" customHeight="false" outlineLevel="0" collapsed="false">
      <c r="A932" s="50"/>
      <c r="B932" s="51" t="str">
        <f aca="false">IF(A932="","",MONTH(A932))</f>
        <v/>
      </c>
      <c r="C932" s="52"/>
      <c r="D932" s="52"/>
      <c r="E932" s="52"/>
      <c r="F932" s="53"/>
      <c r="G932" s="52"/>
      <c r="H932" s="54" t="str">
        <f aca="false">IF(E932="","",E932*N(F932)*IF(G932="",1,G932))</f>
        <v/>
      </c>
      <c r="I932" s="55" t="str">
        <f aca="false">IF(C932="","",IFERROR(INDEX('DANH MỤC'!$B$5:$B$200,MATCH(C932,'DANH MỤC'!$A$5:$A$200,0)),"⚠ Mã chưa có trong DANH MỤC"))</f>
        <v/>
      </c>
      <c r="J932" s="52"/>
      <c r="K932" s="52"/>
      <c r="L932" s="52"/>
    </row>
    <row r="933" customFormat="false" ht="15" hidden="false" customHeight="false" outlineLevel="0" collapsed="false">
      <c r="A933" s="50"/>
      <c r="B933" s="51" t="str">
        <f aca="false">IF(A933="","",MONTH(A933))</f>
        <v/>
      </c>
      <c r="C933" s="52"/>
      <c r="D933" s="52"/>
      <c r="E933" s="52"/>
      <c r="F933" s="53"/>
      <c r="G933" s="52"/>
      <c r="H933" s="54" t="str">
        <f aca="false">IF(E933="","",E933*N(F933)*IF(G933="",1,G933))</f>
        <v/>
      </c>
      <c r="I933" s="55" t="str">
        <f aca="false">IF(C933="","",IFERROR(INDEX('DANH MỤC'!$B$5:$B$200,MATCH(C933,'DANH MỤC'!$A$5:$A$200,0)),"⚠ Mã chưa có trong DANH MỤC"))</f>
        <v/>
      </c>
      <c r="J933" s="52"/>
      <c r="K933" s="52"/>
      <c r="L933" s="52"/>
    </row>
    <row r="934" customFormat="false" ht="15" hidden="false" customHeight="false" outlineLevel="0" collapsed="false">
      <c r="A934" s="50"/>
      <c r="B934" s="51" t="str">
        <f aca="false">IF(A934="","",MONTH(A934))</f>
        <v/>
      </c>
      <c r="C934" s="52"/>
      <c r="D934" s="52"/>
      <c r="E934" s="52"/>
      <c r="F934" s="53"/>
      <c r="G934" s="52"/>
      <c r="H934" s="54" t="str">
        <f aca="false">IF(E934="","",E934*N(F934)*IF(G934="",1,G934))</f>
        <v/>
      </c>
      <c r="I934" s="55" t="str">
        <f aca="false">IF(C934="","",IFERROR(INDEX('DANH MỤC'!$B$5:$B$200,MATCH(C934,'DANH MỤC'!$A$5:$A$200,0)),"⚠ Mã chưa có trong DANH MỤC"))</f>
        <v/>
      </c>
      <c r="J934" s="52"/>
      <c r="K934" s="52"/>
      <c r="L934" s="52"/>
    </row>
    <row r="935" customFormat="false" ht="15" hidden="false" customHeight="false" outlineLevel="0" collapsed="false">
      <c r="A935" s="50"/>
      <c r="B935" s="51" t="str">
        <f aca="false">IF(A935="","",MONTH(A935))</f>
        <v/>
      </c>
      <c r="C935" s="52"/>
      <c r="D935" s="52"/>
      <c r="E935" s="52"/>
      <c r="F935" s="53"/>
      <c r="G935" s="52"/>
      <c r="H935" s="54" t="str">
        <f aca="false">IF(E935="","",E935*N(F935)*IF(G935="",1,G935))</f>
        <v/>
      </c>
      <c r="I935" s="55" t="str">
        <f aca="false">IF(C935="","",IFERROR(INDEX('DANH MỤC'!$B$5:$B$200,MATCH(C935,'DANH MỤC'!$A$5:$A$200,0)),"⚠ Mã chưa có trong DANH MỤC"))</f>
        <v/>
      </c>
      <c r="J935" s="52"/>
      <c r="K935" s="52"/>
      <c r="L935" s="52"/>
    </row>
    <row r="936" customFormat="false" ht="15" hidden="false" customHeight="false" outlineLevel="0" collapsed="false">
      <c r="A936" s="50"/>
      <c r="B936" s="51" t="str">
        <f aca="false">IF(A936="","",MONTH(A936))</f>
        <v/>
      </c>
      <c r="C936" s="52"/>
      <c r="D936" s="52"/>
      <c r="E936" s="52"/>
      <c r="F936" s="53"/>
      <c r="G936" s="52"/>
      <c r="H936" s="54" t="str">
        <f aca="false">IF(E936="","",E936*N(F936)*IF(G936="",1,G936))</f>
        <v/>
      </c>
      <c r="I936" s="55" t="str">
        <f aca="false">IF(C936="","",IFERROR(INDEX('DANH MỤC'!$B$5:$B$200,MATCH(C936,'DANH MỤC'!$A$5:$A$200,0)),"⚠ Mã chưa có trong DANH MỤC"))</f>
        <v/>
      </c>
      <c r="J936" s="52"/>
      <c r="K936" s="52"/>
      <c r="L936" s="52"/>
    </row>
    <row r="937" customFormat="false" ht="15" hidden="false" customHeight="false" outlineLevel="0" collapsed="false">
      <c r="A937" s="50"/>
      <c r="B937" s="51" t="str">
        <f aca="false">IF(A937="","",MONTH(A937))</f>
        <v/>
      </c>
      <c r="C937" s="52"/>
      <c r="D937" s="52"/>
      <c r="E937" s="52"/>
      <c r="F937" s="53"/>
      <c r="G937" s="52"/>
      <c r="H937" s="54" t="str">
        <f aca="false">IF(E937="","",E937*N(F937)*IF(G937="",1,G937))</f>
        <v/>
      </c>
      <c r="I937" s="55" t="str">
        <f aca="false">IF(C937="","",IFERROR(INDEX('DANH MỤC'!$B$5:$B$200,MATCH(C937,'DANH MỤC'!$A$5:$A$200,0)),"⚠ Mã chưa có trong DANH MỤC"))</f>
        <v/>
      </c>
      <c r="J937" s="52"/>
      <c r="K937" s="52"/>
      <c r="L937" s="52"/>
    </row>
    <row r="938" customFormat="false" ht="15" hidden="false" customHeight="false" outlineLevel="0" collapsed="false">
      <c r="A938" s="50"/>
      <c r="B938" s="51" t="str">
        <f aca="false">IF(A938="","",MONTH(A938))</f>
        <v/>
      </c>
      <c r="C938" s="52"/>
      <c r="D938" s="52"/>
      <c r="E938" s="52"/>
      <c r="F938" s="53"/>
      <c r="G938" s="52"/>
      <c r="H938" s="54" t="str">
        <f aca="false">IF(E938="","",E938*N(F938)*IF(G938="",1,G938))</f>
        <v/>
      </c>
      <c r="I938" s="55" t="str">
        <f aca="false">IF(C938="","",IFERROR(INDEX('DANH MỤC'!$B$5:$B$200,MATCH(C938,'DANH MỤC'!$A$5:$A$200,0)),"⚠ Mã chưa có trong DANH MỤC"))</f>
        <v/>
      </c>
      <c r="J938" s="52"/>
      <c r="K938" s="52"/>
      <c r="L938" s="52"/>
    </row>
    <row r="939" customFormat="false" ht="15" hidden="false" customHeight="false" outlineLevel="0" collapsed="false">
      <c r="A939" s="50"/>
      <c r="B939" s="51" t="str">
        <f aca="false">IF(A939="","",MONTH(A939))</f>
        <v/>
      </c>
      <c r="C939" s="52"/>
      <c r="D939" s="52"/>
      <c r="E939" s="52"/>
      <c r="F939" s="53"/>
      <c r="G939" s="52"/>
      <c r="H939" s="54" t="str">
        <f aca="false">IF(E939="","",E939*N(F939)*IF(G939="",1,G939))</f>
        <v/>
      </c>
      <c r="I939" s="55" t="str">
        <f aca="false">IF(C939="","",IFERROR(INDEX('DANH MỤC'!$B$5:$B$200,MATCH(C939,'DANH MỤC'!$A$5:$A$200,0)),"⚠ Mã chưa có trong DANH MỤC"))</f>
        <v/>
      </c>
      <c r="J939" s="52"/>
      <c r="K939" s="52"/>
      <c r="L939" s="52"/>
    </row>
    <row r="940" customFormat="false" ht="15" hidden="false" customHeight="false" outlineLevel="0" collapsed="false">
      <c r="A940" s="50"/>
      <c r="B940" s="51" t="str">
        <f aca="false">IF(A940="","",MONTH(A940))</f>
        <v/>
      </c>
      <c r="C940" s="52"/>
      <c r="D940" s="52"/>
      <c r="E940" s="52"/>
      <c r="F940" s="53"/>
      <c r="G940" s="52"/>
      <c r="H940" s="54" t="str">
        <f aca="false">IF(E940="","",E940*N(F940)*IF(G940="",1,G940))</f>
        <v/>
      </c>
      <c r="I940" s="55" t="str">
        <f aca="false">IF(C940="","",IFERROR(INDEX('DANH MỤC'!$B$5:$B$200,MATCH(C940,'DANH MỤC'!$A$5:$A$200,0)),"⚠ Mã chưa có trong DANH MỤC"))</f>
        <v/>
      </c>
      <c r="J940" s="52"/>
      <c r="K940" s="52"/>
      <c r="L940" s="52"/>
    </row>
    <row r="941" customFormat="false" ht="15" hidden="false" customHeight="false" outlineLevel="0" collapsed="false">
      <c r="A941" s="50"/>
      <c r="B941" s="51" t="str">
        <f aca="false">IF(A941="","",MONTH(A941))</f>
        <v/>
      </c>
      <c r="C941" s="52"/>
      <c r="D941" s="52"/>
      <c r="E941" s="52"/>
      <c r="F941" s="53"/>
      <c r="G941" s="52"/>
      <c r="H941" s="54" t="str">
        <f aca="false">IF(E941="","",E941*N(F941)*IF(G941="",1,G941))</f>
        <v/>
      </c>
      <c r="I941" s="55" t="str">
        <f aca="false">IF(C941="","",IFERROR(INDEX('DANH MỤC'!$B$5:$B$200,MATCH(C941,'DANH MỤC'!$A$5:$A$200,0)),"⚠ Mã chưa có trong DANH MỤC"))</f>
        <v/>
      </c>
      <c r="J941" s="52"/>
      <c r="K941" s="52"/>
      <c r="L941" s="52"/>
    </row>
    <row r="942" customFormat="false" ht="15" hidden="false" customHeight="false" outlineLevel="0" collapsed="false">
      <c r="A942" s="50"/>
      <c r="B942" s="51" t="str">
        <f aca="false">IF(A942="","",MONTH(A942))</f>
        <v/>
      </c>
      <c r="C942" s="52"/>
      <c r="D942" s="52"/>
      <c r="E942" s="52"/>
      <c r="F942" s="53"/>
      <c r="G942" s="52"/>
      <c r="H942" s="54" t="str">
        <f aca="false">IF(E942="","",E942*N(F942)*IF(G942="",1,G942))</f>
        <v/>
      </c>
      <c r="I942" s="55" t="str">
        <f aca="false">IF(C942="","",IFERROR(INDEX('DANH MỤC'!$B$5:$B$200,MATCH(C942,'DANH MỤC'!$A$5:$A$200,0)),"⚠ Mã chưa có trong DANH MỤC"))</f>
        <v/>
      </c>
      <c r="J942" s="52"/>
      <c r="K942" s="52"/>
      <c r="L942" s="52"/>
    </row>
    <row r="943" customFormat="false" ht="15" hidden="false" customHeight="false" outlineLevel="0" collapsed="false">
      <c r="A943" s="50"/>
      <c r="B943" s="51" t="str">
        <f aca="false">IF(A943="","",MONTH(A943))</f>
        <v/>
      </c>
      <c r="C943" s="52"/>
      <c r="D943" s="52"/>
      <c r="E943" s="52"/>
      <c r="F943" s="53"/>
      <c r="G943" s="52"/>
      <c r="H943" s="54" t="str">
        <f aca="false">IF(E943="","",E943*N(F943)*IF(G943="",1,G943))</f>
        <v/>
      </c>
      <c r="I943" s="55" t="str">
        <f aca="false">IF(C943="","",IFERROR(INDEX('DANH MỤC'!$B$5:$B$200,MATCH(C943,'DANH MỤC'!$A$5:$A$200,0)),"⚠ Mã chưa có trong DANH MỤC"))</f>
        <v/>
      </c>
      <c r="J943" s="52"/>
      <c r="K943" s="52"/>
      <c r="L943" s="52"/>
    </row>
    <row r="944" customFormat="false" ht="15" hidden="false" customHeight="false" outlineLevel="0" collapsed="false">
      <c r="A944" s="50"/>
      <c r="B944" s="51" t="str">
        <f aca="false">IF(A944="","",MONTH(A944))</f>
        <v/>
      </c>
      <c r="C944" s="52"/>
      <c r="D944" s="52"/>
      <c r="E944" s="52"/>
      <c r="F944" s="53"/>
      <c r="G944" s="52"/>
      <c r="H944" s="54" t="str">
        <f aca="false">IF(E944="","",E944*N(F944)*IF(G944="",1,G944))</f>
        <v/>
      </c>
      <c r="I944" s="55" t="str">
        <f aca="false">IF(C944="","",IFERROR(INDEX('DANH MỤC'!$B$5:$B$200,MATCH(C944,'DANH MỤC'!$A$5:$A$200,0)),"⚠ Mã chưa có trong DANH MỤC"))</f>
        <v/>
      </c>
      <c r="J944" s="52"/>
      <c r="K944" s="52"/>
      <c r="L944" s="52"/>
    </row>
    <row r="945" customFormat="false" ht="15" hidden="false" customHeight="false" outlineLevel="0" collapsed="false">
      <c r="A945" s="50"/>
      <c r="B945" s="51" t="str">
        <f aca="false">IF(A945="","",MONTH(A945))</f>
        <v/>
      </c>
      <c r="C945" s="52"/>
      <c r="D945" s="52"/>
      <c r="E945" s="52"/>
      <c r="F945" s="53"/>
      <c r="G945" s="52"/>
      <c r="H945" s="54" t="str">
        <f aca="false">IF(E945="","",E945*N(F945)*IF(G945="",1,G945))</f>
        <v/>
      </c>
      <c r="I945" s="55" t="str">
        <f aca="false">IF(C945="","",IFERROR(INDEX('DANH MỤC'!$B$5:$B$200,MATCH(C945,'DANH MỤC'!$A$5:$A$200,0)),"⚠ Mã chưa có trong DANH MỤC"))</f>
        <v/>
      </c>
      <c r="J945" s="52"/>
      <c r="K945" s="52"/>
      <c r="L945" s="52"/>
    </row>
    <row r="946" customFormat="false" ht="15" hidden="false" customHeight="false" outlineLevel="0" collapsed="false">
      <c r="A946" s="50"/>
      <c r="B946" s="51" t="str">
        <f aca="false">IF(A946="","",MONTH(A946))</f>
        <v/>
      </c>
      <c r="C946" s="52"/>
      <c r="D946" s="52"/>
      <c r="E946" s="52"/>
      <c r="F946" s="53"/>
      <c r="G946" s="52"/>
      <c r="H946" s="54" t="str">
        <f aca="false">IF(E946="","",E946*N(F946)*IF(G946="",1,G946))</f>
        <v/>
      </c>
      <c r="I946" s="55" t="str">
        <f aca="false">IF(C946="","",IFERROR(INDEX('DANH MỤC'!$B$5:$B$200,MATCH(C946,'DANH MỤC'!$A$5:$A$200,0)),"⚠ Mã chưa có trong DANH MỤC"))</f>
        <v/>
      </c>
      <c r="J946" s="52"/>
      <c r="K946" s="52"/>
      <c r="L946" s="52"/>
    </row>
    <row r="947" customFormat="false" ht="15" hidden="false" customHeight="false" outlineLevel="0" collapsed="false">
      <c r="A947" s="50"/>
      <c r="B947" s="51" t="str">
        <f aca="false">IF(A947="","",MONTH(A947))</f>
        <v/>
      </c>
      <c r="C947" s="52"/>
      <c r="D947" s="52"/>
      <c r="E947" s="52"/>
      <c r="F947" s="53"/>
      <c r="G947" s="52"/>
      <c r="H947" s="54" t="str">
        <f aca="false">IF(E947="","",E947*N(F947)*IF(G947="",1,G947))</f>
        <v/>
      </c>
      <c r="I947" s="55" t="str">
        <f aca="false">IF(C947="","",IFERROR(INDEX('DANH MỤC'!$B$5:$B$200,MATCH(C947,'DANH MỤC'!$A$5:$A$200,0)),"⚠ Mã chưa có trong DANH MỤC"))</f>
        <v/>
      </c>
      <c r="J947" s="52"/>
      <c r="K947" s="52"/>
      <c r="L947" s="52"/>
    </row>
    <row r="948" customFormat="false" ht="15" hidden="false" customHeight="false" outlineLevel="0" collapsed="false">
      <c r="A948" s="50"/>
      <c r="B948" s="51" t="str">
        <f aca="false">IF(A948="","",MONTH(A948))</f>
        <v/>
      </c>
      <c r="C948" s="52"/>
      <c r="D948" s="52"/>
      <c r="E948" s="52"/>
      <c r="F948" s="53"/>
      <c r="G948" s="52"/>
      <c r="H948" s="54" t="str">
        <f aca="false">IF(E948="","",E948*N(F948)*IF(G948="",1,G948))</f>
        <v/>
      </c>
      <c r="I948" s="55" t="str">
        <f aca="false">IF(C948="","",IFERROR(INDEX('DANH MỤC'!$B$5:$B$200,MATCH(C948,'DANH MỤC'!$A$5:$A$200,0)),"⚠ Mã chưa có trong DANH MỤC"))</f>
        <v/>
      </c>
      <c r="J948" s="52"/>
      <c r="K948" s="52"/>
      <c r="L948" s="52"/>
    </row>
    <row r="949" customFormat="false" ht="15" hidden="false" customHeight="false" outlineLevel="0" collapsed="false">
      <c r="A949" s="50"/>
      <c r="B949" s="51" t="str">
        <f aca="false">IF(A949="","",MONTH(A949))</f>
        <v/>
      </c>
      <c r="C949" s="52"/>
      <c r="D949" s="52"/>
      <c r="E949" s="52"/>
      <c r="F949" s="53"/>
      <c r="G949" s="52"/>
      <c r="H949" s="54" t="str">
        <f aca="false">IF(E949="","",E949*N(F949)*IF(G949="",1,G949))</f>
        <v/>
      </c>
      <c r="I949" s="55" t="str">
        <f aca="false">IF(C949="","",IFERROR(INDEX('DANH MỤC'!$B$5:$B$200,MATCH(C949,'DANH MỤC'!$A$5:$A$200,0)),"⚠ Mã chưa có trong DANH MỤC"))</f>
        <v/>
      </c>
      <c r="J949" s="52"/>
      <c r="K949" s="52"/>
      <c r="L949" s="52"/>
    </row>
    <row r="950" customFormat="false" ht="15" hidden="false" customHeight="false" outlineLevel="0" collapsed="false">
      <c r="A950" s="50"/>
      <c r="B950" s="51" t="str">
        <f aca="false">IF(A950="","",MONTH(A950))</f>
        <v/>
      </c>
      <c r="C950" s="52"/>
      <c r="D950" s="52"/>
      <c r="E950" s="52"/>
      <c r="F950" s="53"/>
      <c r="G950" s="52"/>
      <c r="H950" s="54" t="str">
        <f aca="false">IF(E950="","",E950*N(F950)*IF(G950="",1,G950))</f>
        <v/>
      </c>
      <c r="I950" s="55" t="str">
        <f aca="false">IF(C950="","",IFERROR(INDEX('DANH MỤC'!$B$5:$B$200,MATCH(C950,'DANH MỤC'!$A$5:$A$200,0)),"⚠ Mã chưa có trong DANH MỤC"))</f>
        <v/>
      </c>
      <c r="J950" s="52"/>
      <c r="K950" s="52"/>
      <c r="L950" s="52"/>
    </row>
    <row r="951" customFormat="false" ht="15" hidden="false" customHeight="false" outlineLevel="0" collapsed="false">
      <c r="A951" s="50"/>
      <c r="B951" s="51" t="str">
        <f aca="false">IF(A951="","",MONTH(A951))</f>
        <v/>
      </c>
      <c r="C951" s="52"/>
      <c r="D951" s="52"/>
      <c r="E951" s="52"/>
      <c r="F951" s="53"/>
      <c r="G951" s="52"/>
      <c r="H951" s="54" t="str">
        <f aca="false">IF(E951="","",E951*N(F951)*IF(G951="",1,G951))</f>
        <v/>
      </c>
      <c r="I951" s="55" t="str">
        <f aca="false">IF(C951="","",IFERROR(INDEX('DANH MỤC'!$B$5:$B$200,MATCH(C951,'DANH MỤC'!$A$5:$A$200,0)),"⚠ Mã chưa có trong DANH MỤC"))</f>
        <v/>
      </c>
      <c r="J951" s="52"/>
      <c r="K951" s="52"/>
      <c r="L951" s="52"/>
    </row>
    <row r="952" customFormat="false" ht="15" hidden="false" customHeight="false" outlineLevel="0" collapsed="false">
      <c r="A952" s="50"/>
      <c r="B952" s="51" t="str">
        <f aca="false">IF(A952="","",MONTH(A952))</f>
        <v/>
      </c>
      <c r="C952" s="52"/>
      <c r="D952" s="52"/>
      <c r="E952" s="52"/>
      <c r="F952" s="53"/>
      <c r="G952" s="52"/>
      <c r="H952" s="54" t="str">
        <f aca="false">IF(E952="","",E952*N(F952)*IF(G952="",1,G952))</f>
        <v/>
      </c>
      <c r="I952" s="55" t="str">
        <f aca="false">IF(C952="","",IFERROR(INDEX('DANH MỤC'!$B$5:$B$200,MATCH(C952,'DANH MỤC'!$A$5:$A$200,0)),"⚠ Mã chưa có trong DANH MỤC"))</f>
        <v/>
      </c>
      <c r="J952" s="52"/>
      <c r="K952" s="52"/>
      <c r="L952" s="52"/>
    </row>
    <row r="953" customFormat="false" ht="15" hidden="false" customHeight="false" outlineLevel="0" collapsed="false">
      <c r="A953" s="50"/>
      <c r="B953" s="51" t="str">
        <f aca="false">IF(A953="","",MONTH(A953))</f>
        <v/>
      </c>
      <c r="C953" s="52"/>
      <c r="D953" s="52"/>
      <c r="E953" s="52"/>
      <c r="F953" s="53"/>
      <c r="G953" s="52"/>
      <c r="H953" s="54" t="str">
        <f aca="false">IF(E953="","",E953*N(F953)*IF(G953="",1,G953))</f>
        <v/>
      </c>
      <c r="I953" s="55" t="str">
        <f aca="false">IF(C953="","",IFERROR(INDEX('DANH MỤC'!$B$5:$B$200,MATCH(C953,'DANH MỤC'!$A$5:$A$200,0)),"⚠ Mã chưa có trong DANH MỤC"))</f>
        <v/>
      </c>
      <c r="J953" s="52"/>
      <c r="K953" s="52"/>
      <c r="L953" s="52"/>
    </row>
    <row r="954" customFormat="false" ht="15" hidden="false" customHeight="false" outlineLevel="0" collapsed="false">
      <c r="A954" s="50"/>
      <c r="B954" s="51" t="str">
        <f aca="false">IF(A954="","",MONTH(A954))</f>
        <v/>
      </c>
      <c r="C954" s="52"/>
      <c r="D954" s="52"/>
      <c r="E954" s="52"/>
      <c r="F954" s="53"/>
      <c r="G954" s="52"/>
      <c r="H954" s="54" t="str">
        <f aca="false">IF(E954="","",E954*N(F954)*IF(G954="",1,G954))</f>
        <v/>
      </c>
      <c r="I954" s="55" t="str">
        <f aca="false">IF(C954="","",IFERROR(INDEX('DANH MỤC'!$B$5:$B$200,MATCH(C954,'DANH MỤC'!$A$5:$A$200,0)),"⚠ Mã chưa có trong DANH MỤC"))</f>
        <v/>
      </c>
      <c r="J954" s="52"/>
      <c r="K954" s="52"/>
      <c r="L954" s="52"/>
    </row>
    <row r="955" customFormat="false" ht="15" hidden="false" customHeight="false" outlineLevel="0" collapsed="false">
      <c r="A955" s="50"/>
      <c r="B955" s="51" t="str">
        <f aca="false">IF(A955="","",MONTH(A955))</f>
        <v/>
      </c>
      <c r="C955" s="52"/>
      <c r="D955" s="52"/>
      <c r="E955" s="52"/>
      <c r="F955" s="53"/>
      <c r="G955" s="52"/>
      <c r="H955" s="54" t="str">
        <f aca="false">IF(E955="","",E955*N(F955)*IF(G955="",1,G955))</f>
        <v/>
      </c>
      <c r="I955" s="55" t="str">
        <f aca="false">IF(C955="","",IFERROR(INDEX('DANH MỤC'!$B$5:$B$200,MATCH(C955,'DANH MỤC'!$A$5:$A$200,0)),"⚠ Mã chưa có trong DANH MỤC"))</f>
        <v/>
      </c>
      <c r="J955" s="52"/>
      <c r="K955" s="52"/>
      <c r="L955" s="52"/>
    </row>
    <row r="956" customFormat="false" ht="15" hidden="false" customHeight="false" outlineLevel="0" collapsed="false">
      <c r="A956" s="50"/>
      <c r="B956" s="51" t="str">
        <f aca="false">IF(A956="","",MONTH(A956))</f>
        <v/>
      </c>
      <c r="C956" s="52"/>
      <c r="D956" s="52"/>
      <c r="E956" s="52"/>
      <c r="F956" s="53"/>
      <c r="G956" s="52"/>
      <c r="H956" s="54" t="str">
        <f aca="false">IF(E956="","",E956*N(F956)*IF(G956="",1,G956))</f>
        <v/>
      </c>
      <c r="I956" s="55" t="str">
        <f aca="false">IF(C956="","",IFERROR(INDEX('DANH MỤC'!$B$5:$B$200,MATCH(C956,'DANH MỤC'!$A$5:$A$200,0)),"⚠ Mã chưa có trong DANH MỤC"))</f>
        <v/>
      </c>
      <c r="J956" s="52"/>
      <c r="K956" s="52"/>
      <c r="L956" s="52"/>
    </row>
    <row r="957" customFormat="false" ht="15" hidden="false" customHeight="false" outlineLevel="0" collapsed="false">
      <c r="A957" s="50"/>
      <c r="B957" s="51" t="str">
        <f aca="false">IF(A957="","",MONTH(A957))</f>
        <v/>
      </c>
      <c r="C957" s="52"/>
      <c r="D957" s="52"/>
      <c r="E957" s="52"/>
      <c r="F957" s="53"/>
      <c r="G957" s="52"/>
      <c r="H957" s="54" t="str">
        <f aca="false">IF(E957="","",E957*N(F957)*IF(G957="",1,G957))</f>
        <v/>
      </c>
      <c r="I957" s="55" t="str">
        <f aca="false">IF(C957="","",IFERROR(INDEX('DANH MỤC'!$B$5:$B$200,MATCH(C957,'DANH MỤC'!$A$5:$A$200,0)),"⚠ Mã chưa có trong DANH MỤC"))</f>
        <v/>
      </c>
      <c r="J957" s="52"/>
      <c r="K957" s="52"/>
      <c r="L957" s="52"/>
    </row>
    <row r="958" customFormat="false" ht="15" hidden="false" customHeight="false" outlineLevel="0" collapsed="false">
      <c r="A958" s="50"/>
      <c r="B958" s="51" t="str">
        <f aca="false">IF(A958="","",MONTH(A958))</f>
        <v/>
      </c>
      <c r="C958" s="52"/>
      <c r="D958" s="52"/>
      <c r="E958" s="52"/>
      <c r="F958" s="53"/>
      <c r="G958" s="52"/>
      <c r="H958" s="54" t="str">
        <f aca="false">IF(E958="","",E958*N(F958)*IF(G958="",1,G958))</f>
        <v/>
      </c>
      <c r="I958" s="55" t="str">
        <f aca="false">IF(C958="","",IFERROR(INDEX('DANH MỤC'!$B$5:$B$200,MATCH(C958,'DANH MỤC'!$A$5:$A$200,0)),"⚠ Mã chưa có trong DANH MỤC"))</f>
        <v/>
      </c>
      <c r="J958" s="52"/>
      <c r="K958" s="52"/>
      <c r="L958" s="52"/>
    </row>
    <row r="959" customFormat="false" ht="15" hidden="false" customHeight="false" outlineLevel="0" collapsed="false">
      <c r="A959" s="50"/>
      <c r="B959" s="51" t="str">
        <f aca="false">IF(A959="","",MONTH(A959))</f>
        <v/>
      </c>
      <c r="C959" s="52"/>
      <c r="D959" s="52"/>
      <c r="E959" s="52"/>
      <c r="F959" s="53"/>
      <c r="G959" s="52"/>
      <c r="H959" s="54" t="str">
        <f aca="false">IF(E959="","",E959*N(F959)*IF(G959="",1,G959))</f>
        <v/>
      </c>
      <c r="I959" s="55" t="str">
        <f aca="false">IF(C959="","",IFERROR(INDEX('DANH MỤC'!$B$5:$B$200,MATCH(C959,'DANH MỤC'!$A$5:$A$200,0)),"⚠ Mã chưa có trong DANH MỤC"))</f>
        <v/>
      </c>
      <c r="J959" s="52"/>
      <c r="K959" s="52"/>
      <c r="L959" s="52"/>
    </row>
    <row r="960" customFormat="false" ht="15" hidden="false" customHeight="false" outlineLevel="0" collapsed="false">
      <c r="A960" s="50"/>
      <c r="B960" s="51" t="str">
        <f aca="false">IF(A960="","",MONTH(A960))</f>
        <v/>
      </c>
      <c r="C960" s="52"/>
      <c r="D960" s="52"/>
      <c r="E960" s="52"/>
      <c r="F960" s="53"/>
      <c r="G960" s="52"/>
      <c r="H960" s="54" t="str">
        <f aca="false">IF(E960="","",E960*N(F960)*IF(G960="",1,G960))</f>
        <v/>
      </c>
      <c r="I960" s="55" t="str">
        <f aca="false">IF(C960="","",IFERROR(INDEX('DANH MỤC'!$B$5:$B$200,MATCH(C960,'DANH MỤC'!$A$5:$A$200,0)),"⚠ Mã chưa có trong DANH MỤC"))</f>
        <v/>
      </c>
      <c r="J960" s="52"/>
      <c r="K960" s="52"/>
      <c r="L960" s="52"/>
    </row>
    <row r="961" customFormat="false" ht="15" hidden="false" customHeight="false" outlineLevel="0" collapsed="false">
      <c r="A961" s="50"/>
      <c r="B961" s="51" t="str">
        <f aca="false">IF(A961="","",MONTH(A961))</f>
        <v/>
      </c>
      <c r="C961" s="52"/>
      <c r="D961" s="52"/>
      <c r="E961" s="52"/>
      <c r="F961" s="53"/>
      <c r="G961" s="52"/>
      <c r="H961" s="54" t="str">
        <f aca="false">IF(E961="","",E961*N(F961)*IF(G961="",1,G961))</f>
        <v/>
      </c>
      <c r="I961" s="55" t="str">
        <f aca="false">IF(C961="","",IFERROR(INDEX('DANH MỤC'!$B$5:$B$200,MATCH(C961,'DANH MỤC'!$A$5:$A$200,0)),"⚠ Mã chưa có trong DANH MỤC"))</f>
        <v/>
      </c>
      <c r="J961" s="52"/>
      <c r="K961" s="52"/>
      <c r="L961" s="52"/>
    </row>
    <row r="962" customFormat="false" ht="15" hidden="false" customHeight="false" outlineLevel="0" collapsed="false">
      <c r="A962" s="50"/>
      <c r="B962" s="51" t="str">
        <f aca="false">IF(A962="","",MONTH(A962))</f>
        <v/>
      </c>
      <c r="C962" s="52"/>
      <c r="D962" s="52"/>
      <c r="E962" s="52"/>
      <c r="F962" s="53"/>
      <c r="G962" s="52"/>
      <c r="H962" s="54" t="str">
        <f aca="false">IF(E962="","",E962*N(F962)*IF(G962="",1,G962))</f>
        <v/>
      </c>
      <c r="I962" s="55" t="str">
        <f aca="false">IF(C962="","",IFERROR(INDEX('DANH MỤC'!$B$5:$B$200,MATCH(C962,'DANH MỤC'!$A$5:$A$200,0)),"⚠ Mã chưa có trong DANH MỤC"))</f>
        <v/>
      </c>
      <c r="J962" s="52"/>
      <c r="K962" s="52"/>
      <c r="L962" s="52"/>
    </row>
    <row r="963" customFormat="false" ht="15" hidden="false" customHeight="false" outlineLevel="0" collapsed="false">
      <c r="A963" s="50"/>
      <c r="B963" s="51" t="str">
        <f aca="false">IF(A963="","",MONTH(A963))</f>
        <v/>
      </c>
      <c r="C963" s="52"/>
      <c r="D963" s="52"/>
      <c r="E963" s="52"/>
      <c r="F963" s="53"/>
      <c r="G963" s="52"/>
      <c r="H963" s="54" t="str">
        <f aca="false">IF(E963="","",E963*N(F963)*IF(G963="",1,G963))</f>
        <v/>
      </c>
      <c r="I963" s="55" t="str">
        <f aca="false">IF(C963="","",IFERROR(INDEX('DANH MỤC'!$B$5:$B$200,MATCH(C963,'DANH MỤC'!$A$5:$A$200,0)),"⚠ Mã chưa có trong DANH MỤC"))</f>
        <v/>
      </c>
      <c r="J963" s="52"/>
      <c r="K963" s="52"/>
      <c r="L963" s="52"/>
    </row>
    <row r="964" customFormat="false" ht="15" hidden="false" customHeight="false" outlineLevel="0" collapsed="false">
      <c r="A964" s="50"/>
      <c r="B964" s="51" t="str">
        <f aca="false">IF(A964="","",MONTH(A964))</f>
        <v/>
      </c>
      <c r="C964" s="52"/>
      <c r="D964" s="52"/>
      <c r="E964" s="52"/>
      <c r="F964" s="53"/>
      <c r="G964" s="52"/>
      <c r="H964" s="54" t="str">
        <f aca="false">IF(E964="","",E964*N(F964)*IF(G964="",1,G964))</f>
        <v/>
      </c>
      <c r="I964" s="55" t="str">
        <f aca="false">IF(C964="","",IFERROR(INDEX('DANH MỤC'!$B$5:$B$200,MATCH(C964,'DANH MỤC'!$A$5:$A$200,0)),"⚠ Mã chưa có trong DANH MỤC"))</f>
        <v/>
      </c>
      <c r="J964" s="52"/>
      <c r="K964" s="52"/>
      <c r="L964" s="52"/>
    </row>
    <row r="965" customFormat="false" ht="15" hidden="false" customHeight="false" outlineLevel="0" collapsed="false">
      <c r="A965" s="50"/>
      <c r="B965" s="51" t="str">
        <f aca="false">IF(A965="","",MONTH(A965))</f>
        <v/>
      </c>
      <c r="C965" s="52"/>
      <c r="D965" s="52"/>
      <c r="E965" s="52"/>
      <c r="F965" s="53"/>
      <c r="G965" s="52"/>
      <c r="H965" s="54" t="str">
        <f aca="false">IF(E965="","",E965*N(F965)*IF(G965="",1,G965))</f>
        <v/>
      </c>
      <c r="I965" s="55" t="str">
        <f aca="false">IF(C965="","",IFERROR(INDEX('DANH MỤC'!$B$5:$B$200,MATCH(C965,'DANH MỤC'!$A$5:$A$200,0)),"⚠ Mã chưa có trong DANH MỤC"))</f>
        <v/>
      </c>
      <c r="J965" s="52"/>
      <c r="K965" s="52"/>
      <c r="L965" s="52"/>
    </row>
    <row r="966" customFormat="false" ht="15" hidden="false" customHeight="false" outlineLevel="0" collapsed="false">
      <c r="A966" s="50"/>
      <c r="B966" s="51" t="str">
        <f aca="false">IF(A966="","",MONTH(A966))</f>
        <v/>
      </c>
      <c r="C966" s="52"/>
      <c r="D966" s="52"/>
      <c r="E966" s="52"/>
      <c r="F966" s="53"/>
      <c r="G966" s="52"/>
      <c r="H966" s="54" t="str">
        <f aca="false">IF(E966="","",E966*N(F966)*IF(G966="",1,G966))</f>
        <v/>
      </c>
      <c r="I966" s="55" t="str">
        <f aca="false">IF(C966="","",IFERROR(INDEX('DANH MỤC'!$B$5:$B$200,MATCH(C966,'DANH MỤC'!$A$5:$A$200,0)),"⚠ Mã chưa có trong DANH MỤC"))</f>
        <v/>
      </c>
      <c r="J966" s="52"/>
      <c r="K966" s="52"/>
      <c r="L966" s="52"/>
    </row>
    <row r="967" customFormat="false" ht="15" hidden="false" customHeight="false" outlineLevel="0" collapsed="false">
      <c r="A967" s="50"/>
      <c r="B967" s="51" t="str">
        <f aca="false">IF(A967="","",MONTH(A967))</f>
        <v/>
      </c>
      <c r="C967" s="52"/>
      <c r="D967" s="52"/>
      <c r="E967" s="52"/>
      <c r="F967" s="53"/>
      <c r="G967" s="52"/>
      <c r="H967" s="54" t="str">
        <f aca="false">IF(E967="","",E967*N(F967)*IF(G967="",1,G967))</f>
        <v/>
      </c>
      <c r="I967" s="55" t="str">
        <f aca="false">IF(C967="","",IFERROR(INDEX('DANH MỤC'!$B$5:$B$200,MATCH(C967,'DANH MỤC'!$A$5:$A$200,0)),"⚠ Mã chưa có trong DANH MỤC"))</f>
        <v/>
      </c>
      <c r="J967" s="52"/>
      <c r="K967" s="52"/>
      <c r="L967" s="52"/>
    </row>
    <row r="968" customFormat="false" ht="15" hidden="false" customHeight="false" outlineLevel="0" collapsed="false">
      <c r="A968" s="50"/>
      <c r="B968" s="51" t="str">
        <f aca="false">IF(A968="","",MONTH(A968))</f>
        <v/>
      </c>
      <c r="C968" s="52"/>
      <c r="D968" s="52"/>
      <c r="E968" s="52"/>
      <c r="F968" s="53"/>
      <c r="G968" s="52"/>
      <c r="H968" s="54" t="str">
        <f aca="false">IF(E968="","",E968*N(F968)*IF(G968="",1,G968))</f>
        <v/>
      </c>
      <c r="I968" s="55" t="str">
        <f aca="false">IF(C968="","",IFERROR(INDEX('DANH MỤC'!$B$5:$B$200,MATCH(C968,'DANH MỤC'!$A$5:$A$200,0)),"⚠ Mã chưa có trong DANH MỤC"))</f>
        <v/>
      </c>
      <c r="J968" s="52"/>
      <c r="K968" s="52"/>
      <c r="L968" s="52"/>
    </row>
    <row r="969" customFormat="false" ht="15" hidden="false" customHeight="false" outlineLevel="0" collapsed="false">
      <c r="A969" s="50"/>
      <c r="B969" s="51" t="str">
        <f aca="false">IF(A969="","",MONTH(A969))</f>
        <v/>
      </c>
      <c r="C969" s="52"/>
      <c r="D969" s="52"/>
      <c r="E969" s="52"/>
      <c r="F969" s="53"/>
      <c r="G969" s="52"/>
      <c r="H969" s="54" t="str">
        <f aca="false">IF(E969="","",E969*N(F969)*IF(G969="",1,G969))</f>
        <v/>
      </c>
      <c r="I969" s="55" t="str">
        <f aca="false">IF(C969="","",IFERROR(INDEX('DANH MỤC'!$B$5:$B$200,MATCH(C969,'DANH MỤC'!$A$5:$A$200,0)),"⚠ Mã chưa có trong DANH MỤC"))</f>
        <v/>
      </c>
      <c r="J969" s="52"/>
      <c r="K969" s="52"/>
      <c r="L969" s="52"/>
    </row>
    <row r="970" customFormat="false" ht="15" hidden="false" customHeight="false" outlineLevel="0" collapsed="false">
      <c r="A970" s="50"/>
      <c r="B970" s="51" t="str">
        <f aca="false">IF(A970="","",MONTH(A970))</f>
        <v/>
      </c>
      <c r="C970" s="52"/>
      <c r="D970" s="52"/>
      <c r="E970" s="52"/>
      <c r="F970" s="53"/>
      <c r="G970" s="52"/>
      <c r="H970" s="54" t="str">
        <f aca="false">IF(E970="","",E970*N(F970)*IF(G970="",1,G970))</f>
        <v/>
      </c>
      <c r="I970" s="55" t="str">
        <f aca="false">IF(C970="","",IFERROR(INDEX('DANH MỤC'!$B$5:$B$200,MATCH(C970,'DANH MỤC'!$A$5:$A$200,0)),"⚠ Mã chưa có trong DANH MỤC"))</f>
        <v/>
      </c>
      <c r="J970" s="52"/>
      <c r="K970" s="52"/>
      <c r="L970" s="52"/>
    </row>
    <row r="971" customFormat="false" ht="15" hidden="false" customHeight="false" outlineLevel="0" collapsed="false">
      <c r="A971" s="50"/>
      <c r="B971" s="51" t="str">
        <f aca="false">IF(A971="","",MONTH(A971))</f>
        <v/>
      </c>
      <c r="C971" s="52"/>
      <c r="D971" s="52"/>
      <c r="E971" s="52"/>
      <c r="F971" s="53"/>
      <c r="G971" s="52"/>
      <c r="H971" s="54" t="str">
        <f aca="false">IF(E971="","",E971*N(F971)*IF(G971="",1,G971))</f>
        <v/>
      </c>
      <c r="I971" s="55" t="str">
        <f aca="false">IF(C971="","",IFERROR(INDEX('DANH MỤC'!$B$5:$B$200,MATCH(C971,'DANH MỤC'!$A$5:$A$200,0)),"⚠ Mã chưa có trong DANH MỤC"))</f>
        <v/>
      </c>
      <c r="J971" s="52"/>
      <c r="K971" s="52"/>
      <c r="L971" s="52"/>
    </row>
    <row r="972" customFormat="false" ht="15" hidden="false" customHeight="false" outlineLevel="0" collapsed="false">
      <c r="A972" s="50"/>
      <c r="B972" s="51" t="str">
        <f aca="false">IF(A972="","",MONTH(A972))</f>
        <v/>
      </c>
      <c r="C972" s="52"/>
      <c r="D972" s="52"/>
      <c r="E972" s="52"/>
      <c r="F972" s="53"/>
      <c r="G972" s="52"/>
      <c r="H972" s="54" t="str">
        <f aca="false">IF(E972="","",E972*N(F972)*IF(G972="",1,G972))</f>
        <v/>
      </c>
      <c r="I972" s="55" t="str">
        <f aca="false">IF(C972="","",IFERROR(INDEX('DANH MỤC'!$B$5:$B$200,MATCH(C972,'DANH MỤC'!$A$5:$A$200,0)),"⚠ Mã chưa có trong DANH MỤC"))</f>
        <v/>
      </c>
      <c r="J972" s="52"/>
      <c r="K972" s="52"/>
      <c r="L972" s="52"/>
    </row>
    <row r="973" customFormat="false" ht="15" hidden="false" customHeight="false" outlineLevel="0" collapsed="false">
      <c r="A973" s="50"/>
      <c r="B973" s="51" t="str">
        <f aca="false">IF(A973="","",MONTH(A973))</f>
        <v/>
      </c>
      <c r="C973" s="52"/>
      <c r="D973" s="52"/>
      <c r="E973" s="52"/>
      <c r="F973" s="53"/>
      <c r="G973" s="52"/>
      <c r="H973" s="54" t="str">
        <f aca="false">IF(E973="","",E973*N(F973)*IF(G973="",1,G973))</f>
        <v/>
      </c>
      <c r="I973" s="55" t="str">
        <f aca="false">IF(C973="","",IFERROR(INDEX('DANH MỤC'!$B$5:$B$200,MATCH(C973,'DANH MỤC'!$A$5:$A$200,0)),"⚠ Mã chưa có trong DANH MỤC"))</f>
        <v/>
      </c>
      <c r="J973" s="52"/>
      <c r="K973" s="52"/>
      <c r="L973" s="52"/>
    </row>
    <row r="974" customFormat="false" ht="15" hidden="false" customHeight="false" outlineLevel="0" collapsed="false">
      <c r="A974" s="50"/>
      <c r="B974" s="51" t="str">
        <f aca="false">IF(A974="","",MONTH(A974))</f>
        <v/>
      </c>
      <c r="C974" s="52"/>
      <c r="D974" s="52"/>
      <c r="E974" s="52"/>
      <c r="F974" s="53"/>
      <c r="G974" s="52"/>
      <c r="H974" s="54" t="str">
        <f aca="false">IF(E974="","",E974*N(F974)*IF(G974="",1,G974))</f>
        <v/>
      </c>
      <c r="I974" s="55" t="str">
        <f aca="false">IF(C974="","",IFERROR(INDEX('DANH MỤC'!$B$5:$B$200,MATCH(C974,'DANH MỤC'!$A$5:$A$200,0)),"⚠ Mã chưa có trong DANH MỤC"))</f>
        <v/>
      </c>
      <c r="J974" s="52"/>
      <c r="K974" s="52"/>
      <c r="L974" s="52"/>
    </row>
    <row r="975" customFormat="false" ht="15" hidden="false" customHeight="false" outlineLevel="0" collapsed="false">
      <c r="A975" s="50"/>
      <c r="B975" s="51" t="str">
        <f aca="false">IF(A975="","",MONTH(A975))</f>
        <v/>
      </c>
      <c r="C975" s="52"/>
      <c r="D975" s="52"/>
      <c r="E975" s="52"/>
      <c r="F975" s="53"/>
      <c r="G975" s="52"/>
      <c r="H975" s="54" t="str">
        <f aca="false">IF(E975="","",E975*N(F975)*IF(G975="",1,G975))</f>
        <v/>
      </c>
      <c r="I975" s="55" t="str">
        <f aca="false">IF(C975="","",IFERROR(INDEX('DANH MỤC'!$B$5:$B$200,MATCH(C975,'DANH MỤC'!$A$5:$A$200,0)),"⚠ Mã chưa có trong DANH MỤC"))</f>
        <v/>
      </c>
      <c r="J975" s="52"/>
      <c r="K975" s="52"/>
      <c r="L975" s="52"/>
    </row>
    <row r="976" customFormat="false" ht="15" hidden="false" customHeight="false" outlineLevel="0" collapsed="false">
      <c r="A976" s="50"/>
      <c r="B976" s="51" t="str">
        <f aca="false">IF(A976="","",MONTH(A976))</f>
        <v/>
      </c>
      <c r="C976" s="52"/>
      <c r="D976" s="52"/>
      <c r="E976" s="52"/>
      <c r="F976" s="53"/>
      <c r="G976" s="52"/>
      <c r="H976" s="54" t="str">
        <f aca="false">IF(E976="","",E976*N(F976)*IF(G976="",1,G976))</f>
        <v/>
      </c>
      <c r="I976" s="55" t="str">
        <f aca="false">IF(C976="","",IFERROR(INDEX('DANH MỤC'!$B$5:$B$200,MATCH(C976,'DANH MỤC'!$A$5:$A$200,0)),"⚠ Mã chưa có trong DANH MỤC"))</f>
        <v/>
      </c>
      <c r="J976" s="52"/>
      <c r="K976" s="52"/>
      <c r="L976" s="52"/>
    </row>
    <row r="977" customFormat="false" ht="15" hidden="false" customHeight="false" outlineLevel="0" collapsed="false">
      <c r="A977" s="50"/>
      <c r="B977" s="51" t="str">
        <f aca="false">IF(A977="","",MONTH(A977))</f>
        <v/>
      </c>
      <c r="C977" s="52"/>
      <c r="D977" s="52"/>
      <c r="E977" s="52"/>
      <c r="F977" s="53"/>
      <c r="G977" s="52"/>
      <c r="H977" s="54" t="str">
        <f aca="false">IF(E977="","",E977*N(F977)*IF(G977="",1,G977))</f>
        <v/>
      </c>
      <c r="I977" s="55" t="str">
        <f aca="false">IF(C977="","",IFERROR(INDEX('DANH MỤC'!$B$5:$B$200,MATCH(C977,'DANH MỤC'!$A$5:$A$200,0)),"⚠ Mã chưa có trong DANH MỤC"))</f>
        <v/>
      </c>
      <c r="J977" s="52"/>
      <c r="K977" s="52"/>
      <c r="L977" s="52"/>
    </row>
    <row r="978" customFormat="false" ht="15" hidden="false" customHeight="false" outlineLevel="0" collapsed="false">
      <c r="A978" s="50"/>
      <c r="B978" s="51" t="str">
        <f aca="false">IF(A978="","",MONTH(A978))</f>
        <v/>
      </c>
      <c r="C978" s="52"/>
      <c r="D978" s="52"/>
      <c r="E978" s="52"/>
      <c r="F978" s="53"/>
      <c r="G978" s="52"/>
      <c r="H978" s="54" t="str">
        <f aca="false">IF(E978="","",E978*N(F978)*IF(G978="",1,G978))</f>
        <v/>
      </c>
      <c r="I978" s="55" t="str">
        <f aca="false">IF(C978="","",IFERROR(INDEX('DANH MỤC'!$B$5:$B$200,MATCH(C978,'DANH MỤC'!$A$5:$A$200,0)),"⚠ Mã chưa có trong DANH MỤC"))</f>
        <v/>
      </c>
      <c r="J978" s="52"/>
      <c r="K978" s="52"/>
      <c r="L978" s="52"/>
    </row>
    <row r="979" customFormat="false" ht="15" hidden="false" customHeight="false" outlineLevel="0" collapsed="false">
      <c r="A979" s="50"/>
      <c r="B979" s="51" t="str">
        <f aca="false">IF(A979="","",MONTH(A979))</f>
        <v/>
      </c>
      <c r="C979" s="52"/>
      <c r="D979" s="52"/>
      <c r="E979" s="52"/>
      <c r="F979" s="53"/>
      <c r="G979" s="52"/>
      <c r="H979" s="54" t="str">
        <f aca="false">IF(E979="","",E979*N(F979)*IF(G979="",1,G979))</f>
        <v/>
      </c>
      <c r="I979" s="55" t="str">
        <f aca="false">IF(C979="","",IFERROR(INDEX('DANH MỤC'!$B$5:$B$200,MATCH(C979,'DANH MỤC'!$A$5:$A$200,0)),"⚠ Mã chưa có trong DANH MỤC"))</f>
        <v/>
      </c>
      <c r="J979" s="52"/>
      <c r="K979" s="52"/>
      <c r="L979" s="52"/>
    </row>
    <row r="980" customFormat="false" ht="15" hidden="false" customHeight="false" outlineLevel="0" collapsed="false">
      <c r="A980" s="50"/>
      <c r="B980" s="51" t="str">
        <f aca="false">IF(A980="","",MONTH(A980))</f>
        <v/>
      </c>
      <c r="C980" s="52"/>
      <c r="D980" s="52"/>
      <c r="E980" s="52"/>
      <c r="F980" s="53"/>
      <c r="G980" s="52"/>
      <c r="H980" s="54" t="str">
        <f aca="false">IF(E980="","",E980*N(F980)*IF(G980="",1,G980))</f>
        <v/>
      </c>
      <c r="I980" s="55" t="str">
        <f aca="false">IF(C980="","",IFERROR(INDEX('DANH MỤC'!$B$5:$B$200,MATCH(C980,'DANH MỤC'!$A$5:$A$200,0)),"⚠ Mã chưa có trong DANH MỤC"))</f>
        <v/>
      </c>
      <c r="J980" s="52"/>
      <c r="K980" s="52"/>
      <c r="L980" s="52"/>
    </row>
    <row r="981" customFormat="false" ht="15" hidden="false" customHeight="false" outlineLevel="0" collapsed="false">
      <c r="A981" s="50"/>
      <c r="B981" s="51" t="str">
        <f aca="false">IF(A981="","",MONTH(A981))</f>
        <v/>
      </c>
      <c r="C981" s="52"/>
      <c r="D981" s="52"/>
      <c r="E981" s="52"/>
      <c r="F981" s="53"/>
      <c r="G981" s="52"/>
      <c r="H981" s="54" t="str">
        <f aca="false">IF(E981="","",E981*N(F981)*IF(G981="",1,G981))</f>
        <v/>
      </c>
      <c r="I981" s="55" t="str">
        <f aca="false">IF(C981="","",IFERROR(INDEX('DANH MỤC'!$B$5:$B$200,MATCH(C981,'DANH MỤC'!$A$5:$A$200,0)),"⚠ Mã chưa có trong DANH MỤC"))</f>
        <v/>
      </c>
      <c r="J981" s="52"/>
      <c r="K981" s="52"/>
      <c r="L981" s="52"/>
    </row>
    <row r="982" customFormat="false" ht="15" hidden="false" customHeight="false" outlineLevel="0" collapsed="false">
      <c r="A982" s="50"/>
      <c r="B982" s="51" t="str">
        <f aca="false">IF(A982="","",MONTH(A982))</f>
        <v/>
      </c>
      <c r="C982" s="52"/>
      <c r="D982" s="52"/>
      <c r="E982" s="52"/>
      <c r="F982" s="53"/>
      <c r="G982" s="52"/>
      <c r="H982" s="54" t="str">
        <f aca="false">IF(E982="","",E982*N(F982)*IF(G982="",1,G982))</f>
        <v/>
      </c>
      <c r="I982" s="55" t="str">
        <f aca="false">IF(C982="","",IFERROR(INDEX('DANH MỤC'!$B$5:$B$200,MATCH(C982,'DANH MỤC'!$A$5:$A$200,0)),"⚠ Mã chưa có trong DANH MỤC"))</f>
        <v/>
      </c>
      <c r="J982" s="52"/>
      <c r="K982" s="52"/>
      <c r="L982" s="52"/>
    </row>
    <row r="983" customFormat="false" ht="15" hidden="false" customHeight="false" outlineLevel="0" collapsed="false">
      <c r="A983" s="50"/>
      <c r="B983" s="51" t="str">
        <f aca="false">IF(A983="","",MONTH(A983))</f>
        <v/>
      </c>
      <c r="C983" s="52"/>
      <c r="D983" s="52"/>
      <c r="E983" s="52"/>
      <c r="F983" s="53"/>
      <c r="G983" s="52"/>
      <c r="H983" s="54" t="str">
        <f aca="false">IF(E983="","",E983*N(F983)*IF(G983="",1,G983))</f>
        <v/>
      </c>
      <c r="I983" s="55" t="str">
        <f aca="false">IF(C983="","",IFERROR(INDEX('DANH MỤC'!$B$5:$B$200,MATCH(C983,'DANH MỤC'!$A$5:$A$200,0)),"⚠ Mã chưa có trong DANH MỤC"))</f>
        <v/>
      </c>
      <c r="J983" s="52"/>
      <c r="K983" s="52"/>
      <c r="L983" s="52"/>
    </row>
    <row r="984" customFormat="false" ht="15" hidden="false" customHeight="false" outlineLevel="0" collapsed="false">
      <c r="A984" s="50"/>
      <c r="B984" s="51" t="str">
        <f aca="false">IF(A984="","",MONTH(A984))</f>
        <v/>
      </c>
      <c r="C984" s="52"/>
      <c r="D984" s="52"/>
      <c r="E984" s="52"/>
      <c r="F984" s="53"/>
      <c r="G984" s="52"/>
      <c r="H984" s="54" t="str">
        <f aca="false">IF(E984="","",E984*N(F984)*IF(G984="",1,G984))</f>
        <v/>
      </c>
      <c r="I984" s="55" t="str">
        <f aca="false">IF(C984="","",IFERROR(INDEX('DANH MỤC'!$B$5:$B$200,MATCH(C984,'DANH MỤC'!$A$5:$A$200,0)),"⚠ Mã chưa có trong DANH MỤC"))</f>
        <v/>
      </c>
      <c r="J984" s="52"/>
      <c r="K984" s="52"/>
      <c r="L984" s="52"/>
    </row>
    <row r="985" customFormat="false" ht="15" hidden="false" customHeight="false" outlineLevel="0" collapsed="false">
      <c r="A985" s="50"/>
      <c r="B985" s="51" t="str">
        <f aca="false">IF(A985="","",MONTH(A985))</f>
        <v/>
      </c>
      <c r="C985" s="52"/>
      <c r="D985" s="52"/>
      <c r="E985" s="52"/>
      <c r="F985" s="53"/>
      <c r="G985" s="52"/>
      <c r="H985" s="54" t="str">
        <f aca="false">IF(E985="","",E985*N(F985)*IF(G985="",1,G985))</f>
        <v/>
      </c>
      <c r="I985" s="55" t="str">
        <f aca="false">IF(C985="","",IFERROR(INDEX('DANH MỤC'!$B$5:$B$200,MATCH(C985,'DANH MỤC'!$A$5:$A$200,0)),"⚠ Mã chưa có trong DANH MỤC"))</f>
        <v/>
      </c>
      <c r="J985" s="52"/>
      <c r="K985" s="52"/>
      <c r="L985" s="52"/>
    </row>
    <row r="986" customFormat="false" ht="15" hidden="false" customHeight="false" outlineLevel="0" collapsed="false">
      <c r="A986" s="50"/>
      <c r="B986" s="51" t="str">
        <f aca="false">IF(A986="","",MONTH(A986))</f>
        <v/>
      </c>
      <c r="C986" s="52"/>
      <c r="D986" s="52"/>
      <c r="E986" s="52"/>
      <c r="F986" s="53"/>
      <c r="G986" s="52"/>
      <c r="H986" s="54" t="str">
        <f aca="false">IF(E986="","",E986*N(F986)*IF(G986="",1,G986))</f>
        <v/>
      </c>
      <c r="I986" s="55" t="str">
        <f aca="false">IF(C986="","",IFERROR(INDEX('DANH MỤC'!$B$5:$B$200,MATCH(C986,'DANH MỤC'!$A$5:$A$200,0)),"⚠ Mã chưa có trong DANH MỤC"))</f>
        <v/>
      </c>
      <c r="J986" s="52"/>
      <c r="K986" s="52"/>
      <c r="L986" s="52"/>
    </row>
    <row r="987" customFormat="false" ht="15" hidden="false" customHeight="false" outlineLevel="0" collapsed="false">
      <c r="A987" s="50"/>
      <c r="B987" s="51" t="str">
        <f aca="false">IF(A987="","",MONTH(A987))</f>
        <v/>
      </c>
      <c r="C987" s="52"/>
      <c r="D987" s="52"/>
      <c r="E987" s="52"/>
      <c r="F987" s="53"/>
      <c r="G987" s="52"/>
      <c r="H987" s="54" t="str">
        <f aca="false">IF(E987="","",E987*N(F987)*IF(G987="",1,G987))</f>
        <v/>
      </c>
      <c r="I987" s="55" t="str">
        <f aca="false">IF(C987="","",IFERROR(INDEX('DANH MỤC'!$B$5:$B$200,MATCH(C987,'DANH MỤC'!$A$5:$A$200,0)),"⚠ Mã chưa có trong DANH MỤC"))</f>
        <v/>
      </c>
      <c r="J987" s="52"/>
      <c r="K987" s="52"/>
      <c r="L987" s="52"/>
    </row>
    <row r="988" customFormat="false" ht="15" hidden="false" customHeight="false" outlineLevel="0" collapsed="false">
      <c r="A988" s="50"/>
      <c r="B988" s="51" t="str">
        <f aca="false">IF(A988="","",MONTH(A988))</f>
        <v/>
      </c>
      <c r="C988" s="52"/>
      <c r="D988" s="52"/>
      <c r="E988" s="52"/>
      <c r="F988" s="53"/>
      <c r="G988" s="52"/>
      <c r="H988" s="54" t="str">
        <f aca="false">IF(E988="","",E988*N(F988)*IF(G988="",1,G988))</f>
        <v/>
      </c>
      <c r="I988" s="55" t="str">
        <f aca="false">IF(C988="","",IFERROR(INDEX('DANH MỤC'!$B$5:$B$200,MATCH(C988,'DANH MỤC'!$A$5:$A$200,0)),"⚠ Mã chưa có trong DANH MỤC"))</f>
        <v/>
      </c>
      <c r="J988" s="52"/>
      <c r="K988" s="52"/>
      <c r="L988" s="52"/>
    </row>
    <row r="989" customFormat="false" ht="15" hidden="false" customHeight="false" outlineLevel="0" collapsed="false">
      <c r="A989" s="50"/>
      <c r="B989" s="51" t="str">
        <f aca="false">IF(A989="","",MONTH(A989))</f>
        <v/>
      </c>
      <c r="C989" s="52"/>
      <c r="D989" s="52"/>
      <c r="E989" s="52"/>
      <c r="F989" s="53"/>
      <c r="G989" s="52"/>
      <c r="H989" s="54" t="str">
        <f aca="false">IF(E989="","",E989*N(F989)*IF(G989="",1,G989))</f>
        <v/>
      </c>
      <c r="I989" s="55" t="str">
        <f aca="false">IF(C989="","",IFERROR(INDEX('DANH MỤC'!$B$5:$B$200,MATCH(C989,'DANH MỤC'!$A$5:$A$200,0)),"⚠ Mã chưa có trong DANH MỤC"))</f>
        <v/>
      </c>
      <c r="J989" s="52"/>
      <c r="K989" s="52"/>
      <c r="L989" s="52"/>
    </row>
    <row r="990" customFormat="false" ht="15" hidden="false" customHeight="false" outlineLevel="0" collapsed="false">
      <c r="A990" s="50"/>
      <c r="B990" s="51" t="str">
        <f aca="false">IF(A990="","",MONTH(A990))</f>
        <v/>
      </c>
      <c r="C990" s="52"/>
      <c r="D990" s="52"/>
      <c r="E990" s="52"/>
      <c r="F990" s="53"/>
      <c r="G990" s="52"/>
      <c r="H990" s="54" t="str">
        <f aca="false">IF(E990="","",E990*N(F990)*IF(G990="",1,G990))</f>
        <v/>
      </c>
      <c r="I990" s="55" t="str">
        <f aca="false">IF(C990="","",IFERROR(INDEX('DANH MỤC'!$B$5:$B$200,MATCH(C990,'DANH MỤC'!$A$5:$A$200,0)),"⚠ Mã chưa có trong DANH MỤC"))</f>
        <v/>
      </c>
      <c r="J990" s="52"/>
      <c r="K990" s="52"/>
      <c r="L990" s="52"/>
    </row>
    <row r="991" customFormat="false" ht="15" hidden="false" customHeight="false" outlineLevel="0" collapsed="false">
      <c r="A991" s="50"/>
      <c r="B991" s="51" t="str">
        <f aca="false">IF(A991="","",MONTH(A991))</f>
        <v/>
      </c>
      <c r="C991" s="52"/>
      <c r="D991" s="52"/>
      <c r="E991" s="52"/>
      <c r="F991" s="53"/>
      <c r="G991" s="52"/>
      <c r="H991" s="54" t="str">
        <f aca="false">IF(E991="","",E991*N(F991)*IF(G991="",1,G991))</f>
        <v/>
      </c>
      <c r="I991" s="55" t="str">
        <f aca="false">IF(C991="","",IFERROR(INDEX('DANH MỤC'!$B$5:$B$200,MATCH(C991,'DANH MỤC'!$A$5:$A$200,0)),"⚠ Mã chưa có trong DANH MỤC"))</f>
        <v/>
      </c>
      <c r="J991" s="52"/>
      <c r="K991" s="52"/>
      <c r="L991" s="52"/>
    </row>
    <row r="992" customFormat="false" ht="15" hidden="false" customHeight="false" outlineLevel="0" collapsed="false">
      <c r="A992" s="50"/>
      <c r="B992" s="51" t="str">
        <f aca="false">IF(A992="","",MONTH(A992))</f>
        <v/>
      </c>
      <c r="C992" s="52"/>
      <c r="D992" s="52"/>
      <c r="E992" s="52"/>
      <c r="F992" s="53"/>
      <c r="G992" s="52"/>
      <c r="H992" s="54" t="str">
        <f aca="false">IF(E992="","",E992*N(F992)*IF(G992="",1,G992))</f>
        <v/>
      </c>
      <c r="I992" s="55" t="str">
        <f aca="false">IF(C992="","",IFERROR(INDEX('DANH MỤC'!$B$5:$B$200,MATCH(C992,'DANH MỤC'!$A$5:$A$200,0)),"⚠ Mã chưa có trong DANH MỤC"))</f>
        <v/>
      </c>
      <c r="J992" s="52"/>
      <c r="K992" s="52"/>
      <c r="L992" s="52"/>
    </row>
    <row r="993" customFormat="false" ht="15" hidden="false" customHeight="false" outlineLevel="0" collapsed="false">
      <c r="A993" s="50"/>
      <c r="B993" s="51" t="str">
        <f aca="false">IF(A993="","",MONTH(A993))</f>
        <v/>
      </c>
      <c r="C993" s="52"/>
      <c r="D993" s="52"/>
      <c r="E993" s="52"/>
      <c r="F993" s="53"/>
      <c r="G993" s="52"/>
      <c r="H993" s="54" t="str">
        <f aca="false">IF(E993="","",E993*N(F993)*IF(G993="",1,G993))</f>
        <v/>
      </c>
      <c r="I993" s="55" t="str">
        <f aca="false">IF(C993="","",IFERROR(INDEX('DANH MỤC'!$B$5:$B$200,MATCH(C993,'DANH MỤC'!$A$5:$A$200,0)),"⚠ Mã chưa có trong DANH MỤC"))</f>
        <v/>
      </c>
      <c r="J993" s="52"/>
      <c r="K993" s="52"/>
      <c r="L993" s="52"/>
    </row>
    <row r="994" customFormat="false" ht="15" hidden="false" customHeight="false" outlineLevel="0" collapsed="false">
      <c r="A994" s="50"/>
      <c r="B994" s="51" t="str">
        <f aca="false">IF(A994="","",MONTH(A994))</f>
        <v/>
      </c>
      <c r="C994" s="52"/>
      <c r="D994" s="52"/>
      <c r="E994" s="52"/>
      <c r="F994" s="53"/>
      <c r="G994" s="52"/>
      <c r="H994" s="54" t="str">
        <f aca="false">IF(E994="","",E994*N(F994)*IF(G994="",1,G994))</f>
        <v/>
      </c>
      <c r="I994" s="55" t="str">
        <f aca="false">IF(C994="","",IFERROR(INDEX('DANH MỤC'!$B$5:$B$200,MATCH(C994,'DANH MỤC'!$A$5:$A$200,0)),"⚠ Mã chưa có trong DANH MỤC"))</f>
        <v/>
      </c>
      <c r="J994" s="52"/>
      <c r="K994" s="52"/>
      <c r="L994" s="52"/>
    </row>
    <row r="995" customFormat="false" ht="15" hidden="false" customHeight="false" outlineLevel="0" collapsed="false">
      <c r="A995" s="50"/>
      <c r="B995" s="51" t="str">
        <f aca="false">IF(A995="","",MONTH(A995))</f>
        <v/>
      </c>
      <c r="C995" s="52"/>
      <c r="D995" s="52"/>
      <c r="E995" s="52"/>
      <c r="F995" s="53"/>
      <c r="G995" s="52"/>
      <c r="H995" s="54" t="str">
        <f aca="false">IF(E995="","",E995*N(F995)*IF(G995="",1,G995))</f>
        <v/>
      </c>
      <c r="I995" s="55" t="str">
        <f aca="false">IF(C995="","",IFERROR(INDEX('DANH MỤC'!$B$5:$B$200,MATCH(C995,'DANH MỤC'!$A$5:$A$200,0)),"⚠ Mã chưa có trong DANH MỤC"))</f>
        <v/>
      </c>
      <c r="J995" s="52"/>
      <c r="K995" s="52"/>
      <c r="L995" s="52"/>
    </row>
    <row r="996" customFormat="false" ht="15" hidden="false" customHeight="false" outlineLevel="0" collapsed="false">
      <c r="A996" s="50"/>
      <c r="B996" s="51" t="str">
        <f aca="false">IF(A996="","",MONTH(A996))</f>
        <v/>
      </c>
      <c r="C996" s="52"/>
      <c r="D996" s="52"/>
      <c r="E996" s="52"/>
      <c r="F996" s="53"/>
      <c r="G996" s="52"/>
      <c r="H996" s="54" t="str">
        <f aca="false">IF(E996="","",E996*N(F996)*IF(G996="",1,G996))</f>
        <v/>
      </c>
      <c r="I996" s="55" t="str">
        <f aca="false">IF(C996="","",IFERROR(INDEX('DANH MỤC'!$B$5:$B$200,MATCH(C996,'DANH MỤC'!$A$5:$A$200,0)),"⚠ Mã chưa có trong DANH MỤC"))</f>
        <v/>
      </c>
      <c r="J996" s="52"/>
      <c r="K996" s="52"/>
      <c r="L996" s="52"/>
    </row>
    <row r="997" customFormat="false" ht="15" hidden="false" customHeight="false" outlineLevel="0" collapsed="false">
      <c r="A997" s="50"/>
      <c r="B997" s="51" t="str">
        <f aca="false">IF(A997="","",MONTH(A997))</f>
        <v/>
      </c>
      <c r="C997" s="52"/>
      <c r="D997" s="52"/>
      <c r="E997" s="52"/>
      <c r="F997" s="53"/>
      <c r="G997" s="52"/>
      <c r="H997" s="54" t="str">
        <f aca="false">IF(E997="","",E997*N(F997)*IF(G997="",1,G997))</f>
        <v/>
      </c>
      <c r="I997" s="55" t="str">
        <f aca="false">IF(C997="","",IFERROR(INDEX('DANH MỤC'!$B$5:$B$200,MATCH(C997,'DANH MỤC'!$A$5:$A$200,0)),"⚠ Mã chưa có trong DANH MỤC"))</f>
        <v/>
      </c>
      <c r="J997" s="52"/>
      <c r="K997" s="52"/>
      <c r="L997" s="52"/>
    </row>
    <row r="998" customFormat="false" ht="15" hidden="false" customHeight="false" outlineLevel="0" collapsed="false">
      <c r="A998" s="50"/>
      <c r="B998" s="51" t="str">
        <f aca="false">IF(A998="","",MONTH(A998))</f>
        <v/>
      </c>
      <c r="C998" s="52"/>
      <c r="D998" s="52"/>
      <c r="E998" s="52"/>
      <c r="F998" s="53"/>
      <c r="G998" s="52"/>
      <c r="H998" s="54" t="str">
        <f aca="false">IF(E998="","",E998*N(F998)*IF(G998="",1,G998))</f>
        <v/>
      </c>
      <c r="I998" s="55" t="str">
        <f aca="false">IF(C998="","",IFERROR(INDEX('DANH MỤC'!$B$5:$B$200,MATCH(C998,'DANH MỤC'!$A$5:$A$200,0)),"⚠ Mã chưa có trong DANH MỤC"))</f>
        <v/>
      </c>
      <c r="J998" s="52"/>
      <c r="K998" s="52"/>
      <c r="L998" s="52"/>
    </row>
    <row r="999" customFormat="false" ht="15" hidden="false" customHeight="false" outlineLevel="0" collapsed="false">
      <c r="A999" s="50"/>
      <c r="B999" s="51" t="str">
        <f aca="false">IF(A999="","",MONTH(A999))</f>
        <v/>
      </c>
      <c r="C999" s="52"/>
      <c r="D999" s="52"/>
      <c r="E999" s="52"/>
      <c r="F999" s="53"/>
      <c r="G999" s="52"/>
      <c r="H999" s="54" t="str">
        <f aca="false">IF(E999="","",E999*N(F999)*IF(G999="",1,G999))</f>
        <v/>
      </c>
      <c r="I999" s="55" t="str">
        <f aca="false">IF(C999="","",IFERROR(INDEX('DANH MỤC'!$B$5:$B$200,MATCH(C999,'DANH MỤC'!$A$5:$A$200,0)),"⚠ Mã chưa có trong DANH MỤC"))</f>
        <v/>
      </c>
      <c r="J999" s="52"/>
      <c r="K999" s="52"/>
      <c r="L999" s="52"/>
    </row>
    <row r="1000" customFormat="false" ht="15" hidden="false" customHeight="false" outlineLevel="0" collapsed="false">
      <c r="A1000" s="50"/>
      <c r="B1000" s="51" t="str">
        <f aca="false">IF(A1000="","",MONTH(A1000))</f>
        <v/>
      </c>
      <c r="C1000" s="52"/>
      <c r="D1000" s="52"/>
      <c r="E1000" s="52"/>
      <c r="F1000" s="53"/>
      <c r="G1000" s="52"/>
      <c r="H1000" s="54" t="str">
        <f aca="false">IF(E1000="","",E1000*N(F1000)*IF(G1000="",1,G1000))</f>
        <v/>
      </c>
      <c r="I1000" s="55" t="str">
        <f aca="false">IF(C1000="","",IFERROR(INDEX('DANH MỤC'!$B$5:$B$200,MATCH(C1000,'DANH MỤC'!$A$5:$A$200,0)),"⚠ Mã chưa có trong DANH MỤC"))</f>
        <v/>
      </c>
      <c r="J1000" s="52"/>
      <c r="K1000" s="52"/>
      <c r="L1000" s="52"/>
    </row>
    <row r="1001" customFormat="false" ht="15" hidden="false" customHeight="false" outlineLevel="0" collapsed="false">
      <c r="A1001" s="50"/>
      <c r="B1001" s="51" t="str">
        <f aca="false">IF(A1001="","",MONTH(A1001))</f>
        <v/>
      </c>
      <c r="C1001" s="52"/>
      <c r="D1001" s="52"/>
      <c r="E1001" s="52"/>
      <c r="F1001" s="53"/>
      <c r="G1001" s="52"/>
      <c r="H1001" s="54" t="str">
        <f aca="false">IF(E1001="","",E1001*N(F1001)*IF(G1001="",1,G1001))</f>
        <v/>
      </c>
      <c r="I1001" s="55" t="str">
        <f aca="false">IF(C1001="","",IFERROR(INDEX('DANH MỤC'!$B$5:$B$200,MATCH(C1001,'DANH MỤC'!$A$5:$A$200,0)),"⚠ Mã chưa có trong DANH MỤC"))</f>
        <v/>
      </c>
      <c r="J1001" s="52"/>
      <c r="K1001" s="52"/>
      <c r="L1001" s="52"/>
    </row>
    <row r="1002" customFormat="false" ht="15" hidden="false" customHeight="false" outlineLevel="0" collapsed="false">
      <c r="A1002" s="50"/>
      <c r="B1002" s="51" t="str">
        <f aca="false">IF(A1002="","",MONTH(A1002))</f>
        <v/>
      </c>
      <c r="C1002" s="52"/>
      <c r="D1002" s="52"/>
      <c r="E1002" s="52"/>
      <c r="F1002" s="53"/>
      <c r="G1002" s="52"/>
      <c r="H1002" s="54" t="str">
        <f aca="false">IF(E1002="","",E1002*N(F1002)*IF(G1002="",1,G1002))</f>
        <v/>
      </c>
      <c r="I1002" s="55" t="str">
        <f aca="false">IF(C1002="","",IFERROR(INDEX('DANH MỤC'!$B$5:$B$200,MATCH(C1002,'DANH MỤC'!$A$5:$A$200,0)),"⚠ Mã chưa có trong DANH MỤC"))</f>
        <v/>
      </c>
      <c r="J1002" s="52"/>
      <c r="K1002" s="52"/>
      <c r="L1002" s="52"/>
    </row>
    <row r="1003" customFormat="false" ht="15" hidden="false" customHeight="false" outlineLevel="0" collapsed="false">
      <c r="A1003" s="50"/>
      <c r="B1003" s="51" t="str">
        <f aca="false">IF(A1003="","",MONTH(A1003))</f>
        <v/>
      </c>
      <c r="C1003" s="52"/>
      <c r="D1003" s="52"/>
      <c r="E1003" s="52"/>
      <c r="F1003" s="53"/>
      <c r="G1003" s="52"/>
      <c r="H1003" s="54" t="str">
        <f aca="false">IF(E1003="","",E1003*N(F1003)*IF(G1003="",1,G1003))</f>
        <v/>
      </c>
      <c r="I1003" s="55" t="str">
        <f aca="false">IF(C1003="","",IFERROR(INDEX('DANH MỤC'!$B$5:$B$200,MATCH(C1003,'DANH MỤC'!$A$5:$A$200,0)),"⚠ Mã chưa có trong DANH MỤC"))</f>
        <v/>
      </c>
      <c r="J1003" s="52"/>
      <c r="K1003" s="52"/>
      <c r="L1003" s="52"/>
    </row>
    <row r="1004" customFormat="false" ht="15" hidden="false" customHeight="false" outlineLevel="0" collapsed="false">
      <c r="A1004" s="50"/>
      <c r="B1004" s="51" t="str">
        <f aca="false">IF(A1004="","",MONTH(A1004))</f>
        <v/>
      </c>
      <c r="C1004" s="52"/>
      <c r="D1004" s="52"/>
      <c r="E1004" s="52"/>
      <c r="F1004" s="53"/>
      <c r="G1004" s="52"/>
      <c r="H1004" s="54" t="str">
        <f aca="false">IF(E1004="","",E1004*N(F1004)*IF(G1004="",1,G1004))</f>
        <v/>
      </c>
      <c r="I1004" s="55" t="str">
        <f aca="false">IF(C1004="","",IFERROR(INDEX('DANH MỤC'!$B$5:$B$200,MATCH(C1004,'DANH MỤC'!$A$5:$A$200,0)),"⚠ Mã chưa có trong DANH MỤC"))</f>
        <v/>
      </c>
      <c r="J1004" s="52"/>
      <c r="K1004" s="52"/>
      <c r="L1004" s="52"/>
    </row>
    <row r="1005" customFormat="false" ht="15" hidden="false" customHeight="false" outlineLevel="0" collapsed="false">
      <c r="A1005" s="50"/>
      <c r="B1005" s="51" t="str">
        <f aca="false">IF(A1005="","",MONTH(A1005))</f>
        <v/>
      </c>
      <c r="C1005" s="52"/>
      <c r="D1005" s="52"/>
      <c r="E1005" s="52"/>
      <c r="F1005" s="53"/>
      <c r="G1005" s="52"/>
      <c r="H1005" s="54" t="str">
        <f aca="false">IF(E1005="","",E1005*N(F1005)*IF(G1005="",1,G1005))</f>
        <v/>
      </c>
      <c r="I1005" s="55" t="str">
        <f aca="false">IF(C1005="","",IFERROR(INDEX('DANH MỤC'!$B$5:$B$200,MATCH(C1005,'DANH MỤC'!$A$5:$A$200,0)),"⚠ Mã chưa có trong DANH MỤC"))</f>
        <v/>
      </c>
      <c r="J1005" s="52"/>
      <c r="K1005" s="52"/>
      <c r="L1005" s="52"/>
    </row>
    <row r="1006" customFormat="false" ht="15" hidden="false" customHeight="false" outlineLevel="0" collapsed="false">
      <c r="A1006" s="50"/>
      <c r="B1006" s="51" t="str">
        <f aca="false">IF(A1006="","",MONTH(A1006))</f>
        <v/>
      </c>
      <c r="C1006" s="52"/>
      <c r="D1006" s="52"/>
      <c r="E1006" s="52"/>
      <c r="F1006" s="53"/>
      <c r="G1006" s="52"/>
      <c r="H1006" s="54" t="str">
        <f aca="false">IF(E1006="","",E1006*N(F1006)*IF(G1006="",1,G1006))</f>
        <v/>
      </c>
      <c r="I1006" s="55" t="str">
        <f aca="false">IF(C1006="","",IFERROR(INDEX('DANH MỤC'!$B$5:$B$200,MATCH(C1006,'DANH MỤC'!$A$5:$A$200,0)),"⚠ Mã chưa có trong DANH MỤC"))</f>
        <v/>
      </c>
      <c r="J1006" s="52"/>
      <c r="K1006" s="52"/>
      <c r="L1006" s="52"/>
    </row>
    <row r="1007" customFormat="false" ht="15" hidden="false" customHeight="false" outlineLevel="0" collapsed="false">
      <c r="A1007" s="50"/>
      <c r="B1007" s="51" t="str">
        <f aca="false">IF(A1007="","",MONTH(A1007))</f>
        <v/>
      </c>
      <c r="C1007" s="52"/>
      <c r="D1007" s="52"/>
      <c r="E1007" s="52"/>
      <c r="F1007" s="53"/>
      <c r="G1007" s="52"/>
      <c r="H1007" s="54" t="str">
        <f aca="false">IF(E1007="","",E1007*N(F1007)*IF(G1007="",1,G1007))</f>
        <v/>
      </c>
      <c r="I1007" s="55" t="str">
        <f aca="false">IF(C1007="","",IFERROR(INDEX('DANH MỤC'!$B$5:$B$200,MATCH(C1007,'DANH MỤC'!$A$5:$A$200,0)),"⚠ Mã chưa có trong DANH MỤC"))</f>
        <v/>
      </c>
      <c r="J1007" s="52"/>
      <c r="K1007" s="52"/>
      <c r="L1007" s="52"/>
    </row>
    <row r="1008" customFormat="false" ht="15" hidden="false" customHeight="false" outlineLevel="0" collapsed="false">
      <c r="A1008" s="50"/>
      <c r="B1008" s="51" t="str">
        <f aca="false">IF(A1008="","",MONTH(A1008))</f>
        <v/>
      </c>
      <c r="C1008" s="52"/>
      <c r="D1008" s="52"/>
      <c r="E1008" s="52"/>
      <c r="F1008" s="53"/>
      <c r="G1008" s="52"/>
      <c r="H1008" s="54" t="str">
        <f aca="false">IF(E1008="","",E1008*N(F1008)*IF(G1008="",1,G1008))</f>
        <v/>
      </c>
      <c r="I1008" s="55" t="str">
        <f aca="false">IF(C1008="","",IFERROR(INDEX('DANH MỤC'!$B$5:$B$200,MATCH(C1008,'DANH MỤC'!$A$5:$A$200,0)),"⚠ Mã chưa có trong DANH MỤC"))</f>
        <v/>
      </c>
      <c r="J1008" s="52"/>
      <c r="K1008" s="52"/>
      <c r="L1008" s="52"/>
    </row>
    <row r="1009" customFormat="false" ht="15" hidden="false" customHeight="false" outlineLevel="0" collapsed="false">
      <c r="A1009" s="50"/>
      <c r="B1009" s="51" t="str">
        <f aca="false">IF(A1009="","",MONTH(A1009))</f>
        <v/>
      </c>
      <c r="C1009" s="52"/>
      <c r="D1009" s="52"/>
      <c r="E1009" s="52"/>
      <c r="F1009" s="53"/>
      <c r="G1009" s="52"/>
      <c r="H1009" s="54" t="str">
        <f aca="false">IF(E1009="","",E1009*N(F1009)*IF(G1009="",1,G1009))</f>
        <v/>
      </c>
      <c r="I1009" s="55" t="str">
        <f aca="false">IF(C1009="","",IFERROR(INDEX('DANH MỤC'!$B$5:$B$200,MATCH(C1009,'DANH MỤC'!$A$5:$A$200,0)),"⚠ Mã chưa có trong DANH MỤC"))</f>
        <v/>
      </c>
      <c r="J1009" s="52"/>
      <c r="K1009" s="52"/>
      <c r="L1009" s="52"/>
    </row>
    <row r="1010" customFormat="false" ht="15" hidden="false" customHeight="false" outlineLevel="0" collapsed="false">
      <c r="A1010" s="50"/>
      <c r="B1010" s="51" t="str">
        <f aca="false">IF(A1010="","",MONTH(A1010))</f>
        <v/>
      </c>
      <c r="C1010" s="52"/>
      <c r="D1010" s="52"/>
      <c r="E1010" s="52"/>
      <c r="F1010" s="53"/>
      <c r="G1010" s="52"/>
      <c r="H1010" s="54" t="str">
        <f aca="false">IF(E1010="","",E1010*N(F1010)*IF(G1010="",1,G1010))</f>
        <v/>
      </c>
      <c r="I1010" s="55" t="str">
        <f aca="false">IF(C1010="","",IFERROR(INDEX('DANH MỤC'!$B$5:$B$200,MATCH(C1010,'DANH MỤC'!$A$5:$A$200,0)),"⚠ Mã chưa có trong DANH MỤC"))</f>
        <v/>
      </c>
      <c r="J1010" s="52"/>
      <c r="K1010" s="52"/>
      <c r="L1010" s="52"/>
    </row>
    <row r="1011" customFormat="false" ht="15" hidden="false" customHeight="false" outlineLevel="0" collapsed="false">
      <c r="A1011" s="50"/>
      <c r="B1011" s="51" t="str">
        <f aca="false">IF(A1011="","",MONTH(A1011))</f>
        <v/>
      </c>
      <c r="C1011" s="52"/>
      <c r="D1011" s="52"/>
      <c r="E1011" s="52"/>
      <c r="F1011" s="53"/>
      <c r="G1011" s="52"/>
      <c r="H1011" s="54" t="str">
        <f aca="false">IF(E1011="","",E1011*N(F1011)*IF(G1011="",1,G1011))</f>
        <v/>
      </c>
      <c r="I1011" s="55" t="str">
        <f aca="false">IF(C1011="","",IFERROR(INDEX('DANH MỤC'!$B$5:$B$200,MATCH(C1011,'DANH MỤC'!$A$5:$A$200,0)),"⚠ Mã chưa có trong DANH MỤC"))</f>
        <v/>
      </c>
      <c r="J1011" s="52"/>
      <c r="K1011" s="52"/>
      <c r="L1011" s="52"/>
    </row>
    <row r="1012" customFormat="false" ht="15" hidden="false" customHeight="false" outlineLevel="0" collapsed="false">
      <c r="A1012" s="50"/>
      <c r="B1012" s="51" t="str">
        <f aca="false">IF(A1012="","",MONTH(A1012))</f>
        <v/>
      </c>
      <c r="C1012" s="52"/>
      <c r="D1012" s="52"/>
      <c r="E1012" s="52"/>
      <c r="F1012" s="53"/>
      <c r="G1012" s="52"/>
      <c r="H1012" s="54" t="str">
        <f aca="false">IF(E1012="","",E1012*N(F1012)*IF(G1012="",1,G1012))</f>
        <v/>
      </c>
      <c r="I1012" s="55" t="str">
        <f aca="false">IF(C1012="","",IFERROR(INDEX('DANH MỤC'!$B$5:$B$200,MATCH(C1012,'DANH MỤC'!$A$5:$A$200,0)),"⚠ Mã chưa có trong DANH MỤC"))</f>
        <v/>
      </c>
      <c r="J1012" s="52"/>
      <c r="K1012" s="52"/>
      <c r="L1012" s="52"/>
    </row>
    <row r="1013" customFormat="false" ht="15" hidden="false" customHeight="false" outlineLevel="0" collapsed="false">
      <c r="A1013" s="50"/>
      <c r="B1013" s="51" t="str">
        <f aca="false">IF(A1013="","",MONTH(A1013))</f>
        <v/>
      </c>
      <c r="C1013" s="52"/>
      <c r="D1013" s="52"/>
      <c r="E1013" s="52"/>
      <c r="F1013" s="53"/>
      <c r="G1013" s="52"/>
      <c r="H1013" s="54" t="str">
        <f aca="false">IF(E1013="","",E1013*N(F1013)*IF(G1013="",1,G1013))</f>
        <v/>
      </c>
      <c r="I1013" s="55" t="str">
        <f aca="false">IF(C1013="","",IFERROR(INDEX('DANH MỤC'!$B$5:$B$200,MATCH(C1013,'DANH MỤC'!$A$5:$A$200,0)),"⚠ Mã chưa có trong DANH MỤC"))</f>
        <v/>
      </c>
      <c r="J1013" s="52"/>
      <c r="K1013" s="52"/>
      <c r="L1013" s="52"/>
    </row>
    <row r="1014" customFormat="false" ht="15" hidden="false" customHeight="false" outlineLevel="0" collapsed="false">
      <c r="A1014" s="50"/>
      <c r="B1014" s="51" t="str">
        <f aca="false">IF(A1014="","",MONTH(A1014))</f>
        <v/>
      </c>
      <c r="C1014" s="52"/>
      <c r="D1014" s="52"/>
      <c r="E1014" s="52"/>
      <c r="F1014" s="53"/>
      <c r="G1014" s="52"/>
      <c r="H1014" s="54" t="str">
        <f aca="false">IF(E1014="","",E1014*N(F1014)*IF(G1014="",1,G1014))</f>
        <v/>
      </c>
      <c r="I1014" s="55" t="str">
        <f aca="false">IF(C1014="","",IFERROR(INDEX('DANH MỤC'!$B$5:$B$200,MATCH(C1014,'DANH MỤC'!$A$5:$A$200,0)),"⚠ Mã chưa có trong DANH MỤC"))</f>
        <v/>
      </c>
      <c r="J1014" s="52"/>
      <c r="K1014" s="52"/>
      <c r="L1014" s="52"/>
    </row>
    <row r="1015" customFormat="false" ht="15" hidden="false" customHeight="false" outlineLevel="0" collapsed="false">
      <c r="A1015" s="50"/>
      <c r="B1015" s="51" t="str">
        <f aca="false">IF(A1015="","",MONTH(A1015))</f>
        <v/>
      </c>
      <c r="C1015" s="52"/>
      <c r="D1015" s="52"/>
      <c r="E1015" s="52"/>
      <c r="F1015" s="53"/>
      <c r="G1015" s="52"/>
      <c r="H1015" s="54" t="str">
        <f aca="false">IF(E1015="","",E1015*N(F1015)*IF(G1015="",1,G1015))</f>
        <v/>
      </c>
      <c r="I1015" s="55" t="str">
        <f aca="false">IF(C1015="","",IFERROR(INDEX('DANH MỤC'!$B$5:$B$200,MATCH(C1015,'DANH MỤC'!$A$5:$A$200,0)),"⚠ Mã chưa có trong DANH MỤC"))</f>
        <v/>
      </c>
      <c r="J1015" s="52"/>
      <c r="K1015" s="52"/>
      <c r="L1015" s="52"/>
    </row>
    <row r="1016" customFormat="false" ht="15" hidden="false" customHeight="false" outlineLevel="0" collapsed="false">
      <c r="A1016" s="50"/>
      <c r="B1016" s="51" t="str">
        <f aca="false">IF(A1016="","",MONTH(A1016))</f>
        <v/>
      </c>
      <c r="C1016" s="52"/>
      <c r="D1016" s="52"/>
      <c r="E1016" s="52"/>
      <c r="F1016" s="53"/>
      <c r="G1016" s="52"/>
      <c r="H1016" s="54" t="str">
        <f aca="false">IF(E1016="","",E1016*N(F1016)*IF(G1016="",1,G1016))</f>
        <v/>
      </c>
      <c r="I1016" s="55" t="str">
        <f aca="false">IF(C1016="","",IFERROR(INDEX('DANH MỤC'!$B$5:$B$200,MATCH(C1016,'DANH MỤC'!$A$5:$A$200,0)),"⚠ Mã chưa có trong DANH MỤC"))</f>
        <v/>
      </c>
      <c r="J1016" s="52"/>
      <c r="K1016" s="52"/>
      <c r="L1016" s="52"/>
    </row>
    <row r="1017" customFormat="false" ht="15" hidden="false" customHeight="false" outlineLevel="0" collapsed="false">
      <c r="A1017" s="50"/>
      <c r="B1017" s="51" t="str">
        <f aca="false">IF(A1017="","",MONTH(A1017))</f>
        <v/>
      </c>
      <c r="C1017" s="52"/>
      <c r="D1017" s="52"/>
      <c r="E1017" s="52"/>
      <c r="F1017" s="53"/>
      <c r="G1017" s="52"/>
      <c r="H1017" s="54" t="str">
        <f aca="false">IF(E1017="","",E1017*N(F1017)*IF(G1017="",1,G1017))</f>
        <v/>
      </c>
      <c r="I1017" s="55" t="str">
        <f aca="false">IF(C1017="","",IFERROR(INDEX('DANH MỤC'!$B$5:$B$200,MATCH(C1017,'DANH MỤC'!$A$5:$A$200,0)),"⚠ Mã chưa có trong DANH MỤC"))</f>
        <v/>
      </c>
      <c r="J1017" s="52"/>
      <c r="K1017" s="52"/>
      <c r="L1017" s="52"/>
    </row>
    <row r="1018" customFormat="false" ht="15" hidden="false" customHeight="false" outlineLevel="0" collapsed="false">
      <c r="A1018" s="50"/>
      <c r="B1018" s="51" t="str">
        <f aca="false">IF(A1018="","",MONTH(A1018))</f>
        <v/>
      </c>
      <c r="C1018" s="52"/>
      <c r="D1018" s="52"/>
      <c r="E1018" s="52"/>
      <c r="F1018" s="53"/>
      <c r="G1018" s="52"/>
      <c r="H1018" s="54" t="str">
        <f aca="false">IF(E1018="","",E1018*N(F1018)*IF(G1018="",1,G1018))</f>
        <v/>
      </c>
      <c r="I1018" s="55" t="str">
        <f aca="false">IF(C1018="","",IFERROR(INDEX('DANH MỤC'!$B$5:$B$200,MATCH(C1018,'DANH MỤC'!$A$5:$A$200,0)),"⚠ Mã chưa có trong DANH MỤC"))</f>
        <v/>
      </c>
      <c r="J1018" s="52"/>
      <c r="K1018" s="52"/>
      <c r="L1018" s="52"/>
    </row>
    <row r="1019" customFormat="false" ht="15" hidden="false" customHeight="false" outlineLevel="0" collapsed="false">
      <c r="A1019" s="50"/>
      <c r="B1019" s="51" t="str">
        <f aca="false">IF(A1019="","",MONTH(A1019))</f>
        <v/>
      </c>
      <c r="C1019" s="52"/>
      <c r="D1019" s="52"/>
      <c r="E1019" s="52"/>
      <c r="F1019" s="53"/>
      <c r="G1019" s="52"/>
      <c r="H1019" s="54" t="str">
        <f aca="false">IF(E1019="","",E1019*N(F1019)*IF(G1019="",1,G1019))</f>
        <v/>
      </c>
      <c r="I1019" s="55" t="str">
        <f aca="false">IF(C1019="","",IFERROR(INDEX('DANH MỤC'!$B$5:$B$200,MATCH(C1019,'DANH MỤC'!$A$5:$A$200,0)),"⚠ Mã chưa có trong DANH MỤC"))</f>
        <v/>
      </c>
      <c r="J1019" s="52"/>
      <c r="K1019" s="52"/>
      <c r="L1019" s="52"/>
    </row>
    <row r="1020" customFormat="false" ht="15" hidden="false" customHeight="false" outlineLevel="0" collapsed="false">
      <c r="A1020" s="50"/>
      <c r="B1020" s="51" t="str">
        <f aca="false">IF(A1020="","",MONTH(A1020))</f>
        <v/>
      </c>
      <c r="C1020" s="52"/>
      <c r="D1020" s="52"/>
      <c r="E1020" s="52"/>
      <c r="F1020" s="53"/>
      <c r="G1020" s="52"/>
      <c r="H1020" s="54" t="str">
        <f aca="false">IF(E1020="","",E1020*N(F1020)*IF(G1020="",1,G1020))</f>
        <v/>
      </c>
      <c r="I1020" s="55" t="str">
        <f aca="false">IF(C1020="","",IFERROR(INDEX('DANH MỤC'!$B$5:$B$200,MATCH(C1020,'DANH MỤC'!$A$5:$A$200,0)),"⚠ Mã chưa có trong DANH MỤC"))</f>
        <v/>
      </c>
      <c r="J1020" s="52"/>
      <c r="K1020" s="52"/>
      <c r="L1020" s="52"/>
    </row>
    <row r="1021" customFormat="false" ht="15" hidden="false" customHeight="false" outlineLevel="0" collapsed="false">
      <c r="A1021" s="50"/>
      <c r="B1021" s="51" t="str">
        <f aca="false">IF(A1021="","",MONTH(A1021))</f>
        <v/>
      </c>
      <c r="C1021" s="52"/>
      <c r="D1021" s="52"/>
      <c r="E1021" s="52"/>
      <c r="F1021" s="53"/>
      <c r="G1021" s="52"/>
      <c r="H1021" s="54" t="str">
        <f aca="false">IF(E1021="","",E1021*N(F1021)*IF(G1021="",1,G1021))</f>
        <v/>
      </c>
      <c r="I1021" s="55" t="str">
        <f aca="false">IF(C1021="","",IFERROR(INDEX('DANH MỤC'!$B$5:$B$200,MATCH(C1021,'DANH MỤC'!$A$5:$A$200,0)),"⚠ Mã chưa có trong DANH MỤC"))</f>
        <v/>
      </c>
      <c r="J1021" s="52"/>
      <c r="K1021" s="52"/>
      <c r="L1021" s="52"/>
    </row>
    <row r="1022" customFormat="false" ht="15" hidden="false" customHeight="false" outlineLevel="0" collapsed="false">
      <c r="A1022" s="50"/>
      <c r="B1022" s="51" t="str">
        <f aca="false">IF(A1022="","",MONTH(A1022))</f>
        <v/>
      </c>
      <c r="C1022" s="52"/>
      <c r="D1022" s="52"/>
      <c r="E1022" s="52"/>
      <c r="F1022" s="53"/>
      <c r="G1022" s="52"/>
      <c r="H1022" s="54" t="str">
        <f aca="false">IF(E1022="","",E1022*N(F1022)*IF(G1022="",1,G1022))</f>
        <v/>
      </c>
      <c r="I1022" s="55" t="str">
        <f aca="false">IF(C1022="","",IFERROR(INDEX('DANH MỤC'!$B$5:$B$200,MATCH(C1022,'DANH MỤC'!$A$5:$A$200,0)),"⚠ Mã chưa có trong DANH MỤC"))</f>
        <v/>
      </c>
      <c r="J1022" s="52"/>
      <c r="K1022" s="52"/>
      <c r="L1022" s="52"/>
    </row>
    <row r="1023" customFormat="false" ht="15" hidden="false" customHeight="false" outlineLevel="0" collapsed="false">
      <c r="A1023" s="50"/>
      <c r="B1023" s="51" t="str">
        <f aca="false">IF(A1023="","",MONTH(A1023))</f>
        <v/>
      </c>
      <c r="C1023" s="52"/>
      <c r="D1023" s="52"/>
      <c r="E1023" s="52"/>
      <c r="F1023" s="53"/>
      <c r="G1023" s="52"/>
      <c r="H1023" s="54" t="str">
        <f aca="false">IF(E1023="","",E1023*N(F1023)*IF(G1023="",1,G1023))</f>
        <v/>
      </c>
      <c r="I1023" s="55" t="str">
        <f aca="false">IF(C1023="","",IFERROR(INDEX('DANH MỤC'!$B$5:$B$200,MATCH(C1023,'DANH MỤC'!$A$5:$A$200,0)),"⚠ Mã chưa có trong DANH MỤC"))</f>
        <v/>
      </c>
      <c r="J1023" s="52"/>
      <c r="K1023" s="52"/>
      <c r="L1023" s="52"/>
    </row>
    <row r="1024" customFormat="false" ht="15" hidden="false" customHeight="false" outlineLevel="0" collapsed="false">
      <c r="A1024" s="50"/>
      <c r="B1024" s="51" t="str">
        <f aca="false">IF(A1024="","",MONTH(A1024))</f>
        <v/>
      </c>
      <c r="C1024" s="52"/>
      <c r="D1024" s="52"/>
      <c r="E1024" s="52"/>
      <c r="F1024" s="53"/>
      <c r="G1024" s="52"/>
      <c r="H1024" s="54" t="str">
        <f aca="false">IF(E1024="","",E1024*N(F1024)*IF(G1024="",1,G1024))</f>
        <v/>
      </c>
      <c r="I1024" s="55" t="str">
        <f aca="false">IF(C1024="","",IFERROR(INDEX('DANH MỤC'!$B$5:$B$200,MATCH(C1024,'DANH MỤC'!$A$5:$A$200,0)),"⚠ Mã chưa có trong DANH MỤC"))</f>
        <v/>
      </c>
      <c r="J1024" s="52"/>
      <c r="K1024" s="52"/>
      <c r="L1024" s="52"/>
    </row>
    <row r="1025" customFormat="false" ht="15" hidden="false" customHeight="false" outlineLevel="0" collapsed="false">
      <c r="A1025" s="50"/>
      <c r="B1025" s="51" t="str">
        <f aca="false">IF(A1025="","",MONTH(A1025))</f>
        <v/>
      </c>
      <c r="C1025" s="52"/>
      <c r="D1025" s="52"/>
      <c r="E1025" s="52"/>
      <c r="F1025" s="53"/>
      <c r="G1025" s="52"/>
      <c r="H1025" s="54" t="str">
        <f aca="false">IF(E1025="","",E1025*N(F1025)*IF(G1025="",1,G1025))</f>
        <v/>
      </c>
      <c r="I1025" s="55" t="str">
        <f aca="false">IF(C1025="","",IFERROR(INDEX('DANH MỤC'!$B$5:$B$200,MATCH(C1025,'DANH MỤC'!$A$5:$A$200,0)),"⚠ Mã chưa có trong DANH MỤC"))</f>
        <v/>
      </c>
      <c r="J1025" s="52"/>
      <c r="K1025" s="52"/>
      <c r="L1025" s="52"/>
    </row>
    <row r="1026" customFormat="false" ht="15" hidden="false" customHeight="false" outlineLevel="0" collapsed="false">
      <c r="A1026" s="50"/>
      <c r="B1026" s="51" t="str">
        <f aca="false">IF(A1026="","",MONTH(A1026))</f>
        <v/>
      </c>
      <c r="C1026" s="52"/>
      <c r="D1026" s="52"/>
      <c r="E1026" s="52"/>
      <c r="F1026" s="53"/>
      <c r="G1026" s="52"/>
      <c r="H1026" s="54" t="str">
        <f aca="false">IF(E1026="","",E1026*N(F1026)*IF(G1026="",1,G1026))</f>
        <v/>
      </c>
      <c r="I1026" s="55" t="str">
        <f aca="false">IF(C1026="","",IFERROR(INDEX('DANH MỤC'!$B$5:$B$200,MATCH(C1026,'DANH MỤC'!$A$5:$A$200,0)),"⚠ Mã chưa có trong DANH MỤC"))</f>
        <v/>
      </c>
      <c r="J1026" s="52"/>
      <c r="K1026" s="52"/>
      <c r="L1026" s="52"/>
    </row>
    <row r="1027" customFormat="false" ht="15" hidden="false" customHeight="false" outlineLevel="0" collapsed="false">
      <c r="A1027" s="50"/>
      <c r="B1027" s="51" t="str">
        <f aca="false">IF(A1027="","",MONTH(A1027))</f>
        <v/>
      </c>
      <c r="C1027" s="52"/>
      <c r="D1027" s="52"/>
      <c r="E1027" s="52"/>
      <c r="F1027" s="53"/>
      <c r="G1027" s="52"/>
      <c r="H1027" s="54" t="str">
        <f aca="false">IF(E1027="","",E1027*N(F1027)*IF(G1027="",1,G1027))</f>
        <v/>
      </c>
      <c r="I1027" s="55" t="str">
        <f aca="false">IF(C1027="","",IFERROR(INDEX('DANH MỤC'!$B$5:$B$200,MATCH(C1027,'DANH MỤC'!$A$5:$A$200,0)),"⚠ Mã chưa có trong DANH MỤC"))</f>
        <v/>
      </c>
      <c r="J1027" s="52"/>
      <c r="K1027" s="52"/>
      <c r="L1027" s="52"/>
    </row>
    <row r="1028" customFormat="false" ht="15" hidden="false" customHeight="false" outlineLevel="0" collapsed="false">
      <c r="A1028" s="50"/>
      <c r="B1028" s="51" t="str">
        <f aca="false">IF(A1028="","",MONTH(A1028))</f>
        <v/>
      </c>
      <c r="C1028" s="52"/>
      <c r="D1028" s="52"/>
      <c r="E1028" s="52"/>
      <c r="F1028" s="53"/>
      <c r="G1028" s="52"/>
      <c r="H1028" s="54" t="str">
        <f aca="false">IF(E1028="","",E1028*N(F1028)*IF(G1028="",1,G1028))</f>
        <v/>
      </c>
      <c r="I1028" s="55" t="str">
        <f aca="false">IF(C1028="","",IFERROR(INDEX('DANH MỤC'!$B$5:$B$200,MATCH(C1028,'DANH MỤC'!$A$5:$A$200,0)),"⚠ Mã chưa có trong DANH MỤC"))</f>
        <v/>
      </c>
      <c r="J1028" s="52"/>
      <c r="K1028" s="52"/>
      <c r="L1028" s="52"/>
    </row>
    <row r="1029" customFormat="false" ht="15" hidden="false" customHeight="false" outlineLevel="0" collapsed="false">
      <c r="A1029" s="50"/>
      <c r="B1029" s="51" t="str">
        <f aca="false">IF(A1029="","",MONTH(A1029))</f>
        <v/>
      </c>
      <c r="C1029" s="52"/>
      <c r="D1029" s="52"/>
      <c r="E1029" s="52"/>
      <c r="F1029" s="53"/>
      <c r="G1029" s="52"/>
      <c r="H1029" s="54" t="str">
        <f aca="false">IF(E1029="","",E1029*N(F1029)*IF(G1029="",1,G1029))</f>
        <v/>
      </c>
      <c r="I1029" s="55" t="str">
        <f aca="false">IF(C1029="","",IFERROR(INDEX('DANH MỤC'!$B$5:$B$200,MATCH(C1029,'DANH MỤC'!$A$5:$A$200,0)),"⚠ Mã chưa có trong DANH MỤC"))</f>
        <v/>
      </c>
      <c r="J1029" s="52"/>
      <c r="K1029" s="52"/>
      <c r="L1029" s="52"/>
    </row>
    <row r="1030" customFormat="false" ht="15" hidden="false" customHeight="false" outlineLevel="0" collapsed="false">
      <c r="A1030" s="50"/>
      <c r="B1030" s="51" t="str">
        <f aca="false">IF(A1030="","",MONTH(A1030))</f>
        <v/>
      </c>
      <c r="C1030" s="52"/>
      <c r="D1030" s="52"/>
      <c r="E1030" s="52"/>
      <c r="F1030" s="53"/>
      <c r="G1030" s="52"/>
      <c r="H1030" s="54" t="str">
        <f aca="false">IF(E1030="","",E1030*N(F1030)*IF(G1030="",1,G1030))</f>
        <v/>
      </c>
      <c r="I1030" s="55" t="str">
        <f aca="false">IF(C1030="","",IFERROR(INDEX('DANH MỤC'!$B$5:$B$200,MATCH(C1030,'DANH MỤC'!$A$5:$A$200,0)),"⚠ Mã chưa có trong DANH MỤC"))</f>
        <v/>
      </c>
      <c r="J1030" s="52"/>
      <c r="K1030" s="52"/>
      <c r="L1030" s="52"/>
    </row>
    <row r="1031" customFormat="false" ht="15" hidden="false" customHeight="false" outlineLevel="0" collapsed="false">
      <c r="A1031" s="50"/>
      <c r="B1031" s="51" t="str">
        <f aca="false">IF(A1031="","",MONTH(A1031))</f>
        <v/>
      </c>
      <c r="C1031" s="52"/>
      <c r="D1031" s="52"/>
      <c r="E1031" s="52"/>
      <c r="F1031" s="53"/>
      <c r="G1031" s="52"/>
      <c r="H1031" s="54" t="str">
        <f aca="false">IF(E1031="","",E1031*N(F1031)*IF(G1031="",1,G1031))</f>
        <v/>
      </c>
      <c r="I1031" s="55" t="str">
        <f aca="false">IF(C1031="","",IFERROR(INDEX('DANH MỤC'!$B$5:$B$200,MATCH(C1031,'DANH MỤC'!$A$5:$A$200,0)),"⚠ Mã chưa có trong DANH MỤC"))</f>
        <v/>
      </c>
      <c r="J1031" s="52"/>
      <c r="K1031" s="52"/>
      <c r="L1031" s="52"/>
    </row>
    <row r="1032" customFormat="false" ht="15" hidden="false" customHeight="false" outlineLevel="0" collapsed="false">
      <c r="A1032" s="50"/>
      <c r="B1032" s="51" t="str">
        <f aca="false">IF(A1032="","",MONTH(A1032))</f>
        <v/>
      </c>
      <c r="C1032" s="52"/>
      <c r="D1032" s="52"/>
      <c r="E1032" s="52"/>
      <c r="F1032" s="53"/>
      <c r="G1032" s="52"/>
      <c r="H1032" s="54" t="str">
        <f aca="false">IF(E1032="","",E1032*N(F1032)*IF(G1032="",1,G1032))</f>
        <v/>
      </c>
      <c r="I1032" s="55" t="str">
        <f aca="false">IF(C1032="","",IFERROR(INDEX('DANH MỤC'!$B$5:$B$200,MATCH(C1032,'DANH MỤC'!$A$5:$A$200,0)),"⚠ Mã chưa có trong DANH MỤC"))</f>
        <v/>
      </c>
      <c r="J1032" s="52"/>
      <c r="K1032" s="52"/>
      <c r="L1032" s="52"/>
    </row>
    <row r="1033" customFormat="false" ht="15" hidden="false" customHeight="false" outlineLevel="0" collapsed="false">
      <c r="A1033" s="50"/>
      <c r="B1033" s="51" t="str">
        <f aca="false">IF(A1033="","",MONTH(A1033))</f>
        <v/>
      </c>
      <c r="C1033" s="52"/>
      <c r="D1033" s="52"/>
      <c r="E1033" s="52"/>
      <c r="F1033" s="53"/>
      <c r="G1033" s="52"/>
      <c r="H1033" s="54" t="str">
        <f aca="false">IF(E1033="","",E1033*N(F1033)*IF(G1033="",1,G1033))</f>
        <v/>
      </c>
      <c r="I1033" s="55" t="str">
        <f aca="false">IF(C1033="","",IFERROR(INDEX('DANH MỤC'!$B$5:$B$200,MATCH(C1033,'DANH MỤC'!$A$5:$A$200,0)),"⚠ Mã chưa có trong DANH MỤC"))</f>
        <v/>
      </c>
      <c r="J1033" s="52"/>
      <c r="K1033" s="52"/>
      <c r="L1033" s="52"/>
    </row>
    <row r="1034" customFormat="false" ht="15" hidden="false" customHeight="false" outlineLevel="0" collapsed="false">
      <c r="A1034" s="50"/>
      <c r="B1034" s="51" t="str">
        <f aca="false">IF(A1034="","",MONTH(A1034))</f>
        <v/>
      </c>
      <c r="C1034" s="52"/>
      <c r="D1034" s="52"/>
      <c r="E1034" s="52"/>
      <c r="F1034" s="53"/>
      <c r="G1034" s="52"/>
      <c r="H1034" s="54" t="str">
        <f aca="false">IF(E1034="","",E1034*N(F1034)*IF(G1034="",1,G1034))</f>
        <v/>
      </c>
      <c r="I1034" s="55" t="str">
        <f aca="false">IF(C1034="","",IFERROR(INDEX('DANH MỤC'!$B$5:$B$200,MATCH(C1034,'DANH MỤC'!$A$5:$A$200,0)),"⚠ Mã chưa có trong DANH MỤC"))</f>
        <v/>
      </c>
      <c r="J1034" s="52"/>
      <c r="K1034" s="52"/>
      <c r="L1034" s="52"/>
    </row>
    <row r="1035" customFormat="false" ht="15" hidden="false" customHeight="false" outlineLevel="0" collapsed="false">
      <c r="A1035" s="50"/>
      <c r="B1035" s="51" t="str">
        <f aca="false">IF(A1035="","",MONTH(A1035))</f>
        <v/>
      </c>
      <c r="C1035" s="52"/>
      <c r="D1035" s="52"/>
      <c r="E1035" s="52"/>
      <c r="F1035" s="53"/>
      <c r="G1035" s="52"/>
      <c r="H1035" s="54" t="str">
        <f aca="false">IF(E1035="","",E1035*N(F1035)*IF(G1035="",1,G1035))</f>
        <v/>
      </c>
      <c r="I1035" s="55" t="str">
        <f aca="false">IF(C1035="","",IFERROR(INDEX('DANH MỤC'!$B$5:$B$200,MATCH(C1035,'DANH MỤC'!$A$5:$A$200,0)),"⚠ Mã chưa có trong DANH MỤC"))</f>
        <v/>
      </c>
      <c r="J1035" s="52"/>
      <c r="K1035" s="52"/>
      <c r="L1035" s="52"/>
    </row>
    <row r="1036" customFormat="false" ht="15" hidden="false" customHeight="false" outlineLevel="0" collapsed="false">
      <c r="A1036" s="50"/>
      <c r="B1036" s="51" t="str">
        <f aca="false">IF(A1036="","",MONTH(A1036))</f>
        <v/>
      </c>
      <c r="C1036" s="52"/>
      <c r="D1036" s="52"/>
      <c r="E1036" s="52"/>
      <c r="F1036" s="53"/>
      <c r="G1036" s="52"/>
      <c r="H1036" s="54" t="str">
        <f aca="false">IF(E1036="","",E1036*N(F1036)*IF(G1036="",1,G1036))</f>
        <v/>
      </c>
      <c r="I1036" s="55" t="str">
        <f aca="false">IF(C1036="","",IFERROR(INDEX('DANH MỤC'!$B$5:$B$200,MATCH(C1036,'DANH MỤC'!$A$5:$A$200,0)),"⚠ Mã chưa có trong DANH MỤC"))</f>
        <v/>
      </c>
      <c r="J1036" s="52"/>
      <c r="K1036" s="52"/>
      <c r="L1036" s="52"/>
    </row>
    <row r="1037" customFormat="false" ht="15" hidden="false" customHeight="false" outlineLevel="0" collapsed="false">
      <c r="A1037" s="50"/>
      <c r="B1037" s="51" t="str">
        <f aca="false">IF(A1037="","",MONTH(A1037))</f>
        <v/>
      </c>
      <c r="C1037" s="52"/>
      <c r="D1037" s="52"/>
      <c r="E1037" s="52"/>
      <c r="F1037" s="53"/>
      <c r="G1037" s="52"/>
      <c r="H1037" s="54" t="str">
        <f aca="false">IF(E1037="","",E1037*N(F1037)*IF(G1037="",1,G1037))</f>
        <v/>
      </c>
      <c r="I1037" s="55" t="str">
        <f aca="false">IF(C1037="","",IFERROR(INDEX('DANH MỤC'!$B$5:$B$200,MATCH(C1037,'DANH MỤC'!$A$5:$A$200,0)),"⚠ Mã chưa có trong DANH MỤC"))</f>
        <v/>
      </c>
      <c r="J1037" s="52"/>
      <c r="K1037" s="52"/>
      <c r="L1037" s="52"/>
    </row>
    <row r="1038" customFormat="false" ht="15" hidden="false" customHeight="false" outlineLevel="0" collapsed="false">
      <c r="A1038" s="50"/>
      <c r="B1038" s="51" t="str">
        <f aca="false">IF(A1038="","",MONTH(A1038))</f>
        <v/>
      </c>
      <c r="C1038" s="52"/>
      <c r="D1038" s="52"/>
      <c r="E1038" s="52"/>
      <c r="F1038" s="53"/>
      <c r="G1038" s="52"/>
      <c r="H1038" s="54" t="str">
        <f aca="false">IF(E1038="","",E1038*N(F1038)*IF(G1038="",1,G1038))</f>
        <v/>
      </c>
      <c r="I1038" s="55" t="str">
        <f aca="false">IF(C1038="","",IFERROR(INDEX('DANH MỤC'!$B$5:$B$200,MATCH(C1038,'DANH MỤC'!$A$5:$A$200,0)),"⚠ Mã chưa có trong DANH MỤC"))</f>
        <v/>
      </c>
      <c r="J1038" s="52"/>
      <c r="K1038" s="52"/>
      <c r="L1038" s="52"/>
    </row>
    <row r="1039" customFormat="false" ht="15" hidden="false" customHeight="false" outlineLevel="0" collapsed="false">
      <c r="A1039" s="50"/>
      <c r="B1039" s="51" t="str">
        <f aca="false">IF(A1039="","",MONTH(A1039))</f>
        <v/>
      </c>
      <c r="C1039" s="52"/>
      <c r="D1039" s="52"/>
      <c r="E1039" s="52"/>
      <c r="F1039" s="53"/>
      <c r="G1039" s="52"/>
      <c r="H1039" s="54" t="str">
        <f aca="false">IF(E1039="","",E1039*N(F1039)*IF(G1039="",1,G1039))</f>
        <v/>
      </c>
      <c r="I1039" s="55" t="str">
        <f aca="false">IF(C1039="","",IFERROR(INDEX('DANH MỤC'!$B$5:$B$200,MATCH(C1039,'DANH MỤC'!$A$5:$A$200,0)),"⚠ Mã chưa có trong DANH MỤC"))</f>
        <v/>
      </c>
      <c r="J1039" s="52"/>
      <c r="K1039" s="52"/>
      <c r="L1039" s="52"/>
    </row>
    <row r="1040" customFormat="false" ht="15" hidden="false" customHeight="false" outlineLevel="0" collapsed="false">
      <c r="A1040" s="50"/>
      <c r="B1040" s="51" t="str">
        <f aca="false">IF(A1040="","",MONTH(A1040))</f>
        <v/>
      </c>
      <c r="C1040" s="52"/>
      <c r="D1040" s="52"/>
      <c r="E1040" s="52"/>
      <c r="F1040" s="53"/>
      <c r="G1040" s="52"/>
      <c r="H1040" s="54" t="str">
        <f aca="false">IF(E1040="","",E1040*N(F1040)*IF(G1040="",1,G1040))</f>
        <v/>
      </c>
      <c r="I1040" s="55" t="str">
        <f aca="false">IF(C1040="","",IFERROR(INDEX('DANH MỤC'!$B$5:$B$200,MATCH(C1040,'DANH MỤC'!$A$5:$A$200,0)),"⚠ Mã chưa có trong DANH MỤC"))</f>
        <v/>
      </c>
      <c r="J1040" s="52"/>
      <c r="K1040" s="52"/>
      <c r="L1040" s="52"/>
    </row>
    <row r="1041" customFormat="false" ht="15" hidden="false" customHeight="false" outlineLevel="0" collapsed="false">
      <c r="A1041" s="50"/>
      <c r="B1041" s="51" t="str">
        <f aca="false">IF(A1041="","",MONTH(A1041))</f>
        <v/>
      </c>
      <c r="C1041" s="52"/>
      <c r="D1041" s="52"/>
      <c r="E1041" s="52"/>
      <c r="F1041" s="53"/>
      <c r="G1041" s="52"/>
      <c r="H1041" s="54" t="str">
        <f aca="false">IF(E1041="","",E1041*N(F1041)*IF(G1041="",1,G1041))</f>
        <v/>
      </c>
      <c r="I1041" s="55" t="str">
        <f aca="false">IF(C1041="","",IFERROR(INDEX('DANH MỤC'!$B$5:$B$200,MATCH(C1041,'DANH MỤC'!$A$5:$A$200,0)),"⚠ Mã chưa có trong DANH MỤC"))</f>
        <v/>
      </c>
      <c r="J1041" s="52"/>
      <c r="K1041" s="52"/>
      <c r="L1041" s="52"/>
    </row>
    <row r="1042" customFormat="false" ht="15" hidden="false" customHeight="false" outlineLevel="0" collapsed="false">
      <c r="A1042" s="50"/>
      <c r="B1042" s="51" t="str">
        <f aca="false">IF(A1042="","",MONTH(A1042))</f>
        <v/>
      </c>
      <c r="C1042" s="52"/>
      <c r="D1042" s="52"/>
      <c r="E1042" s="52"/>
      <c r="F1042" s="53"/>
      <c r="G1042" s="52"/>
      <c r="H1042" s="54" t="str">
        <f aca="false">IF(E1042="","",E1042*N(F1042)*IF(G1042="",1,G1042))</f>
        <v/>
      </c>
      <c r="I1042" s="55" t="str">
        <f aca="false">IF(C1042="","",IFERROR(INDEX('DANH MỤC'!$B$5:$B$200,MATCH(C1042,'DANH MỤC'!$A$5:$A$200,0)),"⚠ Mã chưa có trong DANH MỤC"))</f>
        <v/>
      </c>
      <c r="J1042" s="52"/>
      <c r="K1042" s="52"/>
      <c r="L1042" s="52"/>
    </row>
    <row r="1043" customFormat="false" ht="15" hidden="false" customHeight="false" outlineLevel="0" collapsed="false">
      <c r="A1043" s="50"/>
      <c r="B1043" s="51" t="str">
        <f aca="false">IF(A1043="","",MONTH(A1043))</f>
        <v/>
      </c>
      <c r="C1043" s="52"/>
      <c r="D1043" s="52"/>
      <c r="E1043" s="52"/>
      <c r="F1043" s="53"/>
      <c r="G1043" s="52"/>
      <c r="H1043" s="54" t="str">
        <f aca="false">IF(E1043="","",E1043*N(F1043)*IF(G1043="",1,G1043))</f>
        <v/>
      </c>
      <c r="I1043" s="55" t="str">
        <f aca="false">IF(C1043="","",IFERROR(INDEX('DANH MỤC'!$B$5:$B$200,MATCH(C1043,'DANH MỤC'!$A$5:$A$200,0)),"⚠ Mã chưa có trong DANH MỤC"))</f>
        <v/>
      </c>
      <c r="J1043" s="52"/>
      <c r="K1043" s="52"/>
      <c r="L1043" s="52"/>
    </row>
    <row r="1044" customFormat="false" ht="15" hidden="false" customHeight="false" outlineLevel="0" collapsed="false">
      <c r="A1044" s="50"/>
      <c r="B1044" s="51" t="str">
        <f aca="false">IF(A1044="","",MONTH(A1044))</f>
        <v/>
      </c>
      <c r="C1044" s="52"/>
      <c r="D1044" s="52"/>
      <c r="E1044" s="52"/>
      <c r="F1044" s="53"/>
      <c r="G1044" s="52"/>
      <c r="H1044" s="54" t="str">
        <f aca="false">IF(E1044="","",E1044*N(F1044)*IF(G1044="",1,G1044))</f>
        <v/>
      </c>
      <c r="I1044" s="55" t="str">
        <f aca="false">IF(C1044="","",IFERROR(INDEX('DANH MỤC'!$B$5:$B$200,MATCH(C1044,'DANH MỤC'!$A$5:$A$200,0)),"⚠ Mã chưa có trong DANH MỤC"))</f>
        <v/>
      </c>
      <c r="J1044" s="52"/>
      <c r="K1044" s="52"/>
      <c r="L1044" s="52"/>
    </row>
    <row r="1045" customFormat="false" ht="15" hidden="false" customHeight="false" outlineLevel="0" collapsed="false">
      <c r="A1045" s="50"/>
      <c r="B1045" s="51" t="str">
        <f aca="false">IF(A1045="","",MONTH(A1045))</f>
        <v/>
      </c>
      <c r="C1045" s="52"/>
      <c r="D1045" s="52"/>
      <c r="E1045" s="52"/>
      <c r="F1045" s="53"/>
      <c r="G1045" s="52"/>
      <c r="H1045" s="54" t="str">
        <f aca="false">IF(E1045="","",E1045*N(F1045)*IF(G1045="",1,G1045))</f>
        <v/>
      </c>
      <c r="I1045" s="55" t="str">
        <f aca="false">IF(C1045="","",IFERROR(INDEX('DANH MỤC'!$B$5:$B$200,MATCH(C1045,'DANH MỤC'!$A$5:$A$200,0)),"⚠ Mã chưa có trong DANH MỤC"))</f>
        <v/>
      </c>
      <c r="J1045" s="52"/>
      <c r="K1045" s="52"/>
      <c r="L1045" s="52"/>
    </row>
    <row r="1046" customFormat="false" ht="15" hidden="false" customHeight="false" outlineLevel="0" collapsed="false">
      <c r="A1046" s="50"/>
      <c r="B1046" s="51" t="str">
        <f aca="false">IF(A1046="","",MONTH(A1046))</f>
        <v/>
      </c>
      <c r="C1046" s="52"/>
      <c r="D1046" s="52"/>
      <c r="E1046" s="52"/>
      <c r="F1046" s="53"/>
      <c r="G1046" s="52"/>
      <c r="H1046" s="54" t="str">
        <f aca="false">IF(E1046="","",E1046*N(F1046)*IF(G1046="",1,G1046))</f>
        <v/>
      </c>
      <c r="I1046" s="55" t="str">
        <f aca="false">IF(C1046="","",IFERROR(INDEX('DANH MỤC'!$B$5:$B$200,MATCH(C1046,'DANH MỤC'!$A$5:$A$200,0)),"⚠ Mã chưa có trong DANH MỤC"))</f>
        <v/>
      </c>
      <c r="J1046" s="52"/>
      <c r="K1046" s="52"/>
      <c r="L1046" s="52"/>
    </row>
    <row r="1047" customFormat="false" ht="15" hidden="false" customHeight="false" outlineLevel="0" collapsed="false">
      <c r="A1047" s="50"/>
      <c r="B1047" s="51" t="str">
        <f aca="false">IF(A1047="","",MONTH(A1047))</f>
        <v/>
      </c>
      <c r="C1047" s="52"/>
      <c r="D1047" s="52"/>
      <c r="E1047" s="52"/>
      <c r="F1047" s="53"/>
      <c r="G1047" s="52"/>
      <c r="H1047" s="54" t="str">
        <f aca="false">IF(E1047="","",E1047*N(F1047)*IF(G1047="",1,G1047))</f>
        <v/>
      </c>
      <c r="I1047" s="55" t="str">
        <f aca="false">IF(C1047="","",IFERROR(INDEX('DANH MỤC'!$B$5:$B$200,MATCH(C1047,'DANH MỤC'!$A$5:$A$200,0)),"⚠ Mã chưa có trong DANH MỤC"))</f>
        <v/>
      </c>
      <c r="J1047" s="52"/>
      <c r="K1047" s="52"/>
      <c r="L1047" s="52"/>
    </row>
    <row r="1048" customFormat="false" ht="15" hidden="false" customHeight="false" outlineLevel="0" collapsed="false">
      <c r="A1048" s="50"/>
      <c r="B1048" s="51" t="str">
        <f aca="false">IF(A1048="","",MONTH(A1048))</f>
        <v/>
      </c>
      <c r="C1048" s="52"/>
      <c r="D1048" s="52"/>
      <c r="E1048" s="52"/>
      <c r="F1048" s="53"/>
      <c r="G1048" s="52"/>
      <c r="H1048" s="54" t="str">
        <f aca="false">IF(E1048="","",E1048*N(F1048)*IF(G1048="",1,G1048))</f>
        <v/>
      </c>
      <c r="I1048" s="55" t="str">
        <f aca="false">IF(C1048="","",IFERROR(INDEX('DANH MỤC'!$B$5:$B$200,MATCH(C1048,'DANH MỤC'!$A$5:$A$200,0)),"⚠ Mã chưa có trong DANH MỤC"))</f>
        <v/>
      </c>
      <c r="J1048" s="52"/>
      <c r="K1048" s="52"/>
      <c r="L1048" s="52"/>
    </row>
    <row r="1049" customFormat="false" ht="15" hidden="false" customHeight="false" outlineLevel="0" collapsed="false">
      <c r="A1049" s="50"/>
      <c r="B1049" s="51" t="str">
        <f aca="false">IF(A1049="","",MONTH(A1049))</f>
        <v/>
      </c>
      <c r="C1049" s="52"/>
      <c r="D1049" s="52"/>
      <c r="E1049" s="52"/>
      <c r="F1049" s="53"/>
      <c r="G1049" s="52"/>
      <c r="H1049" s="54" t="str">
        <f aca="false">IF(E1049="","",E1049*N(F1049)*IF(G1049="",1,G1049))</f>
        <v/>
      </c>
      <c r="I1049" s="55" t="str">
        <f aca="false">IF(C1049="","",IFERROR(INDEX('DANH MỤC'!$B$5:$B$200,MATCH(C1049,'DANH MỤC'!$A$5:$A$200,0)),"⚠ Mã chưa có trong DANH MỤC"))</f>
        <v/>
      </c>
      <c r="J1049" s="52"/>
      <c r="K1049" s="52"/>
      <c r="L1049" s="52"/>
    </row>
    <row r="1050" customFormat="false" ht="15" hidden="false" customHeight="false" outlineLevel="0" collapsed="false">
      <c r="A1050" s="50"/>
      <c r="B1050" s="51" t="str">
        <f aca="false">IF(A1050="","",MONTH(A1050))</f>
        <v/>
      </c>
      <c r="C1050" s="52"/>
      <c r="D1050" s="52"/>
      <c r="E1050" s="52"/>
      <c r="F1050" s="53"/>
      <c r="G1050" s="52"/>
      <c r="H1050" s="54" t="str">
        <f aca="false">IF(E1050="","",E1050*N(F1050)*IF(G1050="",1,G1050))</f>
        <v/>
      </c>
      <c r="I1050" s="55" t="str">
        <f aca="false">IF(C1050="","",IFERROR(INDEX('DANH MỤC'!$B$5:$B$200,MATCH(C1050,'DANH MỤC'!$A$5:$A$200,0)),"⚠ Mã chưa có trong DANH MỤC"))</f>
        <v/>
      </c>
      <c r="J1050" s="52"/>
      <c r="K1050" s="52"/>
      <c r="L1050" s="52"/>
    </row>
    <row r="1051" customFormat="false" ht="15" hidden="false" customHeight="false" outlineLevel="0" collapsed="false">
      <c r="A1051" s="50"/>
      <c r="B1051" s="51" t="str">
        <f aca="false">IF(A1051="","",MONTH(A1051))</f>
        <v/>
      </c>
      <c r="C1051" s="52"/>
      <c r="D1051" s="52"/>
      <c r="E1051" s="52"/>
      <c r="F1051" s="53"/>
      <c r="G1051" s="52"/>
      <c r="H1051" s="54" t="str">
        <f aca="false">IF(E1051="","",E1051*N(F1051)*IF(G1051="",1,G1051))</f>
        <v/>
      </c>
      <c r="I1051" s="55" t="str">
        <f aca="false">IF(C1051="","",IFERROR(INDEX('DANH MỤC'!$B$5:$B$200,MATCH(C1051,'DANH MỤC'!$A$5:$A$200,0)),"⚠ Mã chưa có trong DANH MỤC"))</f>
        <v/>
      </c>
      <c r="J1051" s="52"/>
      <c r="K1051" s="52"/>
      <c r="L1051" s="52"/>
    </row>
    <row r="1052" customFormat="false" ht="15" hidden="false" customHeight="false" outlineLevel="0" collapsed="false">
      <c r="A1052" s="50"/>
      <c r="B1052" s="51" t="str">
        <f aca="false">IF(A1052="","",MONTH(A1052))</f>
        <v/>
      </c>
      <c r="C1052" s="52"/>
      <c r="D1052" s="52"/>
      <c r="E1052" s="52"/>
      <c r="F1052" s="53"/>
      <c r="G1052" s="52"/>
      <c r="H1052" s="54" t="str">
        <f aca="false">IF(E1052="","",E1052*N(F1052)*IF(G1052="",1,G1052))</f>
        <v/>
      </c>
      <c r="I1052" s="55" t="str">
        <f aca="false">IF(C1052="","",IFERROR(INDEX('DANH MỤC'!$B$5:$B$200,MATCH(C1052,'DANH MỤC'!$A$5:$A$200,0)),"⚠ Mã chưa có trong DANH MỤC"))</f>
        <v/>
      </c>
      <c r="J1052" s="52"/>
      <c r="K1052" s="52"/>
      <c r="L1052" s="52"/>
    </row>
    <row r="1053" customFormat="false" ht="15" hidden="false" customHeight="false" outlineLevel="0" collapsed="false">
      <c r="A1053" s="50"/>
      <c r="B1053" s="51" t="str">
        <f aca="false">IF(A1053="","",MONTH(A1053))</f>
        <v/>
      </c>
      <c r="C1053" s="52"/>
      <c r="D1053" s="52"/>
      <c r="E1053" s="52"/>
      <c r="F1053" s="53"/>
      <c r="G1053" s="52"/>
      <c r="H1053" s="54" t="str">
        <f aca="false">IF(E1053="","",E1053*N(F1053)*IF(G1053="",1,G1053))</f>
        <v/>
      </c>
      <c r="I1053" s="55" t="str">
        <f aca="false">IF(C1053="","",IFERROR(INDEX('DANH MỤC'!$B$5:$B$200,MATCH(C1053,'DANH MỤC'!$A$5:$A$200,0)),"⚠ Mã chưa có trong DANH MỤC"))</f>
        <v/>
      </c>
      <c r="J1053" s="52"/>
      <c r="K1053" s="52"/>
      <c r="L1053" s="52"/>
    </row>
    <row r="1054" customFormat="false" ht="15" hidden="false" customHeight="false" outlineLevel="0" collapsed="false">
      <c r="A1054" s="50"/>
      <c r="B1054" s="51" t="str">
        <f aca="false">IF(A1054="","",MONTH(A1054))</f>
        <v/>
      </c>
      <c r="C1054" s="52"/>
      <c r="D1054" s="52"/>
      <c r="E1054" s="52"/>
      <c r="F1054" s="53"/>
      <c r="G1054" s="52"/>
      <c r="H1054" s="54" t="str">
        <f aca="false">IF(E1054="","",E1054*N(F1054)*IF(G1054="",1,G1054))</f>
        <v/>
      </c>
      <c r="I1054" s="55" t="str">
        <f aca="false">IF(C1054="","",IFERROR(INDEX('DANH MỤC'!$B$5:$B$200,MATCH(C1054,'DANH MỤC'!$A$5:$A$200,0)),"⚠ Mã chưa có trong DANH MỤC"))</f>
        <v/>
      </c>
      <c r="J1054" s="52"/>
      <c r="K1054" s="52"/>
      <c r="L1054" s="52"/>
    </row>
    <row r="1055" customFormat="false" ht="15" hidden="false" customHeight="false" outlineLevel="0" collapsed="false">
      <c r="A1055" s="50"/>
      <c r="B1055" s="51" t="str">
        <f aca="false">IF(A1055="","",MONTH(A1055))</f>
        <v/>
      </c>
      <c r="C1055" s="52"/>
      <c r="D1055" s="52"/>
      <c r="E1055" s="52"/>
      <c r="F1055" s="53"/>
      <c r="G1055" s="52"/>
      <c r="H1055" s="54" t="str">
        <f aca="false">IF(E1055="","",E1055*N(F1055)*IF(G1055="",1,G1055))</f>
        <v/>
      </c>
      <c r="I1055" s="55" t="str">
        <f aca="false">IF(C1055="","",IFERROR(INDEX('DANH MỤC'!$B$5:$B$200,MATCH(C1055,'DANH MỤC'!$A$5:$A$200,0)),"⚠ Mã chưa có trong DANH MỤC"))</f>
        <v/>
      </c>
      <c r="J1055" s="52"/>
      <c r="K1055" s="52"/>
      <c r="L1055" s="52"/>
    </row>
    <row r="1056" customFormat="false" ht="15" hidden="false" customHeight="false" outlineLevel="0" collapsed="false">
      <c r="A1056" s="50"/>
      <c r="B1056" s="51" t="str">
        <f aca="false">IF(A1056="","",MONTH(A1056))</f>
        <v/>
      </c>
      <c r="C1056" s="52"/>
      <c r="D1056" s="52"/>
      <c r="E1056" s="52"/>
      <c r="F1056" s="53"/>
      <c r="G1056" s="52"/>
      <c r="H1056" s="54" t="str">
        <f aca="false">IF(E1056="","",E1056*N(F1056)*IF(G1056="",1,G1056))</f>
        <v/>
      </c>
      <c r="I1056" s="55" t="str">
        <f aca="false">IF(C1056="","",IFERROR(INDEX('DANH MỤC'!$B$5:$B$200,MATCH(C1056,'DANH MỤC'!$A$5:$A$200,0)),"⚠ Mã chưa có trong DANH MỤC"))</f>
        <v/>
      </c>
      <c r="J1056" s="52"/>
      <c r="K1056" s="52"/>
      <c r="L1056" s="52"/>
    </row>
    <row r="1057" customFormat="false" ht="15" hidden="false" customHeight="false" outlineLevel="0" collapsed="false">
      <c r="A1057" s="50"/>
      <c r="B1057" s="51" t="str">
        <f aca="false">IF(A1057="","",MONTH(A1057))</f>
        <v/>
      </c>
      <c r="C1057" s="52"/>
      <c r="D1057" s="52"/>
      <c r="E1057" s="52"/>
      <c r="F1057" s="53"/>
      <c r="G1057" s="52"/>
      <c r="H1057" s="54" t="str">
        <f aca="false">IF(E1057="","",E1057*N(F1057)*IF(G1057="",1,G1057))</f>
        <v/>
      </c>
      <c r="I1057" s="55" t="str">
        <f aca="false">IF(C1057="","",IFERROR(INDEX('DANH MỤC'!$B$5:$B$200,MATCH(C1057,'DANH MỤC'!$A$5:$A$200,0)),"⚠ Mã chưa có trong DANH MỤC"))</f>
        <v/>
      </c>
      <c r="J1057" s="52"/>
      <c r="K1057" s="52"/>
      <c r="L1057" s="52"/>
    </row>
    <row r="1058" customFormat="false" ht="15" hidden="false" customHeight="false" outlineLevel="0" collapsed="false">
      <c r="A1058" s="50"/>
      <c r="B1058" s="51" t="str">
        <f aca="false">IF(A1058="","",MONTH(A1058))</f>
        <v/>
      </c>
      <c r="C1058" s="52"/>
      <c r="D1058" s="52"/>
      <c r="E1058" s="52"/>
      <c r="F1058" s="53"/>
      <c r="G1058" s="52"/>
      <c r="H1058" s="54" t="str">
        <f aca="false">IF(E1058="","",E1058*N(F1058)*IF(G1058="",1,G1058))</f>
        <v/>
      </c>
      <c r="I1058" s="55" t="str">
        <f aca="false">IF(C1058="","",IFERROR(INDEX('DANH MỤC'!$B$5:$B$200,MATCH(C1058,'DANH MỤC'!$A$5:$A$200,0)),"⚠ Mã chưa có trong DANH MỤC"))</f>
        <v/>
      </c>
      <c r="J1058" s="52"/>
      <c r="K1058" s="52"/>
      <c r="L1058" s="52"/>
    </row>
    <row r="1059" customFormat="false" ht="15" hidden="false" customHeight="false" outlineLevel="0" collapsed="false">
      <c r="A1059" s="50"/>
      <c r="B1059" s="51" t="str">
        <f aca="false">IF(A1059="","",MONTH(A1059))</f>
        <v/>
      </c>
      <c r="C1059" s="52"/>
      <c r="D1059" s="52"/>
      <c r="E1059" s="52"/>
      <c r="F1059" s="53"/>
      <c r="G1059" s="52"/>
      <c r="H1059" s="54" t="str">
        <f aca="false">IF(E1059="","",E1059*N(F1059)*IF(G1059="",1,G1059))</f>
        <v/>
      </c>
      <c r="I1059" s="55" t="str">
        <f aca="false">IF(C1059="","",IFERROR(INDEX('DANH MỤC'!$B$5:$B$200,MATCH(C1059,'DANH MỤC'!$A$5:$A$200,0)),"⚠ Mã chưa có trong DANH MỤC"))</f>
        <v/>
      </c>
      <c r="J1059" s="52"/>
      <c r="K1059" s="52"/>
      <c r="L1059" s="52"/>
    </row>
    <row r="1060" customFormat="false" ht="15" hidden="false" customHeight="false" outlineLevel="0" collapsed="false">
      <c r="A1060" s="50"/>
      <c r="B1060" s="51" t="str">
        <f aca="false">IF(A1060="","",MONTH(A1060))</f>
        <v/>
      </c>
      <c r="C1060" s="52"/>
      <c r="D1060" s="52"/>
      <c r="E1060" s="52"/>
      <c r="F1060" s="53"/>
      <c r="G1060" s="52"/>
      <c r="H1060" s="54" t="str">
        <f aca="false">IF(E1060="","",E1060*N(F1060)*IF(G1060="",1,G1060))</f>
        <v/>
      </c>
      <c r="I1060" s="55" t="str">
        <f aca="false">IF(C1060="","",IFERROR(INDEX('DANH MỤC'!$B$5:$B$200,MATCH(C1060,'DANH MỤC'!$A$5:$A$200,0)),"⚠ Mã chưa có trong DANH MỤC"))</f>
        <v/>
      </c>
      <c r="J1060" s="52"/>
      <c r="K1060" s="52"/>
      <c r="L1060" s="52"/>
    </row>
    <row r="1061" customFormat="false" ht="15" hidden="false" customHeight="false" outlineLevel="0" collapsed="false">
      <c r="A1061" s="50"/>
      <c r="B1061" s="51" t="str">
        <f aca="false">IF(A1061="","",MONTH(A1061))</f>
        <v/>
      </c>
      <c r="C1061" s="52"/>
      <c r="D1061" s="52"/>
      <c r="E1061" s="52"/>
      <c r="F1061" s="53"/>
      <c r="G1061" s="52"/>
      <c r="H1061" s="54" t="str">
        <f aca="false">IF(E1061="","",E1061*N(F1061)*IF(G1061="",1,G1061))</f>
        <v/>
      </c>
      <c r="I1061" s="55" t="str">
        <f aca="false">IF(C1061="","",IFERROR(INDEX('DANH MỤC'!$B$5:$B$200,MATCH(C1061,'DANH MỤC'!$A$5:$A$200,0)),"⚠ Mã chưa có trong DANH MỤC"))</f>
        <v/>
      </c>
      <c r="J1061" s="52"/>
      <c r="K1061" s="52"/>
      <c r="L1061" s="52"/>
    </row>
    <row r="1062" customFormat="false" ht="15" hidden="false" customHeight="false" outlineLevel="0" collapsed="false">
      <c r="A1062" s="50"/>
      <c r="B1062" s="51" t="str">
        <f aca="false">IF(A1062="","",MONTH(A1062))</f>
        <v/>
      </c>
      <c r="C1062" s="52"/>
      <c r="D1062" s="52"/>
      <c r="E1062" s="52"/>
      <c r="F1062" s="53"/>
      <c r="G1062" s="52"/>
      <c r="H1062" s="54" t="str">
        <f aca="false">IF(E1062="","",E1062*N(F1062)*IF(G1062="",1,G1062))</f>
        <v/>
      </c>
      <c r="I1062" s="55" t="str">
        <f aca="false">IF(C1062="","",IFERROR(INDEX('DANH MỤC'!$B$5:$B$200,MATCH(C1062,'DANH MỤC'!$A$5:$A$200,0)),"⚠ Mã chưa có trong DANH MỤC"))</f>
        <v/>
      </c>
      <c r="J1062" s="52"/>
      <c r="K1062" s="52"/>
      <c r="L1062" s="52"/>
    </row>
    <row r="1063" customFormat="false" ht="15" hidden="false" customHeight="false" outlineLevel="0" collapsed="false">
      <c r="A1063" s="50"/>
      <c r="B1063" s="51" t="str">
        <f aca="false">IF(A1063="","",MONTH(A1063))</f>
        <v/>
      </c>
      <c r="C1063" s="52"/>
      <c r="D1063" s="52"/>
      <c r="E1063" s="52"/>
      <c r="F1063" s="53"/>
      <c r="G1063" s="52"/>
      <c r="H1063" s="54" t="str">
        <f aca="false">IF(E1063="","",E1063*N(F1063)*IF(G1063="",1,G1063))</f>
        <v/>
      </c>
      <c r="I1063" s="55" t="str">
        <f aca="false">IF(C1063="","",IFERROR(INDEX('DANH MỤC'!$B$5:$B$200,MATCH(C1063,'DANH MỤC'!$A$5:$A$200,0)),"⚠ Mã chưa có trong DANH MỤC"))</f>
        <v/>
      </c>
      <c r="J1063" s="52"/>
      <c r="K1063" s="52"/>
      <c r="L1063" s="52"/>
    </row>
    <row r="1064" customFormat="false" ht="15" hidden="false" customHeight="false" outlineLevel="0" collapsed="false">
      <c r="A1064" s="50"/>
      <c r="B1064" s="51" t="str">
        <f aca="false">IF(A1064="","",MONTH(A1064))</f>
        <v/>
      </c>
      <c r="C1064" s="52"/>
      <c r="D1064" s="52"/>
      <c r="E1064" s="52"/>
      <c r="F1064" s="53"/>
      <c r="G1064" s="52"/>
      <c r="H1064" s="54" t="str">
        <f aca="false">IF(E1064="","",E1064*N(F1064)*IF(G1064="",1,G1064))</f>
        <v/>
      </c>
      <c r="I1064" s="55" t="str">
        <f aca="false">IF(C1064="","",IFERROR(INDEX('DANH MỤC'!$B$5:$B$200,MATCH(C1064,'DANH MỤC'!$A$5:$A$200,0)),"⚠ Mã chưa có trong DANH MỤC"))</f>
        <v/>
      </c>
      <c r="J1064" s="52"/>
      <c r="K1064" s="52"/>
      <c r="L1064" s="52"/>
    </row>
    <row r="1065" customFormat="false" ht="15" hidden="false" customHeight="false" outlineLevel="0" collapsed="false">
      <c r="A1065" s="50"/>
      <c r="B1065" s="51" t="str">
        <f aca="false">IF(A1065="","",MONTH(A1065))</f>
        <v/>
      </c>
      <c r="C1065" s="52"/>
      <c r="D1065" s="52"/>
      <c r="E1065" s="52"/>
      <c r="F1065" s="53"/>
      <c r="G1065" s="52"/>
      <c r="H1065" s="54" t="str">
        <f aca="false">IF(E1065="","",E1065*N(F1065)*IF(G1065="",1,G1065))</f>
        <v/>
      </c>
      <c r="I1065" s="55" t="str">
        <f aca="false">IF(C1065="","",IFERROR(INDEX('DANH MỤC'!$B$5:$B$200,MATCH(C1065,'DANH MỤC'!$A$5:$A$200,0)),"⚠ Mã chưa có trong DANH MỤC"))</f>
        <v/>
      </c>
      <c r="J1065" s="52"/>
      <c r="K1065" s="52"/>
      <c r="L1065" s="52"/>
    </row>
    <row r="1066" customFormat="false" ht="15" hidden="false" customHeight="false" outlineLevel="0" collapsed="false">
      <c r="A1066" s="50"/>
      <c r="B1066" s="51" t="str">
        <f aca="false">IF(A1066="","",MONTH(A1066))</f>
        <v/>
      </c>
      <c r="C1066" s="52"/>
      <c r="D1066" s="52"/>
      <c r="E1066" s="52"/>
      <c r="F1066" s="53"/>
      <c r="G1066" s="52"/>
      <c r="H1066" s="54" t="str">
        <f aca="false">IF(E1066="","",E1066*N(F1066)*IF(G1066="",1,G1066))</f>
        <v/>
      </c>
      <c r="I1066" s="55" t="str">
        <f aca="false">IF(C1066="","",IFERROR(INDEX('DANH MỤC'!$B$5:$B$200,MATCH(C1066,'DANH MỤC'!$A$5:$A$200,0)),"⚠ Mã chưa có trong DANH MỤC"))</f>
        <v/>
      </c>
      <c r="J1066" s="52"/>
      <c r="K1066" s="52"/>
      <c r="L1066" s="52"/>
    </row>
    <row r="1067" customFormat="false" ht="15" hidden="false" customHeight="false" outlineLevel="0" collapsed="false">
      <c r="A1067" s="50"/>
      <c r="B1067" s="51" t="str">
        <f aca="false">IF(A1067="","",MONTH(A1067))</f>
        <v/>
      </c>
      <c r="C1067" s="52"/>
      <c r="D1067" s="52"/>
      <c r="E1067" s="52"/>
      <c r="F1067" s="53"/>
      <c r="G1067" s="52"/>
      <c r="H1067" s="54" t="str">
        <f aca="false">IF(E1067="","",E1067*N(F1067)*IF(G1067="",1,G1067))</f>
        <v/>
      </c>
      <c r="I1067" s="55" t="str">
        <f aca="false">IF(C1067="","",IFERROR(INDEX('DANH MỤC'!$B$5:$B$200,MATCH(C1067,'DANH MỤC'!$A$5:$A$200,0)),"⚠ Mã chưa có trong DANH MỤC"))</f>
        <v/>
      </c>
      <c r="J1067" s="52"/>
      <c r="K1067" s="52"/>
      <c r="L1067" s="52"/>
    </row>
    <row r="1068" customFormat="false" ht="15" hidden="false" customHeight="false" outlineLevel="0" collapsed="false">
      <c r="A1068" s="50"/>
      <c r="B1068" s="51" t="str">
        <f aca="false">IF(A1068="","",MONTH(A1068))</f>
        <v/>
      </c>
      <c r="C1068" s="52"/>
      <c r="D1068" s="52"/>
      <c r="E1068" s="52"/>
      <c r="F1068" s="53"/>
      <c r="G1068" s="52"/>
      <c r="H1068" s="54" t="str">
        <f aca="false">IF(E1068="","",E1068*N(F1068)*IF(G1068="",1,G1068))</f>
        <v/>
      </c>
      <c r="I1068" s="55" t="str">
        <f aca="false">IF(C1068="","",IFERROR(INDEX('DANH MỤC'!$B$5:$B$200,MATCH(C1068,'DANH MỤC'!$A$5:$A$200,0)),"⚠ Mã chưa có trong DANH MỤC"))</f>
        <v/>
      </c>
      <c r="J1068" s="52"/>
      <c r="K1068" s="52"/>
      <c r="L1068" s="52"/>
    </row>
    <row r="1069" customFormat="false" ht="15" hidden="false" customHeight="false" outlineLevel="0" collapsed="false">
      <c r="A1069" s="50"/>
      <c r="B1069" s="51" t="str">
        <f aca="false">IF(A1069="","",MONTH(A1069))</f>
        <v/>
      </c>
      <c r="C1069" s="52"/>
      <c r="D1069" s="52"/>
      <c r="E1069" s="52"/>
      <c r="F1069" s="53"/>
      <c r="G1069" s="52"/>
      <c r="H1069" s="54" t="str">
        <f aca="false">IF(E1069="","",E1069*N(F1069)*IF(G1069="",1,G1069))</f>
        <v/>
      </c>
      <c r="I1069" s="55" t="str">
        <f aca="false">IF(C1069="","",IFERROR(INDEX('DANH MỤC'!$B$5:$B$200,MATCH(C1069,'DANH MỤC'!$A$5:$A$200,0)),"⚠ Mã chưa có trong DANH MỤC"))</f>
        <v/>
      </c>
      <c r="J1069" s="52"/>
      <c r="K1069" s="52"/>
      <c r="L1069" s="52"/>
    </row>
    <row r="1070" customFormat="false" ht="15" hidden="false" customHeight="false" outlineLevel="0" collapsed="false">
      <c r="A1070" s="50"/>
      <c r="B1070" s="51" t="str">
        <f aca="false">IF(A1070="","",MONTH(A1070))</f>
        <v/>
      </c>
      <c r="C1070" s="52"/>
      <c r="D1070" s="52"/>
      <c r="E1070" s="52"/>
      <c r="F1070" s="53"/>
      <c r="G1070" s="52"/>
      <c r="H1070" s="54" t="str">
        <f aca="false">IF(E1070="","",E1070*N(F1070)*IF(G1070="",1,G1070))</f>
        <v/>
      </c>
      <c r="I1070" s="55" t="str">
        <f aca="false">IF(C1070="","",IFERROR(INDEX('DANH MỤC'!$B$5:$B$200,MATCH(C1070,'DANH MỤC'!$A$5:$A$200,0)),"⚠ Mã chưa có trong DANH MỤC"))</f>
        <v/>
      </c>
      <c r="J1070" s="52"/>
      <c r="K1070" s="52"/>
      <c r="L1070" s="52"/>
    </row>
    <row r="1071" customFormat="false" ht="15" hidden="false" customHeight="false" outlineLevel="0" collapsed="false">
      <c r="A1071" s="50"/>
      <c r="B1071" s="51" t="str">
        <f aca="false">IF(A1071="","",MONTH(A1071))</f>
        <v/>
      </c>
      <c r="C1071" s="52"/>
      <c r="D1071" s="52"/>
      <c r="E1071" s="52"/>
      <c r="F1071" s="53"/>
      <c r="G1071" s="52"/>
      <c r="H1071" s="54" t="str">
        <f aca="false">IF(E1071="","",E1071*N(F1071)*IF(G1071="",1,G1071))</f>
        <v/>
      </c>
      <c r="I1071" s="55" t="str">
        <f aca="false">IF(C1071="","",IFERROR(INDEX('DANH MỤC'!$B$5:$B$200,MATCH(C1071,'DANH MỤC'!$A$5:$A$200,0)),"⚠ Mã chưa có trong DANH MỤC"))</f>
        <v/>
      </c>
      <c r="J1071" s="52"/>
      <c r="K1071" s="52"/>
      <c r="L1071" s="52"/>
    </row>
    <row r="1072" customFormat="false" ht="15" hidden="false" customHeight="false" outlineLevel="0" collapsed="false">
      <c r="A1072" s="50"/>
      <c r="B1072" s="51" t="str">
        <f aca="false">IF(A1072="","",MONTH(A1072))</f>
        <v/>
      </c>
      <c r="C1072" s="52"/>
      <c r="D1072" s="52"/>
      <c r="E1072" s="52"/>
      <c r="F1072" s="53"/>
      <c r="G1072" s="52"/>
      <c r="H1072" s="54" t="str">
        <f aca="false">IF(E1072="","",E1072*N(F1072)*IF(G1072="",1,G1072))</f>
        <v/>
      </c>
      <c r="I1072" s="55" t="str">
        <f aca="false">IF(C1072="","",IFERROR(INDEX('DANH MỤC'!$B$5:$B$200,MATCH(C1072,'DANH MỤC'!$A$5:$A$200,0)),"⚠ Mã chưa có trong DANH MỤC"))</f>
        <v/>
      </c>
      <c r="J1072" s="52"/>
      <c r="K1072" s="52"/>
      <c r="L1072" s="52"/>
    </row>
    <row r="1073" customFormat="false" ht="15" hidden="false" customHeight="false" outlineLevel="0" collapsed="false">
      <c r="A1073" s="50"/>
      <c r="B1073" s="51" t="str">
        <f aca="false">IF(A1073="","",MONTH(A1073))</f>
        <v/>
      </c>
      <c r="C1073" s="52"/>
      <c r="D1073" s="52"/>
      <c r="E1073" s="52"/>
      <c r="F1073" s="53"/>
      <c r="G1073" s="52"/>
      <c r="H1073" s="54" t="str">
        <f aca="false">IF(E1073="","",E1073*N(F1073)*IF(G1073="",1,G1073))</f>
        <v/>
      </c>
      <c r="I1073" s="55" t="str">
        <f aca="false">IF(C1073="","",IFERROR(INDEX('DANH MỤC'!$B$5:$B$200,MATCH(C1073,'DANH MỤC'!$A$5:$A$200,0)),"⚠ Mã chưa có trong DANH MỤC"))</f>
        <v/>
      </c>
      <c r="J1073" s="52"/>
      <c r="K1073" s="52"/>
      <c r="L1073" s="52"/>
    </row>
    <row r="1074" customFormat="false" ht="15" hidden="false" customHeight="false" outlineLevel="0" collapsed="false">
      <c r="A1074" s="50"/>
      <c r="B1074" s="51" t="str">
        <f aca="false">IF(A1074="","",MONTH(A1074))</f>
        <v/>
      </c>
      <c r="C1074" s="52"/>
      <c r="D1074" s="52"/>
      <c r="E1074" s="52"/>
      <c r="F1074" s="53"/>
      <c r="G1074" s="52"/>
      <c r="H1074" s="54" t="str">
        <f aca="false">IF(E1074="","",E1074*N(F1074)*IF(G1074="",1,G1074))</f>
        <v/>
      </c>
      <c r="I1074" s="55" t="str">
        <f aca="false">IF(C1074="","",IFERROR(INDEX('DANH MỤC'!$B$5:$B$200,MATCH(C1074,'DANH MỤC'!$A$5:$A$200,0)),"⚠ Mã chưa có trong DANH MỤC"))</f>
        <v/>
      </c>
      <c r="J1074" s="52"/>
      <c r="K1074" s="52"/>
      <c r="L1074" s="52"/>
    </row>
    <row r="1075" customFormat="false" ht="15" hidden="false" customHeight="false" outlineLevel="0" collapsed="false">
      <c r="A1075" s="50"/>
      <c r="B1075" s="51" t="str">
        <f aca="false">IF(A1075="","",MONTH(A1075))</f>
        <v/>
      </c>
      <c r="C1075" s="52"/>
      <c r="D1075" s="52"/>
      <c r="E1075" s="52"/>
      <c r="F1075" s="53"/>
      <c r="G1075" s="52"/>
      <c r="H1075" s="54" t="str">
        <f aca="false">IF(E1075="","",E1075*N(F1075)*IF(G1075="",1,G1075))</f>
        <v/>
      </c>
      <c r="I1075" s="55" t="str">
        <f aca="false">IF(C1075="","",IFERROR(INDEX('DANH MỤC'!$B$5:$B$200,MATCH(C1075,'DANH MỤC'!$A$5:$A$200,0)),"⚠ Mã chưa có trong DANH MỤC"))</f>
        <v/>
      </c>
      <c r="J1075" s="52"/>
      <c r="K1075" s="52"/>
      <c r="L1075" s="52"/>
    </row>
    <row r="1076" customFormat="false" ht="15" hidden="false" customHeight="false" outlineLevel="0" collapsed="false">
      <c r="A1076" s="50"/>
      <c r="B1076" s="51" t="str">
        <f aca="false">IF(A1076="","",MONTH(A1076))</f>
        <v/>
      </c>
      <c r="C1076" s="52"/>
      <c r="D1076" s="52"/>
      <c r="E1076" s="52"/>
      <c r="F1076" s="53"/>
      <c r="G1076" s="52"/>
      <c r="H1076" s="54" t="str">
        <f aca="false">IF(E1076="","",E1076*N(F1076)*IF(G1076="",1,G1076))</f>
        <v/>
      </c>
      <c r="I1076" s="55" t="str">
        <f aca="false">IF(C1076="","",IFERROR(INDEX('DANH MỤC'!$B$5:$B$200,MATCH(C1076,'DANH MỤC'!$A$5:$A$200,0)),"⚠ Mã chưa có trong DANH MỤC"))</f>
        <v/>
      </c>
      <c r="J1076" s="52"/>
      <c r="K1076" s="52"/>
      <c r="L1076" s="52"/>
    </row>
    <row r="1077" customFormat="false" ht="15" hidden="false" customHeight="false" outlineLevel="0" collapsed="false">
      <c r="A1077" s="50"/>
      <c r="B1077" s="51" t="str">
        <f aca="false">IF(A1077="","",MONTH(A1077))</f>
        <v/>
      </c>
      <c r="C1077" s="52"/>
      <c r="D1077" s="52"/>
      <c r="E1077" s="52"/>
      <c r="F1077" s="53"/>
      <c r="G1077" s="52"/>
      <c r="H1077" s="54" t="str">
        <f aca="false">IF(E1077="","",E1077*N(F1077)*IF(G1077="",1,G1077))</f>
        <v/>
      </c>
      <c r="I1077" s="55" t="str">
        <f aca="false">IF(C1077="","",IFERROR(INDEX('DANH MỤC'!$B$5:$B$200,MATCH(C1077,'DANH MỤC'!$A$5:$A$200,0)),"⚠ Mã chưa có trong DANH MỤC"))</f>
        <v/>
      </c>
      <c r="J1077" s="52"/>
      <c r="K1077" s="52"/>
      <c r="L1077" s="52"/>
    </row>
    <row r="1078" customFormat="false" ht="15" hidden="false" customHeight="false" outlineLevel="0" collapsed="false">
      <c r="A1078" s="50"/>
      <c r="B1078" s="51" t="str">
        <f aca="false">IF(A1078="","",MONTH(A1078))</f>
        <v/>
      </c>
      <c r="C1078" s="52"/>
      <c r="D1078" s="52"/>
      <c r="E1078" s="52"/>
      <c r="F1078" s="53"/>
      <c r="G1078" s="52"/>
      <c r="H1078" s="54" t="str">
        <f aca="false">IF(E1078="","",E1078*N(F1078)*IF(G1078="",1,G1078))</f>
        <v/>
      </c>
      <c r="I1078" s="55" t="str">
        <f aca="false">IF(C1078="","",IFERROR(INDEX('DANH MỤC'!$B$5:$B$200,MATCH(C1078,'DANH MỤC'!$A$5:$A$200,0)),"⚠ Mã chưa có trong DANH MỤC"))</f>
        <v/>
      </c>
      <c r="J1078" s="52"/>
      <c r="K1078" s="52"/>
      <c r="L1078" s="52"/>
    </row>
    <row r="1079" customFormat="false" ht="15" hidden="false" customHeight="false" outlineLevel="0" collapsed="false">
      <c r="A1079" s="50"/>
      <c r="B1079" s="51" t="str">
        <f aca="false">IF(A1079="","",MONTH(A1079))</f>
        <v/>
      </c>
      <c r="C1079" s="52"/>
      <c r="D1079" s="52"/>
      <c r="E1079" s="52"/>
      <c r="F1079" s="53"/>
      <c r="G1079" s="52"/>
      <c r="H1079" s="54" t="str">
        <f aca="false">IF(E1079="","",E1079*N(F1079)*IF(G1079="",1,G1079))</f>
        <v/>
      </c>
      <c r="I1079" s="55" t="str">
        <f aca="false">IF(C1079="","",IFERROR(INDEX('DANH MỤC'!$B$5:$B$200,MATCH(C1079,'DANH MỤC'!$A$5:$A$200,0)),"⚠ Mã chưa có trong DANH MỤC"))</f>
        <v/>
      </c>
      <c r="J1079" s="52"/>
      <c r="K1079" s="52"/>
      <c r="L1079" s="52"/>
    </row>
    <row r="1080" customFormat="false" ht="15" hidden="false" customHeight="false" outlineLevel="0" collapsed="false">
      <c r="A1080" s="50"/>
      <c r="B1080" s="51" t="str">
        <f aca="false">IF(A1080="","",MONTH(A1080))</f>
        <v/>
      </c>
      <c r="C1080" s="52"/>
      <c r="D1080" s="52"/>
      <c r="E1080" s="52"/>
      <c r="F1080" s="53"/>
      <c r="G1080" s="52"/>
      <c r="H1080" s="54" t="str">
        <f aca="false">IF(E1080="","",E1080*N(F1080)*IF(G1080="",1,G1080))</f>
        <v/>
      </c>
      <c r="I1080" s="55" t="str">
        <f aca="false">IF(C1080="","",IFERROR(INDEX('DANH MỤC'!$B$5:$B$200,MATCH(C1080,'DANH MỤC'!$A$5:$A$200,0)),"⚠ Mã chưa có trong DANH MỤC"))</f>
        <v/>
      </c>
      <c r="J1080" s="52"/>
      <c r="K1080" s="52"/>
      <c r="L1080" s="52"/>
    </row>
    <row r="1081" customFormat="false" ht="15" hidden="false" customHeight="false" outlineLevel="0" collapsed="false">
      <c r="A1081" s="50"/>
      <c r="B1081" s="51" t="str">
        <f aca="false">IF(A1081="","",MONTH(A1081))</f>
        <v/>
      </c>
      <c r="C1081" s="52"/>
      <c r="D1081" s="52"/>
      <c r="E1081" s="52"/>
      <c r="F1081" s="53"/>
      <c r="G1081" s="52"/>
      <c r="H1081" s="54" t="str">
        <f aca="false">IF(E1081="","",E1081*N(F1081)*IF(G1081="",1,G1081))</f>
        <v/>
      </c>
      <c r="I1081" s="55" t="str">
        <f aca="false">IF(C1081="","",IFERROR(INDEX('DANH MỤC'!$B$5:$B$200,MATCH(C1081,'DANH MỤC'!$A$5:$A$200,0)),"⚠ Mã chưa có trong DANH MỤC"))</f>
        <v/>
      </c>
      <c r="J1081" s="52"/>
      <c r="K1081" s="52"/>
      <c r="L1081" s="52"/>
    </row>
    <row r="1082" customFormat="false" ht="15" hidden="false" customHeight="false" outlineLevel="0" collapsed="false">
      <c r="A1082" s="50"/>
      <c r="B1082" s="51" t="str">
        <f aca="false">IF(A1082="","",MONTH(A1082))</f>
        <v/>
      </c>
      <c r="C1082" s="52"/>
      <c r="D1082" s="52"/>
      <c r="E1082" s="52"/>
      <c r="F1082" s="53"/>
      <c r="G1082" s="52"/>
      <c r="H1082" s="54" t="str">
        <f aca="false">IF(E1082="","",E1082*N(F1082)*IF(G1082="",1,G1082))</f>
        <v/>
      </c>
      <c r="I1082" s="55" t="str">
        <f aca="false">IF(C1082="","",IFERROR(INDEX('DANH MỤC'!$B$5:$B$200,MATCH(C1082,'DANH MỤC'!$A$5:$A$200,0)),"⚠ Mã chưa có trong DANH MỤC"))</f>
        <v/>
      </c>
      <c r="J1082" s="52"/>
      <c r="K1082" s="52"/>
      <c r="L1082" s="52"/>
    </row>
    <row r="1083" customFormat="false" ht="15" hidden="false" customHeight="false" outlineLevel="0" collapsed="false">
      <c r="A1083" s="50"/>
      <c r="B1083" s="51" t="str">
        <f aca="false">IF(A1083="","",MONTH(A1083))</f>
        <v/>
      </c>
      <c r="C1083" s="52"/>
      <c r="D1083" s="52"/>
      <c r="E1083" s="52"/>
      <c r="F1083" s="53"/>
      <c r="G1083" s="52"/>
      <c r="H1083" s="54" t="str">
        <f aca="false">IF(E1083="","",E1083*N(F1083)*IF(G1083="",1,G1083))</f>
        <v/>
      </c>
      <c r="I1083" s="55" t="str">
        <f aca="false">IF(C1083="","",IFERROR(INDEX('DANH MỤC'!$B$5:$B$200,MATCH(C1083,'DANH MỤC'!$A$5:$A$200,0)),"⚠ Mã chưa có trong DANH MỤC"))</f>
        <v/>
      </c>
      <c r="J1083" s="52"/>
      <c r="K1083" s="52"/>
      <c r="L1083" s="52"/>
    </row>
    <row r="1084" customFormat="false" ht="15" hidden="false" customHeight="false" outlineLevel="0" collapsed="false">
      <c r="A1084" s="50"/>
      <c r="B1084" s="51" t="str">
        <f aca="false">IF(A1084="","",MONTH(A1084))</f>
        <v/>
      </c>
      <c r="C1084" s="52"/>
      <c r="D1084" s="52"/>
      <c r="E1084" s="52"/>
      <c r="F1084" s="53"/>
      <c r="G1084" s="52"/>
      <c r="H1084" s="54" t="str">
        <f aca="false">IF(E1084="","",E1084*N(F1084)*IF(G1084="",1,G1084))</f>
        <v/>
      </c>
      <c r="I1084" s="55" t="str">
        <f aca="false">IF(C1084="","",IFERROR(INDEX('DANH MỤC'!$B$5:$B$200,MATCH(C1084,'DANH MỤC'!$A$5:$A$200,0)),"⚠ Mã chưa có trong DANH MỤC"))</f>
        <v/>
      </c>
      <c r="J1084" s="52"/>
      <c r="K1084" s="52"/>
      <c r="L1084" s="52"/>
    </row>
    <row r="1085" customFormat="false" ht="15" hidden="false" customHeight="false" outlineLevel="0" collapsed="false">
      <c r="A1085" s="50"/>
      <c r="B1085" s="51" t="str">
        <f aca="false">IF(A1085="","",MONTH(A1085))</f>
        <v/>
      </c>
      <c r="C1085" s="52"/>
      <c r="D1085" s="52"/>
      <c r="E1085" s="52"/>
      <c r="F1085" s="53"/>
      <c r="G1085" s="52"/>
      <c r="H1085" s="54" t="str">
        <f aca="false">IF(E1085="","",E1085*N(F1085)*IF(G1085="",1,G1085))</f>
        <v/>
      </c>
      <c r="I1085" s="55" t="str">
        <f aca="false">IF(C1085="","",IFERROR(INDEX('DANH MỤC'!$B$5:$B$200,MATCH(C1085,'DANH MỤC'!$A$5:$A$200,0)),"⚠ Mã chưa có trong DANH MỤC"))</f>
        <v/>
      </c>
      <c r="J1085" s="52"/>
      <c r="K1085" s="52"/>
      <c r="L1085" s="52"/>
    </row>
    <row r="1086" customFormat="false" ht="15" hidden="false" customHeight="false" outlineLevel="0" collapsed="false">
      <c r="A1086" s="50"/>
      <c r="B1086" s="51" t="str">
        <f aca="false">IF(A1086="","",MONTH(A1086))</f>
        <v/>
      </c>
      <c r="C1086" s="52"/>
      <c r="D1086" s="52"/>
      <c r="E1086" s="52"/>
      <c r="F1086" s="53"/>
      <c r="G1086" s="52"/>
      <c r="H1086" s="54" t="str">
        <f aca="false">IF(E1086="","",E1086*N(F1086)*IF(G1086="",1,G1086))</f>
        <v/>
      </c>
      <c r="I1086" s="55" t="str">
        <f aca="false">IF(C1086="","",IFERROR(INDEX('DANH MỤC'!$B$5:$B$200,MATCH(C1086,'DANH MỤC'!$A$5:$A$200,0)),"⚠ Mã chưa có trong DANH MỤC"))</f>
        <v/>
      </c>
      <c r="J1086" s="52"/>
      <c r="K1086" s="52"/>
      <c r="L1086" s="52"/>
    </row>
    <row r="1087" customFormat="false" ht="15" hidden="false" customHeight="false" outlineLevel="0" collapsed="false">
      <c r="A1087" s="50"/>
      <c r="B1087" s="51" t="str">
        <f aca="false">IF(A1087="","",MONTH(A1087))</f>
        <v/>
      </c>
      <c r="C1087" s="52"/>
      <c r="D1087" s="52"/>
      <c r="E1087" s="52"/>
      <c r="F1087" s="53"/>
      <c r="G1087" s="52"/>
      <c r="H1087" s="54" t="str">
        <f aca="false">IF(E1087="","",E1087*N(F1087)*IF(G1087="",1,G1087))</f>
        <v/>
      </c>
      <c r="I1087" s="55" t="str">
        <f aca="false">IF(C1087="","",IFERROR(INDEX('DANH MỤC'!$B$5:$B$200,MATCH(C1087,'DANH MỤC'!$A$5:$A$200,0)),"⚠ Mã chưa có trong DANH MỤC"))</f>
        <v/>
      </c>
      <c r="J1087" s="52"/>
      <c r="K1087" s="52"/>
      <c r="L1087" s="52"/>
    </row>
    <row r="1088" customFormat="false" ht="15" hidden="false" customHeight="false" outlineLevel="0" collapsed="false">
      <c r="A1088" s="50"/>
      <c r="B1088" s="51" t="str">
        <f aca="false">IF(A1088="","",MONTH(A1088))</f>
        <v/>
      </c>
      <c r="C1088" s="52"/>
      <c r="D1088" s="52"/>
      <c r="E1088" s="52"/>
      <c r="F1088" s="53"/>
      <c r="G1088" s="52"/>
      <c r="H1088" s="54" t="str">
        <f aca="false">IF(E1088="","",E1088*N(F1088)*IF(G1088="",1,G1088))</f>
        <v/>
      </c>
      <c r="I1088" s="55" t="str">
        <f aca="false">IF(C1088="","",IFERROR(INDEX('DANH MỤC'!$B$5:$B$200,MATCH(C1088,'DANH MỤC'!$A$5:$A$200,0)),"⚠ Mã chưa có trong DANH MỤC"))</f>
        <v/>
      </c>
      <c r="J1088" s="52"/>
      <c r="K1088" s="52"/>
      <c r="L1088" s="52"/>
    </row>
    <row r="1089" customFormat="false" ht="15" hidden="false" customHeight="false" outlineLevel="0" collapsed="false">
      <c r="A1089" s="50"/>
      <c r="B1089" s="51" t="str">
        <f aca="false">IF(A1089="","",MONTH(A1089))</f>
        <v/>
      </c>
      <c r="C1089" s="52"/>
      <c r="D1089" s="52"/>
      <c r="E1089" s="52"/>
      <c r="F1089" s="53"/>
      <c r="G1089" s="52"/>
      <c r="H1089" s="54" t="str">
        <f aca="false">IF(E1089="","",E1089*N(F1089)*IF(G1089="",1,G1089))</f>
        <v/>
      </c>
      <c r="I1089" s="55" t="str">
        <f aca="false">IF(C1089="","",IFERROR(INDEX('DANH MỤC'!$B$5:$B$200,MATCH(C1089,'DANH MỤC'!$A$5:$A$200,0)),"⚠ Mã chưa có trong DANH MỤC"))</f>
        <v/>
      </c>
      <c r="J1089" s="52"/>
      <c r="K1089" s="52"/>
      <c r="L1089" s="52"/>
    </row>
    <row r="1090" customFormat="false" ht="15" hidden="false" customHeight="false" outlineLevel="0" collapsed="false">
      <c r="A1090" s="50"/>
      <c r="B1090" s="51" t="str">
        <f aca="false">IF(A1090="","",MONTH(A1090))</f>
        <v/>
      </c>
      <c r="C1090" s="52"/>
      <c r="D1090" s="52"/>
      <c r="E1090" s="52"/>
      <c r="F1090" s="53"/>
      <c r="G1090" s="52"/>
      <c r="H1090" s="54" t="str">
        <f aca="false">IF(E1090="","",E1090*N(F1090)*IF(G1090="",1,G1090))</f>
        <v/>
      </c>
      <c r="I1090" s="55" t="str">
        <f aca="false">IF(C1090="","",IFERROR(INDEX('DANH MỤC'!$B$5:$B$200,MATCH(C1090,'DANH MỤC'!$A$5:$A$200,0)),"⚠ Mã chưa có trong DANH MỤC"))</f>
        <v/>
      </c>
      <c r="J1090" s="52"/>
      <c r="K1090" s="52"/>
      <c r="L1090" s="52"/>
    </row>
    <row r="1091" customFormat="false" ht="15" hidden="false" customHeight="false" outlineLevel="0" collapsed="false">
      <c r="A1091" s="50"/>
      <c r="B1091" s="51" t="str">
        <f aca="false">IF(A1091="","",MONTH(A1091))</f>
        <v/>
      </c>
      <c r="C1091" s="52"/>
      <c r="D1091" s="52"/>
      <c r="E1091" s="52"/>
      <c r="F1091" s="53"/>
      <c r="G1091" s="52"/>
      <c r="H1091" s="54" t="str">
        <f aca="false">IF(E1091="","",E1091*N(F1091)*IF(G1091="",1,G1091))</f>
        <v/>
      </c>
      <c r="I1091" s="55" t="str">
        <f aca="false">IF(C1091="","",IFERROR(INDEX('DANH MỤC'!$B$5:$B$200,MATCH(C1091,'DANH MỤC'!$A$5:$A$200,0)),"⚠ Mã chưa có trong DANH MỤC"))</f>
        <v/>
      </c>
      <c r="J1091" s="52"/>
      <c r="K1091" s="52"/>
      <c r="L1091" s="52"/>
    </row>
    <row r="1092" customFormat="false" ht="15" hidden="false" customHeight="false" outlineLevel="0" collapsed="false">
      <c r="A1092" s="50"/>
      <c r="B1092" s="51" t="str">
        <f aca="false">IF(A1092="","",MONTH(A1092))</f>
        <v/>
      </c>
      <c r="C1092" s="52"/>
      <c r="D1092" s="52"/>
      <c r="E1092" s="52"/>
      <c r="F1092" s="53"/>
      <c r="G1092" s="52"/>
      <c r="H1092" s="54" t="str">
        <f aca="false">IF(E1092="","",E1092*N(F1092)*IF(G1092="",1,G1092))</f>
        <v/>
      </c>
      <c r="I1092" s="55" t="str">
        <f aca="false">IF(C1092="","",IFERROR(INDEX('DANH MỤC'!$B$5:$B$200,MATCH(C1092,'DANH MỤC'!$A$5:$A$200,0)),"⚠ Mã chưa có trong DANH MỤC"))</f>
        <v/>
      </c>
      <c r="J1092" s="52"/>
      <c r="K1092" s="52"/>
      <c r="L1092" s="52"/>
    </row>
    <row r="1093" customFormat="false" ht="15" hidden="false" customHeight="false" outlineLevel="0" collapsed="false">
      <c r="A1093" s="50"/>
      <c r="B1093" s="51" t="str">
        <f aca="false">IF(A1093="","",MONTH(A1093))</f>
        <v/>
      </c>
      <c r="C1093" s="52"/>
      <c r="D1093" s="52"/>
      <c r="E1093" s="52"/>
      <c r="F1093" s="53"/>
      <c r="G1093" s="52"/>
      <c r="H1093" s="54" t="str">
        <f aca="false">IF(E1093="","",E1093*N(F1093)*IF(G1093="",1,G1093))</f>
        <v/>
      </c>
      <c r="I1093" s="55" t="str">
        <f aca="false">IF(C1093="","",IFERROR(INDEX('DANH MỤC'!$B$5:$B$200,MATCH(C1093,'DANH MỤC'!$A$5:$A$200,0)),"⚠ Mã chưa có trong DANH MỤC"))</f>
        <v/>
      </c>
      <c r="J1093" s="52"/>
      <c r="K1093" s="52"/>
      <c r="L1093" s="52"/>
    </row>
    <row r="1094" customFormat="false" ht="15" hidden="false" customHeight="false" outlineLevel="0" collapsed="false">
      <c r="A1094" s="50"/>
      <c r="B1094" s="51" t="str">
        <f aca="false">IF(A1094="","",MONTH(A1094))</f>
        <v/>
      </c>
      <c r="C1094" s="52"/>
      <c r="D1094" s="52"/>
      <c r="E1094" s="52"/>
      <c r="F1094" s="53"/>
      <c r="G1094" s="52"/>
      <c r="H1094" s="54" t="str">
        <f aca="false">IF(E1094="","",E1094*N(F1094)*IF(G1094="",1,G1094))</f>
        <v/>
      </c>
      <c r="I1094" s="55" t="str">
        <f aca="false">IF(C1094="","",IFERROR(INDEX('DANH MỤC'!$B$5:$B$200,MATCH(C1094,'DANH MỤC'!$A$5:$A$200,0)),"⚠ Mã chưa có trong DANH MỤC"))</f>
        <v/>
      </c>
      <c r="J1094" s="52"/>
      <c r="K1094" s="52"/>
      <c r="L1094" s="52"/>
    </row>
    <row r="1095" customFormat="false" ht="15" hidden="false" customHeight="false" outlineLevel="0" collapsed="false">
      <c r="A1095" s="50"/>
      <c r="B1095" s="51" t="str">
        <f aca="false">IF(A1095="","",MONTH(A1095))</f>
        <v/>
      </c>
      <c r="C1095" s="52"/>
      <c r="D1095" s="52"/>
      <c r="E1095" s="52"/>
      <c r="F1095" s="53"/>
      <c r="G1095" s="52"/>
      <c r="H1095" s="54" t="str">
        <f aca="false">IF(E1095="","",E1095*N(F1095)*IF(G1095="",1,G1095))</f>
        <v/>
      </c>
      <c r="I1095" s="55" t="str">
        <f aca="false">IF(C1095="","",IFERROR(INDEX('DANH MỤC'!$B$5:$B$200,MATCH(C1095,'DANH MỤC'!$A$5:$A$200,0)),"⚠ Mã chưa có trong DANH MỤC"))</f>
        <v/>
      </c>
      <c r="J1095" s="52"/>
      <c r="K1095" s="52"/>
      <c r="L1095" s="52"/>
    </row>
    <row r="1096" customFormat="false" ht="15" hidden="false" customHeight="false" outlineLevel="0" collapsed="false">
      <c r="A1096" s="50"/>
      <c r="B1096" s="51" t="str">
        <f aca="false">IF(A1096="","",MONTH(A1096))</f>
        <v/>
      </c>
      <c r="C1096" s="52"/>
      <c r="D1096" s="52"/>
      <c r="E1096" s="52"/>
      <c r="F1096" s="53"/>
      <c r="G1096" s="52"/>
      <c r="H1096" s="54" t="str">
        <f aca="false">IF(E1096="","",E1096*N(F1096)*IF(G1096="",1,G1096))</f>
        <v/>
      </c>
      <c r="I1096" s="55" t="str">
        <f aca="false">IF(C1096="","",IFERROR(INDEX('DANH MỤC'!$B$5:$B$200,MATCH(C1096,'DANH MỤC'!$A$5:$A$200,0)),"⚠ Mã chưa có trong DANH MỤC"))</f>
        <v/>
      </c>
      <c r="J1096" s="52"/>
      <c r="K1096" s="52"/>
      <c r="L1096" s="52"/>
    </row>
    <row r="1097" customFormat="false" ht="15" hidden="false" customHeight="false" outlineLevel="0" collapsed="false">
      <c r="A1097" s="50"/>
      <c r="B1097" s="51" t="str">
        <f aca="false">IF(A1097="","",MONTH(A1097))</f>
        <v/>
      </c>
      <c r="C1097" s="52"/>
      <c r="D1097" s="52"/>
      <c r="E1097" s="52"/>
      <c r="F1097" s="53"/>
      <c r="G1097" s="52"/>
      <c r="H1097" s="54" t="str">
        <f aca="false">IF(E1097="","",E1097*N(F1097)*IF(G1097="",1,G1097))</f>
        <v/>
      </c>
      <c r="I1097" s="55" t="str">
        <f aca="false">IF(C1097="","",IFERROR(INDEX('DANH MỤC'!$B$5:$B$200,MATCH(C1097,'DANH MỤC'!$A$5:$A$200,0)),"⚠ Mã chưa có trong DANH MỤC"))</f>
        <v/>
      </c>
      <c r="J1097" s="52"/>
      <c r="K1097" s="52"/>
      <c r="L1097" s="52"/>
    </row>
    <row r="1098" customFormat="false" ht="15" hidden="false" customHeight="false" outlineLevel="0" collapsed="false">
      <c r="A1098" s="50"/>
      <c r="B1098" s="51" t="str">
        <f aca="false">IF(A1098="","",MONTH(A1098))</f>
        <v/>
      </c>
      <c r="C1098" s="52"/>
      <c r="D1098" s="52"/>
      <c r="E1098" s="52"/>
      <c r="F1098" s="53"/>
      <c r="G1098" s="52"/>
      <c r="H1098" s="54" t="str">
        <f aca="false">IF(E1098="","",E1098*N(F1098)*IF(G1098="",1,G1098))</f>
        <v/>
      </c>
      <c r="I1098" s="55" t="str">
        <f aca="false">IF(C1098="","",IFERROR(INDEX('DANH MỤC'!$B$5:$B$200,MATCH(C1098,'DANH MỤC'!$A$5:$A$200,0)),"⚠ Mã chưa có trong DANH MỤC"))</f>
        <v/>
      </c>
      <c r="J1098" s="52"/>
      <c r="K1098" s="52"/>
      <c r="L1098" s="52"/>
    </row>
    <row r="1099" customFormat="false" ht="15" hidden="false" customHeight="false" outlineLevel="0" collapsed="false">
      <c r="A1099" s="50"/>
      <c r="B1099" s="51" t="str">
        <f aca="false">IF(A1099="","",MONTH(A1099))</f>
        <v/>
      </c>
      <c r="C1099" s="52"/>
      <c r="D1099" s="52"/>
      <c r="E1099" s="52"/>
      <c r="F1099" s="53"/>
      <c r="G1099" s="52"/>
      <c r="H1099" s="54" t="str">
        <f aca="false">IF(E1099="","",E1099*N(F1099)*IF(G1099="",1,G1099))</f>
        <v/>
      </c>
      <c r="I1099" s="55" t="str">
        <f aca="false">IF(C1099="","",IFERROR(INDEX('DANH MỤC'!$B$5:$B$200,MATCH(C1099,'DANH MỤC'!$A$5:$A$200,0)),"⚠ Mã chưa có trong DANH MỤC"))</f>
        <v/>
      </c>
      <c r="J1099" s="52"/>
      <c r="K1099" s="52"/>
      <c r="L1099" s="52"/>
    </row>
    <row r="1100" customFormat="false" ht="15" hidden="false" customHeight="false" outlineLevel="0" collapsed="false">
      <c r="A1100" s="50"/>
      <c r="B1100" s="51" t="str">
        <f aca="false">IF(A1100="","",MONTH(A1100))</f>
        <v/>
      </c>
      <c r="C1100" s="52"/>
      <c r="D1100" s="52"/>
      <c r="E1100" s="52"/>
      <c r="F1100" s="53"/>
      <c r="G1100" s="52"/>
      <c r="H1100" s="54" t="str">
        <f aca="false">IF(E1100="","",E1100*N(F1100)*IF(G1100="",1,G1100))</f>
        <v/>
      </c>
      <c r="I1100" s="55" t="str">
        <f aca="false">IF(C1100="","",IFERROR(INDEX('DANH MỤC'!$B$5:$B$200,MATCH(C1100,'DANH MỤC'!$A$5:$A$200,0)),"⚠ Mã chưa có trong DANH MỤC"))</f>
        <v/>
      </c>
      <c r="J1100" s="52"/>
      <c r="K1100" s="52"/>
      <c r="L1100" s="52"/>
    </row>
    <row r="1101" customFormat="false" ht="15" hidden="false" customHeight="false" outlineLevel="0" collapsed="false">
      <c r="A1101" s="50"/>
      <c r="B1101" s="51" t="str">
        <f aca="false">IF(A1101="","",MONTH(A1101))</f>
        <v/>
      </c>
      <c r="C1101" s="52"/>
      <c r="D1101" s="52"/>
      <c r="E1101" s="52"/>
      <c r="F1101" s="53"/>
      <c r="G1101" s="52"/>
      <c r="H1101" s="54" t="str">
        <f aca="false">IF(E1101="","",E1101*N(F1101)*IF(G1101="",1,G1101))</f>
        <v/>
      </c>
      <c r="I1101" s="55" t="str">
        <f aca="false">IF(C1101="","",IFERROR(INDEX('DANH MỤC'!$B$5:$B$200,MATCH(C1101,'DANH MỤC'!$A$5:$A$200,0)),"⚠ Mã chưa có trong DANH MỤC"))</f>
        <v/>
      </c>
      <c r="J1101" s="52"/>
      <c r="K1101" s="52"/>
      <c r="L1101" s="52"/>
    </row>
    <row r="1102" customFormat="false" ht="15" hidden="false" customHeight="false" outlineLevel="0" collapsed="false">
      <c r="A1102" s="50"/>
      <c r="B1102" s="51" t="str">
        <f aca="false">IF(A1102="","",MONTH(A1102))</f>
        <v/>
      </c>
      <c r="C1102" s="52"/>
      <c r="D1102" s="52"/>
      <c r="E1102" s="52"/>
      <c r="F1102" s="53"/>
      <c r="G1102" s="52"/>
      <c r="H1102" s="54" t="str">
        <f aca="false">IF(E1102="","",E1102*N(F1102)*IF(G1102="",1,G1102))</f>
        <v/>
      </c>
      <c r="I1102" s="55" t="str">
        <f aca="false">IF(C1102="","",IFERROR(INDEX('DANH MỤC'!$B$5:$B$200,MATCH(C1102,'DANH MỤC'!$A$5:$A$200,0)),"⚠ Mã chưa có trong DANH MỤC"))</f>
        <v/>
      </c>
      <c r="J1102" s="52"/>
      <c r="K1102" s="52"/>
      <c r="L1102" s="52"/>
    </row>
    <row r="1103" customFormat="false" ht="15" hidden="false" customHeight="false" outlineLevel="0" collapsed="false">
      <c r="A1103" s="50"/>
      <c r="B1103" s="51" t="str">
        <f aca="false">IF(A1103="","",MONTH(A1103))</f>
        <v/>
      </c>
      <c r="C1103" s="52"/>
      <c r="D1103" s="52"/>
      <c r="E1103" s="52"/>
      <c r="F1103" s="53"/>
      <c r="G1103" s="52"/>
      <c r="H1103" s="54" t="str">
        <f aca="false">IF(E1103="","",E1103*N(F1103)*IF(G1103="",1,G1103))</f>
        <v/>
      </c>
      <c r="I1103" s="55" t="str">
        <f aca="false">IF(C1103="","",IFERROR(INDEX('DANH MỤC'!$B$5:$B$200,MATCH(C1103,'DANH MỤC'!$A$5:$A$200,0)),"⚠ Mã chưa có trong DANH MỤC"))</f>
        <v/>
      </c>
      <c r="J1103" s="52"/>
      <c r="K1103" s="52"/>
      <c r="L1103" s="52"/>
    </row>
    <row r="1104" customFormat="false" ht="15" hidden="false" customHeight="false" outlineLevel="0" collapsed="false">
      <c r="A1104" s="50"/>
      <c r="B1104" s="51" t="str">
        <f aca="false">IF(A1104="","",MONTH(A1104))</f>
        <v/>
      </c>
      <c r="C1104" s="52"/>
      <c r="D1104" s="52"/>
      <c r="E1104" s="52"/>
      <c r="F1104" s="53"/>
      <c r="G1104" s="52"/>
      <c r="H1104" s="54" t="str">
        <f aca="false">IF(E1104="","",E1104*N(F1104)*IF(G1104="",1,G1104))</f>
        <v/>
      </c>
      <c r="I1104" s="55" t="str">
        <f aca="false">IF(C1104="","",IFERROR(INDEX('DANH MỤC'!$B$5:$B$200,MATCH(C1104,'DANH MỤC'!$A$5:$A$200,0)),"⚠ Mã chưa có trong DANH MỤC"))</f>
        <v/>
      </c>
      <c r="J1104" s="52"/>
      <c r="K1104" s="52"/>
      <c r="L1104" s="52"/>
    </row>
    <row r="1105" customFormat="false" ht="15" hidden="false" customHeight="false" outlineLevel="0" collapsed="false">
      <c r="A1105" s="50"/>
      <c r="B1105" s="51" t="str">
        <f aca="false">IF(A1105="","",MONTH(A1105))</f>
        <v/>
      </c>
      <c r="C1105" s="52"/>
      <c r="D1105" s="52"/>
      <c r="E1105" s="52"/>
      <c r="F1105" s="53"/>
      <c r="G1105" s="52"/>
      <c r="H1105" s="54" t="str">
        <f aca="false">IF(E1105="","",E1105*N(F1105)*IF(G1105="",1,G1105))</f>
        <v/>
      </c>
      <c r="I1105" s="55" t="str">
        <f aca="false">IF(C1105="","",IFERROR(INDEX('DANH MỤC'!$B$5:$B$200,MATCH(C1105,'DANH MỤC'!$A$5:$A$200,0)),"⚠ Mã chưa có trong DANH MỤC"))</f>
        <v/>
      </c>
      <c r="J1105" s="52"/>
      <c r="K1105" s="52"/>
      <c r="L1105" s="52"/>
    </row>
    <row r="1106" customFormat="false" ht="15" hidden="false" customHeight="false" outlineLevel="0" collapsed="false">
      <c r="A1106" s="50"/>
      <c r="B1106" s="51" t="str">
        <f aca="false">IF(A1106="","",MONTH(A1106))</f>
        <v/>
      </c>
      <c r="C1106" s="52"/>
      <c r="D1106" s="52"/>
      <c r="E1106" s="52"/>
      <c r="F1106" s="53"/>
      <c r="G1106" s="52"/>
      <c r="H1106" s="54" t="str">
        <f aca="false">IF(E1106="","",E1106*N(F1106)*IF(G1106="",1,G1106))</f>
        <v/>
      </c>
      <c r="I1106" s="55" t="str">
        <f aca="false">IF(C1106="","",IFERROR(INDEX('DANH MỤC'!$B$5:$B$200,MATCH(C1106,'DANH MỤC'!$A$5:$A$200,0)),"⚠ Mã chưa có trong DANH MỤC"))</f>
        <v/>
      </c>
      <c r="J1106" s="52"/>
      <c r="K1106" s="52"/>
      <c r="L1106" s="52"/>
    </row>
    <row r="1107" customFormat="false" ht="15" hidden="false" customHeight="false" outlineLevel="0" collapsed="false">
      <c r="A1107" s="50"/>
      <c r="B1107" s="51" t="str">
        <f aca="false">IF(A1107="","",MONTH(A1107))</f>
        <v/>
      </c>
      <c r="C1107" s="52"/>
      <c r="D1107" s="52"/>
      <c r="E1107" s="52"/>
      <c r="F1107" s="53"/>
      <c r="G1107" s="52"/>
      <c r="H1107" s="54" t="str">
        <f aca="false">IF(E1107="","",E1107*N(F1107)*IF(G1107="",1,G1107))</f>
        <v/>
      </c>
      <c r="I1107" s="55" t="str">
        <f aca="false">IF(C1107="","",IFERROR(INDEX('DANH MỤC'!$B$5:$B$200,MATCH(C1107,'DANH MỤC'!$A$5:$A$200,0)),"⚠ Mã chưa có trong DANH MỤC"))</f>
        <v/>
      </c>
      <c r="J1107" s="52"/>
      <c r="K1107" s="52"/>
      <c r="L1107" s="52"/>
    </row>
    <row r="1108" customFormat="false" ht="15" hidden="false" customHeight="false" outlineLevel="0" collapsed="false">
      <c r="A1108" s="50"/>
      <c r="B1108" s="51" t="str">
        <f aca="false">IF(A1108="","",MONTH(A1108))</f>
        <v/>
      </c>
      <c r="C1108" s="52"/>
      <c r="D1108" s="52"/>
      <c r="E1108" s="52"/>
      <c r="F1108" s="53"/>
      <c r="G1108" s="52"/>
      <c r="H1108" s="54" t="str">
        <f aca="false">IF(E1108="","",E1108*N(F1108)*IF(G1108="",1,G1108))</f>
        <v/>
      </c>
      <c r="I1108" s="55" t="str">
        <f aca="false">IF(C1108="","",IFERROR(INDEX('DANH MỤC'!$B$5:$B$200,MATCH(C1108,'DANH MỤC'!$A$5:$A$200,0)),"⚠ Mã chưa có trong DANH MỤC"))</f>
        <v/>
      </c>
      <c r="J1108" s="52"/>
      <c r="K1108" s="52"/>
      <c r="L1108" s="52"/>
    </row>
    <row r="1109" customFormat="false" ht="15" hidden="false" customHeight="false" outlineLevel="0" collapsed="false">
      <c r="A1109" s="50"/>
      <c r="B1109" s="51" t="str">
        <f aca="false">IF(A1109="","",MONTH(A1109))</f>
        <v/>
      </c>
      <c r="C1109" s="52"/>
      <c r="D1109" s="52"/>
      <c r="E1109" s="52"/>
      <c r="F1109" s="53"/>
      <c r="G1109" s="52"/>
      <c r="H1109" s="54" t="str">
        <f aca="false">IF(E1109="","",E1109*N(F1109)*IF(G1109="",1,G1109))</f>
        <v/>
      </c>
      <c r="I1109" s="55" t="str">
        <f aca="false">IF(C1109="","",IFERROR(INDEX('DANH MỤC'!$B$5:$B$200,MATCH(C1109,'DANH MỤC'!$A$5:$A$200,0)),"⚠ Mã chưa có trong DANH MỤC"))</f>
        <v/>
      </c>
      <c r="J1109" s="52"/>
      <c r="K1109" s="52"/>
      <c r="L1109" s="52"/>
    </row>
    <row r="1110" customFormat="false" ht="15" hidden="false" customHeight="false" outlineLevel="0" collapsed="false">
      <c r="A1110" s="50"/>
      <c r="B1110" s="51" t="str">
        <f aca="false">IF(A1110="","",MONTH(A1110))</f>
        <v/>
      </c>
      <c r="C1110" s="52"/>
      <c r="D1110" s="52"/>
      <c r="E1110" s="52"/>
      <c r="F1110" s="53"/>
      <c r="G1110" s="52"/>
      <c r="H1110" s="54" t="str">
        <f aca="false">IF(E1110="","",E1110*N(F1110)*IF(G1110="",1,G1110))</f>
        <v/>
      </c>
      <c r="I1110" s="55" t="str">
        <f aca="false">IF(C1110="","",IFERROR(INDEX('DANH MỤC'!$B$5:$B$200,MATCH(C1110,'DANH MỤC'!$A$5:$A$200,0)),"⚠ Mã chưa có trong DANH MỤC"))</f>
        <v/>
      </c>
      <c r="J1110" s="52"/>
      <c r="K1110" s="52"/>
      <c r="L1110" s="52"/>
    </row>
    <row r="1111" customFormat="false" ht="15" hidden="false" customHeight="false" outlineLevel="0" collapsed="false">
      <c r="A1111" s="50"/>
      <c r="B1111" s="51" t="str">
        <f aca="false">IF(A1111="","",MONTH(A1111))</f>
        <v/>
      </c>
      <c r="C1111" s="52"/>
      <c r="D1111" s="52"/>
      <c r="E1111" s="52"/>
      <c r="F1111" s="53"/>
      <c r="G1111" s="52"/>
      <c r="H1111" s="54" t="str">
        <f aca="false">IF(E1111="","",E1111*N(F1111)*IF(G1111="",1,G1111))</f>
        <v/>
      </c>
      <c r="I1111" s="55" t="str">
        <f aca="false">IF(C1111="","",IFERROR(INDEX('DANH MỤC'!$B$5:$B$200,MATCH(C1111,'DANH MỤC'!$A$5:$A$200,0)),"⚠ Mã chưa có trong DANH MỤC"))</f>
        <v/>
      </c>
      <c r="J1111" s="52"/>
      <c r="K1111" s="52"/>
      <c r="L1111" s="52"/>
    </row>
    <row r="1112" customFormat="false" ht="15" hidden="false" customHeight="false" outlineLevel="0" collapsed="false">
      <c r="A1112" s="50"/>
      <c r="B1112" s="51" t="str">
        <f aca="false">IF(A1112="","",MONTH(A1112))</f>
        <v/>
      </c>
      <c r="C1112" s="52"/>
      <c r="D1112" s="52"/>
      <c r="E1112" s="52"/>
      <c r="F1112" s="53"/>
      <c r="G1112" s="52"/>
      <c r="H1112" s="54" t="str">
        <f aca="false">IF(E1112="","",E1112*N(F1112)*IF(G1112="",1,G1112))</f>
        <v/>
      </c>
      <c r="I1112" s="55" t="str">
        <f aca="false">IF(C1112="","",IFERROR(INDEX('DANH MỤC'!$B$5:$B$200,MATCH(C1112,'DANH MỤC'!$A$5:$A$200,0)),"⚠ Mã chưa có trong DANH MỤC"))</f>
        <v/>
      </c>
      <c r="J1112" s="52"/>
      <c r="K1112" s="52"/>
      <c r="L1112" s="52"/>
    </row>
    <row r="1113" customFormat="false" ht="15" hidden="false" customHeight="false" outlineLevel="0" collapsed="false">
      <c r="A1113" s="50"/>
      <c r="B1113" s="51" t="str">
        <f aca="false">IF(A1113="","",MONTH(A1113))</f>
        <v/>
      </c>
      <c r="C1113" s="52"/>
      <c r="D1113" s="52"/>
      <c r="E1113" s="52"/>
      <c r="F1113" s="53"/>
      <c r="G1113" s="52"/>
      <c r="H1113" s="54" t="str">
        <f aca="false">IF(E1113="","",E1113*N(F1113)*IF(G1113="",1,G1113))</f>
        <v/>
      </c>
      <c r="I1113" s="55" t="str">
        <f aca="false">IF(C1113="","",IFERROR(INDEX('DANH MỤC'!$B$5:$B$200,MATCH(C1113,'DANH MỤC'!$A$5:$A$200,0)),"⚠ Mã chưa có trong DANH MỤC"))</f>
        <v/>
      </c>
      <c r="J1113" s="52"/>
      <c r="K1113" s="52"/>
      <c r="L1113" s="52"/>
    </row>
    <row r="1114" customFormat="false" ht="15" hidden="false" customHeight="false" outlineLevel="0" collapsed="false">
      <c r="A1114" s="50"/>
      <c r="B1114" s="51" t="str">
        <f aca="false">IF(A1114="","",MONTH(A1114))</f>
        <v/>
      </c>
      <c r="C1114" s="52"/>
      <c r="D1114" s="52"/>
      <c r="E1114" s="52"/>
      <c r="F1114" s="53"/>
      <c r="G1114" s="52"/>
      <c r="H1114" s="54" t="str">
        <f aca="false">IF(E1114="","",E1114*N(F1114)*IF(G1114="",1,G1114))</f>
        <v/>
      </c>
      <c r="I1114" s="55" t="str">
        <f aca="false">IF(C1114="","",IFERROR(INDEX('DANH MỤC'!$B$5:$B$200,MATCH(C1114,'DANH MỤC'!$A$5:$A$200,0)),"⚠ Mã chưa có trong DANH MỤC"))</f>
        <v/>
      </c>
      <c r="J1114" s="52"/>
      <c r="K1114" s="52"/>
      <c r="L1114" s="52"/>
    </row>
    <row r="1115" customFormat="false" ht="15" hidden="false" customHeight="false" outlineLevel="0" collapsed="false">
      <c r="A1115" s="50"/>
      <c r="B1115" s="51" t="str">
        <f aca="false">IF(A1115="","",MONTH(A1115))</f>
        <v/>
      </c>
      <c r="C1115" s="52"/>
      <c r="D1115" s="52"/>
      <c r="E1115" s="52"/>
      <c r="F1115" s="53"/>
      <c r="G1115" s="52"/>
      <c r="H1115" s="54" t="str">
        <f aca="false">IF(E1115="","",E1115*N(F1115)*IF(G1115="",1,G1115))</f>
        <v/>
      </c>
      <c r="I1115" s="55" t="str">
        <f aca="false">IF(C1115="","",IFERROR(INDEX('DANH MỤC'!$B$5:$B$200,MATCH(C1115,'DANH MỤC'!$A$5:$A$200,0)),"⚠ Mã chưa có trong DANH MỤC"))</f>
        <v/>
      </c>
      <c r="J1115" s="52"/>
      <c r="K1115" s="52"/>
      <c r="L1115" s="52"/>
    </row>
    <row r="1116" customFormat="false" ht="15" hidden="false" customHeight="false" outlineLevel="0" collapsed="false">
      <c r="A1116" s="50"/>
      <c r="B1116" s="51" t="str">
        <f aca="false">IF(A1116="","",MONTH(A1116))</f>
        <v/>
      </c>
      <c r="C1116" s="52"/>
      <c r="D1116" s="52"/>
      <c r="E1116" s="52"/>
      <c r="F1116" s="53"/>
      <c r="G1116" s="52"/>
      <c r="H1116" s="54" t="str">
        <f aca="false">IF(E1116="","",E1116*N(F1116)*IF(G1116="",1,G1116))</f>
        <v/>
      </c>
      <c r="I1116" s="55" t="str">
        <f aca="false">IF(C1116="","",IFERROR(INDEX('DANH MỤC'!$B$5:$B$200,MATCH(C1116,'DANH MỤC'!$A$5:$A$200,0)),"⚠ Mã chưa có trong DANH MỤC"))</f>
        <v/>
      </c>
      <c r="J1116" s="52"/>
      <c r="K1116" s="52"/>
      <c r="L1116" s="52"/>
    </row>
    <row r="1117" customFormat="false" ht="15" hidden="false" customHeight="false" outlineLevel="0" collapsed="false">
      <c r="A1117" s="50"/>
      <c r="B1117" s="51" t="str">
        <f aca="false">IF(A1117="","",MONTH(A1117))</f>
        <v/>
      </c>
      <c r="C1117" s="52"/>
      <c r="D1117" s="52"/>
      <c r="E1117" s="52"/>
      <c r="F1117" s="53"/>
      <c r="G1117" s="52"/>
      <c r="H1117" s="54" t="str">
        <f aca="false">IF(E1117="","",E1117*N(F1117)*IF(G1117="",1,G1117))</f>
        <v/>
      </c>
      <c r="I1117" s="55" t="str">
        <f aca="false">IF(C1117="","",IFERROR(INDEX('DANH MỤC'!$B$5:$B$200,MATCH(C1117,'DANH MỤC'!$A$5:$A$200,0)),"⚠ Mã chưa có trong DANH MỤC"))</f>
        <v/>
      </c>
      <c r="J1117" s="52"/>
      <c r="K1117" s="52"/>
      <c r="L1117" s="52"/>
    </row>
    <row r="1118" customFormat="false" ht="15" hidden="false" customHeight="false" outlineLevel="0" collapsed="false">
      <c r="A1118" s="50"/>
      <c r="B1118" s="51" t="str">
        <f aca="false">IF(A1118="","",MONTH(A1118))</f>
        <v/>
      </c>
      <c r="C1118" s="52"/>
      <c r="D1118" s="52"/>
      <c r="E1118" s="52"/>
      <c r="F1118" s="53"/>
      <c r="G1118" s="52"/>
      <c r="H1118" s="54" t="str">
        <f aca="false">IF(E1118="","",E1118*N(F1118)*IF(G1118="",1,G1118))</f>
        <v/>
      </c>
      <c r="I1118" s="55" t="str">
        <f aca="false">IF(C1118="","",IFERROR(INDEX('DANH MỤC'!$B$5:$B$200,MATCH(C1118,'DANH MỤC'!$A$5:$A$200,0)),"⚠ Mã chưa có trong DANH MỤC"))</f>
        <v/>
      </c>
      <c r="J1118" s="52"/>
      <c r="K1118" s="52"/>
      <c r="L1118" s="52"/>
    </row>
    <row r="1119" customFormat="false" ht="15" hidden="false" customHeight="false" outlineLevel="0" collapsed="false">
      <c r="A1119" s="50"/>
      <c r="B1119" s="51" t="str">
        <f aca="false">IF(A1119="","",MONTH(A1119))</f>
        <v/>
      </c>
      <c r="C1119" s="52"/>
      <c r="D1119" s="52"/>
      <c r="E1119" s="52"/>
      <c r="F1119" s="53"/>
      <c r="G1119" s="52"/>
      <c r="H1119" s="54" t="str">
        <f aca="false">IF(E1119="","",E1119*N(F1119)*IF(G1119="",1,G1119))</f>
        <v/>
      </c>
      <c r="I1119" s="55" t="str">
        <f aca="false">IF(C1119="","",IFERROR(INDEX('DANH MỤC'!$B$5:$B$200,MATCH(C1119,'DANH MỤC'!$A$5:$A$200,0)),"⚠ Mã chưa có trong DANH MỤC"))</f>
        <v/>
      </c>
      <c r="J1119" s="52"/>
      <c r="K1119" s="52"/>
      <c r="L1119" s="52"/>
    </row>
    <row r="1120" customFormat="false" ht="15" hidden="false" customHeight="false" outlineLevel="0" collapsed="false">
      <c r="A1120" s="50"/>
      <c r="B1120" s="51" t="str">
        <f aca="false">IF(A1120="","",MONTH(A1120))</f>
        <v/>
      </c>
      <c r="C1120" s="52"/>
      <c r="D1120" s="52"/>
      <c r="E1120" s="52"/>
      <c r="F1120" s="53"/>
      <c r="G1120" s="52"/>
      <c r="H1120" s="54" t="str">
        <f aca="false">IF(E1120="","",E1120*N(F1120)*IF(G1120="",1,G1120))</f>
        <v/>
      </c>
      <c r="I1120" s="55" t="str">
        <f aca="false">IF(C1120="","",IFERROR(INDEX('DANH MỤC'!$B$5:$B$200,MATCH(C1120,'DANH MỤC'!$A$5:$A$200,0)),"⚠ Mã chưa có trong DANH MỤC"))</f>
        <v/>
      </c>
      <c r="J1120" s="52"/>
      <c r="K1120" s="52"/>
      <c r="L1120" s="52"/>
    </row>
    <row r="1121" customFormat="false" ht="15" hidden="false" customHeight="false" outlineLevel="0" collapsed="false">
      <c r="A1121" s="50"/>
      <c r="B1121" s="51" t="str">
        <f aca="false">IF(A1121="","",MONTH(A1121))</f>
        <v/>
      </c>
      <c r="C1121" s="52"/>
      <c r="D1121" s="52"/>
      <c r="E1121" s="52"/>
      <c r="F1121" s="53"/>
      <c r="G1121" s="52"/>
      <c r="H1121" s="54" t="str">
        <f aca="false">IF(E1121="","",E1121*N(F1121)*IF(G1121="",1,G1121))</f>
        <v/>
      </c>
      <c r="I1121" s="55" t="str">
        <f aca="false">IF(C1121="","",IFERROR(INDEX('DANH MỤC'!$B$5:$B$200,MATCH(C1121,'DANH MỤC'!$A$5:$A$200,0)),"⚠ Mã chưa có trong DANH MỤC"))</f>
        <v/>
      </c>
      <c r="J1121" s="52"/>
      <c r="K1121" s="52"/>
      <c r="L1121" s="52"/>
    </row>
    <row r="1122" customFormat="false" ht="15" hidden="false" customHeight="false" outlineLevel="0" collapsed="false">
      <c r="A1122" s="50"/>
      <c r="B1122" s="51" t="str">
        <f aca="false">IF(A1122="","",MONTH(A1122))</f>
        <v/>
      </c>
      <c r="C1122" s="52"/>
      <c r="D1122" s="52"/>
      <c r="E1122" s="52"/>
      <c r="F1122" s="53"/>
      <c r="G1122" s="52"/>
      <c r="H1122" s="54" t="str">
        <f aca="false">IF(E1122="","",E1122*N(F1122)*IF(G1122="",1,G1122))</f>
        <v/>
      </c>
      <c r="I1122" s="55" t="str">
        <f aca="false">IF(C1122="","",IFERROR(INDEX('DANH MỤC'!$B$5:$B$200,MATCH(C1122,'DANH MỤC'!$A$5:$A$200,0)),"⚠ Mã chưa có trong DANH MỤC"))</f>
        <v/>
      </c>
      <c r="J1122" s="52"/>
      <c r="K1122" s="52"/>
      <c r="L1122" s="52"/>
    </row>
    <row r="1123" customFormat="false" ht="15" hidden="false" customHeight="false" outlineLevel="0" collapsed="false">
      <c r="A1123" s="50"/>
      <c r="B1123" s="51" t="str">
        <f aca="false">IF(A1123="","",MONTH(A1123))</f>
        <v/>
      </c>
      <c r="C1123" s="52"/>
      <c r="D1123" s="52"/>
      <c r="E1123" s="52"/>
      <c r="F1123" s="53"/>
      <c r="G1123" s="52"/>
      <c r="H1123" s="54" t="str">
        <f aca="false">IF(E1123="","",E1123*N(F1123)*IF(G1123="",1,G1123))</f>
        <v/>
      </c>
      <c r="I1123" s="55" t="str">
        <f aca="false">IF(C1123="","",IFERROR(INDEX('DANH MỤC'!$B$5:$B$200,MATCH(C1123,'DANH MỤC'!$A$5:$A$200,0)),"⚠ Mã chưa có trong DANH MỤC"))</f>
        <v/>
      </c>
      <c r="J1123" s="52"/>
      <c r="K1123" s="52"/>
      <c r="L1123" s="52"/>
    </row>
    <row r="1124" customFormat="false" ht="15" hidden="false" customHeight="false" outlineLevel="0" collapsed="false">
      <c r="A1124" s="50"/>
      <c r="B1124" s="51" t="str">
        <f aca="false">IF(A1124="","",MONTH(A1124))</f>
        <v/>
      </c>
      <c r="C1124" s="52"/>
      <c r="D1124" s="52"/>
      <c r="E1124" s="52"/>
      <c r="F1124" s="53"/>
      <c r="G1124" s="52"/>
      <c r="H1124" s="54" t="str">
        <f aca="false">IF(E1124="","",E1124*N(F1124)*IF(G1124="",1,G1124))</f>
        <v/>
      </c>
      <c r="I1124" s="55" t="str">
        <f aca="false">IF(C1124="","",IFERROR(INDEX('DANH MỤC'!$B$5:$B$200,MATCH(C1124,'DANH MỤC'!$A$5:$A$200,0)),"⚠ Mã chưa có trong DANH MỤC"))</f>
        <v/>
      </c>
      <c r="J1124" s="52"/>
      <c r="K1124" s="52"/>
      <c r="L1124" s="52"/>
    </row>
    <row r="1125" customFormat="false" ht="15" hidden="false" customHeight="false" outlineLevel="0" collapsed="false">
      <c r="A1125" s="50"/>
      <c r="B1125" s="51" t="str">
        <f aca="false">IF(A1125="","",MONTH(A1125))</f>
        <v/>
      </c>
      <c r="C1125" s="52"/>
      <c r="D1125" s="52"/>
      <c r="E1125" s="52"/>
      <c r="F1125" s="53"/>
      <c r="G1125" s="52"/>
      <c r="H1125" s="54" t="str">
        <f aca="false">IF(E1125="","",E1125*N(F1125)*IF(G1125="",1,G1125))</f>
        <v/>
      </c>
      <c r="I1125" s="55" t="str">
        <f aca="false">IF(C1125="","",IFERROR(INDEX('DANH MỤC'!$B$5:$B$200,MATCH(C1125,'DANH MỤC'!$A$5:$A$200,0)),"⚠ Mã chưa có trong DANH MỤC"))</f>
        <v/>
      </c>
      <c r="J1125" s="52"/>
      <c r="K1125" s="52"/>
      <c r="L1125" s="52"/>
    </row>
    <row r="1126" customFormat="false" ht="15" hidden="false" customHeight="false" outlineLevel="0" collapsed="false">
      <c r="A1126" s="50"/>
      <c r="B1126" s="51" t="str">
        <f aca="false">IF(A1126="","",MONTH(A1126))</f>
        <v/>
      </c>
      <c r="C1126" s="52"/>
      <c r="D1126" s="52"/>
      <c r="E1126" s="52"/>
      <c r="F1126" s="53"/>
      <c r="G1126" s="52"/>
      <c r="H1126" s="54" t="str">
        <f aca="false">IF(E1126="","",E1126*N(F1126)*IF(G1126="",1,G1126))</f>
        <v/>
      </c>
      <c r="I1126" s="55" t="str">
        <f aca="false">IF(C1126="","",IFERROR(INDEX('DANH MỤC'!$B$5:$B$200,MATCH(C1126,'DANH MỤC'!$A$5:$A$200,0)),"⚠ Mã chưa có trong DANH MỤC"))</f>
        <v/>
      </c>
      <c r="J1126" s="52"/>
      <c r="K1126" s="52"/>
      <c r="L1126" s="52"/>
    </row>
    <row r="1127" customFormat="false" ht="15" hidden="false" customHeight="false" outlineLevel="0" collapsed="false">
      <c r="A1127" s="50"/>
      <c r="B1127" s="51" t="str">
        <f aca="false">IF(A1127="","",MONTH(A1127))</f>
        <v/>
      </c>
      <c r="C1127" s="52"/>
      <c r="D1127" s="52"/>
      <c r="E1127" s="52"/>
      <c r="F1127" s="53"/>
      <c r="G1127" s="52"/>
      <c r="H1127" s="54" t="str">
        <f aca="false">IF(E1127="","",E1127*N(F1127)*IF(G1127="",1,G1127))</f>
        <v/>
      </c>
      <c r="I1127" s="55" t="str">
        <f aca="false">IF(C1127="","",IFERROR(INDEX('DANH MỤC'!$B$5:$B$200,MATCH(C1127,'DANH MỤC'!$A$5:$A$200,0)),"⚠ Mã chưa có trong DANH MỤC"))</f>
        <v/>
      </c>
      <c r="J1127" s="52"/>
      <c r="K1127" s="52"/>
      <c r="L1127" s="52"/>
    </row>
    <row r="1128" customFormat="false" ht="15" hidden="false" customHeight="false" outlineLevel="0" collapsed="false">
      <c r="A1128" s="50"/>
      <c r="B1128" s="51" t="str">
        <f aca="false">IF(A1128="","",MONTH(A1128))</f>
        <v/>
      </c>
      <c r="C1128" s="52"/>
      <c r="D1128" s="52"/>
      <c r="E1128" s="52"/>
      <c r="F1128" s="53"/>
      <c r="G1128" s="52"/>
      <c r="H1128" s="54" t="str">
        <f aca="false">IF(E1128="","",E1128*N(F1128)*IF(G1128="",1,G1128))</f>
        <v/>
      </c>
      <c r="I1128" s="55" t="str">
        <f aca="false">IF(C1128="","",IFERROR(INDEX('DANH MỤC'!$B$5:$B$200,MATCH(C1128,'DANH MỤC'!$A$5:$A$200,0)),"⚠ Mã chưa có trong DANH MỤC"))</f>
        <v/>
      </c>
      <c r="J1128" s="52"/>
      <c r="K1128" s="52"/>
      <c r="L1128" s="52"/>
    </row>
    <row r="1129" customFormat="false" ht="15" hidden="false" customHeight="false" outlineLevel="0" collapsed="false">
      <c r="A1129" s="50"/>
      <c r="B1129" s="51" t="str">
        <f aca="false">IF(A1129="","",MONTH(A1129))</f>
        <v/>
      </c>
      <c r="C1129" s="52"/>
      <c r="D1129" s="52"/>
      <c r="E1129" s="52"/>
      <c r="F1129" s="53"/>
      <c r="G1129" s="52"/>
      <c r="H1129" s="54" t="str">
        <f aca="false">IF(E1129="","",E1129*N(F1129)*IF(G1129="",1,G1129))</f>
        <v/>
      </c>
      <c r="I1129" s="55" t="str">
        <f aca="false">IF(C1129="","",IFERROR(INDEX('DANH MỤC'!$B$5:$B$200,MATCH(C1129,'DANH MỤC'!$A$5:$A$200,0)),"⚠ Mã chưa có trong DANH MỤC"))</f>
        <v/>
      </c>
      <c r="J1129" s="52"/>
      <c r="K1129" s="52"/>
      <c r="L1129" s="52"/>
    </row>
    <row r="1130" customFormat="false" ht="15" hidden="false" customHeight="false" outlineLevel="0" collapsed="false">
      <c r="A1130" s="50"/>
      <c r="B1130" s="51" t="str">
        <f aca="false">IF(A1130="","",MONTH(A1130))</f>
        <v/>
      </c>
      <c r="C1130" s="52"/>
      <c r="D1130" s="52"/>
      <c r="E1130" s="52"/>
      <c r="F1130" s="53"/>
      <c r="G1130" s="52"/>
      <c r="H1130" s="54" t="str">
        <f aca="false">IF(E1130="","",E1130*N(F1130)*IF(G1130="",1,G1130))</f>
        <v/>
      </c>
      <c r="I1130" s="55" t="str">
        <f aca="false">IF(C1130="","",IFERROR(INDEX('DANH MỤC'!$B$5:$B$200,MATCH(C1130,'DANH MỤC'!$A$5:$A$200,0)),"⚠ Mã chưa có trong DANH MỤC"))</f>
        <v/>
      </c>
      <c r="J1130" s="52"/>
      <c r="K1130" s="52"/>
      <c r="L1130" s="52"/>
    </row>
    <row r="1131" customFormat="false" ht="15" hidden="false" customHeight="false" outlineLevel="0" collapsed="false">
      <c r="A1131" s="50"/>
      <c r="B1131" s="51" t="str">
        <f aca="false">IF(A1131="","",MONTH(A1131))</f>
        <v/>
      </c>
      <c r="C1131" s="52"/>
      <c r="D1131" s="52"/>
      <c r="E1131" s="52"/>
      <c r="F1131" s="53"/>
      <c r="G1131" s="52"/>
      <c r="H1131" s="54" t="str">
        <f aca="false">IF(E1131="","",E1131*N(F1131)*IF(G1131="",1,G1131))</f>
        <v/>
      </c>
      <c r="I1131" s="55" t="str">
        <f aca="false">IF(C1131="","",IFERROR(INDEX('DANH MỤC'!$B$5:$B$200,MATCH(C1131,'DANH MỤC'!$A$5:$A$200,0)),"⚠ Mã chưa có trong DANH MỤC"))</f>
        <v/>
      </c>
      <c r="J1131" s="52"/>
      <c r="K1131" s="52"/>
      <c r="L1131" s="52"/>
    </row>
    <row r="1132" customFormat="false" ht="15" hidden="false" customHeight="false" outlineLevel="0" collapsed="false">
      <c r="A1132" s="50"/>
      <c r="B1132" s="51" t="str">
        <f aca="false">IF(A1132="","",MONTH(A1132))</f>
        <v/>
      </c>
      <c r="C1132" s="52"/>
      <c r="D1132" s="52"/>
      <c r="E1132" s="52"/>
      <c r="F1132" s="53"/>
      <c r="G1132" s="52"/>
      <c r="H1132" s="54" t="str">
        <f aca="false">IF(E1132="","",E1132*N(F1132)*IF(G1132="",1,G1132))</f>
        <v/>
      </c>
      <c r="I1132" s="55" t="str">
        <f aca="false">IF(C1132="","",IFERROR(INDEX('DANH MỤC'!$B$5:$B$200,MATCH(C1132,'DANH MỤC'!$A$5:$A$200,0)),"⚠ Mã chưa có trong DANH MỤC"))</f>
        <v/>
      </c>
      <c r="J1132" s="52"/>
      <c r="K1132" s="52"/>
      <c r="L1132" s="52"/>
    </row>
    <row r="1133" customFormat="false" ht="15" hidden="false" customHeight="false" outlineLevel="0" collapsed="false">
      <c r="A1133" s="50"/>
      <c r="B1133" s="51" t="str">
        <f aca="false">IF(A1133="","",MONTH(A1133))</f>
        <v/>
      </c>
      <c r="C1133" s="52"/>
      <c r="D1133" s="52"/>
      <c r="E1133" s="52"/>
      <c r="F1133" s="53"/>
      <c r="G1133" s="52"/>
      <c r="H1133" s="54" t="str">
        <f aca="false">IF(E1133="","",E1133*N(F1133)*IF(G1133="",1,G1133))</f>
        <v/>
      </c>
      <c r="I1133" s="55" t="str">
        <f aca="false">IF(C1133="","",IFERROR(INDEX('DANH MỤC'!$B$5:$B$200,MATCH(C1133,'DANH MỤC'!$A$5:$A$200,0)),"⚠ Mã chưa có trong DANH MỤC"))</f>
        <v/>
      </c>
      <c r="J1133" s="52"/>
      <c r="K1133" s="52"/>
      <c r="L1133" s="52"/>
    </row>
    <row r="1134" customFormat="false" ht="15" hidden="false" customHeight="false" outlineLevel="0" collapsed="false">
      <c r="A1134" s="50"/>
      <c r="B1134" s="51" t="str">
        <f aca="false">IF(A1134="","",MONTH(A1134))</f>
        <v/>
      </c>
      <c r="C1134" s="52"/>
      <c r="D1134" s="52"/>
      <c r="E1134" s="52"/>
      <c r="F1134" s="53"/>
      <c r="G1134" s="52"/>
      <c r="H1134" s="54" t="str">
        <f aca="false">IF(E1134="","",E1134*N(F1134)*IF(G1134="",1,G1134))</f>
        <v/>
      </c>
      <c r="I1134" s="55" t="str">
        <f aca="false">IF(C1134="","",IFERROR(INDEX('DANH MỤC'!$B$5:$B$200,MATCH(C1134,'DANH MỤC'!$A$5:$A$200,0)),"⚠ Mã chưa có trong DANH MỤC"))</f>
        <v/>
      </c>
      <c r="J1134" s="52"/>
      <c r="K1134" s="52"/>
      <c r="L1134" s="52"/>
    </row>
    <row r="1135" customFormat="false" ht="15" hidden="false" customHeight="false" outlineLevel="0" collapsed="false">
      <c r="A1135" s="50"/>
      <c r="B1135" s="51" t="str">
        <f aca="false">IF(A1135="","",MONTH(A1135))</f>
        <v/>
      </c>
      <c r="C1135" s="52"/>
      <c r="D1135" s="52"/>
      <c r="E1135" s="52"/>
      <c r="F1135" s="53"/>
      <c r="G1135" s="52"/>
      <c r="H1135" s="54" t="str">
        <f aca="false">IF(E1135="","",E1135*N(F1135)*IF(G1135="",1,G1135))</f>
        <v/>
      </c>
      <c r="I1135" s="55" t="str">
        <f aca="false">IF(C1135="","",IFERROR(INDEX('DANH MỤC'!$B$5:$B$200,MATCH(C1135,'DANH MỤC'!$A$5:$A$200,0)),"⚠ Mã chưa có trong DANH MỤC"))</f>
        <v/>
      </c>
      <c r="J1135" s="52"/>
      <c r="K1135" s="52"/>
      <c r="L1135" s="52"/>
    </row>
    <row r="1136" customFormat="false" ht="15" hidden="false" customHeight="false" outlineLevel="0" collapsed="false">
      <c r="A1136" s="50"/>
      <c r="B1136" s="51" t="str">
        <f aca="false">IF(A1136="","",MONTH(A1136))</f>
        <v/>
      </c>
      <c r="C1136" s="52"/>
      <c r="D1136" s="52"/>
      <c r="E1136" s="52"/>
      <c r="F1136" s="53"/>
      <c r="G1136" s="52"/>
      <c r="H1136" s="54" t="str">
        <f aca="false">IF(E1136="","",E1136*N(F1136)*IF(G1136="",1,G1136))</f>
        <v/>
      </c>
      <c r="I1136" s="55" t="str">
        <f aca="false">IF(C1136="","",IFERROR(INDEX('DANH MỤC'!$B$5:$B$200,MATCH(C1136,'DANH MỤC'!$A$5:$A$200,0)),"⚠ Mã chưa có trong DANH MỤC"))</f>
        <v/>
      </c>
      <c r="J1136" s="52"/>
      <c r="K1136" s="52"/>
      <c r="L1136" s="52"/>
    </row>
    <row r="1137" customFormat="false" ht="15" hidden="false" customHeight="false" outlineLevel="0" collapsed="false">
      <c r="A1137" s="50"/>
      <c r="B1137" s="51" t="str">
        <f aca="false">IF(A1137="","",MONTH(A1137))</f>
        <v/>
      </c>
      <c r="C1137" s="52"/>
      <c r="D1137" s="52"/>
      <c r="E1137" s="52"/>
      <c r="F1137" s="53"/>
      <c r="G1137" s="52"/>
      <c r="H1137" s="54" t="str">
        <f aca="false">IF(E1137="","",E1137*N(F1137)*IF(G1137="",1,G1137))</f>
        <v/>
      </c>
      <c r="I1137" s="55" t="str">
        <f aca="false">IF(C1137="","",IFERROR(INDEX('DANH MỤC'!$B$5:$B$200,MATCH(C1137,'DANH MỤC'!$A$5:$A$200,0)),"⚠ Mã chưa có trong DANH MỤC"))</f>
        <v/>
      </c>
      <c r="J1137" s="52"/>
      <c r="K1137" s="52"/>
      <c r="L1137" s="52"/>
    </row>
    <row r="1138" customFormat="false" ht="15" hidden="false" customHeight="false" outlineLevel="0" collapsed="false">
      <c r="A1138" s="50"/>
      <c r="B1138" s="51" t="str">
        <f aca="false">IF(A1138="","",MONTH(A1138))</f>
        <v/>
      </c>
      <c r="C1138" s="52"/>
      <c r="D1138" s="52"/>
      <c r="E1138" s="52"/>
      <c r="F1138" s="53"/>
      <c r="G1138" s="52"/>
      <c r="H1138" s="54" t="str">
        <f aca="false">IF(E1138="","",E1138*N(F1138)*IF(G1138="",1,G1138))</f>
        <v/>
      </c>
      <c r="I1138" s="55" t="str">
        <f aca="false">IF(C1138="","",IFERROR(INDEX('DANH MỤC'!$B$5:$B$200,MATCH(C1138,'DANH MỤC'!$A$5:$A$200,0)),"⚠ Mã chưa có trong DANH MỤC"))</f>
        <v/>
      </c>
      <c r="J1138" s="52"/>
      <c r="K1138" s="52"/>
      <c r="L1138" s="52"/>
    </row>
    <row r="1139" customFormat="false" ht="15" hidden="false" customHeight="false" outlineLevel="0" collapsed="false">
      <c r="A1139" s="50"/>
      <c r="B1139" s="51" t="str">
        <f aca="false">IF(A1139="","",MONTH(A1139))</f>
        <v/>
      </c>
      <c r="C1139" s="52"/>
      <c r="D1139" s="52"/>
      <c r="E1139" s="52"/>
      <c r="F1139" s="53"/>
      <c r="G1139" s="52"/>
      <c r="H1139" s="54" t="str">
        <f aca="false">IF(E1139="","",E1139*N(F1139)*IF(G1139="",1,G1139))</f>
        <v/>
      </c>
      <c r="I1139" s="55" t="str">
        <f aca="false">IF(C1139="","",IFERROR(INDEX('DANH MỤC'!$B$5:$B$200,MATCH(C1139,'DANH MỤC'!$A$5:$A$200,0)),"⚠ Mã chưa có trong DANH MỤC"))</f>
        <v/>
      </c>
      <c r="J1139" s="52"/>
      <c r="K1139" s="52"/>
      <c r="L1139" s="52"/>
    </row>
    <row r="1140" customFormat="false" ht="15" hidden="false" customHeight="false" outlineLevel="0" collapsed="false">
      <c r="A1140" s="50"/>
      <c r="B1140" s="51" t="str">
        <f aca="false">IF(A1140="","",MONTH(A1140))</f>
        <v/>
      </c>
      <c r="C1140" s="52"/>
      <c r="D1140" s="52"/>
      <c r="E1140" s="52"/>
      <c r="F1140" s="53"/>
      <c r="G1140" s="52"/>
      <c r="H1140" s="54" t="str">
        <f aca="false">IF(E1140="","",E1140*N(F1140)*IF(G1140="",1,G1140))</f>
        <v/>
      </c>
      <c r="I1140" s="55" t="str">
        <f aca="false">IF(C1140="","",IFERROR(INDEX('DANH MỤC'!$B$5:$B$200,MATCH(C1140,'DANH MỤC'!$A$5:$A$200,0)),"⚠ Mã chưa có trong DANH MỤC"))</f>
        <v/>
      </c>
      <c r="J1140" s="52"/>
      <c r="K1140" s="52"/>
      <c r="L1140" s="52"/>
    </row>
    <row r="1141" customFormat="false" ht="15" hidden="false" customHeight="false" outlineLevel="0" collapsed="false">
      <c r="A1141" s="50"/>
      <c r="B1141" s="51" t="str">
        <f aca="false">IF(A1141="","",MONTH(A1141))</f>
        <v/>
      </c>
      <c r="C1141" s="52"/>
      <c r="D1141" s="52"/>
      <c r="E1141" s="52"/>
      <c r="F1141" s="53"/>
      <c r="G1141" s="52"/>
      <c r="H1141" s="54" t="str">
        <f aca="false">IF(E1141="","",E1141*N(F1141)*IF(G1141="",1,G1141))</f>
        <v/>
      </c>
      <c r="I1141" s="55" t="str">
        <f aca="false">IF(C1141="","",IFERROR(INDEX('DANH MỤC'!$B$5:$B$200,MATCH(C1141,'DANH MỤC'!$A$5:$A$200,0)),"⚠ Mã chưa có trong DANH MỤC"))</f>
        <v/>
      </c>
      <c r="J1141" s="52"/>
      <c r="K1141" s="52"/>
      <c r="L1141" s="52"/>
    </row>
    <row r="1142" customFormat="false" ht="15" hidden="false" customHeight="false" outlineLevel="0" collapsed="false">
      <c r="A1142" s="50"/>
      <c r="B1142" s="51" t="str">
        <f aca="false">IF(A1142="","",MONTH(A1142))</f>
        <v/>
      </c>
      <c r="C1142" s="52"/>
      <c r="D1142" s="52"/>
      <c r="E1142" s="52"/>
      <c r="F1142" s="53"/>
      <c r="G1142" s="52"/>
      <c r="H1142" s="54" t="str">
        <f aca="false">IF(E1142="","",E1142*N(F1142)*IF(G1142="",1,G1142))</f>
        <v/>
      </c>
      <c r="I1142" s="55" t="str">
        <f aca="false">IF(C1142="","",IFERROR(INDEX('DANH MỤC'!$B$5:$B$200,MATCH(C1142,'DANH MỤC'!$A$5:$A$200,0)),"⚠ Mã chưa có trong DANH MỤC"))</f>
        <v/>
      </c>
      <c r="J1142" s="52"/>
      <c r="K1142" s="52"/>
      <c r="L1142" s="52"/>
    </row>
    <row r="1143" customFormat="false" ht="15" hidden="false" customHeight="false" outlineLevel="0" collapsed="false">
      <c r="A1143" s="50"/>
      <c r="B1143" s="51" t="str">
        <f aca="false">IF(A1143="","",MONTH(A1143))</f>
        <v/>
      </c>
      <c r="C1143" s="52"/>
      <c r="D1143" s="52"/>
      <c r="E1143" s="52"/>
      <c r="F1143" s="53"/>
      <c r="G1143" s="52"/>
      <c r="H1143" s="54" t="str">
        <f aca="false">IF(E1143="","",E1143*N(F1143)*IF(G1143="",1,G1143))</f>
        <v/>
      </c>
      <c r="I1143" s="55" t="str">
        <f aca="false">IF(C1143="","",IFERROR(INDEX('DANH MỤC'!$B$5:$B$200,MATCH(C1143,'DANH MỤC'!$A$5:$A$200,0)),"⚠ Mã chưa có trong DANH MỤC"))</f>
        <v/>
      </c>
      <c r="J1143" s="52"/>
      <c r="K1143" s="52"/>
      <c r="L1143" s="52"/>
    </row>
    <row r="1144" customFormat="false" ht="15" hidden="false" customHeight="false" outlineLevel="0" collapsed="false">
      <c r="A1144" s="50"/>
      <c r="B1144" s="51" t="str">
        <f aca="false">IF(A1144="","",MONTH(A1144))</f>
        <v/>
      </c>
      <c r="C1144" s="52"/>
      <c r="D1144" s="52"/>
      <c r="E1144" s="52"/>
      <c r="F1144" s="53"/>
      <c r="G1144" s="52"/>
      <c r="H1144" s="54" t="str">
        <f aca="false">IF(E1144="","",E1144*N(F1144)*IF(G1144="",1,G1144))</f>
        <v/>
      </c>
      <c r="I1144" s="55" t="str">
        <f aca="false">IF(C1144="","",IFERROR(INDEX('DANH MỤC'!$B$5:$B$200,MATCH(C1144,'DANH MỤC'!$A$5:$A$200,0)),"⚠ Mã chưa có trong DANH MỤC"))</f>
        <v/>
      </c>
      <c r="J1144" s="52"/>
      <c r="K1144" s="52"/>
      <c r="L1144" s="52"/>
    </row>
    <row r="1145" customFormat="false" ht="15" hidden="false" customHeight="false" outlineLevel="0" collapsed="false">
      <c r="A1145" s="50"/>
      <c r="B1145" s="51" t="str">
        <f aca="false">IF(A1145="","",MONTH(A1145))</f>
        <v/>
      </c>
      <c r="C1145" s="52"/>
      <c r="D1145" s="52"/>
      <c r="E1145" s="52"/>
      <c r="F1145" s="53"/>
      <c r="G1145" s="52"/>
      <c r="H1145" s="54" t="str">
        <f aca="false">IF(E1145="","",E1145*N(F1145)*IF(G1145="",1,G1145))</f>
        <v/>
      </c>
      <c r="I1145" s="55" t="str">
        <f aca="false">IF(C1145="","",IFERROR(INDEX('DANH MỤC'!$B$5:$B$200,MATCH(C1145,'DANH MỤC'!$A$5:$A$200,0)),"⚠ Mã chưa có trong DANH MỤC"))</f>
        <v/>
      </c>
      <c r="J1145" s="52"/>
      <c r="K1145" s="52"/>
      <c r="L1145" s="52"/>
    </row>
    <row r="1146" customFormat="false" ht="15" hidden="false" customHeight="false" outlineLevel="0" collapsed="false">
      <c r="A1146" s="50"/>
      <c r="B1146" s="51" t="str">
        <f aca="false">IF(A1146="","",MONTH(A1146))</f>
        <v/>
      </c>
      <c r="C1146" s="52"/>
      <c r="D1146" s="52"/>
      <c r="E1146" s="52"/>
      <c r="F1146" s="53"/>
      <c r="G1146" s="52"/>
      <c r="H1146" s="54" t="str">
        <f aca="false">IF(E1146="","",E1146*N(F1146)*IF(G1146="",1,G1146))</f>
        <v/>
      </c>
      <c r="I1146" s="55" t="str">
        <f aca="false">IF(C1146="","",IFERROR(INDEX('DANH MỤC'!$B$5:$B$200,MATCH(C1146,'DANH MỤC'!$A$5:$A$200,0)),"⚠ Mã chưa có trong DANH MỤC"))</f>
        <v/>
      </c>
      <c r="J1146" s="52"/>
      <c r="K1146" s="52"/>
      <c r="L1146" s="52"/>
    </row>
    <row r="1147" customFormat="false" ht="15" hidden="false" customHeight="false" outlineLevel="0" collapsed="false">
      <c r="A1147" s="50"/>
      <c r="B1147" s="51" t="str">
        <f aca="false">IF(A1147="","",MONTH(A1147))</f>
        <v/>
      </c>
      <c r="C1147" s="52"/>
      <c r="D1147" s="52"/>
      <c r="E1147" s="52"/>
      <c r="F1147" s="53"/>
      <c r="G1147" s="52"/>
      <c r="H1147" s="54" t="str">
        <f aca="false">IF(E1147="","",E1147*N(F1147)*IF(G1147="",1,G1147))</f>
        <v/>
      </c>
      <c r="I1147" s="55" t="str">
        <f aca="false">IF(C1147="","",IFERROR(INDEX('DANH MỤC'!$B$5:$B$200,MATCH(C1147,'DANH MỤC'!$A$5:$A$200,0)),"⚠ Mã chưa có trong DANH MỤC"))</f>
        <v/>
      </c>
      <c r="J1147" s="52"/>
      <c r="K1147" s="52"/>
      <c r="L1147" s="52"/>
    </row>
    <row r="1148" customFormat="false" ht="15" hidden="false" customHeight="false" outlineLevel="0" collapsed="false">
      <c r="A1148" s="50"/>
      <c r="B1148" s="51" t="str">
        <f aca="false">IF(A1148="","",MONTH(A1148))</f>
        <v/>
      </c>
      <c r="C1148" s="52"/>
      <c r="D1148" s="52"/>
      <c r="E1148" s="52"/>
      <c r="F1148" s="53"/>
      <c r="G1148" s="52"/>
      <c r="H1148" s="54" t="str">
        <f aca="false">IF(E1148="","",E1148*N(F1148)*IF(G1148="",1,G1148))</f>
        <v/>
      </c>
      <c r="I1148" s="55" t="str">
        <f aca="false">IF(C1148="","",IFERROR(INDEX('DANH MỤC'!$B$5:$B$200,MATCH(C1148,'DANH MỤC'!$A$5:$A$200,0)),"⚠ Mã chưa có trong DANH MỤC"))</f>
        <v/>
      </c>
      <c r="J1148" s="52"/>
      <c r="K1148" s="52"/>
      <c r="L1148" s="52"/>
    </row>
    <row r="1149" customFormat="false" ht="15" hidden="false" customHeight="false" outlineLevel="0" collapsed="false">
      <c r="A1149" s="50"/>
      <c r="B1149" s="51" t="str">
        <f aca="false">IF(A1149="","",MONTH(A1149))</f>
        <v/>
      </c>
      <c r="C1149" s="52"/>
      <c r="D1149" s="52"/>
      <c r="E1149" s="52"/>
      <c r="F1149" s="53"/>
      <c r="G1149" s="52"/>
      <c r="H1149" s="54" t="str">
        <f aca="false">IF(E1149="","",E1149*N(F1149)*IF(G1149="",1,G1149))</f>
        <v/>
      </c>
      <c r="I1149" s="55" t="str">
        <f aca="false">IF(C1149="","",IFERROR(INDEX('DANH MỤC'!$B$5:$B$200,MATCH(C1149,'DANH MỤC'!$A$5:$A$200,0)),"⚠ Mã chưa có trong DANH MỤC"))</f>
        <v/>
      </c>
      <c r="J1149" s="52"/>
      <c r="K1149" s="52"/>
      <c r="L1149" s="52"/>
    </row>
    <row r="1150" customFormat="false" ht="15" hidden="false" customHeight="false" outlineLevel="0" collapsed="false">
      <c r="A1150" s="50"/>
      <c r="B1150" s="51" t="str">
        <f aca="false">IF(A1150="","",MONTH(A1150))</f>
        <v/>
      </c>
      <c r="C1150" s="52"/>
      <c r="D1150" s="52"/>
      <c r="E1150" s="52"/>
      <c r="F1150" s="53"/>
      <c r="G1150" s="52"/>
      <c r="H1150" s="54" t="str">
        <f aca="false">IF(E1150="","",E1150*N(F1150)*IF(G1150="",1,G1150))</f>
        <v/>
      </c>
      <c r="I1150" s="55" t="str">
        <f aca="false">IF(C1150="","",IFERROR(INDEX('DANH MỤC'!$B$5:$B$200,MATCH(C1150,'DANH MỤC'!$A$5:$A$200,0)),"⚠ Mã chưa có trong DANH MỤC"))</f>
        <v/>
      </c>
      <c r="J1150" s="52"/>
      <c r="K1150" s="52"/>
      <c r="L1150" s="52"/>
    </row>
    <row r="1151" customFormat="false" ht="15" hidden="false" customHeight="false" outlineLevel="0" collapsed="false">
      <c r="A1151" s="50"/>
      <c r="B1151" s="51" t="str">
        <f aca="false">IF(A1151="","",MONTH(A1151))</f>
        <v/>
      </c>
      <c r="C1151" s="52"/>
      <c r="D1151" s="52"/>
      <c r="E1151" s="52"/>
      <c r="F1151" s="53"/>
      <c r="G1151" s="52"/>
      <c r="H1151" s="54" t="str">
        <f aca="false">IF(E1151="","",E1151*N(F1151)*IF(G1151="",1,G1151))</f>
        <v/>
      </c>
      <c r="I1151" s="55" t="str">
        <f aca="false">IF(C1151="","",IFERROR(INDEX('DANH MỤC'!$B$5:$B$200,MATCH(C1151,'DANH MỤC'!$A$5:$A$200,0)),"⚠ Mã chưa có trong DANH MỤC"))</f>
        <v/>
      </c>
      <c r="J1151" s="52"/>
      <c r="K1151" s="52"/>
      <c r="L1151" s="52"/>
    </row>
    <row r="1152" customFormat="false" ht="15" hidden="false" customHeight="false" outlineLevel="0" collapsed="false">
      <c r="A1152" s="50"/>
      <c r="B1152" s="51" t="str">
        <f aca="false">IF(A1152="","",MONTH(A1152))</f>
        <v/>
      </c>
      <c r="C1152" s="52"/>
      <c r="D1152" s="52"/>
      <c r="E1152" s="52"/>
      <c r="F1152" s="53"/>
      <c r="G1152" s="52"/>
      <c r="H1152" s="54" t="str">
        <f aca="false">IF(E1152="","",E1152*N(F1152)*IF(G1152="",1,G1152))</f>
        <v/>
      </c>
      <c r="I1152" s="55" t="str">
        <f aca="false">IF(C1152="","",IFERROR(INDEX('DANH MỤC'!$B$5:$B$200,MATCH(C1152,'DANH MỤC'!$A$5:$A$200,0)),"⚠ Mã chưa có trong DANH MỤC"))</f>
        <v/>
      </c>
      <c r="J1152" s="52"/>
      <c r="K1152" s="52"/>
      <c r="L1152" s="52"/>
    </row>
    <row r="1153" customFormat="false" ht="15" hidden="false" customHeight="false" outlineLevel="0" collapsed="false">
      <c r="A1153" s="50"/>
      <c r="B1153" s="51" t="str">
        <f aca="false">IF(A1153="","",MONTH(A1153))</f>
        <v/>
      </c>
      <c r="C1153" s="52"/>
      <c r="D1153" s="52"/>
      <c r="E1153" s="52"/>
      <c r="F1153" s="53"/>
      <c r="G1153" s="52"/>
      <c r="H1153" s="54" t="str">
        <f aca="false">IF(E1153="","",E1153*N(F1153)*IF(G1153="",1,G1153))</f>
        <v/>
      </c>
      <c r="I1153" s="55" t="str">
        <f aca="false">IF(C1153="","",IFERROR(INDEX('DANH MỤC'!$B$5:$B$200,MATCH(C1153,'DANH MỤC'!$A$5:$A$200,0)),"⚠ Mã chưa có trong DANH MỤC"))</f>
        <v/>
      </c>
      <c r="J1153" s="52"/>
      <c r="K1153" s="52"/>
      <c r="L1153" s="52"/>
    </row>
    <row r="1154" customFormat="false" ht="15" hidden="false" customHeight="false" outlineLevel="0" collapsed="false">
      <c r="A1154" s="50"/>
      <c r="B1154" s="51" t="str">
        <f aca="false">IF(A1154="","",MONTH(A1154))</f>
        <v/>
      </c>
      <c r="C1154" s="52"/>
      <c r="D1154" s="52"/>
      <c r="E1154" s="52"/>
      <c r="F1154" s="53"/>
      <c r="G1154" s="52"/>
      <c r="H1154" s="54" t="str">
        <f aca="false">IF(E1154="","",E1154*N(F1154)*IF(G1154="",1,G1154))</f>
        <v/>
      </c>
      <c r="I1154" s="55" t="str">
        <f aca="false">IF(C1154="","",IFERROR(INDEX('DANH MỤC'!$B$5:$B$200,MATCH(C1154,'DANH MỤC'!$A$5:$A$200,0)),"⚠ Mã chưa có trong DANH MỤC"))</f>
        <v/>
      </c>
      <c r="J1154" s="52"/>
      <c r="K1154" s="52"/>
      <c r="L1154" s="52"/>
    </row>
    <row r="1155" customFormat="false" ht="15" hidden="false" customHeight="false" outlineLevel="0" collapsed="false">
      <c r="A1155" s="50"/>
      <c r="B1155" s="51" t="str">
        <f aca="false">IF(A1155="","",MONTH(A1155))</f>
        <v/>
      </c>
      <c r="C1155" s="52"/>
      <c r="D1155" s="52"/>
      <c r="E1155" s="52"/>
      <c r="F1155" s="53"/>
      <c r="G1155" s="52"/>
      <c r="H1155" s="54" t="str">
        <f aca="false">IF(E1155="","",E1155*N(F1155)*IF(G1155="",1,G1155))</f>
        <v/>
      </c>
      <c r="I1155" s="55" t="str">
        <f aca="false">IF(C1155="","",IFERROR(INDEX('DANH MỤC'!$B$5:$B$200,MATCH(C1155,'DANH MỤC'!$A$5:$A$200,0)),"⚠ Mã chưa có trong DANH MỤC"))</f>
        <v/>
      </c>
      <c r="J1155" s="52"/>
      <c r="K1155" s="52"/>
      <c r="L1155" s="52"/>
    </row>
    <row r="1156" customFormat="false" ht="15" hidden="false" customHeight="false" outlineLevel="0" collapsed="false">
      <c r="A1156" s="50"/>
      <c r="B1156" s="51" t="str">
        <f aca="false">IF(A1156="","",MONTH(A1156))</f>
        <v/>
      </c>
      <c r="C1156" s="52"/>
      <c r="D1156" s="52"/>
      <c r="E1156" s="52"/>
      <c r="F1156" s="53"/>
      <c r="G1156" s="52"/>
      <c r="H1156" s="54" t="str">
        <f aca="false">IF(E1156="","",E1156*N(F1156)*IF(G1156="",1,G1156))</f>
        <v/>
      </c>
      <c r="I1156" s="55" t="str">
        <f aca="false">IF(C1156="","",IFERROR(INDEX('DANH MỤC'!$B$5:$B$200,MATCH(C1156,'DANH MỤC'!$A$5:$A$200,0)),"⚠ Mã chưa có trong DANH MỤC"))</f>
        <v/>
      </c>
      <c r="J1156" s="52"/>
      <c r="K1156" s="52"/>
      <c r="L1156" s="52"/>
    </row>
    <row r="1157" customFormat="false" ht="15" hidden="false" customHeight="false" outlineLevel="0" collapsed="false">
      <c r="A1157" s="50"/>
      <c r="B1157" s="51" t="str">
        <f aca="false">IF(A1157="","",MONTH(A1157))</f>
        <v/>
      </c>
      <c r="C1157" s="52"/>
      <c r="D1157" s="52"/>
      <c r="E1157" s="52"/>
      <c r="F1157" s="53"/>
      <c r="G1157" s="52"/>
      <c r="H1157" s="54" t="str">
        <f aca="false">IF(E1157="","",E1157*N(F1157)*IF(G1157="",1,G1157))</f>
        <v/>
      </c>
      <c r="I1157" s="55" t="str">
        <f aca="false">IF(C1157="","",IFERROR(INDEX('DANH MỤC'!$B$5:$B$200,MATCH(C1157,'DANH MỤC'!$A$5:$A$200,0)),"⚠ Mã chưa có trong DANH MỤC"))</f>
        <v/>
      </c>
      <c r="J1157" s="52"/>
      <c r="K1157" s="52"/>
      <c r="L1157" s="52"/>
    </row>
    <row r="1158" customFormat="false" ht="15" hidden="false" customHeight="false" outlineLevel="0" collapsed="false">
      <c r="A1158" s="50"/>
      <c r="B1158" s="51" t="str">
        <f aca="false">IF(A1158="","",MONTH(A1158))</f>
        <v/>
      </c>
      <c r="C1158" s="52"/>
      <c r="D1158" s="52"/>
      <c r="E1158" s="52"/>
      <c r="F1158" s="53"/>
      <c r="G1158" s="52"/>
      <c r="H1158" s="54" t="str">
        <f aca="false">IF(E1158="","",E1158*N(F1158)*IF(G1158="",1,G1158))</f>
        <v/>
      </c>
      <c r="I1158" s="55" t="str">
        <f aca="false">IF(C1158="","",IFERROR(INDEX('DANH MỤC'!$B$5:$B$200,MATCH(C1158,'DANH MỤC'!$A$5:$A$200,0)),"⚠ Mã chưa có trong DANH MỤC"))</f>
        <v/>
      </c>
      <c r="J1158" s="52"/>
      <c r="K1158" s="52"/>
      <c r="L1158" s="52"/>
    </row>
    <row r="1159" customFormat="false" ht="15" hidden="false" customHeight="false" outlineLevel="0" collapsed="false">
      <c r="A1159" s="50"/>
      <c r="B1159" s="51" t="str">
        <f aca="false">IF(A1159="","",MONTH(A1159))</f>
        <v/>
      </c>
      <c r="C1159" s="52"/>
      <c r="D1159" s="52"/>
      <c r="E1159" s="52"/>
      <c r="F1159" s="53"/>
      <c r="G1159" s="52"/>
      <c r="H1159" s="54" t="str">
        <f aca="false">IF(E1159="","",E1159*N(F1159)*IF(G1159="",1,G1159))</f>
        <v/>
      </c>
      <c r="I1159" s="55" t="str">
        <f aca="false">IF(C1159="","",IFERROR(INDEX('DANH MỤC'!$B$5:$B$200,MATCH(C1159,'DANH MỤC'!$A$5:$A$200,0)),"⚠ Mã chưa có trong DANH MỤC"))</f>
        <v/>
      </c>
      <c r="J1159" s="52"/>
      <c r="K1159" s="52"/>
      <c r="L1159" s="52"/>
    </row>
    <row r="1160" customFormat="false" ht="15" hidden="false" customHeight="false" outlineLevel="0" collapsed="false">
      <c r="A1160" s="50"/>
      <c r="B1160" s="51" t="str">
        <f aca="false">IF(A1160="","",MONTH(A1160))</f>
        <v/>
      </c>
      <c r="C1160" s="52"/>
      <c r="D1160" s="52"/>
      <c r="E1160" s="52"/>
      <c r="F1160" s="53"/>
      <c r="G1160" s="52"/>
      <c r="H1160" s="54" t="str">
        <f aca="false">IF(E1160="","",E1160*N(F1160)*IF(G1160="",1,G1160))</f>
        <v/>
      </c>
      <c r="I1160" s="55" t="str">
        <f aca="false">IF(C1160="","",IFERROR(INDEX('DANH MỤC'!$B$5:$B$200,MATCH(C1160,'DANH MỤC'!$A$5:$A$200,0)),"⚠ Mã chưa có trong DANH MỤC"))</f>
        <v/>
      </c>
      <c r="J1160" s="52"/>
      <c r="K1160" s="52"/>
      <c r="L1160" s="52"/>
    </row>
    <row r="1161" customFormat="false" ht="15" hidden="false" customHeight="false" outlineLevel="0" collapsed="false">
      <c r="A1161" s="50"/>
      <c r="B1161" s="51" t="str">
        <f aca="false">IF(A1161="","",MONTH(A1161))</f>
        <v/>
      </c>
      <c r="C1161" s="52"/>
      <c r="D1161" s="52"/>
      <c r="E1161" s="52"/>
      <c r="F1161" s="53"/>
      <c r="G1161" s="52"/>
      <c r="H1161" s="54" t="str">
        <f aca="false">IF(E1161="","",E1161*N(F1161)*IF(G1161="",1,G1161))</f>
        <v/>
      </c>
      <c r="I1161" s="55" t="str">
        <f aca="false">IF(C1161="","",IFERROR(INDEX('DANH MỤC'!$B$5:$B$200,MATCH(C1161,'DANH MỤC'!$A$5:$A$200,0)),"⚠ Mã chưa có trong DANH MỤC"))</f>
        <v/>
      </c>
      <c r="J1161" s="52"/>
      <c r="K1161" s="52"/>
      <c r="L1161" s="52"/>
    </row>
    <row r="1162" customFormat="false" ht="15" hidden="false" customHeight="false" outlineLevel="0" collapsed="false">
      <c r="A1162" s="50"/>
      <c r="B1162" s="51" t="str">
        <f aca="false">IF(A1162="","",MONTH(A1162))</f>
        <v/>
      </c>
      <c r="C1162" s="52"/>
      <c r="D1162" s="52"/>
      <c r="E1162" s="52"/>
      <c r="F1162" s="53"/>
      <c r="G1162" s="52"/>
      <c r="H1162" s="54" t="str">
        <f aca="false">IF(E1162="","",E1162*N(F1162)*IF(G1162="",1,G1162))</f>
        <v/>
      </c>
      <c r="I1162" s="55" t="str">
        <f aca="false">IF(C1162="","",IFERROR(INDEX('DANH MỤC'!$B$5:$B$200,MATCH(C1162,'DANH MỤC'!$A$5:$A$200,0)),"⚠ Mã chưa có trong DANH MỤC"))</f>
        <v/>
      </c>
      <c r="J1162" s="52"/>
      <c r="K1162" s="52"/>
      <c r="L1162" s="52"/>
    </row>
    <row r="1163" customFormat="false" ht="15" hidden="false" customHeight="false" outlineLevel="0" collapsed="false">
      <c r="A1163" s="50"/>
      <c r="B1163" s="51" t="str">
        <f aca="false">IF(A1163="","",MONTH(A1163))</f>
        <v/>
      </c>
      <c r="C1163" s="52"/>
      <c r="D1163" s="52"/>
      <c r="E1163" s="52"/>
      <c r="F1163" s="53"/>
      <c r="G1163" s="52"/>
      <c r="H1163" s="54" t="str">
        <f aca="false">IF(E1163="","",E1163*N(F1163)*IF(G1163="",1,G1163))</f>
        <v/>
      </c>
      <c r="I1163" s="55" t="str">
        <f aca="false">IF(C1163="","",IFERROR(INDEX('DANH MỤC'!$B$5:$B$200,MATCH(C1163,'DANH MỤC'!$A$5:$A$200,0)),"⚠ Mã chưa có trong DANH MỤC"))</f>
        <v/>
      </c>
      <c r="J1163" s="52"/>
      <c r="K1163" s="52"/>
      <c r="L1163" s="52"/>
    </row>
    <row r="1164" customFormat="false" ht="15" hidden="false" customHeight="false" outlineLevel="0" collapsed="false">
      <c r="A1164" s="50"/>
      <c r="B1164" s="51" t="str">
        <f aca="false">IF(A1164="","",MONTH(A1164))</f>
        <v/>
      </c>
      <c r="C1164" s="52"/>
      <c r="D1164" s="52"/>
      <c r="E1164" s="52"/>
      <c r="F1164" s="53"/>
      <c r="G1164" s="52"/>
      <c r="H1164" s="54" t="str">
        <f aca="false">IF(E1164="","",E1164*N(F1164)*IF(G1164="",1,G1164))</f>
        <v/>
      </c>
      <c r="I1164" s="55" t="str">
        <f aca="false">IF(C1164="","",IFERROR(INDEX('DANH MỤC'!$B$5:$B$200,MATCH(C1164,'DANH MỤC'!$A$5:$A$200,0)),"⚠ Mã chưa có trong DANH MỤC"))</f>
        <v/>
      </c>
      <c r="J1164" s="52"/>
      <c r="K1164" s="52"/>
      <c r="L1164" s="52"/>
    </row>
    <row r="1165" customFormat="false" ht="15" hidden="false" customHeight="false" outlineLevel="0" collapsed="false">
      <c r="A1165" s="50"/>
      <c r="B1165" s="51" t="str">
        <f aca="false">IF(A1165="","",MONTH(A1165))</f>
        <v/>
      </c>
      <c r="C1165" s="52"/>
      <c r="D1165" s="52"/>
      <c r="E1165" s="52"/>
      <c r="F1165" s="53"/>
      <c r="G1165" s="52"/>
      <c r="H1165" s="54" t="str">
        <f aca="false">IF(E1165="","",E1165*N(F1165)*IF(G1165="",1,G1165))</f>
        <v/>
      </c>
      <c r="I1165" s="55" t="str">
        <f aca="false">IF(C1165="","",IFERROR(INDEX('DANH MỤC'!$B$5:$B$200,MATCH(C1165,'DANH MỤC'!$A$5:$A$200,0)),"⚠ Mã chưa có trong DANH MỤC"))</f>
        <v/>
      </c>
      <c r="J1165" s="52"/>
      <c r="K1165" s="52"/>
      <c r="L1165" s="52"/>
    </row>
    <row r="1166" customFormat="false" ht="15" hidden="false" customHeight="false" outlineLevel="0" collapsed="false">
      <c r="A1166" s="50"/>
      <c r="B1166" s="51" t="str">
        <f aca="false">IF(A1166="","",MONTH(A1166))</f>
        <v/>
      </c>
      <c r="C1166" s="52"/>
      <c r="D1166" s="52"/>
      <c r="E1166" s="52"/>
      <c r="F1166" s="53"/>
      <c r="G1166" s="52"/>
      <c r="H1166" s="54" t="str">
        <f aca="false">IF(E1166="","",E1166*N(F1166)*IF(G1166="",1,G1166))</f>
        <v/>
      </c>
      <c r="I1166" s="55" t="str">
        <f aca="false">IF(C1166="","",IFERROR(INDEX('DANH MỤC'!$B$5:$B$200,MATCH(C1166,'DANH MỤC'!$A$5:$A$200,0)),"⚠ Mã chưa có trong DANH MỤC"))</f>
        <v/>
      </c>
      <c r="J1166" s="52"/>
      <c r="K1166" s="52"/>
      <c r="L1166" s="52"/>
    </row>
    <row r="1167" customFormat="false" ht="15" hidden="false" customHeight="false" outlineLevel="0" collapsed="false">
      <c r="A1167" s="50"/>
      <c r="B1167" s="51" t="str">
        <f aca="false">IF(A1167="","",MONTH(A1167))</f>
        <v/>
      </c>
      <c r="C1167" s="52"/>
      <c r="D1167" s="52"/>
      <c r="E1167" s="52"/>
      <c r="F1167" s="53"/>
      <c r="G1167" s="52"/>
      <c r="H1167" s="54" t="str">
        <f aca="false">IF(E1167="","",E1167*N(F1167)*IF(G1167="",1,G1167))</f>
        <v/>
      </c>
      <c r="I1167" s="55" t="str">
        <f aca="false">IF(C1167="","",IFERROR(INDEX('DANH MỤC'!$B$5:$B$200,MATCH(C1167,'DANH MỤC'!$A$5:$A$200,0)),"⚠ Mã chưa có trong DANH MỤC"))</f>
        <v/>
      </c>
      <c r="J1167" s="52"/>
      <c r="K1167" s="52"/>
      <c r="L1167" s="52"/>
    </row>
    <row r="1168" customFormat="false" ht="15" hidden="false" customHeight="false" outlineLevel="0" collapsed="false">
      <c r="A1168" s="50"/>
      <c r="B1168" s="51" t="str">
        <f aca="false">IF(A1168="","",MONTH(A1168))</f>
        <v/>
      </c>
      <c r="C1168" s="52"/>
      <c r="D1168" s="52"/>
      <c r="E1168" s="52"/>
      <c r="F1168" s="53"/>
      <c r="G1168" s="52"/>
      <c r="H1168" s="54" t="str">
        <f aca="false">IF(E1168="","",E1168*N(F1168)*IF(G1168="",1,G1168))</f>
        <v/>
      </c>
      <c r="I1168" s="55" t="str">
        <f aca="false">IF(C1168="","",IFERROR(INDEX('DANH MỤC'!$B$5:$B$200,MATCH(C1168,'DANH MỤC'!$A$5:$A$200,0)),"⚠ Mã chưa có trong DANH MỤC"))</f>
        <v/>
      </c>
      <c r="J1168" s="52"/>
      <c r="K1168" s="52"/>
      <c r="L1168" s="52"/>
    </row>
    <row r="1169" customFormat="false" ht="15" hidden="false" customHeight="false" outlineLevel="0" collapsed="false">
      <c r="A1169" s="50"/>
      <c r="B1169" s="51" t="str">
        <f aca="false">IF(A1169="","",MONTH(A1169))</f>
        <v/>
      </c>
      <c r="C1169" s="52"/>
      <c r="D1169" s="52"/>
      <c r="E1169" s="52"/>
      <c r="F1169" s="53"/>
      <c r="G1169" s="52"/>
      <c r="H1169" s="54" t="str">
        <f aca="false">IF(E1169="","",E1169*N(F1169)*IF(G1169="",1,G1169))</f>
        <v/>
      </c>
      <c r="I1169" s="55" t="str">
        <f aca="false">IF(C1169="","",IFERROR(INDEX('DANH MỤC'!$B$5:$B$200,MATCH(C1169,'DANH MỤC'!$A$5:$A$200,0)),"⚠ Mã chưa có trong DANH MỤC"))</f>
        <v/>
      </c>
      <c r="J1169" s="52"/>
      <c r="K1169" s="52"/>
      <c r="L1169" s="52"/>
    </row>
    <row r="1170" customFormat="false" ht="15" hidden="false" customHeight="false" outlineLevel="0" collapsed="false">
      <c r="A1170" s="50"/>
      <c r="B1170" s="51" t="str">
        <f aca="false">IF(A1170="","",MONTH(A1170))</f>
        <v/>
      </c>
      <c r="C1170" s="52"/>
      <c r="D1170" s="52"/>
      <c r="E1170" s="52"/>
      <c r="F1170" s="53"/>
      <c r="G1170" s="52"/>
      <c r="H1170" s="54" t="str">
        <f aca="false">IF(E1170="","",E1170*N(F1170)*IF(G1170="",1,G1170))</f>
        <v/>
      </c>
      <c r="I1170" s="55" t="str">
        <f aca="false">IF(C1170="","",IFERROR(INDEX('DANH MỤC'!$B$5:$B$200,MATCH(C1170,'DANH MỤC'!$A$5:$A$200,0)),"⚠ Mã chưa có trong DANH MỤC"))</f>
        <v/>
      </c>
      <c r="J1170" s="52"/>
      <c r="K1170" s="52"/>
      <c r="L1170" s="52"/>
    </row>
    <row r="1171" customFormat="false" ht="15" hidden="false" customHeight="false" outlineLevel="0" collapsed="false">
      <c r="A1171" s="50"/>
      <c r="B1171" s="51" t="str">
        <f aca="false">IF(A1171="","",MONTH(A1171))</f>
        <v/>
      </c>
      <c r="C1171" s="52"/>
      <c r="D1171" s="52"/>
      <c r="E1171" s="52"/>
      <c r="F1171" s="53"/>
      <c r="G1171" s="52"/>
      <c r="H1171" s="54" t="str">
        <f aca="false">IF(E1171="","",E1171*N(F1171)*IF(G1171="",1,G1171))</f>
        <v/>
      </c>
      <c r="I1171" s="55" t="str">
        <f aca="false">IF(C1171="","",IFERROR(INDEX('DANH MỤC'!$B$5:$B$200,MATCH(C1171,'DANH MỤC'!$A$5:$A$200,0)),"⚠ Mã chưa có trong DANH MỤC"))</f>
        <v/>
      </c>
      <c r="J1171" s="52"/>
      <c r="K1171" s="52"/>
      <c r="L1171" s="52"/>
    </row>
    <row r="1172" customFormat="false" ht="15" hidden="false" customHeight="false" outlineLevel="0" collapsed="false">
      <c r="A1172" s="50"/>
      <c r="B1172" s="51" t="str">
        <f aca="false">IF(A1172="","",MONTH(A1172))</f>
        <v/>
      </c>
      <c r="C1172" s="52"/>
      <c r="D1172" s="52"/>
      <c r="E1172" s="52"/>
      <c r="F1172" s="53"/>
      <c r="G1172" s="52"/>
      <c r="H1172" s="54" t="str">
        <f aca="false">IF(E1172="","",E1172*N(F1172)*IF(G1172="",1,G1172))</f>
        <v/>
      </c>
      <c r="I1172" s="55" t="str">
        <f aca="false">IF(C1172="","",IFERROR(INDEX('DANH MỤC'!$B$5:$B$200,MATCH(C1172,'DANH MỤC'!$A$5:$A$200,0)),"⚠ Mã chưa có trong DANH MỤC"))</f>
        <v/>
      </c>
      <c r="J1172" s="52"/>
      <c r="K1172" s="52"/>
      <c r="L1172" s="52"/>
    </row>
    <row r="1173" customFormat="false" ht="15" hidden="false" customHeight="false" outlineLevel="0" collapsed="false">
      <c r="A1173" s="50"/>
      <c r="B1173" s="51" t="str">
        <f aca="false">IF(A1173="","",MONTH(A1173))</f>
        <v/>
      </c>
      <c r="C1173" s="52"/>
      <c r="D1173" s="52"/>
      <c r="E1173" s="52"/>
      <c r="F1173" s="53"/>
      <c r="G1173" s="52"/>
      <c r="H1173" s="54" t="str">
        <f aca="false">IF(E1173="","",E1173*N(F1173)*IF(G1173="",1,G1173))</f>
        <v/>
      </c>
      <c r="I1173" s="55" t="str">
        <f aca="false">IF(C1173="","",IFERROR(INDEX('DANH MỤC'!$B$5:$B$200,MATCH(C1173,'DANH MỤC'!$A$5:$A$200,0)),"⚠ Mã chưa có trong DANH MỤC"))</f>
        <v/>
      </c>
      <c r="J1173" s="52"/>
      <c r="K1173" s="52"/>
      <c r="L1173" s="52"/>
    </row>
    <row r="1174" customFormat="false" ht="15" hidden="false" customHeight="false" outlineLevel="0" collapsed="false">
      <c r="A1174" s="50"/>
      <c r="B1174" s="51" t="str">
        <f aca="false">IF(A1174="","",MONTH(A1174))</f>
        <v/>
      </c>
      <c r="C1174" s="52"/>
      <c r="D1174" s="52"/>
      <c r="E1174" s="52"/>
      <c r="F1174" s="53"/>
      <c r="G1174" s="52"/>
      <c r="H1174" s="54" t="str">
        <f aca="false">IF(E1174="","",E1174*N(F1174)*IF(G1174="",1,G1174))</f>
        <v/>
      </c>
      <c r="I1174" s="55" t="str">
        <f aca="false">IF(C1174="","",IFERROR(INDEX('DANH MỤC'!$B$5:$B$200,MATCH(C1174,'DANH MỤC'!$A$5:$A$200,0)),"⚠ Mã chưa có trong DANH MỤC"))</f>
        <v/>
      </c>
      <c r="J1174" s="52"/>
      <c r="K1174" s="52"/>
      <c r="L1174" s="52"/>
    </row>
    <row r="1175" customFormat="false" ht="15" hidden="false" customHeight="false" outlineLevel="0" collapsed="false">
      <c r="A1175" s="50"/>
      <c r="B1175" s="51" t="str">
        <f aca="false">IF(A1175="","",MONTH(A1175))</f>
        <v/>
      </c>
      <c r="C1175" s="52"/>
      <c r="D1175" s="52"/>
      <c r="E1175" s="52"/>
      <c r="F1175" s="53"/>
      <c r="G1175" s="52"/>
      <c r="H1175" s="54" t="str">
        <f aca="false">IF(E1175="","",E1175*N(F1175)*IF(G1175="",1,G1175))</f>
        <v/>
      </c>
      <c r="I1175" s="55" t="str">
        <f aca="false">IF(C1175="","",IFERROR(INDEX('DANH MỤC'!$B$5:$B$200,MATCH(C1175,'DANH MỤC'!$A$5:$A$200,0)),"⚠ Mã chưa có trong DANH MỤC"))</f>
        <v/>
      </c>
      <c r="J1175" s="52"/>
      <c r="K1175" s="52"/>
      <c r="L1175" s="52"/>
    </row>
    <row r="1176" customFormat="false" ht="15" hidden="false" customHeight="false" outlineLevel="0" collapsed="false">
      <c r="A1176" s="50"/>
      <c r="B1176" s="51" t="str">
        <f aca="false">IF(A1176="","",MONTH(A1176))</f>
        <v/>
      </c>
      <c r="C1176" s="52"/>
      <c r="D1176" s="52"/>
      <c r="E1176" s="52"/>
      <c r="F1176" s="53"/>
      <c r="G1176" s="52"/>
      <c r="H1176" s="54" t="str">
        <f aca="false">IF(E1176="","",E1176*N(F1176)*IF(G1176="",1,G1176))</f>
        <v/>
      </c>
      <c r="I1176" s="55" t="str">
        <f aca="false">IF(C1176="","",IFERROR(INDEX('DANH MỤC'!$B$5:$B$200,MATCH(C1176,'DANH MỤC'!$A$5:$A$200,0)),"⚠ Mã chưa có trong DANH MỤC"))</f>
        <v/>
      </c>
      <c r="J1176" s="52"/>
      <c r="K1176" s="52"/>
      <c r="L1176" s="52"/>
    </row>
    <row r="1177" customFormat="false" ht="15" hidden="false" customHeight="false" outlineLevel="0" collapsed="false">
      <c r="A1177" s="50"/>
      <c r="B1177" s="51" t="str">
        <f aca="false">IF(A1177="","",MONTH(A1177))</f>
        <v/>
      </c>
      <c r="C1177" s="52"/>
      <c r="D1177" s="52"/>
      <c r="E1177" s="52"/>
      <c r="F1177" s="53"/>
      <c r="G1177" s="52"/>
      <c r="H1177" s="54" t="str">
        <f aca="false">IF(E1177="","",E1177*N(F1177)*IF(G1177="",1,G1177))</f>
        <v/>
      </c>
      <c r="I1177" s="55" t="str">
        <f aca="false">IF(C1177="","",IFERROR(INDEX('DANH MỤC'!$B$5:$B$200,MATCH(C1177,'DANH MỤC'!$A$5:$A$200,0)),"⚠ Mã chưa có trong DANH MỤC"))</f>
        <v/>
      </c>
      <c r="J1177" s="52"/>
      <c r="K1177" s="52"/>
      <c r="L1177" s="52"/>
    </row>
    <row r="1178" customFormat="false" ht="15" hidden="false" customHeight="false" outlineLevel="0" collapsed="false">
      <c r="A1178" s="50"/>
      <c r="B1178" s="51" t="str">
        <f aca="false">IF(A1178="","",MONTH(A1178))</f>
        <v/>
      </c>
      <c r="C1178" s="52"/>
      <c r="D1178" s="52"/>
      <c r="E1178" s="52"/>
      <c r="F1178" s="53"/>
      <c r="G1178" s="52"/>
      <c r="H1178" s="54" t="str">
        <f aca="false">IF(E1178="","",E1178*N(F1178)*IF(G1178="",1,G1178))</f>
        <v/>
      </c>
      <c r="I1178" s="55" t="str">
        <f aca="false">IF(C1178="","",IFERROR(INDEX('DANH MỤC'!$B$5:$B$200,MATCH(C1178,'DANH MỤC'!$A$5:$A$200,0)),"⚠ Mã chưa có trong DANH MỤC"))</f>
        <v/>
      </c>
      <c r="J1178" s="52"/>
      <c r="K1178" s="52"/>
      <c r="L1178" s="52"/>
    </row>
    <row r="1179" customFormat="false" ht="15" hidden="false" customHeight="false" outlineLevel="0" collapsed="false">
      <c r="A1179" s="50"/>
      <c r="B1179" s="51" t="str">
        <f aca="false">IF(A1179="","",MONTH(A1179))</f>
        <v/>
      </c>
      <c r="C1179" s="52"/>
      <c r="D1179" s="52"/>
      <c r="E1179" s="52"/>
      <c r="F1179" s="53"/>
      <c r="G1179" s="52"/>
      <c r="H1179" s="54" t="str">
        <f aca="false">IF(E1179="","",E1179*N(F1179)*IF(G1179="",1,G1179))</f>
        <v/>
      </c>
      <c r="I1179" s="55" t="str">
        <f aca="false">IF(C1179="","",IFERROR(INDEX('DANH MỤC'!$B$5:$B$200,MATCH(C1179,'DANH MỤC'!$A$5:$A$200,0)),"⚠ Mã chưa có trong DANH MỤC"))</f>
        <v/>
      </c>
      <c r="J1179" s="52"/>
      <c r="K1179" s="52"/>
      <c r="L1179" s="52"/>
    </row>
    <row r="1180" customFormat="false" ht="15" hidden="false" customHeight="false" outlineLevel="0" collapsed="false">
      <c r="A1180" s="50"/>
      <c r="B1180" s="51" t="str">
        <f aca="false">IF(A1180="","",MONTH(A1180))</f>
        <v/>
      </c>
      <c r="C1180" s="52"/>
      <c r="D1180" s="52"/>
      <c r="E1180" s="52"/>
      <c r="F1180" s="53"/>
      <c r="G1180" s="52"/>
      <c r="H1180" s="54" t="str">
        <f aca="false">IF(E1180="","",E1180*N(F1180)*IF(G1180="",1,G1180))</f>
        <v/>
      </c>
      <c r="I1180" s="55" t="str">
        <f aca="false">IF(C1180="","",IFERROR(INDEX('DANH MỤC'!$B$5:$B$200,MATCH(C1180,'DANH MỤC'!$A$5:$A$200,0)),"⚠ Mã chưa có trong DANH MỤC"))</f>
        <v/>
      </c>
      <c r="J1180" s="52"/>
      <c r="K1180" s="52"/>
      <c r="L1180" s="52"/>
    </row>
    <row r="1181" customFormat="false" ht="15" hidden="false" customHeight="false" outlineLevel="0" collapsed="false">
      <c r="A1181" s="50"/>
      <c r="B1181" s="51" t="str">
        <f aca="false">IF(A1181="","",MONTH(A1181))</f>
        <v/>
      </c>
      <c r="C1181" s="52"/>
      <c r="D1181" s="52"/>
      <c r="E1181" s="52"/>
      <c r="F1181" s="53"/>
      <c r="G1181" s="52"/>
      <c r="H1181" s="54" t="str">
        <f aca="false">IF(E1181="","",E1181*N(F1181)*IF(G1181="",1,G1181))</f>
        <v/>
      </c>
      <c r="I1181" s="55" t="str">
        <f aca="false">IF(C1181="","",IFERROR(INDEX('DANH MỤC'!$B$5:$B$200,MATCH(C1181,'DANH MỤC'!$A$5:$A$200,0)),"⚠ Mã chưa có trong DANH MỤC"))</f>
        <v/>
      </c>
      <c r="J1181" s="52"/>
      <c r="K1181" s="52"/>
      <c r="L1181" s="52"/>
    </row>
    <row r="1182" customFormat="false" ht="15" hidden="false" customHeight="false" outlineLevel="0" collapsed="false">
      <c r="A1182" s="50"/>
      <c r="B1182" s="51" t="str">
        <f aca="false">IF(A1182="","",MONTH(A1182))</f>
        <v/>
      </c>
      <c r="C1182" s="52"/>
      <c r="D1182" s="52"/>
      <c r="E1182" s="52"/>
      <c r="F1182" s="53"/>
      <c r="G1182" s="52"/>
      <c r="H1182" s="54" t="str">
        <f aca="false">IF(E1182="","",E1182*N(F1182)*IF(G1182="",1,G1182))</f>
        <v/>
      </c>
      <c r="I1182" s="55" t="str">
        <f aca="false">IF(C1182="","",IFERROR(INDEX('DANH MỤC'!$B$5:$B$200,MATCH(C1182,'DANH MỤC'!$A$5:$A$200,0)),"⚠ Mã chưa có trong DANH MỤC"))</f>
        <v/>
      </c>
      <c r="J1182" s="52"/>
      <c r="K1182" s="52"/>
      <c r="L1182" s="52"/>
    </row>
    <row r="1183" customFormat="false" ht="15" hidden="false" customHeight="false" outlineLevel="0" collapsed="false">
      <c r="A1183" s="50"/>
      <c r="B1183" s="51" t="str">
        <f aca="false">IF(A1183="","",MONTH(A1183))</f>
        <v/>
      </c>
      <c r="C1183" s="52"/>
      <c r="D1183" s="52"/>
      <c r="E1183" s="52"/>
      <c r="F1183" s="53"/>
      <c r="G1183" s="52"/>
      <c r="H1183" s="54" t="str">
        <f aca="false">IF(E1183="","",E1183*N(F1183)*IF(G1183="",1,G1183))</f>
        <v/>
      </c>
      <c r="I1183" s="55" t="str">
        <f aca="false">IF(C1183="","",IFERROR(INDEX('DANH MỤC'!$B$5:$B$200,MATCH(C1183,'DANH MỤC'!$A$5:$A$200,0)),"⚠ Mã chưa có trong DANH MỤC"))</f>
        <v/>
      </c>
      <c r="J1183" s="52"/>
      <c r="K1183" s="52"/>
      <c r="L1183" s="52"/>
    </row>
    <row r="1184" customFormat="false" ht="15" hidden="false" customHeight="false" outlineLevel="0" collapsed="false">
      <c r="A1184" s="50"/>
      <c r="B1184" s="51" t="str">
        <f aca="false">IF(A1184="","",MONTH(A1184))</f>
        <v/>
      </c>
      <c r="C1184" s="52"/>
      <c r="D1184" s="52"/>
      <c r="E1184" s="52"/>
      <c r="F1184" s="53"/>
      <c r="G1184" s="52"/>
      <c r="H1184" s="54" t="str">
        <f aca="false">IF(E1184="","",E1184*N(F1184)*IF(G1184="",1,G1184))</f>
        <v/>
      </c>
      <c r="I1184" s="55" t="str">
        <f aca="false">IF(C1184="","",IFERROR(INDEX('DANH MỤC'!$B$5:$B$200,MATCH(C1184,'DANH MỤC'!$A$5:$A$200,0)),"⚠ Mã chưa có trong DANH MỤC"))</f>
        <v/>
      </c>
      <c r="J1184" s="52"/>
      <c r="K1184" s="52"/>
      <c r="L1184" s="52"/>
    </row>
    <row r="1185" customFormat="false" ht="15" hidden="false" customHeight="false" outlineLevel="0" collapsed="false">
      <c r="A1185" s="50"/>
      <c r="B1185" s="51" t="str">
        <f aca="false">IF(A1185="","",MONTH(A1185))</f>
        <v/>
      </c>
      <c r="C1185" s="52"/>
      <c r="D1185" s="52"/>
      <c r="E1185" s="52"/>
      <c r="F1185" s="53"/>
      <c r="G1185" s="52"/>
      <c r="H1185" s="54" t="str">
        <f aca="false">IF(E1185="","",E1185*N(F1185)*IF(G1185="",1,G1185))</f>
        <v/>
      </c>
      <c r="I1185" s="55" t="str">
        <f aca="false">IF(C1185="","",IFERROR(INDEX('DANH MỤC'!$B$5:$B$200,MATCH(C1185,'DANH MỤC'!$A$5:$A$200,0)),"⚠ Mã chưa có trong DANH MỤC"))</f>
        <v/>
      </c>
      <c r="J1185" s="52"/>
      <c r="K1185" s="52"/>
      <c r="L1185" s="52"/>
    </row>
    <row r="1186" customFormat="false" ht="15" hidden="false" customHeight="false" outlineLevel="0" collapsed="false">
      <c r="A1186" s="50"/>
      <c r="B1186" s="51" t="str">
        <f aca="false">IF(A1186="","",MONTH(A1186))</f>
        <v/>
      </c>
      <c r="C1186" s="52"/>
      <c r="D1186" s="52"/>
      <c r="E1186" s="52"/>
      <c r="F1186" s="53"/>
      <c r="G1186" s="52"/>
      <c r="H1186" s="54" t="str">
        <f aca="false">IF(E1186="","",E1186*N(F1186)*IF(G1186="",1,G1186))</f>
        <v/>
      </c>
      <c r="I1186" s="55" t="str">
        <f aca="false">IF(C1186="","",IFERROR(INDEX('DANH MỤC'!$B$5:$B$200,MATCH(C1186,'DANH MỤC'!$A$5:$A$200,0)),"⚠ Mã chưa có trong DANH MỤC"))</f>
        <v/>
      </c>
      <c r="J1186" s="52"/>
      <c r="K1186" s="52"/>
      <c r="L1186" s="52"/>
    </row>
    <row r="1187" customFormat="false" ht="15" hidden="false" customHeight="false" outlineLevel="0" collapsed="false">
      <c r="A1187" s="50"/>
      <c r="B1187" s="51" t="str">
        <f aca="false">IF(A1187="","",MONTH(A1187))</f>
        <v/>
      </c>
      <c r="C1187" s="52"/>
      <c r="D1187" s="52"/>
      <c r="E1187" s="52"/>
      <c r="F1187" s="53"/>
      <c r="G1187" s="52"/>
      <c r="H1187" s="54" t="str">
        <f aca="false">IF(E1187="","",E1187*N(F1187)*IF(G1187="",1,G1187))</f>
        <v/>
      </c>
      <c r="I1187" s="55" t="str">
        <f aca="false">IF(C1187="","",IFERROR(INDEX('DANH MỤC'!$B$5:$B$200,MATCH(C1187,'DANH MỤC'!$A$5:$A$200,0)),"⚠ Mã chưa có trong DANH MỤC"))</f>
        <v/>
      </c>
      <c r="J1187" s="52"/>
      <c r="K1187" s="52"/>
      <c r="L1187" s="52"/>
    </row>
    <row r="1188" customFormat="false" ht="15" hidden="false" customHeight="false" outlineLevel="0" collapsed="false">
      <c r="A1188" s="50"/>
      <c r="B1188" s="51" t="str">
        <f aca="false">IF(A1188="","",MONTH(A1188))</f>
        <v/>
      </c>
      <c r="C1188" s="52"/>
      <c r="D1188" s="52"/>
      <c r="E1188" s="52"/>
      <c r="F1188" s="53"/>
      <c r="G1188" s="52"/>
      <c r="H1188" s="54" t="str">
        <f aca="false">IF(E1188="","",E1188*N(F1188)*IF(G1188="",1,G1188))</f>
        <v/>
      </c>
      <c r="I1188" s="55" t="str">
        <f aca="false">IF(C1188="","",IFERROR(INDEX('DANH MỤC'!$B$5:$B$200,MATCH(C1188,'DANH MỤC'!$A$5:$A$200,0)),"⚠ Mã chưa có trong DANH MỤC"))</f>
        <v/>
      </c>
      <c r="J1188" s="52"/>
      <c r="K1188" s="52"/>
      <c r="L1188" s="52"/>
    </row>
    <row r="1189" customFormat="false" ht="15" hidden="false" customHeight="false" outlineLevel="0" collapsed="false">
      <c r="A1189" s="50"/>
      <c r="B1189" s="51" t="str">
        <f aca="false">IF(A1189="","",MONTH(A1189))</f>
        <v/>
      </c>
      <c r="C1189" s="52"/>
      <c r="D1189" s="52"/>
      <c r="E1189" s="52"/>
      <c r="F1189" s="53"/>
      <c r="G1189" s="52"/>
      <c r="H1189" s="54" t="str">
        <f aca="false">IF(E1189="","",E1189*N(F1189)*IF(G1189="",1,G1189))</f>
        <v/>
      </c>
      <c r="I1189" s="55" t="str">
        <f aca="false">IF(C1189="","",IFERROR(INDEX('DANH MỤC'!$B$5:$B$200,MATCH(C1189,'DANH MỤC'!$A$5:$A$200,0)),"⚠ Mã chưa có trong DANH MỤC"))</f>
        <v/>
      </c>
      <c r="J1189" s="52"/>
      <c r="K1189" s="52"/>
      <c r="L1189" s="52"/>
    </row>
    <row r="1190" customFormat="false" ht="15" hidden="false" customHeight="false" outlineLevel="0" collapsed="false">
      <c r="A1190" s="50"/>
      <c r="B1190" s="51" t="str">
        <f aca="false">IF(A1190="","",MONTH(A1190))</f>
        <v/>
      </c>
      <c r="C1190" s="52"/>
      <c r="D1190" s="52"/>
      <c r="E1190" s="52"/>
      <c r="F1190" s="53"/>
      <c r="G1190" s="52"/>
      <c r="H1190" s="54" t="str">
        <f aca="false">IF(E1190="","",E1190*N(F1190)*IF(G1190="",1,G1190))</f>
        <v/>
      </c>
      <c r="I1190" s="55" t="str">
        <f aca="false">IF(C1190="","",IFERROR(INDEX('DANH MỤC'!$B$5:$B$200,MATCH(C1190,'DANH MỤC'!$A$5:$A$200,0)),"⚠ Mã chưa có trong DANH MỤC"))</f>
        <v/>
      </c>
      <c r="J1190" s="52"/>
      <c r="K1190" s="52"/>
      <c r="L1190" s="52"/>
    </row>
    <row r="1191" customFormat="false" ht="15" hidden="false" customHeight="false" outlineLevel="0" collapsed="false">
      <c r="A1191" s="50"/>
      <c r="B1191" s="51" t="str">
        <f aca="false">IF(A1191="","",MONTH(A1191))</f>
        <v/>
      </c>
      <c r="C1191" s="52"/>
      <c r="D1191" s="52"/>
      <c r="E1191" s="52"/>
      <c r="F1191" s="53"/>
      <c r="G1191" s="52"/>
      <c r="H1191" s="54" t="str">
        <f aca="false">IF(E1191="","",E1191*N(F1191)*IF(G1191="",1,G1191))</f>
        <v/>
      </c>
      <c r="I1191" s="55" t="str">
        <f aca="false">IF(C1191="","",IFERROR(INDEX('DANH MỤC'!$B$5:$B$200,MATCH(C1191,'DANH MỤC'!$A$5:$A$200,0)),"⚠ Mã chưa có trong DANH MỤC"))</f>
        <v/>
      </c>
      <c r="J1191" s="52"/>
      <c r="K1191" s="52"/>
      <c r="L1191" s="52"/>
    </row>
    <row r="1192" customFormat="false" ht="15" hidden="false" customHeight="false" outlineLevel="0" collapsed="false">
      <c r="A1192" s="50"/>
      <c r="B1192" s="51" t="str">
        <f aca="false">IF(A1192="","",MONTH(A1192))</f>
        <v/>
      </c>
      <c r="C1192" s="52"/>
      <c r="D1192" s="52"/>
      <c r="E1192" s="52"/>
      <c r="F1192" s="53"/>
      <c r="G1192" s="52"/>
      <c r="H1192" s="54" t="str">
        <f aca="false">IF(E1192="","",E1192*N(F1192)*IF(G1192="",1,G1192))</f>
        <v/>
      </c>
      <c r="I1192" s="55" t="str">
        <f aca="false">IF(C1192="","",IFERROR(INDEX('DANH MỤC'!$B$5:$B$200,MATCH(C1192,'DANH MỤC'!$A$5:$A$200,0)),"⚠ Mã chưa có trong DANH MỤC"))</f>
        <v/>
      </c>
      <c r="J1192" s="52"/>
      <c r="K1192" s="52"/>
      <c r="L1192" s="52"/>
    </row>
    <row r="1193" customFormat="false" ht="15" hidden="false" customHeight="false" outlineLevel="0" collapsed="false">
      <c r="A1193" s="50"/>
      <c r="B1193" s="51" t="str">
        <f aca="false">IF(A1193="","",MONTH(A1193))</f>
        <v/>
      </c>
      <c r="C1193" s="52"/>
      <c r="D1193" s="52"/>
      <c r="E1193" s="52"/>
      <c r="F1193" s="53"/>
      <c r="G1193" s="52"/>
      <c r="H1193" s="54" t="str">
        <f aca="false">IF(E1193="","",E1193*N(F1193)*IF(G1193="",1,G1193))</f>
        <v/>
      </c>
      <c r="I1193" s="55" t="str">
        <f aca="false">IF(C1193="","",IFERROR(INDEX('DANH MỤC'!$B$5:$B$200,MATCH(C1193,'DANH MỤC'!$A$5:$A$200,0)),"⚠ Mã chưa có trong DANH MỤC"))</f>
        <v/>
      </c>
      <c r="J1193" s="52"/>
      <c r="K1193" s="52"/>
      <c r="L1193" s="52"/>
    </row>
    <row r="1194" customFormat="false" ht="15" hidden="false" customHeight="false" outlineLevel="0" collapsed="false">
      <c r="A1194" s="50"/>
      <c r="B1194" s="51" t="str">
        <f aca="false">IF(A1194="","",MONTH(A1194))</f>
        <v/>
      </c>
      <c r="C1194" s="52"/>
      <c r="D1194" s="52"/>
      <c r="E1194" s="52"/>
      <c r="F1194" s="53"/>
      <c r="G1194" s="52"/>
      <c r="H1194" s="54" t="str">
        <f aca="false">IF(E1194="","",E1194*N(F1194)*IF(G1194="",1,G1194))</f>
        <v/>
      </c>
      <c r="I1194" s="55" t="str">
        <f aca="false">IF(C1194="","",IFERROR(INDEX('DANH MỤC'!$B$5:$B$200,MATCH(C1194,'DANH MỤC'!$A$5:$A$200,0)),"⚠ Mã chưa có trong DANH MỤC"))</f>
        <v/>
      </c>
      <c r="J1194" s="52"/>
      <c r="K1194" s="52"/>
      <c r="L1194" s="52"/>
    </row>
    <row r="1195" customFormat="false" ht="15" hidden="false" customHeight="false" outlineLevel="0" collapsed="false">
      <c r="A1195" s="50"/>
      <c r="B1195" s="51" t="str">
        <f aca="false">IF(A1195="","",MONTH(A1195))</f>
        <v/>
      </c>
      <c r="C1195" s="52"/>
      <c r="D1195" s="52"/>
      <c r="E1195" s="52"/>
      <c r="F1195" s="53"/>
      <c r="G1195" s="52"/>
      <c r="H1195" s="54" t="str">
        <f aca="false">IF(E1195="","",E1195*N(F1195)*IF(G1195="",1,G1195))</f>
        <v/>
      </c>
      <c r="I1195" s="55" t="str">
        <f aca="false">IF(C1195="","",IFERROR(INDEX('DANH MỤC'!$B$5:$B$200,MATCH(C1195,'DANH MỤC'!$A$5:$A$200,0)),"⚠ Mã chưa có trong DANH MỤC"))</f>
        <v/>
      </c>
      <c r="J1195" s="52"/>
      <c r="K1195" s="52"/>
      <c r="L1195" s="52"/>
    </row>
    <row r="1196" customFormat="false" ht="15" hidden="false" customHeight="false" outlineLevel="0" collapsed="false">
      <c r="A1196" s="50"/>
      <c r="B1196" s="51" t="str">
        <f aca="false">IF(A1196="","",MONTH(A1196))</f>
        <v/>
      </c>
      <c r="C1196" s="52"/>
      <c r="D1196" s="52"/>
      <c r="E1196" s="52"/>
      <c r="F1196" s="53"/>
      <c r="G1196" s="52"/>
      <c r="H1196" s="54" t="str">
        <f aca="false">IF(E1196="","",E1196*N(F1196)*IF(G1196="",1,G1196))</f>
        <v/>
      </c>
      <c r="I1196" s="55" t="str">
        <f aca="false">IF(C1196="","",IFERROR(INDEX('DANH MỤC'!$B$5:$B$200,MATCH(C1196,'DANH MỤC'!$A$5:$A$200,0)),"⚠ Mã chưa có trong DANH MỤC"))</f>
        <v/>
      </c>
      <c r="J1196" s="52"/>
      <c r="K1196" s="52"/>
      <c r="L1196" s="52"/>
    </row>
    <row r="1197" customFormat="false" ht="15" hidden="false" customHeight="false" outlineLevel="0" collapsed="false">
      <c r="A1197" s="50"/>
      <c r="B1197" s="51" t="str">
        <f aca="false">IF(A1197="","",MONTH(A1197))</f>
        <v/>
      </c>
      <c r="C1197" s="52"/>
      <c r="D1197" s="52"/>
      <c r="E1197" s="52"/>
      <c r="F1197" s="53"/>
      <c r="G1197" s="52"/>
      <c r="H1197" s="54" t="str">
        <f aca="false">IF(E1197="","",E1197*N(F1197)*IF(G1197="",1,G1197))</f>
        <v/>
      </c>
      <c r="I1197" s="55" t="str">
        <f aca="false">IF(C1197="","",IFERROR(INDEX('DANH MỤC'!$B$5:$B$200,MATCH(C1197,'DANH MỤC'!$A$5:$A$200,0)),"⚠ Mã chưa có trong DANH MỤC"))</f>
        <v/>
      </c>
      <c r="J1197" s="52"/>
      <c r="K1197" s="52"/>
      <c r="L1197" s="52"/>
    </row>
    <row r="1198" customFormat="false" ht="15" hidden="false" customHeight="false" outlineLevel="0" collapsed="false">
      <c r="A1198" s="50"/>
      <c r="B1198" s="51" t="str">
        <f aca="false">IF(A1198="","",MONTH(A1198))</f>
        <v/>
      </c>
      <c r="C1198" s="52"/>
      <c r="D1198" s="52"/>
      <c r="E1198" s="52"/>
      <c r="F1198" s="53"/>
      <c r="G1198" s="52"/>
      <c r="H1198" s="54" t="str">
        <f aca="false">IF(E1198="","",E1198*N(F1198)*IF(G1198="",1,G1198))</f>
        <v/>
      </c>
      <c r="I1198" s="55" t="str">
        <f aca="false">IF(C1198="","",IFERROR(INDEX('DANH MỤC'!$B$5:$B$200,MATCH(C1198,'DANH MỤC'!$A$5:$A$200,0)),"⚠ Mã chưa có trong DANH MỤC"))</f>
        <v/>
      </c>
      <c r="J1198" s="52"/>
      <c r="K1198" s="52"/>
      <c r="L1198" s="52"/>
    </row>
    <row r="1199" customFormat="false" ht="15" hidden="false" customHeight="false" outlineLevel="0" collapsed="false">
      <c r="A1199" s="50"/>
      <c r="B1199" s="51" t="str">
        <f aca="false">IF(A1199="","",MONTH(A1199))</f>
        <v/>
      </c>
      <c r="C1199" s="52"/>
      <c r="D1199" s="52"/>
      <c r="E1199" s="52"/>
      <c r="F1199" s="53"/>
      <c r="G1199" s="52"/>
      <c r="H1199" s="54" t="str">
        <f aca="false">IF(E1199="","",E1199*N(F1199)*IF(G1199="",1,G1199))</f>
        <v/>
      </c>
      <c r="I1199" s="55" t="str">
        <f aca="false">IF(C1199="","",IFERROR(INDEX('DANH MỤC'!$B$5:$B$200,MATCH(C1199,'DANH MỤC'!$A$5:$A$200,0)),"⚠ Mã chưa có trong DANH MỤC"))</f>
        <v/>
      </c>
      <c r="J1199" s="52"/>
      <c r="K1199" s="52"/>
      <c r="L1199" s="52"/>
    </row>
    <row r="1200" customFormat="false" ht="15" hidden="false" customHeight="false" outlineLevel="0" collapsed="false">
      <c r="A1200" s="50"/>
      <c r="B1200" s="51" t="str">
        <f aca="false">IF(A1200="","",MONTH(A1200))</f>
        <v/>
      </c>
      <c r="C1200" s="52"/>
      <c r="D1200" s="52"/>
      <c r="E1200" s="52"/>
      <c r="F1200" s="53"/>
      <c r="G1200" s="52"/>
      <c r="H1200" s="54" t="str">
        <f aca="false">IF(E1200="","",E1200*N(F1200)*IF(G1200="",1,G1200))</f>
        <v/>
      </c>
      <c r="I1200" s="55" t="str">
        <f aca="false">IF(C1200="","",IFERROR(INDEX('DANH MỤC'!$B$5:$B$200,MATCH(C1200,'DANH MỤC'!$A$5:$A$200,0)),"⚠ Mã chưa có trong DANH MỤC"))</f>
        <v/>
      </c>
      <c r="J1200" s="52"/>
      <c r="K1200" s="52"/>
      <c r="L1200" s="52"/>
    </row>
    <row r="1201" customFormat="false" ht="15" hidden="false" customHeight="false" outlineLevel="0" collapsed="false">
      <c r="A1201" s="50"/>
      <c r="B1201" s="51" t="str">
        <f aca="false">IF(A1201="","",MONTH(A1201))</f>
        <v/>
      </c>
      <c r="C1201" s="52"/>
      <c r="D1201" s="52"/>
      <c r="E1201" s="52"/>
      <c r="F1201" s="53"/>
      <c r="G1201" s="52"/>
      <c r="H1201" s="54" t="str">
        <f aca="false">IF(E1201="","",E1201*N(F1201)*IF(G1201="",1,G1201))</f>
        <v/>
      </c>
      <c r="I1201" s="55" t="str">
        <f aca="false">IF(C1201="","",IFERROR(INDEX('DANH MỤC'!$B$5:$B$200,MATCH(C1201,'DANH MỤC'!$A$5:$A$200,0)),"⚠ Mã chưa có trong DANH MỤC"))</f>
        <v/>
      </c>
      <c r="J1201" s="52"/>
      <c r="K1201" s="52"/>
      <c r="L1201" s="52"/>
    </row>
    <row r="1202" customFormat="false" ht="15" hidden="false" customHeight="false" outlineLevel="0" collapsed="false">
      <c r="A1202" s="50"/>
      <c r="B1202" s="51" t="str">
        <f aca="false">IF(A1202="","",MONTH(A1202))</f>
        <v/>
      </c>
      <c r="C1202" s="52"/>
      <c r="D1202" s="52"/>
      <c r="E1202" s="52"/>
      <c r="F1202" s="53"/>
      <c r="G1202" s="52"/>
      <c r="H1202" s="54" t="str">
        <f aca="false">IF(E1202="","",E1202*N(F1202)*IF(G1202="",1,G1202))</f>
        <v/>
      </c>
      <c r="I1202" s="55" t="str">
        <f aca="false">IF(C1202="","",IFERROR(INDEX('DANH MỤC'!$B$5:$B$200,MATCH(C1202,'DANH MỤC'!$A$5:$A$200,0)),"⚠ Mã chưa có trong DANH MỤC"))</f>
        <v/>
      </c>
      <c r="J1202" s="52"/>
      <c r="K1202" s="52"/>
      <c r="L1202" s="52"/>
    </row>
    <row r="1203" customFormat="false" ht="15" hidden="false" customHeight="false" outlineLevel="0" collapsed="false">
      <c r="A1203" s="50"/>
      <c r="B1203" s="51" t="str">
        <f aca="false">IF(A1203="","",MONTH(A1203))</f>
        <v/>
      </c>
      <c r="C1203" s="52"/>
      <c r="D1203" s="52"/>
      <c r="E1203" s="52"/>
      <c r="F1203" s="53"/>
      <c r="G1203" s="52"/>
      <c r="H1203" s="54" t="str">
        <f aca="false">IF(E1203="","",E1203*N(F1203)*IF(G1203="",1,G1203))</f>
        <v/>
      </c>
      <c r="I1203" s="55" t="str">
        <f aca="false">IF(C1203="","",IFERROR(INDEX('DANH MỤC'!$B$5:$B$200,MATCH(C1203,'DANH MỤC'!$A$5:$A$200,0)),"⚠ Mã chưa có trong DANH MỤC"))</f>
        <v/>
      </c>
      <c r="J1203" s="52"/>
      <c r="K1203" s="52"/>
      <c r="L1203" s="52"/>
    </row>
    <row r="1204" customFormat="false" ht="15" hidden="false" customHeight="false" outlineLevel="0" collapsed="false">
      <c r="A1204" s="50"/>
      <c r="B1204" s="51" t="str">
        <f aca="false">IF(A1204="","",MONTH(A1204))</f>
        <v/>
      </c>
      <c r="C1204" s="52"/>
      <c r="D1204" s="52"/>
      <c r="E1204" s="52"/>
      <c r="F1204" s="53"/>
      <c r="G1204" s="52"/>
      <c r="H1204" s="54" t="str">
        <f aca="false">IF(E1204="","",E1204*N(F1204)*IF(G1204="",1,G1204))</f>
        <v/>
      </c>
      <c r="I1204" s="55" t="str">
        <f aca="false">IF(C1204="","",IFERROR(INDEX('DANH MỤC'!$B$5:$B$200,MATCH(C1204,'DANH MỤC'!$A$5:$A$200,0)),"⚠ Mã chưa có trong DANH MỤC"))</f>
        <v/>
      </c>
      <c r="J1204" s="52"/>
      <c r="K1204" s="52"/>
      <c r="L1204" s="52"/>
    </row>
    <row r="1205" customFormat="false" ht="15" hidden="false" customHeight="false" outlineLevel="0" collapsed="false">
      <c r="A1205" s="50"/>
      <c r="B1205" s="51" t="str">
        <f aca="false">IF(A1205="","",MONTH(A1205))</f>
        <v/>
      </c>
      <c r="C1205" s="52"/>
      <c r="D1205" s="52"/>
      <c r="E1205" s="52"/>
      <c r="F1205" s="53"/>
      <c r="G1205" s="52"/>
      <c r="H1205" s="54" t="str">
        <f aca="false">IF(E1205="","",E1205*N(F1205)*IF(G1205="",1,G1205))</f>
        <v/>
      </c>
      <c r="I1205" s="55" t="str">
        <f aca="false">IF(C1205="","",IFERROR(INDEX('DANH MỤC'!$B$5:$B$200,MATCH(C1205,'DANH MỤC'!$A$5:$A$200,0)),"⚠ Mã chưa có trong DANH MỤC"))</f>
        <v/>
      </c>
      <c r="J1205" s="52"/>
      <c r="K1205" s="52"/>
      <c r="L1205" s="52"/>
    </row>
    <row r="1206" customFormat="false" ht="15" hidden="false" customHeight="false" outlineLevel="0" collapsed="false">
      <c r="A1206" s="50"/>
      <c r="B1206" s="51" t="str">
        <f aca="false">IF(A1206="","",MONTH(A1206))</f>
        <v/>
      </c>
      <c r="C1206" s="52"/>
      <c r="D1206" s="52"/>
      <c r="E1206" s="52"/>
      <c r="F1206" s="53"/>
      <c r="G1206" s="52"/>
      <c r="H1206" s="54" t="str">
        <f aca="false">IF(E1206="","",E1206*N(F1206)*IF(G1206="",1,G1206))</f>
        <v/>
      </c>
      <c r="I1206" s="55" t="str">
        <f aca="false">IF(C1206="","",IFERROR(INDEX('DANH MỤC'!$B$5:$B$200,MATCH(C1206,'DANH MỤC'!$A$5:$A$200,0)),"⚠ Mã chưa có trong DANH MỤC"))</f>
        <v/>
      </c>
      <c r="J1206" s="52"/>
      <c r="K1206" s="52"/>
      <c r="L1206" s="52"/>
    </row>
    <row r="1207" customFormat="false" ht="15" hidden="false" customHeight="false" outlineLevel="0" collapsed="false">
      <c r="A1207" s="50"/>
      <c r="B1207" s="51" t="str">
        <f aca="false">IF(A1207="","",MONTH(A1207))</f>
        <v/>
      </c>
      <c r="C1207" s="52"/>
      <c r="D1207" s="52"/>
      <c r="E1207" s="52"/>
      <c r="F1207" s="53"/>
      <c r="G1207" s="52"/>
      <c r="H1207" s="54" t="str">
        <f aca="false">IF(E1207="","",E1207*N(F1207)*IF(G1207="",1,G1207))</f>
        <v/>
      </c>
      <c r="I1207" s="55" t="str">
        <f aca="false">IF(C1207="","",IFERROR(INDEX('DANH MỤC'!$B$5:$B$200,MATCH(C1207,'DANH MỤC'!$A$5:$A$200,0)),"⚠ Mã chưa có trong DANH MỤC"))</f>
        <v/>
      </c>
      <c r="J1207" s="52"/>
      <c r="K1207" s="52"/>
      <c r="L1207" s="52"/>
    </row>
    <row r="1208" customFormat="false" ht="15" hidden="false" customHeight="false" outlineLevel="0" collapsed="false">
      <c r="A1208" s="50"/>
      <c r="B1208" s="51" t="str">
        <f aca="false">IF(A1208="","",MONTH(A1208))</f>
        <v/>
      </c>
      <c r="C1208" s="52"/>
      <c r="D1208" s="52"/>
      <c r="E1208" s="52"/>
      <c r="F1208" s="53"/>
      <c r="G1208" s="52"/>
      <c r="H1208" s="54" t="str">
        <f aca="false">IF(E1208="","",E1208*N(F1208)*IF(G1208="",1,G1208))</f>
        <v/>
      </c>
      <c r="I1208" s="55" t="str">
        <f aca="false">IF(C1208="","",IFERROR(INDEX('DANH MỤC'!$B$5:$B$200,MATCH(C1208,'DANH MỤC'!$A$5:$A$200,0)),"⚠ Mã chưa có trong DANH MỤC"))</f>
        <v/>
      </c>
      <c r="J1208" s="52"/>
      <c r="K1208" s="52"/>
      <c r="L1208" s="52"/>
    </row>
    <row r="1209" customFormat="false" ht="15" hidden="false" customHeight="false" outlineLevel="0" collapsed="false">
      <c r="A1209" s="50"/>
      <c r="B1209" s="51" t="str">
        <f aca="false">IF(A1209="","",MONTH(A1209))</f>
        <v/>
      </c>
      <c r="C1209" s="52"/>
      <c r="D1209" s="52"/>
      <c r="E1209" s="52"/>
      <c r="F1209" s="53"/>
      <c r="G1209" s="52"/>
      <c r="H1209" s="54" t="str">
        <f aca="false">IF(E1209="","",E1209*N(F1209)*IF(G1209="",1,G1209))</f>
        <v/>
      </c>
      <c r="I1209" s="55" t="str">
        <f aca="false">IF(C1209="","",IFERROR(INDEX('DANH MỤC'!$B$5:$B$200,MATCH(C1209,'DANH MỤC'!$A$5:$A$200,0)),"⚠ Mã chưa có trong DANH MỤC"))</f>
        <v/>
      </c>
      <c r="J1209" s="52"/>
      <c r="K1209" s="52"/>
      <c r="L1209" s="52"/>
    </row>
    <row r="1210" customFormat="false" ht="15" hidden="false" customHeight="false" outlineLevel="0" collapsed="false">
      <c r="A1210" s="50"/>
      <c r="B1210" s="51" t="str">
        <f aca="false">IF(A1210="","",MONTH(A1210))</f>
        <v/>
      </c>
      <c r="C1210" s="52"/>
      <c r="D1210" s="52"/>
      <c r="E1210" s="52"/>
      <c r="F1210" s="53"/>
      <c r="G1210" s="52"/>
      <c r="H1210" s="54" t="str">
        <f aca="false">IF(E1210="","",E1210*N(F1210)*IF(G1210="",1,G1210))</f>
        <v/>
      </c>
      <c r="I1210" s="55" t="str">
        <f aca="false">IF(C1210="","",IFERROR(INDEX('DANH MỤC'!$B$5:$B$200,MATCH(C1210,'DANH MỤC'!$A$5:$A$200,0)),"⚠ Mã chưa có trong DANH MỤC"))</f>
        <v/>
      </c>
      <c r="J1210" s="52"/>
      <c r="K1210" s="52"/>
      <c r="L1210" s="52"/>
    </row>
    <row r="1211" customFormat="false" ht="15" hidden="false" customHeight="false" outlineLevel="0" collapsed="false">
      <c r="A1211" s="50"/>
      <c r="B1211" s="51" t="str">
        <f aca="false">IF(A1211="","",MONTH(A1211))</f>
        <v/>
      </c>
      <c r="C1211" s="52"/>
      <c r="D1211" s="52"/>
      <c r="E1211" s="52"/>
      <c r="F1211" s="53"/>
      <c r="G1211" s="52"/>
      <c r="H1211" s="54" t="str">
        <f aca="false">IF(E1211="","",E1211*N(F1211)*IF(G1211="",1,G1211))</f>
        <v/>
      </c>
      <c r="I1211" s="55" t="str">
        <f aca="false">IF(C1211="","",IFERROR(INDEX('DANH MỤC'!$B$5:$B$200,MATCH(C1211,'DANH MỤC'!$A$5:$A$200,0)),"⚠ Mã chưa có trong DANH MỤC"))</f>
        <v/>
      </c>
      <c r="J1211" s="52"/>
      <c r="K1211" s="52"/>
      <c r="L1211" s="52"/>
    </row>
    <row r="1212" customFormat="false" ht="15" hidden="false" customHeight="false" outlineLevel="0" collapsed="false">
      <c r="A1212" s="50"/>
      <c r="B1212" s="51" t="str">
        <f aca="false">IF(A1212="","",MONTH(A1212))</f>
        <v/>
      </c>
      <c r="C1212" s="52"/>
      <c r="D1212" s="52"/>
      <c r="E1212" s="52"/>
      <c r="F1212" s="53"/>
      <c r="G1212" s="52"/>
      <c r="H1212" s="54" t="str">
        <f aca="false">IF(E1212="","",E1212*N(F1212)*IF(G1212="",1,G1212))</f>
        <v/>
      </c>
      <c r="I1212" s="55" t="str">
        <f aca="false">IF(C1212="","",IFERROR(INDEX('DANH MỤC'!$B$5:$B$200,MATCH(C1212,'DANH MỤC'!$A$5:$A$200,0)),"⚠ Mã chưa có trong DANH MỤC"))</f>
        <v/>
      </c>
      <c r="J1212" s="52"/>
      <c r="K1212" s="52"/>
      <c r="L1212" s="52"/>
    </row>
    <row r="1213" customFormat="false" ht="15" hidden="false" customHeight="false" outlineLevel="0" collapsed="false">
      <c r="A1213" s="50"/>
      <c r="B1213" s="51" t="str">
        <f aca="false">IF(A1213="","",MONTH(A1213))</f>
        <v/>
      </c>
      <c r="C1213" s="52"/>
      <c r="D1213" s="52"/>
      <c r="E1213" s="52"/>
      <c r="F1213" s="53"/>
      <c r="G1213" s="52"/>
      <c r="H1213" s="54" t="str">
        <f aca="false">IF(E1213="","",E1213*N(F1213)*IF(G1213="",1,G1213))</f>
        <v/>
      </c>
      <c r="I1213" s="55" t="str">
        <f aca="false">IF(C1213="","",IFERROR(INDEX('DANH MỤC'!$B$5:$B$200,MATCH(C1213,'DANH MỤC'!$A$5:$A$200,0)),"⚠ Mã chưa có trong DANH MỤC"))</f>
        <v/>
      </c>
      <c r="J1213" s="52"/>
      <c r="K1213" s="52"/>
      <c r="L1213" s="52"/>
    </row>
    <row r="1214" customFormat="false" ht="15" hidden="false" customHeight="false" outlineLevel="0" collapsed="false">
      <c r="A1214" s="50"/>
      <c r="B1214" s="51" t="str">
        <f aca="false">IF(A1214="","",MONTH(A1214))</f>
        <v/>
      </c>
      <c r="C1214" s="52"/>
      <c r="D1214" s="52"/>
      <c r="E1214" s="52"/>
      <c r="F1214" s="53"/>
      <c r="G1214" s="52"/>
      <c r="H1214" s="54" t="str">
        <f aca="false">IF(E1214="","",E1214*N(F1214)*IF(G1214="",1,G1214))</f>
        <v/>
      </c>
      <c r="I1214" s="55" t="str">
        <f aca="false">IF(C1214="","",IFERROR(INDEX('DANH MỤC'!$B$5:$B$200,MATCH(C1214,'DANH MỤC'!$A$5:$A$200,0)),"⚠ Mã chưa có trong DANH MỤC"))</f>
        <v/>
      </c>
      <c r="J1214" s="52"/>
      <c r="K1214" s="52"/>
      <c r="L1214" s="52"/>
    </row>
    <row r="1215" customFormat="false" ht="15" hidden="false" customHeight="false" outlineLevel="0" collapsed="false">
      <c r="A1215" s="50"/>
      <c r="B1215" s="51" t="str">
        <f aca="false">IF(A1215="","",MONTH(A1215))</f>
        <v/>
      </c>
      <c r="C1215" s="52"/>
      <c r="D1215" s="52"/>
      <c r="E1215" s="52"/>
      <c r="F1215" s="53"/>
      <c r="G1215" s="52"/>
      <c r="H1215" s="54" t="str">
        <f aca="false">IF(E1215="","",E1215*N(F1215)*IF(G1215="",1,G1215))</f>
        <v/>
      </c>
      <c r="I1215" s="55" t="str">
        <f aca="false">IF(C1215="","",IFERROR(INDEX('DANH MỤC'!$B$5:$B$200,MATCH(C1215,'DANH MỤC'!$A$5:$A$200,0)),"⚠ Mã chưa có trong DANH MỤC"))</f>
        <v/>
      </c>
      <c r="J1215" s="52"/>
      <c r="K1215" s="52"/>
      <c r="L1215" s="52"/>
    </row>
    <row r="1216" customFormat="false" ht="15" hidden="false" customHeight="false" outlineLevel="0" collapsed="false">
      <c r="A1216" s="50"/>
      <c r="B1216" s="51" t="str">
        <f aca="false">IF(A1216="","",MONTH(A1216))</f>
        <v/>
      </c>
      <c r="C1216" s="52"/>
      <c r="D1216" s="52"/>
      <c r="E1216" s="52"/>
      <c r="F1216" s="53"/>
      <c r="G1216" s="52"/>
      <c r="H1216" s="54" t="str">
        <f aca="false">IF(E1216="","",E1216*N(F1216)*IF(G1216="",1,G1216))</f>
        <v/>
      </c>
      <c r="I1216" s="55" t="str">
        <f aca="false">IF(C1216="","",IFERROR(INDEX('DANH MỤC'!$B$5:$B$200,MATCH(C1216,'DANH MỤC'!$A$5:$A$200,0)),"⚠ Mã chưa có trong DANH MỤC"))</f>
        <v/>
      </c>
      <c r="J1216" s="52"/>
      <c r="K1216" s="52"/>
      <c r="L1216" s="52"/>
    </row>
    <row r="1217" customFormat="false" ht="15" hidden="false" customHeight="false" outlineLevel="0" collapsed="false">
      <c r="A1217" s="50"/>
      <c r="B1217" s="51" t="str">
        <f aca="false">IF(A1217="","",MONTH(A1217))</f>
        <v/>
      </c>
      <c r="C1217" s="52"/>
      <c r="D1217" s="52"/>
      <c r="E1217" s="52"/>
      <c r="F1217" s="53"/>
      <c r="G1217" s="52"/>
      <c r="H1217" s="54" t="str">
        <f aca="false">IF(E1217="","",E1217*N(F1217)*IF(G1217="",1,G1217))</f>
        <v/>
      </c>
      <c r="I1217" s="55" t="str">
        <f aca="false">IF(C1217="","",IFERROR(INDEX('DANH MỤC'!$B$5:$B$200,MATCH(C1217,'DANH MỤC'!$A$5:$A$200,0)),"⚠ Mã chưa có trong DANH MỤC"))</f>
        <v/>
      </c>
      <c r="J1217" s="52"/>
      <c r="K1217" s="52"/>
      <c r="L1217" s="52"/>
    </row>
    <row r="1218" customFormat="false" ht="15" hidden="false" customHeight="false" outlineLevel="0" collapsed="false">
      <c r="A1218" s="50"/>
      <c r="B1218" s="51" t="str">
        <f aca="false">IF(A1218="","",MONTH(A1218))</f>
        <v/>
      </c>
      <c r="C1218" s="52"/>
      <c r="D1218" s="52"/>
      <c r="E1218" s="52"/>
      <c r="F1218" s="53"/>
      <c r="G1218" s="52"/>
      <c r="H1218" s="54" t="str">
        <f aca="false">IF(E1218="","",E1218*N(F1218)*IF(G1218="",1,G1218))</f>
        <v/>
      </c>
      <c r="I1218" s="55" t="str">
        <f aca="false">IF(C1218="","",IFERROR(INDEX('DANH MỤC'!$B$5:$B$200,MATCH(C1218,'DANH MỤC'!$A$5:$A$200,0)),"⚠ Mã chưa có trong DANH MỤC"))</f>
        <v/>
      </c>
      <c r="J1218" s="52"/>
      <c r="K1218" s="52"/>
      <c r="L1218" s="52"/>
    </row>
    <row r="1219" customFormat="false" ht="15" hidden="false" customHeight="false" outlineLevel="0" collapsed="false">
      <c r="A1219" s="50"/>
      <c r="B1219" s="51" t="str">
        <f aca="false">IF(A1219="","",MONTH(A1219))</f>
        <v/>
      </c>
      <c r="C1219" s="52"/>
      <c r="D1219" s="52"/>
      <c r="E1219" s="52"/>
      <c r="F1219" s="53"/>
      <c r="G1219" s="52"/>
      <c r="H1219" s="54" t="str">
        <f aca="false">IF(E1219="","",E1219*N(F1219)*IF(G1219="",1,G1219))</f>
        <v/>
      </c>
      <c r="I1219" s="55" t="str">
        <f aca="false">IF(C1219="","",IFERROR(INDEX('DANH MỤC'!$B$5:$B$200,MATCH(C1219,'DANH MỤC'!$A$5:$A$200,0)),"⚠ Mã chưa có trong DANH MỤC"))</f>
        <v/>
      </c>
      <c r="J1219" s="52"/>
      <c r="K1219" s="52"/>
      <c r="L1219" s="52"/>
    </row>
    <row r="1220" customFormat="false" ht="15" hidden="false" customHeight="false" outlineLevel="0" collapsed="false">
      <c r="A1220" s="50"/>
      <c r="B1220" s="51" t="str">
        <f aca="false">IF(A1220="","",MONTH(A1220))</f>
        <v/>
      </c>
      <c r="C1220" s="52"/>
      <c r="D1220" s="52"/>
      <c r="E1220" s="52"/>
      <c r="F1220" s="53"/>
      <c r="G1220" s="52"/>
      <c r="H1220" s="54" t="str">
        <f aca="false">IF(E1220="","",E1220*N(F1220)*IF(G1220="",1,G1220))</f>
        <v/>
      </c>
      <c r="I1220" s="55" t="str">
        <f aca="false">IF(C1220="","",IFERROR(INDEX('DANH MỤC'!$B$5:$B$200,MATCH(C1220,'DANH MỤC'!$A$5:$A$200,0)),"⚠ Mã chưa có trong DANH MỤC"))</f>
        <v/>
      </c>
      <c r="J1220" s="52"/>
      <c r="K1220" s="52"/>
      <c r="L1220" s="52"/>
    </row>
    <row r="1221" customFormat="false" ht="15" hidden="false" customHeight="false" outlineLevel="0" collapsed="false">
      <c r="A1221" s="50"/>
      <c r="B1221" s="51" t="str">
        <f aca="false">IF(A1221="","",MONTH(A1221))</f>
        <v/>
      </c>
      <c r="C1221" s="52"/>
      <c r="D1221" s="52"/>
      <c r="E1221" s="52"/>
      <c r="F1221" s="53"/>
      <c r="G1221" s="52"/>
      <c r="H1221" s="54" t="str">
        <f aca="false">IF(E1221="","",E1221*N(F1221)*IF(G1221="",1,G1221))</f>
        <v/>
      </c>
      <c r="I1221" s="55" t="str">
        <f aca="false">IF(C1221="","",IFERROR(INDEX('DANH MỤC'!$B$5:$B$200,MATCH(C1221,'DANH MỤC'!$A$5:$A$200,0)),"⚠ Mã chưa có trong DANH MỤC"))</f>
        <v/>
      </c>
      <c r="J1221" s="52"/>
      <c r="K1221" s="52"/>
      <c r="L1221" s="52"/>
    </row>
    <row r="1222" customFormat="false" ht="15" hidden="false" customHeight="false" outlineLevel="0" collapsed="false">
      <c r="A1222" s="50"/>
      <c r="B1222" s="51" t="str">
        <f aca="false">IF(A1222="","",MONTH(A1222))</f>
        <v/>
      </c>
      <c r="C1222" s="52"/>
      <c r="D1222" s="52"/>
      <c r="E1222" s="52"/>
      <c r="F1222" s="53"/>
      <c r="G1222" s="52"/>
      <c r="H1222" s="54" t="str">
        <f aca="false">IF(E1222="","",E1222*N(F1222)*IF(G1222="",1,G1222))</f>
        <v/>
      </c>
      <c r="I1222" s="55" t="str">
        <f aca="false">IF(C1222="","",IFERROR(INDEX('DANH MỤC'!$B$5:$B$200,MATCH(C1222,'DANH MỤC'!$A$5:$A$200,0)),"⚠ Mã chưa có trong DANH MỤC"))</f>
        <v/>
      </c>
      <c r="J1222" s="52"/>
      <c r="K1222" s="52"/>
      <c r="L1222" s="52"/>
    </row>
    <row r="1223" customFormat="false" ht="15" hidden="false" customHeight="false" outlineLevel="0" collapsed="false">
      <c r="A1223" s="50"/>
      <c r="B1223" s="51" t="str">
        <f aca="false">IF(A1223="","",MONTH(A1223))</f>
        <v/>
      </c>
      <c r="C1223" s="52"/>
      <c r="D1223" s="52"/>
      <c r="E1223" s="52"/>
      <c r="F1223" s="53"/>
      <c r="G1223" s="52"/>
      <c r="H1223" s="54" t="str">
        <f aca="false">IF(E1223="","",E1223*N(F1223)*IF(G1223="",1,G1223))</f>
        <v/>
      </c>
      <c r="I1223" s="55" t="str">
        <f aca="false">IF(C1223="","",IFERROR(INDEX('DANH MỤC'!$B$5:$B$200,MATCH(C1223,'DANH MỤC'!$A$5:$A$200,0)),"⚠ Mã chưa có trong DANH MỤC"))</f>
        <v/>
      </c>
      <c r="J1223" s="52"/>
      <c r="K1223" s="52"/>
      <c r="L1223" s="52"/>
    </row>
    <row r="1224" customFormat="false" ht="15" hidden="false" customHeight="false" outlineLevel="0" collapsed="false">
      <c r="A1224" s="50"/>
      <c r="B1224" s="51" t="str">
        <f aca="false">IF(A1224="","",MONTH(A1224))</f>
        <v/>
      </c>
      <c r="C1224" s="52"/>
      <c r="D1224" s="52"/>
      <c r="E1224" s="52"/>
      <c r="F1224" s="53"/>
      <c r="G1224" s="52"/>
      <c r="H1224" s="54" t="str">
        <f aca="false">IF(E1224="","",E1224*N(F1224)*IF(G1224="",1,G1224))</f>
        <v/>
      </c>
      <c r="I1224" s="55" t="str">
        <f aca="false">IF(C1224="","",IFERROR(INDEX('DANH MỤC'!$B$5:$B$200,MATCH(C1224,'DANH MỤC'!$A$5:$A$200,0)),"⚠ Mã chưa có trong DANH MỤC"))</f>
        <v/>
      </c>
      <c r="J1224" s="52"/>
      <c r="K1224" s="52"/>
      <c r="L1224" s="52"/>
    </row>
    <row r="1225" customFormat="false" ht="15" hidden="false" customHeight="false" outlineLevel="0" collapsed="false">
      <c r="A1225" s="50"/>
      <c r="B1225" s="51" t="str">
        <f aca="false">IF(A1225="","",MONTH(A1225))</f>
        <v/>
      </c>
      <c r="C1225" s="52"/>
      <c r="D1225" s="52"/>
      <c r="E1225" s="52"/>
      <c r="F1225" s="53"/>
      <c r="G1225" s="52"/>
      <c r="H1225" s="54" t="str">
        <f aca="false">IF(E1225="","",E1225*N(F1225)*IF(G1225="",1,G1225))</f>
        <v/>
      </c>
      <c r="I1225" s="55" t="str">
        <f aca="false">IF(C1225="","",IFERROR(INDEX('DANH MỤC'!$B$5:$B$200,MATCH(C1225,'DANH MỤC'!$A$5:$A$200,0)),"⚠ Mã chưa có trong DANH MỤC"))</f>
        <v/>
      </c>
      <c r="J1225" s="52"/>
      <c r="K1225" s="52"/>
      <c r="L1225" s="52"/>
    </row>
    <row r="1226" customFormat="false" ht="15" hidden="false" customHeight="false" outlineLevel="0" collapsed="false">
      <c r="A1226" s="50"/>
      <c r="B1226" s="51" t="str">
        <f aca="false">IF(A1226="","",MONTH(A1226))</f>
        <v/>
      </c>
      <c r="C1226" s="52"/>
      <c r="D1226" s="52"/>
      <c r="E1226" s="52"/>
      <c r="F1226" s="53"/>
      <c r="G1226" s="52"/>
      <c r="H1226" s="54" t="str">
        <f aca="false">IF(E1226="","",E1226*N(F1226)*IF(G1226="",1,G1226))</f>
        <v/>
      </c>
      <c r="I1226" s="55" t="str">
        <f aca="false">IF(C1226="","",IFERROR(INDEX('DANH MỤC'!$B$5:$B$200,MATCH(C1226,'DANH MỤC'!$A$5:$A$200,0)),"⚠ Mã chưa có trong DANH MỤC"))</f>
        <v/>
      </c>
      <c r="J1226" s="52"/>
      <c r="K1226" s="52"/>
      <c r="L1226" s="52"/>
    </row>
    <row r="1227" customFormat="false" ht="15" hidden="false" customHeight="false" outlineLevel="0" collapsed="false">
      <c r="A1227" s="50"/>
      <c r="B1227" s="51" t="str">
        <f aca="false">IF(A1227="","",MONTH(A1227))</f>
        <v/>
      </c>
      <c r="C1227" s="52"/>
      <c r="D1227" s="52"/>
      <c r="E1227" s="52"/>
      <c r="F1227" s="53"/>
      <c r="G1227" s="52"/>
      <c r="H1227" s="54" t="str">
        <f aca="false">IF(E1227="","",E1227*N(F1227)*IF(G1227="",1,G1227))</f>
        <v/>
      </c>
      <c r="I1227" s="55" t="str">
        <f aca="false">IF(C1227="","",IFERROR(INDEX('DANH MỤC'!$B$5:$B$200,MATCH(C1227,'DANH MỤC'!$A$5:$A$200,0)),"⚠ Mã chưa có trong DANH MỤC"))</f>
        <v/>
      </c>
      <c r="J1227" s="52"/>
      <c r="K1227" s="52"/>
      <c r="L1227" s="52"/>
    </row>
    <row r="1228" customFormat="false" ht="15" hidden="false" customHeight="false" outlineLevel="0" collapsed="false">
      <c r="A1228" s="50"/>
      <c r="B1228" s="51" t="str">
        <f aca="false">IF(A1228="","",MONTH(A1228))</f>
        <v/>
      </c>
      <c r="C1228" s="52"/>
      <c r="D1228" s="52"/>
      <c r="E1228" s="52"/>
      <c r="F1228" s="53"/>
      <c r="G1228" s="52"/>
      <c r="H1228" s="54" t="str">
        <f aca="false">IF(E1228="","",E1228*N(F1228)*IF(G1228="",1,G1228))</f>
        <v/>
      </c>
      <c r="I1228" s="55" t="str">
        <f aca="false">IF(C1228="","",IFERROR(INDEX('DANH MỤC'!$B$5:$B$200,MATCH(C1228,'DANH MỤC'!$A$5:$A$200,0)),"⚠ Mã chưa có trong DANH MỤC"))</f>
        <v/>
      </c>
      <c r="J1228" s="52"/>
      <c r="K1228" s="52"/>
      <c r="L1228" s="52"/>
    </row>
    <row r="1229" customFormat="false" ht="15" hidden="false" customHeight="false" outlineLevel="0" collapsed="false">
      <c r="A1229" s="50"/>
      <c r="B1229" s="51" t="str">
        <f aca="false">IF(A1229="","",MONTH(A1229))</f>
        <v/>
      </c>
      <c r="C1229" s="52"/>
      <c r="D1229" s="52"/>
      <c r="E1229" s="52"/>
      <c r="F1229" s="53"/>
      <c r="G1229" s="52"/>
      <c r="H1229" s="54" t="str">
        <f aca="false">IF(E1229="","",E1229*N(F1229)*IF(G1229="",1,G1229))</f>
        <v/>
      </c>
      <c r="I1229" s="55" t="str">
        <f aca="false">IF(C1229="","",IFERROR(INDEX('DANH MỤC'!$B$5:$B$200,MATCH(C1229,'DANH MỤC'!$A$5:$A$200,0)),"⚠ Mã chưa có trong DANH MỤC"))</f>
        <v/>
      </c>
      <c r="J1229" s="52"/>
      <c r="K1229" s="52"/>
      <c r="L1229" s="52"/>
    </row>
    <row r="1230" customFormat="false" ht="15" hidden="false" customHeight="false" outlineLevel="0" collapsed="false">
      <c r="A1230" s="50"/>
      <c r="B1230" s="51" t="str">
        <f aca="false">IF(A1230="","",MONTH(A1230))</f>
        <v/>
      </c>
      <c r="C1230" s="52"/>
      <c r="D1230" s="52"/>
      <c r="E1230" s="52"/>
      <c r="F1230" s="53"/>
      <c r="G1230" s="52"/>
      <c r="H1230" s="54" t="str">
        <f aca="false">IF(E1230="","",E1230*N(F1230)*IF(G1230="",1,G1230))</f>
        <v/>
      </c>
      <c r="I1230" s="55" t="str">
        <f aca="false">IF(C1230="","",IFERROR(INDEX('DANH MỤC'!$B$5:$B$200,MATCH(C1230,'DANH MỤC'!$A$5:$A$200,0)),"⚠ Mã chưa có trong DANH MỤC"))</f>
        <v/>
      </c>
      <c r="J1230" s="52"/>
      <c r="K1230" s="52"/>
      <c r="L1230" s="52"/>
    </row>
    <row r="1231" customFormat="false" ht="15" hidden="false" customHeight="false" outlineLevel="0" collapsed="false">
      <c r="A1231" s="50"/>
      <c r="B1231" s="51" t="str">
        <f aca="false">IF(A1231="","",MONTH(A1231))</f>
        <v/>
      </c>
      <c r="C1231" s="52"/>
      <c r="D1231" s="52"/>
      <c r="E1231" s="52"/>
      <c r="F1231" s="53"/>
      <c r="G1231" s="52"/>
      <c r="H1231" s="54" t="str">
        <f aca="false">IF(E1231="","",E1231*N(F1231)*IF(G1231="",1,G1231))</f>
        <v/>
      </c>
      <c r="I1231" s="55" t="str">
        <f aca="false">IF(C1231="","",IFERROR(INDEX('DANH MỤC'!$B$5:$B$200,MATCH(C1231,'DANH MỤC'!$A$5:$A$200,0)),"⚠ Mã chưa có trong DANH MỤC"))</f>
        <v/>
      </c>
      <c r="J1231" s="52"/>
      <c r="K1231" s="52"/>
      <c r="L1231" s="52"/>
    </row>
    <row r="1232" customFormat="false" ht="15" hidden="false" customHeight="false" outlineLevel="0" collapsed="false">
      <c r="A1232" s="50"/>
      <c r="B1232" s="51" t="str">
        <f aca="false">IF(A1232="","",MONTH(A1232))</f>
        <v/>
      </c>
      <c r="C1232" s="52"/>
      <c r="D1232" s="52"/>
      <c r="E1232" s="52"/>
      <c r="F1232" s="53"/>
      <c r="G1232" s="52"/>
      <c r="H1232" s="54" t="str">
        <f aca="false">IF(E1232="","",E1232*N(F1232)*IF(G1232="",1,G1232))</f>
        <v/>
      </c>
      <c r="I1232" s="55" t="str">
        <f aca="false">IF(C1232="","",IFERROR(INDEX('DANH MỤC'!$B$5:$B$200,MATCH(C1232,'DANH MỤC'!$A$5:$A$200,0)),"⚠ Mã chưa có trong DANH MỤC"))</f>
        <v/>
      </c>
      <c r="J1232" s="52"/>
      <c r="K1232" s="52"/>
      <c r="L1232" s="52"/>
    </row>
    <row r="1233" customFormat="false" ht="15" hidden="false" customHeight="false" outlineLevel="0" collapsed="false">
      <c r="A1233" s="50"/>
      <c r="B1233" s="51" t="str">
        <f aca="false">IF(A1233="","",MONTH(A1233))</f>
        <v/>
      </c>
      <c r="C1233" s="52"/>
      <c r="D1233" s="52"/>
      <c r="E1233" s="52"/>
      <c r="F1233" s="53"/>
      <c r="G1233" s="52"/>
      <c r="H1233" s="54" t="str">
        <f aca="false">IF(E1233="","",E1233*N(F1233)*IF(G1233="",1,G1233))</f>
        <v/>
      </c>
      <c r="I1233" s="55" t="str">
        <f aca="false">IF(C1233="","",IFERROR(INDEX('DANH MỤC'!$B$5:$B$200,MATCH(C1233,'DANH MỤC'!$A$5:$A$200,0)),"⚠ Mã chưa có trong DANH MỤC"))</f>
        <v/>
      </c>
      <c r="J1233" s="52"/>
      <c r="K1233" s="52"/>
      <c r="L1233" s="52"/>
    </row>
    <row r="1234" customFormat="false" ht="15" hidden="false" customHeight="false" outlineLevel="0" collapsed="false">
      <c r="A1234" s="50"/>
      <c r="B1234" s="51" t="str">
        <f aca="false">IF(A1234="","",MONTH(A1234))</f>
        <v/>
      </c>
      <c r="C1234" s="52"/>
      <c r="D1234" s="52"/>
      <c r="E1234" s="52"/>
      <c r="F1234" s="53"/>
      <c r="G1234" s="52"/>
      <c r="H1234" s="54" t="str">
        <f aca="false">IF(E1234="","",E1234*N(F1234)*IF(G1234="",1,G1234))</f>
        <v/>
      </c>
      <c r="I1234" s="55" t="str">
        <f aca="false">IF(C1234="","",IFERROR(INDEX('DANH MỤC'!$B$5:$B$200,MATCH(C1234,'DANH MỤC'!$A$5:$A$200,0)),"⚠ Mã chưa có trong DANH MỤC"))</f>
        <v/>
      </c>
      <c r="J1234" s="52"/>
      <c r="K1234" s="52"/>
      <c r="L1234" s="52"/>
    </row>
    <row r="1235" customFormat="false" ht="15" hidden="false" customHeight="false" outlineLevel="0" collapsed="false">
      <c r="A1235" s="50"/>
      <c r="B1235" s="51" t="str">
        <f aca="false">IF(A1235="","",MONTH(A1235))</f>
        <v/>
      </c>
      <c r="C1235" s="52"/>
      <c r="D1235" s="52"/>
      <c r="E1235" s="52"/>
      <c r="F1235" s="53"/>
      <c r="G1235" s="52"/>
      <c r="H1235" s="54" t="str">
        <f aca="false">IF(E1235="","",E1235*N(F1235)*IF(G1235="",1,G1235))</f>
        <v/>
      </c>
      <c r="I1235" s="55" t="str">
        <f aca="false">IF(C1235="","",IFERROR(INDEX('DANH MỤC'!$B$5:$B$200,MATCH(C1235,'DANH MỤC'!$A$5:$A$200,0)),"⚠ Mã chưa có trong DANH MỤC"))</f>
        <v/>
      </c>
      <c r="J1235" s="52"/>
      <c r="K1235" s="52"/>
      <c r="L1235" s="52"/>
    </row>
    <row r="1236" customFormat="false" ht="15" hidden="false" customHeight="false" outlineLevel="0" collapsed="false">
      <c r="A1236" s="50"/>
      <c r="B1236" s="51" t="str">
        <f aca="false">IF(A1236="","",MONTH(A1236))</f>
        <v/>
      </c>
      <c r="C1236" s="52"/>
      <c r="D1236" s="52"/>
      <c r="E1236" s="52"/>
      <c r="F1236" s="53"/>
      <c r="G1236" s="52"/>
      <c r="H1236" s="54" t="str">
        <f aca="false">IF(E1236="","",E1236*N(F1236)*IF(G1236="",1,G1236))</f>
        <v/>
      </c>
      <c r="I1236" s="55" t="str">
        <f aca="false">IF(C1236="","",IFERROR(INDEX('DANH MỤC'!$B$5:$B$200,MATCH(C1236,'DANH MỤC'!$A$5:$A$200,0)),"⚠ Mã chưa có trong DANH MỤC"))</f>
        <v/>
      </c>
      <c r="J1236" s="52"/>
      <c r="K1236" s="52"/>
      <c r="L1236" s="52"/>
    </row>
    <row r="1237" customFormat="false" ht="15" hidden="false" customHeight="false" outlineLevel="0" collapsed="false">
      <c r="A1237" s="50"/>
      <c r="B1237" s="51" t="str">
        <f aca="false">IF(A1237="","",MONTH(A1237))</f>
        <v/>
      </c>
      <c r="C1237" s="52"/>
      <c r="D1237" s="52"/>
      <c r="E1237" s="52"/>
      <c r="F1237" s="53"/>
      <c r="G1237" s="52"/>
      <c r="H1237" s="54" t="str">
        <f aca="false">IF(E1237="","",E1237*N(F1237)*IF(G1237="",1,G1237))</f>
        <v/>
      </c>
      <c r="I1237" s="55" t="str">
        <f aca="false">IF(C1237="","",IFERROR(INDEX('DANH MỤC'!$B$5:$B$200,MATCH(C1237,'DANH MỤC'!$A$5:$A$200,0)),"⚠ Mã chưa có trong DANH MỤC"))</f>
        <v/>
      </c>
      <c r="J1237" s="52"/>
      <c r="K1237" s="52"/>
      <c r="L1237" s="52"/>
    </row>
    <row r="1238" customFormat="false" ht="15" hidden="false" customHeight="false" outlineLevel="0" collapsed="false">
      <c r="A1238" s="50"/>
      <c r="B1238" s="51" t="str">
        <f aca="false">IF(A1238="","",MONTH(A1238))</f>
        <v/>
      </c>
      <c r="C1238" s="52"/>
      <c r="D1238" s="52"/>
      <c r="E1238" s="52"/>
      <c r="F1238" s="53"/>
      <c r="G1238" s="52"/>
      <c r="H1238" s="54" t="str">
        <f aca="false">IF(E1238="","",E1238*N(F1238)*IF(G1238="",1,G1238))</f>
        <v/>
      </c>
      <c r="I1238" s="55" t="str">
        <f aca="false">IF(C1238="","",IFERROR(INDEX('DANH MỤC'!$B$5:$B$200,MATCH(C1238,'DANH MỤC'!$A$5:$A$200,0)),"⚠ Mã chưa có trong DANH MỤC"))</f>
        <v/>
      </c>
      <c r="J1238" s="52"/>
      <c r="K1238" s="52"/>
      <c r="L1238" s="52"/>
    </row>
    <row r="1239" customFormat="false" ht="15" hidden="false" customHeight="false" outlineLevel="0" collapsed="false">
      <c r="A1239" s="50"/>
      <c r="B1239" s="51" t="str">
        <f aca="false">IF(A1239="","",MONTH(A1239))</f>
        <v/>
      </c>
      <c r="C1239" s="52"/>
      <c r="D1239" s="52"/>
      <c r="E1239" s="52"/>
      <c r="F1239" s="53"/>
      <c r="G1239" s="52"/>
      <c r="H1239" s="54" t="str">
        <f aca="false">IF(E1239="","",E1239*N(F1239)*IF(G1239="",1,G1239))</f>
        <v/>
      </c>
      <c r="I1239" s="55" t="str">
        <f aca="false">IF(C1239="","",IFERROR(INDEX('DANH MỤC'!$B$5:$B$200,MATCH(C1239,'DANH MỤC'!$A$5:$A$200,0)),"⚠ Mã chưa có trong DANH MỤC"))</f>
        <v/>
      </c>
      <c r="J1239" s="52"/>
      <c r="K1239" s="52"/>
      <c r="L1239" s="52"/>
    </row>
    <row r="1240" customFormat="false" ht="15" hidden="false" customHeight="false" outlineLevel="0" collapsed="false">
      <c r="A1240" s="50"/>
      <c r="B1240" s="51" t="str">
        <f aca="false">IF(A1240="","",MONTH(A1240))</f>
        <v/>
      </c>
      <c r="C1240" s="52"/>
      <c r="D1240" s="52"/>
      <c r="E1240" s="52"/>
      <c r="F1240" s="53"/>
      <c r="G1240" s="52"/>
      <c r="H1240" s="54" t="str">
        <f aca="false">IF(E1240="","",E1240*N(F1240)*IF(G1240="",1,G1240))</f>
        <v/>
      </c>
      <c r="I1240" s="55" t="str">
        <f aca="false">IF(C1240="","",IFERROR(INDEX('DANH MỤC'!$B$5:$B$200,MATCH(C1240,'DANH MỤC'!$A$5:$A$200,0)),"⚠ Mã chưa có trong DANH MỤC"))</f>
        <v/>
      </c>
      <c r="J1240" s="52"/>
      <c r="K1240" s="52"/>
      <c r="L1240" s="52"/>
    </row>
    <row r="1241" customFormat="false" ht="15" hidden="false" customHeight="false" outlineLevel="0" collapsed="false">
      <c r="A1241" s="50"/>
      <c r="B1241" s="51" t="str">
        <f aca="false">IF(A1241="","",MONTH(A1241))</f>
        <v/>
      </c>
      <c r="C1241" s="52"/>
      <c r="D1241" s="52"/>
      <c r="E1241" s="52"/>
      <c r="F1241" s="53"/>
      <c r="G1241" s="52"/>
      <c r="H1241" s="54" t="str">
        <f aca="false">IF(E1241="","",E1241*N(F1241)*IF(G1241="",1,G1241))</f>
        <v/>
      </c>
      <c r="I1241" s="55" t="str">
        <f aca="false">IF(C1241="","",IFERROR(INDEX('DANH MỤC'!$B$5:$B$200,MATCH(C1241,'DANH MỤC'!$A$5:$A$200,0)),"⚠ Mã chưa có trong DANH MỤC"))</f>
        <v/>
      </c>
      <c r="J1241" s="52"/>
      <c r="K1241" s="52"/>
      <c r="L1241" s="52"/>
    </row>
    <row r="1242" customFormat="false" ht="15" hidden="false" customHeight="false" outlineLevel="0" collapsed="false">
      <c r="A1242" s="50"/>
      <c r="B1242" s="51" t="str">
        <f aca="false">IF(A1242="","",MONTH(A1242))</f>
        <v/>
      </c>
      <c r="C1242" s="52"/>
      <c r="D1242" s="52"/>
      <c r="E1242" s="52"/>
      <c r="F1242" s="53"/>
      <c r="G1242" s="52"/>
      <c r="H1242" s="54" t="str">
        <f aca="false">IF(E1242="","",E1242*N(F1242)*IF(G1242="",1,G1242))</f>
        <v/>
      </c>
      <c r="I1242" s="55" t="str">
        <f aca="false">IF(C1242="","",IFERROR(INDEX('DANH MỤC'!$B$5:$B$200,MATCH(C1242,'DANH MỤC'!$A$5:$A$200,0)),"⚠ Mã chưa có trong DANH MỤC"))</f>
        <v/>
      </c>
      <c r="J1242" s="52"/>
      <c r="K1242" s="52"/>
      <c r="L1242" s="52"/>
    </row>
    <row r="1243" customFormat="false" ht="15" hidden="false" customHeight="false" outlineLevel="0" collapsed="false">
      <c r="A1243" s="50"/>
      <c r="B1243" s="51" t="str">
        <f aca="false">IF(A1243="","",MONTH(A1243))</f>
        <v/>
      </c>
      <c r="C1243" s="52"/>
      <c r="D1243" s="52"/>
      <c r="E1243" s="52"/>
      <c r="F1243" s="53"/>
      <c r="G1243" s="52"/>
      <c r="H1243" s="54" t="str">
        <f aca="false">IF(E1243="","",E1243*N(F1243)*IF(G1243="",1,G1243))</f>
        <v/>
      </c>
      <c r="I1243" s="55" t="str">
        <f aca="false">IF(C1243="","",IFERROR(INDEX('DANH MỤC'!$B$5:$B$200,MATCH(C1243,'DANH MỤC'!$A$5:$A$200,0)),"⚠ Mã chưa có trong DANH MỤC"))</f>
        <v/>
      </c>
      <c r="J1243" s="52"/>
      <c r="K1243" s="52"/>
      <c r="L1243" s="52"/>
    </row>
    <row r="1244" customFormat="false" ht="15" hidden="false" customHeight="false" outlineLevel="0" collapsed="false">
      <c r="A1244" s="50"/>
      <c r="B1244" s="51" t="str">
        <f aca="false">IF(A1244="","",MONTH(A1244))</f>
        <v/>
      </c>
      <c r="C1244" s="52"/>
      <c r="D1244" s="52"/>
      <c r="E1244" s="52"/>
      <c r="F1244" s="53"/>
      <c r="G1244" s="52"/>
      <c r="H1244" s="54" t="str">
        <f aca="false">IF(E1244="","",E1244*N(F1244)*IF(G1244="",1,G1244))</f>
        <v/>
      </c>
      <c r="I1244" s="55" t="str">
        <f aca="false">IF(C1244="","",IFERROR(INDEX('DANH MỤC'!$B$5:$B$200,MATCH(C1244,'DANH MỤC'!$A$5:$A$200,0)),"⚠ Mã chưa có trong DANH MỤC"))</f>
        <v/>
      </c>
      <c r="J1244" s="52"/>
      <c r="K1244" s="52"/>
      <c r="L1244" s="52"/>
    </row>
    <row r="1245" customFormat="false" ht="15" hidden="false" customHeight="false" outlineLevel="0" collapsed="false">
      <c r="A1245" s="50"/>
      <c r="B1245" s="51" t="str">
        <f aca="false">IF(A1245="","",MONTH(A1245))</f>
        <v/>
      </c>
      <c r="C1245" s="52"/>
      <c r="D1245" s="52"/>
      <c r="E1245" s="52"/>
      <c r="F1245" s="53"/>
      <c r="G1245" s="52"/>
      <c r="H1245" s="54" t="str">
        <f aca="false">IF(E1245="","",E1245*N(F1245)*IF(G1245="",1,G1245))</f>
        <v/>
      </c>
      <c r="I1245" s="55" t="str">
        <f aca="false">IF(C1245="","",IFERROR(INDEX('DANH MỤC'!$B$5:$B$200,MATCH(C1245,'DANH MỤC'!$A$5:$A$200,0)),"⚠ Mã chưa có trong DANH MỤC"))</f>
        <v/>
      </c>
      <c r="J1245" s="52"/>
      <c r="K1245" s="52"/>
      <c r="L1245" s="52"/>
    </row>
    <row r="1246" customFormat="false" ht="15" hidden="false" customHeight="false" outlineLevel="0" collapsed="false">
      <c r="A1246" s="50"/>
      <c r="B1246" s="51" t="str">
        <f aca="false">IF(A1246="","",MONTH(A1246))</f>
        <v/>
      </c>
      <c r="C1246" s="52"/>
      <c r="D1246" s="52"/>
      <c r="E1246" s="52"/>
      <c r="F1246" s="53"/>
      <c r="G1246" s="52"/>
      <c r="H1246" s="54" t="str">
        <f aca="false">IF(E1246="","",E1246*N(F1246)*IF(G1246="",1,G1246))</f>
        <v/>
      </c>
      <c r="I1246" s="55" t="str">
        <f aca="false">IF(C1246="","",IFERROR(INDEX('DANH MỤC'!$B$5:$B$200,MATCH(C1246,'DANH MỤC'!$A$5:$A$200,0)),"⚠ Mã chưa có trong DANH MỤC"))</f>
        <v/>
      </c>
      <c r="J1246" s="52"/>
      <c r="K1246" s="52"/>
      <c r="L1246" s="52"/>
    </row>
    <row r="1247" customFormat="false" ht="15" hidden="false" customHeight="false" outlineLevel="0" collapsed="false">
      <c r="A1247" s="50"/>
      <c r="B1247" s="51" t="str">
        <f aca="false">IF(A1247="","",MONTH(A1247))</f>
        <v/>
      </c>
      <c r="C1247" s="52"/>
      <c r="D1247" s="52"/>
      <c r="E1247" s="52"/>
      <c r="F1247" s="53"/>
      <c r="G1247" s="52"/>
      <c r="H1247" s="54" t="str">
        <f aca="false">IF(E1247="","",E1247*N(F1247)*IF(G1247="",1,G1247))</f>
        <v/>
      </c>
      <c r="I1247" s="55" t="str">
        <f aca="false">IF(C1247="","",IFERROR(INDEX('DANH MỤC'!$B$5:$B$200,MATCH(C1247,'DANH MỤC'!$A$5:$A$200,0)),"⚠ Mã chưa có trong DANH MỤC"))</f>
        <v/>
      </c>
      <c r="J1247" s="52"/>
      <c r="K1247" s="52"/>
      <c r="L1247" s="52"/>
    </row>
    <row r="1248" customFormat="false" ht="15" hidden="false" customHeight="false" outlineLevel="0" collapsed="false">
      <c r="A1248" s="50"/>
      <c r="B1248" s="51" t="str">
        <f aca="false">IF(A1248="","",MONTH(A1248))</f>
        <v/>
      </c>
      <c r="C1248" s="52"/>
      <c r="D1248" s="52"/>
      <c r="E1248" s="52"/>
      <c r="F1248" s="53"/>
      <c r="G1248" s="52"/>
      <c r="H1248" s="54" t="str">
        <f aca="false">IF(E1248="","",E1248*N(F1248)*IF(G1248="",1,G1248))</f>
        <v/>
      </c>
      <c r="I1248" s="55" t="str">
        <f aca="false">IF(C1248="","",IFERROR(INDEX('DANH MỤC'!$B$5:$B$200,MATCH(C1248,'DANH MỤC'!$A$5:$A$200,0)),"⚠ Mã chưa có trong DANH MỤC"))</f>
        <v/>
      </c>
      <c r="J1248" s="52"/>
      <c r="K1248" s="52"/>
      <c r="L1248" s="52"/>
    </row>
    <row r="1249" customFormat="false" ht="15" hidden="false" customHeight="false" outlineLevel="0" collapsed="false">
      <c r="A1249" s="50"/>
      <c r="B1249" s="51" t="str">
        <f aca="false">IF(A1249="","",MONTH(A1249))</f>
        <v/>
      </c>
      <c r="C1249" s="52"/>
      <c r="D1249" s="52"/>
      <c r="E1249" s="52"/>
      <c r="F1249" s="53"/>
      <c r="G1249" s="52"/>
      <c r="H1249" s="54" t="str">
        <f aca="false">IF(E1249="","",E1249*N(F1249)*IF(G1249="",1,G1249))</f>
        <v/>
      </c>
      <c r="I1249" s="55" t="str">
        <f aca="false">IF(C1249="","",IFERROR(INDEX('DANH MỤC'!$B$5:$B$200,MATCH(C1249,'DANH MỤC'!$A$5:$A$200,0)),"⚠ Mã chưa có trong DANH MỤC"))</f>
        <v/>
      </c>
      <c r="J1249" s="52"/>
      <c r="K1249" s="52"/>
      <c r="L1249" s="52"/>
    </row>
    <row r="1250" customFormat="false" ht="15" hidden="false" customHeight="false" outlineLevel="0" collapsed="false">
      <c r="A1250" s="50"/>
      <c r="B1250" s="51" t="str">
        <f aca="false">IF(A1250="","",MONTH(A1250))</f>
        <v/>
      </c>
      <c r="C1250" s="52"/>
      <c r="D1250" s="52"/>
      <c r="E1250" s="52"/>
      <c r="F1250" s="53"/>
      <c r="G1250" s="52"/>
      <c r="H1250" s="54" t="str">
        <f aca="false">IF(E1250="","",E1250*N(F1250)*IF(G1250="",1,G1250))</f>
        <v/>
      </c>
      <c r="I1250" s="55" t="str">
        <f aca="false">IF(C1250="","",IFERROR(INDEX('DANH MỤC'!$B$5:$B$200,MATCH(C1250,'DANH MỤC'!$A$5:$A$200,0)),"⚠ Mã chưa có trong DANH MỤC"))</f>
        <v/>
      </c>
      <c r="J1250" s="52"/>
      <c r="K1250" s="52"/>
      <c r="L1250" s="52"/>
    </row>
    <row r="1251" customFormat="false" ht="15" hidden="false" customHeight="false" outlineLevel="0" collapsed="false">
      <c r="A1251" s="50"/>
      <c r="B1251" s="51" t="str">
        <f aca="false">IF(A1251="","",MONTH(A1251))</f>
        <v/>
      </c>
      <c r="C1251" s="52"/>
      <c r="D1251" s="52"/>
      <c r="E1251" s="52"/>
      <c r="F1251" s="53"/>
      <c r="G1251" s="52"/>
      <c r="H1251" s="54" t="str">
        <f aca="false">IF(E1251="","",E1251*N(F1251)*IF(G1251="",1,G1251))</f>
        <v/>
      </c>
      <c r="I1251" s="55" t="str">
        <f aca="false">IF(C1251="","",IFERROR(INDEX('DANH MỤC'!$B$5:$B$200,MATCH(C1251,'DANH MỤC'!$A$5:$A$200,0)),"⚠ Mã chưa có trong DANH MỤC"))</f>
        <v/>
      </c>
      <c r="J1251" s="52"/>
      <c r="K1251" s="52"/>
      <c r="L1251" s="52"/>
    </row>
    <row r="1252" customFormat="false" ht="15" hidden="false" customHeight="false" outlineLevel="0" collapsed="false">
      <c r="A1252" s="50"/>
      <c r="B1252" s="51" t="str">
        <f aca="false">IF(A1252="","",MONTH(A1252))</f>
        <v/>
      </c>
      <c r="C1252" s="52"/>
      <c r="D1252" s="52"/>
      <c r="E1252" s="52"/>
      <c r="F1252" s="53"/>
      <c r="G1252" s="52"/>
      <c r="H1252" s="54" t="str">
        <f aca="false">IF(E1252="","",E1252*N(F1252)*IF(G1252="",1,G1252))</f>
        <v/>
      </c>
      <c r="I1252" s="55" t="str">
        <f aca="false">IF(C1252="","",IFERROR(INDEX('DANH MỤC'!$B$5:$B$200,MATCH(C1252,'DANH MỤC'!$A$5:$A$200,0)),"⚠ Mã chưa có trong DANH MỤC"))</f>
        <v/>
      </c>
      <c r="J1252" s="52"/>
      <c r="K1252" s="52"/>
      <c r="L1252" s="52"/>
    </row>
    <row r="1253" customFormat="false" ht="15" hidden="false" customHeight="false" outlineLevel="0" collapsed="false">
      <c r="A1253" s="50"/>
      <c r="B1253" s="51" t="str">
        <f aca="false">IF(A1253="","",MONTH(A1253))</f>
        <v/>
      </c>
      <c r="C1253" s="52"/>
      <c r="D1253" s="52"/>
      <c r="E1253" s="52"/>
      <c r="F1253" s="53"/>
      <c r="G1253" s="52"/>
      <c r="H1253" s="54" t="str">
        <f aca="false">IF(E1253="","",E1253*N(F1253)*IF(G1253="",1,G1253))</f>
        <v/>
      </c>
      <c r="I1253" s="55" t="str">
        <f aca="false">IF(C1253="","",IFERROR(INDEX('DANH MỤC'!$B$5:$B$200,MATCH(C1253,'DANH MỤC'!$A$5:$A$200,0)),"⚠ Mã chưa có trong DANH MỤC"))</f>
        <v/>
      </c>
      <c r="J1253" s="52"/>
      <c r="K1253" s="52"/>
      <c r="L1253" s="52"/>
    </row>
    <row r="1254" customFormat="false" ht="15" hidden="false" customHeight="false" outlineLevel="0" collapsed="false">
      <c r="A1254" s="50"/>
      <c r="B1254" s="51" t="str">
        <f aca="false">IF(A1254="","",MONTH(A1254))</f>
        <v/>
      </c>
      <c r="C1254" s="52"/>
      <c r="D1254" s="52"/>
      <c r="E1254" s="52"/>
      <c r="F1254" s="53"/>
      <c r="G1254" s="52"/>
      <c r="H1254" s="54" t="str">
        <f aca="false">IF(E1254="","",E1254*N(F1254)*IF(G1254="",1,G1254))</f>
        <v/>
      </c>
      <c r="I1254" s="55" t="str">
        <f aca="false">IF(C1254="","",IFERROR(INDEX('DANH MỤC'!$B$5:$B$200,MATCH(C1254,'DANH MỤC'!$A$5:$A$200,0)),"⚠ Mã chưa có trong DANH MỤC"))</f>
        <v/>
      </c>
      <c r="J1254" s="52"/>
      <c r="K1254" s="52"/>
      <c r="L1254" s="52"/>
    </row>
    <row r="1255" customFormat="false" ht="15" hidden="false" customHeight="false" outlineLevel="0" collapsed="false">
      <c r="A1255" s="50"/>
      <c r="B1255" s="51" t="str">
        <f aca="false">IF(A1255="","",MONTH(A1255))</f>
        <v/>
      </c>
      <c r="C1255" s="52"/>
      <c r="D1255" s="52"/>
      <c r="E1255" s="52"/>
      <c r="F1255" s="53"/>
      <c r="G1255" s="52"/>
      <c r="H1255" s="54" t="str">
        <f aca="false">IF(E1255="","",E1255*N(F1255)*IF(G1255="",1,G1255))</f>
        <v/>
      </c>
      <c r="I1255" s="55" t="str">
        <f aca="false">IF(C1255="","",IFERROR(INDEX('DANH MỤC'!$B$5:$B$200,MATCH(C1255,'DANH MỤC'!$A$5:$A$200,0)),"⚠ Mã chưa có trong DANH MỤC"))</f>
        <v/>
      </c>
      <c r="J1255" s="52"/>
      <c r="K1255" s="52"/>
      <c r="L1255" s="52"/>
    </row>
    <row r="1256" customFormat="false" ht="15" hidden="false" customHeight="false" outlineLevel="0" collapsed="false">
      <c r="A1256" s="50"/>
      <c r="B1256" s="51" t="str">
        <f aca="false">IF(A1256="","",MONTH(A1256))</f>
        <v/>
      </c>
      <c r="C1256" s="52"/>
      <c r="D1256" s="52"/>
      <c r="E1256" s="52"/>
      <c r="F1256" s="53"/>
      <c r="G1256" s="52"/>
      <c r="H1256" s="54" t="str">
        <f aca="false">IF(E1256="","",E1256*N(F1256)*IF(G1256="",1,G1256))</f>
        <v/>
      </c>
      <c r="I1256" s="55" t="str">
        <f aca="false">IF(C1256="","",IFERROR(INDEX('DANH MỤC'!$B$5:$B$200,MATCH(C1256,'DANH MỤC'!$A$5:$A$200,0)),"⚠ Mã chưa có trong DANH MỤC"))</f>
        <v/>
      </c>
      <c r="J1256" s="52"/>
      <c r="K1256" s="52"/>
      <c r="L1256" s="52"/>
    </row>
    <row r="1257" customFormat="false" ht="15" hidden="false" customHeight="false" outlineLevel="0" collapsed="false">
      <c r="A1257" s="50"/>
      <c r="B1257" s="51" t="str">
        <f aca="false">IF(A1257="","",MONTH(A1257))</f>
        <v/>
      </c>
      <c r="C1257" s="52"/>
      <c r="D1257" s="52"/>
      <c r="E1257" s="52"/>
      <c r="F1257" s="53"/>
      <c r="G1257" s="52"/>
      <c r="H1257" s="54" t="str">
        <f aca="false">IF(E1257="","",E1257*N(F1257)*IF(G1257="",1,G1257))</f>
        <v/>
      </c>
      <c r="I1257" s="55" t="str">
        <f aca="false">IF(C1257="","",IFERROR(INDEX('DANH MỤC'!$B$5:$B$200,MATCH(C1257,'DANH MỤC'!$A$5:$A$200,0)),"⚠ Mã chưa có trong DANH MỤC"))</f>
        <v/>
      </c>
      <c r="J1257" s="52"/>
      <c r="K1257" s="52"/>
      <c r="L1257" s="52"/>
    </row>
    <row r="1258" customFormat="false" ht="15" hidden="false" customHeight="false" outlineLevel="0" collapsed="false">
      <c r="A1258" s="50"/>
      <c r="B1258" s="51" t="str">
        <f aca="false">IF(A1258="","",MONTH(A1258))</f>
        <v/>
      </c>
      <c r="C1258" s="52"/>
      <c r="D1258" s="52"/>
      <c r="E1258" s="52"/>
      <c r="F1258" s="53"/>
      <c r="G1258" s="52"/>
      <c r="H1258" s="54" t="str">
        <f aca="false">IF(E1258="","",E1258*N(F1258)*IF(G1258="",1,G1258))</f>
        <v/>
      </c>
      <c r="I1258" s="55" t="str">
        <f aca="false">IF(C1258="","",IFERROR(INDEX('DANH MỤC'!$B$5:$B$200,MATCH(C1258,'DANH MỤC'!$A$5:$A$200,0)),"⚠ Mã chưa có trong DANH MỤC"))</f>
        <v/>
      </c>
      <c r="J1258" s="52"/>
      <c r="K1258" s="52"/>
      <c r="L1258" s="52"/>
    </row>
    <row r="1259" customFormat="false" ht="15" hidden="false" customHeight="false" outlineLevel="0" collapsed="false">
      <c r="A1259" s="50"/>
      <c r="B1259" s="51" t="str">
        <f aca="false">IF(A1259="","",MONTH(A1259))</f>
        <v/>
      </c>
      <c r="C1259" s="52"/>
      <c r="D1259" s="52"/>
      <c r="E1259" s="52"/>
      <c r="F1259" s="53"/>
      <c r="G1259" s="52"/>
      <c r="H1259" s="54" t="str">
        <f aca="false">IF(E1259="","",E1259*N(F1259)*IF(G1259="",1,G1259))</f>
        <v/>
      </c>
      <c r="I1259" s="55" t="str">
        <f aca="false">IF(C1259="","",IFERROR(INDEX('DANH MỤC'!$B$5:$B$200,MATCH(C1259,'DANH MỤC'!$A$5:$A$200,0)),"⚠ Mã chưa có trong DANH MỤC"))</f>
        <v/>
      </c>
      <c r="J1259" s="52"/>
      <c r="K1259" s="52"/>
      <c r="L1259" s="52"/>
    </row>
    <row r="1260" customFormat="false" ht="15" hidden="false" customHeight="false" outlineLevel="0" collapsed="false">
      <c r="A1260" s="50"/>
      <c r="B1260" s="51" t="str">
        <f aca="false">IF(A1260="","",MONTH(A1260))</f>
        <v/>
      </c>
      <c r="C1260" s="52"/>
      <c r="D1260" s="52"/>
      <c r="E1260" s="52"/>
      <c r="F1260" s="53"/>
      <c r="G1260" s="52"/>
      <c r="H1260" s="54" t="str">
        <f aca="false">IF(E1260="","",E1260*N(F1260)*IF(G1260="",1,G1260))</f>
        <v/>
      </c>
      <c r="I1260" s="55" t="str">
        <f aca="false">IF(C1260="","",IFERROR(INDEX('DANH MỤC'!$B$5:$B$200,MATCH(C1260,'DANH MỤC'!$A$5:$A$200,0)),"⚠ Mã chưa có trong DANH MỤC"))</f>
        <v/>
      </c>
      <c r="J1260" s="52"/>
      <c r="K1260" s="52"/>
      <c r="L1260" s="52"/>
    </row>
    <row r="1261" customFormat="false" ht="15" hidden="false" customHeight="false" outlineLevel="0" collapsed="false">
      <c r="A1261" s="50"/>
      <c r="B1261" s="51" t="str">
        <f aca="false">IF(A1261="","",MONTH(A1261))</f>
        <v/>
      </c>
      <c r="C1261" s="52"/>
      <c r="D1261" s="52"/>
      <c r="E1261" s="52"/>
      <c r="F1261" s="53"/>
      <c r="G1261" s="52"/>
      <c r="H1261" s="54" t="str">
        <f aca="false">IF(E1261="","",E1261*N(F1261)*IF(G1261="",1,G1261))</f>
        <v/>
      </c>
      <c r="I1261" s="55" t="str">
        <f aca="false">IF(C1261="","",IFERROR(INDEX('DANH MỤC'!$B$5:$B$200,MATCH(C1261,'DANH MỤC'!$A$5:$A$200,0)),"⚠ Mã chưa có trong DANH MỤC"))</f>
        <v/>
      </c>
      <c r="J1261" s="52"/>
      <c r="K1261" s="52"/>
      <c r="L1261" s="52"/>
    </row>
    <row r="1262" customFormat="false" ht="15" hidden="false" customHeight="false" outlineLevel="0" collapsed="false">
      <c r="A1262" s="50"/>
      <c r="B1262" s="51" t="str">
        <f aca="false">IF(A1262="","",MONTH(A1262))</f>
        <v/>
      </c>
      <c r="C1262" s="52"/>
      <c r="D1262" s="52"/>
      <c r="E1262" s="52"/>
      <c r="F1262" s="53"/>
      <c r="G1262" s="52"/>
      <c r="H1262" s="54" t="str">
        <f aca="false">IF(E1262="","",E1262*N(F1262)*IF(G1262="",1,G1262))</f>
        <v/>
      </c>
      <c r="I1262" s="55" t="str">
        <f aca="false">IF(C1262="","",IFERROR(INDEX('DANH MỤC'!$B$5:$B$200,MATCH(C1262,'DANH MỤC'!$A$5:$A$200,0)),"⚠ Mã chưa có trong DANH MỤC"))</f>
        <v/>
      </c>
      <c r="J1262" s="52"/>
      <c r="K1262" s="52"/>
      <c r="L1262" s="52"/>
    </row>
    <row r="1263" customFormat="false" ht="15" hidden="false" customHeight="false" outlineLevel="0" collapsed="false">
      <c r="A1263" s="50"/>
      <c r="B1263" s="51" t="str">
        <f aca="false">IF(A1263="","",MONTH(A1263))</f>
        <v/>
      </c>
      <c r="C1263" s="52"/>
      <c r="D1263" s="52"/>
      <c r="E1263" s="52"/>
      <c r="F1263" s="53"/>
      <c r="G1263" s="52"/>
      <c r="H1263" s="54" t="str">
        <f aca="false">IF(E1263="","",E1263*N(F1263)*IF(G1263="",1,G1263))</f>
        <v/>
      </c>
      <c r="I1263" s="55" t="str">
        <f aca="false">IF(C1263="","",IFERROR(INDEX('DANH MỤC'!$B$5:$B$200,MATCH(C1263,'DANH MỤC'!$A$5:$A$200,0)),"⚠ Mã chưa có trong DANH MỤC"))</f>
        <v/>
      </c>
      <c r="J1263" s="52"/>
      <c r="K1263" s="52"/>
      <c r="L1263" s="52"/>
    </row>
    <row r="1264" customFormat="false" ht="15" hidden="false" customHeight="false" outlineLevel="0" collapsed="false">
      <c r="A1264" s="50"/>
      <c r="B1264" s="51" t="str">
        <f aca="false">IF(A1264="","",MONTH(A1264))</f>
        <v/>
      </c>
      <c r="C1264" s="52"/>
      <c r="D1264" s="52"/>
      <c r="E1264" s="52"/>
      <c r="F1264" s="53"/>
      <c r="G1264" s="52"/>
      <c r="H1264" s="54" t="str">
        <f aca="false">IF(E1264="","",E1264*N(F1264)*IF(G1264="",1,G1264))</f>
        <v/>
      </c>
      <c r="I1264" s="55" t="str">
        <f aca="false">IF(C1264="","",IFERROR(INDEX('DANH MỤC'!$B$5:$B$200,MATCH(C1264,'DANH MỤC'!$A$5:$A$200,0)),"⚠ Mã chưa có trong DANH MỤC"))</f>
        <v/>
      </c>
      <c r="J1264" s="52"/>
      <c r="K1264" s="52"/>
      <c r="L1264" s="52"/>
    </row>
    <row r="1265" customFormat="false" ht="15" hidden="false" customHeight="false" outlineLevel="0" collapsed="false">
      <c r="A1265" s="50"/>
      <c r="B1265" s="51" t="str">
        <f aca="false">IF(A1265="","",MONTH(A1265))</f>
        <v/>
      </c>
      <c r="C1265" s="52"/>
      <c r="D1265" s="52"/>
      <c r="E1265" s="52"/>
      <c r="F1265" s="53"/>
      <c r="G1265" s="52"/>
      <c r="H1265" s="54" t="str">
        <f aca="false">IF(E1265="","",E1265*N(F1265)*IF(G1265="",1,G1265))</f>
        <v/>
      </c>
      <c r="I1265" s="55" t="str">
        <f aca="false">IF(C1265="","",IFERROR(INDEX('DANH MỤC'!$B$5:$B$200,MATCH(C1265,'DANH MỤC'!$A$5:$A$200,0)),"⚠ Mã chưa có trong DANH MỤC"))</f>
        <v/>
      </c>
      <c r="J1265" s="52"/>
      <c r="K1265" s="52"/>
      <c r="L1265" s="52"/>
    </row>
    <row r="1266" customFormat="false" ht="15" hidden="false" customHeight="false" outlineLevel="0" collapsed="false">
      <c r="A1266" s="50"/>
      <c r="B1266" s="51" t="str">
        <f aca="false">IF(A1266="","",MONTH(A1266))</f>
        <v/>
      </c>
      <c r="C1266" s="52"/>
      <c r="D1266" s="52"/>
      <c r="E1266" s="52"/>
      <c r="F1266" s="53"/>
      <c r="G1266" s="52"/>
      <c r="H1266" s="54" t="str">
        <f aca="false">IF(E1266="","",E1266*N(F1266)*IF(G1266="",1,G1266))</f>
        <v/>
      </c>
      <c r="I1266" s="55" t="str">
        <f aca="false">IF(C1266="","",IFERROR(INDEX('DANH MỤC'!$B$5:$B$200,MATCH(C1266,'DANH MỤC'!$A$5:$A$200,0)),"⚠ Mã chưa có trong DANH MỤC"))</f>
        <v/>
      </c>
      <c r="J1266" s="52"/>
      <c r="K1266" s="52"/>
      <c r="L1266" s="52"/>
    </row>
    <row r="1267" customFormat="false" ht="15" hidden="false" customHeight="false" outlineLevel="0" collapsed="false">
      <c r="A1267" s="50"/>
      <c r="B1267" s="51" t="str">
        <f aca="false">IF(A1267="","",MONTH(A1267))</f>
        <v/>
      </c>
      <c r="C1267" s="52"/>
      <c r="D1267" s="52"/>
      <c r="E1267" s="52"/>
      <c r="F1267" s="53"/>
      <c r="G1267" s="52"/>
      <c r="H1267" s="54" t="str">
        <f aca="false">IF(E1267="","",E1267*N(F1267)*IF(G1267="",1,G1267))</f>
        <v/>
      </c>
      <c r="I1267" s="55" t="str">
        <f aca="false">IF(C1267="","",IFERROR(INDEX('DANH MỤC'!$B$5:$B$200,MATCH(C1267,'DANH MỤC'!$A$5:$A$200,0)),"⚠ Mã chưa có trong DANH MỤC"))</f>
        <v/>
      </c>
      <c r="J1267" s="52"/>
      <c r="K1267" s="52"/>
      <c r="L1267" s="52"/>
    </row>
    <row r="1268" customFormat="false" ht="15" hidden="false" customHeight="false" outlineLevel="0" collapsed="false">
      <c r="A1268" s="50"/>
      <c r="B1268" s="51" t="str">
        <f aca="false">IF(A1268="","",MONTH(A1268))</f>
        <v/>
      </c>
      <c r="C1268" s="52"/>
      <c r="D1268" s="52"/>
      <c r="E1268" s="52"/>
      <c r="F1268" s="53"/>
      <c r="G1268" s="52"/>
      <c r="H1268" s="54" t="str">
        <f aca="false">IF(E1268="","",E1268*N(F1268)*IF(G1268="",1,G1268))</f>
        <v/>
      </c>
      <c r="I1268" s="55" t="str">
        <f aca="false">IF(C1268="","",IFERROR(INDEX('DANH MỤC'!$B$5:$B$200,MATCH(C1268,'DANH MỤC'!$A$5:$A$200,0)),"⚠ Mã chưa có trong DANH MỤC"))</f>
        <v/>
      </c>
      <c r="J1268" s="52"/>
      <c r="K1268" s="52"/>
      <c r="L1268" s="52"/>
    </row>
    <row r="1269" customFormat="false" ht="15" hidden="false" customHeight="false" outlineLevel="0" collapsed="false">
      <c r="A1269" s="50"/>
      <c r="B1269" s="51" t="str">
        <f aca="false">IF(A1269="","",MONTH(A1269))</f>
        <v/>
      </c>
      <c r="C1269" s="52"/>
      <c r="D1269" s="52"/>
      <c r="E1269" s="52"/>
      <c r="F1269" s="53"/>
      <c r="G1269" s="52"/>
      <c r="H1269" s="54" t="str">
        <f aca="false">IF(E1269="","",E1269*N(F1269)*IF(G1269="",1,G1269))</f>
        <v/>
      </c>
      <c r="I1269" s="55" t="str">
        <f aca="false">IF(C1269="","",IFERROR(INDEX('DANH MỤC'!$B$5:$B$200,MATCH(C1269,'DANH MỤC'!$A$5:$A$200,0)),"⚠ Mã chưa có trong DANH MỤC"))</f>
        <v/>
      </c>
      <c r="J1269" s="52"/>
      <c r="K1269" s="52"/>
      <c r="L1269" s="52"/>
    </row>
    <row r="1270" customFormat="false" ht="15" hidden="false" customHeight="false" outlineLevel="0" collapsed="false">
      <c r="A1270" s="50"/>
      <c r="B1270" s="51" t="str">
        <f aca="false">IF(A1270="","",MONTH(A1270))</f>
        <v/>
      </c>
      <c r="C1270" s="52"/>
      <c r="D1270" s="52"/>
      <c r="E1270" s="52"/>
      <c r="F1270" s="53"/>
      <c r="G1270" s="52"/>
      <c r="H1270" s="54" t="str">
        <f aca="false">IF(E1270="","",E1270*N(F1270)*IF(G1270="",1,G1270))</f>
        <v/>
      </c>
      <c r="I1270" s="55" t="str">
        <f aca="false">IF(C1270="","",IFERROR(INDEX('DANH MỤC'!$B$5:$B$200,MATCH(C1270,'DANH MỤC'!$A$5:$A$200,0)),"⚠ Mã chưa có trong DANH MỤC"))</f>
        <v/>
      </c>
      <c r="J1270" s="52"/>
      <c r="K1270" s="52"/>
      <c r="L1270" s="52"/>
    </row>
    <row r="1271" customFormat="false" ht="15" hidden="false" customHeight="false" outlineLevel="0" collapsed="false">
      <c r="A1271" s="50"/>
      <c r="B1271" s="51" t="str">
        <f aca="false">IF(A1271="","",MONTH(A1271))</f>
        <v/>
      </c>
      <c r="C1271" s="52"/>
      <c r="D1271" s="52"/>
      <c r="E1271" s="52"/>
      <c r="F1271" s="53"/>
      <c r="G1271" s="52"/>
      <c r="H1271" s="54" t="str">
        <f aca="false">IF(E1271="","",E1271*N(F1271)*IF(G1271="",1,G1271))</f>
        <v/>
      </c>
      <c r="I1271" s="55" t="str">
        <f aca="false">IF(C1271="","",IFERROR(INDEX('DANH MỤC'!$B$5:$B$200,MATCH(C1271,'DANH MỤC'!$A$5:$A$200,0)),"⚠ Mã chưa có trong DANH MỤC"))</f>
        <v/>
      </c>
      <c r="J1271" s="52"/>
      <c r="K1271" s="52"/>
      <c r="L1271" s="52"/>
    </row>
    <row r="1272" customFormat="false" ht="15" hidden="false" customHeight="false" outlineLevel="0" collapsed="false">
      <c r="A1272" s="50"/>
      <c r="B1272" s="51" t="str">
        <f aca="false">IF(A1272="","",MONTH(A1272))</f>
        <v/>
      </c>
      <c r="C1272" s="52"/>
      <c r="D1272" s="52"/>
      <c r="E1272" s="52"/>
      <c r="F1272" s="53"/>
      <c r="G1272" s="52"/>
      <c r="H1272" s="54" t="str">
        <f aca="false">IF(E1272="","",E1272*N(F1272)*IF(G1272="",1,G1272))</f>
        <v/>
      </c>
      <c r="I1272" s="55" t="str">
        <f aca="false">IF(C1272="","",IFERROR(INDEX('DANH MỤC'!$B$5:$B$200,MATCH(C1272,'DANH MỤC'!$A$5:$A$200,0)),"⚠ Mã chưa có trong DANH MỤC"))</f>
        <v/>
      </c>
      <c r="J1272" s="52"/>
      <c r="K1272" s="52"/>
      <c r="L1272" s="52"/>
    </row>
    <row r="1273" customFormat="false" ht="15" hidden="false" customHeight="false" outlineLevel="0" collapsed="false">
      <c r="A1273" s="50"/>
      <c r="B1273" s="51" t="str">
        <f aca="false">IF(A1273="","",MONTH(A1273))</f>
        <v/>
      </c>
      <c r="C1273" s="52"/>
      <c r="D1273" s="52"/>
      <c r="E1273" s="52"/>
      <c r="F1273" s="53"/>
      <c r="G1273" s="52"/>
      <c r="H1273" s="54" t="str">
        <f aca="false">IF(E1273="","",E1273*N(F1273)*IF(G1273="",1,G1273))</f>
        <v/>
      </c>
      <c r="I1273" s="55" t="str">
        <f aca="false">IF(C1273="","",IFERROR(INDEX('DANH MỤC'!$B$5:$B$200,MATCH(C1273,'DANH MỤC'!$A$5:$A$200,0)),"⚠ Mã chưa có trong DANH MỤC"))</f>
        <v/>
      </c>
      <c r="J1273" s="52"/>
      <c r="K1273" s="52"/>
      <c r="L1273" s="52"/>
    </row>
    <row r="1274" customFormat="false" ht="15" hidden="false" customHeight="false" outlineLevel="0" collapsed="false">
      <c r="A1274" s="50"/>
      <c r="B1274" s="51" t="str">
        <f aca="false">IF(A1274="","",MONTH(A1274))</f>
        <v/>
      </c>
      <c r="C1274" s="52"/>
      <c r="D1274" s="52"/>
      <c r="E1274" s="52"/>
      <c r="F1274" s="53"/>
      <c r="G1274" s="52"/>
      <c r="H1274" s="54" t="str">
        <f aca="false">IF(E1274="","",E1274*N(F1274)*IF(G1274="",1,G1274))</f>
        <v/>
      </c>
      <c r="I1274" s="55" t="str">
        <f aca="false">IF(C1274="","",IFERROR(INDEX('DANH MỤC'!$B$5:$B$200,MATCH(C1274,'DANH MỤC'!$A$5:$A$200,0)),"⚠ Mã chưa có trong DANH MỤC"))</f>
        <v/>
      </c>
      <c r="J1274" s="52"/>
      <c r="K1274" s="52"/>
      <c r="L1274" s="52"/>
    </row>
    <row r="1275" customFormat="false" ht="15" hidden="false" customHeight="false" outlineLevel="0" collapsed="false">
      <c r="A1275" s="50"/>
      <c r="B1275" s="51" t="str">
        <f aca="false">IF(A1275="","",MONTH(A1275))</f>
        <v/>
      </c>
      <c r="C1275" s="52"/>
      <c r="D1275" s="52"/>
      <c r="E1275" s="52"/>
      <c r="F1275" s="53"/>
      <c r="G1275" s="52"/>
      <c r="H1275" s="54" t="str">
        <f aca="false">IF(E1275="","",E1275*N(F1275)*IF(G1275="",1,G1275))</f>
        <v/>
      </c>
      <c r="I1275" s="55" t="str">
        <f aca="false">IF(C1275="","",IFERROR(INDEX('DANH MỤC'!$B$5:$B$200,MATCH(C1275,'DANH MỤC'!$A$5:$A$200,0)),"⚠ Mã chưa có trong DANH MỤC"))</f>
        <v/>
      </c>
      <c r="J1275" s="52"/>
      <c r="K1275" s="52"/>
      <c r="L1275" s="52"/>
    </row>
    <row r="1276" customFormat="false" ht="15" hidden="false" customHeight="false" outlineLevel="0" collapsed="false">
      <c r="A1276" s="50"/>
      <c r="B1276" s="51" t="str">
        <f aca="false">IF(A1276="","",MONTH(A1276))</f>
        <v/>
      </c>
      <c r="C1276" s="52"/>
      <c r="D1276" s="52"/>
      <c r="E1276" s="52"/>
      <c r="F1276" s="53"/>
      <c r="G1276" s="52"/>
      <c r="H1276" s="54" t="str">
        <f aca="false">IF(E1276="","",E1276*N(F1276)*IF(G1276="",1,G1276))</f>
        <v/>
      </c>
      <c r="I1276" s="55" t="str">
        <f aca="false">IF(C1276="","",IFERROR(INDEX('DANH MỤC'!$B$5:$B$200,MATCH(C1276,'DANH MỤC'!$A$5:$A$200,0)),"⚠ Mã chưa có trong DANH MỤC"))</f>
        <v/>
      </c>
      <c r="J1276" s="52"/>
      <c r="K1276" s="52"/>
      <c r="L1276" s="52"/>
    </row>
    <row r="1277" customFormat="false" ht="15" hidden="false" customHeight="false" outlineLevel="0" collapsed="false">
      <c r="A1277" s="50"/>
      <c r="B1277" s="51" t="str">
        <f aca="false">IF(A1277="","",MONTH(A1277))</f>
        <v/>
      </c>
      <c r="C1277" s="52"/>
      <c r="D1277" s="52"/>
      <c r="E1277" s="52"/>
      <c r="F1277" s="53"/>
      <c r="G1277" s="52"/>
      <c r="H1277" s="54" t="str">
        <f aca="false">IF(E1277="","",E1277*N(F1277)*IF(G1277="",1,G1277))</f>
        <v/>
      </c>
      <c r="I1277" s="55" t="str">
        <f aca="false">IF(C1277="","",IFERROR(INDEX('DANH MỤC'!$B$5:$B$200,MATCH(C1277,'DANH MỤC'!$A$5:$A$200,0)),"⚠ Mã chưa có trong DANH MỤC"))</f>
        <v/>
      </c>
      <c r="J1277" s="52"/>
      <c r="K1277" s="52"/>
      <c r="L1277" s="52"/>
    </row>
    <row r="1278" customFormat="false" ht="15" hidden="false" customHeight="false" outlineLevel="0" collapsed="false">
      <c r="A1278" s="50"/>
      <c r="B1278" s="51" t="str">
        <f aca="false">IF(A1278="","",MONTH(A1278))</f>
        <v/>
      </c>
      <c r="C1278" s="52"/>
      <c r="D1278" s="52"/>
      <c r="E1278" s="52"/>
      <c r="F1278" s="53"/>
      <c r="G1278" s="52"/>
      <c r="H1278" s="54" t="str">
        <f aca="false">IF(E1278="","",E1278*N(F1278)*IF(G1278="",1,G1278))</f>
        <v/>
      </c>
      <c r="I1278" s="55" t="str">
        <f aca="false">IF(C1278="","",IFERROR(INDEX('DANH MỤC'!$B$5:$B$200,MATCH(C1278,'DANH MỤC'!$A$5:$A$200,0)),"⚠ Mã chưa có trong DANH MỤC"))</f>
        <v/>
      </c>
      <c r="J1278" s="52"/>
      <c r="K1278" s="52"/>
      <c r="L1278" s="52"/>
    </row>
    <row r="1279" customFormat="false" ht="15" hidden="false" customHeight="false" outlineLevel="0" collapsed="false">
      <c r="A1279" s="50"/>
      <c r="B1279" s="51" t="str">
        <f aca="false">IF(A1279="","",MONTH(A1279))</f>
        <v/>
      </c>
      <c r="C1279" s="52"/>
      <c r="D1279" s="52"/>
      <c r="E1279" s="52"/>
      <c r="F1279" s="53"/>
      <c r="G1279" s="52"/>
      <c r="H1279" s="54" t="str">
        <f aca="false">IF(E1279="","",E1279*N(F1279)*IF(G1279="",1,G1279))</f>
        <v/>
      </c>
      <c r="I1279" s="55" t="str">
        <f aca="false">IF(C1279="","",IFERROR(INDEX('DANH MỤC'!$B$5:$B$200,MATCH(C1279,'DANH MỤC'!$A$5:$A$200,0)),"⚠ Mã chưa có trong DANH MỤC"))</f>
        <v/>
      </c>
      <c r="J1279" s="52"/>
      <c r="K1279" s="52"/>
      <c r="L1279" s="52"/>
    </row>
    <row r="1280" customFormat="false" ht="15" hidden="false" customHeight="false" outlineLevel="0" collapsed="false">
      <c r="A1280" s="50"/>
      <c r="B1280" s="51" t="str">
        <f aca="false">IF(A1280="","",MONTH(A1280))</f>
        <v/>
      </c>
      <c r="C1280" s="52"/>
      <c r="D1280" s="52"/>
      <c r="E1280" s="52"/>
      <c r="F1280" s="53"/>
      <c r="G1280" s="52"/>
      <c r="H1280" s="54" t="str">
        <f aca="false">IF(E1280="","",E1280*N(F1280)*IF(G1280="",1,G1280))</f>
        <v/>
      </c>
      <c r="I1280" s="55" t="str">
        <f aca="false">IF(C1280="","",IFERROR(INDEX('DANH MỤC'!$B$5:$B$200,MATCH(C1280,'DANH MỤC'!$A$5:$A$200,0)),"⚠ Mã chưa có trong DANH MỤC"))</f>
        <v/>
      </c>
      <c r="J1280" s="52"/>
      <c r="K1280" s="52"/>
      <c r="L1280" s="52"/>
    </row>
    <row r="1281" customFormat="false" ht="15" hidden="false" customHeight="false" outlineLevel="0" collapsed="false">
      <c r="A1281" s="50"/>
      <c r="B1281" s="51" t="str">
        <f aca="false">IF(A1281="","",MONTH(A1281))</f>
        <v/>
      </c>
      <c r="C1281" s="52"/>
      <c r="D1281" s="52"/>
      <c r="E1281" s="52"/>
      <c r="F1281" s="53"/>
      <c r="G1281" s="52"/>
      <c r="H1281" s="54" t="str">
        <f aca="false">IF(E1281="","",E1281*N(F1281)*IF(G1281="",1,G1281))</f>
        <v/>
      </c>
      <c r="I1281" s="55" t="str">
        <f aca="false">IF(C1281="","",IFERROR(INDEX('DANH MỤC'!$B$5:$B$200,MATCH(C1281,'DANH MỤC'!$A$5:$A$200,0)),"⚠ Mã chưa có trong DANH MỤC"))</f>
        <v/>
      </c>
      <c r="J1281" s="52"/>
      <c r="K1281" s="52"/>
      <c r="L1281" s="52"/>
    </row>
    <row r="1282" customFormat="false" ht="15" hidden="false" customHeight="false" outlineLevel="0" collapsed="false">
      <c r="A1282" s="50"/>
      <c r="B1282" s="51" t="str">
        <f aca="false">IF(A1282="","",MONTH(A1282))</f>
        <v/>
      </c>
      <c r="C1282" s="52"/>
      <c r="D1282" s="52"/>
      <c r="E1282" s="52"/>
      <c r="F1282" s="53"/>
      <c r="G1282" s="52"/>
      <c r="H1282" s="54" t="str">
        <f aca="false">IF(E1282="","",E1282*N(F1282)*IF(G1282="",1,G1282))</f>
        <v/>
      </c>
      <c r="I1282" s="55" t="str">
        <f aca="false">IF(C1282="","",IFERROR(INDEX('DANH MỤC'!$B$5:$B$200,MATCH(C1282,'DANH MỤC'!$A$5:$A$200,0)),"⚠ Mã chưa có trong DANH MỤC"))</f>
        <v/>
      </c>
      <c r="J1282" s="52"/>
      <c r="K1282" s="52"/>
      <c r="L1282" s="52"/>
    </row>
    <row r="1283" customFormat="false" ht="15" hidden="false" customHeight="false" outlineLevel="0" collapsed="false">
      <c r="A1283" s="50"/>
      <c r="B1283" s="51" t="str">
        <f aca="false">IF(A1283="","",MONTH(A1283))</f>
        <v/>
      </c>
      <c r="C1283" s="52"/>
      <c r="D1283" s="52"/>
      <c r="E1283" s="52"/>
      <c r="F1283" s="53"/>
      <c r="G1283" s="52"/>
      <c r="H1283" s="54" t="str">
        <f aca="false">IF(E1283="","",E1283*N(F1283)*IF(G1283="",1,G1283))</f>
        <v/>
      </c>
      <c r="I1283" s="55" t="str">
        <f aca="false">IF(C1283="","",IFERROR(INDEX('DANH MỤC'!$B$5:$B$200,MATCH(C1283,'DANH MỤC'!$A$5:$A$200,0)),"⚠ Mã chưa có trong DANH MỤC"))</f>
        <v/>
      </c>
      <c r="J1283" s="52"/>
      <c r="K1283" s="52"/>
      <c r="L1283" s="52"/>
    </row>
    <row r="1284" customFormat="false" ht="15" hidden="false" customHeight="false" outlineLevel="0" collapsed="false">
      <c r="A1284" s="50"/>
      <c r="B1284" s="51" t="str">
        <f aca="false">IF(A1284="","",MONTH(A1284))</f>
        <v/>
      </c>
      <c r="C1284" s="52"/>
      <c r="D1284" s="52"/>
      <c r="E1284" s="52"/>
      <c r="F1284" s="53"/>
      <c r="G1284" s="52"/>
      <c r="H1284" s="54" t="str">
        <f aca="false">IF(E1284="","",E1284*N(F1284)*IF(G1284="",1,G1284))</f>
        <v/>
      </c>
      <c r="I1284" s="55" t="str">
        <f aca="false">IF(C1284="","",IFERROR(INDEX('DANH MỤC'!$B$5:$B$200,MATCH(C1284,'DANH MỤC'!$A$5:$A$200,0)),"⚠ Mã chưa có trong DANH MỤC"))</f>
        <v/>
      </c>
      <c r="J1284" s="52"/>
      <c r="K1284" s="52"/>
      <c r="L1284" s="52"/>
    </row>
    <row r="1285" customFormat="false" ht="15" hidden="false" customHeight="false" outlineLevel="0" collapsed="false">
      <c r="A1285" s="50"/>
      <c r="B1285" s="51" t="str">
        <f aca="false">IF(A1285="","",MONTH(A1285))</f>
        <v/>
      </c>
      <c r="C1285" s="52"/>
      <c r="D1285" s="52"/>
      <c r="E1285" s="52"/>
      <c r="F1285" s="53"/>
      <c r="G1285" s="52"/>
      <c r="H1285" s="54" t="str">
        <f aca="false">IF(E1285="","",E1285*N(F1285)*IF(G1285="",1,G1285))</f>
        <v/>
      </c>
      <c r="I1285" s="55" t="str">
        <f aca="false">IF(C1285="","",IFERROR(INDEX('DANH MỤC'!$B$5:$B$200,MATCH(C1285,'DANH MỤC'!$A$5:$A$200,0)),"⚠ Mã chưa có trong DANH MỤC"))</f>
        <v/>
      </c>
      <c r="J1285" s="52"/>
      <c r="K1285" s="52"/>
      <c r="L1285" s="52"/>
    </row>
    <row r="1286" customFormat="false" ht="15" hidden="false" customHeight="false" outlineLevel="0" collapsed="false">
      <c r="A1286" s="50"/>
      <c r="B1286" s="51" t="str">
        <f aca="false">IF(A1286="","",MONTH(A1286))</f>
        <v/>
      </c>
      <c r="C1286" s="52"/>
      <c r="D1286" s="52"/>
      <c r="E1286" s="52"/>
      <c r="F1286" s="53"/>
      <c r="G1286" s="52"/>
      <c r="H1286" s="54" t="str">
        <f aca="false">IF(E1286="","",E1286*N(F1286)*IF(G1286="",1,G1286))</f>
        <v/>
      </c>
      <c r="I1286" s="55" t="str">
        <f aca="false">IF(C1286="","",IFERROR(INDEX('DANH MỤC'!$B$5:$B$200,MATCH(C1286,'DANH MỤC'!$A$5:$A$200,0)),"⚠ Mã chưa có trong DANH MỤC"))</f>
        <v/>
      </c>
      <c r="J1286" s="52"/>
      <c r="K1286" s="52"/>
      <c r="L1286" s="52"/>
    </row>
    <row r="1287" customFormat="false" ht="15" hidden="false" customHeight="false" outlineLevel="0" collapsed="false">
      <c r="A1287" s="50"/>
      <c r="B1287" s="51" t="str">
        <f aca="false">IF(A1287="","",MONTH(A1287))</f>
        <v/>
      </c>
      <c r="C1287" s="52"/>
      <c r="D1287" s="52"/>
      <c r="E1287" s="52"/>
      <c r="F1287" s="53"/>
      <c r="G1287" s="52"/>
      <c r="H1287" s="54" t="str">
        <f aca="false">IF(E1287="","",E1287*N(F1287)*IF(G1287="",1,G1287))</f>
        <v/>
      </c>
      <c r="I1287" s="55" t="str">
        <f aca="false">IF(C1287="","",IFERROR(INDEX('DANH MỤC'!$B$5:$B$200,MATCH(C1287,'DANH MỤC'!$A$5:$A$200,0)),"⚠ Mã chưa có trong DANH MỤC"))</f>
        <v/>
      </c>
      <c r="J1287" s="52"/>
      <c r="K1287" s="52"/>
      <c r="L1287" s="52"/>
    </row>
    <row r="1288" customFormat="false" ht="15" hidden="false" customHeight="false" outlineLevel="0" collapsed="false">
      <c r="A1288" s="50"/>
      <c r="B1288" s="51" t="str">
        <f aca="false">IF(A1288="","",MONTH(A1288))</f>
        <v/>
      </c>
      <c r="C1288" s="52"/>
      <c r="D1288" s="52"/>
      <c r="E1288" s="52"/>
      <c r="F1288" s="53"/>
      <c r="G1288" s="52"/>
      <c r="H1288" s="54" t="str">
        <f aca="false">IF(E1288="","",E1288*N(F1288)*IF(G1288="",1,G1288))</f>
        <v/>
      </c>
      <c r="I1288" s="55" t="str">
        <f aca="false">IF(C1288="","",IFERROR(INDEX('DANH MỤC'!$B$5:$B$200,MATCH(C1288,'DANH MỤC'!$A$5:$A$200,0)),"⚠ Mã chưa có trong DANH MỤC"))</f>
        <v/>
      </c>
      <c r="J1288" s="52"/>
      <c r="K1288" s="52"/>
      <c r="L1288" s="52"/>
    </row>
    <row r="1289" customFormat="false" ht="15" hidden="false" customHeight="false" outlineLevel="0" collapsed="false">
      <c r="A1289" s="50"/>
      <c r="B1289" s="51" t="str">
        <f aca="false">IF(A1289="","",MONTH(A1289))</f>
        <v/>
      </c>
      <c r="C1289" s="52"/>
      <c r="D1289" s="52"/>
      <c r="E1289" s="52"/>
      <c r="F1289" s="53"/>
      <c r="G1289" s="52"/>
      <c r="H1289" s="54" t="str">
        <f aca="false">IF(E1289="","",E1289*N(F1289)*IF(G1289="",1,G1289))</f>
        <v/>
      </c>
      <c r="I1289" s="55" t="str">
        <f aca="false">IF(C1289="","",IFERROR(INDEX('DANH MỤC'!$B$5:$B$200,MATCH(C1289,'DANH MỤC'!$A$5:$A$200,0)),"⚠ Mã chưa có trong DANH MỤC"))</f>
        <v/>
      </c>
      <c r="J1289" s="52"/>
      <c r="K1289" s="52"/>
      <c r="L1289" s="52"/>
    </row>
    <row r="1290" customFormat="false" ht="15" hidden="false" customHeight="false" outlineLevel="0" collapsed="false">
      <c r="A1290" s="50"/>
      <c r="B1290" s="51" t="str">
        <f aca="false">IF(A1290="","",MONTH(A1290))</f>
        <v/>
      </c>
      <c r="C1290" s="52"/>
      <c r="D1290" s="52"/>
      <c r="E1290" s="52"/>
      <c r="F1290" s="53"/>
      <c r="G1290" s="52"/>
      <c r="H1290" s="54" t="str">
        <f aca="false">IF(E1290="","",E1290*N(F1290)*IF(G1290="",1,G1290))</f>
        <v/>
      </c>
      <c r="I1290" s="55" t="str">
        <f aca="false">IF(C1290="","",IFERROR(INDEX('DANH MỤC'!$B$5:$B$200,MATCH(C1290,'DANH MỤC'!$A$5:$A$200,0)),"⚠ Mã chưa có trong DANH MỤC"))</f>
        <v/>
      </c>
      <c r="J1290" s="52"/>
      <c r="K1290" s="52"/>
      <c r="L1290" s="52"/>
    </row>
    <row r="1291" customFormat="false" ht="15" hidden="false" customHeight="false" outlineLevel="0" collapsed="false">
      <c r="A1291" s="50"/>
      <c r="B1291" s="51" t="str">
        <f aca="false">IF(A1291="","",MONTH(A1291))</f>
        <v/>
      </c>
      <c r="C1291" s="52"/>
      <c r="D1291" s="52"/>
      <c r="E1291" s="52"/>
      <c r="F1291" s="53"/>
      <c r="G1291" s="52"/>
      <c r="H1291" s="54" t="str">
        <f aca="false">IF(E1291="","",E1291*N(F1291)*IF(G1291="",1,G1291))</f>
        <v/>
      </c>
      <c r="I1291" s="55" t="str">
        <f aca="false">IF(C1291="","",IFERROR(INDEX('DANH MỤC'!$B$5:$B$200,MATCH(C1291,'DANH MỤC'!$A$5:$A$200,0)),"⚠ Mã chưa có trong DANH MỤC"))</f>
        <v/>
      </c>
      <c r="J1291" s="52"/>
      <c r="K1291" s="52"/>
      <c r="L1291" s="52"/>
    </row>
    <row r="1292" customFormat="false" ht="15" hidden="false" customHeight="false" outlineLevel="0" collapsed="false">
      <c r="A1292" s="50"/>
      <c r="B1292" s="51" t="str">
        <f aca="false">IF(A1292="","",MONTH(A1292))</f>
        <v/>
      </c>
      <c r="C1292" s="52"/>
      <c r="D1292" s="52"/>
      <c r="E1292" s="52"/>
      <c r="F1292" s="53"/>
      <c r="G1292" s="52"/>
      <c r="H1292" s="54" t="str">
        <f aca="false">IF(E1292="","",E1292*N(F1292)*IF(G1292="",1,G1292))</f>
        <v/>
      </c>
      <c r="I1292" s="55" t="str">
        <f aca="false">IF(C1292="","",IFERROR(INDEX('DANH MỤC'!$B$5:$B$200,MATCH(C1292,'DANH MỤC'!$A$5:$A$200,0)),"⚠ Mã chưa có trong DANH MỤC"))</f>
        <v/>
      </c>
      <c r="J1292" s="52"/>
      <c r="K1292" s="52"/>
      <c r="L1292" s="52"/>
    </row>
    <row r="1293" customFormat="false" ht="15" hidden="false" customHeight="false" outlineLevel="0" collapsed="false">
      <c r="A1293" s="50"/>
      <c r="B1293" s="51" t="str">
        <f aca="false">IF(A1293="","",MONTH(A1293))</f>
        <v/>
      </c>
      <c r="C1293" s="52"/>
      <c r="D1293" s="52"/>
      <c r="E1293" s="52"/>
      <c r="F1293" s="53"/>
      <c r="G1293" s="52"/>
      <c r="H1293" s="54" t="str">
        <f aca="false">IF(E1293="","",E1293*N(F1293)*IF(G1293="",1,G1293))</f>
        <v/>
      </c>
      <c r="I1293" s="55" t="str">
        <f aca="false">IF(C1293="","",IFERROR(INDEX('DANH MỤC'!$B$5:$B$200,MATCH(C1293,'DANH MỤC'!$A$5:$A$200,0)),"⚠ Mã chưa có trong DANH MỤC"))</f>
        <v/>
      </c>
      <c r="J1293" s="52"/>
      <c r="K1293" s="52"/>
      <c r="L1293" s="52"/>
    </row>
    <row r="1294" customFormat="false" ht="15" hidden="false" customHeight="false" outlineLevel="0" collapsed="false">
      <c r="A1294" s="50"/>
      <c r="B1294" s="51" t="str">
        <f aca="false">IF(A1294="","",MONTH(A1294))</f>
        <v/>
      </c>
      <c r="C1294" s="52"/>
      <c r="D1294" s="52"/>
      <c r="E1294" s="52"/>
      <c r="F1294" s="53"/>
      <c r="G1294" s="52"/>
      <c r="H1294" s="54" t="str">
        <f aca="false">IF(E1294="","",E1294*N(F1294)*IF(G1294="",1,G1294))</f>
        <v/>
      </c>
      <c r="I1294" s="55" t="str">
        <f aca="false">IF(C1294="","",IFERROR(INDEX('DANH MỤC'!$B$5:$B$200,MATCH(C1294,'DANH MỤC'!$A$5:$A$200,0)),"⚠ Mã chưa có trong DANH MỤC"))</f>
        <v/>
      </c>
      <c r="J1294" s="52"/>
      <c r="K1294" s="52"/>
      <c r="L1294" s="52"/>
    </row>
    <row r="1295" customFormat="false" ht="15" hidden="false" customHeight="false" outlineLevel="0" collapsed="false">
      <c r="A1295" s="50"/>
      <c r="B1295" s="51" t="str">
        <f aca="false">IF(A1295="","",MONTH(A1295))</f>
        <v/>
      </c>
      <c r="C1295" s="52"/>
      <c r="D1295" s="52"/>
      <c r="E1295" s="52"/>
      <c r="F1295" s="53"/>
      <c r="G1295" s="52"/>
      <c r="H1295" s="54" t="str">
        <f aca="false">IF(E1295="","",E1295*N(F1295)*IF(G1295="",1,G1295))</f>
        <v/>
      </c>
      <c r="I1295" s="55" t="str">
        <f aca="false">IF(C1295="","",IFERROR(INDEX('DANH MỤC'!$B$5:$B$200,MATCH(C1295,'DANH MỤC'!$A$5:$A$200,0)),"⚠ Mã chưa có trong DANH MỤC"))</f>
        <v/>
      </c>
      <c r="J1295" s="52"/>
      <c r="K1295" s="52"/>
      <c r="L1295" s="52"/>
    </row>
    <row r="1296" customFormat="false" ht="15" hidden="false" customHeight="false" outlineLevel="0" collapsed="false">
      <c r="A1296" s="50"/>
      <c r="B1296" s="51" t="str">
        <f aca="false">IF(A1296="","",MONTH(A1296))</f>
        <v/>
      </c>
      <c r="C1296" s="52"/>
      <c r="D1296" s="52"/>
      <c r="E1296" s="52"/>
      <c r="F1296" s="53"/>
      <c r="G1296" s="52"/>
      <c r="H1296" s="54" t="str">
        <f aca="false">IF(E1296="","",E1296*N(F1296)*IF(G1296="",1,G1296))</f>
        <v/>
      </c>
      <c r="I1296" s="55" t="str">
        <f aca="false">IF(C1296="","",IFERROR(INDEX('DANH MỤC'!$B$5:$B$200,MATCH(C1296,'DANH MỤC'!$A$5:$A$200,0)),"⚠ Mã chưa có trong DANH MỤC"))</f>
        <v/>
      </c>
      <c r="J1296" s="52"/>
      <c r="K1296" s="52"/>
      <c r="L1296" s="52"/>
    </row>
    <row r="1297" customFormat="false" ht="15" hidden="false" customHeight="false" outlineLevel="0" collapsed="false">
      <c r="A1297" s="50"/>
      <c r="B1297" s="51" t="str">
        <f aca="false">IF(A1297="","",MONTH(A1297))</f>
        <v/>
      </c>
      <c r="C1297" s="52"/>
      <c r="D1297" s="52"/>
      <c r="E1297" s="52"/>
      <c r="F1297" s="53"/>
      <c r="G1297" s="52"/>
      <c r="H1297" s="54" t="str">
        <f aca="false">IF(E1297="","",E1297*N(F1297)*IF(G1297="",1,G1297))</f>
        <v/>
      </c>
      <c r="I1297" s="55" t="str">
        <f aca="false">IF(C1297="","",IFERROR(INDEX('DANH MỤC'!$B$5:$B$200,MATCH(C1297,'DANH MỤC'!$A$5:$A$200,0)),"⚠ Mã chưa có trong DANH MỤC"))</f>
        <v/>
      </c>
      <c r="J1297" s="52"/>
      <c r="K1297" s="52"/>
      <c r="L1297" s="52"/>
    </row>
    <row r="1298" customFormat="false" ht="15" hidden="false" customHeight="false" outlineLevel="0" collapsed="false">
      <c r="A1298" s="50"/>
      <c r="B1298" s="51" t="str">
        <f aca="false">IF(A1298="","",MONTH(A1298))</f>
        <v/>
      </c>
      <c r="C1298" s="52"/>
      <c r="D1298" s="52"/>
      <c r="E1298" s="52"/>
      <c r="F1298" s="53"/>
      <c r="G1298" s="52"/>
      <c r="H1298" s="54" t="str">
        <f aca="false">IF(E1298="","",E1298*N(F1298)*IF(G1298="",1,G1298))</f>
        <v/>
      </c>
      <c r="I1298" s="55" t="str">
        <f aca="false">IF(C1298="","",IFERROR(INDEX('DANH MỤC'!$B$5:$B$200,MATCH(C1298,'DANH MỤC'!$A$5:$A$200,0)),"⚠ Mã chưa có trong DANH MỤC"))</f>
        <v/>
      </c>
      <c r="J1298" s="52"/>
      <c r="K1298" s="52"/>
      <c r="L1298" s="52"/>
    </row>
    <row r="1299" customFormat="false" ht="15" hidden="false" customHeight="false" outlineLevel="0" collapsed="false">
      <c r="A1299" s="50"/>
      <c r="B1299" s="51" t="str">
        <f aca="false">IF(A1299="","",MONTH(A1299))</f>
        <v/>
      </c>
      <c r="C1299" s="52"/>
      <c r="D1299" s="52"/>
      <c r="E1299" s="52"/>
      <c r="F1299" s="53"/>
      <c r="G1299" s="52"/>
      <c r="H1299" s="54" t="str">
        <f aca="false">IF(E1299="","",E1299*N(F1299)*IF(G1299="",1,G1299))</f>
        <v/>
      </c>
      <c r="I1299" s="55" t="str">
        <f aca="false">IF(C1299="","",IFERROR(INDEX('DANH MỤC'!$B$5:$B$200,MATCH(C1299,'DANH MỤC'!$A$5:$A$200,0)),"⚠ Mã chưa có trong DANH MỤC"))</f>
        <v/>
      </c>
      <c r="J1299" s="52"/>
      <c r="K1299" s="52"/>
      <c r="L1299" s="52"/>
    </row>
    <row r="1300" customFormat="false" ht="15" hidden="false" customHeight="false" outlineLevel="0" collapsed="false">
      <c r="A1300" s="50"/>
      <c r="B1300" s="51" t="str">
        <f aca="false">IF(A1300="","",MONTH(A1300))</f>
        <v/>
      </c>
      <c r="C1300" s="52"/>
      <c r="D1300" s="52"/>
      <c r="E1300" s="52"/>
      <c r="F1300" s="53"/>
      <c r="G1300" s="52"/>
      <c r="H1300" s="54" t="str">
        <f aca="false">IF(E1300="","",E1300*N(F1300)*IF(G1300="",1,G1300))</f>
        <v/>
      </c>
      <c r="I1300" s="55" t="str">
        <f aca="false">IF(C1300="","",IFERROR(INDEX('DANH MỤC'!$B$5:$B$200,MATCH(C1300,'DANH MỤC'!$A$5:$A$200,0)),"⚠ Mã chưa có trong DANH MỤC"))</f>
        <v/>
      </c>
      <c r="J1300" s="52"/>
      <c r="K1300" s="52"/>
      <c r="L1300" s="52"/>
    </row>
    <row r="1301" customFormat="false" ht="15" hidden="false" customHeight="false" outlineLevel="0" collapsed="false">
      <c r="A1301" s="50"/>
      <c r="B1301" s="51" t="str">
        <f aca="false">IF(A1301="","",MONTH(A1301))</f>
        <v/>
      </c>
      <c r="C1301" s="52"/>
      <c r="D1301" s="52"/>
      <c r="E1301" s="52"/>
      <c r="F1301" s="53"/>
      <c r="G1301" s="52"/>
      <c r="H1301" s="54" t="str">
        <f aca="false">IF(E1301="","",E1301*N(F1301)*IF(G1301="",1,G1301))</f>
        <v/>
      </c>
      <c r="I1301" s="55" t="str">
        <f aca="false">IF(C1301="","",IFERROR(INDEX('DANH MỤC'!$B$5:$B$200,MATCH(C1301,'DANH MỤC'!$A$5:$A$200,0)),"⚠ Mã chưa có trong DANH MỤC"))</f>
        <v/>
      </c>
      <c r="J1301" s="52"/>
      <c r="K1301" s="52"/>
      <c r="L1301" s="52"/>
    </row>
    <row r="1302" customFormat="false" ht="15" hidden="false" customHeight="false" outlineLevel="0" collapsed="false">
      <c r="A1302" s="50"/>
      <c r="B1302" s="51" t="str">
        <f aca="false">IF(A1302="","",MONTH(A1302))</f>
        <v/>
      </c>
      <c r="C1302" s="52"/>
      <c r="D1302" s="52"/>
      <c r="E1302" s="52"/>
      <c r="F1302" s="53"/>
      <c r="G1302" s="52"/>
      <c r="H1302" s="54" t="str">
        <f aca="false">IF(E1302="","",E1302*N(F1302)*IF(G1302="",1,G1302))</f>
        <v/>
      </c>
      <c r="I1302" s="55" t="str">
        <f aca="false">IF(C1302="","",IFERROR(INDEX('DANH MỤC'!$B$5:$B$200,MATCH(C1302,'DANH MỤC'!$A$5:$A$200,0)),"⚠ Mã chưa có trong DANH MỤC"))</f>
        <v/>
      </c>
      <c r="J1302" s="52"/>
      <c r="K1302" s="52"/>
      <c r="L1302" s="52"/>
    </row>
    <row r="1303" customFormat="false" ht="15" hidden="false" customHeight="false" outlineLevel="0" collapsed="false">
      <c r="A1303" s="50"/>
      <c r="B1303" s="51" t="str">
        <f aca="false">IF(A1303="","",MONTH(A1303))</f>
        <v/>
      </c>
      <c r="C1303" s="52"/>
      <c r="D1303" s="52"/>
      <c r="E1303" s="52"/>
      <c r="F1303" s="53"/>
      <c r="G1303" s="52"/>
      <c r="H1303" s="54" t="str">
        <f aca="false">IF(E1303="","",E1303*N(F1303)*IF(G1303="",1,G1303))</f>
        <v/>
      </c>
      <c r="I1303" s="55" t="str">
        <f aca="false">IF(C1303="","",IFERROR(INDEX('DANH MỤC'!$B$5:$B$200,MATCH(C1303,'DANH MỤC'!$A$5:$A$200,0)),"⚠ Mã chưa có trong DANH MỤC"))</f>
        <v/>
      </c>
      <c r="J1303" s="52"/>
      <c r="K1303" s="52"/>
      <c r="L1303" s="52"/>
    </row>
    <row r="1304" customFormat="false" ht="15" hidden="false" customHeight="false" outlineLevel="0" collapsed="false">
      <c r="A1304" s="50"/>
      <c r="B1304" s="51" t="str">
        <f aca="false">IF(A1304="","",MONTH(A1304))</f>
        <v/>
      </c>
      <c r="C1304" s="52"/>
      <c r="D1304" s="52"/>
      <c r="E1304" s="52"/>
      <c r="F1304" s="53"/>
      <c r="G1304" s="52"/>
      <c r="H1304" s="54" t="str">
        <f aca="false">IF(E1304="","",E1304*N(F1304)*IF(G1304="",1,G1304))</f>
        <v/>
      </c>
      <c r="I1304" s="55" t="str">
        <f aca="false">IF(C1304="","",IFERROR(INDEX('DANH MỤC'!$B$5:$B$200,MATCH(C1304,'DANH MỤC'!$A$5:$A$200,0)),"⚠ Mã chưa có trong DANH MỤC"))</f>
        <v/>
      </c>
      <c r="J1304" s="52"/>
      <c r="K1304" s="52"/>
      <c r="L1304" s="52"/>
    </row>
    <row r="1305" customFormat="false" ht="15" hidden="false" customHeight="false" outlineLevel="0" collapsed="false">
      <c r="A1305" s="50"/>
      <c r="B1305" s="51" t="str">
        <f aca="false">IF(A1305="","",MONTH(A1305))</f>
        <v/>
      </c>
      <c r="C1305" s="52"/>
      <c r="D1305" s="52"/>
      <c r="E1305" s="52"/>
      <c r="F1305" s="53"/>
      <c r="G1305" s="52"/>
      <c r="H1305" s="54" t="str">
        <f aca="false">IF(E1305="","",E1305*N(F1305)*IF(G1305="",1,G1305))</f>
        <v/>
      </c>
      <c r="I1305" s="55" t="str">
        <f aca="false">IF(C1305="","",IFERROR(INDEX('DANH MỤC'!$B$5:$B$200,MATCH(C1305,'DANH MỤC'!$A$5:$A$200,0)),"⚠ Mã chưa có trong DANH MỤC"))</f>
        <v/>
      </c>
      <c r="J1305" s="52"/>
      <c r="K1305" s="52"/>
      <c r="L1305" s="52"/>
    </row>
    <row r="1306" customFormat="false" ht="15" hidden="false" customHeight="false" outlineLevel="0" collapsed="false">
      <c r="A1306" s="50"/>
      <c r="B1306" s="51" t="str">
        <f aca="false">IF(A1306="","",MONTH(A1306))</f>
        <v/>
      </c>
      <c r="C1306" s="52"/>
      <c r="D1306" s="52"/>
      <c r="E1306" s="52"/>
      <c r="F1306" s="53"/>
      <c r="G1306" s="52"/>
      <c r="H1306" s="54" t="str">
        <f aca="false">IF(E1306="","",E1306*N(F1306)*IF(G1306="",1,G1306))</f>
        <v/>
      </c>
      <c r="I1306" s="55" t="str">
        <f aca="false">IF(C1306="","",IFERROR(INDEX('DANH MỤC'!$B$5:$B$200,MATCH(C1306,'DANH MỤC'!$A$5:$A$200,0)),"⚠ Mã chưa có trong DANH MỤC"))</f>
        <v/>
      </c>
      <c r="J1306" s="52"/>
      <c r="K1306" s="52"/>
      <c r="L1306" s="52"/>
    </row>
    <row r="1307" customFormat="false" ht="15" hidden="false" customHeight="false" outlineLevel="0" collapsed="false">
      <c r="A1307" s="50"/>
      <c r="B1307" s="51" t="str">
        <f aca="false">IF(A1307="","",MONTH(A1307))</f>
        <v/>
      </c>
      <c r="C1307" s="52"/>
      <c r="D1307" s="52"/>
      <c r="E1307" s="52"/>
      <c r="F1307" s="53"/>
      <c r="G1307" s="52"/>
      <c r="H1307" s="54" t="str">
        <f aca="false">IF(E1307="","",E1307*N(F1307)*IF(G1307="",1,G1307))</f>
        <v/>
      </c>
      <c r="I1307" s="55" t="str">
        <f aca="false">IF(C1307="","",IFERROR(INDEX('DANH MỤC'!$B$5:$B$200,MATCH(C1307,'DANH MỤC'!$A$5:$A$200,0)),"⚠ Mã chưa có trong DANH MỤC"))</f>
        <v/>
      </c>
      <c r="J1307" s="52"/>
      <c r="K1307" s="52"/>
      <c r="L1307" s="52"/>
    </row>
    <row r="1308" customFormat="false" ht="15" hidden="false" customHeight="false" outlineLevel="0" collapsed="false">
      <c r="A1308" s="50"/>
      <c r="B1308" s="51" t="str">
        <f aca="false">IF(A1308="","",MONTH(A1308))</f>
        <v/>
      </c>
      <c r="C1308" s="52"/>
      <c r="D1308" s="52"/>
      <c r="E1308" s="52"/>
      <c r="F1308" s="53"/>
      <c r="G1308" s="52"/>
      <c r="H1308" s="54" t="str">
        <f aca="false">IF(E1308="","",E1308*N(F1308)*IF(G1308="",1,G1308))</f>
        <v/>
      </c>
      <c r="I1308" s="55" t="str">
        <f aca="false">IF(C1308="","",IFERROR(INDEX('DANH MỤC'!$B$5:$B$200,MATCH(C1308,'DANH MỤC'!$A$5:$A$200,0)),"⚠ Mã chưa có trong DANH MỤC"))</f>
        <v/>
      </c>
      <c r="J1308" s="52"/>
      <c r="K1308" s="52"/>
      <c r="L1308" s="52"/>
    </row>
    <row r="1309" customFormat="false" ht="15" hidden="false" customHeight="false" outlineLevel="0" collapsed="false">
      <c r="A1309" s="50"/>
      <c r="B1309" s="51" t="str">
        <f aca="false">IF(A1309="","",MONTH(A1309))</f>
        <v/>
      </c>
      <c r="C1309" s="52"/>
      <c r="D1309" s="52"/>
      <c r="E1309" s="52"/>
      <c r="F1309" s="53"/>
      <c r="G1309" s="52"/>
      <c r="H1309" s="54" t="str">
        <f aca="false">IF(E1309="","",E1309*N(F1309)*IF(G1309="",1,G1309))</f>
        <v/>
      </c>
      <c r="I1309" s="55" t="str">
        <f aca="false">IF(C1309="","",IFERROR(INDEX('DANH MỤC'!$B$5:$B$200,MATCH(C1309,'DANH MỤC'!$A$5:$A$200,0)),"⚠ Mã chưa có trong DANH MỤC"))</f>
        <v/>
      </c>
      <c r="J1309" s="52"/>
      <c r="K1309" s="52"/>
      <c r="L1309" s="52"/>
    </row>
    <row r="1310" customFormat="false" ht="15" hidden="false" customHeight="false" outlineLevel="0" collapsed="false">
      <c r="A1310" s="50"/>
      <c r="B1310" s="51" t="str">
        <f aca="false">IF(A1310="","",MONTH(A1310))</f>
        <v/>
      </c>
      <c r="C1310" s="52"/>
      <c r="D1310" s="52"/>
      <c r="E1310" s="52"/>
      <c r="F1310" s="53"/>
      <c r="G1310" s="52"/>
      <c r="H1310" s="54" t="str">
        <f aca="false">IF(E1310="","",E1310*N(F1310)*IF(G1310="",1,G1310))</f>
        <v/>
      </c>
      <c r="I1310" s="55" t="str">
        <f aca="false">IF(C1310="","",IFERROR(INDEX('DANH MỤC'!$B$5:$B$200,MATCH(C1310,'DANH MỤC'!$A$5:$A$200,0)),"⚠ Mã chưa có trong DANH MỤC"))</f>
        <v/>
      </c>
      <c r="J1310" s="52"/>
      <c r="K1310" s="52"/>
      <c r="L1310" s="52"/>
    </row>
    <row r="1311" customFormat="false" ht="15" hidden="false" customHeight="false" outlineLevel="0" collapsed="false">
      <c r="A1311" s="50"/>
      <c r="B1311" s="51" t="str">
        <f aca="false">IF(A1311="","",MONTH(A1311))</f>
        <v/>
      </c>
      <c r="C1311" s="52"/>
      <c r="D1311" s="52"/>
      <c r="E1311" s="52"/>
      <c r="F1311" s="53"/>
      <c r="G1311" s="52"/>
      <c r="H1311" s="54" t="str">
        <f aca="false">IF(E1311="","",E1311*N(F1311)*IF(G1311="",1,G1311))</f>
        <v/>
      </c>
      <c r="I1311" s="55" t="str">
        <f aca="false">IF(C1311="","",IFERROR(INDEX('DANH MỤC'!$B$5:$B$200,MATCH(C1311,'DANH MỤC'!$A$5:$A$200,0)),"⚠ Mã chưa có trong DANH MỤC"))</f>
        <v/>
      </c>
      <c r="J1311" s="52"/>
      <c r="K1311" s="52"/>
      <c r="L1311" s="52"/>
    </row>
    <row r="1312" customFormat="false" ht="15" hidden="false" customHeight="false" outlineLevel="0" collapsed="false">
      <c r="A1312" s="50"/>
      <c r="B1312" s="51" t="str">
        <f aca="false">IF(A1312="","",MONTH(A1312))</f>
        <v/>
      </c>
      <c r="C1312" s="52"/>
      <c r="D1312" s="52"/>
      <c r="E1312" s="52"/>
      <c r="F1312" s="53"/>
      <c r="G1312" s="52"/>
      <c r="H1312" s="54" t="str">
        <f aca="false">IF(E1312="","",E1312*N(F1312)*IF(G1312="",1,G1312))</f>
        <v/>
      </c>
      <c r="I1312" s="55" t="str">
        <f aca="false">IF(C1312="","",IFERROR(INDEX('DANH MỤC'!$B$5:$B$200,MATCH(C1312,'DANH MỤC'!$A$5:$A$200,0)),"⚠ Mã chưa có trong DANH MỤC"))</f>
        <v/>
      </c>
      <c r="J1312" s="52"/>
      <c r="K1312" s="52"/>
      <c r="L1312" s="52"/>
    </row>
    <row r="1313" customFormat="false" ht="15" hidden="false" customHeight="false" outlineLevel="0" collapsed="false">
      <c r="A1313" s="50"/>
      <c r="B1313" s="51" t="str">
        <f aca="false">IF(A1313="","",MONTH(A1313))</f>
        <v/>
      </c>
      <c r="C1313" s="52"/>
      <c r="D1313" s="52"/>
      <c r="E1313" s="52"/>
      <c r="F1313" s="53"/>
      <c r="G1313" s="52"/>
      <c r="H1313" s="54" t="str">
        <f aca="false">IF(E1313="","",E1313*N(F1313)*IF(G1313="",1,G1313))</f>
        <v/>
      </c>
      <c r="I1313" s="55" t="str">
        <f aca="false">IF(C1313="","",IFERROR(INDEX('DANH MỤC'!$B$5:$B$200,MATCH(C1313,'DANH MỤC'!$A$5:$A$200,0)),"⚠ Mã chưa có trong DANH MỤC"))</f>
        <v/>
      </c>
      <c r="J1313" s="52"/>
      <c r="K1313" s="52"/>
      <c r="L1313" s="52"/>
    </row>
    <row r="1314" customFormat="false" ht="15" hidden="false" customHeight="false" outlineLevel="0" collapsed="false">
      <c r="A1314" s="50"/>
      <c r="B1314" s="51" t="str">
        <f aca="false">IF(A1314="","",MONTH(A1314))</f>
        <v/>
      </c>
      <c r="C1314" s="52"/>
      <c r="D1314" s="52"/>
      <c r="E1314" s="52"/>
      <c r="F1314" s="53"/>
      <c r="G1314" s="52"/>
      <c r="H1314" s="54" t="str">
        <f aca="false">IF(E1314="","",E1314*N(F1314)*IF(G1314="",1,G1314))</f>
        <v/>
      </c>
      <c r="I1314" s="55" t="str">
        <f aca="false">IF(C1314="","",IFERROR(INDEX('DANH MỤC'!$B$5:$B$200,MATCH(C1314,'DANH MỤC'!$A$5:$A$200,0)),"⚠ Mã chưa có trong DANH MỤC"))</f>
        <v/>
      </c>
      <c r="J1314" s="52"/>
      <c r="K1314" s="52"/>
      <c r="L1314" s="52"/>
    </row>
    <row r="1315" customFormat="false" ht="15" hidden="false" customHeight="false" outlineLevel="0" collapsed="false">
      <c r="A1315" s="50"/>
      <c r="B1315" s="51" t="str">
        <f aca="false">IF(A1315="","",MONTH(A1315))</f>
        <v/>
      </c>
      <c r="C1315" s="52"/>
      <c r="D1315" s="52"/>
      <c r="E1315" s="52"/>
      <c r="F1315" s="53"/>
      <c r="G1315" s="52"/>
      <c r="H1315" s="54" t="str">
        <f aca="false">IF(E1315="","",E1315*N(F1315)*IF(G1315="",1,G1315))</f>
        <v/>
      </c>
      <c r="I1315" s="55" t="str">
        <f aca="false">IF(C1315="","",IFERROR(INDEX('DANH MỤC'!$B$5:$B$200,MATCH(C1315,'DANH MỤC'!$A$5:$A$200,0)),"⚠ Mã chưa có trong DANH MỤC"))</f>
        <v/>
      </c>
      <c r="J1315" s="52"/>
      <c r="K1315" s="52"/>
      <c r="L1315" s="52"/>
    </row>
    <row r="1316" customFormat="false" ht="15" hidden="false" customHeight="false" outlineLevel="0" collapsed="false">
      <c r="A1316" s="50"/>
      <c r="B1316" s="51" t="str">
        <f aca="false">IF(A1316="","",MONTH(A1316))</f>
        <v/>
      </c>
      <c r="C1316" s="52"/>
      <c r="D1316" s="52"/>
      <c r="E1316" s="52"/>
      <c r="F1316" s="53"/>
      <c r="G1316" s="52"/>
      <c r="H1316" s="54" t="str">
        <f aca="false">IF(E1316="","",E1316*N(F1316)*IF(G1316="",1,G1316))</f>
        <v/>
      </c>
      <c r="I1316" s="55" t="str">
        <f aca="false">IF(C1316="","",IFERROR(INDEX('DANH MỤC'!$B$5:$B$200,MATCH(C1316,'DANH MỤC'!$A$5:$A$200,0)),"⚠ Mã chưa có trong DANH MỤC"))</f>
        <v/>
      </c>
      <c r="J1316" s="52"/>
      <c r="K1316" s="52"/>
      <c r="L1316" s="52"/>
    </row>
    <row r="1317" customFormat="false" ht="15" hidden="false" customHeight="false" outlineLevel="0" collapsed="false">
      <c r="A1317" s="50"/>
      <c r="B1317" s="51" t="str">
        <f aca="false">IF(A1317="","",MONTH(A1317))</f>
        <v/>
      </c>
      <c r="C1317" s="52"/>
      <c r="D1317" s="52"/>
      <c r="E1317" s="52"/>
      <c r="F1317" s="53"/>
      <c r="G1317" s="52"/>
      <c r="H1317" s="54" t="str">
        <f aca="false">IF(E1317="","",E1317*N(F1317)*IF(G1317="",1,G1317))</f>
        <v/>
      </c>
      <c r="I1317" s="55" t="str">
        <f aca="false">IF(C1317="","",IFERROR(INDEX('DANH MỤC'!$B$5:$B$200,MATCH(C1317,'DANH MỤC'!$A$5:$A$200,0)),"⚠ Mã chưa có trong DANH MỤC"))</f>
        <v/>
      </c>
      <c r="J1317" s="52"/>
      <c r="K1317" s="52"/>
      <c r="L1317" s="52"/>
    </row>
    <row r="1318" customFormat="false" ht="15" hidden="false" customHeight="false" outlineLevel="0" collapsed="false">
      <c r="A1318" s="50"/>
      <c r="B1318" s="51" t="str">
        <f aca="false">IF(A1318="","",MONTH(A1318))</f>
        <v/>
      </c>
      <c r="C1318" s="52"/>
      <c r="D1318" s="52"/>
      <c r="E1318" s="52"/>
      <c r="F1318" s="53"/>
      <c r="G1318" s="52"/>
      <c r="H1318" s="54" t="str">
        <f aca="false">IF(E1318="","",E1318*N(F1318)*IF(G1318="",1,G1318))</f>
        <v/>
      </c>
      <c r="I1318" s="55" t="str">
        <f aca="false">IF(C1318="","",IFERROR(INDEX('DANH MỤC'!$B$5:$B$200,MATCH(C1318,'DANH MỤC'!$A$5:$A$200,0)),"⚠ Mã chưa có trong DANH MỤC"))</f>
        <v/>
      </c>
      <c r="J1318" s="52"/>
      <c r="K1318" s="52"/>
      <c r="L1318" s="52"/>
    </row>
    <row r="1319" customFormat="false" ht="15" hidden="false" customHeight="false" outlineLevel="0" collapsed="false">
      <c r="A1319" s="50"/>
      <c r="B1319" s="51" t="str">
        <f aca="false">IF(A1319="","",MONTH(A1319))</f>
        <v/>
      </c>
      <c r="C1319" s="52"/>
      <c r="D1319" s="52"/>
      <c r="E1319" s="52"/>
      <c r="F1319" s="53"/>
      <c r="G1319" s="52"/>
      <c r="H1319" s="54" t="str">
        <f aca="false">IF(E1319="","",E1319*N(F1319)*IF(G1319="",1,G1319))</f>
        <v/>
      </c>
      <c r="I1319" s="55" t="str">
        <f aca="false">IF(C1319="","",IFERROR(INDEX('DANH MỤC'!$B$5:$B$200,MATCH(C1319,'DANH MỤC'!$A$5:$A$200,0)),"⚠ Mã chưa có trong DANH MỤC"))</f>
        <v/>
      </c>
      <c r="J1319" s="52"/>
      <c r="K1319" s="52"/>
      <c r="L1319" s="52"/>
    </row>
    <row r="1320" customFormat="false" ht="15" hidden="false" customHeight="false" outlineLevel="0" collapsed="false">
      <c r="A1320" s="50"/>
      <c r="B1320" s="51" t="str">
        <f aca="false">IF(A1320="","",MONTH(A1320))</f>
        <v/>
      </c>
      <c r="C1320" s="52"/>
      <c r="D1320" s="52"/>
      <c r="E1320" s="52"/>
      <c r="F1320" s="53"/>
      <c r="G1320" s="52"/>
      <c r="H1320" s="54" t="str">
        <f aca="false">IF(E1320="","",E1320*N(F1320)*IF(G1320="",1,G1320))</f>
        <v/>
      </c>
      <c r="I1320" s="55" t="str">
        <f aca="false">IF(C1320="","",IFERROR(INDEX('DANH MỤC'!$B$5:$B$200,MATCH(C1320,'DANH MỤC'!$A$5:$A$200,0)),"⚠ Mã chưa có trong DANH MỤC"))</f>
        <v/>
      </c>
      <c r="J1320" s="52"/>
      <c r="K1320" s="52"/>
      <c r="L1320" s="52"/>
    </row>
    <row r="1321" customFormat="false" ht="15" hidden="false" customHeight="false" outlineLevel="0" collapsed="false">
      <c r="A1321" s="50"/>
      <c r="B1321" s="51" t="str">
        <f aca="false">IF(A1321="","",MONTH(A1321))</f>
        <v/>
      </c>
      <c r="C1321" s="52"/>
      <c r="D1321" s="52"/>
      <c r="E1321" s="52"/>
      <c r="F1321" s="53"/>
      <c r="G1321" s="52"/>
      <c r="H1321" s="54" t="str">
        <f aca="false">IF(E1321="","",E1321*N(F1321)*IF(G1321="",1,G1321))</f>
        <v/>
      </c>
      <c r="I1321" s="55" t="str">
        <f aca="false">IF(C1321="","",IFERROR(INDEX('DANH MỤC'!$B$5:$B$200,MATCH(C1321,'DANH MỤC'!$A$5:$A$200,0)),"⚠ Mã chưa có trong DANH MỤC"))</f>
        <v/>
      </c>
      <c r="J1321" s="52"/>
      <c r="K1321" s="52"/>
      <c r="L1321" s="52"/>
    </row>
    <row r="1322" customFormat="false" ht="15" hidden="false" customHeight="false" outlineLevel="0" collapsed="false">
      <c r="A1322" s="50"/>
      <c r="B1322" s="51" t="str">
        <f aca="false">IF(A1322="","",MONTH(A1322))</f>
        <v/>
      </c>
      <c r="C1322" s="52"/>
      <c r="D1322" s="52"/>
      <c r="E1322" s="52"/>
      <c r="F1322" s="53"/>
      <c r="G1322" s="52"/>
      <c r="H1322" s="54" t="str">
        <f aca="false">IF(E1322="","",E1322*N(F1322)*IF(G1322="",1,G1322))</f>
        <v/>
      </c>
      <c r="I1322" s="55" t="str">
        <f aca="false">IF(C1322="","",IFERROR(INDEX('DANH MỤC'!$B$5:$B$200,MATCH(C1322,'DANH MỤC'!$A$5:$A$200,0)),"⚠ Mã chưa có trong DANH MỤC"))</f>
        <v/>
      </c>
      <c r="J1322" s="52"/>
      <c r="K1322" s="52"/>
      <c r="L1322" s="52"/>
    </row>
    <row r="1323" customFormat="false" ht="15" hidden="false" customHeight="false" outlineLevel="0" collapsed="false">
      <c r="A1323" s="50"/>
      <c r="B1323" s="51" t="str">
        <f aca="false">IF(A1323="","",MONTH(A1323))</f>
        <v/>
      </c>
      <c r="C1323" s="52"/>
      <c r="D1323" s="52"/>
      <c r="E1323" s="52"/>
      <c r="F1323" s="53"/>
      <c r="G1323" s="52"/>
      <c r="H1323" s="54" t="str">
        <f aca="false">IF(E1323="","",E1323*N(F1323)*IF(G1323="",1,G1323))</f>
        <v/>
      </c>
      <c r="I1323" s="55" t="str">
        <f aca="false">IF(C1323="","",IFERROR(INDEX('DANH MỤC'!$B$5:$B$200,MATCH(C1323,'DANH MỤC'!$A$5:$A$200,0)),"⚠ Mã chưa có trong DANH MỤC"))</f>
        <v/>
      </c>
      <c r="J1323" s="52"/>
      <c r="K1323" s="52"/>
      <c r="L1323" s="52"/>
    </row>
    <row r="1324" customFormat="false" ht="15" hidden="false" customHeight="false" outlineLevel="0" collapsed="false">
      <c r="A1324" s="50"/>
      <c r="B1324" s="51" t="str">
        <f aca="false">IF(A1324="","",MONTH(A1324))</f>
        <v/>
      </c>
      <c r="C1324" s="52"/>
      <c r="D1324" s="52"/>
      <c r="E1324" s="52"/>
      <c r="F1324" s="53"/>
      <c r="G1324" s="52"/>
      <c r="H1324" s="54" t="str">
        <f aca="false">IF(E1324="","",E1324*N(F1324)*IF(G1324="",1,G1324))</f>
        <v/>
      </c>
      <c r="I1324" s="55" t="str">
        <f aca="false">IF(C1324="","",IFERROR(INDEX('DANH MỤC'!$B$5:$B$200,MATCH(C1324,'DANH MỤC'!$A$5:$A$200,0)),"⚠ Mã chưa có trong DANH MỤC"))</f>
        <v/>
      </c>
      <c r="J1324" s="52"/>
      <c r="K1324" s="52"/>
      <c r="L1324" s="52"/>
    </row>
    <row r="1325" customFormat="false" ht="15" hidden="false" customHeight="false" outlineLevel="0" collapsed="false">
      <c r="A1325" s="50"/>
      <c r="B1325" s="51" t="str">
        <f aca="false">IF(A1325="","",MONTH(A1325))</f>
        <v/>
      </c>
      <c r="C1325" s="52"/>
      <c r="D1325" s="52"/>
      <c r="E1325" s="52"/>
      <c r="F1325" s="53"/>
      <c r="G1325" s="52"/>
      <c r="H1325" s="54" t="str">
        <f aca="false">IF(E1325="","",E1325*N(F1325)*IF(G1325="",1,G1325))</f>
        <v/>
      </c>
      <c r="I1325" s="55" t="str">
        <f aca="false">IF(C1325="","",IFERROR(INDEX('DANH MỤC'!$B$5:$B$200,MATCH(C1325,'DANH MỤC'!$A$5:$A$200,0)),"⚠ Mã chưa có trong DANH MỤC"))</f>
        <v/>
      </c>
      <c r="J1325" s="52"/>
      <c r="K1325" s="52"/>
      <c r="L1325" s="52"/>
    </row>
    <row r="1326" customFormat="false" ht="15" hidden="false" customHeight="false" outlineLevel="0" collapsed="false">
      <c r="A1326" s="50"/>
      <c r="B1326" s="51" t="str">
        <f aca="false">IF(A1326="","",MONTH(A1326))</f>
        <v/>
      </c>
      <c r="C1326" s="52"/>
      <c r="D1326" s="52"/>
      <c r="E1326" s="52"/>
      <c r="F1326" s="53"/>
      <c r="G1326" s="52"/>
      <c r="H1326" s="54" t="str">
        <f aca="false">IF(E1326="","",E1326*N(F1326)*IF(G1326="",1,G1326))</f>
        <v/>
      </c>
      <c r="I1326" s="55" t="str">
        <f aca="false">IF(C1326="","",IFERROR(INDEX('DANH MỤC'!$B$5:$B$200,MATCH(C1326,'DANH MỤC'!$A$5:$A$200,0)),"⚠ Mã chưa có trong DANH MỤC"))</f>
        <v/>
      </c>
      <c r="J1326" s="52"/>
      <c r="K1326" s="52"/>
      <c r="L1326" s="52"/>
    </row>
    <row r="1327" customFormat="false" ht="15" hidden="false" customHeight="false" outlineLevel="0" collapsed="false">
      <c r="A1327" s="50"/>
      <c r="B1327" s="51" t="str">
        <f aca="false">IF(A1327="","",MONTH(A1327))</f>
        <v/>
      </c>
      <c r="C1327" s="52"/>
      <c r="D1327" s="52"/>
      <c r="E1327" s="52"/>
      <c r="F1327" s="53"/>
      <c r="G1327" s="52"/>
      <c r="H1327" s="54" t="str">
        <f aca="false">IF(E1327="","",E1327*N(F1327)*IF(G1327="",1,G1327))</f>
        <v/>
      </c>
      <c r="I1327" s="55" t="str">
        <f aca="false">IF(C1327="","",IFERROR(INDEX('DANH MỤC'!$B$5:$B$200,MATCH(C1327,'DANH MỤC'!$A$5:$A$200,0)),"⚠ Mã chưa có trong DANH MỤC"))</f>
        <v/>
      </c>
      <c r="J1327" s="52"/>
      <c r="K1327" s="52"/>
      <c r="L1327" s="52"/>
    </row>
    <row r="1328" customFormat="false" ht="15" hidden="false" customHeight="false" outlineLevel="0" collapsed="false">
      <c r="A1328" s="50"/>
      <c r="B1328" s="51" t="str">
        <f aca="false">IF(A1328="","",MONTH(A1328))</f>
        <v/>
      </c>
      <c r="C1328" s="52"/>
      <c r="D1328" s="52"/>
      <c r="E1328" s="52"/>
      <c r="F1328" s="53"/>
      <c r="G1328" s="52"/>
      <c r="H1328" s="54" t="str">
        <f aca="false">IF(E1328="","",E1328*N(F1328)*IF(G1328="",1,G1328))</f>
        <v/>
      </c>
      <c r="I1328" s="55" t="str">
        <f aca="false">IF(C1328="","",IFERROR(INDEX('DANH MỤC'!$B$5:$B$200,MATCH(C1328,'DANH MỤC'!$A$5:$A$200,0)),"⚠ Mã chưa có trong DANH MỤC"))</f>
        <v/>
      </c>
      <c r="J1328" s="52"/>
      <c r="K1328" s="52"/>
      <c r="L1328" s="52"/>
    </row>
    <row r="1329" customFormat="false" ht="15" hidden="false" customHeight="false" outlineLevel="0" collapsed="false">
      <c r="A1329" s="50"/>
      <c r="B1329" s="51" t="str">
        <f aca="false">IF(A1329="","",MONTH(A1329))</f>
        <v/>
      </c>
      <c r="C1329" s="52"/>
      <c r="D1329" s="52"/>
      <c r="E1329" s="52"/>
      <c r="F1329" s="53"/>
      <c r="G1329" s="52"/>
      <c r="H1329" s="54" t="str">
        <f aca="false">IF(E1329="","",E1329*N(F1329)*IF(G1329="",1,G1329))</f>
        <v/>
      </c>
      <c r="I1329" s="55" t="str">
        <f aca="false">IF(C1329="","",IFERROR(INDEX('DANH MỤC'!$B$5:$B$200,MATCH(C1329,'DANH MỤC'!$A$5:$A$200,0)),"⚠ Mã chưa có trong DANH MỤC"))</f>
        <v/>
      </c>
      <c r="J1329" s="52"/>
      <c r="K1329" s="52"/>
      <c r="L1329" s="52"/>
    </row>
    <row r="1330" customFormat="false" ht="15" hidden="false" customHeight="false" outlineLevel="0" collapsed="false">
      <c r="A1330" s="50"/>
      <c r="B1330" s="51" t="str">
        <f aca="false">IF(A1330="","",MONTH(A1330))</f>
        <v/>
      </c>
      <c r="C1330" s="52"/>
      <c r="D1330" s="52"/>
      <c r="E1330" s="52"/>
      <c r="F1330" s="53"/>
      <c r="G1330" s="52"/>
      <c r="H1330" s="54" t="str">
        <f aca="false">IF(E1330="","",E1330*N(F1330)*IF(G1330="",1,G1330))</f>
        <v/>
      </c>
      <c r="I1330" s="55" t="str">
        <f aca="false">IF(C1330="","",IFERROR(INDEX('DANH MỤC'!$B$5:$B$200,MATCH(C1330,'DANH MỤC'!$A$5:$A$200,0)),"⚠ Mã chưa có trong DANH MỤC"))</f>
        <v/>
      </c>
      <c r="J1330" s="52"/>
      <c r="K1330" s="52"/>
      <c r="L1330" s="52"/>
    </row>
    <row r="1331" customFormat="false" ht="15" hidden="false" customHeight="false" outlineLevel="0" collapsed="false">
      <c r="A1331" s="50"/>
      <c r="B1331" s="51" t="str">
        <f aca="false">IF(A1331="","",MONTH(A1331))</f>
        <v/>
      </c>
      <c r="C1331" s="52"/>
      <c r="D1331" s="52"/>
      <c r="E1331" s="52"/>
      <c r="F1331" s="53"/>
      <c r="G1331" s="52"/>
      <c r="H1331" s="54" t="str">
        <f aca="false">IF(E1331="","",E1331*N(F1331)*IF(G1331="",1,G1331))</f>
        <v/>
      </c>
      <c r="I1331" s="55" t="str">
        <f aca="false">IF(C1331="","",IFERROR(INDEX('DANH MỤC'!$B$5:$B$200,MATCH(C1331,'DANH MỤC'!$A$5:$A$200,0)),"⚠ Mã chưa có trong DANH MỤC"))</f>
        <v/>
      </c>
      <c r="J1331" s="52"/>
      <c r="K1331" s="52"/>
      <c r="L1331" s="52"/>
    </row>
    <row r="1332" customFormat="false" ht="15" hidden="false" customHeight="false" outlineLevel="0" collapsed="false">
      <c r="A1332" s="50"/>
      <c r="B1332" s="51" t="str">
        <f aca="false">IF(A1332="","",MONTH(A1332))</f>
        <v/>
      </c>
      <c r="C1332" s="52"/>
      <c r="D1332" s="52"/>
      <c r="E1332" s="52"/>
      <c r="F1332" s="53"/>
      <c r="G1332" s="52"/>
      <c r="H1332" s="54" t="str">
        <f aca="false">IF(E1332="","",E1332*N(F1332)*IF(G1332="",1,G1332))</f>
        <v/>
      </c>
      <c r="I1332" s="55" t="str">
        <f aca="false">IF(C1332="","",IFERROR(INDEX('DANH MỤC'!$B$5:$B$200,MATCH(C1332,'DANH MỤC'!$A$5:$A$200,0)),"⚠ Mã chưa có trong DANH MỤC"))</f>
        <v/>
      </c>
      <c r="J1332" s="52"/>
      <c r="K1332" s="52"/>
      <c r="L1332" s="52"/>
    </row>
    <row r="1333" customFormat="false" ht="15" hidden="false" customHeight="false" outlineLevel="0" collapsed="false">
      <c r="A1333" s="50"/>
      <c r="B1333" s="51" t="str">
        <f aca="false">IF(A1333="","",MONTH(A1333))</f>
        <v/>
      </c>
      <c r="C1333" s="52"/>
      <c r="D1333" s="52"/>
      <c r="E1333" s="52"/>
      <c r="F1333" s="53"/>
      <c r="G1333" s="52"/>
      <c r="H1333" s="54" t="str">
        <f aca="false">IF(E1333="","",E1333*N(F1333)*IF(G1333="",1,G1333))</f>
        <v/>
      </c>
      <c r="I1333" s="55" t="str">
        <f aca="false">IF(C1333="","",IFERROR(INDEX('DANH MỤC'!$B$5:$B$200,MATCH(C1333,'DANH MỤC'!$A$5:$A$200,0)),"⚠ Mã chưa có trong DANH MỤC"))</f>
        <v/>
      </c>
      <c r="J1333" s="52"/>
      <c r="K1333" s="52"/>
      <c r="L1333" s="52"/>
    </row>
    <row r="1334" customFormat="false" ht="15" hidden="false" customHeight="false" outlineLevel="0" collapsed="false">
      <c r="A1334" s="50"/>
      <c r="B1334" s="51" t="str">
        <f aca="false">IF(A1334="","",MONTH(A1334))</f>
        <v/>
      </c>
      <c r="C1334" s="52"/>
      <c r="D1334" s="52"/>
      <c r="E1334" s="52"/>
      <c r="F1334" s="53"/>
      <c r="G1334" s="52"/>
      <c r="H1334" s="54" t="str">
        <f aca="false">IF(E1334="","",E1334*N(F1334)*IF(G1334="",1,G1334))</f>
        <v/>
      </c>
      <c r="I1334" s="55" t="str">
        <f aca="false">IF(C1334="","",IFERROR(INDEX('DANH MỤC'!$B$5:$B$200,MATCH(C1334,'DANH MỤC'!$A$5:$A$200,0)),"⚠ Mã chưa có trong DANH MỤC"))</f>
        <v/>
      </c>
      <c r="J1334" s="52"/>
      <c r="K1334" s="52"/>
      <c r="L1334" s="52"/>
    </row>
    <row r="1335" customFormat="false" ht="15" hidden="false" customHeight="false" outlineLevel="0" collapsed="false">
      <c r="A1335" s="50"/>
      <c r="B1335" s="51" t="str">
        <f aca="false">IF(A1335="","",MONTH(A1335))</f>
        <v/>
      </c>
      <c r="C1335" s="52"/>
      <c r="D1335" s="52"/>
      <c r="E1335" s="52"/>
      <c r="F1335" s="53"/>
      <c r="G1335" s="52"/>
      <c r="H1335" s="54" t="str">
        <f aca="false">IF(E1335="","",E1335*N(F1335)*IF(G1335="",1,G1335))</f>
        <v/>
      </c>
      <c r="I1335" s="55" t="str">
        <f aca="false">IF(C1335="","",IFERROR(INDEX('DANH MỤC'!$B$5:$B$200,MATCH(C1335,'DANH MỤC'!$A$5:$A$200,0)),"⚠ Mã chưa có trong DANH MỤC"))</f>
        <v/>
      </c>
      <c r="J1335" s="52"/>
      <c r="K1335" s="52"/>
      <c r="L1335" s="52"/>
    </row>
    <row r="1336" customFormat="false" ht="15" hidden="false" customHeight="false" outlineLevel="0" collapsed="false">
      <c r="A1336" s="50"/>
      <c r="B1336" s="51" t="str">
        <f aca="false">IF(A1336="","",MONTH(A1336))</f>
        <v/>
      </c>
      <c r="C1336" s="52"/>
      <c r="D1336" s="52"/>
      <c r="E1336" s="52"/>
      <c r="F1336" s="53"/>
      <c r="G1336" s="52"/>
      <c r="H1336" s="54" t="str">
        <f aca="false">IF(E1336="","",E1336*N(F1336)*IF(G1336="",1,G1336))</f>
        <v/>
      </c>
      <c r="I1336" s="55" t="str">
        <f aca="false">IF(C1336="","",IFERROR(INDEX('DANH MỤC'!$B$5:$B$200,MATCH(C1336,'DANH MỤC'!$A$5:$A$200,0)),"⚠ Mã chưa có trong DANH MỤC"))</f>
        <v/>
      </c>
      <c r="J1336" s="52"/>
      <c r="K1336" s="52"/>
      <c r="L1336" s="52"/>
    </row>
    <row r="1337" customFormat="false" ht="15" hidden="false" customHeight="false" outlineLevel="0" collapsed="false">
      <c r="A1337" s="50"/>
      <c r="B1337" s="51" t="str">
        <f aca="false">IF(A1337="","",MONTH(A1337))</f>
        <v/>
      </c>
      <c r="C1337" s="52"/>
      <c r="D1337" s="52"/>
      <c r="E1337" s="52"/>
      <c r="F1337" s="53"/>
      <c r="G1337" s="52"/>
      <c r="H1337" s="54" t="str">
        <f aca="false">IF(E1337="","",E1337*N(F1337)*IF(G1337="",1,G1337))</f>
        <v/>
      </c>
      <c r="I1337" s="55" t="str">
        <f aca="false">IF(C1337="","",IFERROR(INDEX('DANH MỤC'!$B$5:$B$200,MATCH(C1337,'DANH MỤC'!$A$5:$A$200,0)),"⚠ Mã chưa có trong DANH MỤC"))</f>
        <v/>
      </c>
      <c r="J1337" s="52"/>
      <c r="K1337" s="52"/>
      <c r="L1337" s="52"/>
    </row>
    <row r="1338" customFormat="false" ht="15" hidden="false" customHeight="false" outlineLevel="0" collapsed="false">
      <c r="A1338" s="50"/>
      <c r="B1338" s="51" t="str">
        <f aca="false">IF(A1338="","",MONTH(A1338))</f>
        <v/>
      </c>
      <c r="C1338" s="52"/>
      <c r="D1338" s="52"/>
      <c r="E1338" s="52"/>
      <c r="F1338" s="53"/>
      <c r="G1338" s="52"/>
      <c r="H1338" s="54" t="str">
        <f aca="false">IF(E1338="","",E1338*N(F1338)*IF(G1338="",1,G1338))</f>
        <v/>
      </c>
      <c r="I1338" s="55" t="str">
        <f aca="false">IF(C1338="","",IFERROR(INDEX('DANH MỤC'!$B$5:$B$200,MATCH(C1338,'DANH MỤC'!$A$5:$A$200,0)),"⚠ Mã chưa có trong DANH MỤC"))</f>
        <v/>
      </c>
      <c r="J1338" s="52"/>
      <c r="K1338" s="52"/>
      <c r="L1338" s="52"/>
    </row>
    <row r="1339" customFormat="false" ht="15" hidden="false" customHeight="false" outlineLevel="0" collapsed="false">
      <c r="A1339" s="50"/>
      <c r="B1339" s="51" t="str">
        <f aca="false">IF(A1339="","",MONTH(A1339))</f>
        <v/>
      </c>
      <c r="C1339" s="52"/>
      <c r="D1339" s="52"/>
      <c r="E1339" s="52"/>
      <c r="F1339" s="53"/>
      <c r="G1339" s="52"/>
      <c r="H1339" s="54" t="str">
        <f aca="false">IF(E1339="","",E1339*N(F1339)*IF(G1339="",1,G1339))</f>
        <v/>
      </c>
      <c r="I1339" s="55" t="str">
        <f aca="false">IF(C1339="","",IFERROR(INDEX('DANH MỤC'!$B$5:$B$200,MATCH(C1339,'DANH MỤC'!$A$5:$A$200,0)),"⚠ Mã chưa có trong DANH MỤC"))</f>
        <v/>
      </c>
      <c r="J1339" s="52"/>
      <c r="K1339" s="52"/>
      <c r="L1339" s="52"/>
    </row>
    <row r="1340" customFormat="false" ht="15" hidden="false" customHeight="false" outlineLevel="0" collapsed="false">
      <c r="A1340" s="50"/>
      <c r="B1340" s="51" t="str">
        <f aca="false">IF(A1340="","",MONTH(A1340))</f>
        <v/>
      </c>
      <c r="C1340" s="52"/>
      <c r="D1340" s="52"/>
      <c r="E1340" s="52"/>
      <c r="F1340" s="53"/>
      <c r="G1340" s="52"/>
      <c r="H1340" s="54" t="str">
        <f aca="false">IF(E1340="","",E1340*N(F1340)*IF(G1340="",1,G1340))</f>
        <v/>
      </c>
      <c r="I1340" s="55" t="str">
        <f aca="false">IF(C1340="","",IFERROR(INDEX('DANH MỤC'!$B$5:$B$200,MATCH(C1340,'DANH MỤC'!$A$5:$A$200,0)),"⚠ Mã chưa có trong DANH MỤC"))</f>
        <v/>
      </c>
      <c r="J1340" s="52"/>
      <c r="K1340" s="52"/>
      <c r="L1340" s="52"/>
    </row>
    <row r="1341" customFormat="false" ht="15" hidden="false" customHeight="false" outlineLevel="0" collapsed="false">
      <c r="A1341" s="50"/>
      <c r="B1341" s="51" t="str">
        <f aca="false">IF(A1341="","",MONTH(A1341))</f>
        <v/>
      </c>
      <c r="C1341" s="52"/>
      <c r="D1341" s="52"/>
      <c r="E1341" s="52"/>
      <c r="F1341" s="53"/>
      <c r="G1341" s="52"/>
      <c r="H1341" s="54" t="str">
        <f aca="false">IF(E1341="","",E1341*N(F1341)*IF(G1341="",1,G1341))</f>
        <v/>
      </c>
      <c r="I1341" s="55" t="str">
        <f aca="false">IF(C1341="","",IFERROR(INDEX('DANH MỤC'!$B$5:$B$200,MATCH(C1341,'DANH MỤC'!$A$5:$A$200,0)),"⚠ Mã chưa có trong DANH MỤC"))</f>
        <v/>
      </c>
      <c r="J1341" s="52"/>
      <c r="K1341" s="52"/>
      <c r="L1341" s="52"/>
    </row>
    <row r="1342" customFormat="false" ht="15" hidden="false" customHeight="false" outlineLevel="0" collapsed="false">
      <c r="A1342" s="50"/>
      <c r="B1342" s="51" t="str">
        <f aca="false">IF(A1342="","",MONTH(A1342))</f>
        <v/>
      </c>
      <c r="C1342" s="52"/>
      <c r="D1342" s="52"/>
      <c r="E1342" s="52"/>
      <c r="F1342" s="53"/>
      <c r="G1342" s="52"/>
      <c r="H1342" s="54" t="str">
        <f aca="false">IF(E1342="","",E1342*N(F1342)*IF(G1342="",1,G1342))</f>
        <v/>
      </c>
      <c r="I1342" s="55" t="str">
        <f aca="false">IF(C1342="","",IFERROR(INDEX('DANH MỤC'!$B$5:$B$200,MATCH(C1342,'DANH MỤC'!$A$5:$A$200,0)),"⚠ Mã chưa có trong DANH MỤC"))</f>
        <v/>
      </c>
      <c r="J1342" s="52"/>
      <c r="K1342" s="52"/>
      <c r="L1342" s="52"/>
    </row>
    <row r="1343" customFormat="false" ht="15" hidden="false" customHeight="false" outlineLevel="0" collapsed="false">
      <c r="A1343" s="50"/>
      <c r="B1343" s="51" t="str">
        <f aca="false">IF(A1343="","",MONTH(A1343))</f>
        <v/>
      </c>
      <c r="C1343" s="52"/>
      <c r="D1343" s="52"/>
      <c r="E1343" s="52"/>
      <c r="F1343" s="53"/>
      <c r="G1343" s="52"/>
      <c r="H1343" s="54" t="str">
        <f aca="false">IF(E1343="","",E1343*N(F1343)*IF(G1343="",1,G1343))</f>
        <v/>
      </c>
      <c r="I1343" s="55" t="str">
        <f aca="false">IF(C1343="","",IFERROR(INDEX('DANH MỤC'!$B$5:$B$200,MATCH(C1343,'DANH MỤC'!$A$5:$A$200,0)),"⚠ Mã chưa có trong DANH MỤC"))</f>
        <v/>
      </c>
      <c r="J1343" s="52"/>
      <c r="K1343" s="52"/>
      <c r="L1343" s="52"/>
    </row>
    <row r="1344" customFormat="false" ht="15" hidden="false" customHeight="false" outlineLevel="0" collapsed="false">
      <c r="A1344" s="50"/>
      <c r="B1344" s="51" t="str">
        <f aca="false">IF(A1344="","",MONTH(A1344))</f>
        <v/>
      </c>
      <c r="C1344" s="52"/>
      <c r="D1344" s="52"/>
      <c r="E1344" s="52"/>
      <c r="F1344" s="53"/>
      <c r="G1344" s="52"/>
      <c r="H1344" s="54" t="str">
        <f aca="false">IF(E1344="","",E1344*N(F1344)*IF(G1344="",1,G1344))</f>
        <v/>
      </c>
      <c r="I1344" s="55" t="str">
        <f aca="false">IF(C1344="","",IFERROR(INDEX('DANH MỤC'!$B$5:$B$200,MATCH(C1344,'DANH MỤC'!$A$5:$A$200,0)),"⚠ Mã chưa có trong DANH MỤC"))</f>
        <v/>
      </c>
      <c r="J1344" s="52"/>
      <c r="K1344" s="52"/>
      <c r="L1344" s="52"/>
    </row>
    <row r="1345" customFormat="false" ht="15" hidden="false" customHeight="false" outlineLevel="0" collapsed="false">
      <c r="A1345" s="50"/>
      <c r="B1345" s="51" t="str">
        <f aca="false">IF(A1345="","",MONTH(A1345))</f>
        <v/>
      </c>
      <c r="C1345" s="52"/>
      <c r="D1345" s="52"/>
      <c r="E1345" s="52"/>
      <c r="F1345" s="53"/>
      <c r="G1345" s="52"/>
      <c r="H1345" s="54" t="str">
        <f aca="false">IF(E1345="","",E1345*N(F1345)*IF(G1345="",1,G1345))</f>
        <v/>
      </c>
      <c r="I1345" s="55" t="str">
        <f aca="false">IF(C1345="","",IFERROR(INDEX('DANH MỤC'!$B$5:$B$200,MATCH(C1345,'DANH MỤC'!$A$5:$A$200,0)),"⚠ Mã chưa có trong DANH MỤC"))</f>
        <v/>
      </c>
      <c r="J1345" s="52"/>
      <c r="K1345" s="52"/>
      <c r="L1345" s="52"/>
    </row>
    <row r="1346" customFormat="false" ht="15" hidden="false" customHeight="false" outlineLevel="0" collapsed="false">
      <c r="A1346" s="50"/>
      <c r="B1346" s="51" t="str">
        <f aca="false">IF(A1346="","",MONTH(A1346))</f>
        <v/>
      </c>
      <c r="C1346" s="52"/>
      <c r="D1346" s="52"/>
      <c r="E1346" s="52"/>
      <c r="F1346" s="53"/>
      <c r="G1346" s="52"/>
      <c r="H1346" s="54" t="str">
        <f aca="false">IF(E1346="","",E1346*N(F1346)*IF(G1346="",1,G1346))</f>
        <v/>
      </c>
      <c r="I1346" s="55" t="str">
        <f aca="false">IF(C1346="","",IFERROR(INDEX('DANH MỤC'!$B$5:$B$200,MATCH(C1346,'DANH MỤC'!$A$5:$A$200,0)),"⚠ Mã chưa có trong DANH MỤC"))</f>
        <v/>
      </c>
      <c r="J1346" s="52"/>
      <c r="K1346" s="52"/>
      <c r="L1346" s="52"/>
    </row>
    <row r="1347" customFormat="false" ht="15" hidden="false" customHeight="false" outlineLevel="0" collapsed="false">
      <c r="A1347" s="50"/>
      <c r="B1347" s="51" t="str">
        <f aca="false">IF(A1347="","",MONTH(A1347))</f>
        <v/>
      </c>
      <c r="C1347" s="52"/>
      <c r="D1347" s="52"/>
      <c r="E1347" s="52"/>
      <c r="F1347" s="53"/>
      <c r="G1347" s="52"/>
      <c r="H1347" s="54" t="str">
        <f aca="false">IF(E1347="","",E1347*N(F1347)*IF(G1347="",1,G1347))</f>
        <v/>
      </c>
      <c r="I1347" s="55" t="str">
        <f aca="false">IF(C1347="","",IFERROR(INDEX('DANH MỤC'!$B$5:$B$200,MATCH(C1347,'DANH MỤC'!$A$5:$A$200,0)),"⚠ Mã chưa có trong DANH MỤC"))</f>
        <v/>
      </c>
      <c r="J1347" s="52"/>
      <c r="K1347" s="52"/>
      <c r="L1347" s="52"/>
    </row>
    <row r="1348" customFormat="false" ht="15" hidden="false" customHeight="false" outlineLevel="0" collapsed="false">
      <c r="A1348" s="50"/>
      <c r="B1348" s="51" t="str">
        <f aca="false">IF(A1348="","",MONTH(A1348))</f>
        <v/>
      </c>
      <c r="C1348" s="52"/>
      <c r="D1348" s="52"/>
      <c r="E1348" s="52"/>
      <c r="F1348" s="53"/>
      <c r="G1348" s="52"/>
      <c r="H1348" s="54" t="str">
        <f aca="false">IF(E1348="","",E1348*N(F1348)*IF(G1348="",1,G1348))</f>
        <v/>
      </c>
      <c r="I1348" s="55" t="str">
        <f aca="false">IF(C1348="","",IFERROR(INDEX('DANH MỤC'!$B$5:$B$200,MATCH(C1348,'DANH MỤC'!$A$5:$A$200,0)),"⚠ Mã chưa có trong DANH MỤC"))</f>
        <v/>
      </c>
      <c r="J1348" s="52"/>
      <c r="K1348" s="52"/>
      <c r="L1348" s="52"/>
    </row>
    <row r="1349" customFormat="false" ht="15" hidden="false" customHeight="false" outlineLevel="0" collapsed="false">
      <c r="A1349" s="50"/>
      <c r="B1349" s="51" t="str">
        <f aca="false">IF(A1349="","",MONTH(A1349))</f>
        <v/>
      </c>
      <c r="C1349" s="52"/>
      <c r="D1349" s="52"/>
      <c r="E1349" s="52"/>
      <c r="F1349" s="53"/>
      <c r="G1349" s="52"/>
      <c r="H1349" s="54" t="str">
        <f aca="false">IF(E1349="","",E1349*N(F1349)*IF(G1349="",1,G1349))</f>
        <v/>
      </c>
      <c r="I1349" s="55" t="str">
        <f aca="false">IF(C1349="","",IFERROR(INDEX('DANH MỤC'!$B$5:$B$200,MATCH(C1349,'DANH MỤC'!$A$5:$A$200,0)),"⚠ Mã chưa có trong DANH MỤC"))</f>
        <v/>
      </c>
      <c r="J1349" s="52"/>
      <c r="K1349" s="52"/>
      <c r="L1349" s="52"/>
    </row>
    <row r="1350" customFormat="false" ht="15" hidden="false" customHeight="false" outlineLevel="0" collapsed="false">
      <c r="A1350" s="50"/>
      <c r="B1350" s="51" t="str">
        <f aca="false">IF(A1350="","",MONTH(A1350))</f>
        <v/>
      </c>
      <c r="C1350" s="52"/>
      <c r="D1350" s="52"/>
      <c r="E1350" s="52"/>
      <c r="F1350" s="53"/>
      <c r="G1350" s="52"/>
      <c r="H1350" s="54" t="str">
        <f aca="false">IF(E1350="","",E1350*N(F1350)*IF(G1350="",1,G1350))</f>
        <v/>
      </c>
      <c r="I1350" s="55" t="str">
        <f aca="false">IF(C1350="","",IFERROR(INDEX('DANH MỤC'!$B$5:$B$200,MATCH(C1350,'DANH MỤC'!$A$5:$A$200,0)),"⚠ Mã chưa có trong DANH MỤC"))</f>
        <v/>
      </c>
      <c r="J1350" s="52"/>
      <c r="K1350" s="52"/>
      <c r="L1350" s="52"/>
    </row>
    <row r="1351" customFormat="false" ht="15" hidden="false" customHeight="false" outlineLevel="0" collapsed="false">
      <c r="A1351" s="50"/>
      <c r="B1351" s="51" t="str">
        <f aca="false">IF(A1351="","",MONTH(A1351))</f>
        <v/>
      </c>
      <c r="C1351" s="52"/>
      <c r="D1351" s="52"/>
      <c r="E1351" s="52"/>
      <c r="F1351" s="53"/>
      <c r="G1351" s="52"/>
      <c r="H1351" s="54" t="str">
        <f aca="false">IF(E1351="","",E1351*N(F1351)*IF(G1351="",1,G1351))</f>
        <v/>
      </c>
      <c r="I1351" s="55" t="str">
        <f aca="false">IF(C1351="","",IFERROR(INDEX('DANH MỤC'!$B$5:$B$200,MATCH(C1351,'DANH MỤC'!$A$5:$A$200,0)),"⚠ Mã chưa có trong DANH MỤC"))</f>
        <v/>
      </c>
      <c r="J1351" s="52"/>
      <c r="K1351" s="52"/>
      <c r="L1351" s="52"/>
    </row>
    <row r="1352" customFormat="false" ht="15" hidden="false" customHeight="false" outlineLevel="0" collapsed="false">
      <c r="A1352" s="50"/>
      <c r="B1352" s="51" t="str">
        <f aca="false">IF(A1352="","",MONTH(A1352))</f>
        <v/>
      </c>
      <c r="C1352" s="52"/>
      <c r="D1352" s="52"/>
      <c r="E1352" s="52"/>
      <c r="F1352" s="53"/>
      <c r="G1352" s="52"/>
      <c r="H1352" s="54" t="str">
        <f aca="false">IF(E1352="","",E1352*N(F1352)*IF(G1352="",1,G1352))</f>
        <v/>
      </c>
      <c r="I1352" s="55" t="str">
        <f aca="false">IF(C1352="","",IFERROR(INDEX('DANH MỤC'!$B$5:$B$200,MATCH(C1352,'DANH MỤC'!$A$5:$A$200,0)),"⚠ Mã chưa có trong DANH MỤC"))</f>
        <v/>
      </c>
      <c r="J1352" s="52"/>
      <c r="K1352" s="52"/>
      <c r="L1352" s="52"/>
    </row>
    <row r="1353" customFormat="false" ht="15" hidden="false" customHeight="false" outlineLevel="0" collapsed="false">
      <c r="A1353" s="50"/>
      <c r="B1353" s="51" t="str">
        <f aca="false">IF(A1353="","",MONTH(A1353))</f>
        <v/>
      </c>
      <c r="C1353" s="52"/>
      <c r="D1353" s="52"/>
      <c r="E1353" s="52"/>
      <c r="F1353" s="53"/>
      <c r="G1353" s="52"/>
      <c r="H1353" s="54" t="str">
        <f aca="false">IF(E1353="","",E1353*N(F1353)*IF(G1353="",1,G1353))</f>
        <v/>
      </c>
      <c r="I1353" s="55" t="str">
        <f aca="false">IF(C1353="","",IFERROR(INDEX('DANH MỤC'!$B$5:$B$200,MATCH(C1353,'DANH MỤC'!$A$5:$A$200,0)),"⚠ Mã chưa có trong DANH MỤC"))</f>
        <v/>
      </c>
      <c r="J1353" s="52"/>
      <c r="K1353" s="52"/>
      <c r="L1353" s="52"/>
    </row>
    <row r="1354" customFormat="false" ht="15" hidden="false" customHeight="false" outlineLevel="0" collapsed="false">
      <c r="A1354" s="50"/>
      <c r="B1354" s="51" t="str">
        <f aca="false">IF(A1354="","",MONTH(A1354))</f>
        <v/>
      </c>
      <c r="C1354" s="52"/>
      <c r="D1354" s="52"/>
      <c r="E1354" s="52"/>
      <c r="F1354" s="53"/>
      <c r="G1354" s="52"/>
      <c r="H1354" s="54" t="str">
        <f aca="false">IF(E1354="","",E1354*N(F1354)*IF(G1354="",1,G1354))</f>
        <v/>
      </c>
      <c r="I1354" s="55" t="str">
        <f aca="false">IF(C1354="","",IFERROR(INDEX('DANH MỤC'!$B$5:$B$200,MATCH(C1354,'DANH MỤC'!$A$5:$A$200,0)),"⚠ Mã chưa có trong DANH MỤC"))</f>
        <v/>
      </c>
      <c r="J1354" s="52"/>
      <c r="K1354" s="52"/>
      <c r="L1354" s="52"/>
    </row>
    <row r="1355" customFormat="false" ht="15" hidden="false" customHeight="false" outlineLevel="0" collapsed="false">
      <c r="A1355" s="50"/>
      <c r="B1355" s="51" t="str">
        <f aca="false">IF(A1355="","",MONTH(A1355))</f>
        <v/>
      </c>
      <c r="C1355" s="52"/>
      <c r="D1355" s="52"/>
      <c r="E1355" s="52"/>
      <c r="F1355" s="53"/>
      <c r="G1355" s="52"/>
      <c r="H1355" s="54" t="str">
        <f aca="false">IF(E1355="","",E1355*N(F1355)*IF(G1355="",1,G1355))</f>
        <v/>
      </c>
      <c r="I1355" s="55" t="str">
        <f aca="false">IF(C1355="","",IFERROR(INDEX('DANH MỤC'!$B$5:$B$200,MATCH(C1355,'DANH MỤC'!$A$5:$A$200,0)),"⚠ Mã chưa có trong DANH MỤC"))</f>
        <v/>
      </c>
      <c r="J1355" s="52"/>
      <c r="K1355" s="52"/>
      <c r="L1355" s="52"/>
    </row>
    <row r="1356" customFormat="false" ht="15" hidden="false" customHeight="false" outlineLevel="0" collapsed="false">
      <c r="A1356" s="50"/>
      <c r="B1356" s="51" t="str">
        <f aca="false">IF(A1356="","",MONTH(A1356))</f>
        <v/>
      </c>
      <c r="C1356" s="52"/>
      <c r="D1356" s="52"/>
      <c r="E1356" s="52"/>
      <c r="F1356" s="53"/>
      <c r="G1356" s="52"/>
      <c r="H1356" s="54" t="str">
        <f aca="false">IF(E1356="","",E1356*N(F1356)*IF(G1356="",1,G1356))</f>
        <v/>
      </c>
      <c r="I1356" s="55" t="str">
        <f aca="false">IF(C1356="","",IFERROR(INDEX('DANH MỤC'!$B$5:$B$200,MATCH(C1356,'DANH MỤC'!$A$5:$A$200,0)),"⚠ Mã chưa có trong DANH MỤC"))</f>
        <v/>
      </c>
      <c r="J1356" s="52"/>
      <c r="K1356" s="52"/>
      <c r="L1356" s="52"/>
    </row>
    <row r="1357" customFormat="false" ht="15" hidden="false" customHeight="false" outlineLevel="0" collapsed="false">
      <c r="A1357" s="50"/>
      <c r="B1357" s="51" t="str">
        <f aca="false">IF(A1357="","",MONTH(A1357))</f>
        <v/>
      </c>
      <c r="C1357" s="52"/>
      <c r="D1357" s="52"/>
      <c r="E1357" s="52"/>
      <c r="F1357" s="53"/>
      <c r="G1357" s="52"/>
      <c r="H1357" s="54" t="str">
        <f aca="false">IF(E1357="","",E1357*N(F1357)*IF(G1357="",1,G1357))</f>
        <v/>
      </c>
      <c r="I1357" s="55" t="str">
        <f aca="false">IF(C1357="","",IFERROR(INDEX('DANH MỤC'!$B$5:$B$200,MATCH(C1357,'DANH MỤC'!$A$5:$A$200,0)),"⚠ Mã chưa có trong DANH MỤC"))</f>
        <v/>
      </c>
      <c r="J1357" s="52"/>
      <c r="K1357" s="52"/>
      <c r="L1357" s="52"/>
    </row>
    <row r="1358" customFormat="false" ht="15" hidden="false" customHeight="false" outlineLevel="0" collapsed="false">
      <c r="A1358" s="50"/>
      <c r="B1358" s="51" t="str">
        <f aca="false">IF(A1358="","",MONTH(A1358))</f>
        <v/>
      </c>
      <c r="C1358" s="52"/>
      <c r="D1358" s="52"/>
      <c r="E1358" s="52"/>
      <c r="F1358" s="53"/>
      <c r="G1358" s="52"/>
      <c r="H1358" s="54" t="str">
        <f aca="false">IF(E1358="","",E1358*N(F1358)*IF(G1358="",1,G1358))</f>
        <v/>
      </c>
      <c r="I1358" s="55" t="str">
        <f aca="false">IF(C1358="","",IFERROR(INDEX('DANH MỤC'!$B$5:$B$200,MATCH(C1358,'DANH MỤC'!$A$5:$A$200,0)),"⚠ Mã chưa có trong DANH MỤC"))</f>
        <v/>
      </c>
      <c r="J1358" s="52"/>
      <c r="K1358" s="52"/>
      <c r="L1358" s="52"/>
    </row>
    <row r="1359" customFormat="false" ht="15" hidden="false" customHeight="false" outlineLevel="0" collapsed="false">
      <c r="A1359" s="50"/>
      <c r="B1359" s="51" t="str">
        <f aca="false">IF(A1359="","",MONTH(A1359))</f>
        <v/>
      </c>
      <c r="C1359" s="52"/>
      <c r="D1359" s="52"/>
      <c r="E1359" s="52"/>
      <c r="F1359" s="53"/>
      <c r="G1359" s="52"/>
      <c r="H1359" s="54" t="str">
        <f aca="false">IF(E1359="","",E1359*N(F1359)*IF(G1359="",1,G1359))</f>
        <v/>
      </c>
      <c r="I1359" s="55" t="str">
        <f aca="false">IF(C1359="","",IFERROR(INDEX('DANH MỤC'!$B$5:$B$200,MATCH(C1359,'DANH MỤC'!$A$5:$A$200,0)),"⚠ Mã chưa có trong DANH MỤC"))</f>
        <v/>
      </c>
      <c r="J1359" s="52"/>
      <c r="K1359" s="52"/>
      <c r="L1359" s="52"/>
    </row>
    <row r="1360" customFormat="false" ht="15" hidden="false" customHeight="false" outlineLevel="0" collapsed="false">
      <c r="A1360" s="50"/>
      <c r="B1360" s="51" t="str">
        <f aca="false">IF(A1360="","",MONTH(A1360))</f>
        <v/>
      </c>
      <c r="C1360" s="52"/>
      <c r="D1360" s="52"/>
      <c r="E1360" s="52"/>
      <c r="F1360" s="53"/>
      <c r="G1360" s="52"/>
      <c r="H1360" s="54" t="str">
        <f aca="false">IF(E1360="","",E1360*N(F1360)*IF(G1360="",1,G1360))</f>
        <v/>
      </c>
      <c r="I1360" s="55" t="str">
        <f aca="false">IF(C1360="","",IFERROR(INDEX('DANH MỤC'!$B$5:$B$200,MATCH(C1360,'DANH MỤC'!$A$5:$A$200,0)),"⚠ Mã chưa có trong DANH MỤC"))</f>
        <v/>
      </c>
      <c r="J1360" s="52"/>
      <c r="K1360" s="52"/>
      <c r="L1360" s="52"/>
    </row>
    <row r="1361" customFormat="false" ht="15" hidden="false" customHeight="false" outlineLevel="0" collapsed="false">
      <c r="A1361" s="50"/>
      <c r="B1361" s="51" t="str">
        <f aca="false">IF(A1361="","",MONTH(A1361))</f>
        <v/>
      </c>
      <c r="C1361" s="52"/>
      <c r="D1361" s="52"/>
      <c r="E1361" s="52"/>
      <c r="F1361" s="53"/>
      <c r="G1361" s="52"/>
      <c r="H1361" s="54" t="str">
        <f aca="false">IF(E1361="","",E1361*N(F1361)*IF(G1361="",1,G1361))</f>
        <v/>
      </c>
      <c r="I1361" s="55" t="str">
        <f aca="false">IF(C1361="","",IFERROR(INDEX('DANH MỤC'!$B$5:$B$200,MATCH(C1361,'DANH MỤC'!$A$5:$A$200,0)),"⚠ Mã chưa có trong DANH MỤC"))</f>
        <v/>
      </c>
      <c r="J1361" s="52"/>
      <c r="K1361" s="52"/>
      <c r="L1361" s="52"/>
    </row>
    <row r="1362" customFormat="false" ht="15" hidden="false" customHeight="false" outlineLevel="0" collapsed="false">
      <c r="A1362" s="50"/>
      <c r="B1362" s="51" t="str">
        <f aca="false">IF(A1362="","",MONTH(A1362))</f>
        <v/>
      </c>
      <c r="C1362" s="52"/>
      <c r="D1362" s="52"/>
      <c r="E1362" s="52"/>
      <c r="F1362" s="53"/>
      <c r="G1362" s="52"/>
      <c r="H1362" s="54" t="str">
        <f aca="false">IF(E1362="","",E1362*N(F1362)*IF(G1362="",1,G1362))</f>
        <v/>
      </c>
      <c r="I1362" s="55" t="str">
        <f aca="false">IF(C1362="","",IFERROR(INDEX('DANH MỤC'!$B$5:$B$200,MATCH(C1362,'DANH MỤC'!$A$5:$A$200,0)),"⚠ Mã chưa có trong DANH MỤC"))</f>
        <v/>
      </c>
      <c r="J1362" s="52"/>
      <c r="K1362" s="52"/>
      <c r="L1362" s="52"/>
    </row>
    <row r="1363" customFormat="false" ht="15" hidden="false" customHeight="false" outlineLevel="0" collapsed="false">
      <c r="A1363" s="50"/>
      <c r="B1363" s="51" t="str">
        <f aca="false">IF(A1363="","",MONTH(A1363))</f>
        <v/>
      </c>
      <c r="C1363" s="52"/>
      <c r="D1363" s="52"/>
      <c r="E1363" s="52"/>
      <c r="F1363" s="53"/>
      <c r="G1363" s="52"/>
      <c r="H1363" s="54" t="str">
        <f aca="false">IF(E1363="","",E1363*N(F1363)*IF(G1363="",1,G1363))</f>
        <v/>
      </c>
      <c r="I1363" s="55" t="str">
        <f aca="false">IF(C1363="","",IFERROR(INDEX('DANH MỤC'!$B$5:$B$200,MATCH(C1363,'DANH MỤC'!$A$5:$A$200,0)),"⚠ Mã chưa có trong DANH MỤC"))</f>
        <v/>
      </c>
      <c r="J1363" s="52"/>
      <c r="K1363" s="52"/>
      <c r="L1363" s="52"/>
    </row>
    <row r="1364" customFormat="false" ht="15" hidden="false" customHeight="false" outlineLevel="0" collapsed="false">
      <c r="A1364" s="50"/>
      <c r="B1364" s="51" t="str">
        <f aca="false">IF(A1364="","",MONTH(A1364))</f>
        <v/>
      </c>
      <c r="C1364" s="52"/>
      <c r="D1364" s="52"/>
      <c r="E1364" s="52"/>
      <c r="F1364" s="53"/>
      <c r="G1364" s="52"/>
      <c r="H1364" s="54" t="str">
        <f aca="false">IF(E1364="","",E1364*N(F1364)*IF(G1364="",1,G1364))</f>
        <v/>
      </c>
      <c r="I1364" s="55" t="str">
        <f aca="false">IF(C1364="","",IFERROR(INDEX('DANH MỤC'!$B$5:$B$200,MATCH(C1364,'DANH MỤC'!$A$5:$A$200,0)),"⚠ Mã chưa có trong DANH MỤC"))</f>
        <v/>
      </c>
      <c r="J1364" s="52"/>
      <c r="K1364" s="52"/>
      <c r="L1364" s="52"/>
    </row>
    <row r="1365" customFormat="false" ht="15" hidden="false" customHeight="false" outlineLevel="0" collapsed="false">
      <c r="A1365" s="50"/>
      <c r="B1365" s="51" t="str">
        <f aca="false">IF(A1365="","",MONTH(A1365))</f>
        <v/>
      </c>
      <c r="C1365" s="52"/>
      <c r="D1365" s="52"/>
      <c r="E1365" s="52"/>
      <c r="F1365" s="53"/>
      <c r="G1365" s="52"/>
      <c r="H1365" s="54" t="str">
        <f aca="false">IF(E1365="","",E1365*N(F1365)*IF(G1365="",1,G1365))</f>
        <v/>
      </c>
      <c r="I1365" s="55" t="str">
        <f aca="false">IF(C1365="","",IFERROR(INDEX('DANH MỤC'!$B$5:$B$200,MATCH(C1365,'DANH MỤC'!$A$5:$A$200,0)),"⚠ Mã chưa có trong DANH MỤC"))</f>
        <v/>
      </c>
      <c r="J1365" s="52"/>
      <c r="K1365" s="52"/>
      <c r="L1365" s="52"/>
    </row>
    <row r="1366" customFormat="false" ht="15" hidden="false" customHeight="false" outlineLevel="0" collapsed="false">
      <c r="A1366" s="50"/>
      <c r="B1366" s="51" t="str">
        <f aca="false">IF(A1366="","",MONTH(A1366))</f>
        <v/>
      </c>
      <c r="C1366" s="52"/>
      <c r="D1366" s="52"/>
      <c r="E1366" s="52"/>
      <c r="F1366" s="53"/>
      <c r="G1366" s="52"/>
      <c r="H1366" s="54" t="str">
        <f aca="false">IF(E1366="","",E1366*N(F1366)*IF(G1366="",1,G1366))</f>
        <v/>
      </c>
      <c r="I1366" s="55" t="str">
        <f aca="false">IF(C1366="","",IFERROR(INDEX('DANH MỤC'!$B$5:$B$200,MATCH(C1366,'DANH MỤC'!$A$5:$A$200,0)),"⚠ Mã chưa có trong DANH MỤC"))</f>
        <v/>
      </c>
      <c r="J1366" s="52"/>
      <c r="K1366" s="52"/>
      <c r="L1366" s="52"/>
    </row>
    <row r="1367" customFormat="false" ht="15" hidden="false" customHeight="false" outlineLevel="0" collapsed="false">
      <c r="A1367" s="50"/>
      <c r="B1367" s="51" t="str">
        <f aca="false">IF(A1367="","",MONTH(A1367))</f>
        <v/>
      </c>
      <c r="C1367" s="52"/>
      <c r="D1367" s="52"/>
      <c r="E1367" s="52"/>
      <c r="F1367" s="53"/>
      <c r="G1367" s="52"/>
      <c r="H1367" s="54" t="str">
        <f aca="false">IF(E1367="","",E1367*N(F1367)*IF(G1367="",1,G1367))</f>
        <v/>
      </c>
      <c r="I1367" s="55" t="str">
        <f aca="false">IF(C1367="","",IFERROR(INDEX('DANH MỤC'!$B$5:$B$200,MATCH(C1367,'DANH MỤC'!$A$5:$A$200,0)),"⚠ Mã chưa có trong DANH MỤC"))</f>
        <v/>
      </c>
      <c r="J1367" s="52"/>
      <c r="K1367" s="52"/>
      <c r="L1367" s="52"/>
    </row>
    <row r="1368" customFormat="false" ht="15" hidden="false" customHeight="false" outlineLevel="0" collapsed="false">
      <c r="A1368" s="50"/>
      <c r="B1368" s="51" t="str">
        <f aca="false">IF(A1368="","",MONTH(A1368))</f>
        <v/>
      </c>
      <c r="C1368" s="52"/>
      <c r="D1368" s="52"/>
      <c r="E1368" s="52"/>
      <c r="F1368" s="53"/>
      <c r="G1368" s="52"/>
      <c r="H1368" s="54" t="str">
        <f aca="false">IF(E1368="","",E1368*N(F1368)*IF(G1368="",1,G1368))</f>
        <v/>
      </c>
      <c r="I1368" s="55" t="str">
        <f aca="false">IF(C1368="","",IFERROR(INDEX('DANH MỤC'!$B$5:$B$200,MATCH(C1368,'DANH MỤC'!$A$5:$A$200,0)),"⚠ Mã chưa có trong DANH MỤC"))</f>
        <v/>
      </c>
      <c r="J1368" s="52"/>
      <c r="K1368" s="52"/>
      <c r="L1368" s="52"/>
    </row>
    <row r="1369" customFormat="false" ht="15" hidden="false" customHeight="false" outlineLevel="0" collapsed="false">
      <c r="A1369" s="50"/>
      <c r="B1369" s="51" t="str">
        <f aca="false">IF(A1369="","",MONTH(A1369))</f>
        <v/>
      </c>
      <c r="C1369" s="52"/>
      <c r="D1369" s="52"/>
      <c r="E1369" s="52"/>
      <c r="F1369" s="53"/>
      <c r="G1369" s="52"/>
      <c r="H1369" s="54" t="str">
        <f aca="false">IF(E1369="","",E1369*N(F1369)*IF(G1369="",1,G1369))</f>
        <v/>
      </c>
      <c r="I1369" s="55" t="str">
        <f aca="false">IF(C1369="","",IFERROR(INDEX('DANH MỤC'!$B$5:$B$200,MATCH(C1369,'DANH MỤC'!$A$5:$A$200,0)),"⚠ Mã chưa có trong DANH MỤC"))</f>
        <v/>
      </c>
      <c r="J1369" s="52"/>
      <c r="K1369" s="52"/>
      <c r="L1369" s="52"/>
    </row>
    <row r="1370" customFormat="false" ht="15" hidden="false" customHeight="false" outlineLevel="0" collapsed="false">
      <c r="A1370" s="50"/>
      <c r="B1370" s="51" t="str">
        <f aca="false">IF(A1370="","",MONTH(A1370))</f>
        <v/>
      </c>
      <c r="C1370" s="52"/>
      <c r="D1370" s="52"/>
      <c r="E1370" s="52"/>
      <c r="F1370" s="53"/>
      <c r="G1370" s="52"/>
      <c r="H1370" s="54" t="str">
        <f aca="false">IF(E1370="","",E1370*N(F1370)*IF(G1370="",1,G1370))</f>
        <v/>
      </c>
      <c r="I1370" s="55" t="str">
        <f aca="false">IF(C1370="","",IFERROR(INDEX('DANH MỤC'!$B$5:$B$200,MATCH(C1370,'DANH MỤC'!$A$5:$A$200,0)),"⚠ Mã chưa có trong DANH MỤC"))</f>
        <v/>
      </c>
      <c r="J1370" s="52"/>
      <c r="K1370" s="52"/>
      <c r="L1370" s="52"/>
    </row>
    <row r="1371" customFormat="false" ht="15" hidden="false" customHeight="false" outlineLevel="0" collapsed="false">
      <c r="A1371" s="50"/>
      <c r="B1371" s="51" t="str">
        <f aca="false">IF(A1371="","",MONTH(A1371))</f>
        <v/>
      </c>
      <c r="C1371" s="52"/>
      <c r="D1371" s="52"/>
      <c r="E1371" s="52"/>
      <c r="F1371" s="53"/>
      <c r="G1371" s="52"/>
      <c r="H1371" s="54" t="str">
        <f aca="false">IF(E1371="","",E1371*N(F1371)*IF(G1371="",1,G1371))</f>
        <v/>
      </c>
      <c r="I1371" s="55" t="str">
        <f aca="false">IF(C1371="","",IFERROR(INDEX('DANH MỤC'!$B$5:$B$200,MATCH(C1371,'DANH MỤC'!$A$5:$A$200,0)),"⚠ Mã chưa có trong DANH MỤC"))</f>
        <v/>
      </c>
      <c r="J1371" s="52"/>
      <c r="K1371" s="52"/>
      <c r="L1371" s="52"/>
    </row>
    <row r="1372" customFormat="false" ht="15" hidden="false" customHeight="false" outlineLevel="0" collapsed="false">
      <c r="A1372" s="50"/>
      <c r="B1372" s="51" t="str">
        <f aca="false">IF(A1372="","",MONTH(A1372))</f>
        <v/>
      </c>
      <c r="C1372" s="52"/>
      <c r="D1372" s="52"/>
      <c r="E1372" s="52"/>
      <c r="F1372" s="53"/>
      <c r="G1372" s="52"/>
      <c r="H1372" s="54" t="str">
        <f aca="false">IF(E1372="","",E1372*N(F1372)*IF(G1372="",1,G1372))</f>
        <v/>
      </c>
      <c r="I1372" s="55" t="str">
        <f aca="false">IF(C1372="","",IFERROR(INDEX('DANH MỤC'!$B$5:$B$200,MATCH(C1372,'DANH MỤC'!$A$5:$A$200,0)),"⚠ Mã chưa có trong DANH MỤC"))</f>
        <v/>
      </c>
      <c r="J1372" s="52"/>
      <c r="K1372" s="52"/>
      <c r="L1372" s="52"/>
    </row>
    <row r="1373" customFormat="false" ht="15" hidden="false" customHeight="false" outlineLevel="0" collapsed="false">
      <c r="A1373" s="50"/>
      <c r="B1373" s="51" t="str">
        <f aca="false">IF(A1373="","",MONTH(A1373))</f>
        <v/>
      </c>
      <c r="C1373" s="52"/>
      <c r="D1373" s="52"/>
      <c r="E1373" s="52"/>
      <c r="F1373" s="53"/>
      <c r="G1373" s="52"/>
      <c r="H1373" s="54" t="str">
        <f aca="false">IF(E1373="","",E1373*N(F1373)*IF(G1373="",1,G1373))</f>
        <v/>
      </c>
      <c r="I1373" s="55" t="str">
        <f aca="false">IF(C1373="","",IFERROR(INDEX('DANH MỤC'!$B$5:$B$200,MATCH(C1373,'DANH MỤC'!$A$5:$A$200,0)),"⚠ Mã chưa có trong DANH MỤC"))</f>
        <v/>
      </c>
      <c r="J1373" s="52"/>
      <c r="K1373" s="52"/>
      <c r="L1373" s="52"/>
    </row>
    <row r="1374" customFormat="false" ht="15" hidden="false" customHeight="false" outlineLevel="0" collapsed="false">
      <c r="A1374" s="50"/>
      <c r="B1374" s="51" t="str">
        <f aca="false">IF(A1374="","",MONTH(A1374))</f>
        <v/>
      </c>
      <c r="C1374" s="52"/>
      <c r="D1374" s="52"/>
      <c r="E1374" s="52"/>
      <c r="F1374" s="53"/>
      <c r="G1374" s="52"/>
      <c r="H1374" s="54" t="str">
        <f aca="false">IF(E1374="","",E1374*N(F1374)*IF(G1374="",1,G1374))</f>
        <v/>
      </c>
      <c r="I1374" s="55" t="str">
        <f aca="false">IF(C1374="","",IFERROR(INDEX('DANH MỤC'!$B$5:$B$200,MATCH(C1374,'DANH MỤC'!$A$5:$A$200,0)),"⚠ Mã chưa có trong DANH MỤC"))</f>
        <v/>
      </c>
      <c r="J1374" s="52"/>
      <c r="K1374" s="52"/>
      <c r="L1374" s="52"/>
    </row>
    <row r="1375" customFormat="false" ht="15" hidden="false" customHeight="false" outlineLevel="0" collapsed="false">
      <c r="A1375" s="50"/>
      <c r="B1375" s="51" t="str">
        <f aca="false">IF(A1375="","",MONTH(A1375))</f>
        <v/>
      </c>
      <c r="C1375" s="52"/>
      <c r="D1375" s="52"/>
      <c r="E1375" s="52"/>
      <c r="F1375" s="53"/>
      <c r="G1375" s="52"/>
      <c r="H1375" s="54" t="str">
        <f aca="false">IF(E1375="","",E1375*N(F1375)*IF(G1375="",1,G1375))</f>
        <v/>
      </c>
      <c r="I1375" s="55" t="str">
        <f aca="false">IF(C1375="","",IFERROR(INDEX('DANH MỤC'!$B$5:$B$200,MATCH(C1375,'DANH MỤC'!$A$5:$A$200,0)),"⚠ Mã chưa có trong DANH MỤC"))</f>
        <v/>
      </c>
      <c r="J1375" s="52"/>
      <c r="K1375" s="52"/>
      <c r="L1375" s="52"/>
    </row>
    <row r="1376" customFormat="false" ht="15" hidden="false" customHeight="false" outlineLevel="0" collapsed="false">
      <c r="A1376" s="50"/>
      <c r="B1376" s="51" t="str">
        <f aca="false">IF(A1376="","",MONTH(A1376))</f>
        <v/>
      </c>
      <c r="C1376" s="52"/>
      <c r="D1376" s="52"/>
      <c r="E1376" s="52"/>
      <c r="F1376" s="53"/>
      <c r="G1376" s="52"/>
      <c r="H1376" s="54" t="str">
        <f aca="false">IF(E1376="","",E1376*N(F1376)*IF(G1376="",1,G1376))</f>
        <v/>
      </c>
      <c r="I1376" s="55" t="str">
        <f aca="false">IF(C1376="","",IFERROR(INDEX('DANH MỤC'!$B$5:$B$200,MATCH(C1376,'DANH MỤC'!$A$5:$A$200,0)),"⚠ Mã chưa có trong DANH MỤC"))</f>
        <v/>
      </c>
      <c r="J1376" s="52"/>
      <c r="K1376" s="52"/>
      <c r="L1376" s="52"/>
    </row>
    <row r="1377" customFormat="false" ht="15" hidden="false" customHeight="false" outlineLevel="0" collapsed="false">
      <c r="A1377" s="50"/>
      <c r="B1377" s="51" t="str">
        <f aca="false">IF(A1377="","",MONTH(A1377))</f>
        <v/>
      </c>
      <c r="C1377" s="52"/>
      <c r="D1377" s="52"/>
      <c r="E1377" s="52"/>
      <c r="F1377" s="53"/>
      <c r="G1377" s="52"/>
      <c r="H1377" s="54" t="str">
        <f aca="false">IF(E1377="","",E1377*N(F1377)*IF(G1377="",1,G1377))</f>
        <v/>
      </c>
      <c r="I1377" s="55" t="str">
        <f aca="false">IF(C1377="","",IFERROR(INDEX('DANH MỤC'!$B$5:$B$200,MATCH(C1377,'DANH MỤC'!$A$5:$A$200,0)),"⚠ Mã chưa có trong DANH MỤC"))</f>
        <v/>
      </c>
      <c r="J1377" s="52"/>
      <c r="K1377" s="52"/>
      <c r="L1377" s="52"/>
    </row>
    <row r="1378" customFormat="false" ht="15" hidden="false" customHeight="false" outlineLevel="0" collapsed="false">
      <c r="A1378" s="50"/>
      <c r="B1378" s="51" t="str">
        <f aca="false">IF(A1378="","",MONTH(A1378))</f>
        <v/>
      </c>
      <c r="C1378" s="52"/>
      <c r="D1378" s="52"/>
      <c r="E1378" s="52"/>
      <c r="F1378" s="53"/>
      <c r="G1378" s="52"/>
      <c r="H1378" s="54" t="str">
        <f aca="false">IF(E1378="","",E1378*N(F1378)*IF(G1378="",1,G1378))</f>
        <v/>
      </c>
      <c r="I1378" s="55" t="str">
        <f aca="false">IF(C1378="","",IFERROR(INDEX('DANH MỤC'!$B$5:$B$200,MATCH(C1378,'DANH MỤC'!$A$5:$A$200,0)),"⚠ Mã chưa có trong DANH MỤC"))</f>
        <v/>
      </c>
      <c r="J1378" s="52"/>
      <c r="K1378" s="52"/>
      <c r="L1378" s="52"/>
    </row>
    <row r="1379" customFormat="false" ht="15" hidden="false" customHeight="false" outlineLevel="0" collapsed="false">
      <c r="A1379" s="50"/>
      <c r="B1379" s="51" t="str">
        <f aca="false">IF(A1379="","",MONTH(A1379))</f>
        <v/>
      </c>
      <c r="C1379" s="52"/>
      <c r="D1379" s="52"/>
      <c r="E1379" s="52"/>
      <c r="F1379" s="53"/>
      <c r="G1379" s="52"/>
      <c r="H1379" s="54" t="str">
        <f aca="false">IF(E1379="","",E1379*N(F1379)*IF(G1379="",1,G1379))</f>
        <v/>
      </c>
      <c r="I1379" s="55" t="str">
        <f aca="false">IF(C1379="","",IFERROR(INDEX('DANH MỤC'!$B$5:$B$200,MATCH(C1379,'DANH MỤC'!$A$5:$A$200,0)),"⚠ Mã chưa có trong DANH MỤC"))</f>
        <v/>
      </c>
      <c r="J1379" s="52"/>
      <c r="K1379" s="52"/>
      <c r="L1379" s="52"/>
    </row>
    <row r="1380" customFormat="false" ht="15" hidden="false" customHeight="false" outlineLevel="0" collapsed="false">
      <c r="A1380" s="50"/>
      <c r="B1380" s="51" t="str">
        <f aca="false">IF(A1380="","",MONTH(A1380))</f>
        <v/>
      </c>
      <c r="C1380" s="52"/>
      <c r="D1380" s="52"/>
      <c r="E1380" s="52"/>
      <c r="F1380" s="53"/>
      <c r="G1380" s="52"/>
      <c r="H1380" s="54" t="str">
        <f aca="false">IF(E1380="","",E1380*N(F1380)*IF(G1380="",1,G1380))</f>
        <v/>
      </c>
      <c r="I1380" s="55" t="str">
        <f aca="false">IF(C1380="","",IFERROR(INDEX('DANH MỤC'!$B$5:$B$200,MATCH(C1380,'DANH MỤC'!$A$5:$A$200,0)),"⚠ Mã chưa có trong DANH MỤC"))</f>
        <v/>
      </c>
      <c r="J1380" s="52"/>
      <c r="K1380" s="52"/>
      <c r="L1380" s="52"/>
    </row>
    <row r="1381" customFormat="false" ht="15" hidden="false" customHeight="false" outlineLevel="0" collapsed="false">
      <c r="A1381" s="50"/>
      <c r="B1381" s="51" t="str">
        <f aca="false">IF(A1381="","",MONTH(A1381))</f>
        <v/>
      </c>
      <c r="C1381" s="52"/>
      <c r="D1381" s="52"/>
      <c r="E1381" s="52"/>
      <c r="F1381" s="53"/>
      <c r="G1381" s="52"/>
      <c r="H1381" s="54" t="str">
        <f aca="false">IF(E1381="","",E1381*N(F1381)*IF(G1381="",1,G1381))</f>
        <v/>
      </c>
      <c r="I1381" s="55" t="str">
        <f aca="false">IF(C1381="","",IFERROR(INDEX('DANH MỤC'!$B$5:$B$200,MATCH(C1381,'DANH MỤC'!$A$5:$A$200,0)),"⚠ Mã chưa có trong DANH MỤC"))</f>
        <v/>
      </c>
      <c r="J1381" s="52"/>
      <c r="K1381" s="52"/>
      <c r="L1381" s="52"/>
    </row>
    <row r="1382" customFormat="false" ht="15" hidden="false" customHeight="false" outlineLevel="0" collapsed="false">
      <c r="A1382" s="50"/>
      <c r="B1382" s="51" t="str">
        <f aca="false">IF(A1382="","",MONTH(A1382))</f>
        <v/>
      </c>
      <c r="C1382" s="52"/>
      <c r="D1382" s="52"/>
      <c r="E1382" s="52"/>
      <c r="F1382" s="53"/>
      <c r="G1382" s="52"/>
      <c r="H1382" s="54" t="str">
        <f aca="false">IF(E1382="","",E1382*N(F1382)*IF(G1382="",1,G1382))</f>
        <v/>
      </c>
      <c r="I1382" s="55" t="str">
        <f aca="false">IF(C1382="","",IFERROR(INDEX('DANH MỤC'!$B$5:$B$200,MATCH(C1382,'DANH MỤC'!$A$5:$A$200,0)),"⚠ Mã chưa có trong DANH MỤC"))</f>
        <v/>
      </c>
      <c r="J1382" s="52"/>
      <c r="K1382" s="52"/>
      <c r="L1382" s="52"/>
    </row>
    <row r="1383" customFormat="false" ht="15" hidden="false" customHeight="false" outlineLevel="0" collapsed="false">
      <c r="A1383" s="50"/>
      <c r="B1383" s="51" t="str">
        <f aca="false">IF(A1383="","",MONTH(A1383))</f>
        <v/>
      </c>
      <c r="C1383" s="52"/>
      <c r="D1383" s="52"/>
      <c r="E1383" s="52"/>
      <c r="F1383" s="53"/>
      <c r="G1383" s="52"/>
      <c r="H1383" s="54" t="str">
        <f aca="false">IF(E1383="","",E1383*N(F1383)*IF(G1383="",1,G1383))</f>
        <v/>
      </c>
      <c r="I1383" s="55" t="str">
        <f aca="false">IF(C1383="","",IFERROR(INDEX('DANH MỤC'!$B$5:$B$200,MATCH(C1383,'DANH MỤC'!$A$5:$A$200,0)),"⚠ Mã chưa có trong DANH MỤC"))</f>
        <v/>
      </c>
      <c r="J1383" s="52"/>
      <c r="K1383" s="52"/>
      <c r="L1383" s="52"/>
    </row>
    <row r="1384" customFormat="false" ht="15" hidden="false" customHeight="false" outlineLevel="0" collapsed="false">
      <c r="A1384" s="50"/>
      <c r="B1384" s="51" t="str">
        <f aca="false">IF(A1384="","",MONTH(A1384))</f>
        <v/>
      </c>
      <c r="C1384" s="52"/>
      <c r="D1384" s="52"/>
      <c r="E1384" s="52"/>
      <c r="F1384" s="53"/>
      <c r="G1384" s="52"/>
      <c r="H1384" s="54" t="str">
        <f aca="false">IF(E1384="","",E1384*N(F1384)*IF(G1384="",1,G1384))</f>
        <v/>
      </c>
      <c r="I1384" s="55" t="str">
        <f aca="false">IF(C1384="","",IFERROR(INDEX('DANH MỤC'!$B$5:$B$200,MATCH(C1384,'DANH MỤC'!$A$5:$A$200,0)),"⚠ Mã chưa có trong DANH MỤC"))</f>
        <v/>
      </c>
      <c r="J1384" s="52"/>
      <c r="K1384" s="52"/>
      <c r="L1384" s="52"/>
    </row>
    <row r="1385" customFormat="false" ht="15" hidden="false" customHeight="false" outlineLevel="0" collapsed="false">
      <c r="A1385" s="50"/>
      <c r="B1385" s="51" t="str">
        <f aca="false">IF(A1385="","",MONTH(A1385))</f>
        <v/>
      </c>
      <c r="C1385" s="52"/>
      <c r="D1385" s="52"/>
      <c r="E1385" s="52"/>
      <c r="F1385" s="53"/>
      <c r="G1385" s="52"/>
      <c r="H1385" s="54" t="str">
        <f aca="false">IF(E1385="","",E1385*N(F1385)*IF(G1385="",1,G1385))</f>
        <v/>
      </c>
      <c r="I1385" s="55" t="str">
        <f aca="false">IF(C1385="","",IFERROR(INDEX('DANH MỤC'!$B$5:$B$200,MATCH(C1385,'DANH MỤC'!$A$5:$A$200,0)),"⚠ Mã chưa có trong DANH MỤC"))</f>
        <v/>
      </c>
      <c r="J1385" s="52"/>
      <c r="K1385" s="52"/>
      <c r="L1385" s="52"/>
    </row>
    <row r="1386" customFormat="false" ht="15" hidden="false" customHeight="false" outlineLevel="0" collapsed="false">
      <c r="A1386" s="50"/>
      <c r="B1386" s="51" t="str">
        <f aca="false">IF(A1386="","",MONTH(A1386))</f>
        <v/>
      </c>
      <c r="C1386" s="52"/>
      <c r="D1386" s="52"/>
      <c r="E1386" s="52"/>
      <c r="F1386" s="53"/>
      <c r="G1386" s="52"/>
      <c r="H1386" s="54" t="str">
        <f aca="false">IF(E1386="","",E1386*N(F1386)*IF(G1386="",1,G1386))</f>
        <v/>
      </c>
      <c r="I1386" s="55" t="str">
        <f aca="false">IF(C1386="","",IFERROR(INDEX('DANH MỤC'!$B$5:$B$200,MATCH(C1386,'DANH MỤC'!$A$5:$A$200,0)),"⚠ Mã chưa có trong DANH MỤC"))</f>
        <v/>
      </c>
      <c r="J1386" s="52"/>
      <c r="K1386" s="52"/>
      <c r="L1386" s="52"/>
    </row>
    <row r="1387" customFormat="false" ht="15" hidden="false" customHeight="false" outlineLevel="0" collapsed="false">
      <c r="A1387" s="50"/>
      <c r="B1387" s="51" t="str">
        <f aca="false">IF(A1387="","",MONTH(A1387))</f>
        <v/>
      </c>
      <c r="C1387" s="52"/>
      <c r="D1387" s="52"/>
      <c r="E1387" s="52"/>
      <c r="F1387" s="53"/>
      <c r="G1387" s="52"/>
      <c r="H1387" s="54" t="str">
        <f aca="false">IF(E1387="","",E1387*N(F1387)*IF(G1387="",1,G1387))</f>
        <v/>
      </c>
      <c r="I1387" s="55" t="str">
        <f aca="false">IF(C1387="","",IFERROR(INDEX('DANH MỤC'!$B$5:$B$200,MATCH(C1387,'DANH MỤC'!$A$5:$A$200,0)),"⚠ Mã chưa có trong DANH MỤC"))</f>
        <v/>
      </c>
      <c r="J1387" s="52"/>
      <c r="K1387" s="52"/>
      <c r="L1387" s="52"/>
    </row>
    <row r="1388" customFormat="false" ht="15" hidden="false" customHeight="false" outlineLevel="0" collapsed="false">
      <c r="A1388" s="50"/>
      <c r="B1388" s="51" t="str">
        <f aca="false">IF(A1388="","",MONTH(A1388))</f>
        <v/>
      </c>
      <c r="C1388" s="52"/>
      <c r="D1388" s="52"/>
      <c r="E1388" s="52"/>
      <c r="F1388" s="53"/>
      <c r="G1388" s="52"/>
      <c r="H1388" s="54" t="str">
        <f aca="false">IF(E1388="","",E1388*N(F1388)*IF(G1388="",1,G1388))</f>
        <v/>
      </c>
      <c r="I1388" s="55" t="str">
        <f aca="false">IF(C1388="","",IFERROR(INDEX('DANH MỤC'!$B$5:$B$200,MATCH(C1388,'DANH MỤC'!$A$5:$A$200,0)),"⚠ Mã chưa có trong DANH MỤC"))</f>
        <v/>
      </c>
      <c r="J1388" s="52"/>
      <c r="K1388" s="52"/>
      <c r="L1388" s="52"/>
    </row>
    <row r="1389" customFormat="false" ht="15" hidden="false" customHeight="false" outlineLevel="0" collapsed="false">
      <c r="A1389" s="50"/>
      <c r="B1389" s="51" t="str">
        <f aca="false">IF(A1389="","",MONTH(A1389))</f>
        <v/>
      </c>
      <c r="C1389" s="52"/>
      <c r="D1389" s="52"/>
      <c r="E1389" s="52"/>
      <c r="F1389" s="53"/>
      <c r="G1389" s="52"/>
      <c r="H1389" s="54" t="str">
        <f aca="false">IF(E1389="","",E1389*N(F1389)*IF(G1389="",1,G1389))</f>
        <v/>
      </c>
      <c r="I1389" s="55" t="str">
        <f aca="false">IF(C1389="","",IFERROR(INDEX('DANH MỤC'!$B$5:$B$200,MATCH(C1389,'DANH MỤC'!$A$5:$A$200,0)),"⚠ Mã chưa có trong DANH MỤC"))</f>
        <v/>
      </c>
      <c r="J1389" s="52"/>
      <c r="K1389" s="52"/>
      <c r="L1389" s="52"/>
    </row>
    <row r="1390" customFormat="false" ht="15" hidden="false" customHeight="false" outlineLevel="0" collapsed="false">
      <c r="A1390" s="50"/>
      <c r="B1390" s="51" t="str">
        <f aca="false">IF(A1390="","",MONTH(A1390))</f>
        <v/>
      </c>
      <c r="C1390" s="52"/>
      <c r="D1390" s="52"/>
      <c r="E1390" s="52"/>
      <c r="F1390" s="53"/>
      <c r="G1390" s="52"/>
      <c r="H1390" s="54" t="str">
        <f aca="false">IF(E1390="","",E1390*N(F1390)*IF(G1390="",1,G1390))</f>
        <v/>
      </c>
      <c r="I1390" s="55" t="str">
        <f aca="false">IF(C1390="","",IFERROR(INDEX('DANH MỤC'!$B$5:$B$200,MATCH(C1390,'DANH MỤC'!$A$5:$A$200,0)),"⚠ Mã chưa có trong DANH MỤC"))</f>
        <v/>
      </c>
      <c r="J1390" s="52"/>
      <c r="K1390" s="52"/>
      <c r="L1390" s="52"/>
    </row>
    <row r="1391" customFormat="false" ht="15" hidden="false" customHeight="false" outlineLevel="0" collapsed="false">
      <c r="A1391" s="50"/>
      <c r="B1391" s="51" t="str">
        <f aca="false">IF(A1391="","",MONTH(A1391))</f>
        <v/>
      </c>
      <c r="C1391" s="52"/>
      <c r="D1391" s="52"/>
      <c r="E1391" s="52"/>
      <c r="F1391" s="53"/>
      <c r="G1391" s="52"/>
      <c r="H1391" s="54" t="str">
        <f aca="false">IF(E1391="","",E1391*N(F1391)*IF(G1391="",1,G1391))</f>
        <v/>
      </c>
      <c r="I1391" s="55" t="str">
        <f aca="false">IF(C1391="","",IFERROR(INDEX('DANH MỤC'!$B$5:$B$200,MATCH(C1391,'DANH MỤC'!$A$5:$A$200,0)),"⚠ Mã chưa có trong DANH MỤC"))</f>
        <v/>
      </c>
      <c r="J1391" s="52"/>
      <c r="K1391" s="52"/>
      <c r="L1391" s="52"/>
    </row>
    <row r="1392" customFormat="false" ht="15" hidden="false" customHeight="false" outlineLevel="0" collapsed="false">
      <c r="A1392" s="50"/>
      <c r="B1392" s="51" t="str">
        <f aca="false">IF(A1392="","",MONTH(A1392))</f>
        <v/>
      </c>
      <c r="C1392" s="52"/>
      <c r="D1392" s="52"/>
      <c r="E1392" s="52"/>
      <c r="F1392" s="53"/>
      <c r="G1392" s="52"/>
      <c r="H1392" s="54" t="str">
        <f aca="false">IF(E1392="","",E1392*N(F1392)*IF(G1392="",1,G1392))</f>
        <v/>
      </c>
      <c r="I1392" s="55" t="str">
        <f aca="false">IF(C1392="","",IFERROR(INDEX('DANH MỤC'!$B$5:$B$200,MATCH(C1392,'DANH MỤC'!$A$5:$A$200,0)),"⚠ Mã chưa có trong DANH MỤC"))</f>
        <v/>
      </c>
      <c r="J1392" s="52"/>
      <c r="K1392" s="52"/>
      <c r="L1392" s="52"/>
    </row>
    <row r="1393" customFormat="false" ht="15" hidden="false" customHeight="false" outlineLevel="0" collapsed="false">
      <c r="A1393" s="50"/>
      <c r="B1393" s="51" t="str">
        <f aca="false">IF(A1393="","",MONTH(A1393))</f>
        <v/>
      </c>
      <c r="C1393" s="52"/>
      <c r="D1393" s="52"/>
      <c r="E1393" s="52"/>
      <c r="F1393" s="53"/>
      <c r="G1393" s="52"/>
      <c r="H1393" s="54" t="str">
        <f aca="false">IF(E1393="","",E1393*N(F1393)*IF(G1393="",1,G1393))</f>
        <v/>
      </c>
      <c r="I1393" s="55" t="str">
        <f aca="false">IF(C1393="","",IFERROR(INDEX('DANH MỤC'!$B$5:$B$200,MATCH(C1393,'DANH MỤC'!$A$5:$A$200,0)),"⚠ Mã chưa có trong DANH MỤC"))</f>
        <v/>
      </c>
      <c r="J1393" s="52"/>
      <c r="K1393" s="52"/>
      <c r="L1393" s="52"/>
    </row>
    <row r="1394" customFormat="false" ht="15" hidden="false" customHeight="false" outlineLevel="0" collapsed="false">
      <c r="A1394" s="50"/>
      <c r="B1394" s="51" t="str">
        <f aca="false">IF(A1394="","",MONTH(A1394))</f>
        <v/>
      </c>
      <c r="C1394" s="52"/>
      <c r="D1394" s="52"/>
      <c r="E1394" s="52"/>
      <c r="F1394" s="53"/>
      <c r="G1394" s="52"/>
      <c r="H1394" s="54" t="str">
        <f aca="false">IF(E1394="","",E1394*N(F1394)*IF(G1394="",1,G1394))</f>
        <v/>
      </c>
      <c r="I1394" s="55" t="str">
        <f aca="false">IF(C1394="","",IFERROR(INDEX('DANH MỤC'!$B$5:$B$200,MATCH(C1394,'DANH MỤC'!$A$5:$A$200,0)),"⚠ Mã chưa có trong DANH MỤC"))</f>
        <v/>
      </c>
      <c r="J1394" s="52"/>
      <c r="K1394" s="52"/>
      <c r="L1394" s="52"/>
    </row>
    <row r="1395" customFormat="false" ht="15" hidden="false" customHeight="false" outlineLevel="0" collapsed="false">
      <c r="A1395" s="50"/>
      <c r="B1395" s="51" t="str">
        <f aca="false">IF(A1395="","",MONTH(A1395))</f>
        <v/>
      </c>
      <c r="C1395" s="52"/>
      <c r="D1395" s="52"/>
      <c r="E1395" s="52"/>
      <c r="F1395" s="53"/>
      <c r="G1395" s="52"/>
      <c r="H1395" s="54" t="str">
        <f aca="false">IF(E1395="","",E1395*N(F1395)*IF(G1395="",1,G1395))</f>
        <v/>
      </c>
      <c r="I1395" s="55" t="str">
        <f aca="false">IF(C1395="","",IFERROR(INDEX('DANH MỤC'!$B$5:$B$200,MATCH(C1395,'DANH MỤC'!$A$5:$A$200,0)),"⚠ Mã chưa có trong DANH MỤC"))</f>
        <v/>
      </c>
      <c r="J1395" s="52"/>
      <c r="K1395" s="52"/>
      <c r="L1395" s="52"/>
    </row>
    <row r="1396" customFormat="false" ht="15" hidden="false" customHeight="false" outlineLevel="0" collapsed="false">
      <c r="A1396" s="50"/>
      <c r="B1396" s="51" t="str">
        <f aca="false">IF(A1396="","",MONTH(A1396))</f>
        <v/>
      </c>
      <c r="C1396" s="52"/>
      <c r="D1396" s="52"/>
      <c r="E1396" s="52"/>
      <c r="F1396" s="53"/>
      <c r="G1396" s="52"/>
      <c r="H1396" s="54" t="str">
        <f aca="false">IF(E1396="","",E1396*N(F1396)*IF(G1396="",1,G1396))</f>
        <v/>
      </c>
      <c r="I1396" s="55" t="str">
        <f aca="false">IF(C1396="","",IFERROR(INDEX('DANH MỤC'!$B$5:$B$200,MATCH(C1396,'DANH MỤC'!$A$5:$A$200,0)),"⚠ Mã chưa có trong DANH MỤC"))</f>
        <v/>
      </c>
      <c r="J1396" s="52"/>
      <c r="K1396" s="52"/>
      <c r="L1396" s="52"/>
    </row>
    <row r="1397" customFormat="false" ht="15" hidden="false" customHeight="false" outlineLevel="0" collapsed="false">
      <c r="A1397" s="50"/>
      <c r="B1397" s="51" t="str">
        <f aca="false">IF(A1397="","",MONTH(A1397))</f>
        <v/>
      </c>
      <c r="C1397" s="52"/>
      <c r="D1397" s="52"/>
      <c r="E1397" s="52"/>
      <c r="F1397" s="53"/>
      <c r="G1397" s="52"/>
      <c r="H1397" s="54" t="str">
        <f aca="false">IF(E1397="","",E1397*N(F1397)*IF(G1397="",1,G1397))</f>
        <v/>
      </c>
      <c r="I1397" s="55" t="str">
        <f aca="false">IF(C1397="","",IFERROR(INDEX('DANH MỤC'!$B$5:$B$200,MATCH(C1397,'DANH MỤC'!$A$5:$A$200,0)),"⚠ Mã chưa có trong DANH MỤC"))</f>
        <v/>
      </c>
      <c r="J1397" s="52"/>
      <c r="K1397" s="52"/>
      <c r="L1397" s="52"/>
    </row>
    <row r="1398" customFormat="false" ht="15" hidden="false" customHeight="false" outlineLevel="0" collapsed="false">
      <c r="A1398" s="50"/>
      <c r="B1398" s="51" t="str">
        <f aca="false">IF(A1398="","",MONTH(A1398))</f>
        <v/>
      </c>
      <c r="C1398" s="52"/>
      <c r="D1398" s="52"/>
      <c r="E1398" s="52"/>
      <c r="F1398" s="53"/>
      <c r="G1398" s="52"/>
      <c r="H1398" s="54" t="str">
        <f aca="false">IF(E1398="","",E1398*N(F1398)*IF(G1398="",1,G1398))</f>
        <v/>
      </c>
      <c r="I1398" s="55" t="str">
        <f aca="false">IF(C1398="","",IFERROR(INDEX('DANH MỤC'!$B$5:$B$200,MATCH(C1398,'DANH MỤC'!$A$5:$A$200,0)),"⚠ Mã chưa có trong DANH MỤC"))</f>
        <v/>
      </c>
      <c r="J1398" s="52"/>
      <c r="K1398" s="52"/>
      <c r="L1398" s="52"/>
    </row>
    <row r="1399" customFormat="false" ht="15" hidden="false" customHeight="false" outlineLevel="0" collapsed="false">
      <c r="A1399" s="50"/>
      <c r="B1399" s="51" t="str">
        <f aca="false">IF(A1399="","",MONTH(A1399))</f>
        <v/>
      </c>
      <c r="C1399" s="52"/>
      <c r="D1399" s="52"/>
      <c r="E1399" s="52"/>
      <c r="F1399" s="53"/>
      <c r="G1399" s="52"/>
      <c r="H1399" s="54" t="str">
        <f aca="false">IF(E1399="","",E1399*N(F1399)*IF(G1399="",1,G1399))</f>
        <v/>
      </c>
      <c r="I1399" s="55" t="str">
        <f aca="false">IF(C1399="","",IFERROR(INDEX('DANH MỤC'!$B$5:$B$200,MATCH(C1399,'DANH MỤC'!$A$5:$A$200,0)),"⚠ Mã chưa có trong DANH MỤC"))</f>
        <v/>
      </c>
      <c r="J1399" s="52"/>
      <c r="K1399" s="52"/>
      <c r="L1399" s="52"/>
    </row>
    <row r="1400" customFormat="false" ht="15" hidden="false" customHeight="false" outlineLevel="0" collapsed="false">
      <c r="A1400" s="50"/>
      <c r="B1400" s="51" t="str">
        <f aca="false">IF(A1400="","",MONTH(A1400))</f>
        <v/>
      </c>
      <c r="C1400" s="52"/>
      <c r="D1400" s="52"/>
      <c r="E1400" s="52"/>
      <c r="F1400" s="53"/>
      <c r="G1400" s="52"/>
      <c r="H1400" s="54" t="str">
        <f aca="false">IF(E1400="","",E1400*N(F1400)*IF(G1400="",1,G1400))</f>
        <v/>
      </c>
      <c r="I1400" s="55" t="str">
        <f aca="false">IF(C1400="","",IFERROR(INDEX('DANH MỤC'!$B$5:$B$200,MATCH(C1400,'DANH MỤC'!$A$5:$A$200,0)),"⚠ Mã chưa có trong DANH MỤC"))</f>
        <v/>
      </c>
      <c r="J1400" s="52"/>
      <c r="K1400" s="52"/>
      <c r="L1400" s="52"/>
    </row>
    <row r="1401" customFormat="false" ht="15" hidden="false" customHeight="false" outlineLevel="0" collapsed="false">
      <c r="A1401" s="50"/>
      <c r="B1401" s="51" t="str">
        <f aca="false">IF(A1401="","",MONTH(A1401))</f>
        <v/>
      </c>
      <c r="C1401" s="52"/>
      <c r="D1401" s="52"/>
      <c r="E1401" s="52"/>
      <c r="F1401" s="53"/>
      <c r="G1401" s="52"/>
      <c r="H1401" s="54" t="str">
        <f aca="false">IF(E1401="","",E1401*N(F1401)*IF(G1401="",1,G1401))</f>
        <v/>
      </c>
      <c r="I1401" s="55" t="str">
        <f aca="false">IF(C1401="","",IFERROR(INDEX('DANH MỤC'!$B$5:$B$200,MATCH(C1401,'DANH MỤC'!$A$5:$A$200,0)),"⚠ Mã chưa có trong DANH MỤC"))</f>
        <v/>
      </c>
      <c r="J1401" s="52"/>
      <c r="K1401" s="52"/>
      <c r="L1401" s="52"/>
    </row>
    <row r="1402" customFormat="false" ht="15" hidden="false" customHeight="false" outlineLevel="0" collapsed="false">
      <c r="A1402" s="50"/>
      <c r="B1402" s="51" t="str">
        <f aca="false">IF(A1402="","",MONTH(A1402))</f>
        <v/>
      </c>
      <c r="C1402" s="52"/>
      <c r="D1402" s="52"/>
      <c r="E1402" s="52"/>
      <c r="F1402" s="53"/>
      <c r="G1402" s="52"/>
      <c r="H1402" s="54" t="str">
        <f aca="false">IF(E1402="","",E1402*N(F1402)*IF(G1402="",1,G1402))</f>
        <v/>
      </c>
      <c r="I1402" s="55" t="str">
        <f aca="false">IF(C1402="","",IFERROR(INDEX('DANH MỤC'!$B$5:$B$200,MATCH(C1402,'DANH MỤC'!$A$5:$A$200,0)),"⚠ Mã chưa có trong DANH MỤC"))</f>
        <v/>
      </c>
      <c r="J1402" s="52"/>
      <c r="K1402" s="52"/>
      <c r="L1402" s="52"/>
    </row>
    <row r="1403" customFormat="false" ht="15" hidden="false" customHeight="false" outlineLevel="0" collapsed="false">
      <c r="A1403" s="50"/>
      <c r="B1403" s="51" t="str">
        <f aca="false">IF(A1403="","",MONTH(A1403))</f>
        <v/>
      </c>
      <c r="C1403" s="52"/>
      <c r="D1403" s="52"/>
      <c r="E1403" s="52"/>
      <c r="F1403" s="53"/>
      <c r="G1403" s="52"/>
      <c r="H1403" s="54" t="str">
        <f aca="false">IF(E1403="","",E1403*N(F1403)*IF(G1403="",1,G1403))</f>
        <v/>
      </c>
      <c r="I1403" s="55" t="str">
        <f aca="false">IF(C1403="","",IFERROR(INDEX('DANH MỤC'!$B$5:$B$200,MATCH(C1403,'DANH MỤC'!$A$5:$A$200,0)),"⚠ Mã chưa có trong DANH MỤC"))</f>
        <v/>
      </c>
      <c r="J1403" s="52"/>
      <c r="K1403" s="52"/>
      <c r="L1403" s="52"/>
    </row>
    <row r="1404" customFormat="false" ht="15" hidden="false" customHeight="false" outlineLevel="0" collapsed="false">
      <c r="A1404" s="50"/>
      <c r="B1404" s="51" t="str">
        <f aca="false">IF(A1404="","",MONTH(A1404))</f>
        <v/>
      </c>
      <c r="C1404" s="52"/>
      <c r="D1404" s="52"/>
      <c r="E1404" s="52"/>
      <c r="F1404" s="53"/>
      <c r="G1404" s="52"/>
      <c r="H1404" s="54" t="str">
        <f aca="false">IF(E1404="","",E1404*N(F1404)*IF(G1404="",1,G1404))</f>
        <v/>
      </c>
      <c r="I1404" s="55" t="str">
        <f aca="false">IF(C1404="","",IFERROR(INDEX('DANH MỤC'!$B$5:$B$200,MATCH(C1404,'DANH MỤC'!$A$5:$A$200,0)),"⚠ Mã chưa có trong DANH MỤC"))</f>
        <v/>
      </c>
      <c r="J1404" s="52"/>
      <c r="K1404" s="52"/>
      <c r="L1404" s="52"/>
    </row>
    <row r="1405" customFormat="false" ht="15" hidden="false" customHeight="false" outlineLevel="0" collapsed="false">
      <c r="A1405" s="50"/>
      <c r="B1405" s="51" t="str">
        <f aca="false">IF(A1405="","",MONTH(A1405))</f>
        <v/>
      </c>
      <c r="C1405" s="52"/>
      <c r="D1405" s="52"/>
      <c r="E1405" s="52"/>
      <c r="F1405" s="53"/>
      <c r="G1405" s="52"/>
      <c r="H1405" s="54" t="str">
        <f aca="false">IF(E1405="","",E1405*N(F1405)*IF(G1405="",1,G1405))</f>
        <v/>
      </c>
      <c r="I1405" s="55" t="str">
        <f aca="false">IF(C1405="","",IFERROR(INDEX('DANH MỤC'!$B$5:$B$200,MATCH(C1405,'DANH MỤC'!$A$5:$A$200,0)),"⚠ Mã chưa có trong DANH MỤC"))</f>
        <v/>
      </c>
      <c r="J1405" s="52"/>
      <c r="K1405" s="52"/>
      <c r="L1405" s="52"/>
    </row>
    <row r="1406" customFormat="false" ht="15" hidden="false" customHeight="false" outlineLevel="0" collapsed="false">
      <c r="A1406" s="50"/>
      <c r="B1406" s="51" t="str">
        <f aca="false">IF(A1406="","",MONTH(A1406))</f>
        <v/>
      </c>
      <c r="C1406" s="52"/>
      <c r="D1406" s="52"/>
      <c r="E1406" s="52"/>
      <c r="F1406" s="53"/>
      <c r="G1406" s="52"/>
      <c r="H1406" s="54" t="str">
        <f aca="false">IF(E1406="","",E1406*N(F1406)*IF(G1406="",1,G1406))</f>
        <v/>
      </c>
      <c r="I1406" s="55" t="str">
        <f aca="false">IF(C1406="","",IFERROR(INDEX('DANH MỤC'!$B$5:$B$200,MATCH(C1406,'DANH MỤC'!$A$5:$A$200,0)),"⚠ Mã chưa có trong DANH MỤC"))</f>
        <v/>
      </c>
      <c r="J1406" s="52"/>
      <c r="K1406" s="52"/>
      <c r="L1406" s="52"/>
    </row>
    <row r="1407" customFormat="false" ht="15" hidden="false" customHeight="false" outlineLevel="0" collapsed="false">
      <c r="A1407" s="50"/>
      <c r="B1407" s="51" t="str">
        <f aca="false">IF(A1407="","",MONTH(A1407))</f>
        <v/>
      </c>
      <c r="C1407" s="52"/>
      <c r="D1407" s="52"/>
      <c r="E1407" s="52"/>
      <c r="F1407" s="53"/>
      <c r="G1407" s="52"/>
      <c r="H1407" s="54" t="str">
        <f aca="false">IF(E1407="","",E1407*N(F1407)*IF(G1407="",1,G1407))</f>
        <v/>
      </c>
      <c r="I1407" s="55" t="str">
        <f aca="false">IF(C1407="","",IFERROR(INDEX('DANH MỤC'!$B$5:$B$200,MATCH(C1407,'DANH MỤC'!$A$5:$A$200,0)),"⚠ Mã chưa có trong DANH MỤC"))</f>
        <v/>
      </c>
      <c r="J1407" s="52"/>
      <c r="K1407" s="52"/>
      <c r="L1407" s="52"/>
    </row>
    <row r="1408" customFormat="false" ht="15" hidden="false" customHeight="false" outlineLevel="0" collapsed="false">
      <c r="A1408" s="50"/>
      <c r="B1408" s="51" t="str">
        <f aca="false">IF(A1408="","",MONTH(A1408))</f>
        <v/>
      </c>
      <c r="C1408" s="52"/>
      <c r="D1408" s="52"/>
      <c r="E1408" s="52"/>
      <c r="F1408" s="53"/>
      <c r="G1408" s="52"/>
      <c r="H1408" s="54" t="str">
        <f aca="false">IF(E1408="","",E1408*N(F1408)*IF(G1408="",1,G1408))</f>
        <v/>
      </c>
      <c r="I1408" s="55" t="str">
        <f aca="false">IF(C1408="","",IFERROR(INDEX('DANH MỤC'!$B$5:$B$200,MATCH(C1408,'DANH MỤC'!$A$5:$A$200,0)),"⚠ Mã chưa có trong DANH MỤC"))</f>
        <v/>
      </c>
      <c r="J1408" s="52"/>
      <c r="K1408" s="52"/>
      <c r="L1408" s="52"/>
    </row>
    <row r="1409" customFormat="false" ht="15" hidden="false" customHeight="false" outlineLevel="0" collapsed="false">
      <c r="A1409" s="50"/>
      <c r="B1409" s="51" t="str">
        <f aca="false">IF(A1409="","",MONTH(A1409))</f>
        <v/>
      </c>
      <c r="C1409" s="52"/>
      <c r="D1409" s="52"/>
      <c r="E1409" s="52"/>
      <c r="F1409" s="53"/>
      <c r="G1409" s="52"/>
      <c r="H1409" s="54" t="str">
        <f aca="false">IF(E1409="","",E1409*N(F1409)*IF(G1409="",1,G1409))</f>
        <v/>
      </c>
      <c r="I1409" s="55" t="str">
        <f aca="false">IF(C1409="","",IFERROR(INDEX('DANH MỤC'!$B$5:$B$200,MATCH(C1409,'DANH MỤC'!$A$5:$A$200,0)),"⚠ Mã chưa có trong DANH MỤC"))</f>
        <v/>
      </c>
      <c r="J1409" s="52"/>
      <c r="K1409" s="52"/>
      <c r="L1409" s="52"/>
    </row>
    <row r="1410" customFormat="false" ht="15" hidden="false" customHeight="false" outlineLevel="0" collapsed="false">
      <c r="A1410" s="50"/>
      <c r="B1410" s="51" t="str">
        <f aca="false">IF(A1410="","",MONTH(A1410))</f>
        <v/>
      </c>
      <c r="C1410" s="52"/>
      <c r="D1410" s="52"/>
      <c r="E1410" s="52"/>
      <c r="F1410" s="53"/>
      <c r="G1410" s="52"/>
      <c r="H1410" s="54" t="str">
        <f aca="false">IF(E1410="","",E1410*N(F1410)*IF(G1410="",1,G1410))</f>
        <v/>
      </c>
      <c r="I1410" s="55" t="str">
        <f aca="false">IF(C1410="","",IFERROR(INDEX('DANH MỤC'!$B$5:$B$200,MATCH(C1410,'DANH MỤC'!$A$5:$A$200,0)),"⚠ Mã chưa có trong DANH MỤC"))</f>
        <v/>
      </c>
      <c r="J1410" s="52"/>
      <c r="K1410" s="52"/>
      <c r="L1410" s="52"/>
    </row>
    <row r="1411" customFormat="false" ht="15" hidden="false" customHeight="false" outlineLevel="0" collapsed="false">
      <c r="A1411" s="50"/>
      <c r="B1411" s="51" t="str">
        <f aca="false">IF(A1411="","",MONTH(A1411))</f>
        <v/>
      </c>
      <c r="C1411" s="52"/>
      <c r="D1411" s="52"/>
      <c r="E1411" s="52"/>
      <c r="F1411" s="53"/>
      <c r="G1411" s="52"/>
      <c r="H1411" s="54" t="str">
        <f aca="false">IF(E1411="","",E1411*N(F1411)*IF(G1411="",1,G1411))</f>
        <v/>
      </c>
      <c r="I1411" s="55" t="str">
        <f aca="false">IF(C1411="","",IFERROR(INDEX('DANH MỤC'!$B$5:$B$200,MATCH(C1411,'DANH MỤC'!$A$5:$A$200,0)),"⚠ Mã chưa có trong DANH MỤC"))</f>
        <v/>
      </c>
      <c r="J1411" s="52"/>
      <c r="K1411" s="52"/>
      <c r="L1411" s="52"/>
    </row>
    <row r="1412" customFormat="false" ht="15" hidden="false" customHeight="false" outlineLevel="0" collapsed="false">
      <c r="A1412" s="50"/>
      <c r="B1412" s="51" t="str">
        <f aca="false">IF(A1412="","",MONTH(A1412))</f>
        <v/>
      </c>
      <c r="C1412" s="52"/>
      <c r="D1412" s="52"/>
      <c r="E1412" s="52"/>
      <c r="F1412" s="53"/>
      <c r="G1412" s="52"/>
      <c r="H1412" s="54" t="str">
        <f aca="false">IF(E1412="","",E1412*N(F1412)*IF(G1412="",1,G1412))</f>
        <v/>
      </c>
      <c r="I1412" s="55" t="str">
        <f aca="false">IF(C1412="","",IFERROR(INDEX('DANH MỤC'!$B$5:$B$200,MATCH(C1412,'DANH MỤC'!$A$5:$A$200,0)),"⚠ Mã chưa có trong DANH MỤC"))</f>
        <v/>
      </c>
      <c r="J1412" s="52"/>
      <c r="K1412" s="52"/>
      <c r="L1412" s="52"/>
    </row>
    <row r="1413" customFormat="false" ht="15" hidden="false" customHeight="false" outlineLevel="0" collapsed="false">
      <c r="A1413" s="50"/>
      <c r="B1413" s="51" t="str">
        <f aca="false">IF(A1413="","",MONTH(A1413))</f>
        <v/>
      </c>
      <c r="C1413" s="52"/>
      <c r="D1413" s="52"/>
      <c r="E1413" s="52"/>
      <c r="F1413" s="53"/>
      <c r="G1413" s="52"/>
      <c r="H1413" s="54" t="str">
        <f aca="false">IF(E1413="","",E1413*N(F1413)*IF(G1413="",1,G1413))</f>
        <v/>
      </c>
      <c r="I1413" s="55" t="str">
        <f aca="false">IF(C1413="","",IFERROR(INDEX('DANH MỤC'!$B$5:$B$200,MATCH(C1413,'DANH MỤC'!$A$5:$A$200,0)),"⚠ Mã chưa có trong DANH MỤC"))</f>
        <v/>
      </c>
      <c r="J1413" s="52"/>
      <c r="K1413" s="52"/>
      <c r="L1413" s="52"/>
    </row>
    <row r="1414" customFormat="false" ht="15" hidden="false" customHeight="false" outlineLevel="0" collapsed="false">
      <c r="A1414" s="50"/>
      <c r="B1414" s="51" t="str">
        <f aca="false">IF(A1414="","",MONTH(A1414))</f>
        <v/>
      </c>
      <c r="C1414" s="52"/>
      <c r="D1414" s="52"/>
      <c r="E1414" s="52"/>
      <c r="F1414" s="53"/>
      <c r="G1414" s="52"/>
      <c r="H1414" s="54" t="str">
        <f aca="false">IF(E1414="","",E1414*N(F1414)*IF(G1414="",1,G1414))</f>
        <v/>
      </c>
      <c r="I1414" s="55" t="str">
        <f aca="false">IF(C1414="","",IFERROR(INDEX('DANH MỤC'!$B$5:$B$200,MATCH(C1414,'DANH MỤC'!$A$5:$A$200,0)),"⚠ Mã chưa có trong DANH MỤC"))</f>
        <v/>
      </c>
      <c r="J1414" s="52"/>
      <c r="K1414" s="52"/>
      <c r="L1414" s="52"/>
    </row>
    <row r="1415" customFormat="false" ht="15" hidden="false" customHeight="false" outlineLevel="0" collapsed="false">
      <c r="A1415" s="50"/>
      <c r="B1415" s="51" t="str">
        <f aca="false">IF(A1415="","",MONTH(A1415))</f>
        <v/>
      </c>
      <c r="C1415" s="52"/>
      <c r="D1415" s="52"/>
      <c r="E1415" s="52"/>
      <c r="F1415" s="53"/>
      <c r="G1415" s="52"/>
      <c r="H1415" s="54" t="str">
        <f aca="false">IF(E1415="","",E1415*N(F1415)*IF(G1415="",1,G1415))</f>
        <v/>
      </c>
      <c r="I1415" s="55" t="str">
        <f aca="false">IF(C1415="","",IFERROR(INDEX('DANH MỤC'!$B$5:$B$200,MATCH(C1415,'DANH MỤC'!$A$5:$A$200,0)),"⚠ Mã chưa có trong DANH MỤC"))</f>
        <v/>
      </c>
      <c r="J1415" s="52"/>
      <c r="K1415" s="52"/>
      <c r="L1415" s="52"/>
    </row>
    <row r="1416" customFormat="false" ht="15" hidden="false" customHeight="false" outlineLevel="0" collapsed="false">
      <c r="A1416" s="50"/>
      <c r="B1416" s="51" t="str">
        <f aca="false">IF(A1416="","",MONTH(A1416))</f>
        <v/>
      </c>
      <c r="C1416" s="52"/>
      <c r="D1416" s="52"/>
      <c r="E1416" s="52"/>
      <c r="F1416" s="53"/>
      <c r="G1416" s="52"/>
      <c r="H1416" s="54" t="str">
        <f aca="false">IF(E1416="","",E1416*N(F1416)*IF(G1416="",1,G1416))</f>
        <v/>
      </c>
      <c r="I1416" s="55" t="str">
        <f aca="false">IF(C1416="","",IFERROR(INDEX('DANH MỤC'!$B$5:$B$200,MATCH(C1416,'DANH MỤC'!$A$5:$A$200,0)),"⚠ Mã chưa có trong DANH MỤC"))</f>
        <v/>
      </c>
      <c r="J1416" s="52"/>
      <c r="K1416" s="52"/>
      <c r="L1416" s="52"/>
    </row>
    <row r="1417" customFormat="false" ht="15" hidden="false" customHeight="false" outlineLevel="0" collapsed="false">
      <c r="A1417" s="50"/>
      <c r="B1417" s="51" t="str">
        <f aca="false">IF(A1417="","",MONTH(A1417))</f>
        <v/>
      </c>
      <c r="C1417" s="52"/>
      <c r="D1417" s="52"/>
      <c r="E1417" s="52"/>
      <c r="F1417" s="53"/>
      <c r="G1417" s="52"/>
      <c r="H1417" s="54" t="str">
        <f aca="false">IF(E1417="","",E1417*N(F1417)*IF(G1417="",1,G1417))</f>
        <v/>
      </c>
      <c r="I1417" s="55" t="str">
        <f aca="false">IF(C1417="","",IFERROR(INDEX('DANH MỤC'!$B$5:$B$200,MATCH(C1417,'DANH MỤC'!$A$5:$A$200,0)),"⚠ Mã chưa có trong DANH MỤC"))</f>
        <v/>
      </c>
      <c r="J1417" s="52"/>
      <c r="K1417" s="52"/>
      <c r="L1417" s="52"/>
    </row>
    <row r="1418" customFormat="false" ht="15" hidden="false" customHeight="false" outlineLevel="0" collapsed="false">
      <c r="A1418" s="50"/>
      <c r="B1418" s="51" t="str">
        <f aca="false">IF(A1418="","",MONTH(A1418))</f>
        <v/>
      </c>
      <c r="C1418" s="52"/>
      <c r="D1418" s="52"/>
      <c r="E1418" s="52"/>
      <c r="F1418" s="53"/>
      <c r="G1418" s="52"/>
      <c r="H1418" s="54" t="str">
        <f aca="false">IF(E1418="","",E1418*N(F1418)*IF(G1418="",1,G1418))</f>
        <v/>
      </c>
      <c r="I1418" s="55" t="str">
        <f aca="false">IF(C1418="","",IFERROR(INDEX('DANH MỤC'!$B$5:$B$200,MATCH(C1418,'DANH MỤC'!$A$5:$A$200,0)),"⚠ Mã chưa có trong DANH MỤC"))</f>
        <v/>
      </c>
      <c r="J1418" s="52"/>
      <c r="K1418" s="52"/>
      <c r="L1418" s="52"/>
    </row>
    <row r="1419" customFormat="false" ht="15" hidden="false" customHeight="false" outlineLevel="0" collapsed="false">
      <c r="A1419" s="50"/>
      <c r="B1419" s="51" t="str">
        <f aca="false">IF(A1419="","",MONTH(A1419))</f>
        <v/>
      </c>
      <c r="C1419" s="52"/>
      <c r="D1419" s="52"/>
      <c r="E1419" s="52"/>
      <c r="F1419" s="53"/>
      <c r="G1419" s="52"/>
      <c r="H1419" s="54" t="str">
        <f aca="false">IF(E1419="","",E1419*N(F1419)*IF(G1419="",1,G1419))</f>
        <v/>
      </c>
      <c r="I1419" s="55" t="str">
        <f aca="false">IF(C1419="","",IFERROR(INDEX('DANH MỤC'!$B$5:$B$200,MATCH(C1419,'DANH MỤC'!$A$5:$A$200,0)),"⚠ Mã chưa có trong DANH MỤC"))</f>
        <v/>
      </c>
      <c r="J1419" s="52"/>
      <c r="K1419" s="52"/>
      <c r="L1419" s="52"/>
    </row>
    <row r="1420" customFormat="false" ht="15" hidden="false" customHeight="false" outlineLevel="0" collapsed="false">
      <c r="A1420" s="50"/>
      <c r="B1420" s="51" t="str">
        <f aca="false">IF(A1420="","",MONTH(A1420))</f>
        <v/>
      </c>
      <c r="C1420" s="52"/>
      <c r="D1420" s="52"/>
      <c r="E1420" s="52"/>
      <c r="F1420" s="53"/>
      <c r="G1420" s="52"/>
      <c r="H1420" s="54" t="str">
        <f aca="false">IF(E1420="","",E1420*N(F1420)*IF(G1420="",1,G1420))</f>
        <v/>
      </c>
      <c r="I1420" s="55" t="str">
        <f aca="false">IF(C1420="","",IFERROR(INDEX('DANH MỤC'!$B$5:$B$200,MATCH(C1420,'DANH MỤC'!$A$5:$A$200,0)),"⚠ Mã chưa có trong DANH MỤC"))</f>
        <v/>
      </c>
      <c r="J1420" s="52"/>
      <c r="K1420" s="52"/>
      <c r="L1420" s="52"/>
    </row>
    <row r="1421" customFormat="false" ht="15" hidden="false" customHeight="false" outlineLevel="0" collapsed="false">
      <c r="A1421" s="50"/>
      <c r="B1421" s="51" t="str">
        <f aca="false">IF(A1421="","",MONTH(A1421))</f>
        <v/>
      </c>
      <c r="C1421" s="52"/>
      <c r="D1421" s="52"/>
      <c r="E1421" s="52"/>
      <c r="F1421" s="53"/>
      <c r="G1421" s="52"/>
      <c r="H1421" s="54" t="str">
        <f aca="false">IF(E1421="","",E1421*N(F1421)*IF(G1421="",1,G1421))</f>
        <v/>
      </c>
      <c r="I1421" s="55" t="str">
        <f aca="false">IF(C1421="","",IFERROR(INDEX('DANH MỤC'!$B$5:$B$200,MATCH(C1421,'DANH MỤC'!$A$5:$A$200,0)),"⚠ Mã chưa có trong DANH MỤC"))</f>
        <v/>
      </c>
      <c r="J1421" s="52"/>
      <c r="K1421" s="52"/>
      <c r="L1421" s="52"/>
    </row>
    <row r="1422" customFormat="false" ht="15" hidden="false" customHeight="false" outlineLevel="0" collapsed="false">
      <c r="A1422" s="50"/>
      <c r="B1422" s="51" t="str">
        <f aca="false">IF(A1422="","",MONTH(A1422))</f>
        <v/>
      </c>
      <c r="C1422" s="52"/>
      <c r="D1422" s="52"/>
      <c r="E1422" s="52"/>
      <c r="F1422" s="53"/>
      <c r="G1422" s="52"/>
      <c r="H1422" s="54" t="str">
        <f aca="false">IF(E1422="","",E1422*N(F1422)*IF(G1422="",1,G1422))</f>
        <v/>
      </c>
      <c r="I1422" s="55" t="str">
        <f aca="false">IF(C1422="","",IFERROR(INDEX('DANH MỤC'!$B$5:$B$200,MATCH(C1422,'DANH MỤC'!$A$5:$A$200,0)),"⚠ Mã chưa có trong DANH MỤC"))</f>
        <v/>
      </c>
      <c r="J1422" s="52"/>
      <c r="K1422" s="52"/>
      <c r="L1422" s="52"/>
    </row>
    <row r="1423" customFormat="false" ht="15" hidden="false" customHeight="false" outlineLevel="0" collapsed="false">
      <c r="A1423" s="50"/>
      <c r="B1423" s="51" t="str">
        <f aca="false">IF(A1423="","",MONTH(A1423))</f>
        <v/>
      </c>
      <c r="C1423" s="52"/>
      <c r="D1423" s="52"/>
      <c r="E1423" s="52"/>
      <c r="F1423" s="53"/>
      <c r="G1423" s="52"/>
      <c r="H1423" s="54" t="str">
        <f aca="false">IF(E1423="","",E1423*N(F1423)*IF(G1423="",1,G1423))</f>
        <v/>
      </c>
      <c r="I1423" s="55" t="str">
        <f aca="false">IF(C1423="","",IFERROR(INDEX('DANH MỤC'!$B$5:$B$200,MATCH(C1423,'DANH MỤC'!$A$5:$A$200,0)),"⚠ Mã chưa có trong DANH MỤC"))</f>
        <v/>
      </c>
      <c r="J1423" s="52"/>
      <c r="K1423" s="52"/>
      <c r="L1423" s="52"/>
    </row>
    <row r="1424" customFormat="false" ht="15" hidden="false" customHeight="false" outlineLevel="0" collapsed="false">
      <c r="A1424" s="50"/>
      <c r="B1424" s="51" t="str">
        <f aca="false">IF(A1424="","",MONTH(A1424))</f>
        <v/>
      </c>
      <c r="C1424" s="52"/>
      <c r="D1424" s="52"/>
      <c r="E1424" s="52"/>
      <c r="F1424" s="53"/>
      <c r="G1424" s="52"/>
      <c r="H1424" s="54" t="str">
        <f aca="false">IF(E1424="","",E1424*N(F1424)*IF(G1424="",1,G1424))</f>
        <v/>
      </c>
      <c r="I1424" s="55" t="str">
        <f aca="false">IF(C1424="","",IFERROR(INDEX('DANH MỤC'!$B$5:$B$200,MATCH(C1424,'DANH MỤC'!$A$5:$A$200,0)),"⚠ Mã chưa có trong DANH MỤC"))</f>
        <v/>
      </c>
      <c r="J1424" s="52"/>
      <c r="K1424" s="52"/>
      <c r="L1424" s="52"/>
    </row>
    <row r="1425" customFormat="false" ht="15" hidden="false" customHeight="false" outlineLevel="0" collapsed="false">
      <c r="A1425" s="50"/>
      <c r="B1425" s="51" t="str">
        <f aca="false">IF(A1425="","",MONTH(A1425))</f>
        <v/>
      </c>
      <c r="C1425" s="52"/>
      <c r="D1425" s="52"/>
      <c r="E1425" s="52"/>
      <c r="F1425" s="53"/>
      <c r="G1425" s="52"/>
      <c r="H1425" s="54" t="str">
        <f aca="false">IF(E1425="","",E1425*N(F1425)*IF(G1425="",1,G1425))</f>
        <v/>
      </c>
      <c r="I1425" s="55" t="str">
        <f aca="false">IF(C1425="","",IFERROR(INDEX('DANH MỤC'!$B$5:$B$200,MATCH(C1425,'DANH MỤC'!$A$5:$A$200,0)),"⚠ Mã chưa có trong DANH MỤC"))</f>
        <v/>
      </c>
      <c r="J1425" s="52"/>
      <c r="K1425" s="52"/>
      <c r="L1425" s="52"/>
    </row>
    <row r="1426" customFormat="false" ht="15" hidden="false" customHeight="false" outlineLevel="0" collapsed="false">
      <c r="A1426" s="50"/>
      <c r="B1426" s="51" t="str">
        <f aca="false">IF(A1426="","",MONTH(A1426))</f>
        <v/>
      </c>
      <c r="C1426" s="52"/>
      <c r="D1426" s="52"/>
      <c r="E1426" s="52"/>
      <c r="F1426" s="53"/>
      <c r="G1426" s="52"/>
      <c r="H1426" s="54" t="str">
        <f aca="false">IF(E1426="","",E1426*N(F1426)*IF(G1426="",1,G1426))</f>
        <v/>
      </c>
      <c r="I1426" s="55" t="str">
        <f aca="false">IF(C1426="","",IFERROR(INDEX('DANH MỤC'!$B$5:$B$200,MATCH(C1426,'DANH MỤC'!$A$5:$A$200,0)),"⚠ Mã chưa có trong DANH MỤC"))</f>
        <v/>
      </c>
      <c r="J1426" s="52"/>
      <c r="K1426" s="52"/>
      <c r="L1426" s="52"/>
    </row>
    <row r="1427" customFormat="false" ht="15" hidden="false" customHeight="false" outlineLevel="0" collapsed="false">
      <c r="A1427" s="50"/>
      <c r="B1427" s="51" t="str">
        <f aca="false">IF(A1427="","",MONTH(A1427))</f>
        <v/>
      </c>
      <c r="C1427" s="52"/>
      <c r="D1427" s="52"/>
      <c r="E1427" s="52"/>
      <c r="F1427" s="53"/>
      <c r="G1427" s="52"/>
      <c r="H1427" s="54" t="str">
        <f aca="false">IF(E1427="","",E1427*N(F1427)*IF(G1427="",1,G1427))</f>
        <v/>
      </c>
      <c r="I1427" s="55" t="str">
        <f aca="false">IF(C1427="","",IFERROR(INDEX('DANH MỤC'!$B$5:$B$200,MATCH(C1427,'DANH MỤC'!$A$5:$A$200,0)),"⚠ Mã chưa có trong DANH MỤC"))</f>
        <v/>
      </c>
      <c r="J1427" s="52"/>
      <c r="K1427" s="52"/>
      <c r="L1427" s="52"/>
    </row>
    <row r="1428" customFormat="false" ht="15" hidden="false" customHeight="false" outlineLevel="0" collapsed="false">
      <c r="A1428" s="50"/>
      <c r="B1428" s="51" t="str">
        <f aca="false">IF(A1428="","",MONTH(A1428))</f>
        <v/>
      </c>
      <c r="C1428" s="52"/>
      <c r="D1428" s="52"/>
      <c r="E1428" s="52"/>
      <c r="F1428" s="53"/>
      <c r="G1428" s="52"/>
      <c r="H1428" s="54" t="str">
        <f aca="false">IF(E1428="","",E1428*N(F1428)*IF(G1428="",1,G1428))</f>
        <v/>
      </c>
      <c r="I1428" s="55" t="str">
        <f aca="false">IF(C1428="","",IFERROR(INDEX('DANH MỤC'!$B$5:$B$200,MATCH(C1428,'DANH MỤC'!$A$5:$A$200,0)),"⚠ Mã chưa có trong DANH MỤC"))</f>
        <v/>
      </c>
      <c r="J1428" s="52"/>
      <c r="K1428" s="52"/>
      <c r="L1428" s="52"/>
    </row>
    <row r="1429" customFormat="false" ht="15" hidden="false" customHeight="false" outlineLevel="0" collapsed="false">
      <c r="A1429" s="50"/>
      <c r="B1429" s="51" t="str">
        <f aca="false">IF(A1429="","",MONTH(A1429))</f>
        <v/>
      </c>
      <c r="C1429" s="52"/>
      <c r="D1429" s="52"/>
      <c r="E1429" s="52"/>
      <c r="F1429" s="53"/>
      <c r="G1429" s="52"/>
      <c r="H1429" s="54" t="str">
        <f aca="false">IF(E1429="","",E1429*N(F1429)*IF(G1429="",1,G1429))</f>
        <v/>
      </c>
      <c r="I1429" s="55" t="str">
        <f aca="false">IF(C1429="","",IFERROR(INDEX('DANH MỤC'!$B$5:$B$200,MATCH(C1429,'DANH MỤC'!$A$5:$A$200,0)),"⚠ Mã chưa có trong DANH MỤC"))</f>
        <v/>
      </c>
      <c r="J1429" s="52"/>
      <c r="K1429" s="52"/>
      <c r="L1429" s="52"/>
    </row>
    <row r="1430" customFormat="false" ht="15" hidden="false" customHeight="false" outlineLevel="0" collapsed="false">
      <c r="A1430" s="50"/>
      <c r="B1430" s="51" t="str">
        <f aca="false">IF(A1430="","",MONTH(A1430))</f>
        <v/>
      </c>
      <c r="C1430" s="52"/>
      <c r="D1430" s="52"/>
      <c r="E1430" s="52"/>
      <c r="F1430" s="53"/>
      <c r="G1430" s="52"/>
      <c r="H1430" s="54" t="str">
        <f aca="false">IF(E1430="","",E1430*N(F1430)*IF(G1430="",1,G1430))</f>
        <v/>
      </c>
      <c r="I1430" s="55" t="str">
        <f aca="false">IF(C1430="","",IFERROR(INDEX('DANH MỤC'!$B$5:$B$200,MATCH(C1430,'DANH MỤC'!$A$5:$A$200,0)),"⚠ Mã chưa có trong DANH MỤC"))</f>
        <v/>
      </c>
      <c r="J1430" s="52"/>
      <c r="K1430" s="52"/>
      <c r="L1430" s="52"/>
    </row>
    <row r="1431" customFormat="false" ht="15" hidden="false" customHeight="false" outlineLevel="0" collapsed="false">
      <c r="A1431" s="50"/>
      <c r="B1431" s="51" t="str">
        <f aca="false">IF(A1431="","",MONTH(A1431))</f>
        <v/>
      </c>
      <c r="C1431" s="52"/>
      <c r="D1431" s="52"/>
      <c r="E1431" s="52"/>
      <c r="F1431" s="53"/>
      <c r="G1431" s="52"/>
      <c r="H1431" s="54" t="str">
        <f aca="false">IF(E1431="","",E1431*N(F1431)*IF(G1431="",1,G1431))</f>
        <v/>
      </c>
      <c r="I1431" s="55" t="str">
        <f aca="false">IF(C1431="","",IFERROR(INDEX('DANH MỤC'!$B$5:$B$200,MATCH(C1431,'DANH MỤC'!$A$5:$A$200,0)),"⚠ Mã chưa có trong DANH MỤC"))</f>
        <v/>
      </c>
      <c r="J1431" s="52"/>
      <c r="K1431" s="52"/>
      <c r="L1431" s="52"/>
    </row>
    <row r="1432" customFormat="false" ht="15" hidden="false" customHeight="false" outlineLevel="0" collapsed="false">
      <c r="A1432" s="50"/>
      <c r="B1432" s="51" t="str">
        <f aca="false">IF(A1432="","",MONTH(A1432))</f>
        <v/>
      </c>
      <c r="C1432" s="52"/>
      <c r="D1432" s="52"/>
      <c r="E1432" s="52"/>
      <c r="F1432" s="53"/>
      <c r="G1432" s="52"/>
      <c r="H1432" s="54" t="str">
        <f aca="false">IF(E1432="","",E1432*N(F1432)*IF(G1432="",1,G1432))</f>
        <v/>
      </c>
      <c r="I1432" s="55" t="str">
        <f aca="false">IF(C1432="","",IFERROR(INDEX('DANH MỤC'!$B$5:$B$200,MATCH(C1432,'DANH MỤC'!$A$5:$A$200,0)),"⚠ Mã chưa có trong DANH MỤC"))</f>
        <v/>
      </c>
      <c r="J1432" s="52"/>
      <c r="K1432" s="52"/>
      <c r="L1432" s="52"/>
    </row>
    <row r="1433" customFormat="false" ht="15" hidden="false" customHeight="false" outlineLevel="0" collapsed="false">
      <c r="A1433" s="50"/>
      <c r="B1433" s="51" t="str">
        <f aca="false">IF(A1433="","",MONTH(A1433))</f>
        <v/>
      </c>
      <c r="C1433" s="52"/>
      <c r="D1433" s="52"/>
      <c r="E1433" s="52"/>
      <c r="F1433" s="53"/>
      <c r="G1433" s="52"/>
      <c r="H1433" s="54" t="str">
        <f aca="false">IF(E1433="","",E1433*N(F1433)*IF(G1433="",1,G1433))</f>
        <v/>
      </c>
      <c r="I1433" s="55" t="str">
        <f aca="false">IF(C1433="","",IFERROR(INDEX('DANH MỤC'!$B$5:$B$200,MATCH(C1433,'DANH MỤC'!$A$5:$A$200,0)),"⚠ Mã chưa có trong DANH MỤC"))</f>
        <v/>
      </c>
      <c r="J1433" s="52"/>
      <c r="K1433" s="52"/>
      <c r="L1433" s="52"/>
    </row>
    <row r="1434" customFormat="false" ht="15" hidden="false" customHeight="false" outlineLevel="0" collapsed="false">
      <c r="A1434" s="50"/>
      <c r="B1434" s="51" t="str">
        <f aca="false">IF(A1434="","",MONTH(A1434))</f>
        <v/>
      </c>
      <c r="C1434" s="52"/>
      <c r="D1434" s="52"/>
      <c r="E1434" s="52"/>
      <c r="F1434" s="53"/>
      <c r="G1434" s="52"/>
      <c r="H1434" s="54" t="str">
        <f aca="false">IF(E1434="","",E1434*N(F1434)*IF(G1434="",1,G1434))</f>
        <v/>
      </c>
      <c r="I1434" s="55" t="str">
        <f aca="false">IF(C1434="","",IFERROR(INDEX('DANH MỤC'!$B$5:$B$200,MATCH(C1434,'DANH MỤC'!$A$5:$A$200,0)),"⚠ Mã chưa có trong DANH MỤC"))</f>
        <v/>
      </c>
      <c r="J1434" s="52"/>
      <c r="K1434" s="52"/>
      <c r="L1434" s="52"/>
    </row>
    <row r="1435" customFormat="false" ht="15" hidden="false" customHeight="false" outlineLevel="0" collapsed="false">
      <c r="A1435" s="50"/>
      <c r="B1435" s="51" t="str">
        <f aca="false">IF(A1435="","",MONTH(A1435))</f>
        <v/>
      </c>
      <c r="C1435" s="52"/>
      <c r="D1435" s="52"/>
      <c r="E1435" s="52"/>
      <c r="F1435" s="53"/>
      <c r="G1435" s="52"/>
      <c r="H1435" s="54" t="str">
        <f aca="false">IF(E1435="","",E1435*N(F1435)*IF(G1435="",1,G1435))</f>
        <v/>
      </c>
      <c r="I1435" s="55" t="str">
        <f aca="false">IF(C1435="","",IFERROR(INDEX('DANH MỤC'!$B$5:$B$200,MATCH(C1435,'DANH MỤC'!$A$5:$A$200,0)),"⚠ Mã chưa có trong DANH MỤC"))</f>
        <v/>
      </c>
      <c r="J1435" s="52"/>
      <c r="K1435" s="52"/>
      <c r="L1435" s="52"/>
    </row>
    <row r="1436" customFormat="false" ht="15" hidden="false" customHeight="false" outlineLevel="0" collapsed="false">
      <c r="A1436" s="50"/>
      <c r="B1436" s="51" t="str">
        <f aca="false">IF(A1436="","",MONTH(A1436))</f>
        <v/>
      </c>
      <c r="C1436" s="52"/>
      <c r="D1436" s="52"/>
      <c r="E1436" s="52"/>
      <c r="F1436" s="53"/>
      <c r="G1436" s="52"/>
      <c r="H1436" s="54" t="str">
        <f aca="false">IF(E1436="","",E1436*N(F1436)*IF(G1436="",1,G1436))</f>
        <v/>
      </c>
      <c r="I1436" s="55" t="str">
        <f aca="false">IF(C1436="","",IFERROR(INDEX('DANH MỤC'!$B$5:$B$200,MATCH(C1436,'DANH MỤC'!$A$5:$A$200,0)),"⚠ Mã chưa có trong DANH MỤC"))</f>
        <v/>
      </c>
      <c r="J1436" s="52"/>
      <c r="K1436" s="52"/>
      <c r="L1436" s="52"/>
    </row>
    <row r="1437" customFormat="false" ht="15" hidden="false" customHeight="false" outlineLevel="0" collapsed="false">
      <c r="A1437" s="50"/>
      <c r="B1437" s="51" t="str">
        <f aca="false">IF(A1437="","",MONTH(A1437))</f>
        <v/>
      </c>
      <c r="C1437" s="52"/>
      <c r="D1437" s="52"/>
      <c r="E1437" s="52"/>
      <c r="F1437" s="53"/>
      <c r="G1437" s="52"/>
      <c r="H1437" s="54" t="str">
        <f aca="false">IF(E1437="","",E1437*N(F1437)*IF(G1437="",1,G1437))</f>
        <v/>
      </c>
      <c r="I1437" s="55" t="str">
        <f aca="false">IF(C1437="","",IFERROR(INDEX('DANH MỤC'!$B$5:$B$200,MATCH(C1437,'DANH MỤC'!$A$5:$A$200,0)),"⚠ Mã chưa có trong DANH MỤC"))</f>
        <v/>
      </c>
      <c r="J1437" s="52"/>
      <c r="K1437" s="52"/>
      <c r="L1437" s="52"/>
    </row>
    <row r="1438" customFormat="false" ht="15" hidden="false" customHeight="false" outlineLevel="0" collapsed="false">
      <c r="A1438" s="50"/>
      <c r="B1438" s="51" t="str">
        <f aca="false">IF(A1438="","",MONTH(A1438))</f>
        <v/>
      </c>
      <c r="C1438" s="52"/>
      <c r="D1438" s="52"/>
      <c r="E1438" s="52"/>
      <c r="F1438" s="53"/>
      <c r="G1438" s="52"/>
      <c r="H1438" s="54" t="str">
        <f aca="false">IF(E1438="","",E1438*N(F1438)*IF(G1438="",1,G1438))</f>
        <v/>
      </c>
      <c r="I1438" s="55" t="str">
        <f aca="false">IF(C1438="","",IFERROR(INDEX('DANH MỤC'!$B$5:$B$200,MATCH(C1438,'DANH MỤC'!$A$5:$A$200,0)),"⚠ Mã chưa có trong DANH MỤC"))</f>
        <v/>
      </c>
      <c r="J1438" s="52"/>
      <c r="K1438" s="52"/>
      <c r="L1438" s="52"/>
    </row>
    <row r="1439" customFormat="false" ht="15" hidden="false" customHeight="false" outlineLevel="0" collapsed="false">
      <c r="A1439" s="50"/>
      <c r="B1439" s="51" t="str">
        <f aca="false">IF(A1439="","",MONTH(A1439))</f>
        <v/>
      </c>
      <c r="C1439" s="52"/>
      <c r="D1439" s="52"/>
      <c r="E1439" s="52"/>
      <c r="F1439" s="53"/>
      <c r="G1439" s="52"/>
      <c r="H1439" s="54" t="str">
        <f aca="false">IF(E1439="","",E1439*N(F1439)*IF(G1439="",1,G1439))</f>
        <v/>
      </c>
      <c r="I1439" s="55" t="str">
        <f aca="false">IF(C1439="","",IFERROR(INDEX('DANH MỤC'!$B$5:$B$200,MATCH(C1439,'DANH MỤC'!$A$5:$A$200,0)),"⚠ Mã chưa có trong DANH MỤC"))</f>
        <v/>
      </c>
      <c r="J1439" s="52"/>
      <c r="K1439" s="52"/>
      <c r="L1439" s="52"/>
    </row>
    <row r="1440" customFormat="false" ht="15" hidden="false" customHeight="false" outlineLevel="0" collapsed="false">
      <c r="A1440" s="50"/>
      <c r="B1440" s="51" t="str">
        <f aca="false">IF(A1440="","",MONTH(A1440))</f>
        <v/>
      </c>
      <c r="C1440" s="52"/>
      <c r="D1440" s="52"/>
      <c r="E1440" s="52"/>
      <c r="F1440" s="53"/>
      <c r="G1440" s="52"/>
      <c r="H1440" s="54" t="str">
        <f aca="false">IF(E1440="","",E1440*N(F1440)*IF(G1440="",1,G1440))</f>
        <v/>
      </c>
      <c r="I1440" s="55" t="str">
        <f aca="false">IF(C1440="","",IFERROR(INDEX('DANH MỤC'!$B$5:$B$200,MATCH(C1440,'DANH MỤC'!$A$5:$A$200,0)),"⚠ Mã chưa có trong DANH MỤC"))</f>
        <v/>
      </c>
      <c r="J1440" s="52"/>
      <c r="K1440" s="52"/>
      <c r="L1440" s="52"/>
    </row>
    <row r="1441" customFormat="false" ht="15" hidden="false" customHeight="false" outlineLevel="0" collapsed="false">
      <c r="A1441" s="50"/>
      <c r="B1441" s="51" t="str">
        <f aca="false">IF(A1441="","",MONTH(A1441))</f>
        <v/>
      </c>
      <c r="C1441" s="52"/>
      <c r="D1441" s="52"/>
      <c r="E1441" s="52"/>
      <c r="F1441" s="53"/>
      <c r="G1441" s="52"/>
      <c r="H1441" s="54" t="str">
        <f aca="false">IF(E1441="","",E1441*N(F1441)*IF(G1441="",1,G1441))</f>
        <v/>
      </c>
      <c r="I1441" s="55" t="str">
        <f aca="false">IF(C1441="","",IFERROR(INDEX('DANH MỤC'!$B$5:$B$200,MATCH(C1441,'DANH MỤC'!$A$5:$A$200,0)),"⚠ Mã chưa có trong DANH MỤC"))</f>
        <v/>
      </c>
      <c r="J1441" s="52"/>
      <c r="K1441" s="52"/>
      <c r="L1441" s="52"/>
    </row>
    <row r="1442" customFormat="false" ht="15" hidden="false" customHeight="false" outlineLevel="0" collapsed="false">
      <c r="A1442" s="50"/>
      <c r="B1442" s="51" t="str">
        <f aca="false">IF(A1442="","",MONTH(A1442))</f>
        <v/>
      </c>
      <c r="C1442" s="52"/>
      <c r="D1442" s="52"/>
      <c r="E1442" s="52"/>
      <c r="F1442" s="53"/>
      <c r="G1442" s="52"/>
      <c r="H1442" s="54" t="str">
        <f aca="false">IF(E1442="","",E1442*N(F1442)*IF(G1442="",1,G1442))</f>
        <v/>
      </c>
      <c r="I1442" s="55" t="str">
        <f aca="false">IF(C1442="","",IFERROR(INDEX('DANH MỤC'!$B$5:$B$200,MATCH(C1442,'DANH MỤC'!$A$5:$A$200,0)),"⚠ Mã chưa có trong DANH MỤC"))</f>
        <v/>
      </c>
      <c r="J1442" s="52"/>
      <c r="K1442" s="52"/>
      <c r="L1442" s="52"/>
    </row>
    <row r="1443" customFormat="false" ht="15" hidden="false" customHeight="false" outlineLevel="0" collapsed="false">
      <c r="A1443" s="50"/>
      <c r="B1443" s="51" t="str">
        <f aca="false">IF(A1443="","",MONTH(A1443))</f>
        <v/>
      </c>
      <c r="C1443" s="52"/>
      <c r="D1443" s="52"/>
      <c r="E1443" s="52"/>
      <c r="F1443" s="53"/>
      <c r="G1443" s="52"/>
      <c r="H1443" s="54" t="str">
        <f aca="false">IF(E1443="","",E1443*N(F1443)*IF(G1443="",1,G1443))</f>
        <v/>
      </c>
      <c r="I1443" s="55" t="str">
        <f aca="false">IF(C1443="","",IFERROR(INDEX('DANH MỤC'!$B$5:$B$200,MATCH(C1443,'DANH MỤC'!$A$5:$A$200,0)),"⚠ Mã chưa có trong DANH MỤC"))</f>
        <v/>
      </c>
      <c r="J1443" s="52"/>
      <c r="K1443" s="52"/>
      <c r="L1443" s="52"/>
    </row>
    <row r="1444" customFormat="false" ht="15" hidden="false" customHeight="false" outlineLevel="0" collapsed="false">
      <c r="A1444" s="50"/>
      <c r="B1444" s="51" t="str">
        <f aca="false">IF(A1444="","",MONTH(A1444))</f>
        <v/>
      </c>
      <c r="C1444" s="52"/>
      <c r="D1444" s="52"/>
      <c r="E1444" s="52"/>
      <c r="F1444" s="53"/>
      <c r="G1444" s="52"/>
      <c r="H1444" s="54" t="str">
        <f aca="false">IF(E1444="","",E1444*N(F1444)*IF(G1444="",1,G1444))</f>
        <v/>
      </c>
      <c r="I1444" s="55" t="str">
        <f aca="false">IF(C1444="","",IFERROR(INDEX('DANH MỤC'!$B$5:$B$200,MATCH(C1444,'DANH MỤC'!$A$5:$A$200,0)),"⚠ Mã chưa có trong DANH MỤC"))</f>
        <v/>
      </c>
      <c r="J1444" s="52"/>
      <c r="K1444" s="52"/>
      <c r="L1444" s="52"/>
    </row>
    <row r="1445" customFormat="false" ht="15" hidden="false" customHeight="false" outlineLevel="0" collapsed="false">
      <c r="A1445" s="50"/>
      <c r="B1445" s="51" t="str">
        <f aca="false">IF(A1445="","",MONTH(A1445))</f>
        <v/>
      </c>
      <c r="C1445" s="52"/>
      <c r="D1445" s="52"/>
      <c r="E1445" s="52"/>
      <c r="F1445" s="53"/>
      <c r="G1445" s="52"/>
      <c r="H1445" s="54" t="str">
        <f aca="false">IF(E1445="","",E1445*N(F1445)*IF(G1445="",1,G1445))</f>
        <v/>
      </c>
      <c r="I1445" s="55" t="str">
        <f aca="false">IF(C1445="","",IFERROR(INDEX('DANH MỤC'!$B$5:$B$200,MATCH(C1445,'DANH MỤC'!$A$5:$A$200,0)),"⚠ Mã chưa có trong DANH MỤC"))</f>
        <v/>
      </c>
      <c r="J1445" s="52"/>
      <c r="K1445" s="52"/>
      <c r="L1445" s="52"/>
    </row>
    <row r="1446" customFormat="false" ht="15" hidden="false" customHeight="false" outlineLevel="0" collapsed="false">
      <c r="A1446" s="50"/>
      <c r="B1446" s="51" t="str">
        <f aca="false">IF(A1446="","",MONTH(A1446))</f>
        <v/>
      </c>
      <c r="C1446" s="52"/>
      <c r="D1446" s="52"/>
      <c r="E1446" s="52"/>
      <c r="F1446" s="53"/>
      <c r="G1446" s="52"/>
      <c r="H1446" s="54" t="str">
        <f aca="false">IF(E1446="","",E1446*N(F1446)*IF(G1446="",1,G1446))</f>
        <v/>
      </c>
      <c r="I1446" s="55" t="str">
        <f aca="false">IF(C1446="","",IFERROR(INDEX('DANH MỤC'!$B$5:$B$200,MATCH(C1446,'DANH MỤC'!$A$5:$A$200,0)),"⚠ Mã chưa có trong DANH MỤC"))</f>
        <v/>
      </c>
      <c r="J1446" s="52"/>
      <c r="K1446" s="52"/>
      <c r="L1446" s="52"/>
    </row>
    <row r="1447" customFormat="false" ht="15" hidden="false" customHeight="false" outlineLevel="0" collapsed="false">
      <c r="A1447" s="50"/>
      <c r="B1447" s="51" t="str">
        <f aca="false">IF(A1447="","",MONTH(A1447))</f>
        <v/>
      </c>
      <c r="C1447" s="52"/>
      <c r="D1447" s="52"/>
      <c r="E1447" s="52"/>
      <c r="F1447" s="53"/>
      <c r="G1447" s="52"/>
      <c r="H1447" s="54" t="str">
        <f aca="false">IF(E1447="","",E1447*N(F1447)*IF(G1447="",1,G1447))</f>
        <v/>
      </c>
      <c r="I1447" s="55" t="str">
        <f aca="false">IF(C1447="","",IFERROR(INDEX('DANH MỤC'!$B$5:$B$200,MATCH(C1447,'DANH MỤC'!$A$5:$A$200,0)),"⚠ Mã chưa có trong DANH MỤC"))</f>
        <v/>
      </c>
      <c r="J1447" s="52"/>
      <c r="K1447" s="52"/>
      <c r="L1447" s="52"/>
    </row>
    <row r="1448" customFormat="false" ht="15" hidden="false" customHeight="false" outlineLevel="0" collapsed="false">
      <c r="A1448" s="50"/>
      <c r="B1448" s="51" t="str">
        <f aca="false">IF(A1448="","",MONTH(A1448))</f>
        <v/>
      </c>
      <c r="C1448" s="52"/>
      <c r="D1448" s="52"/>
      <c r="E1448" s="52"/>
      <c r="F1448" s="53"/>
      <c r="G1448" s="52"/>
      <c r="H1448" s="54" t="str">
        <f aca="false">IF(E1448="","",E1448*N(F1448)*IF(G1448="",1,G1448))</f>
        <v/>
      </c>
      <c r="I1448" s="55" t="str">
        <f aca="false">IF(C1448="","",IFERROR(INDEX('DANH MỤC'!$B$5:$B$200,MATCH(C1448,'DANH MỤC'!$A$5:$A$200,0)),"⚠ Mã chưa có trong DANH MỤC"))</f>
        <v/>
      </c>
      <c r="J1448" s="52"/>
      <c r="K1448" s="52"/>
      <c r="L1448" s="52"/>
    </row>
    <row r="1449" customFormat="false" ht="15" hidden="false" customHeight="false" outlineLevel="0" collapsed="false">
      <c r="A1449" s="50"/>
      <c r="B1449" s="51" t="str">
        <f aca="false">IF(A1449="","",MONTH(A1449))</f>
        <v/>
      </c>
      <c r="C1449" s="52"/>
      <c r="D1449" s="52"/>
      <c r="E1449" s="52"/>
      <c r="F1449" s="53"/>
      <c r="G1449" s="52"/>
      <c r="H1449" s="54" t="str">
        <f aca="false">IF(E1449="","",E1449*N(F1449)*IF(G1449="",1,G1449))</f>
        <v/>
      </c>
      <c r="I1449" s="55" t="str">
        <f aca="false">IF(C1449="","",IFERROR(INDEX('DANH MỤC'!$B$5:$B$200,MATCH(C1449,'DANH MỤC'!$A$5:$A$200,0)),"⚠ Mã chưa có trong DANH MỤC"))</f>
        <v/>
      </c>
      <c r="J1449" s="52"/>
      <c r="K1449" s="52"/>
      <c r="L1449" s="52"/>
    </row>
    <row r="1450" customFormat="false" ht="15" hidden="false" customHeight="false" outlineLevel="0" collapsed="false">
      <c r="A1450" s="50"/>
      <c r="B1450" s="51" t="str">
        <f aca="false">IF(A1450="","",MONTH(A1450))</f>
        <v/>
      </c>
      <c r="C1450" s="52"/>
      <c r="D1450" s="52"/>
      <c r="E1450" s="52"/>
      <c r="F1450" s="53"/>
      <c r="G1450" s="52"/>
      <c r="H1450" s="54" t="str">
        <f aca="false">IF(E1450="","",E1450*N(F1450)*IF(G1450="",1,G1450))</f>
        <v/>
      </c>
      <c r="I1450" s="55" t="str">
        <f aca="false">IF(C1450="","",IFERROR(INDEX('DANH MỤC'!$B$5:$B$200,MATCH(C1450,'DANH MỤC'!$A$5:$A$200,0)),"⚠ Mã chưa có trong DANH MỤC"))</f>
        <v/>
      </c>
      <c r="J1450" s="52"/>
      <c r="K1450" s="52"/>
      <c r="L1450" s="52"/>
    </row>
    <row r="1451" customFormat="false" ht="15" hidden="false" customHeight="false" outlineLevel="0" collapsed="false">
      <c r="A1451" s="50"/>
      <c r="B1451" s="51" t="str">
        <f aca="false">IF(A1451="","",MONTH(A1451))</f>
        <v/>
      </c>
      <c r="C1451" s="52"/>
      <c r="D1451" s="52"/>
      <c r="E1451" s="52"/>
      <c r="F1451" s="53"/>
      <c r="G1451" s="52"/>
      <c r="H1451" s="54" t="str">
        <f aca="false">IF(E1451="","",E1451*N(F1451)*IF(G1451="",1,G1451))</f>
        <v/>
      </c>
      <c r="I1451" s="55" t="str">
        <f aca="false">IF(C1451="","",IFERROR(INDEX('DANH MỤC'!$B$5:$B$200,MATCH(C1451,'DANH MỤC'!$A$5:$A$200,0)),"⚠ Mã chưa có trong DANH MỤC"))</f>
        <v/>
      </c>
      <c r="J1451" s="52"/>
      <c r="K1451" s="52"/>
      <c r="L1451" s="52"/>
    </row>
    <row r="1452" customFormat="false" ht="15" hidden="false" customHeight="false" outlineLevel="0" collapsed="false">
      <c r="A1452" s="50"/>
      <c r="B1452" s="51" t="str">
        <f aca="false">IF(A1452="","",MONTH(A1452))</f>
        <v/>
      </c>
      <c r="C1452" s="52"/>
      <c r="D1452" s="52"/>
      <c r="E1452" s="52"/>
      <c r="F1452" s="53"/>
      <c r="G1452" s="52"/>
      <c r="H1452" s="54" t="str">
        <f aca="false">IF(E1452="","",E1452*N(F1452)*IF(G1452="",1,G1452))</f>
        <v/>
      </c>
      <c r="I1452" s="55" t="str">
        <f aca="false">IF(C1452="","",IFERROR(INDEX('DANH MỤC'!$B$5:$B$200,MATCH(C1452,'DANH MỤC'!$A$5:$A$200,0)),"⚠ Mã chưa có trong DANH MỤC"))</f>
        <v/>
      </c>
      <c r="J1452" s="52"/>
      <c r="K1452" s="52"/>
      <c r="L1452" s="52"/>
    </row>
    <row r="1453" customFormat="false" ht="15" hidden="false" customHeight="false" outlineLevel="0" collapsed="false">
      <c r="A1453" s="50"/>
      <c r="B1453" s="51" t="str">
        <f aca="false">IF(A1453="","",MONTH(A1453))</f>
        <v/>
      </c>
      <c r="C1453" s="52"/>
      <c r="D1453" s="52"/>
      <c r="E1453" s="52"/>
      <c r="F1453" s="53"/>
      <c r="G1453" s="52"/>
      <c r="H1453" s="54" t="str">
        <f aca="false">IF(E1453="","",E1453*N(F1453)*IF(G1453="",1,G1453))</f>
        <v/>
      </c>
      <c r="I1453" s="55" t="str">
        <f aca="false">IF(C1453="","",IFERROR(INDEX('DANH MỤC'!$B$5:$B$200,MATCH(C1453,'DANH MỤC'!$A$5:$A$200,0)),"⚠ Mã chưa có trong DANH MỤC"))</f>
        <v/>
      </c>
      <c r="J1453" s="52"/>
      <c r="K1453" s="52"/>
      <c r="L1453" s="52"/>
    </row>
    <row r="1454" customFormat="false" ht="15" hidden="false" customHeight="false" outlineLevel="0" collapsed="false">
      <c r="A1454" s="50"/>
      <c r="B1454" s="51" t="str">
        <f aca="false">IF(A1454="","",MONTH(A1454))</f>
        <v/>
      </c>
      <c r="C1454" s="52"/>
      <c r="D1454" s="52"/>
      <c r="E1454" s="52"/>
      <c r="F1454" s="53"/>
      <c r="G1454" s="52"/>
      <c r="H1454" s="54" t="str">
        <f aca="false">IF(E1454="","",E1454*N(F1454)*IF(G1454="",1,G1454))</f>
        <v/>
      </c>
      <c r="I1454" s="55" t="str">
        <f aca="false">IF(C1454="","",IFERROR(INDEX('DANH MỤC'!$B$5:$B$200,MATCH(C1454,'DANH MỤC'!$A$5:$A$200,0)),"⚠ Mã chưa có trong DANH MỤC"))</f>
        <v/>
      </c>
      <c r="J1454" s="52"/>
      <c r="K1454" s="52"/>
      <c r="L1454" s="52"/>
    </row>
    <row r="1455" customFormat="false" ht="15" hidden="false" customHeight="false" outlineLevel="0" collapsed="false">
      <c r="A1455" s="50"/>
      <c r="B1455" s="51" t="str">
        <f aca="false">IF(A1455="","",MONTH(A1455))</f>
        <v/>
      </c>
      <c r="C1455" s="52"/>
      <c r="D1455" s="52"/>
      <c r="E1455" s="52"/>
      <c r="F1455" s="53"/>
      <c r="G1455" s="52"/>
      <c r="H1455" s="54" t="str">
        <f aca="false">IF(E1455="","",E1455*N(F1455)*IF(G1455="",1,G1455))</f>
        <v/>
      </c>
      <c r="I1455" s="55" t="str">
        <f aca="false">IF(C1455="","",IFERROR(INDEX('DANH MỤC'!$B$5:$B$200,MATCH(C1455,'DANH MỤC'!$A$5:$A$200,0)),"⚠ Mã chưa có trong DANH MỤC"))</f>
        <v/>
      </c>
      <c r="J1455" s="52"/>
      <c r="K1455" s="52"/>
      <c r="L1455" s="52"/>
    </row>
    <row r="1456" customFormat="false" ht="15" hidden="false" customHeight="false" outlineLevel="0" collapsed="false">
      <c r="A1456" s="50"/>
      <c r="B1456" s="51" t="str">
        <f aca="false">IF(A1456="","",MONTH(A1456))</f>
        <v/>
      </c>
      <c r="C1456" s="52"/>
      <c r="D1456" s="52"/>
      <c r="E1456" s="52"/>
      <c r="F1456" s="53"/>
      <c r="G1456" s="52"/>
      <c r="H1456" s="54" t="str">
        <f aca="false">IF(E1456="","",E1456*N(F1456)*IF(G1456="",1,G1456))</f>
        <v/>
      </c>
      <c r="I1456" s="55" t="str">
        <f aca="false">IF(C1456="","",IFERROR(INDEX('DANH MỤC'!$B$5:$B$200,MATCH(C1456,'DANH MỤC'!$A$5:$A$200,0)),"⚠ Mã chưa có trong DANH MỤC"))</f>
        <v/>
      </c>
      <c r="J1456" s="52"/>
      <c r="K1456" s="52"/>
      <c r="L1456" s="52"/>
    </row>
    <row r="1457" customFormat="false" ht="15" hidden="false" customHeight="false" outlineLevel="0" collapsed="false">
      <c r="A1457" s="50"/>
      <c r="B1457" s="51" t="str">
        <f aca="false">IF(A1457="","",MONTH(A1457))</f>
        <v/>
      </c>
      <c r="C1457" s="52"/>
      <c r="D1457" s="52"/>
      <c r="E1457" s="52"/>
      <c r="F1457" s="53"/>
      <c r="G1457" s="52"/>
      <c r="H1457" s="54" t="str">
        <f aca="false">IF(E1457="","",E1457*N(F1457)*IF(G1457="",1,G1457))</f>
        <v/>
      </c>
      <c r="I1457" s="55" t="str">
        <f aca="false">IF(C1457="","",IFERROR(INDEX('DANH MỤC'!$B$5:$B$200,MATCH(C1457,'DANH MỤC'!$A$5:$A$200,0)),"⚠ Mã chưa có trong DANH MỤC"))</f>
        <v/>
      </c>
      <c r="J1457" s="52"/>
      <c r="K1457" s="52"/>
      <c r="L1457" s="52"/>
    </row>
    <row r="1458" customFormat="false" ht="15" hidden="false" customHeight="false" outlineLevel="0" collapsed="false">
      <c r="A1458" s="50"/>
      <c r="B1458" s="51" t="str">
        <f aca="false">IF(A1458="","",MONTH(A1458))</f>
        <v/>
      </c>
      <c r="C1458" s="52"/>
      <c r="D1458" s="52"/>
      <c r="E1458" s="52"/>
      <c r="F1458" s="53"/>
      <c r="G1458" s="52"/>
      <c r="H1458" s="54" t="str">
        <f aca="false">IF(E1458="","",E1458*N(F1458)*IF(G1458="",1,G1458))</f>
        <v/>
      </c>
      <c r="I1458" s="55" t="str">
        <f aca="false">IF(C1458="","",IFERROR(INDEX('DANH MỤC'!$B$5:$B$200,MATCH(C1458,'DANH MỤC'!$A$5:$A$200,0)),"⚠ Mã chưa có trong DANH MỤC"))</f>
        <v/>
      </c>
      <c r="J1458" s="52"/>
      <c r="K1458" s="52"/>
      <c r="L1458" s="52"/>
    </row>
    <row r="1459" customFormat="false" ht="15" hidden="false" customHeight="false" outlineLevel="0" collapsed="false">
      <c r="A1459" s="50"/>
      <c r="B1459" s="51" t="str">
        <f aca="false">IF(A1459="","",MONTH(A1459))</f>
        <v/>
      </c>
      <c r="C1459" s="52"/>
      <c r="D1459" s="52"/>
      <c r="E1459" s="52"/>
      <c r="F1459" s="53"/>
      <c r="G1459" s="52"/>
      <c r="H1459" s="54" t="str">
        <f aca="false">IF(E1459="","",E1459*N(F1459)*IF(G1459="",1,G1459))</f>
        <v/>
      </c>
      <c r="I1459" s="55" t="str">
        <f aca="false">IF(C1459="","",IFERROR(INDEX('DANH MỤC'!$B$5:$B$200,MATCH(C1459,'DANH MỤC'!$A$5:$A$200,0)),"⚠ Mã chưa có trong DANH MỤC"))</f>
        <v/>
      </c>
      <c r="J1459" s="52"/>
      <c r="K1459" s="52"/>
      <c r="L1459" s="52"/>
    </row>
    <row r="1460" customFormat="false" ht="15" hidden="false" customHeight="false" outlineLevel="0" collapsed="false">
      <c r="A1460" s="50"/>
      <c r="B1460" s="51" t="str">
        <f aca="false">IF(A1460="","",MONTH(A1460))</f>
        <v/>
      </c>
      <c r="C1460" s="52"/>
      <c r="D1460" s="52"/>
      <c r="E1460" s="52"/>
      <c r="F1460" s="53"/>
      <c r="G1460" s="52"/>
      <c r="H1460" s="54" t="str">
        <f aca="false">IF(E1460="","",E1460*N(F1460)*IF(G1460="",1,G1460))</f>
        <v/>
      </c>
      <c r="I1460" s="55" t="str">
        <f aca="false">IF(C1460="","",IFERROR(INDEX('DANH MỤC'!$B$5:$B$200,MATCH(C1460,'DANH MỤC'!$A$5:$A$200,0)),"⚠ Mã chưa có trong DANH MỤC"))</f>
        <v/>
      </c>
      <c r="J1460" s="52"/>
      <c r="K1460" s="52"/>
      <c r="L1460" s="52"/>
    </row>
    <row r="1461" customFormat="false" ht="15" hidden="false" customHeight="false" outlineLevel="0" collapsed="false">
      <c r="A1461" s="50"/>
      <c r="B1461" s="51" t="str">
        <f aca="false">IF(A1461="","",MONTH(A1461))</f>
        <v/>
      </c>
      <c r="C1461" s="52"/>
      <c r="D1461" s="52"/>
      <c r="E1461" s="52"/>
      <c r="F1461" s="53"/>
      <c r="G1461" s="52"/>
      <c r="H1461" s="54" t="str">
        <f aca="false">IF(E1461="","",E1461*N(F1461)*IF(G1461="",1,G1461))</f>
        <v/>
      </c>
      <c r="I1461" s="55" t="str">
        <f aca="false">IF(C1461="","",IFERROR(INDEX('DANH MỤC'!$B$5:$B$200,MATCH(C1461,'DANH MỤC'!$A$5:$A$200,0)),"⚠ Mã chưa có trong DANH MỤC"))</f>
        <v/>
      </c>
      <c r="J1461" s="52"/>
      <c r="K1461" s="52"/>
      <c r="L1461" s="52"/>
    </row>
    <row r="1462" customFormat="false" ht="15" hidden="false" customHeight="false" outlineLevel="0" collapsed="false">
      <c r="A1462" s="50"/>
      <c r="B1462" s="51" t="str">
        <f aca="false">IF(A1462="","",MONTH(A1462))</f>
        <v/>
      </c>
      <c r="C1462" s="52"/>
      <c r="D1462" s="52"/>
      <c r="E1462" s="52"/>
      <c r="F1462" s="53"/>
      <c r="G1462" s="52"/>
      <c r="H1462" s="54" t="str">
        <f aca="false">IF(E1462="","",E1462*N(F1462)*IF(G1462="",1,G1462))</f>
        <v/>
      </c>
      <c r="I1462" s="55" t="str">
        <f aca="false">IF(C1462="","",IFERROR(INDEX('DANH MỤC'!$B$5:$B$200,MATCH(C1462,'DANH MỤC'!$A$5:$A$200,0)),"⚠ Mã chưa có trong DANH MỤC"))</f>
        <v/>
      </c>
      <c r="J1462" s="52"/>
      <c r="K1462" s="52"/>
      <c r="L1462" s="52"/>
    </row>
    <row r="1463" customFormat="false" ht="15" hidden="false" customHeight="false" outlineLevel="0" collapsed="false">
      <c r="A1463" s="50"/>
      <c r="B1463" s="51" t="str">
        <f aca="false">IF(A1463="","",MONTH(A1463))</f>
        <v/>
      </c>
      <c r="C1463" s="52"/>
      <c r="D1463" s="52"/>
      <c r="E1463" s="52"/>
      <c r="F1463" s="53"/>
      <c r="G1463" s="52"/>
      <c r="H1463" s="54" t="str">
        <f aca="false">IF(E1463="","",E1463*N(F1463)*IF(G1463="",1,G1463))</f>
        <v/>
      </c>
      <c r="I1463" s="55" t="str">
        <f aca="false">IF(C1463="","",IFERROR(INDEX('DANH MỤC'!$B$5:$B$200,MATCH(C1463,'DANH MỤC'!$A$5:$A$200,0)),"⚠ Mã chưa có trong DANH MỤC"))</f>
        <v/>
      </c>
      <c r="J1463" s="52"/>
      <c r="K1463" s="52"/>
      <c r="L1463" s="52"/>
    </row>
    <row r="1464" customFormat="false" ht="15" hidden="false" customHeight="false" outlineLevel="0" collapsed="false">
      <c r="A1464" s="50"/>
      <c r="B1464" s="51" t="str">
        <f aca="false">IF(A1464="","",MONTH(A1464))</f>
        <v/>
      </c>
      <c r="C1464" s="52"/>
      <c r="D1464" s="52"/>
      <c r="E1464" s="52"/>
      <c r="F1464" s="53"/>
      <c r="G1464" s="52"/>
      <c r="H1464" s="54" t="str">
        <f aca="false">IF(E1464="","",E1464*N(F1464)*IF(G1464="",1,G1464))</f>
        <v/>
      </c>
      <c r="I1464" s="55" t="str">
        <f aca="false">IF(C1464="","",IFERROR(INDEX('DANH MỤC'!$B$5:$B$200,MATCH(C1464,'DANH MỤC'!$A$5:$A$200,0)),"⚠ Mã chưa có trong DANH MỤC"))</f>
        <v/>
      </c>
      <c r="J1464" s="52"/>
      <c r="K1464" s="52"/>
      <c r="L1464" s="52"/>
    </row>
    <row r="1465" customFormat="false" ht="15" hidden="false" customHeight="false" outlineLevel="0" collapsed="false">
      <c r="A1465" s="50"/>
      <c r="B1465" s="51" t="str">
        <f aca="false">IF(A1465="","",MONTH(A1465))</f>
        <v/>
      </c>
      <c r="C1465" s="52"/>
      <c r="D1465" s="52"/>
      <c r="E1465" s="52"/>
      <c r="F1465" s="53"/>
      <c r="G1465" s="52"/>
      <c r="H1465" s="54" t="str">
        <f aca="false">IF(E1465="","",E1465*N(F1465)*IF(G1465="",1,G1465))</f>
        <v/>
      </c>
      <c r="I1465" s="55" t="str">
        <f aca="false">IF(C1465="","",IFERROR(INDEX('DANH MỤC'!$B$5:$B$200,MATCH(C1465,'DANH MỤC'!$A$5:$A$200,0)),"⚠ Mã chưa có trong DANH MỤC"))</f>
        <v/>
      </c>
      <c r="J1465" s="52"/>
      <c r="K1465" s="52"/>
      <c r="L1465" s="52"/>
    </row>
    <row r="1466" customFormat="false" ht="15" hidden="false" customHeight="false" outlineLevel="0" collapsed="false">
      <c r="A1466" s="50"/>
      <c r="B1466" s="51" t="str">
        <f aca="false">IF(A1466="","",MONTH(A1466))</f>
        <v/>
      </c>
      <c r="C1466" s="52"/>
      <c r="D1466" s="52"/>
      <c r="E1466" s="52"/>
      <c r="F1466" s="53"/>
      <c r="G1466" s="52"/>
      <c r="H1466" s="54" t="str">
        <f aca="false">IF(E1466="","",E1466*N(F1466)*IF(G1466="",1,G1466))</f>
        <v/>
      </c>
      <c r="I1466" s="55" t="str">
        <f aca="false">IF(C1466="","",IFERROR(INDEX('DANH MỤC'!$B$5:$B$200,MATCH(C1466,'DANH MỤC'!$A$5:$A$200,0)),"⚠ Mã chưa có trong DANH MỤC"))</f>
        <v/>
      </c>
      <c r="J1466" s="52"/>
      <c r="K1466" s="52"/>
      <c r="L1466" s="52"/>
    </row>
    <row r="1467" customFormat="false" ht="15" hidden="false" customHeight="false" outlineLevel="0" collapsed="false">
      <c r="A1467" s="50"/>
      <c r="B1467" s="51" t="str">
        <f aca="false">IF(A1467="","",MONTH(A1467))</f>
        <v/>
      </c>
      <c r="C1467" s="52"/>
      <c r="D1467" s="52"/>
      <c r="E1467" s="52"/>
      <c r="F1467" s="53"/>
      <c r="G1467" s="52"/>
      <c r="H1467" s="54" t="str">
        <f aca="false">IF(E1467="","",E1467*N(F1467)*IF(G1467="",1,G1467))</f>
        <v/>
      </c>
      <c r="I1467" s="55" t="str">
        <f aca="false">IF(C1467="","",IFERROR(INDEX('DANH MỤC'!$B$5:$B$200,MATCH(C1467,'DANH MỤC'!$A$5:$A$200,0)),"⚠ Mã chưa có trong DANH MỤC"))</f>
        <v/>
      </c>
      <c r="J1467" s="52"/>
      <c r="K1467" s="52"/>
      <c r="L1467" s="52"/>
    </row>
    <row r="1468" customFormat="false" ht="15" hidden="false" customHeight="false" outlineLevel="0" collapsed="false">
      <c r="A1468" s="50"/>
      <c r="B1468" s="51" t="str">
        <f aca="false">IF(A1468="","",MONTH(A1468))</f>
        <v/>
      </c>
      <c r="C1468" s="52"/>
      <c r="D1468" s="52"/>
      <c r="E1468" s="52"/>
      <c r="F1468" s="53"/>
      <c r="G1468" s="52"/>
      <c r="H1468" s="54" t="str">
        <f aca="false">IF(E1468="","",E1468*N(F1468)*IF(G1468="",1,G1468))</f>
        <v/>
      </c>
      <c r="I1468" s="55" t="str">
        <f aca="false">IF(C1468="","",IFERROR(INDEX('DANH MỤC'!$B$5:$B$200,MATCH(C1468,'DANH MỤC'!$A$5:$A$200,0)),"⚠ Mã chưa có trong DANH MỤC"))</f>
        <v/>
      </c>
      <c r="J1468" s="52"/>
      <c r="K1468" s="52"/>
      <c r="L1468" s="52"/>
    </row>
    <row r="1469" customFormat="false" ht="15" hidden="false" customHeight="false" outlineLevel="0" collapsed="false">
      <c r="A1469" s="50"/>
      <c r="B1469" s="51" t="str">
        <f aca="false">IF(A1469="","",MONTH(A1469))</f>
        <v/>
      </c>
      <c r="C1469" s="52"/>
      <c r="D1469" s="52"/>
      <c r="E1469" s="52"/>
      <c r="F1469" s="53"/>
      <c r="G1469" s="52"/>
      <c r="H1469" s="54" t="str">
        <f aca="false">IF(E1469="","",E1469*N(F1469)*IF(G1469="",1,G1469))</f>
        <v/>
      </c>
      <c r="I1469" s="55" t="str">
        <f aca="false">IF(C1469="","",IFERROR(INDEX('DANH MỤC'!$B$5:$B$200,MATCH(C1469,'DANH MỤC'!$A$5:$A$200,0)),"⚠ Mã chưa có trong DANH MỤC"))</f>
        <v/>
      </c>
      <c r="J1469" s="52"/>
      <c r="K1469" s="52"/>
      <c r="L1469" s="52"/>
    </row>
    <row r="1470" customFormat="false" ht="15" hidden="false" customHeight="false" outlineLevel="0" collapsed="false">
      <c r="A1470" s="50"/>
      <c r="B1470" s="51" t="str">
        <f aca="false">IF(A1470="","",MONTH(A1470))</f>
        <v/>
      </c>
      <c r="C1470" s="52"/>
      <c r="D1470" s="52"/>
      <c r="E1470" s="52"/>
      <c r="F1470" s="53"/>
      <c r="G1470" s="52"/>
      <c r="H1470" s="54" t="str">
        <f aca="false">IF(E1470="","",E1470*N(F1470)*IF(G1470="",1,G1470))</f>
        <v/>
      </c>
      <c r="I1470" s="55" t="str">
        <f aca="false">IF(C1470="","",IFERROR(INDEX('DANH MỤC'!$B$5:$B$200,MATCH(C1470,'DANH MỤC'!$A$5:$A$200,0)),"⚠ Mã chưa có trong DANH MỤC"))</f>
        <v/>
      </c>
      <c r="J1470" s="52"/>
      <c r="K1470" s="52"/>
      <c r="L1470" s="52"/>
    </row>
    <row r="1471" customFormat="false" ht="15" hidden="false" customHeight="false" outlineLevel="0" collapsed="false">
      <c r="A1471" s="50"/>
      <c r="B1471" s="51" t="str">
        <f aca="false">IF(A1471="","",MONTH(A1471))</f>
        <v/>
      </c>
      <c r="C1471" s="52"/>
      <c r="D1471" s="52"/>
      <c r="E1471" s="52"/>
      <c r="F1471" s="53"/>
      <c r="G1471" s="52"/>
      <c r="H1471" s="54" t="str">
        <f aca="false">IF(E1471="","",E1471*N(F1471)*IF(G1471="",1,G1471))</f>
        <v/>
      </c>
      <c r="I1471" s="55" t="str">
        <f aca="false">IF(C1471="","",IFERROR(INDEX('DANH MỤC'!$B$5:$B$200,MATCH(C1471,'DANH MỤC'!$A$5:$A$200,0)),"⚠ Mã chưa có trong DANH MỤC"))</f>
        <v/>
      </c>
      <c r="J1471" s="52"/>
      <c r="K1471" s="52"/>
      <c r="L1471" s="52"/>
    </row>
    <row r="1472" customFormat="false" ht="15" hidden="false" customHeight="false" outlineLevel="0" collapsed="false">
      <c r="A1472" s="50"/>
      <c r="B1472" s="51" t="str">
        <f aca="false">IF(A1472="","",MONTH(A1472))</f>
        <v/>
      </c>
      <c r="C1472" s="52"/>
      <c r="D1472" s="52"/>
      <c r="E1472" s="52"/>
      <c r="F1472" s="53"/>
      <c r="G1472" s="52"/>
      <c r="H1472" s="54" t="str">
        <f aca="false">IF(E1472="","",E1472*N(F1472)*IF(G1472="",1,G1472))</f>
        <v/>
      </c>
      <c r="I1472" s="55" t="str">
        <f aca="false">IF(C1472="","",IFERROR(INDEX('DANH MỤC'!$B$5:$B$200,MATCH(C1472,'DANH MỤC'!$A$5:$A$200,0)),"⚠ Mã chưa có trong DANH MỤC"))</f>
        <v/>
      </c>
      <c r="J1472" s="52"/>
      <c r="K1472" s="52"/>
      <c r="L1472" s="52"/>
    </row>
    <row r="1473" customFormat="false" ht="15" hidden="false" customHeight="false" outlineLevel="0" collapsed="false">
      <c r="A1473" s="50"/>
      <c r="B1473" s="51" t="str">
        <f aca="false">IF(A1473="","",MONTH(A1473))</f>
        <v/>
      </c>
      <c r="C1473" s="52"/>
      <c r="D1473" s="52"/>
      <c r="E1473" s="52"/>
      <c r="F1473" s="53"/>
      <c r="G1473" s="52"/>
      <c r="H1473" s="54" t="str">
        <f aca="false">IF(E1473="","",E1473*N(F1473)*IF(G1473="",1,G1473))</f>
        <v/>
      </c>
      <c r="I1473" s="55" t="str">
        <f aca="false">IF(C1473="","",IFERROR(INDEX('DANH MỤC'!$B$5:$B$200,MATCH(C1473,'DANH MỤC'!$A$5:$A$200,0)),"⚠ Mã chưa có trong DANH MỤC"))</f>
        <v/>
      </c>
      <c r="J1473" s="52"/>
      <c r="K1473" s="52"/>
      <c r="L1473" s="52"/>
    </row>
    <row r="1474" customFormat="false" ht="15" hidden="false" customHeight="false" outlineLevel="0" collapsed="false">
      <c r="A1474" s="50"/>
      <c r="B1474" s="51" t="str">
        <f aca="false">IF(A1474="","",MONTH(A1474))</f>
        <v/>
      </c>
      <c r="C1474" s="52"/>
      <c r="D1474" s="52"/>
      <c r="E1474" s="52"/>
      <c r="F1474" s="53"/>
      <c r="G1474" s="52"/>
      <c r="H1474" s="54" t="str">
        <f aca="false">IF(E1474="","",E1474*N(F1474)*IF(G1474="",1,G1474))</f>
        <v/>
      </c>
      <c r="I1474" s="55" t="str">
        <f aca="false">IF(C1474="","",IFERROR(INDEX('DANH MỤC'!$B$5:$B$200,MATCH(C1474,'DANH MỤC'!$A$5:$A$200,0)),"⚠ Mã chưa có trong DANH MỤC"))</f>
        <v/>
      </c>
      <c r="J1474" s="52"/>
      <c r="K1474" s="52"/>
      <c r="L1474" s="52"/>
    </row>
    <row r="1475" customFormat="false" ht="15" hidden="false" customHeight="false" outlineLevel="0" collapsed="false">
      <c r="A1475" s="50"/>
      <c r="B1475" s="51" t="str">
        <f aca="false">IF(A1475="","",MONTH(A1475))</f>
        <v/>
      </c>
      <c r="C1475" s="52"/>
      <c r="D1475" s="52"/>
      <c r="E1475" s="52"/>
      <c r="F1475" s="53"/>
      <c r="G1475" s="52"/>
      <c r="H1475" s="54" t="str">
        <f aca="false">IF(E1475="","",E1475*N(F1475)*IF(G1475="",1,G1475))</f>
        <v/>
      </c>
      <c r="I1475" s="55" t="str">
        <f aca="false">IF(C1475="","",IFERROR(INDEX('DANH MỤC'!$B$5:$B$200,MATCH(C1475,'DANH MỤC'!$A$5:$A$200,0)),"⚠ Mã chưa có trong DANH MỤC"))</f>
        <v/>
      </c>
      <c r="J1475" s="52"/>
      <c r="K1475" s="52"/>
      <c r="L1475" s="52"/>
    </row>
    <row r="1476" customFormat="false" ht="15" hidden="false" customHeight="false" outlineLevel="0" collapsed="false">
      <c r="A1476" s="50"/>
      <c r="B1476" s="51" t="str">
        <f aca="false">IF(A1476="","",MONTH(A1476))</f>
        <v/>
      </c>
      <c r="C1476" s="52"/>
      <c r="D1476" s="52"/>
      <c r="E1476" s="52"/>
      <c r="F1476" s="53"/>
      <c r="G1476" s="52"/>
      <c r="H1476" s="54" t="str">
        <f aca="false">IF(E1476="","",E1476*N(F1476)*IF(G1476="",1,G1476))</f>
        <v/>
      </c>
      <c r="I1476" s="55" t="str">
        <f aca="false">IF(C1476="","",IFERROR(INDEX('DANH MỤC'!$B$5:$B$200,MATCH(C1476,'DANH MỤC'!$A$5:$A$200,0)),"⚠ Mã chưa có trong DANH MỤC"))</f>
        <v/>
      </c>
      <c r="J1476" s="52"/>
      <c r="K1476" s="52"/>
      <c r="L1476" s="52"/>
    </row>
    <row r="1477" customFormat="false" ht="15" hidden="false" customHeight="false" outlineLevel="0" collapsed="false">
      <c r="A1477" s="50"/>
      <c r="B1477" s="51" t="str">
        <f aca="false">IF(A1477="","",MONTH(A1477))</f>
        <v/>
      </c>
      <c r="C1477" s="52"/>
      <c r="D1477" s="52"/>
      <c r="E1477" s="52"/>
      <c r="F1477" s="53"/>
      <c r="G1477" s="52"/>
      <c r="H1477" s="54" t="str">
        <f aca="false">IF(E1477="","",E1477*N(F1477)*IF(G1477="",1,G1477))</f>
        <v/>
      </c>
      <c r="I1477" s="55" t="str">
        <f aca="false">IF(C1477="","",IFERROR(INDEX('DANH MỤC'!$B$5:$B$200,MATCH(C1477,'DANH MỤC'!$A$5:$A$200,0)),"⚠ Mã chưa có trong DANH MỤC"))</f>
        <v/>
      </c>
      <c r="J1477" s="52"/>
      <c r="K1477" s="52"/>
      <c r="L1477" s="52"/>
    </row>
    <row r="1478" customFormat="false" ht="15" hidden="false" customHeight="false" outlineLevel="0" collapsed="false">
      <c r="A1478" s="50"/>
      <c r="B1478" s="51" t="str">
        <f aca="false">IF(A1478="","",MONTH(A1478))</f>
        <v/>
      </c>
      <c r="C1478" s="52"/>
      <c r="D1478" s="52"/>
      <c r="E1478" s="52"/>
      <c r="F1478" s="53"/>
      <c r="G1478" s="52"/>
      <c r="H1478" s="54" t="str">
        <f aca="false">IF(E1478="","",E1478*N(F1478)*IF(G1478="",1,G1478))</f>
        <v/>
      </c>
      <c r="I1478" s="55" t="str">
        <f aca="false">IF(C1478="","",IFERROR(INDEX('DANH MỤC'!$B$5:$B$200,MATCH(C1478,'DANH MỤC'!$A$5:$A$200,0)),"⚠ Mã chưa có trong DANH MỤC"))</f>
        <v/>
      </c>
      <c r="J1478" s="52"/>
      <c r="K1478" s="52"/>
      <c r="L1478" s="52"/>
    </row>
    <row r="1479" customFormat="false" ht="15" hidden="false" customHeight="false" outlineLevel="0" collapsed="false">
      <c r="A1479" s="50"/>
      <c r="B1479" s="51" t="str">
        <f aca="false">IF(A1479="","",MONTH(A1479))</f>
        <v/>
      </c>
      <c r="C1479" s="52"/>
      <c r="D1479" s="52"/>
      <c r="E1479" s="52"/>
      <c r="F1479" s="53"/>
      <c r="G1479" s="52"/>
      <c r="H1479" s="54" t="str">
        <f aca="false">IF(E1479="","",E1479*N(F1479)*IF(G1479="",1,G1479))</f>
        <v/>
      </c>
      <c r="I1479" s="55" t="str">
        <f aca="false">IF(C1479="","",IFERROR(INDEX('DANH MỤC'!$B$5:$B$200,MATCH(C1479,'DANH MỤC'!$A$5:$A$200,0)),"⚠ Mã chưa có trong DANH MỤC"))</f>
        <v/>
      </c>
      <c r="J1479" s="52"/>
      <c r="K1479" s="52"/>
      <c r="L1479" s="52"/>
    </row>
    <row r="1480" customFormat="false" ht="15" hidden="false" customHeight="false" outlineLevel="0" collapsed="false">
      <c r="A1480" s="50"/>
      <c r="B1480" s="51" t="str">
        <f aca="false">IF(A1480="","",MONTH(A1480))</f>
        <v/>
      </c>
      <c r="C1480" s="52"/>
      <c r="D1480" s="52"/>
      <c r="E1480" s="52"/>
      <c r="F1480" s="53"/>
      <c r="G1480" s="52"/>
      <c r="H1480" s="54" t="str">
        <f aca="false">IF(E1480="","",E1480*N(F1480)*IF(G1480="",1,G1480))</f>
        <v/>
      </c>
      <c r="I1480" s="55" t="str">
        <f aca="false">IF(C1480="","",IFERROR(INDEX('DANH MỤC'!$B$5:$B$200,MATCH(C1480,'DANH MỤC'!$A$5:$A$200,0)),"⚠ Mã chưa có trong DANH MỤC"))</f>
        <v/>
      </c>
      <c r="J1480" s="52"/>
      <c r="K1480" s="52"/>
      <c r="L1480" s="52"/>
    </row>
    <row r="1481" customFormat="false" ht="15" hidden="false" customHeight="false" outlineLevel="0" collapsed="false">
      <c r="A1481" s="50"/>
      <c r="B1481" s="51" t="str">
        <f aca="false">IF(A1481="","",MONTH(A1481))</f>
        <v/>
      </c>
      <c r="C1481" s="52"/>
      <c r="D1481" s="52"/>
      <c r="E1481" s="52"/>
      <c r="F1481" s="53"/>
      <c r="G1481" s="52"/>
      <c r="H1481" s="54" t="str">
        <f aca="false">IF(E1481="","",E1481*N(F1481)*IF(G1481="",1,G1481))</f>
        <v/>
      </c>
      <c r="I1481" s="55" t="str">
        <f aca="false">IF(C1481="","",IFERROR(INDEX('DANH MỤC'!$B$5:$B$200,MATCH(C1481,'DANH MỤC'!$A$5:$A$200,0)),"⚠ Mã chưa có trong DANH MỤC"))</f>
        <v/>
      </c>
      <c r="J1481" s="52"/>
      <c r="K1481" s="52"/>
      <c r="L1481" s="52"/>
    </row>
    <row r="1482" customFormat="false" ht="15" hidden="false" customHeight="false" outlineLevel="0" collapsed="false">
      <c r="A1482" s="50"/>
      <c r="B1482" s="51" t="str">
        <f aca="false">IF(A1482="","",MONTH(A1482))</f>
        <v/>
      </c>
      <c r="C1482" s="52"/>
      <c r="D1482" s="52"/>
      <c r="E1482" s="52"/>
      <c r="F1482" s="53"/>
      <c r="G1482" s="52"/>
      <c r="H1482" s="54" t="str">
        <f aca="false">IF(E1482="","",E1482*N(F1482)*IF(G1482="",1,G1482))</f>
        <v/>
      </c>
      <c r="I1482" s="55" t="str">
        <f aca="false">IF(C1482="","",IFERROR(INDEX('DANH MỤC'!$B$5:$B$200,MATCH(C1482,'DANH MỤC'!$A$5:$A$200,0)),"⚠ Mã chưa có trong DANH MỤC"))</f>
        <v/>
      </c>
      <c r="J1482" s="52"/>
      <c r="K1482" s="52"/>
      <c r="L1482" s="52"/>
    </row>
    <row r="1483" customFormat="false" ht="15" hidden="false" customHeight="false" outlineLevel="0" collapsed="false">
      <c r="A1483" s="50"/>
      <c r="B1483" s="51" t="str">
        <f aca="false">IF(A1483="","",MONTH(A1483))</f>
        <v/>
      </c>
      <c r="C1483" s="52"/>
      <c r="D1483" s="52"/>
      <c r="E1483" s="52"/>
      <c r="F1483" s="53"/>
      <c r="G1483" s="52"/>
      <c r="H1483" s="54" t="str">
        <f aca="false">IF(E1483="","",E1483*N(F1483)*IF(G1483="",1,G1483))</f>
        <v/>
      </c>
      <c r="I1483" s="55" t="str">
        <f aca="false">IF(C1483="","",IFERROR(INDEX('DANH MỤC'!$B$5:$B$200,MATCH(C1483,'DANH MỤC'!$A$5:$A$200,0)),"⚠ Mã chưa có trong DANH MỤC"))</f>
        <v/>
      </c>
      <c r="J1483" s="52"/>
      <c r="K1483" s="52"/>
      <c r="L1483" s="52"/>
    </row>
    <row r="1484" customFormat="false" ht="15" hidden="false" customHeight="false" outlineLevel="0" collapsed="false">
      <c r="A1484" s="50"/>
      <c r="B1484" s="51" t="str">
        <f aca="false">IF(A1484="","",MONTH(A1484))</f>
        <v/>
      </c>
      <c r="C1484" s="52"/>
      <c r="D1484" s="52"/>
      <c r="E1484" s="52"/>
      <c r="F1484" s="53"/>
      <c r="G1484" s="52"/>
      <c r="H1484" s="54" t="str">
        <f aca="false">IF(E1484="","",E1484*N(F1484)*IF(G1484="",1,G1484))</f>
        <v/>
      </c>
      <c r="I1484" s="55" t="str">
        <f aca="false">IF(C1484="","",IFERROR(INDEX('DANH MỤC'!$B$5:$B$200,MATCH(C1484,'DANH MỤC'!$A$5:$A$200,0)),"⚠ Mã chưa có trong DANH MỤC"))</f>
        <v/>
      </c>
      <c r="J1484" s="52"/>
      <c r="K1484" s="52"/>
      <c r="L1484" s="52"/>
    </row>
    <row r="1485" customFormat="false" ht="15" hidden="false" customHeight="false" outlineLevel="0" collapsed="false">
      <c r="A1485" s="50"/>
      <c r="B1485" s="51" t="str">
        <f aca="false">IF(A1485="","",MONTH(A1485))</f>
        <v/>
      </c>
      <c r="C1485" s="52"/>
      <c r="D1485" s="52"/>
      <c r="E1485" s="52"/>
      <c r="F1485" s="53"/>
      <c r="G1485" s="52"/>
      <c r="H1485" s="54" t="str">
        <f aca="false">IF(E1485="","",E1485*N(F1485)*IF(G1485="",1,G1485))</f>
        <v/>
      </c>
      <c r="I1485" s="55" t="str">
        <f aca="false">IF(C1485="","",IFERROR(INDEX('DANH MỤC'!$B$5:$B$200,MATCH(C1485,'DANH MỤC'!$A$5:$A$200,0)),"⚠ Mã chưa có trong DANH MỤC"))</f>
        <v/>
      </c>
      <c r="J1485" s="52"/>
      <c r="K1485" s="52"/>
      <c r="L1485" s="52"/>
    </row>
    <row r="1486" customFormat="false" ht="15" hidden="false" customHeight="false" outlineLevel="0" collapsed="false">
      <c r="A1486" s="50"/>
      <c r="B1486" s="51" t="str">
        <f aca="false">IF(A1486="","",MONTH(A1486))</f>
        <v/>
      </c>
      <c r="C1486" s="52"/>
      <c r="D1486" s="52"/>
      <c r="E1486" s="52"/>
      <c r="F1486" s="53"/>
      <c r="G1486" s="52"/>
      <c r="H1486" s="54" t="str">
        <f aca="false">IF(E1486="","",E1486*N(F1486)*IF(G1486="",1,G1486))</f>
        <v/>
      </c>
      <c r="I1486" s="55" t="str">
        <f aca="false">IF(C1486="","",IFERROR(INDEX('DANH MỤC'!$B$5:$B$200,MATCH(C1486,'DANH MỤC'!$A$5:$A$200,0)),"⚠ Mã chưa có trong DANH MỤC"))</f>
        <v/>
      </c>
      <c r="J1486" s="52"/>
      <c r="K1486" s="52"/>
      <c r="L1486" s="52"/>
    </row>
    <row r="1487" customFormat="false" ht="15" hidden="false" customHeight="false" outlineLevel="0" collapsed="false">
      <c r="A1487" s="50"/>
      <c r="B1487" s="51" t="str">
        <f aca="false">IF(A1487="","",MONTH(A1487))</f>
        <v/>
      </c>
      <c r="C1487" s="52"/>
      <c r="D1487" s="52"/>
      <c r="E1487" s="52"/>
      <c r="F1487" s="53"/>
      <c r="G1487" s="52"/>
      <c r="H1487" s="54" t="str">
        <f aca="false">IF(E1487="","",E1487*N(F1487)*IF(G1487="",1,G1487))</f>
        <v/>
      </c>
      <c r="I1487" s="55" t="str">
        <f aca="false">IF(C1487="","",IFERROR(INDEX('DANH MỤC'!$B$5:$B$200,MATCH(C1487,'DANH MỤC'!$A$5:$A$200,0)),"⚠ Mã chưa có trong DANH MỤC"))</f>
        <v/>
      </c>
      <c r="J1487" s="52"/>
      <c r="K1487" s="52"/>
      <c r="L1487" s="52"/>
    </row>
    <row r="1488" customFormat="false" ht="15" hidden="false" customHeight="false" outlineLevel="0" collapsed="false">
      <c r="A1488" s="50"/>
      <c r="B1488" s="51" t="str">
        <f aca="false">IF(A1488="","",MONTH(A1488))</f>
        <v/>
      </c>
      <c r="C1488" s="52"/>
      <c r="D1488" s="52"/>
      <c r="E1488" s="52"/>
      <c r="F1488" s="53"/>
      <c r="G1488" s="52"/>
      <c r="H1488" s="54" t="str">
        <f aca="false">IF(E1488="","",E1488*N(F1488)*IF(G1488="",1,G1488))</f>
        <v/>
      </c>
      <c r="I1488" s="55" t="str">
        <f aca="false">IF(C1488="","",IFERROR(INDEX('DANH MỤC'!$B$5:$B$200,MATCH(C1488,'DANH MỤC'!$A$5:$A$200,0)),"⚠ Mã chưa có trong DANH MỤC"))</f>
        <v/>
      </c>
      <c r="J1488" s="52"/>
      <c r="K1488" s="52"/>
      <c r="L1488" s="52"/>
    </row>
    <row r="1489" customFormat="false" ht="15" hidden="false" customHeight="false" outlineLevel="0" collapsed="false">
      <c r="A1489" s="50"/>
      <c r="B1489" s="51" t="str">
        <f aca="false">IF(A1489="","",MONTH(A1489))</f>
        <v/>
      </c>
      <c r="C1489" s="52"/>
      <c r="D1489" s="52"/>
      <c r="E1489" s="52"/>
      <c r="F1489" s="53"/>
      <c r="G1489" s="52"/>
      <c r="H1489" s="54" t="str">
        <f aca="false">IF(E1489="","",E1489*N(F1489)*IF(G1489="",1,G1489))</f>
        <v/>
      </c>
      <c r="I1489" s="55" t="str">
        <f aca="false">IF(C1489="","",IFERROR(INDEX('DANH MỤC'!$B$5:$B$200,MATCH(C1489,'DANH MỤC'!$A$5:$A$200,0)),"⚠ Mã chưa có trong DANH MỤC"))</f>
        <v/>
      </c>
      <c r="J1489" s="52"/>
      <c r="K1489" s="52"/>
      <c r="L1489" s="52"/>
    </row>
    <row r="1490" customFormat="false" ht="15" hidden="false" customHeight="false" outlineLevel="0" collapsed="false">
      <c r="A1490" s="50"/>
      <c r="B1490" s="51" t="str">
        <f aca="false">IF(A1490="","",MONTH(A1490))</f>
        <v/>
      </c>
      <c r="C1490" s="52"/>
      <c r="D1490" s="52"/>
      <c r="E1490" s="52"/>
      <c r="F1490" s="53"/>
      <c r="G1490" s="52"/>
      <c r="H1490" s="54" t="str">
        <f aca="false">IF(E1490="","",E1490*N(F1490)*IF(G1490="",1,G1490))</f>
        <v/>
      </c>
      <c r="I1490" s="55" t="str">
        <f aca="false">IF(C1490="","",IFERROR(INDEX('DANH MỤC'!$B$5:$B$200,MATCH(C1490,'DANH MỤC'!$A$5:$A$200,0)),"⚠ Mã chưa có trong DANH MỤC"))</f>
        <v/>
      </c>
      <c r="J1490" s="52"/>
      <c r="K1490" s="52"/>
      <c r="L1490" s="52"/>
    </row>
    <row r="1491" customFormat="false" ht="15" hidden="false" customHeight="false" outlineLevel="0" collapsed="false">
      <c r="A1491" s="50"/>
      <c r="B1491" s="51" t="str">
        <f aca="false">IF(A1491="","",MONTH(A1491))</f>
        <v/>
      </c>
      <c r="C1491" s="52"/>
      <c r="D1491" s="52"/>
      <c r="E1491" s="52"/>
      <c r="F1491" s="53"/>
      <c r="G1491" s="52"/>
      <c r="H1491" s="54" t="str">
        <f aca="false">IF(E1491="","",E1491*N(F1491)*IF(G1491="",1,G1491))</f>
        <v/>
      </c>
      <c r="I1491" s="55" t="str">
        <f aca="false">IF(C1491="","",IFERROR(INDEX('DANH MỤC'!$B$5:$B$200,MATCH(C1491,'DANH MỤC'!$A$5:$A$200,0)),"⚠ Mã chưa có trong DANH MỤC"))</f>
        <v/>
      </c>
      <c r="J1491" s="52"/>
      <c r="K1491" s="52"/>
      <c r="L1491" s="52"/>
    </row>
    <row r="1492" customFormat="false" ht="15" hidden="false" customHeight="false" outlineLevel="0" collapsed="false">
      <c r="A1492" s="50"/>
      <c r="B1492" s="51" t="str">
        <f aca="false">IF(A1492="","",MONTH(A1492))</f>
        <v/>
      </c>
      <c r="C1492" s="52"/>
      <c r="D1492" s="52"/>
      <c r="E1492" s="52"/>
      <c r="F1492" s="53"/>
      <c r="G1492" s="52"/>
      <c r="H1492" s="54" t="str">
        <f aca="false">IF(E1492="","",E1492*N(F1492)*IF(G1492="",1,G1492))</f>
        <v/>
      </c>
      <c r="I1492" s="55" t="str">
        <f aca="false">IF(C1492="","",IFERROR(INDEX('DANH MỤC'!$B$5:$B$200,MATCH(C1492,'DANH MỤC'!$A$5:$A$200,0)),"⚠ Mã chưa có trong DANH MỤC"))</f>
        <v/>
      </c>
      <c r="J1492" s="52"/>
      <c r="K1492" s="52"/>
      <c r="L1492" s="52"/>
    </row>
    <row r="1493" customFormat="false" ht="15" hidden="false" customHeight="false" outlineLevel="0" collapsed="false">
      <c r="A1493" s="50"/>
      <c r="B1493" s="51" t="str">
        <f aca="false">IF(A1493="","",MONTH(A1493))</f>
        <v/>
      </c>
      <c r="C1493" s="52"/>
      <c r="D1493" s="52"/>
      <c r="E1493" s="52"/>
      <c r="F1493" s="53"/>
      <c r="G1493" s="52"/>
      <c r="H1493" s="54" t="str">
        <f aca="false">IF(E1493="","",E1493*N(F1493)*IF(G1493="",1,G1493))</f>
        <v/>
      </c>
      <c r="I1493" s="55" t="str">
        <f aca="false">IF(C1493="","",IFERROR(INDEX('DANH MỤC'!$B$5:$B$200,MATCH(C1493,'DANH MỤC'!$A$5:$A$200,0)),"⚠ Mã chưa có trong DANH MỤC"))</f>
        <v/>
      </c>
      <c r="J1493" s="52"/>
      <c r="K1493" s="52"/>
      <c r="L1493" s="52"/>
    </row>
    <row r="1494" customFormat="false" ht="15" hidden="false" customHeight="false" outlineLevel="0" collapsed="false">
      <c r="A1494" s="50"/>
      <c r="B1494" s="51" t="str">
        <f aca="false">IF(A1494="","",MONTH(A1494))</f>
        <v/>
      </c>
      <c r="C1494" s="52"/>
      <c r="D1494" s="52"/>
      <c r="E1494" s="52"/>
      <c r="F1494" s="53"/>
      <c r="G1494" s="52"/>
      <c r="H1494" s="54" t="str">
        <f aca="false">IF(E1494="","",E1494*N(F1494)*IF(G1494="",1,G1494))</f>
        <v/>
      </c>
      <c r="I1494" s="55" t="str">
        <f aca="false">IF(C1494="","",IFERROR(INDEX('DANH MỤC'!$B$5:$B$200,MATCH(C1494,'DANH MỤC'!$A$5:$A$200,0)),"⚠ Mã chưa có trong DANH MỤC"))</f>
        <v/>
      </c>
      <c r="J1494" s="52"/>
      <c r="K1494" s="52"/>
      <c r="L1494" s="52"/>
    </row>
    <row r="1495" customFormat="false" ht="15" hidden="false" customHeight="false" outlineLevel="0" collapsed="false">
      <c r="A1495" s="50"/>
      <c r="B1495" s="51" t="str">
        <f aca="false">IF(A1495="","",MONTH(A1495))</f>
        <v/>
      </c>
      <c r="C1495" s="52"/>
      <c r="D1495" s="52"/>
      <c r="E1495" s="52"/>
      <c r="F1495" s="53"/>
      <c r="G1495" s="52"/>
      <c r="H1495" s="54" t="str">
        <f aca="false">IF(E1495="","",E1495*N(F1495)*IF(G1495="",1,G1495))</f>
        <v/>
      </c>
      <c r="I1495" s="55" t="str">
        <f aca="false">IF(C1495="","",IFERROR(INDEX('DANH MỤC'!$B$5:$B$200,MATCH(C1495,'DANH MỤC'!$A$5:$A$200,0)),"⚠ Mã chưa có trong DANH MỤC"))</f>
        <v/>
      </c>
      <c r="J1495" s="52"/>
      <c r="K1495" s="52"/>
      <c r="L1495" s="52"/>
    </row>
    <row r="1496" customFormat="false" ht="15" hidden="false" customHeight="false" outlineLevel="0" collapsed="false">
      <c r="A1496" s="50"/>
      <c r="B1496" s="51" t="str">
        <f aca="false">IF(A1496="","",MONTH(A1496))</f>
        <v/>
      </c>
      <c r="C1496" s="52"/>
      <c r="D1496" s="52"/>
      <c r="E1496" s="52"/>
      <c r="F1496" s="53"/>
      <c r="G1496" s="52"/>
      <c r="H1496" s="54" t="str">
        <f aca="false">IF(E1496="","",E1496*N(F1496)*IF(G1496="",1,G1496))</f>
        <v/>
      </c>
      <c r="I1496" s="55" t="str">
        <f aca="false">IF(C1496="","",IFERROR(INDEX('DANH MỤC'!$B$5:$B$200,MATCH(C1496,'DANH MỤC'!$A$5:$A$200,0)),"⚠ Mã chưa có trong DANH MỤC"))</f>
        <v/>
      </c>
      <c r="J1496" s="52"/>
      <c r="K1496" s="52"/>
      <c r="L1496" s="52"/>
    </row>
    <row r="1497" customFormat="false" ht="15" hidden="false" customHeight="false" outlineLevel="0" collapsed="false">
      <c r="A1497" s="50"/>
      <c r="B1497" s="51" t="str">
        <f aca="false">IF(A1497="","",MONTH(A1497))</f>
        <v/>
      </c>
      <c r="C1497" s="52"/>
      <c r="D1497" s="52"/>
      <c r="E1497" s="52"/>
      <c r="F1497" s="53"/>
      <c r="G1497" s="52"/>
      <c r="H1497" s="54" t="str">
        <f aca="false">IF(E1497="","",E1497*N(F1497)*IF(G1497="",1,G1497))</f>
        <v/>
      </c>
      <c r="I1497" s="55" t="str">
        <f aca="false">IF(C1497="","",IFERROR(INDEX('DANH MỤC'!$B$5:$B$200,MATCH(C1497,'DANH MỤC'!$A$5:$A$200,0)),"⚠ Mã chưa có trong DANH MỤC"))</f>
        <v/>
      </c>
      <c r="J1497" s="52"/>
      <c r="K1497" s="52"/>
      <c r="L1497" s="52"/>
    </row>
    <row r="1498" customFormat="false" ht="15" hidden="false" customHeight="false" outlineLevel="0" collapsed="false">
      <c r="A1498" s="50"/>
      <c r="B1498" s="51" t="str">
        <f aca="false">IF(A1498="","",MONTH(A1498))</f>
        <v/>
      </c>
      <c r="C1498" s="52"/>
      <c r="D1498" s="52"/>
      <c r="E1498" s="52"/>
      <c r="F1498" s="53"/>
      <c r="G1498" s="52"/>
      <c r="H1498" s="54" t="str">
        <f aca="false">IF(E1498="","",E1498*N(F1498)*IF(G1498="",1,G1498))</f>
        <v/>
      </c>
      <c r="I1498" s="55" t="str">
        <f aca="false">IF(C1498="","",IFERROR(INDEX('DANH MỤC'!$B$5:$B$200,MATCH(C1498,'DANH MỤC'!$A$5:$A$200,0)),"⚠ Mã chưa có trong DANH MỤC"))</f>
        <v/>
      </c>
      <c r="J1498" s="52"/>
      <c r="K1498" s="52"/>
      <c r="L1498" s="52"/>
    </row>
    <row r="1499" customFormat="false" ht="15" hidden="false" customHeight="false" outlineLevel="0" collapsed="false">
      <c r="A1499" s="50"/>
      <c r="B1499" s="51" t="str">
        <f aca="false">IF(A1499="","",MONTH(A1499))</f>
        <v/>
      </c>
      <c r="C1499" s="52"/>
      <c r="D1499" s="52"/>
      <c r="E1499" s="52"/>
      <c r="F1499" s="53"/>
      <c r="G1499" s="52"/>
      <c r="H1499" s="54" t="str">
        <f aca="false">IF(E1499="","",E1499*N(F1499)*IF(G1499="",1,G1499))</f>
        <v/>
      </c>
      <c r="I1499" s="55" t="str">
        <f aca="false">IF(C1499="","",IFERROR(INDEX('DANH MỤC'!$B$5:$B$200,MATCH(C1499,'DANH MỤC'!$A$5:$A$200,0)),"⚠ Mã chưa có trong DANH MỤC"))</f>
        <v/>
      </c>
      <c r="J1499" s="52"/>
      <c r="K1499" s="52"/>
      <c r="L1499" s="52"/>
    </row>
    <row r="1500" customFormat="false" ht="15" hidden="false" customHeight="false" outlineLevel="0" collapsed="false">
      <c r="A1500" s="50"/>
      <c r="B1500" s="51" t="str">
        <f aca="false">IF(A1500="","",MONTH(A1500))</f>
        <v/>
      </c>
      <c r="C1500" s="52"/>
      <c r="D1500" s="52"/>
      <c r="E1500" s="52"/>
      <c r="F1500" s="53"/>
      <c r="G1500" s="52"/>
      <c r="H1500" s="54" t="str">
        <f aca="false">IF(E1500="","",E1500*N(F1500)*IF(G1500="",1,G1500))</f>
        <v/>
      </c>
      <c r="I1500" s="55" t="str">
        <f aca="false">IF(C1500="","",IFERROR(INDEX('DANH MỤC'!$B$5:$B$200,MATCH(C1500,'DANH MỤC'!$A$5:$A$200,0)),"⚠ Mã chưa có trong DANH MỤC"))</f>
        <v/>
      </c>
      <c r="J1500" s="52"/>
      <c r="K1500" s="52"/>
      <c r="L1500" s="52"/>
    </row>
    <row r="1501" customFormat="false" ht="15" hidden="false" customHeight="false" outlineLevel="0" collapsed="false">
      <c r="A1501" s="50"/>
      <c r="B1501" s="51" t="str">
        <f aca="false">IF(A1501="","",MONTH(A1501))</f>
        <v/>
      </c>
      <c r="C1501" s="52"/>
      <c r="D1501" s="52"/>
      <c r="E1501" s="52"/>
      <c r="F1501" s="53"/>
      <c r="G1501" s="52"/>
      <c r="H1501" s="54" t="str">
        <f aca="false">IF(E1501="","",E1501*N(F1501)*IF(G1501="",1,G1501))</f>
        <v/>
      </c>
      <c r="I1501" s="55" t="str">
        <f aca="false">IF(C1501="","",IFERROR(INDEX('DANH MỤC'!$B$5:$B$200,MATCH(C1501,'DANH MỤC'!$A$5:$A$200,0)),"⚠ Mã chưa có trong DANH MỤC"))</f>
        <v/>
      </c>
      <c r="J1501" s="52"/>
      <c r="K1501" s="52"/>
      <c r="L1501" s="52"/>
    </row>
    <row r="1502" customFormat="false" ht="15" hidden="false" customHeight="false" outlineLevel="0" collapsed="false">
      <c r="A1502" s="50"/>
      <c r="B1502" s="51" t="str">
        <f aca="false">IF(A1502="","",MONTH(A1502))</f>
        <v/>
      </c>
      <c r="C1502" s="52"/>
      <c r="D1502" s="52"/>
      <c r="E1502" s="52"/>
      <c r="F1502" s="53"/>
      <c r="G1502" s="52"/>
      <c r="H1502" s="54" t="str">
        <f aca="false">IF(E1502="","",E1502*N(F1502)*IF(G1502="",1,G1502))</f>
        <v/>
      </c>
      <c r="I1502" s="55" t="str">
        <f aca="false">IF(C1502="","",IFERROR(INDEX('DANH MỤC'!$B$5:$B$200,MATCH(C1502,'DANH MỤC'!$A$5:$A$200,0)),"⚠ Mã chưa có trong DANH MỤC"))</f>
        <v/>
      </c>
      <c r="J1502" s="52"/>
      <c r="K1502" s="52"/>
      <c r="L1502" s="52"/>
    </row>
    <row r="1503" customFormat="false" ht="15" hidden="false" customHeight="false" outlineLevel="0" collapsed="false">
      <c r="A1503" s="50"/>
      <c r="B1503" s="51" t="str">
        <f aca="false">IF(A1503="","",MONTH(A1503))</f>
        <v/>
      </c>
      <c r="C1503" s="52"/>
      <c r="D1503" s="52"/>
      <c r="E1503" s="52"/>
      <c r="F1503" s="53"/>
      <c r="G1503" s="52"/>
      <c r="H1503" s="54" t="str">
        <f aca="false">IF(E1503="","",E1503*N(F1503)*IF(G1503="",1,G1503))</f>
        <v/>
      </c>
      <c r="I1503" s="55" t="str">
        <f aca="false">IF(C1503="","",IFERROR(INDEX('DANH MỤC'!$B$5:$B$200,MATCH(C1503,'DANH MỤC'!$A$5:$A$200,0)),"⚠ Mã chưa có trong DANH MỤC"))</f>
        <v/>
      </c>
      <c r="J1503" s="52"/>
      <c r="K1503" s="52"/>
      <c r="L1503" s="52"/>
    </row>
    <row r="1504" customFormat="false" ht="15" hidden="false" customHeight="false" outlineLevel="0" collapsed="false">
      <c r="A1504" s="50"/>
      <c r="B1504" s="51" t="str">
        <f aca="false">IF(A1504="","",MONTH(A1504))</f>
        <v/>
      </c>
      <c r="C1504" s="52"/>
      <c r="D1504" s="52"/>
      <c r="E1504" s="52"/>
      <c r="F1504" s="53"/>
      <c r="G1504" s="52"/>
      <c r="H1504" s="54" t="str">
        <f aca="false">IF(E1504="","",E1504*N(F1504)*IF(G1504="",1,G1504))</f>
        <v/>
      </c>
      <c r="I1504" s="55" t="str">
        <f aca="false">IF(C1504="","",IFERROR(INDEX('DANH MỤC'!$B$5:$B$200,MATCH(C1504,'DANH MỤC'!$A$5:$A$200,0)),"⚠ Mã chưa có trong DANH MỤC"))</f>
        <v/>
      </c>
      <c r="J1504" s="52"/>
      <c r="K1504" s="52"/>
      <c r="L1504" s="52"/>
    </row>
    <row r="1505" customFormat="false" ht="15" hidden="false" customHeight="false" outlineLevel="0" collapsed="false">
      <c r="A1505" s="50"/>
      <c r="B1505" s="51" t="str">
        <f aca="false">IF(A1505="","",MONTH(A1505))</f>
        <v/>
      </c>
      <c r="C1505" s="52"/>
      <c r="D1505" s="52"/>
      <c r="E1505" s="52"/>
      <c r="F1505" s="53"/>
      <c r="G1505" s="52"/>
      <c r="H1505" s="54" t="str">
        <f aca="false">IF(E1505="","",E1505*N(F1505)*IF(G1505="",1,G1505))</f>
        <v/>
      </c>
      <c r="I1505" s="55" t="str">
        <f aca="false">IF(C1505="","",IFERROR(INDEX('DANH MỤC'!$B$5:$B$200,MATCH(C1505,'DANH MỤC'!$A$5:$A$200,0)),"⚠ Mã chưa có trong DANH MỤC"))</f>
        <v/>
      </c>
      <c r="J1505" s="52"/>
      <c r="K1505" s="52"/>
      <c r="L1505" s="52"/>
    </row>
    <row r="1506" customFormat="false" ht="15" hidden="false" customHeight="false" outlineLevel="0" collapsed="false">
      <c r="A1506" s="50"/>
      <c r="B1506" s="51" t="str">
        <f aca="false">IF(A1506="","",MONTH(A1506))</f>
        <v/>
      </c>
      <c r="C1506" s="52"/>
      <c r="D1506" s="52"/>
      <c r="E1506" s="52"/>
      <c r="F1506" s="53"/>
      <c r="G1506" s="52"/>
      <c r="H1506" s="54" t="str">
        <f aca="false">IF(E1506="","",E1506*N(F1506)*IF(G1506="",1,G1506))</f>
        <v/>
      </c>
      <c r="I1506" s="55" t="str">
        <f aca="false">IF(C1506="","",IFERROR(INDEX('DANH MỤC'!$B$5:$B$200,MATCH(C1506,'DANH MỤC'!$A$5:$A$200,0)),"⚠ Mã chưa có trong DANH MỤC"))</f>
        <v/>
      </c>
      <c r="J1506" s="52"/>
      <c r="K1506" s="52"/>
      <c r="L1506" s="52"/>
    </row>
    <row r="1507" customFormat="false" ht="15" hidden="false" customHeight="false" outlineLevel="0" collapsed="false">
      <c r="A1507" s="50"/>
      <c r="B1507" s="51" t="str">
        <f aca="false">IF(A1507="","",MONTH(A1507))</f>
        <v/>
      </c>
      <c r="C1507" s="52"/>
      <c r="D1507" s="52"/>
      <c r="E1507" s="52"/>
      <c r="F1507" s="53"/>
      <c r="G1507" s="52"/>
      <c r="H1507" s="54" t="str">
        <f aca="false">IF(E1507="","",E1507*N(F1507)*IF(G1507="",1,G1507))</f>
        <v/>
      </c>
      <c r="I1507" s="55" t="str">
        <f aca="false">IF(C1507="","",IFERROR(INDEX('DANH MỤC'!$B$5:$B$200,MATCH(C1507,'DANH MỤC'!$A$5:$A$200,0)),"⚠ Mã chưa có trong DANH MỤC"))</f>
        <v/>
      </c>
      <c r="J1507" s="52"/>
      <c r="K1507" s="52"/>
      <c r="L1507" s="52"/>
    </row>
    <row r="1508" customFormat="false" ht="15" hidden="false" customHeight="false" outlineLevel="0" collapsed="false">
      <c r="A1508" s="50"/>
      <c r="B1508" s="51" t="str">
        <f aca="false">IF(A1508="","",MONTH(A1508))</f>
        <v/>
      </c>
      <c r="C1508" s="52"/>
      <c r="D1508" s="52"/>
      <c r="E1508" s="52"/>
      <c r="F1508" s="53"/>
      <c r="G1508" s="52"/>
      <c r="H1508" s="54" t="str">
        <f aca="false">IF(E1508="","",E1508*N(F1508)*IF(G1508="",1,G1508))</f>
        <v/>
      </c>
      <c r="I1508" s="55" t="str">
        <f aca="false">IF(C1508="","",IFERROR(INDEX('DANH MỤC'!$B$5:$B$200,MATCH(C1508,'DANH MỤC'!$A$5:$A$200,0)),"⚠ Mã chưa có trong DANH MỤC"))</f>
        <v/>
      </c>
      <c r="J1508" s="52"/>
      <c r="K1508" s="52"/>
      <c r="L1508" s="52"/>
    </row>
    <row r="1509" customFormat="false" ht="15" hidden="false" customHeight="false" outlineLevel="0" collapsed="false">
      <c r="A1509" s="50"/>
      <c r="B1509" s="51" t="str">
        <f aca="false">IF(A1509="","",MONTH(A1509))</f>
        <v/>
      </c>
      <c r="C1509" s="52"/>
      <c r="D1509" s="52"/>
      <c r="E1509" s="52"/>
      <c r="F1509" s="53"/>
      <c r="G1509" s="52"/>
      <c r="H1509" s="54" t="str">
        <f aca="false">IF(E1509="","",E1509*N(F1509)*IF(G1509="",1,G1509))</f>
        <v/>
      </c>
      <c r="I1509" s="55" t="str">
        <f aca="false">IF(C1509="","",IFERROR(INDEX('DANH MỤC'!$B$5:$B$200,MATCH(C1509,'DANH MỤC'!$A$5:$A$200,0)),"⚠ Mã chưa có trong DANH MỤC"))</f>
        <v/>
      </c>
      <c r="J1509" s="52"/>
      <c r="K1509" s="52"/>
      <c r="L1509" s="52"/>
    </row>
    <row r="1510" customFormat="false" ht="15" hidden="false" customHeight="false" outlineLevel="0" collapsed="false">
      <c r="A1510" s="50"/>
      <c r="B1510" s="51" t="str">
        <f aca="false">IF(A1510="","",MONTH(A1510))</f>
        <v/>
      </c>
      <c r="C1510" s="52"/>
      <c r="D1510" s="52"/>
      <c r="E1510" s="52"/>
      <c r="F1510" s="53"/>
      <c r="G1510" s="52"/>
      <c r="H1510" s="54" t="str">
        <f aca="false">IF(E1510="","",E1510*N(F1510)*IF(G1510="",1,G1510))</f>
        <v/>
      </c>
      <c r="I1510" s="55" t="str">
        <f aca="false">IF(C1510="","",IFERROR(INDEX('DANH MỤC'!$B$5:$B$200,MATCH(C1510,'DANH MỤC'!$A$5:$A$200,0)),"⚠ Mã chưa có trong DANH MỤC"))</f>
        <v/>
      </c>
      <c r="J1510" s="52"/>
      <c r="K1510" s="52"/>
      <c r="L1510" s="52"/>
    </row>
    <row r="1511" customFormat="false" ht="15" hidden="false" customHeight="false" outlineLevel="0" collapsed="false">
      <c r="A1511" s="50"/>
      <c r="B1511" s="51" t="str">
        <f aca="false">IF(A1511="","",MONTH(A1511))</f>
        <v/>
      </c>
      <c r="C1511" s="52"/>
      <c r="D1511" s="52"/>
      <c r="E1511" s="52"/>
      <c r="F1511" s="53"/>
      <c r="G1511" s="52"/>
      <c r="H1511" s="54" t="str">
        <f aca="false">IF(E1511="","",E1511*N(F1511)*IF(G1511="",1,G1511))</f>
        <v/>
      </c>
      <c r="I1511" s="55" t="str">
        <f aca="false">IF(C1511="","",IFERROR(INDEX('DANH MỤC'!$B$5:$B$200,MATCH(C1511,'DANH MỤC'!$A$5:$A$200,0)),"⚠ Mã chưa có trong DANH MỤC"))</f>
        <v/>
      </c>
      <c r="J1511" s="52"/>
      <c r="K1511" s="52"/>
      <c r="L1511" s="52"/>
    </row>
    <row r="1512" customFormat="false" ht="15" hidden="false" customHeight="false" outlineLevel="0" collapsed="false">
      <c r="A1512" s="50"/>
      <c r="B1512" s="51" t="str">
        <f aca="false">IF(A1512="","",MONTH(A1512))</f>
        <v/>
      </c>
      <c r="C1512" s="52"/>
      <c r="D1512" s="52"/>
      <c r="E1512" s="52"/>
      <c r="F1512" s="53"/>
      <c r="G1512" s="52"/>
      <c r="H1512" s="54" t="str">
        <f aca="false">IF(E1512="","",E1512*N(F1512)*IF(G1512="",1,G1512))</f>
        <v/>
      </c>
      <c r="I1512" s="55" t="str">
        <f aca="false">IF(C1512="","",IFERROR(INDEX('DANH MỤC'!$B$5:$B$200,MATCH(C1512,'DANH MỤC'!$A$5:$A$200,0)),"⚠ Mã chưa có trong DANH MỤC"))</f>
        <v/>
      </c>
      <c r="J1512" s="52"/>
      <c r="K1512" s="52"/>
      <c r="L1512" s="52"/>
    </row>
    <row r="1513" customFormat="false" ht="15" hidden="false" customHeight="false" outlineLevel="0" collapsed="false">
      <c r="A1513" s="50"/>
      <c r="B1513" s="51" t="str">
        <f aca="false">IF(A1513="","",MONTH(A1513))</f>
        <v/>
      </c>
      <c r="C1513" s="52"/>
      <c r="D1513" s="52"/>
      <c r="E1513" s="52"/>
      <c r="F1513" s="53"/>
      <c r="G1513" s="52"/>
      <c r="H1513" s="54" t="str">
        <f aca="false">IF(E1513="","",E1513*N(F1513)*IF(G1513="",1,G1513))</f>
        <v/>
      </c>
      <c r="I1513" s="55" t="str">
        <f aca="false">IF(C1513="","",IFERROR(INDEX('DANH MỤC'!$B$5:$B$200,MATCH(C1513,'DANH MỤC'!$A$5:$A$200,0)),"⚠ Mã chưa có trong DANH MỤC"))</f>
        <v/>
      </c>
      <c r="J1513" s="52"/>
      <c r="K1513" s="52"/>
      <c r="L1513" s="52"/>
    </row>
    <row r="1514" customFormat="false" ht="15" hidden="false" customHeight="false" outlineLevel="0" collapsed="false">
      <c r="A1514" s="50"/>
      <c r="B1514" s="51" t="str">
        <f aca="false">IF(A1514="","",MONTH(A1514))</f>
        <v/>
      </c>
      <c r="C1514" s="52"/>
      <c r="D1514" s="52"/>
      <c r="E1514" s="52"/>
      <c r="F1514" s="53"/>
      <c r="G1514" s="52"/>
      <c r="H1514" s="54" t="str">
        <f aca="false">IF(E1514="","",E1514*N(F1514)*IF(G1514="",1,G1514))</f>
        <v/>
      </c>
      <c r="I1514" s="55" t="str">
        <f aca="false">IF(C1514="","",IFERROR(INDEX('DANH MỤC'!$B$5:$B$200,MATCH(C1514,'DANH MỤC'!$A$5:$A$200,0)),"⚠ Mã chưa có trong DANH MỤC"))</f>
        <v/>
      </c>
      <c r="J1514" s="52"/>
      <c r="K1514" s="52"/>
      <c r="L1514" s="52"/>
    </row>
    <row r="1515" customFormat="false" ht="15" hidden="false" customHeight="false" outlineLevel="0" collapsed="false">
      <c r="A1515" s="50"/>
      <c r="B1515" s="51" t="str">
        <f aca="false">IF(A1515="","",MONTH(A1515))</f>
        <v/>
      </c>
      <c r="C1515" s="52"/>
      <c r="D1515" s="52"/>
      <c r="E1515" s="52"/>
      <c r="F1515" s="53"/>
      <c r="G1515" s="52"/>
      <c r="H1515" s="54" t="str">
        <f aca="false">IF(E1515="","",E1515*N(F1515)*IF(G1515="",1,G1515))</f>
        <v/>
      </c>
      <c r="I1515" s="55" t="str">
        <f aca="false">IF(C1515="","",IFERROR(INDEX('DANH MỤC'!$B$5:$B$200,MATCH(C1515,'DANH MỤC'!$A$5:$A$200,0)),"⚠ Mã chưa có trong DANH MỤC"))</f>
        <v/>
      </c>
      <c r="J1515" s="52"/>
      <c r="K1515" s="52"/>
      <c r="L1515" s="52"/>
    </row>
    <row r="1516" customFormat="false" ht="15" hidden="false" customHeight="false" outlineLevel="0" collapsed="false">
      <c r="A1516" s="50"/>
      <c r="B1516" s="51" t="str">
        <f aca="false">IF(A1516="","",MONTH(A1516))</f>
        <v/>
      </c>
      <c r="C1516" s="52"/>
      <c r="D1516" s="52"/>
      <c r="E1516" s="52"/>
      <c r="F1516" s="53"/>
      <c r="G1516" s="52"/>
      <c r="H1516" s="54" t="str">
        <f aca="false">IF(E1516="","",E1516*N(F1516)*IF(G1516="",1,G1516))</f>
        <v/>
      </c>
      <c r="I1516" s="55" t="str">
        <f aca="false">IF(C1516="","",IFERROR(INDEX('DANH MỤC'!$B$5:$B$200,MATCH(C1516,'DANH MỤC'!$A$5:$A$200,0)),"⚠ Mã chưa có trong DANH MỤC"))</f>
        <v/>
      </c>
      <c r="J1516" s="52"/>
      <c r="K1516" s="52"/>
      <c r="L1516" s="52"/>
    </row>
    <row r="1517" customFormat="false" ht="15" hidden="false" customHeight="false" outlineLevel="0" collapsed="false">
      <c r="A1517" s="50"/>
      <c r="B1517" s="51" t="str">
        <f aca="false">IF(A1517="","",MONTH(A1517))</f>
        <v/>
      </c>
      <c r="C1517" s="52"/>
      <c r="D1517" s="52"/>
      <c r="E1517" s="52"/>
      <c r="F1517" s="53"/>
      <c r="G1517" s="52"/>
      <c r="H1517" s="54" t="str">
        <f aca="false">IF(E1517="","",E1517*N(F1517)*IF(G1517="",1,G1517))</f>
        <v/>
      </c>
      <c r="I1517" s="55" t="str">
        <f aca="false">IF(C1517="","",IFERROR(INDEX('DANH MỤC'!$B$5:$B$200,MATCH(C1517,'DANH MỤC'!$A$5:$A$200,0)),"⚠ Mã chưa có trong DANH MỤC"))</f>
        <v/>
      </c>
      <c r="J1517" s="52"/>
      <c r="K1517" s="52"/>
      <c r="L1517" s="52"/>
    </row>
    <row r="1518" customFormat="false" ht="15" hidden="false" customHeight="false" outlineLevel="0" collapsed="false">
      <c r="A1518" s="50"/>
      <c r="B1518" s="51" t="str">
        <f aca="false">IF(A1518="","",MONTH(A1518))</f>
        <v/>
      </c>
      <c r="C1518" s="52"/>
      <c r="D1518" s="52"/>
      <c r="E1518" s="52"/>
      <c r="F1518" s="53"/>
      <c r="G1518" s="52"/>
      <c r="H1518" s="54" t="str">
        <f aca="false">IF(E1518="","",E1518*N(F1518)*IF(G1518="",1,G1518))</f>
        <v/>
      </c>
      <c r="I1518" s="55" t="str">
        <f aca="false">IF(C1518="","",IFERROR(INDEX('DANH MỤC'!$B$5:$B$200,MATCH(C1518,'DANH MỤC'!$A$5:$A$200,0)),"⚠ Mã chưa có trong DANH MỤC"))</f>
        <v/>
      </c>
      <c r="J1518" s="52"/>
      <c r="K1518" s="52"/>
      <c r="L1518" s="52"/>
    </row>
    <row r="1519" customFormat="false" ht="15" hidden="false" customHeight="false" outlineLevel="0" collapsed="false">
      <c r="A1519" s="50"/>
      <c r="B1519" s="51" t="str">
        <f aca="false">IF(A1519="","",MONTH(A1519))</f>
        <v/>
      </c>
      <c r="C1519" s="52"/>
      <c r="D1519" s="52"/>
      <c r="E1519" s="52"/>
      <c r="F1519" s="53"/>
      <c r="G1519" s="52"/>
      <c r="H1519" s="54" t="str">
        <f aca="false">IF(E1519="","",E1519*N(F1519)*IF(G1519="",1,G1519))</f>
        <v/>
      </c>
      <c r="I1519" s="55" t="str">
        <f aca="false">IF(C1519="","",IFERROR(INDEX('DANH MỤC'!$B$5:$B$200,MATCH(C1519,'DANH MỤC'!$A$5:$A$200,0)),"⚠ Mã chưa có trong DANH MỤC"))</f>
        <v/>
      </c>
      <c r="J1519" s="52"/>
      <c r="K1519" s="52"/>
      <c r="L1519" s="52"/>
    </row>
    <row r="1520" customFormat="false" ht="15" hidden="false" customHeight="false" outlineLevel="0" collapsed="false">
      <c r="A1520" s="50"/>
      <c r="B1520" s="51" t="str">
        <f aca="false">IF(A1520="","",MONTH(A1520))</f>
        <v/>
      </c>
      <c r="C1520" s="52"/>
      <c r="D1520" s="52"/>
      <c r="E1520" s="52"/>
      <c r="F1520" s="53"/>
      <c r="G1520" s="52"/>
      <c r="H1520" s="54" t="str">
        <f aca="false">IF(E1520="","",E1520*N(F1520)*IF(G1520="",1,G1520))</f>
        <v/>
      </c>
      <c r="I1520" s="55" t="str">
        <f aca="false">IF(C1520="","",IFERROR(INDEX('DANH MỤC'!$B$5:$B$200,MATCH(C1520,'DANH MỤC'!$A$5:$A$200,0)),"⚠ Mã chưa có trong DANH MỤC"))</f>
        <v/>
      </c>
      <c r="J1520" s="52"/>
      <c r="K1520" s="52"/>
      <c r="L1520" s="52"/>
    </row>
    <row r="1521" customFormat="false" ht="15" hidden="false" customHeight="false" outlineLevel="0" collapsed="false">
      <c r="A1521" s="50"/>
      <c r="B1521" s="51" t="str">
        <f aca="false">IF(A1521="","",MONTH(A1521))</f>
        <v/>
      </c>
      <c r="C1521" s="52"/>
      <c r="D1521" s="52"/>
      <c r="E1521" s="52"/>
      <c r="F1521" s="53"/>
      <c r="G1521" s="52"/>
      <c r="H1521" s="54" t="str">
        <f aca="false">IF(E1521="","",E1521*N(F1521)*IF(G1521="",1,G1521))</f>
        <v/>
      </c>
      <c r="I1521" s="55" t="str">
        <f aca="false">IF(C1521="","",IFERROR(INDEX('DANH MỤC'!$B$5:$B$200,MATCH(C1521,'DANH MỤC'!$A$5:$A$200,0)),"⚠ Mã chưa có trong DANH MỤC"))</f>
        <v/>
      </c>
      <c r="J1521" s="52"/>
      <c r="K1521" s="52"/>
      <c r="L1521" s="52"/>
    </row>
    <row r="1522" customFormat="false" ht="15" hidden="false" customHeight="false" outlineLevel="0" collapsed="false">
      <c r="A1522" s="50"/>
      <c r="B1522" s="51" t="str">
        <f aca="false">IF(A1522="","",MONTH(A1522))</f>
        <v/>
      </c>
      <c r="C1522" s="52"/>
      <c r="D1522" s="52"/>
      <c r="E1522" s="52"/>
      <c r="F1522" s="53"/>
      <c r="G1522" s="52"/>
      <c r="H1522" s="54" t="str">
        <f aca="false">IF(E1522="","",E1522*N(F1522)*IF(G1522="",1,G1522))</f>
        <v/>
      </c>
      <c r="I1522" s="55" t="str">
        <f aca="false">IF(C1522="","",IFERROR(INDEX('DANH MỤC'!$B$5:$B$200,MATCH(C1522,'DANH MỤC'!$A$5:$A$200,0)),"⚠ Mã chưa có trong DANH MỤC"))</f>
        <v/>
      </c>
      <c r="J1522" s="52"/>
      <c r="K1522" s="52"/>
      <c r="L1522" s="52"/>
    </row>
    <row r="1523" customFormat="false" ht="15" hidden="false" customHeight="false" outlineLevel="0" collapsed="false">
      <c r="A1523" s="50"/>
      <c r="B1523" s="51" t="str">
        <f aca="false">IF(A1523="","",MONTH(A1523))</f>
        <v/>
      </c>
      <c r="C1523" s="52"/>
      <c r="D1523" s="52"/>
      <c r="E1523" s="52"/>
      <c r="F1523" s="53"/>
      <c r="G1523" s="52"/>
      <c r="H1523" s="54" t="str">
        <f aca="false">IF(E1523="","",E1523*N(F1523)*IF(G1523="",1,G1523))</f>
        <v/>
      </c>
      <c r="I1523" s="55" t="str">
        <f aca="false">IF(C1523="","",IFERROR(INDEX('DANH MỤC'!$B$5:$B$200,MATCH(C1523,'DANH MỤC'!$A$5:$A$200,0)),"⚠ Mã chưa có trong DANH MỤC"))</f>
        <v/>
      </c>
      <c r="J1523" s="52"/>
      <c r="K1523" s="52"/>
      <c r="L1523" s="52"/>
    </row>
    <row r="1524" customFormat="false" ht="15" hidden="false" customHeight="false" outlineLevel="0" collapsed="false">
      <c r="A1524" s="50"/>
      <c r="B1524" s="51" t="str">
        <f aca="false">IF(A1524="","",MONTH(A1524))</f>
        <v/>
      </c>
      <c r="C1524" s="52"/>
      <c r="D1524" s="52"/>
      <c r="E1524" s="52"/>
      <c r="F1524" s="53"/>
      <c r="G1524" s="52"/>
      <c r="H1524" s="54" t="str">
        <f aca="false">IF(E1524="","",E1524*N(F1524)*IF(G1524="",1,G1524))</f>
        <v/>
      </c>
      <c r="I1524" s="55" t="str">
        <f aca="false">IF(C1524="","",IFERROR(INDEX('DANH MỤC'!$B$5:$B$200,MATCH(C1524,'DANH MỤC'!$A$5:$A$200,0)),"⚠ Mã chưa có trong DANH MỤC"))</f>
        <v/>
      </c>
      <c r="J1524" s="52"/>
      <c r="K1524" s="52"/>
      <c r="L1524" s="52"/>
    </row>
    <row r="1525" customFormat="false" ht="15" hidden="false" customHeight="false" outlineLevel="0" collapsed="false">
      <c r="A1525" s="50"/>
      <c r="B1525" s="51" t="str">
        <f aca="false">IF(A1525="","",MONTH(A1525))</f>
        <v/>
      </c>
      <c r="C1525" s="52"/>
      <c r="D1525" s="52"/>
      <c r="E1525" s="52"/>
      <c r="F1525" s="53"/>
      <c r="G1525" s="52"/>
      <c r="H1525" s="54" t="str">
        <f aca="false">IF(E1525="","",E1525*N(F1525)*IF(G1525="",1,G1525))</f>
        <v/>
      </c>
      <c r="I1525" s="55" t="str">
        <f aca="false">IF(C1525="","",IFERROR(INDEX('DANH MỤC'!$B$5:$B$200,MATCH(C1525,'DANH MỤC'!$A$5:$A$200,0)),"⚠ Mã chưa có trong DANH MỤC"))</f>
        <v/>
      </c>
      <c r="J1525" s="52"/>
      <c r="K1525" s="52"/>
      <c r="L1525" s="52"/>
    </row>
    <row r="1526" customFormat="false" ht="15" hidden="false" customHeight="false" outlineLevel="0" collapsed="false">
      <c r="A1526" s="50"/>
      <c r="B1526" s="51" t="str">
        <f aca="false">IF(A1526="","",MONTH(A1526))</f>
        <v/>
      </c>
      <c r="C1526" s="52"/>
      <c r="D1526" s="52"/>
      <c r="E1526" s="52"/>
      <c r="F1526" s="53"/>
      <c r="G1526" s="52"/>
      <c r="H1526" s="54" t="str">
        <f aca="false">IF(E1526="","",E1526*N(F1526)*IF(G1526="",1,G1526))</f>
        <v/>
      </c>
      <c r="I1526" s="55" t="str">
        <f aca="false">IF(C1526="","",IFERROR(INDEX('DANH MỤC'!$B$5:$B$200,MATCH(C1526,'DANH MỤC'!$A$5:$A$200,0)),"⚠ Mã chưa có trong DANH MỤC"))</f>
        <v/>
      </c>
      <c r="J1526" s="52"/>
      <c r="K1526" s="52"/>
      <c r="L1526" s="52"/>
    </row>
    <row r="1527" customFormat="false" ht="15" hidden="false" customHeight="false" outlineLevel="0" collapsed="false">
      <c r="A1527" s="50"/>
      <c r="B1527" s="51" t="str">
        <f aca="false">IF(A1527="","",MONTH(A1527))</f>
        <v/>
      </c>
      <c r="C1527" s="52"/>
      <c r="D1527" s="52"/>
      <c r="E1527" s="52"/>
      <c r="F1527" s="53"/>
      <c r="G1527" s="52"/>
      <c r="H1527" s="54" t="str">
        <f aca="false">IF(E1527="","",E1527*N(F1527)*IF(G1527="",1,G1527))</f>
        <v/>
      </c>
      <c r="I1527" s="55" t="str">
        <f aca="false">IF(C1527="","",IFERROR(INDEX('DANH MỤC'!$B$5:$B$200,MATCH(C1527,'DANH MỤC'!$A$5:$A$200,0)),"⚠ Mã chưa có trong DANH MỤC"))</f>
        <v/>
      </c>
      <c r="J1527" s="52"/>
      <c r="K1527" s="52"/>
      <c r="L1527" s="52"/>
    </row>
    <row r="1528" customFormat="false" ht="15" hidden="false" customHeight="false" outlineLevel="0" collapsed="false">
      <c r="A1528" s="50"/>
      <c r="B1528" s="51" t="str">
        <f aca="false">IF(A1528="","",MONTH(A1528))</f>
        <v/>
      </c>
      <c r="C1528" s="52"/>
      <c r="D1528" s="52"/>
      <c r="E1528" s="52"/>
      <c r="F1528" s="53"/>
      <c r="G1528" s="52"/>
      <c r="H1528" s="54" t="str">
        <f aca="false">IF(E1528="","",E1528*N(F1528)*IF(G1528="",1,G1528))</f>
        <v/>
      </c>
      <c r="I1528" s="55" t="str">
        <f aca="false">IF(C1528="","",IFERROR(INDEX('DANH MỤC'!$B$5:$B$200,MATCH(C1528,'DANH MỤC'!$A$5:$A$200,0)),"⚠ Mã chưa có trong DANH MỤC"))</f>
        <v/>
      </c>
      <c r="J1528" s="52"/>
      <c r="K1528" s="52"/>
      <c r="L1528" s="52"/>
    </row>
    <row r="1529" customFormat="false" ht="15" hidden="false" customHeight="false" outlineLevel="0" collapsed="false">
      <c r="A1529" s="50"/>
      <c r="B1529" s="51" t="str">
        <f aca="false">IF(A1529="","",MONTH(A1529))</f>
        <v/>
      </c>
      <c r="C1529" s="52"/>
      <c r="D1529" s="52"/>
      <c r="E1529" s="52"/>
      <c r="F1529" s="53"/>
      <c r="G1529" s="52"/>
      <c r="H1529" s="54" t="str">
        <f aca="false">IF(E1529="","",E1529*N(F1529)*IF(G1529="",1,G1529))</f>
        <v/>
      </c>
      <c r="I1529" s="55" t="str">
        <f aca="false">IF(C1529="","",IFERROR(INDEX('DANH MỤC'!$B$5:$B$200,MATCH(C1529,'DANH MỤC'!$A$5:$A$200,0)),"⚠ Mã chưa có trong DANH MỤC"))</f>
        <v/>
      </c>
      <c r="J1529" s="52"/>
      <c r="K1529" s="52"/>
      <c r="L1529" s="52"/>
    </row>
    <row r="1530" customFormat="false" ht="15" hidden="false" customHeight="false" outlineLevel="0" collapsed="false">
      <c r="A1530" s="50"/>
      <c r="B1530" s="51" t="str">
        <f aca="false">IF(A1530="","",MONTH(A1530))</f>
        <v/>
      </c>
      <c r="C1530" s="52"/>
      <c r="D1530" s="52"/>
      <c r="E1530" s="52"/>
      <c r="F1530" s="53"/>
      <c r="G1530" s="52"/>
      <c r="H1530" s="54" t="str">
        <f aca="false">IF(E1530="","",E1530*N(F1530)*IF(G1530="",1,G1530))</f>
        <v/>
      </c>
      <c r="I1530" s="55" t="str">
        <f aca="false">IF(C1530="","",IFERROR(INDEX('DANH MỤC'!$B$5:$B$200,MATCH(C1530,'DANH MỤC'!$A$5:$A$200,0)),"⚠ Mã chưa có trong DANH MỤC"))</f>
        <v/>
      </c>
      <c r="J1530" s="52"/>
      <c r="K1530" s="52"/>
      <c r="L1530" s="52"/>
    </row>
    <row r="1531" customFormat="false" ht="15" hidden="false" customHeight="false" outlineLevel="0" collapsed="false">
      <c r="A1531" s="50"/>
      <c r="B1531" s="51" t="str">
        <f aca="false">IF(A1531="","",MONTH(A1531))</f>
        <v/>
      </c>
      <c r="C1531" s="52"/>
      <c r="D1531" s="52"/>
      <c r="E1531" s="52"/>
      <c r="F1531" s="53"/>
      <c r="G1531" s="52"/>
      <c r="H1531" s="54" t="str">
        <f aca="false">IF(E1531="","",E1531*N(F1531)*IF(G1531="",1,G1531))</f>
        <v/>
      </c>
      <c r="I1531" s="55" t="str">
        <f aca="false">IF(C1531="","",IFERROR(INDEX('DANH MỤC'!$B$5:$B$200,MATCH(C1531,'DANH MỤC'!$A$5:$A$200,0)),"⚠ Mã chưa có trong DANH MỤC"))</f>
        <v/>
      </c>
      <c r="J1531" s="52"/>
      <c r="K1531" s="52"/>
      <c r="L1531" s="52"/>
    </row>
    <row r="1532" customFormat="false" ht="15" hidden="false" customHeight="false" outlineLevel="0" collapsed="false">
      <c r="A1532" s="50"/>
      <c r="B1532" s="51" t="str">
        <f aca="false">IF(A1532="","",MONTH(A1532))</f>
        <v/>
      </c>
      <c r="C1532" s="52"/>
      <c r="D1532" s="52"/>
      <c r="E1532" s="52"/>
      <c r="F1532" s="53"/>
      <c r="G1532" s="52"/>
      <c r="H1532" s="54" t="str">
        <f aca="false">IF(E1532="","",E1532*N(F1532)*IF(G1532="",1,G1532))</f>
        <v/>
      </c>
      <c r="I1532" s="55" t="str">
        <f aca="false">IF(C1532="","",IFERROR(INDEX('DANH MỤC'!$B$5:$B$200,MATCH(C1532,'DANH MỤC'!$A$5:$A$200,0)),"⚠ Mã chưa có trong DANH MỤC"))</f>
        <v/>
      </c>
      <c r="J1532" s="52"/>
      <c r="K1532" s="52"/>
      <c r="L1532" s="52"/>
    </row>
    <row r="1533" customFormat="false" ht="15" hidden="false" customHeight="false" outlineLevel="0" collapsed="false">
      <c r="A1533" s="50"/>
      <c r="B1533" s="51" t="str">
        <f aca="false">IF(A1533="","",MONTH(A1533))</f>
        <v/>
      </c>
      <c r="C1533" s="52"/>
      <c r="D1533" s="52"/>
      <c r="E1533" s="52"/>
      <c r="F1533" s="53"/>
      <c r="G1533" s="52"/>
      <c r="H1533" s="54" t="str">
        <f aca="false">IF(E1533="","",E1533*N(F1533)*IF(G1533="",1,G1533))</f>
        <v/>
      </c>
      <c r="I1533" s="55" t="str">
        <f aca="false">IF(C1533="","",IFERROR(INDEX('DANH MỤC'!$B$5:$B$200,MATCH(C1533,'DANH MỤC'!$A$5:$A$200,0)),"⚠ Mã chưa có trong DANH MỤC"))</f>
        <v/>
      </c>
      <c r="J1533" s="52"/>
      <c r="K1533" s="52"/>
      <c r="L1533" s="52"/>
    </row>
    <row r="1534" customFormat="false" ht="15" hidden="false" customHeight="false" outlineLevel="0" collapsed="false">
      <c r="A1534" s="50"/>
      <c r="B1534" s="51" t="str">
        <f aca="false">IF(A1534="","",MONTH(A1534))</f>
        <v/>
      </c>
      <c r="C1534" s="52"/>
      <c r="D1534" s="52"/>
      <c r="E1534" s="52"/>
      <c r="F1534" s="53"/>
      <c r="G1534" s="52"/>
      <c r="H1534" s="54" t="str">
        <f aca="false">IF(E1534="","",E1534*N(F1534)*IF(G1534="",1,G1534))</f>
        <v/>
      </c>
      <c r="I1534" s="55" t="str">
        <f aca="false">IF(C1534="","",IFERROR(INDEX('DANH MỤC'!$B$5:$B$200,MATCH(C1534,'DANH MỤC'!$A$5:$A$200,0)),"⚠ Mã chưa có trong DANH MỤC"))</f>
        <v/>
      </c>
      <c r="J1534" s="52"/>
      <c r="K1534" s="52"/>
      <c r="L1534" s="52"/>
    </row>
    <row r="1535" customFormat="false" ht="15" hidden="false" customHeight="false" outlineLevel="0" collapsed="false">
      <c r="A1535" s="50"/>
      <c r="B1535" s="51" t="str">
        <f aca="false">IF(A1535="","",MONTH(A1535))</f>
        <v/>
      </c>
      <c r="C1535" s="52"/>
      <c r="D1535" s="52"/>
      <c r="E1535" s="52"/>
      <c r="F1535" s="53"/>
      <c r="G1535" s="52"/>
      <c r="H1535" s="54" t="str">
        <f aca="false">IF(E1535="","",E1535*N(F1535)*IF(G1535="",1,G1535))</f>
        <v/>
      </c>
      <c r="I1535" s="55" t="str">
        <f aca="false">IF(C1535="","",IFERROR(INDEX('DANH MỤC'!$B$5:$B$200,MATCH(C1535,'DANH MỤC'!$A$5:$A$200,0)),"⚠ Mã chưa có trong DANH MỤC"))</f>
        <v/>
      </c>
      <c r="J1535" s="52"/>
      <c r="K1535" s="52"/>
      <c r="L1535" s="52"/>
    </row>
    <row r="1536" customFormat="false" ht="15" hidden="false" customHeight="false" outlineLevel="0" collapsed="false">
      <c r="A1536" s="50"/>
      <c r="B1536" s="51" t="str">
        <f aca="false">IF(A1536="","",MONTH(A1536))</f>
        <v/>
      </c>
      <c r="C1536" s="52"/>
      <c r="D1536" s="52"/>
      <c r="E1536" s="52"/>
      <c r="F1536" s="53"/>
      <c r="G1536" s="52"/>
      <c r="H1536" s="54" t="str">
        <f aca="false">IF(E1536="","",E1536*N(F1536)*IF(G1536="",1,G1536))</f>
        <v/>
      </c>
      <c r="I1536" s="55" t="str">
        <f aca="false">IF(C1536="","",IFERROR(INDEX('DANH MỤC'!$B$5:$B$200,MATCH(C1536,'DANH MỤC'!$A$5:$A$200,0)),"⚠ Mã chưa có trong DANH MỤC"))</f>
        <v/>
      </c>
      <c r="J1536" s="52"/>
      <c r="K1536" s="52"/>
      <c r="L1536" s="52"/>
    </row>
    <row r="1537" customFormat="false" ht="15" hidden="false" customHeight="false" outlineLevel="0" collapsed="false">
      <c r="A1537" s="50"/>
      <c r="B1537" s="51" t="str">
        <f aca="false">IF(A1537="","",MONTH(A1537))</f>
        <v/>
      </c>
      <c r="C1537" s="52"/>
      <c r="D1537" s="52"/>
      <c r="E1537" s="52"/>
      <c r="F1537" s="53"/>
      <c r="G1537" s="52"/>
      <c r="H1537" s="54" t="str">
        <f aca="false">IF(E1537="","",E1537*N(F1537)*IF(G1537="",1,G1537))</f>
        <v/>
      </c>
      <c r="I1537" s="55" t="str">
        <f aca="false">IF(C1537="","",IFERROR(INDEX('DANH MỤC'!$B$5:$B$200,MATCH(C1537,'DANH MỤC'!$A$5:$A$200,0)),"⚠ Mã chưa có trong DANH MỤC"))</f>
        <v/>
      </c>
      <c r="J1537" s="52"/>
      <c r="K1537" s="52"/>
      <c r="L1537" s="52"/>
    </row>
    <row r="1538" customFormat="false" ht="15" hidden="false" customHeight="false" outlineLevel="0" collapsed="false">
      <c r="A1538" s="50"/>
      <c r="B1538" s="51" t="str">
        <f aca="false">IF(A1538="","",MONTH(A1538))</f>
        <v/>
      </c>
      <c r="C1538" s="52"/>
      <c r="D1538" s="52"/>
      <c r="E1538" s="52"/>
      <c r="F1538" s="53"/>
      <c r="G1538" s="52"/>
      <c r="H1538" s="54" t="str">
        <f aca="false">IF(E1538="","",E1538*N(F1538)*IF(G1538="",1,G1538))</f>
        <v/>
      </c>
      <c r="I1538" s="55" t="str">
        <f aca="false">IF(C1538="","",IFERROR(INDEX('DANH MỤC'!$B$5:$B$200,MATCH(C1538,'DANH MỤC'!$A$5:$A$200,0)),"⚠ Mã chưa có trong DANH MỤC"))</f>
        <v/>
      </c>
      <c r="J1538" s="52"/>
      <c r="K1538" s="52"/>
      <c r="L1538" s="52"/>
    </row>
    <row r="1539" customFormat="false" ht="15" hidden="false" customHeight="false" outlineLevel="0" collapsed="false">
      <c r="A1539" s="50"/>
      <c r="B1539" s="51" t="str">
        <f aca="false">IF(A1539="","",MONTH(A1539))</f>
        <v/>
      </c>
      <c r="C1539" s="52"/>
      <c r="D1539" s="52"/>
      <c r="E1539" s="52"/>
      <c r="F1539" s="53"/>
      <c r="G1539" s="52"/>
      <c r="H1539" s="54" t="str">
        <f aca="false">IF(E1539="","",E1539*N(F1539)*IF(G1539="",1,G1539))</f>
        <v/>
      </c>
      <c r="I1539" s="55" t="str">
        <f aca="false">IF(C1539="","",IFERROR(INDEX('DANH MỤC'!$B$5:$B$200,MATCH(C1539,'DANH MỤC'!$A$5:$A$200,0)),"⚠ Mã chưa có trong DANH MỤC"))</f>
        <v/>
      </c>
      <c r="J1539" s="52"/>
      <c r="K1539" s="52"/>
      <c r="L1539" s="52"/>
    </row>
    <row r="1540" customFormat="false" ht="15" hidden="false" customHeight="false" outlineLevel="0" collapsed="false">
      <c r="A1540" s="50"/>
      <c r="B1540" s="51" t="str">
        <f aca="false">IF(A1540="","",MONTH(A1540))</f>
        <v/>
      </c>
      <c r="C1540" s="52"/>
      <c r="D1540" s="52"/>
      <c r="E1540" s="52"/>
      <c r="F1540" s="53"/>
      <c r="G1540" s="52"/>
      <c r="H1540" s="54" t="str">
        <f aca="false">IF(E1540="","",E1540*N(F1540)*IF(G1540="",1,G1540))</f>
        <v/>
      </c>
      <c r="I1540" s="55" t="str">
        <f aca="false">IF(C1540="","",IFERROR(INDEX('DANH MỤC'!$B$5:$B$200,MATCH(C1540,'DANH MỤC'!$A$5:$A$200,0)),"⚠ Mã chưa có trong DANH MỤC"))</f>
        <v/>
      </c>
      <c r="J1540" s="52"/>
      <c r="K1540" s="52"/>
      <c r="L1540" s="52"/>
    </row>
    <row r="1541" customFormat="false" ht="15" hidden="false" customHeight="false" outlineLevel="0" collapsed="false">
      <c r="A1541" s="50"/>
      <c r="B1541" s="51" t="str">
        <f aca="false">IF(A1541="","",MONTH(A1541))</f>
        <v/>
      </c>
      <c r="C1541" s="52"/>
      <c r="D1541" s="52"/>
      <c r="E1541" s="52"/>
      <c r="F1541" s="53"/>
      <c r="G1541" s="52"/>
      <c r="H1541" s="54" t="str">
        <f aca="false">IF(E1541="","",E1541*N(F1541)*IF(G1541="",1,G1541))</f>
        <v/>
      </c>
      <c r="I1541" s="55" t="str">
        <f aca="false">IF(C1541="","",IFERROR(INDEX('DANH MỤC'!$B$5:$B$200,MATCH(C1541,'DANH MỤC'!$A$5:$A$200,0)),"⚠ Mã chưa có trong DANH MỤC"))</f>
        <v/>
      </c>
      <c r="J1541" s="52"/>
      <c r="K1541" s="52"/>
      <c r="L1541" s="52"/>
    </row>
    <row r="1542" customFormat="false" ht="15" hidden="false" customHeight="false" outlineLevel="0" collapsed="false">
      <c r="A1542" s="50"/>
      <c r="B1542" s="51" t="str">
        <f aca="false">IF(A1542="","",MONTH(A1542))</f>
        <v/>
      </c>
      <c r="C1542" s="52"/>
      <c r="D1542" s="52"/>
      <c r="E1542" s="52"/>
      <c r="F1542" s="53"/>
      <c r="G1542" s="52"/>
      <c r="H1542" s="54" t="str">
        <f aca="false">IF(E1542="","",E1542*N(F1542)*IF(G1542="",1,G1542))</f>
        <v/>
      </c>
      <c r="I1542" s="55" t="str">
        <f aca="false">IF(C1542="","",IFERROR(INDEX('DANH MỤC'!$B$5:$B$200,MATCH(C1542,'DANH MỤC'!$A$5:$A$200,0)),"⚠ Mã chưa có trong DANH MỤC"))</f>
        <v/>
      </c>
      <c r="J1542" s="52"/>
      <c r="K1542" s="52"/>
      <c r="L1542" s="52"/>
    </row>
    <row r="1543" customFormat="false" ht="15" hidden="false" customHeight="false" outlineLevel="0" collapsed="false">
      <c r="A1543" s="50"/>
      <c r="B1543" s="51" t="str">
        <f aca="false">IF(A1543="","",MONTH(A1543))</f>
        <v/>
      </c>
      <c r="C1543" s="52"/>
      <c r="D1543" s="52"/>
      <c r="E1543" s="52"/>
      <c r="F1543" s="53"/>
      <c r="G1543" s="52"/>
      <c r="H1543" s="54" t="str">
        <f aca="false">IF(E1543="","",E1543*N(F1543)*IF(G1543="",1,G1543))</f>
        <v/>
      </c>
      <c r="I1543" s="55" t="str">
        <f aca="false">IF(C1543="","",IFERROR(INDEX('DANH MỤC'!$B$5:$B$200,MATCH(C1543,'DANH MỤC'!$A$5:$A$200,0)),"⚠ Mã chưa có trong DANH MỤC"))</f>
        <v/>
      </c>
      <c r="J1543" s="52"/>
      <c r="K1543" s="52"/>
      <c r="L1543" s="52"/>
    </row>
    <row r="1544" customFormat="false" ht="15" hidden="false" customHeight="false" outlineLevel="0" collapsed="false">
      <c r="A1544" s="50"/>
      <c r="B1544" s="51" t="str">
        <f aca="false">IF(A1544="","",MONTH(A1544))</f>
        <v/>
      </c>
      <c r="C1544" s="52"/>
      <c r="D1544" s="52"/>
      <c r="E1544" s="52"/>
      <c r="F1544" s="53"/>
      <c r="G1544" s="52"/>
      <c r="H1544" s="54" t="str">
        <f aca="false">IF(E1544="","",E1544*N(F1544)*IF(G1544="",1,G1544))</f>
        <v/>
      </c>
      <c r="I1544" s="55" t="str">
        <f aca="false">IF(C1544="","",IFERROR(INDEX('DANH MỤC'!$B$5:$B$200,MATCH(C1544,'DANH MỤC'!$A$5:$A$200,0)),"⚠ Mã chưa có trong DANH MỤC"))</f>
        <v/>
      </c>
      <c r="J1544" s="52"/>
      <c r="K1544" s="52"/>
      <c r="L1544" s="52"/>
    </row>
    <row r="1545" customFormat="false" ht="15" hidden="false" customHeight="false" outlineLevel="0" collapsed="false">
      <c r="A1545" s="50"/>
      <c r="B1545" s="51" t="str">
        <f aca="false">IF(A1545="","",MONTH(A1545))</f>
        <v/>
      </c>
      <c r="C1545" s="52"/>
      <c r="D1545" s="52"/>
      <c r="E1545" s="52"/>
      <c r="F1545" s="53"/>
      <c r="G1545" s="52"/>
      <c r="H1545" s="54" t="str">
        <f aca="false">IF(E1545="","",E1545*N(F1545)*IF(G1545="",1,G1545))</f>
        <v/>
      </c>
      <c r="I1545" s="55" t="str">
        <f aca="false">IF(C1545="","",IFERROR(INDEX('DANH MỤC'!$B$5:$B$200,MATCH(C1545,'DANH MỤC'!$A$5:$A$200,0)),"⚠ Mã chưa có trong DANH MỤC"))</f>
        <v/>
      </c>
      <c r="J1545" s="52"/>
      <c r="K1545" s="52"/>
      <c r="L1545" s="52"/>
    </row>
    <row r="1546" customFormat="false" ht="15" hidden="false" customHeight="false" outlineLevel="0" collapsed="false">
      <c r="A1546" s="50"/>
      <c r="B1546" s="51" t="str">
        <f aca="false">IF(A1546="","",MONTH(A1546))</f>
        <v/>
      </c>
      <c r="C1546" s="52"/>
      <c r="D1546" s="52"/>
      <c r="E1546" s="52"/>
      <c r="F1546" s="53"/>
      <c r="G1546" s="52"/>
      <c r="H1546" s="54" t="str">
        <f aca="false">IF(E1546="","",E1546*N(F1546)*IF(G1546="",1,G1546))</f>
        <v/>
      </c>
      <c r="I1546" s="55" t="str">
        <f aca="false">IF(C1546="","",IFERROR(INDEX('DANH MỤC'!$B$5:$B$200,MATCH(C1546,'DANH MỤC'!$A$5:$A$200,0)),"⚠ Mã chưa có trong DANH MỤC"))</f>
        <v/>
      </c>
      <c r="J1546" s="52"/>
      <c r="K1546" s="52"/>
      <c r="L1546" s="52"/>
    </row>
    <row r="1547" customFormat="false" ht="15" hidden="false" customHeight="false" outlineLevel="0" collapsed="false">
      <c r="A1547" s="50"/>
      <c r="B1547" s="51" t="str">
        <f aca="false">IF(A1547="","",MONTH(A1547))</f>
        <v/>
      </c>
      <c r="C1547" s="52"/>
      <c r="D1547" s="52"/>
      <c r="E1547" s="52"/>
      <c r="F1547" s="53"/>
      <c r="G1547" s="52"/>
      <c r="H1547" s="54" t="str">
        <f aca="false">IF(E1547="","",E1547*N(F1547)*IF(G1547="",1,G1547))</f>
        <v/>
      </c>
      <c r="I1547" s="55" t="str">
        <f aca="false">IF(C1547="","",IFERROR(INDEX('DANH MỤC'!$B$5:$B$200,MATCH(C1547,'DANH MỤC'!$A$5:$A$200,0)),"⚠ Mã chưa có trong DANH MỤC"))</f>
        <v/>
      </c>
      <c r="J1547" s="52"/>
      <c r="K1547" s="52"/>
      <c r="L1547" s="52"/>
    </row>
    <row r="1548" customFormat="false" ht="15" hidden="false" customHeight="false" outlineLevel="0" collapsed="false">
      <c r="A1548" s="50"/>
      <c r="B1548" s="51" t="str">
        <f aca="false">IF(A1548="","",MONTH(A1548))</f>
        <v/>
      </c>
      <c r="C1548" s="52"/>
      <c r="D1548" s="52"/>
      <c r="E1548" s="52"/>
      <c r="F1548" s="53"/>
      <c r="G1548" s="52"/>
      <c r="H1548" s="54" t="str">
        <f aca="false">IF(E1548="","",E1548*N(F1548)*IF(G1548="",1,G1548))</f>
        <v/>
      </c>
      <c r="I1548" s="55" t="str">
        <f aca="false">IF(C1548="","",IFERROR(INDEX('DANH MỤC'!$B$5:$B$200,MATCH(C1548,'DANH MỤC'!$A$5:$A$200,0)),"⚠ Mã chưa có trong DANH MỤC"))</f>
        <v/>
      </c>
      <c r="J1548" s="52"/>
      <c r="K1548" s="52"/>
      <c r="L1548" s="52"/>
    </row>
    <row r="1549" customFormat="false" ht="15" hidden="false" customHeight="false" outlineLevel="0" collapsed="false">
      <c r="A1549" s="50"/>
      <c r="B1549" s="51" t="str">
        <f aca="false">IF(A1549="","",MONTH(A1549))</f>
        <v/>
      </c>
      <c r="C1549" s="52"/>
      <c r="D1549" s="52"/>
      <c r="E1549" s="52"/>
      <c r="F1549" s="53"/>
      <c r="G1549" s="52"/>
      <c r="H1549" s="54" t="str">
        <f aca="false">IF(E1549="","",E1549*N(F1549)*IF(G1549="",1,G1549))</f>
        <v/>
      </c>
      <c r="I1549" s="55" t="str">
        <f aca="false">IF(C1549="","",IFERROR(INDEX('DANH MỤC'!$B$5:$B$200,MATCH(C1549,'DANH MỤC'!$A$5:$A$200,0)),"⚠ Mã chưa có trong DANH MỤC"))</f>
        <v/>
      </c>
      <c r="J1549" s="52"/>
      <c r="K1549" s="52"/>
      <c r="L1549" s="52"/>
    </row>
    <row r="1550" customFormat="false" ht="15" hidden="false" customHeight="false" outlineLevel="0" collapsed="false">
      <c r="A1550" s="50"/>
      <c r="B1550" s="51" t="str">
        <f aca="false">IF(A1550="","",MONTH(A1550))</f>
        <v/>
      </c>
      <c r="C1550" s="52"/>
      <c r="D1550" s="52"/>
      <c r="E1550" s="52"/>
      <c r="F1550" s="53"/>
      <c r="G1550" s="52"/>
      <c r="H1550" s="54" t="str">
        <f aca="false">IF(E1550="","",E1550*N(F1550)*IF(G1550="",1,G1550))</f>
        <v/>
      </c>
      <c r="I1550" s="55" t="str">
        <f aca="false">IF(C1550="","",IFERROR(INDEX('DANH MỤC'!$B$5:$B$200,MATCH(C1550,'DANH MỤC'!$A$5:$A$200,0)),"⚠ Mã chưa có trong DANH MỤC"))</f>
        <v/>
      </c>
      <c r="J1550" s="52"/>
      <c r="K1550" s="52"/>
      <c r="L1550" s="52"/>
    </row>
    <row r="1551" customFormat="false" ht="15" hidden="false" customHeight="false" outlineLevel="0" collapsed="false">
      <c r="A1551" s="50"/>
      <c r="B1551" s="51" t="str">
        <f aca="false">IF(A1551="","",MONTH(A1551))</f>
        <v/>
      </c>
      <c r="C1551" s="52"/>
      <c r="D1551" s="52"/>
      <c r="E1551" s="52"/>
      <c r="F1551" s="53"/>
      <c r="G1551" s="52"/>
      <c r="H1551" s="54" t="str">
        <f aca="false">IF(E1551="","",E1551*N(F1551)*IF(G1551="",1,G1551))</f>
        <v/>
      </c>
      <c r="I1551" s="55" t="str">
        <f aca="false">IF(C1551="","",IFERROR(INDEX('DANH MỤC'!$B$5:$B$200,MATCH(C1551,'DANH MỤC'!$A$5:$A$200,0)),"⚠ Mã chưa có trong DANH MỤC"))</f>
        <v/>
      </c>
      <c r="J1551" s="52"/>
      <c r="K1551" s="52"/>
      <c r="L1551" s="52"/>
    </row>
    <row r="1552" customFormat="false" ht="15" hidden="false" customHeight="false" outlineLevel="0" collapsed="false">
      <c r="A1552" s="50"/>
      <c r="B1552" s="51" t="str">
        <f aca="false">IF(A1552="","",MONTH(A1552))</f>
        <v/>
      </c>
      <c r="C1552" s="52"/>
      <c r="D1552" s="52"/>
      <c r="E1552" s="52"/>
      <c r="F1552" s="53"/>
      <c r="G1552" s="52"/>
      <c r="H1552" s="54" t="str">
        <f aca="false">IF(E1552="","",E1552*N(F1552)*IF(G1552="",1,G1552))</f>
        <v/>
      </c>
      <c r="I1552" s="55" t="str">
        <f aca="false">IF(C1552="","",IFERROR(INDEX('DANH MỤC'!$B$5:$B$200,MATCH(C1552,'DANH MỤC'!$A$5:$A$200,0)),"⚠ Mã chưa có trong DANH MỤC"))</f>
        <v/>
      </c>
      <c r="J1552" s="52"/>
      <c r="K1552" s="52"/>
      <c r="L1552" s="52"/>
    </row>
    <row r="1553" customFormat="false" ht="15" hidden="false" customHeight="false" outlineLevel="0" collapsed="false">
      <c r="A1553" s="50"/>
      <c r="B1553" s="51" t="str">
        <f aca="false">IF(A1553="","",MONTH(A1553))</f>
        <v/>
      </c>
      <c r="C1553" s="52"/>
      <c r="D1553" s="52"/>
      <c r="E1553" s="52"/>
      <c r="F1553" s="53"/>
      <c r="G1553" s="52"/>
      <c r="H1553" s="54" t="str">
        <f aca="false">IF(E1553="","",E1553*N(F1553)*IF(G1553="",1,G1553))</f>
        <v/>
      </c>
      <c r="I1553" s="55" t="str">
        <f aca="false">IF(C1553="","",IFERROR(INDEX('DANH MỤC'!$B$5:$B$200,MATCH(C1553,'DANH MỤC'!$A$5:$A$200,0)),"⚠ Mã chưa có trong DANH MỤC"))</f>
        <v/>
      </c>
      <c r="J1553" s="52"/>
      <c r="K1553" s="52"/>
      <c r="L1553" s="52"/>
    </row>
    <row r="1554" customFormat="false" ht="15" hidden="false" customHeight="false" outlineLevel="0" collapsed="false">
      <c r="A1554" s="50"/>
      <c r="B1554" s="51" t="str">
        <f aca="false">IF(A1554="","",MONTH(A1554))</f>
        <v/>
      </c>
      <c r="C1554" s="52"/>
      <c r="D1554" s="52"/>
      <c r="E1554" s="52"/>
      <c r="F1554" s="53"/>
      <c r="G1554" s="52"/>
      <c r="H1554" s="54" t="str">
        <f aca="false">IF(E1554="","",E1554*N(F1554)*IF(G1554="",1,G1554))</f>
        <v/>
      </c>
      <c r="I1554" s="55" t="str">
        <f aca="false">IF(C1554="","",IFERROR(INDEX('DANH MỤC'!$B$5:$B$200,MATCH(C1554,'DANH MỤC'!$A$5:$A$200,0)),"⚠ Mã chưa có trong DANH MỤC"))</f>
        <v/>
      </c>
      <c r="J1554" s="52"/>
      <c r="K1554" s="52"/>
      <c r="L1554" s="52"/>
    </row>
    <row r="1555" customFormat="false" ht="15" hidden="false" customHeight="false" outlineLevel="0" collapsed="false">
      <c r="A1555" s="50"/>
      <c r="B1555" s="51" t="str">
        <f aca="false">IF(A1555="","",MONTH(A1555))</f>
        <v/>
      </c>
      <c r="C1555" s="52"/>
      <c r="D1555" s="52"/>
      <c r="E1555" s="52"/>
      <c r="F1555" s="53"/>
      <c r="G1555" s="52"/>
      <c r="H1555" s="54" t="str">
        <f aca="false">IF(E1555="","",E1555*N(F1555)*IF(G1555="",1,G1555))</f>
        <v/>
      </c>
      <c r="I1555" s="55" t="str">
        <f aca="false">IF(C1555="","",IFERROR(INDEX('DANH MỤC'!$B$5:$B$200,MATCH(C1555,'DANH MỤC'!$A$5:$A$200,0)),"⚠ Mã chưa có trong DANH MỤC"))</f>
        <v/>
      </c>
      <c r="J1555" s="52"/>
      <c r="K1555" s="52"/>
      <c r="L1555" s="52"/>
    </row>
    <row r="1556" customFormat="false" ht="15" hidden="false" customHeight="false" outlineLevel="0" collapsed="false">
      <c r="A1556" s="50"/>
      <c r="B1556" s="51" t="str">
        <f aca="false">IF(A1556="","",MONTH(A1556))</f>
        <v/>
      </c>
      <c r="C1556" s="52"/>
      <c r="D1556" s="52"/>
      <c r="E1556" s="52"/>
      <c r="F1556" s="53"/>
      <c r="G1556" s="52"/>
      <c r="H1556" s="54" t="str">
        <f aca="false">IF(E1556="","",E1556*N(F1556)*IF(G1556="",1,G1556))</f>
        <v/>
      </c>
      <c r="I1556" s="55" t="str">
        <f aca="false">IF(C1556="","",IFERROR(INDEX('DANH MỤC'!$B$5:$B$200,MATCH(C1556,'DANH MỤC'!$A$5:$A$200,0)),"⚠ Mã chưa có trong DANH MỤC"))</f>
        <v/>
      </c>
      <c r="J1556" s="52"/>
      <c r="K1556" s="52"/>
      <c r="L1556" s="52"/>
    </row>
    <row r="1557" customFormat="false" ht="15" hidden="false" customHeight="false" outlineLevel="0" collapsed="false">
      <c r="A1557" s="50"/>
      <c r="B1557" s="51" t="str">
        <f aca="false">IF(A1557="","",MONTH(A1557))</f>
        <v/>
      </c>
      <c r="C1557" s="52"/>
      <c r="D1557" s="52"/>
      <c r="E1557" s="52"/>
      <c r="F1557" s="53"/>
      <c r="G1557" s="52"/>
      <c r="H1557" s="54" t="str">
        <f aca="false">IF(E1557="","",E1557*N(F1557)*IF(G1557="",1,G1557))</f>
        <v/>
      </c>
      <c r="I1557" s="55" t="str">
        <f aca="false">IF(C1557="","",IFERROR(INDEX('DANH MỤC'!$B$5:$B$200,MATCH(C1557,'DANH MỤC'!$A$5:$A$200,0)),"⚠ Mã chưa có trong DANH MỤC"))</f>
        <v/>
      </c>
      <c r="J1557" s="52"/>
      <c r="K1557" s="52"/>
      <c r="L1557" s="52"/>
    </row>
    <row r="1558" customFormat="false" ht="15" hidden="false" customHeight="false" outlineLevel="0" collapsed="false">
      <c r="A1558" s="50"/>
      <c r="B1558" s="51" t="str">
        <f aca="false">IF(A1558="","",MONTH(A1558))</f>
        <v/>
      </c>
      <c r="C1558" s="52"/>
      <c r="D1558" s="52"/>
      <c r="E1558" s="52"/>
      <c r="F1558" s="53"/>
      <c r="G1558" s="52"/>
      <c r="H1558" s="54" t="str">
        <f aca="false">IF(E1558="","",E1558*N(F1558)*IF(G1558="",1,G1558))</f>
        <v/>
      </c>
      <c r="I1558" s="55" t="str">
        <f aca="false">IF(C1558="","",IFERROR(INDEX('DANH MỤC'!$B$5:$B$200,MATCH(C1558,'DANH MỤC'!$A$5:$A$200,0)),"⚠ Mã chưa có trong DANH MỤC"))</f>
        <v/>
      </c>
      <c r="J1558" s="52"/>
      <c r="K1558" s="52"/>
      <c r="L1558" s="52"/>
    </row>
    <row r="1559" customFormat="false" ht="15" hidden="false" customHeight="false" outlineLevel="0" collapsed="false">
      <c r="A1559" s="50"/>
      <c r="B1559" s="51" t="str">
        <f aca="false">IF(A1559="","",MONTH(A1559))</f>
        <v/>
      </c>
      <c r="C1559" s="52"/>
      <c r="D1559" s="52"/>
      <c r="E1559" s="52"/>
      <c r="F1559" s="53"/>
      <c r="G1559" s="52"/>
      <c r="H1559" s="54" t="str">
        <f aca="false">IF(E1559="","",E1559*N(F1559)*IF(G1559="",1,G1559))</f>
        <v/>
      </c>
      <c r="I1559" s="55" t="str">
        <f aca="false">IF(C1559="","",IFERROR(INDEX('DANH MỤC'!$B$5:$B$200,MATCH(C1559,'DANH MỤC'!$A$5:$A$200,0)),"⚠ Mã chưa có trong DANH MỤC"))</f>
        <v/>
      </c>
      <c r="J1559" s="52"/>
      <c r="K1559" s="52"/>
      <c r="L1559" s="52"/>
    </row>
    <row r="1560" customFormat="false" ht="15" hidden="false" customHeight="false" outlineLevel="0" collapsed="false">
      <c r="A1560" s="50"/>
      <c r="B1560" s="51" t="str">
        <f aca="false">IF(A1560="","",MONTH(A1560))</f>
        <v/>
      </c>
      <c r="C1560" s="52"/>
      <c r="D1560" s="52"/>
      <c r="E1560" s="52"/>
      <c r="F1560" s="53"/>
      <c r="G1560" s="52"/>
      <c r="H1560" s="54" t="str">
        <f aca="false">IF(E1560="","",E1560*N(F1560)*IF(G1560="",1,G1560))</f>
        <v/>
      </c>
      <c r="I1560" s="55" t="str">
        <f aca="false">IF(C1560="","",IFERROR(INDEX('DANH MỤC'!$B$5:$B$200,MATCH(C1560,'DANH MỤC'!$A$5:$A$200,0)),"⚠ Mã chưa có trong DANH MỤC"))</f>
        <v/>
      </c>
      <c r="J1560" s="52"/>
      <c r="K1560" s="52"/>
      <c r="L1560" s="52"/>
    </row>
    <row r="1561" customFormat="false" ht="15" hidden="false" customHeight="false" outlineLevel="0" collapsed="false">
      <c r="A1561" s="50"/>
      <c r="B1561" s="51" t="str">
        <f aca="false">IF(A1561="","",MONTH(A1561))</f>
        <v/>
      </c>
      <c r="C1561" s="52"/>
      <c r="D1561" s="52"/>
      <c r="E1561" s="52"/>
      <c r="F1561" s="53"/>
      <c r="G1561" s="52"/>
      <c r="H1561" s="54" t="str">
        <f aca="false">IF(E1561="","",E1561*N(F1561)*IF(G1561="",1,G1561))</f>
        <v/>
      </c>
      <c r="I1561" s="55" t="str">
        <f aca="false">IF(C1561="","",IFERROR(INDEX('DANH MỤC'!$B$5:$B$200,MATCH(C1561,'DANH MỤC'!$A$5:$A$200,0)),"⚠ Mã chưa có trong DANH MỤC"))</f>
        <v/>
      </c>
      <c r="J1561" s="52"/>
      <c r="K1561" s="52"/>
      <c r="L1561" s="52"/>
    </row>
    <row r="1562" customFormat="false" ht="15" hidden="false" customHeight="false" outlineLevel="0" collapsed="false">
      <c r="A1562" s="50"/>
      <c r="B1562" s="51" t="str">
        <f aca="false">IF(A1562="","",MONTH(A1562))</f>
        <v/>
      </c>
      <c r="C1562" s="52"/>
      <c r="D1562" s="52"/>
      <c r="E1562" s="52"/>
      <c r="F1562" s="53"/>
      <c r="G1562" s="52"/>
      <c r="H1562" s="54" t="str">
        <f aca="false">IF(E1562="","",E1562*N(F1562)*IF(G1562="",1,G1562))</f>
        <v/>
      </c>
      <c r="I1562" s="55" t="str">
        <f aca="false">IF(C1562="","",IFERROR(INDEX('DANH MỤC'!$B$5:$B$200,MATCH(C1562,'DANH MỤC'!$A$5:$A$200,0)),"⚠ Mã chưa có trong DANH MỤC"))</f>
        <v/>
      </c>
      <c r="J1562" s="52"/>
      <c r="K1562" s="52"/>
      <c r="L1562" s="52"/>
    </row>
    <row r="1563" customFormat="false" ht="15" hidden="false" customHeight="false" outlineLevel="0" collapsed="false">
      <c r="A1563" s="50"/>
      <c r="B1563" s="51" t="str">
        <f aca="false">IF(A1563="","",MONTH(A1563))</f>
        <v/>
      </c>
      <c r="C1563" s="52"/>
      <c r="D1563" s="52"/>
      <c r="E1563" s="52"/>
      <c r="F1563" s="53"/>
      <c r="G1563" s="52"/>
      <c r="H1563" s="54" t="str">
        <f aca="false">IF(E1563="","",E1563*N(F1563)*IF(G1563="",1,G1563))</f>
        <v/>
      </c>
      <c r="I1563" s="55" t="str">
        <f aca="false">IF(C1563="","",IFERROR(INDEX('DANH MỤC'!$B$5:$B$200,MATCH(C1563,'DANH MỤC'!$A$5:$A$200,0)),"⚠ Mã chưa có trong DANH MỤC"))</f>
        <v/>
      </c>
      <c r="J1563" s="52"/>
      <c r="K1563" s="52"/>
      <c r="L1563" s="52"/>
    </row>
    <row r="1564" customFormat="false" ht="15" hidden="false" customHeight="false" outlineLevel="0" collapsed="false">
      <c r="A1564" s="50"/>
      <c r="B1564" s="51" t="str">
        <f aca="false">IF(A1564="","",MONTH(A1564))</f>
        <v/>
      </c>
      <c r="C1564" s="52"/>
      <c r="D1564" s="52"/>
      <c r="E1564" s="52"/>
      <c r="F1564" s="53"/>
      <c r="G1564" s="52"/>
      <c r="H1564" s="54" t="str">
        <f aca="false">IF(E1564="","",E1564*N(F1564)*IF(G1564="",1,G1564))</f>
        <v/>
      </c>
      <c r="I1564" s="55" t="str">
        <f aca="false">IF(C1564="","",IFERROR(INDEX('DANH MỤC'!$B$5:$B$200,MATCH(C1564,'DANH MỤC'!$A$5:$A$200,0)),"⚠ Mã chưa có trong DANH MỤC"))</f>
        <v/>
      </c>
      <c r="J1564" s="52"/>
      <c r="K1564" s="52"/>
      <c r="L1564" s="52"/>
    </row>
    <row r="1565" customFormat="false" ht="15" hidden="false" customHeight="false" outlineLevel="0" collapsed="false">
      <c r="A1565" s="50"/>
      <c r="B1565" s="51" t="str">
        <f aca="false">IF(A1565="","",MONTH(A1565))</f>
        <v/>
      </c>
      <c r="C1565" s="52"/>
      <c r="D1565" s="52"/>
      <c r="E1565" s="52"/>
      <c r="F1565" s="53"/>
      <c r="G1565" s="52"/>
      <c r="H1565" s="54" t="str">
        <f aca="false">IF(E1565="","",E1565*N(F1565)*IF(G1565="",1,G1565))</f>
        <v/>
      </c>
      <c r="I1565" s="55" t="str">
        <f aca="false">IF(C1565="","",IFERROR(INDEX('DANH MỤC'!$B$5:$B$200,MATCH(C1565,'DANH MỤC'!$A$5:$A$200,0)),"⚠ Mã chưa có trong DANH MỤC"))</f>
        <v/>
      </c>
      <c r="J1565" s="52"/>
      <c r="K1565" s="52"/>
      <c r="L1565" s="52"/>
    </row>
    <row r="1566" customFormat="false" ht="15" hidden="false" customHeight="false" outlineLevel="0" collapsed="false">
      <c r="A1566" s="50"/>
      <c r="B1566" s="51" t="str">
        <f aca="false">IF(A1566="","",MONTH(A1566))</f>
        <v/>
      </c>
      <c r="C1566" s="52"/>
      <c r="D1566" s="52"/>
      <c r="E1566" s="52"/>
      <c r="F1566" s="53"/>
      <c r="G1566" s="52"/>
      <c r="H1566" s="54" t="str">
        <f aca="false">IF(E1566="","",E1566*N(F1566)*IF(G1566="",1,G1566))</f>
        <v/>
      </c>
      <c r="I1566" s="55" t="str">
        <f aca="false">IF(C1566="","",IFERROR(INDEX('DANH MỤC'!$B$5:$B$200,MATCH(C1566,'DANH MỤC'!$A$5:$A$200,0)),"⚠ Mã chưa có trong DANH MỤC"))</f>
        <v/>
      </c>
      <c r="J1566" s="52"/>
      <c r="K1566" s="52"/>
      <c r="L1566" s="52"/>
    </row>
    <row r="1567" customFormat="false" ht="15" hidden="false" customHeight="false" outlineLevel="0" collapsed="false">
      <c r="A1567" s="50"/>
      <c r="B1567" s="51" t="str">
        <f aca="false">IF(A1567="","",MONTH(A1567))</f>
        <v/>
      </c>
      <c r="C1567" s="52"/>
      <c r="D1567" s="52"/>
      <c r="E1567" s="52"/>
      <c r="F1567" s="53"/>
      <c r="G1567" s="52"/>
      <c r="H1567" s="54" t="str">
        <f aca="false">IF(E1567="","",E1567*N(F1567)*IF(G1567="",1,G1567))</f>
        <v/>
      </c>
      <c r="I1567" s="55" t="str">
        <f aca="false">IF(C1567="","",IFERROR(INDEX('DANH MỤC'!$B$5:$B$200,MATCH(C1567,'DANH MỤC'!$A$5:$A$200,0)),"⚠ Mã chưa có trong DANH MỤC"))</f>
        <v/>
      </c>
      <c r="J1567" s="52"/>
      <c r="K1567" s="52"/>
      <c r="L1567" s="52"/>
    </row>
    <row r="1568" customFormat="false" ht="15" hidden="false" customHeight="false" outlineLevel="0" collapsed="false">
      <c r="A1568" s="50"/>
      <c r="B1568" s="51" t="str">
        <f aca="false">IF(A1568="","",MONTH(A1568))</f>
        <v/>
      </c>
      <c r="C1568" s="52"/>
      <c r="D1568" s="52"/>
      <c r="E1568" s="52"/>
      <c r="F1568" s="53"/>
      <c r="G1568" s="52"/>
      <c r="H1568" s="54" t="str">
        <f aca="false">IF(E1568="","",E1568*N(F1568)*IF(G1568="",1,G1568))</f>
        <v/>
      </c>
      <c r="I1568" s="55" t="str">
        <f aca="false">IF(C1568="","",IFERROR(INDEX('DANH MỤC'!$B$5:$B$200,MATCH(C1568,'DANH MỤC'!$A$5:$A$200,0)),"⚠ Mã chưa có trong DANH MỤC"))</f>
        <v/>
      </c>
      <c r="J1568" s="52"/>
      <c r="K1568" s="52"/>
      <c r="L1568" s="52"/>
    </row>
    <row r="1569" customFormat="false" ht="15" hidden="false" customHeight="false" outlineLevel="0" collapsed="false">
      <c r="A1569" s="50"/>
      <c r="B1569" s="51" t="str">
        <f aca="false">IF(A1569="","",MONTH(A1569))</f>
        <v/>
      </c>
      <c r="C1569" s="52"/>
      <c r="D1569" s="52"/>
      <c r="E1569" s="52"/>
      <c r="F1569" s="53"/>
      <c r="G1569" s="52"/>
      <c r="H1569" s="54" t="str">
        <f aca="false">IF(E1569="","",E1569*N(F1569)*IF(G1569="",1,G1569))</f>
        <v/>
      </c>
      <c r="I1569" s="55" t="str">
        <f aca="false">IF(C1569="","",IFERROR(INDEX('DANH MỤC'!$B$5:$B$200,MATCH(C1569,'DANH MỤC'!$A$5:$A$200,0)),"⚠ Mã chưa có trong DANH MỤC"))</f>
        <v/>
      </c>
      <c r="J1569" s="52"/>
      <c r="K1569" s="52"/>
      <c r="L1569" s="52"/>
    </row>
    <row r="1570" customFormat="false" ht="15" hidden="false" customHeight="false" outlineLevel="0" collapsed="false">
      <c r="A1570" s="50"/>
      <c r="B1570" s="51" t="str">
        <f aca="false">IF(A1570="","",MONTH(A1570))</f>
        <v/>
      </c>
      <c r="C1570" s="52"/>
      <c r="D1570" s="52"/>
      <c r="E1570" s="52"/>
      <c r="F1570" s="53"/>
      <c r="G1570" s="52"/>
      <c r="H1570" s="54" t="str">
        <f aca="false">IF(E1570="","",E1570*N(F1570)*IF(G1570="",1,G1570))</f>
        <v/>
      </c>
      <c r="I1570" s="55" t="str">
        <f aca="false">IF(C1570="","",IFERROR(INDEX('DANH MỤC'!$B$5:$B$200,MATCH(C1570,'DANH MỤC'!$A$5:$A$200,0)),"⚠ Mã chưa có trong DANH MỤC"))</f>
        <v/>
      </c>
      <c r="J1570" s="52"/>
      <c r="K1570" s="52"/>
      <c r="L1570" s="52"/>
    </row>
    <row r="1571" customFormat="false" ht="15" hidden="false" customHeight="false" outlineLevel="0" collapsed="false">
      <c r="A1571" s="50"/>
      <c r="B1571" s="51" t="str">
        <f aca="false">IF(A1571="","",MONTH(A1571))</f>
        <v/>
      </c>
      <c r="C1571" s="52"/>
      <c r="D1571" s="52"/>
      <c r="E1571" s="52"/>
      <c r="F1571" s="53"/>
      <c r="G1571" s="52"/>
      <c r="H1571" s="54" t="str">
        <f aca="false">IF(E1571="","",E1571*N(F1571)*IF(G1571="",1,G1571))</f>
        <v/>
      </c>
      <c r="I1571" s="55" t="str">
        <f aca="false">IF(C1571="","",IFERROR(INDEX('DANH MỤC'!$B$5:$B$200,MATCH(C1571,'DANH MỤC'!$A$5:$A$200,0)),"⚠ Mã chưa có trong DANH MỤC"))</f>
        <v/>
      </c>
      <c r="J1571" s="52"/>
      <c r="K1571" s="52"/>
      <c r="L1571" s="52"/>
    </row>
    <row r="1572" customFormat="false" ht="15" hidden="false" customHeight="false" outlineLevel="0" collapsed="false">
      <c r="A1572" s="50"/>
      <c r="B1572" s="51" t="str">
        <f aca="false">IF(A1572="","",MONTH(A1572))</f>
        <v/>
      </c>
      <c r="C1572" s="52"/>
      <c r="D1572" s="52"/>
      <c r="E1572" s="52"/>
      <c r="F1572" s="53"/>
      <c r="G1572" s="52"/>
      <c r="H1572" s="54" t="str">
        <f aca="false">IF(E1572="","",E1572*N(F1572)*IF(G1572="",1,G1572))</f>
        <v/>
      </c>
      <c r="I1572" s="55" t="str">
        <f aca="false">IF(C1572="","",IFERROR(INDEX('DANH MỤC'!$B$5:$B$200,MATCH(C1572,'DANH MỤC'!$A$5:$A$200,0)),"⚠ Mã chưa có trong DANH MỤC"))</f>
        <v/>
      </c>
      <c r="J1572" s="52"/>
      <c r="K1572" s="52"/>
      <c r="L1572" s="52"/>
    </row>
    <row r="1573" customFormat="false" ht="15" hidden="false" customHeight="false" outlineLevel="0" collapsed="false">
      <c r="A1573" s="50"/>
      <c r="B1573" s="51" t="str">
        <f aca="false">IF(A1573="","",MONTH(A1573))</f>
        <v/>
      </c>
      <c r="C1573" s="52"/>
      <c r="D1573" s="52"/>
      <c r="E1573" s="52"/>
      <c r="F1573" s="53"/>
      <c r="G1573" s="52"/>
      <c r="H1573" s="54" t="str">
        <f aca="false">IF(E1573="","",E1573*N(F1573)*IF(G1573="",1,G1573))</f>
        <v/>
      </c>
      <c r="I1573" s="55" t="str">
        <f aca="false">IF(C1573="","",IFERROR(INDEX('DANH MỤC'!$B$5:$B$200,MATCH(C1573,'DANH MỤC'!$A$5:$A$200,0)),"⚠ Mã chưa có trong DANH MỤC"))</f>
        <v/>
      </c>
      <c r="J1573" s="52"/>
      <c r="K1573" s="52"/>
      <c r="L1573" s="52"/>
    </row>
    <row r="1574" customFormat="false" ht="15" hidden="false" customHeight="false" outlineLevel="0" collapsed="false">
      <c r="A1574" s="50"/>
      <c r="B1574" s="51" t="str">
        <f aca="false">IF(A1574="","",MONTH(A1574))</f>
        <v/>
      </c>
      <c r="C1574" s="52"/>
      <c r="D1574" s="52"/>
      <c r="E1574" s="52"/>
      <c r="F1574" s="53"/>
      <c r="G1574" s="52"/>
      <c r="H1574" s="54" t="str">
        <f aca="false">IF(E1574="","",E1574*N(F1574)*IF(G1574="",1,G1574))</f>
        <v/>
      </c>
      <c r="I1574" s="55" t="str">
        <f aca="false">IF(C1574="","",IFERROR(INDEX('DANH MỤC'!$B$5:$B$200,MATCH(C1574,'DANH MỤC'!$A$5:$A$200,0)),"⚠ Mã chưa có trong DANH MỤC"))</f>
        <v/>
      </c>
      <c r="J1574" s="52"/>
      <c r="K1574" s="52"/>
      <c r="L1574" s="52"/>
    </row>
    <row r="1575" customFormat="false" ht="15" hidden="false" customHeight="false" outlineLevel="0" collapsed="false">
      <c r="A1575" s="50"/>
      <c r="B1575" s="51" t="str">
        <f aca="false">IF(A1575="","",MONTH(A1575))</f>
        <v/>
      </c>
      <c r="C1575" s="52"/>
      <c r="D1575" s="52"/>
      <c r="E1575" s="52"/>
      <c r="F1575" s="53"/>
      <c r="G1575" s="52"/>
      <c r="H1575" s="54" t="str">
        <f aca="false">IF(E1575="","",E1575*N(F1575)*IF(G1575="",1,G1575))</f>
        <v/>
      </c>
      <c r="I1575" s="55" t="str">
        <f aca="false">IF(C1575="","",IFERROR(INDEX('DANH MỤC'!$B$5:$B$200,MATCH(C1575,'DANH MỤC'!$A$5:$A$200,0)),"⚠ Mã chưa có trong DANH MỤC"))</f>
        <v/>
      </c>
      <c r="J1575" s="52"/>
      <c r="K1575" s="52"/>
      <c r="L1575" s="52"/>
    </row>
    <row r="1576" customFormat="false" ht="15" hidden="false" customHeight="false" outlineLevel="0" collapsed="false">
      <c r="A1576" s="50"/>
      <c r="B1576" s="51" t="str">
        <f aca="false">IF(A1576="","",MONTH(A1576))</f>
        <v/>
      </c>
      <c r="C1576" s="52"/>
      <c r="D1576" s="52"/>
      <c r="E1576" s="52"/>
      <c r="F1576" s="53"/>
      <c r="G1576" s="52"/>
      <c r="H1576" s="54" t="str">
        <f aca="false">IF(E1576="","",E1576*N(F1576)*IF(G1576="",1,G1576))</f>
        <v/>
      </c>
      <c r="I1576" s="55" t="str">
        <f aca="false">IF(C1576="","",IFERROR(INDEX('DANH MỤC'!$B$5:$B$200,MATCH(C1576,'DANH MỤC'!$A$5:$A$200,0)),"⚠ Mã chưa có trong DANH MỤC"))</f>
        <v/>
      </c>
      <c r="J1576" s="52"/>
      <c r="K1576" s="52"/>
      <c r="L1576" s="52"/>
    </row>
    <row r="1577" customFormat="false" ht="15" hidden="false" customHeight="false" outlineLevel="0" collapsed="false">
      <c r="A1577" s="50"/>
      <c r="B1577" s="51" t="str">
        <f aca="false">IF(A1577="","",MONTH(A1577))</f>
        <v/>
      </c>
      <c r="C1577" s="52"/>
      <c r="D1577" s="52"/>
      <c r="E1577" s="52"/>
      <c r="F1577" s="53"/>
      <c r="G1577" s="52"/>
      <c r="H1577" s="54" t="str">
        <f aca="false">IF(E1577="","",E1577*N(F1577)*IF(G1577="",1,G1577))</f>
        <v/>
      </c>
      <c r="I1577" s="55" t="str">
        <f aca="false">IF(C1577="","",IFERROR(INDEX('DANH MỤC'!$B$5:$B$200,MATCH(C1577,'DANH MỤC'!$A$5:$A$200,0)),"⚠ Mã chưa có trong DANH MỤC"))</f>
        <v/>
      </c>
      <c r="J1577" s="52"/>
      <c r="K1577" s="52"/>
      <c r="L1577" s="52"/>
    </row>
    <row r="1578" customFormat="false" ht="15" hidden="false" customHeight="false" outlineLevel="0" collapsed="false">
      <c r="A1578" s="50"/>
      <c r="B1578" s="51" t="str">
        <f aca="false">IF(A1578="","",MONTH(A1578))</f>
        <v/>
      </c>
      <c r="C1578" s="52"/>
      <c r="D1578" s="52"/>
      <c r="E1578" s="52"/>
      <c r="F1578" s="53"/>
      <c r="G1578" s="52"/>
      <c r="H1578" s="54" t="str">
        <f aca="false">IF(E1578="","",E1578*N(F1578)*IF(G1578="",1,G1578))</f>
        <v/>
      </c>
      <c r="I1578" s="55" t="str">
        <f aca="false">IF(C1578="","",IFERROR(INDEX('DANH MỤC'!$B$5:$B$200,MATCH(C1578,'DANH MỤC'!$A$5:$A$200,0)),"⚠ Mã chưa có trong DANH MỤC"))</f>
        <v/>
      </c>
      <c r="J1578" s="52"/>
      <c r="K1578" s="52"/>
      <c r="L1578" s="52"/>
    </row>
    <row r="1579" customFormat="false" ht="15" hidden="false" customHeight="false" outlineLevel="0" collapsed="false">
      <c r="A1579" s="50"/>
      <c r="B1579" s="51" t="str">
        <f aca="false">IF(A1579="","",MONTH(A1579))</f>
        <v/>
      </c>
      <c r="C1579" s="52"/>
      <c r="D1579" s="52"/>
      <c r="E1579" s="52"/>
      <c r="F1579" s="53"/>
      <c r="G1579" s="52"/>
      <c r="H1579" s="54" t="str">
        <f aca="false">IF(E1579="","",E1579*N(F1579)*IF(G1579="",1,G1579))</f>
        <v/>
      </c>
      <c r="I1579" s="55" t="str">
        <f aca="false">IF(C1579="","",IFERROR(INDEX('DANH MỤC'!$B$5:$B$200,MATCH(C1579,'DANH MỤC'!$A$5:$A$200,0)),"⚠ Mã chưa có trong DANH MỤC"))</f>
        <v/>
      </c>
      <c r="J1579" s="52"/>
      <c r="K1579" s="52"/>
      <c r="L1579" s="52"/>
    </row>
    <row r="1580" customFormat="false" ht="15" hidden="false" customHeight="false" outlineLevel="0" collapsed="false">
      <c r="A1580" s="50"/>
      <c r="B1580" s="51" t="str">
        <f aca="false">IF(A1580="","",MONTH(A1580))</f>
        <v/>
      </c>
      <c r="C1580" s="52"/>
      <c r="D1580" s="52"/>
      <c r="E1580" s="52"/>
      <c r="F1580" s="53"/>
      <c r="G1580" s="52"/>
      <c r="H1580" s="54" t="str">
        <f aca="false">IF(E1580="","",E1580*N(F1580)*IF(G1580="",1,G1580))</f>
        <v/>
      </c>
      <c r="I1580" s="55" t="str">
        <f aca="false">IF(C1580="","",IFERROR(INDEX('DANH MỤC'!$B$5:$B$200,MATCH(C1580,'DANH MỤC'!$A$5:$A$200,0)),"⚠ Mã chưa có trong DANH MỤC"))</f>
        <v/>
      </c>
      <c r="J1580" s="52"/>
      <c r="K1580" s="52"/>
      <c r="L1580" s="52"/>
    </row>
    <row r="1581" customFormat="false" ht="15" hidden="false" customHeight="false" outlineLevel="0" collapsed="false">
      <c r="A1581" s="50"/>
      <c r="B1581" s="51" t="str">
        <f aca="false">IF(A1581="","",MONTH(A1581))</f>
        <v/>
      </c>
      <c r="C1581" s="52"/>
      <c r="D1581" s="52"/>
      <c r="E1581" s="52"/>
      <c r="F1581" s="53"/>
      <c r="G1581" s="52"/>
      <c r="H1581" s="54" t="str">
        <f aca="false">IF(E1581="","",E1581*N(F1581)*IF(G1581="",1,G1581))</f>
        <v/>
      </c>
      <c r="I1581" s="55" t="str">
        <f aca="false">IF(C1581="","",IFERROR(INDEX('DANH MỤC'!$B$5:$B$200,MATCH(C1581,'DANH MỤC'!$A$5:$A$200,0)),"⚠ Mã chưa có trong DANH MỤC"))</f>
        <v/>
      </c>
      <c r="J1581" s="52"/>
      <c r="K1581" s="52"/>
      <c r="L1581" s="52"/>
    </row>
    <row r="1582" customFormat="false" ht="15" hidden="false" customHeight="false" outlineLevel="0" collapsed="false">
      <c r="A1582" s="50"/>
      <c r="B1582" s="51" t="str">
        <f aca="false">IF(A1582="","",MONTH(A1582))</f>
        <v/>
      </c>
      <c r="C1582" s="52"/>
      <c r="D1582" s="52"/>
      <c r="E1582" s="52"/>
      <c r="F1582" s="53"/>
      <c r="G1582" s="52"/>
      <c r="H1582" s="54" t="str">
        <f aca="false">IF(E1582="","",E1582*N(F1582)*IF(G1582="",1,G1582))</f>
        <v/>
      </c>
      <c r="I1582" s="55" t="str">
        <f aca="false">IF(C1582="","",IFERROR(INDEX('DANH MỤC'!$B$5:$B$200,MATCH(C1582,'DANH MỤC'!$A$5:$A$200,0)),"⚠ Mã chưa có trong DANH MỤC"))</f>
        <v/>
      </c>
      <c r="J1582" s="52"/>
      <c r="K1582" s="52"/>
      <c r="L1582" s="52"/>
    </row>
    <row r="1583" customFormat="false" ht="15" hidden="false" customHeight="false" outlineLevel="0" collapsed="false">
      <c r="A1583" s="50"/>
      <c r="B1583" s="51" t="str">
        <f aca="false">IF(A1583="","",MONTH(A1583))</f>
        <v/>
      </c>
      <c r="C1583" s="52"/>
      <c r="D1583" s="52"/>
      <c r="E1583" s="52"/>
      <c r="F1583" s="53"/>
      <c r="G1583" s="52"/>
      <c r="H1583" s="54" t="str">
        <f aca="false">IF(E1583="","",E1583*N(F1583)*IF(G1583="",1,G1583))</f>
        <v/>
      </c>
      <c r="I1583" s="55" t="str">
        <f aca="false">IF(C1583="","",IFERROR(INDEX('DANH MỤC'!$B$5:$B$200,MATCH(C1583,'DANH MỤC'!$A$5:$A$200,0)),"⚠ Mã chưa có trong DANH MỤC"))</f>
        <v/>
      </c>
      <c r="J1583" s="52"/>
      <c r="K1583" s="52"/>
      <c r="L1583" s="52"/>
    </row>
    <row r="1584" customFormat="false" ht="15" hidden="false" customHeight="false" outlineLevel="0" collapsed="false">
      <c r="A1584" s="50"/>
      <c r="B1584" s="51" t="str">
        <f aca="false">IF(A1584="","",MONTH(A1584))</f>
        <v/>
      </c>
      <c r="C1584" s="52"/>
      <c r="D1584" s="52"/>
      <c r="E1584" s="52"/>
      <c r="F1584" s="53"/>
      <c r="G1584" s="52"/>
      <c r="H1584" s="54" t="str">
        <f aca="false">IF(E1584="","",E1584*N(F1584)*IF(G1584="",1,G1584))</f>
        <v/>
      </c>
      <c r="I1584" s="55" t="str">
        <f aca="false">IF(C1584="","",IFERROR(INDEX('DANH MỤC'!$B$5:$B$200,MATCH(C1584,'DANH MỤC'!$A$5:$A$200,0)),"⚠ Mã chưa có trong DANH MỤC"))</f>
        <v/>
      </c>
      <c r="J1584" s="52"/>
      <c r="K1584" s="52"/>
      <c r="L1584" s="52"/>
    </row>
    <row r="1585" customFormat="false" ht="15" hidden="false" customHeight="false" outlineLevel="0" collapsed="false">
      <c r="A1585" s="50"/>
      <c r="B1585" s="51" t="str">
        <f aca="false">IF(A1585="","",MONTH(A1585))</f>
        <v/>
      </c>
      <c r="C1585" s="52"/>
      <c r="D1585" s="52"/>
      <c r="E1585" s="52"/>
      <c r="F1585" s="53"/>
      <c r="G1585" s="52"/>
      <c r="H1585" s="54" t="str">
        <f aca="false">IF(E1585="","",E1585*N(F1585)*IF(G1585="",1,G1585))</f>
        <v/>
      </c>
      <c r="I1585" s="55" t="str">
        <f aca="false">IF(C1585="","",IFERROR(INDEX('DANH MỤC'!$B$5:$B$200,MATCH(C1585,'DANH MỤC'!$A$5:$A$200,0)),"⚠ Mã chưa có trong DANH MỤC"))</f>
        <v/>
      </c>
      <c r="J1585" s="52"/>
      <c r="K1585" s="52"/>
      <c r="L1585" s="52"/>
    </row>
    <row r="1586" customFormat="false" ht="15" hidden="false" customHeight="false" outlineLevel="0" collapsed="false">
      <c r="A1586" s="50"/>
      <c r="B1586" s="51" t="str">
        <f aca="false">IF(A1586="","",MONTH(A1586))</f>
        <v/>
      </c>
      <c r="C1586" s="52"/>
      <c r="D1586" s="52"/>
      <c r="E1586" s="52"/>
      <c r="F1586" s="53"/>
      <c r="G1586" s="52"/>
      <c r="H1586" s="54" t="str">
        <f aca="false">IF(E1586="","",E1586*N(F1586)*IF(G1586="",1,G1586))</f>
        <v/>
      </c>
      <c r="I1586" s="55" t="str">
        <f aca="false">IF(C1586="","",IFERROR(INDEX('DANH MỤC'!$B$5:$B$200,MATCH(C1586,'DANH MỤC'!$A$5:$A$200,0)),"⚠ Mã chưa có trong DANH MỤC"))</f>
        <v/>
      </c>
      <c r="J1586" s="52"/>
      <c r="K1586" s="52"/>
      <c r="L1586" s="52"/>
    </row>
    <row r="1587" customFormat="false" ht="15" hidden="false" customHeight="false" outlineLevel="0" collapsed="false">
      <c r="A1587" s="50"/>
      <c r="B1587" s="51" t="str">
        <f aca="false">IF(A1587="","",MONTH(A1587))</f>
        <v/>
      </c>
      <c r="C1587" s="52"/>
      <c r="D1587" s="52"/>
      <c r="E1587" s="52"/>
      <c r="F1587" s="53"/>
      <c r="G1587" s="52"/>
      <c r="H1587" s="54" t="str">
        <f aca="false">IF(E1587="","",E1587*N(F1587)*IF(G1587="",1,G1587))</f>
        <v/>
      </c>
      <c r="I1587" s="55" t="str">
        <f aca="false">IF(C1587="","",IFERROR(INDEX('DANH MỤC'!$B$5:$B$200,MATCH(C1587,'DANH MỤC'!$A$5:$A$200,0)),"⚠ Mã chưa có trong DANH MỤC"))</f>
        <v/>
      </c>
      <c r="J1587" s="52"/>
      <c r="K1587" s="52"/>
      <c r="L1587" s="52"/>
    </row>
    <row r="1588" customFormat="false" ht="15" hidden="false" customHeight="false" outlineLevel="0" collapsed="false">
      <c r="A1588" s="50"/>
      <c r="B1588" s="51" t="str">
        <f aca="false">IF(A1588="","",MONTH(A1588))</f>
        <v/>
      </c>
      <c r="C1588" s="52"/>
      <c r="D1588" s="52"/>
      <c r="E1588" s="52"/>
      <c r="F1588" s="53"/>
      <c r="G1588" s="52"/>
      <c r="H1588" s="54" t="str">
        <f aca="false">IF(E1588="","",E1588*N(F1588)*IF(G1588="",1,G1588))</f>
        <v/>
      </c>
      <c r="I1588" s="55" t="str">
        <f aca="false">IF(C1588="","",IFERROR(INDEX('DANH MỤC'!$B$5:$B$200,MATCH(C1588,'DANH MỤC'!$A$5:$A$200,0)),"⚠ Mã chưa có trong DANH MỤC"))</f>
        <v/>
      </c>
      <c r="J1588" s="52"/>
      <c r="K1588" s="52"/>
      <c r="L1588" s="52"/>
    </row>
    <row r="1589" customFormat="false" ht="15" hidden="false" customHeight="false" outlineLevel="0" collapsed="false">
      <c r="A1589" s="50"/>
      <c r="B1589" s="51" t="str">
        <f aca="false">IF(A1589="","",MONTH(A1589))</f>
        <v/>
      </c>
      <c r="C1589" s="52"/>
      <c r="D1589" s="52"/>
      <c r="E1589" s="52"/>
      <c r="F1589" s="53"/>
      <c r="G1589" s="52"/>
      <c r="H1589" s="54" t="str">
        <f aca="false">IF(E1589="","",E1589*N(F1589)*IF(G1589="",1,G1589))</f>
        <v/>
      </c>
      <c r="I1589" s="55" t="str">
        <f aca="false">IF(C1589="","",IFERROR(INDEX('DANH MỤC'!$B$5:$B$200,MATCH(C1589,'DANH MỤC'!$A$5:$A$200,0)),"⚠ Mã chưa có trong DANH MỤC"))</f>
        <v/>
      </c>
      <c r="J1589" s="52"/>
      <c r="K1589" s="52"/>
      <c r="L1589" s="52"/>
    </row>
    <row r="1590" customFormat="false" ht="15" hidden="false" customHeight="false" outlineLevel="0" collapsed="false">
      <c r="A1590" s="50"/>
      <c r="B1590" s="51" t="str">
        <f aca="false">IF(A1590="","",MONTH(A1590))</f>
        <v/>
      </c>
      <c r="C1590" s="52"/>
      <c r="D1590" s="52"/>
      <c r="E1590" s="52"/>
      <c r="F1590" s="53"/>
      <c r="G1590" s="52"/>
      <c r="H1590" s="54" t="str">
        <f aca="false">IF(E1590="","",E1590*N(F1590)*IF(G1590="",1,G1590))</f>
        <v/>
      </c>
      <c r="I1590" s="55" t="str">
        <f aca="false">IF(C1590="","",IFERROR(INDEX('DANH MỤC'!$B$5:$B$200,MATCH(C1590,'DANH MỤC'!$A$5:$A$200,0)),"⚠ Mã chưa có trong DANH MỤC"))</f>
        <v/>
      </c>
      <c r="J1590" s="52"/>
      <c r="K1590" s="52"/>
      <c r="L1590" s="52"/>
    </row>
    <row r="1591" customFormat="false" ht="15" hidden="false" customHeight="false" outlineLevel="0" collapsed="false">
      <c r="A1591" s="50"/>
      <c r="B1591" s="51" t="str">
        <f aca="false">IF(A1591="","",MONTH(A1591))</f>
        <v/>
      </c>
      <c r="C1591" s="52"/>
      <c r="D1591" s="52"/>
      <c r="E1591" s="52"/>
      <c r="F1591" s="53"/>
      <c r="G1591" s="52"/>
      <c r="H1591" s="54" t="str">
        <f aca="false">IF(E1591="","",E1591*N(F1591)*IF(G1591="",1,G1591))</f>
        <v/>
      </c>
      <c r="I1591" s="55" t="str">
        <f aca="false">IF(C1591="","",IFERROR(INDEX('DANH MỤC'!$B$5:$B$200,MATCH(C1591,'DANH MỤC'!$A$5:$A$200,0)),"⚠ Mã chưa có trong DANH MỤC"))</f>
        <v/>
      </c>
      <c r="J1591" s="52"/>
      <c r="K1591" s="52"/>
      <c r="L1591" s="52"/>
    </row>
    <row r="1592" customFormat="false" ht="15" hidden="false" customHeight="false" outlineLevel="0" collapsed="false">
      <c r="A1592" s="50"/>
      <c r="B1592" s="51" t="str">
        <f aca="false">IF(A1592="","",MONTH(A1592))</f>
        <v/>
      </c>
      <c r="C1592" s="52"/>
      <c r="D1592" s="52"/>
      <c r="E1592" s="52"/>
      <c r="F1592" s="53"/>
      <c r="G1592" s="52"/>
      <c r="H1592" s="54" t="str">
        <f aca="false">IF(E1592="","",E1592*N(F1592)*IF(G1592="",1,G1592))</f>
        <v/>
      </c>
      <c r="I1592" s="55" t="str">
        <f aca="false">IF(C1592="","",IFERROR(INDEX('DANH MỤC'!$B$5:$B$200,MATCH(C1592,'DANH MỤC'!$A$5:$A$200,0)),"⚠ Mã chưa có trong DANH MỤC"))</f>
        <v/>
      </c>
      <c r="J1592" s="52"/>
      <c r="K1592" s="52"/>
      <c r="L1592" s="52"/>
    </row>
    <row r="1593" customFormat="false" ht="15" hidden="false" customHeight="false" outlineLevel="0" collapsed="false">
      <c r="A1593" s="50"/>
      <c r="B1593" s="51" t="str">
        <f aca="false">IF(A1593="","",MONTH(A1593))</f>
        <v/>
      </c>
      <c r="C1593" s="52"/>
      <c r="D1593" s="52"/>
      <c r="E1593" s="52"/>
      <c r="F1593" s="53"/>
      <c r="G1593" s="52"/>
      <c r="H1593" s="54" t="str">
        <f aca="false">IF(E1593="","",E1593*N(F1593)*IF(G1593="",1,G1593))</f>
        <v/>
      </c>
      <c r="I1593" s="55" t="str">
        <f aca="false">IF(C1593="","",IFERROR(INDEX('DANH MỤC'!$B$5:$B$200,MATCH(C1593,'DANH MỤC'!$A$5:$A$200,0)),"⚠ Mã chưa có trong DANH MỤC"))</f>
        <v/>
      </c>
      <c r="J1593" s="52"/>
      <c r="K1593" s="52"/>
      <c r="L1593" s="52"/>
    </row>
    <row r="1594" customFormat="false" ht="15" hidden="false" customHeight="false" outlineLevel="0" collapsed="false">
      <c r="A1594" s="50"/>
      <c r="B1594" s="51" t="str">
        <f aca="false">IF(A1594="","",MONTH(A1594))</f>
        <v/>
      </c>
      <c r="C1594" s="52"/>
      <c r="D1594" s="52"/>
      <c r="E1594" s="52"/>
      <c r="F1594" s="53"/>
      <c r="G1594" s="52"/>
      <c r="H1594" s="54" t="str">
        <f aca="false">IF(E1594="","",E1594*N(F1594)*IF(G1594="",1,G1594))</f>
        <v/>
      </c>
      <c r="I1594" s="55" t="str">
        <f aca="false">IF(C1594="","",IFERROR(INDEX('DANH MỤC'!$B$5:$B$200,MATCH(C1594,'DANH MỤC'!$A$5:$A$200,0)),"⚠ Mã chưa có trong DANH MỤC"))</f>
        <v/>
      </c>
      <c r="J1594" s="52"/>
      <c r="K1594" s="52"/>
      <c r="L1594" s="52"/>
    </row>
    <row r="1595" customFormat="false" ht="15" hidden="false" customHeight="false" outlineLevel="0" collapsed="false">
      <c r="A1595" s="50"/>
      <c r="B1595" s="51" t="str">
        <f aca="false">IF(A1595="","",MONTH(A1595))</f>
        <v/>
      </c>
      <c r="C1595" s="52"/>
      <c r="D1595" s="52"/>
      <c r="E1595" s="52"/>
      <c r="F1595" s="53"/>
      <c r="G1595" s="52"/>
      <c r="H1595" s="54" t="str">
        <f aca="false">IF(E1595="","",E1595*N(F1595)*IF(G1595="",1,G1595))</f>
        <v/>
      </c>
      <c r="I1595" s="55" t="str">
        <f aca="false">IF(C1595="","",IFERROR(INDEX('DANH MỤC'!$B$5:$B$200,MATCH(C1595,'DANH MỤC'!$A$5:$A$200,0)),"⚠ Mã chưa có trong DANH MỤC"))</f>
        <v/>
      </c>
      <c r="J1595" s="52"/>
      <c r="K1595" s="52"/>
      <c r="L1595" s="52"/>
    </row>
    <row r="1596" customFormat="false" ht="15" hidden="false" customHeight="false" outlineLevel="0" collapsed="false">
      <c r="A1596" s="50"/>
      <c r="B1596" s="51" t="str">
        <f aca="false">IF(A1596="","",MONTH(A1596))</f>
        <v/>
      </c>
      <c r="C1596" s="52"/>
      <c r="D1596" s="52"/>
      <c r="E1596" s="52"/>
      <c r="F1596" s="53"/>
      <c r="G1596" s="52"/>
      <c r="H1596" s="54" t="str">
        <f aca="false">IF(E1596="","",E1596*N(F1596)*IF(G1596="",1,G1596))</f>
        <v/>
      </c>
      <c r="I1596" s="55" t="str">
        <f aca="false">IF(C1596="","",IFERROR(INDEX('DANH MỤC'!$B$5:$B$200,MATCH(C1596,'DANH MỤC'!$A$5:$A$200,0)),"⚠ Mã chưa có trong DANH MỤC"))</f>
        <v/>
      </c>
      <c r="J1596" s="52"/>
      <c r="K1596" s="52"/>
      <c r="L1596" s="52"/>
    </row>
    <row r="1597" customFormat="false" ht="15" hidden="false" customHeight="false" outlineLevel="0" collapsed="false">
      <c r="A1597" s="50"/>
      <c r="B1597" s="51" t="str">
        <f aca="false">IF(A1597="","",MONTH(A1597))</f>
        <v/>
      </c>
      <c r="C1597" s="52"/>
      <c r="D1597" s="52"/>
      <c r="E1597" s="52"/>
      <c r="F1597" s="53"/>
      <c r="G1597" s="52"/>
      <c r="H1597" s="54" t="str">
        <f aca="false">IF(E1597="","",E1597*N(F1597)*IF(G1597="",1,G1597))</f>
        <v/>
      </c>
      <c r="I1597" s="55" t="str">
        <f aca="false">IF(C1597="","",IFERROR(INDEX('DANH MỤC'!$B$5:$B$200,MATCH(C1597,'DANH MỤC'!$A$5:$A$200,0)),"⚠ Mã chưa có trong DANH MỤC"))</f>
        <v/>
      </c>
      <c r="J1597" s="52"/>
      <c r="K1597" s="52"/>
      <c r="L1597" s="52"/>
    </row>
    <row r="1598" customFormat="false" ht="15" hidden="false" customHeight="false" outlineLevel="0" collapsed="false">
      <c r="A1598" s="50"/>
      <c r="B1598" s="51" t="str">
        <f aca="false">IF(A1598="","",MONTH(A1598))</f>
        <v/>
      </c>
      <c r="C1598" s="52"/>
      <c r="D1598" s="52"/>
      <c r="E1598" s="52"/>
      <c r="F1598" s="53"/>
      <c r="G1598" s="52"/>
      <c r="H1598" s="54" t="str">
        <f aca="false">IF(E1598="","",E1598*N(F1598)*IF(G1598="",1,G1598))</f>
        <v/>
      </c>
      <c r="I1598" s="55" t="str">
        <f aca="false">IF(C1598="","",IFERROR(INDEX('DANH MỤC'!$B$5:$B$200,MATCH(C1598,'DANH MỤC'!$A$5:$A$200,0)),"⚠ Mã chưa có trong DANH MỤC"))</f>
        <v/>
      </c>
      <c r="J1598" s="52"/>
      <c r="K1598" s="52"/>
      <c r="L1598" s="52"/>
    </row>
    <row r="1599" customFormat="false" ht="15" hidden="false" customHeight="false" outlineLevel="0" collapsed="false">
      <c r="A1599" s="50"/>
      <c r="B1599" s="51" t="str">
        <f aca="false">IF(A1599="","",MONTH(A1599))</f>
        <v/>
      </c>
      <c r="C1599" s="52"/>
      <c r="D1599" s="52"/>
      <c r="E1599" s="52"/>
      <c r="F1599" s="53"/>
      <c r="G1599" s="52"/>
      <c r="H1599" s="54" t="str">
        <f aca="false">IF(E1599="","",E1599*N(F1599)*IF(G1599="",1,G1599))</f>
        <v/>
      </c>
      <c r="I1599" s="55" t="str">
        <f aca="false">IF(C1599="","",IFERROR(INDEX('DANH MỤC'!$B$5:$B$200,MATCH(C1599,'DANH MỤC'!$A$5:$A$200,0)),"⚠ Mã chưa có trong DANH MỤC"))</f>
        <v/>
      </c>
      <c r="J1599" s="52"/>
      <c r="K1599" s="52"/>
      <c r="L1599" s="52"/>
    </row>
    <row r="1600" customFormat="false" ht="15" hidden="false" customHeight="false" outlineLevel="0" collapsed="false">
      <c r="A1600" s="50"/>
      <c r="B1600" s="51" t="str">
        <f aca="false">IF(A1600="","",MONTH(A1600))</f>
        <v/>
      </c>
      <c r="C1600" s="52"/>
      <c r="D1600" s="52"/>
      <c r="E1600" s="52"/>
      <c r="F1600" s="53"/>
      <c r="G1600" s="52"/>
      <c r="H1600" s="54" t="str">
        <f aca="false">IF(E1600="","",E1600*N(F1600)*IF(G1600="",1,G1600))</f>
        <v/>
      </c>
      <c r="I1600" s="55" t="str">
        <f aca="false">IF(C1600="","",IFERROR(INDEX('DANH MỤC'!$B$5:$B$200,MATCH(C1600,'DANH MỤC'!$A$5:$A$200,0)),"⚠ Mã chưa có trong DANH MỤC"))</f>
        <v/>
      </c>
      <c r="J1600" s="52"/>
      <c r="K1600" s="52"/>
      <c r="L1600" s="52"/>
    </row>
    <row r="1601" customFormat="false" ht="15" hidden="false" customHeight="false" outlineLevel="0" collapsed="false">
      <c r="A1601" s="50"/>
      <c r="B1601" s="51" t="str">
        <f aca="false">IF(A1601="","",MONTH(A1601))</f>
        <v/>
      </c>
      <c r="C1601" s="52"/>
      <c r="D1601" s="52"/>
      <c r="E1601" s="52"/>
      <c r="F1601" s="53"/>
      <c r="G1601" s="52"/>
      <c r="H1601" s="54" t="str">
        <f aca="false">IF(E1601="","",E1601*N(F1601)*IF(G1601="",1,G1601))</f>
        <v/>
      </c>
      <c r="I1601" s="55" t="str">
        <f aca="false">IF(C1601="","",IFERROR(INDEX('DANH MỤC'!$B$5:$B$200,MATCH(C1601,'DANH MỤC'!$A$5:$A$200,0)),"⚠ Mã chưa có trong DANH MỤC"))</f>
        <v/>
      </c>
      <c r="J1601" s="52"/>
      <c r="K1601" s="52"/>
      <c r="L1601" s="52"/>
    </row>
    <row r="1602" customFormat="false" ht="15" hidden="false" customHeight="false" outlineLevel="0" collapsed="false">
      <c r="A1602" s="50"/>
      <c r="B1602" s="51" t="str">
        <f aca="false">IF(A1602="","",MONTH(A1602))</f>
        <v/>
      </c>
      <c r="C1602" s="52"/>
      <c r="D1602" s="52"/>
      <c r="E1602" s="52"/>
      <c r="F1602" s="53"/>
      <c r="G1602" s="52"/>
      <c r="H1602" s="54" t="str">
        <f aca="false">IF(E1602="","",E1602*N(F1602)*IF(G1602="",1,G1602))</f>
        <v/>
      </c>
      <c r="I1602" s="55" t="str">
        <f aca="false">IF(C1602="","",IFERROR(INDEX('DANH MỤC'!$B$5:$B$200,MATCH(C1602,'DANH MỤC'!$A$5:$A$200,0)),"⚠ Mã chưa có trong DANH MỤC"))</f>
        <v/>
      </c>
      <c r="J1602" s="52"/>
      <c r="K1602" s="52"/>
      <c r="L1602" s="52"/>
    </row>
    <row r="1603" customFormat="false" ht="15" hidden="false" customHeight="false" outlineLevel="0" collapsed="false">
      <c r="A1603" s="50"/>
      <c r="B1603" s="51" t="str">
        <f aca="false">IF(A1603="","",MONTH(A1603))</f>
        <v/>
      </c>
      <c r="C1603" s="52"/>
      <c r="D1603" s="52"/>
      <c r="E1603" s="52"/>
      <c r="F1603" s="53"/>
      <c r="G1603" s="52"/>
      <c r="H1603" s="54" t="str">
        <f aca="false">IF(E1603="","",E1603*N(F1603)*IF(G1603="",1,G1603))</f>
        <v/>
      </c>
      <c r="I1603" s="55" t="str">
        <f aca="false">IF(C1603="","",IFERROR(INDEX('DANH MỤC'!$B$5:$B$200,MATCH(C1603,'DANH MỤC'!$A$5:$A$200,0)),"⚠ Mã chưa có trong DANH MỤC"))</f>
        <v/>
      </c>
      <c r="J1603" s="52"/>
      <c r="K1603" s="52"/>
      <c r="L1603" s="52"/>
    </row>
    <row r="1604" customFormat="false" ht="15" hidden="false" customHeight="false" outlineLevel="0" collapsed="false">
      <c r="A1604" s="50"/>
      <c r="B1604" s="51" t="str">
        <f aca="false">IF(A1604="","",MONTH(A1604))</f>
        <v/>
      </c>
      <c r="C1604" s="52"/>
      <c r="D1604" s="52"/>
      <c r="E1604" s="52"/>
      <c r="F1604" s="53"/>
      <c r="G1604" s="52"/>
      <c r="H1604" s="54" t="str">
        <f aca="false">IF(E1604="","",E1604*N(F1604)*IF(G1604="",1,G1604))</f>
        <v/>
      </c>
      <c r="I1604" s="55" t="str">
        <f aca="false">IF(C1604="","",IFERROR(INDEX('DANH MỤC'!$B$5:$B$200,MATCH(C1604,'DANH MỤC'!$A$5:$A$200,0)),"⚠ Mã chưa có trong DANH MỤC"))</f>
        <v/>
      </c>
      <c r="J1604" s="52"/>
      <c r="K1604" s="52"/>
      <c r="L1604" s="52"/>
    </row>
    <row r="1605" customFormat="false" ht="15" hidden="false" customHeight="false" outlineLevel="0" collapsed="false">
      <c r="A1605" s="50"/>
      <c r="B1605" s="51" t="str">
        <f aca="false">IF(A1605="","",MONTH(A1605))</f>
        <v/>
      </c>
      <c r="C1605" s="52"/>
      <c r="D1605" s="52"/>
      <c r="E1605" s="52"/>
      <c r="F1605" s="53"/>
      <c r="G1605" s="52"/>
      <c r="H1605" s="54" t="str">
        <f aca="false">IF(E1605="","",E1605*N(F1605)*IF(G1605="",1,G1605))</f>
        <v/>
      </c>
      <c r="I1605" s="55" t="str">
        <f aca="false">IF(C1605="","",IFERROR(INDEX('DANH MỤC'!$B$5:$B$200,MATCH(C1605,'DANH MỤC'!$A$5:$A$200,0)),"⚠ Mã chưa có trong DANH MỤC"))</f>
        <v/>
      </c>
      <c r="J1605" s="52"/>
      <c r="K1605" s="52"/>
      <c r="L1605" s="52"/>
    </row>
    <row r="1606" customFormat="false" ht="15" hidden="false" customHeight="false" outlineLevel="0" collapsed="false">
      <c r="A1606" s="50"/>
      <c r="B1606" s="51" t="str">
        <f aca="false">IF(A1606="","",MONTH(A1606))</f>
        <v/>
      </c>
      <c r="C1606" s="52"/>
      <c r="D1606" s="52"/>
      <c r="E1606" s="52"/>
      <c r="F1606" s="53"/>
      <c r="G1606" s="52"/>
      <c r="H1606" s="54" t="str">
        <f aca="false">IF(E1606="","",E1606*N(F1606)*IF(G1606="",1,G1606))</f>
        <v/>
      </c>
      <c r="I1606" s="55" t="str">
        <f aca="false">IF(C1606="","",IFERROR(INDEX('DANH MỤC'!$B$5:$B$200,MATCH(C1606,'DANH MỤC'!$A$5:$A$200,0)),"⚠ Mã chưa có trong DANH MỤC"))</f>
        <v/>
      </c>
      <c r="J1606" s="52"/>
      <c r="K1606" s="52"/>
      <c r="L1606" s="52"/>
    </row>
    <row r="1607" customFormat="false" ht="15" hidden="false" customHeight="false" outlineLevel="0" collapsed="false">
      <c r="A1607" s="50"/>
      <c r="B1607" s="51" t="str">
        <f aca="false">IF(A1607="","",MONTH(A1607))</f>
        <v/>
      </c>
      <c r="C1607" s="52"/>
      <c r="D1607" s="52"/>
      <c r="E1607" s="52"/>
      <c r="F1607" s="53"/>
      <c r="G1607" s="52"/>
      <c r="H1607" s="54" t="str">
        <f aca="false">IF(E1607="","",E1607*N(F1607)*IF(G1607="",1,G1607))</f>
        <v/>
      </c>
      <c r="I1607" s="55" t="str">
        <f aca="false">IF(C1607="","",IFERROR(INDEX('DANH MỤC'!$B$5:$B$200,MATCH(C1607,'DANH MỤC'!$A$5:$A$200,0)),"⚠ Mã chưa có trong DANH MỤC"))</f>
        <v/>
      </c>
      <c r="J1607" s="52"/>
      <c r="K1607" s="52"/>
      <c r="L1607" s="52"/>
    </row>
    <row r="1608" customFormat="false" ht="15" hidden="false" customHeight="false" outlineLevel="0" collapsed="false">
      <c r="A1608" s="50"/>
      <c r="B1608" s="51" t="str">
        <f aca="false">IF(A1608="","",MONTH(A1608))</f>
        <v/>
      </c>
      <c r="C1608" s="52"/>
      <c r="D1608" s="52"/>
      <c r="E1608" s="52"/>
      <c r="F1608" s="53"/>
      <c r="G1608" s="52"/>
      <c r="H1608" s="54" t="str">
        <f aca="false">IF(E1608="","",E1608*N(F1608)*IF(G1608="",1,G1608))</f>
        <v/>
      </c>
      <c r="I1608" s="55" t="str">
        <f aca="false">IF(C1608="","",IFERROR(INDEX('DANH MỤC'!$B$5:$B$200,MATCH(C1608,'DANH MỤC'!$A$5:$A$200,0)),"⚠ Mã chưa có trong DANH MỤC"))</f>
        <v/>
      </c>
      <c r="J1608" s="52"/>
      <c r="K1608" s="52"/>
      <c r="L1608" s="52"/>
    </row>
    <row r="1609" customFormat="false" ht="15" hidden="false" customHeight="false" outlineLevel="0" collapsed="false">
      <c r="A1609" s="50"/>
      <c r="B1609" s="51" t="str">
        <f aca="false">IF(A1609="","",MONTH(A1609))</f>
        <v/>
      </c>
      <c r="C1609" s="52"/>
      <c r="D1609" s="52"/>
      <c r="E1609" s="52"/>
      <c r="F1609" s="53"/>
      <c r="G1609" s="52"/>
      <c r="H1609" s="54" t="str">
        <f aca="false">IF(E1609="","",E1609*N(F1609)*IF(G1609="",1,G1609))</f>
        <v/>
      </c>
      <c r="I1609" s="55" t="str">
        <f aca="false">IF(C1609="","",IFERROR(INDEX('DANH MỤC'!$B$5:$B$200,MATCH(C1609,'DANH MỤC'!$A$5:$A$200,0)),"⚠ Mã chưa có trong DANH MỤC"))</f>
        <v/>
      </c>
      <c r="J1609" s="52"/>
      <c r="K1609" s="52"/>
      <c r="L1609" s="52"/>
    </row>
    <row r="1610" customFormat="false" ht="15" hidden="false" customHeight="false" outlineLevel="0" collapsed="false">
      <c r="A1610" s="50"/>
      <c r="B1610" s="51" t="str">
        <f aca="false">IF(A1610="","",MONTH(A1610))</f>
        <v/>
      </c>
      <c r="C1610" s="52"/>
      <c r="D1610" s="52"/>
      <c r="E1610" s="52"/>
      <c r="F1610" s="53"/>
      <c r="G1610" s="52"/>
      <c r="H1610" s="54" t="str">
        <f aca="false">IF(E1610="","",E1610*N(F1610)*IF(G1610="",1,G1610))</f>
        <v/>
      </c>
      <c r="I1610" s="55" t="str">
        <f aca="false">IF(C1610="","",IFERROR(INDEX('DANH MỤC'!$B$5:$B$200,MATCH(C1610,'DANH MỤC'!$A$5:$A$200,0)),"⚠ Mã chưa có trong DANH MỤC"))</f>
        <v/>
      </c>
      <c r="J1610" s="52"/>
      <c r="K1610" s="52"/>
      <c r="L1610" s="52"/>
    </row>
    <row r="1611" customFormat="false" ht="15" hidden="false" customHeight="false" outlineLevel="0" collapsed="false">
      <c r="A1611" s="50"/>
      <c r="B1611" s="51" t="str">
        <f aca="false">IF(A1611="","",MONTH(A1611))</f>
        <v/>
      </c>
      <c r="C1611" s="52"/>
      <c r="D1611" s="52"/>
      <c r="E1611" s="52"/>
      <c r="F1611" s="53"/>
      <c r="G1611" s="52"/>
      <c r="H1611" s="54" t="str">
        <f aca="false">IF(E1611="","",E1611*N(F1611)*IF(G1611="",1,G1611))</f>
        <v/>
      </c>
      <c r="I1611" s="55" t="str">
        <f aca="false">IF(C1611="","",IFERROR(INDEX('DANH MỤC'!$B$5:$B$200,MATCH(C1611,'DANH MỤC'!$A$5:$A$200,0)),"⚠ Mã chưa có trong DANH MỤC"))</f>
        <v/>
      </c>
      <c r="J1611" s="52"/>
      <c r="K1611" s="52"/>
      <c r="L1611" s="52"/>
    </row>
    <row r="1612" customFormat="false" ht="15" hidden="false" customHeight="false" outlineLevel="0" collapsed="false">
      <c r="A1612" s="50"/>
      <c r="B1612" s="51" t="str">
        <f aca="false">IF(A1612="","",MONTH(A1612))</f>
        <v/>
      </c>
      <c r="C1612" s="52"/>
      <c r="D1612" s="52"/>
      <c r="E1612" s="52"/>
      <c r="F1612" s="53"/>
      <c r="G1612" s="52"/>
      <c r="H1612" s="54" t="str">
        <f aca="false">IF(E1612="","",E1612*N(F1612)*IF(G1612="",1,G1612))</f>
        <v/>
      </c>
      <c r="I1612" s="55" t="str">
        <f aca="false">IF(C1612="","",IFERROR(INDEX('DANH MỤC'!$B$5:$B$200,MATCH(C1612,'DANH MỤC'!$A$5:$A$200,0)),"⚠ Mã chưa có trong DANH MỤC"))</f>
        <v/>
      </c>
      <c r="J1612" s="52"/>
      <c r="K1612" s="52"/>
      <c r="L1612" s="52"/>
    </row>
    <row r="1613" customFormat="false" ht="15" hidden="false" customHeight="false" outlineLevel="0" collapsed="false">
      <c r="A1613" s="50"/>
      <c r="B1613" s="51" t="str">
        <f aca="false">IF(A1613="","",MONTH(A1613))</f>
        <v/>
      </c>
      <c r="C1613" s="52"/>
      <c r="D1613" s="52"/>
      <c r="E1613" s="52"/>
      <c r="F1613" s="53"/>
      <c r="G1613" s="52"/>
      <c r="H1613" s="54" t="str">
        <f aca="false">IF(E1613="","",E1613*N(F1613)*IF(G1613="",1,G1613))</f>
        <v/>
      </c>
      <c r="I1613" s="55" t="str">
        <f aca="false">IF(C1613="","",IFERROR(INDEX('DANH MỤC'!$B$5:$B$200,MATCH(C1613,'DANH MỤC'!$A$5:$A$200,0)),"⚠ Mã chưa có trong DANH MỤC"))</f>
        <v/>
      </c>
      <c r="J1613" s="52"/>
      <c r="K1613" s="52"/>
      <c r="L1613" s="52"/>
    </row>
    <row r="1614" customFormat="false" ht="15" hidden="false" customHeight="false" outlineLevel="0" collapsed="false">
      <c r="A1614" s="50"/>
      <c r="B1614" s="51" t="str">
        <f aca="false">IF(A1614="","",MONTH(A1614))</f>
        <v/>
      </c>
      <c r="C1614" s="52"/>
      <c r="D1614" s="52"/>
      <c r="E1614" s="52"/>
      <c r="F1614" s="53"/>
      <c r="G1614" s="52"/>
      <c r="H1614" s="54" t="str">
        <f aca="false">IF(E1614="","",E1614*N(F1614)*IF(G1614="",1,G1614))</f>
        <v/>
      </c>
      <c r="I1614" s="55" t="str">
        <f aca="false">IF(C1614="","",IFERROR(INDEX('DANH MỤC'!$B$5:$B$200,MATCH(C1614,'DANH MỤC'!$A$5:$A$200,0)),"⚠ Mã chưa có trong DANH MỤC"))</f>
        <v/>
      </c>
      <c r="J1614" s="52"/>
      <c r="K1614" s="52"/>
      <c r="L1614" s="52"/>
    </row>
    <row r="1615" customFormat="false" ht="15" hidden="false" customHeight="false" outlineLevel="0" collapsed="false">
      <c r="A1615" s="50"/>
      <c r="B1615" s="51" t="str">
        <f aca="false">IF(A1615="","",MONTH(A1615))</f>
        <v/>
      </c>
      <c r="C1615" s="52"/>
      <c r="D1615" s="52"/>
      <c r="E1615" s="52"/>
      <c r="F1615" s="53"/>
      <c r="G1615" s="52"/>
      <c r="H1615" s="54" t="str">
        <f aca="false">IF(E1615="","",E1615*N(F1615)*IF(G1615="",1,G1615))</f>
        <v/>
      </c>
      <c r="I1615" s="55" t="str">
        <f aca="false">IF(C1615="","",IFERROR(INDEX('DANH MỤC'!$B$5:$B$200,MATCH(C1615,'DANH MỤC'!$A$5:$A$200,0)),"⚠ Mã chưa có trong DANH MỤC"))</f>
        <v/>
      </c>
      <c r="J1615" s="52"/>
      <c r="K1615" s="52"/>
      <c r="L1615" s="52"/>
    </row>
    <row r="1616" customFormat="false" ht="15" hidden="false" customHeight="false" outlineLevel="0" collapsed="false">
      <c r="A1616" s="50"/>
      <c r="B1616" s="51" t="str">
        <f aca="false">IF(A1616="","",MONTH(A1616))</f>
        <v/>
      </c>
      <c r="C1616" s="52"/>
      <c r="D1616" s="52"/>
      <c r="E1616" s="52"/>
      <c r="F1616" s="53"/>
      <c r="G1616" s="52"/>
      <c r="H1616" s="54" t="str">
        <f aca="false">IF(E1616="","",E1616*N(F1616)*IF(G1616="",1,G1616))</f>
        <v/>
      </c>
      <c r="I1616" s="55" t="str">
        <f aca="false">IF(C1616="","",IFERROR(INDEX('DANH MỤC'!$B$5:$B$200,MATCH(C1616,'DANH MỤC'!$A$5:$A$200,0)),"⚠ Mã chưa có trong DANH MỤC"))</f>
        <v/>
      </c>
      <c r="J1616" s="52"/>
      <c r="K1616" s="52"/>
      <c r="L1616" s="52"/>
    </row>
    <row r="1617" customFormat="false" ht="15" hidden="false" customHeight="false" outlineLevel="0" collapsed="false">
      <c r="A1617" s="50"/>
      <c r="B1617" s="51" t="str">
        <f aca="false">IF(A1617="","",MONTH(A1617))</f>
        <v/>
      </c>
      <c r="C1617" s="52"/>
      <c r="D1617" s="52"/>
      <c r="E1617" s="52"/>
      <c r="F1617" s="53"/>
      <c r="G1617" s="52"/>
      <c r="H1617" s="54" t="str">
        <f aca="false">IF(E1617="","",E1617*N(F1617)*IF(G1617="",1,G1617))</f>
        <v/>
      </c>
      <c r="I1617" s="55" t="str">
        <f aca="false">IF(C1617="","",IFERROR(INDEX('DANH MỤC'!$B$5:$B$200,MATCH(C1617,'DANH MỤC'!$A$5:$A$200,0)),"⚠ Mã chưa có trong DANH MỤC"))</f>
        <v/>
      </c>
      <c r="J1617" s="52"/>
      <c r="K1617" s="52"/>
      <c r="L1617" s="52"/>
    </row>
    <row r="1618" customFormat="false" ht="15" hidden="false" customHeight="false" outlineLevel="0" collapsed="false">
      <c r="A1618" s="50"/>
      <c r="B1618" s="51" t="str">
        <f aca="false">IF(A1618="","",MONTH(A1618))</f>
        <v/>
      </c>
      <c r="C1618" s="52"/>
      <c r="D1618" s="52"/>
      <c r="E1618" s="52"/>
      <c r="F1618" s="53"/>
      <c r="G1618" s="52"/>
      <c r="H1618" s="54" t="str">
        <f aca="false">IF(E1618="","",E1618*N(F1618)*IF(G1618="",1,G1618))</f>
        <v/>
      </c>
      <c r="I1618" s="55" t="str">
        <f aca="false">IF(C1618="","",IFERROR(INDEX('DANH MỤC'!$B$5:$B$200,MATCH(C1618,'DANH MỤC'!$A$5:$A$200,0)),"⚠ Mã chưa có trong DANH MỤC"))</f>
        <v/>
      </c>
      <c r="J1618" s="52"/>
      <c r="K1618" s="52"/>
      <c r="L1618" s="52"/>
    </row>
    <row r="1619" customFormat="false" ht="15" hidden="false" customHeight="false" outlineLevel="0" collapsed="false">
      <c r="A1619" s="50"/>
      <c r="B1619" s="51" t="str">
        <f aca="false">IF(A1619="","",MONTH(A1619))</f>
        <v/>
      </c>
      <c r="C1619" s="52"/>
      <c r="D1619" s="52"/>
      <c r="E1619" s="52"/>
      <c r="F1619" s="53"/>
      <c r="G1619" s="52"/>
      <c r="H1619" s="54" t="str">
        <f aca="false">IF(E1619="","",E1619*N(F1619)*IF(G1619="",1,G1619))</f>
        <v/>
      </c>
      <c r="I1619" s="55" t="str">
        <f aca="false">IF(C1619="","",IFERROR(INDEX('DANH MỤC'!$B$5:$B$200,MATCH(C1619,'DANH MỤC'!$A$5:$A$200,0)),"⚠ Mã chưa có trong DANH MỤC"))</f>
        <v/>
      </c>
      <c r="J1619" s="52"/>
      <c r="K1619" s="52"/>
      <c r="L1619" s="52"/>
    </row>
    <row r="1620" customFormat="false" ht="15" hidden="false" customHeight="false" outlineLevel="0" collapsed="false">
      <c r="A1620" s="50"/>
      <c r="B1620" s="51" t="str">
        <f aca="false">IF(A1620="","",MONTH(A1620))</f>
        <v/>
      </c>
      <c r="C1620" s="52"/>
      <c r="D1620" s="52"/>
      <c r="E1620" s="52"/>
      <c r="F1620" s="53"/>
      <c r="G1620" s="52"/>
      <c r="H1620" s="54" t="str">
        <f aca="false">IF(E1620="","",E1620*N(F1620)*IF(G1620="",1,G1620))</f>
        <v/>
      </c>
      <c r="I1620" s="55" t="str">
        <f aca="false">IF(C1620="","",IFERROR(INDEX('DANH MỤC'!$B$5:$B$200,MATCH(C1620,'DANH MỤC'!$A$5:$A$200,0)),"⚠ Mã chưa có trong DANH MỤC"))</f>
        <v/>
      </c>
      <c r="J1620" s="52"/>
      <c r="K1620" s="52"/>
      <c r="L1620" s="52"/>
    </row>
    <row r="1621" customFormat="false" ht="15" hidden="false" customHeight="false" outlineLevel="0" collapsed="false">
      <c r="A1621" s="50"/>
      <c r="B1621" s="51" t="str">
        <f aca="false">IF(A1621="","",MONTH(A1621))</f>
        <v/>
      </c>
      <c r="C1621" s="52"/>
      <c r="D1621" s="52"/>
      <c r="E1621" s="52"/>
      <c r="F1621" s="53"/>
      <c r="G1621" s="52"/>
      <c r="H1621" s="54" t="str">
        <f aca="false">IF(E1621="","",E1621*N(F1621)*IF(G1621="",1,G1621))</f>
        <v/>
      </c>
      <c r="I1621" s="55" t="str">
        <f aca="false">IF(C1621="","",IFERROR(INDEX('DANH MỤC'!$B$5:$B$200,MATCH(C1621,'DANH MỤC'!$A$5:$A$200,0)),"⚠ Mã chưa có trong DANH MỤC"))</f>
        <v/>
      </c>
      <c r="J1621" s="52"/>
      <c r="K1621" s="52"/>
      <c r="L1621" s="52"/>
    </row>
    <row r="1622" customFormat="false" ht="15" hidden="false" customHeight="false" outlineLevel="0" collapsed="false">
      <c r="A1622" s="50"/>
      <c r="B1622" s="51" t="str">
        <f aca="false">IF(A1622="","",MONTH(A1622))</f>
        <v/>
      </c>
      <c r="C1622" s="52"/>
      <c r="D1622" s="52"/>
      <c r="E1622" s="52"/>
      <c r="F1622" s="53"/>
      <c r="G1622" s="52"/>
      <c r="H1622" s="54" t="str">
        <f aca="false">IF(E1622="","",E1622*N(F1622)*IF(G1622="",1,G1622))</f>
        <v/>
      </c>
      <c r="I1622" s="55" t="str">
        <f aca="false">IF(C1622="","",IFERROR(INDEX('DANH MỤC'!$B$5:$B$200,MATCH(C1622,'DANH MỤC'!$A$5:$A$200,0)),"⚠ Mã chưa có trong DANH MỤC"))</f>
        <v/>
      </c>
      <c r="J1622" s="52"/>
      <c r="K1622" s="52"/>
      <c r="L1622" s="52"/>
    </row>
    <row r="1623" customFormat="false" ht="15" hidden="false" customHeight="false" outlineLevel="0" collapsed="false">
      <c r="A1623" s="50"/>
      <c r="B1623" s="51" t="str">
        <f aca="false">IF(A1623="","",MONTH(A1623))</f>
        <v/>
      </c>
      <c r="C1623" s="52"/>
      <c r="D1623" s="52"/>
      <c r="E1623" s="52"/>
      <c r="F1623" s="53"/>
      <c r="G1623" s="52"/>
      <c r="H1623" s="54" t="str">
        <f aca="false">IF(E1623="","",E1623*N(F1623)*IF(G1623="",1,G1623))</f>
        <v/>
      </c>
      <c r="I1623" s="55" t="str">
        <f aca="false">IF(C1623="","",IFERROR(INDEX('DANH MỤC'!$B$5:$B$200,MATCH(C1623,'DANH MỤC'!$A$5:$A$200,0)),"⚠ Mã chưa có trong DANH MỤC"))</f>
        <v/>
      </c>
      <c r="J1623" s="52"/>
      <c r="K1623" s="52"/>
      <c r="L1623" s="52"/>
    </row>
    <row r="1624" customFormat="false" ht="15" hidden="false" customHeight="false" outlineLevel="0" collapsed="false">
      <c r="A1624" s="50"/>
      <c r="B1624" s="51" t="str">
        <f aca="false">IF(A1624="","",MONTH(A1624))</f>
        <v/>
      </c>
      <c r="C1624" s="52"/>
      <c r="D1624" s="52"/>
      <c r="E1624" s="52"/>
      <c r="F1624" s="53"/>
      <c r="G1624" s="52"/>
      <c r="H1624" s="54" t="str">
        <f aca="false">IF(E1624="","",E1624*N(F1624)*IF(G1624="",1,G1624))</f>
        <v/>
      </c>
      <c r="I1624" s="55" t="str">
        <f aca="false">IF(C1624="","",IFERROR(INDEX('DANH MỤC'!$B$5:$B$200,MATCH(C1624,'DANH MỤC'!$A$5:$A$200,0)),"⚠ Mã chưa có trong DANH MỤC"))</f>
        <v/>
      </c>
      <c r="J1624" s="52"/>
      <c r="K1624" s="52"/>
      <c r="L1624" s="52"/>
    </row>
    <row r="1625" customFormat="false" ht="15" hidden="false" customHeight="false" outlineLevel="0" collapsed="false">
      <c r="A1625" s="50"/>
      <c r="B1625" s="51" t="str">
        <f aca="false">IF(A1625="","",MONTH(A1625))</f>
        <v/>
      </c>
      <c r="C1625" s="52"/>
      <c r="D1625" s="52"/>
      <c r="E1625" s="52"/>
      <c r="F1625" s="53"/>
      <c r="G1625" s="52"/>
      <c r="H1625" s="54" t="str">
        <f aca="false">IF(E1625="","",E1625*N(F1625)*IF(G1625="",1,G1625))</f>
        <v/>
      </c>
      <c r="I1625" s="55" t="str">
        <f aca="false">IF(C1625="","",IFERROR(INDEX('DANH MỤC'!$B$5:$B$200,MATCH(C1625,'DANH MỤC'!$A$5:$A$200,0)),"⚠ Mã chưa có trong DANH MỤC"))</f>
        <v/>
      </c>
      <c r="J1625" s="52"/>
      <c r="K1625" s="52"/>
      <c r="L1625" s="52"/>
    </row>
    <row r="1626" customFormat="false" ht="15" hidden="false" customHeight="false" outlineLevel="0" collapsed="false">
      <c r="A1626" s="50"/>
      <c r="B1626" s="51" t="str">
        <f aca="false">IF(A1626="","",MONTH(A1626))</f>
        <v/>
      </c>
      <c r="C1626" s="52"/>
      <c r="D1626" s="52"/>
      <c r="E1626" s="52"/>
      <c r="F1626" s="53"/>
      <c r="G1626" s="52"/>
      <c r="H1626" s="54" t="str">
        <f aca="false">IF(E1626="","",E1626*N(F1626)*IF(G1626="",1,G1626))</f>
        <v/>
      </c>
      <c r="I1626" s="55" t="str">
        <f aca="false">IF(C1626="","",IFERROR(INDEX('DANH MỤC'!$B$5:$B$200,MATCH(C1626,'DANH MỤC'!$A$5:$A$200,0)),"⚠ Mã chưa có trong DANH MỤC"))</f>
        <v/>
      </c>
      <c r="J1626" s="52"/>
      <c r="K1626" s="52"/>
      <c r="L1626" s="52"/>
    </row>
    <row r="1627" customFormat="false" ht="15" hidden="false" customHeight="false" outlineLevel="0" collapsed="false">
      <c r="A1627" s="50"/>
      <c r="B1627" s="51" t="str">
        <f aca="false">IF(A1627="","",MONTH(A1627))</f>
        <v/>
      </c>
      <c r="C1627" s="52"/>
      <c r="D1627" s="52"/>
      <c r="E1627" s="52"/>
      <c r="F1627" s="53"/>
      <c r="G1627" s="52"/>
      <c r="H1627" s="54" t="str">
        <f aca="false">IF(E1627="","",E1627*N(F1627)*IF(G1627="",1,G1627))</f>
        <v/>
      </c>
      <c r="I1627" s="55" t="str">
        <f aca="false">IF(C1627="","",IFERROR(INDEX('DANH MỤC'!$B$5:$B$200,MATCH(C1627,'DANH MỤC'!$A$5:$A$200,0)),"⚠ Mã chưa có trong DANH MỤC"))</f>
        <v/>
      </c>
      <c r="J1627" s="52"/>
      <c r="K1627" s="52"/>
      <c r="L1627" s="52"/>
    </row>
    <row r="1628" customFormat="false" ht="15" hidden="false" customHeight="false" outlineLevel="0" collapsed="false">
      <c r="A1628" s="50"/>
      <c r="B1628" s="51" t="str">
        <f aca="false">IF(A1628="","",MONTH(A1628))</f>
        <v/>
      </c>
      <c r="C1628" s="52"/>
      <c r="D1628" s="52"/>
      <c r="E1628" s="52"/>
      <c r="F1628" s="53"/>
      <c r="G1628" s="52"/>
      <c r="H1628" s="54" t="str">
        <f aca="false">IF(E1628="","",E1628*N(F1628)*IF(G1628="",1,G1628))</f>
        <v/>
      </c>
      <c r="I1628" s="55" t="str">
        <f aca="false">IF(C1628="","",IFERROR(INDEX('DANH MỤC'!$B$5:$B$200,MATCH(C1628,'DANH MỤC'!$A$5:$A$200,0)),"⚠ Mã chưa có trong DANH MỤC"))</f>
        <v/>
      </c>
      <c r="J1628" s="52"/>
      <c r="K1628" s="52"/>
      <c r="L1628" s="52"/>
    </row>
    <row r="1629" customFormat="false" ht="15" hidden="false" customHeight="false" outlineLevel="0" collapsed="false">
      <c r="A1629" s="50"/>
      <c r="B1629" s="51" t="str">
        <f aca="false">IF(A1629="","",MONTH(A1629))</f>
        <v/>
      </c>
      <c r="C1629" s="52"/>
      <c r="D1629" s="52"/>
      <c r="E1629" s="52"/>
      <c r="F1629" s="53"/>
      <c r="G1629" s="52"/>
      <c r="H1629" s="54" t="str">
        <f aca="false">IF(E1629="","",E1629*N(F1629)*IF(G1629="",1,G1629))</f>
        <v/>
      </c>
      <c r="I1629" s="55" t="str">
        <f aca="false">IF(C1629="","",IFERROR(INDEX('DANH MỤC'!$B$5:$B$200,MATCH(C1629,'DANH MỤC'!$A$5:$A$200,0)),"⚠ Mã chưa có trong DANH MỤC"))</f>
        <v/>
      </c>
      <c r="J1629" s="52"/>
      <c r="K1629" s="52"/>
      <c r="L1629" s="52"/>
    </row>
    <row r="1630" customFormat="false" ht="15" hidden="false" customHeight="false" outlineLevel="0" collapsed="false">
      <c r="A1630" s="50"/>
      <c r="B1630" s="51" t="str">
        <f aca="false">IF(A1630="","",MONTH(A1630))</f>
        <v/>
      </c>
      <c r="C1630" s="52"/>
      <c r="D1630" s="52"/>
      <c r="E1630" s="52"/>
      <c r="F1630" s="53"/>
      <c r="G1630" s="52"/>
      <c r="H1630" s="54" t="str">
        <f aca="false">IF(E1630="","",E1630*N(F1630)*IF(G1630="",1,G1630))</f>
        <v/>
      </c>
      <c r="I1630" s="55" t="str">
        <f aca="false">IF(C1630="","",IFERROR(INDEX('DANH MỤC'!$B$5:$B$200,MATCH(C1630,'DANH MỤC'!$A$5:$A$200,0)),"⚠ Mã chưa có trong DANH MỤC"))</f>
        <v/>
      </c>
      <c r="J1630" s="52"/>
      <c r="K1630" s="52"/>
      <c r="L1630" s="52"/>
    </row>
    <row r="1631" customFormat="false" ht="15" hidden="false" customHeight="false" outlineLevel="0" collapsed="false">
      <c r="A1631" s="50"/>
      <c r="B1631" s="51" t="str">
        <f aca="false">IF(A1631="","",MONTH(A1631))</f>
        <v/>
      </c>
      <c r="C1631" s="52"/>
      <c r="D1631" s="52"/>
      <c r="E1631" s="52"/>
      <c r="F1631" s="53"/>
      <c r="G1631" s="52"/>
      <c r="H1631" s="54" t="str">
        <f aca="false">IF(E1631="","",E1631*N(F1631)*IF(G1631="",1,G1631))</f>
        <v/>
      </c>
      <c r="I1631" s="55" t="str">
        <f aca="false">IF(C1631="","",IFERROR(INDEX('DANH MỤC'!$B$5:$B$200,MATCH(C1631,'DANH MỤC'!$A$5:$A$200,0)),"⚠ Mã chưa có trong DANH MỤC"))</f>
        <v/>
      </c>
      <c r="J1631" s="52"/>
      <c r="K1631" s="52"/>
      <c r="L1631" s="52"/>
    </row>
    <row r="1632" customFormat="false" ht="15" hidden="false" customHeight="false" outlineLevel="0" collapsed="false">
      <c r="A1632" s="50"/>
      <c r="B1632" s="51" t="str">
        <f aca="false">IF(A1632="","",MONTH(A1632))</f>
        <v/>
      </c>
      <c r="C1632" s="52"/>
      <c r="D1632" s="52"/>
      <c r="E1632" s="52"/>
      <c r="F1632" s="53"/>
      <c r="G1632" s="52"/>
      <c r="H1632" s="54" t="str">
        <f aca="false">IF(E1632="","",E1632*N(F1632)*IF(G1632="",1,G1632))</f>
        <v/>
      </c>
      <c r="I1632" s="55" t="str">
        <f aca="false">IF(C1632="","",IFERROR(INDEX('DANH MỤC'!$B$5:$B$200,MATCH(C1632,'DANH MỤC'!$A$5:$A$200,0)),"⚠ Mã chưa có trong DANH MỤC"))</f>
        <v/>
      </c>
      <c r="J1632" s="52"/>
      <c r="K1632" s="52"/>
      <c r="L1632" s="52"/>
    </row>
    <row r="1633" customFormat="false" ht="15" hidden="false" customHeight="false" outlineLevel="0" collapsed="false">
      <c r="A1633" s="50"/>
      <c r="B1633" s="51" t="str">
        <f aca="false">IF(A1633="","",MONTH(A1633))</f>
        <v/>
      </c>
      <c r="C1633" s="52"/>
      <c r="D1633" s="52"/>
      <c r="E1633" s="52"/>
      <c r="F1633" s="53"/>
      <c r="G1633" s="52"/>
      <c r="H1633" s="54" t="str">
        <f aca="false">IF(E1633="","",E1633*N(F1633)*IF(G1633="",1,G1633))</f>
        <v/>
      </c>
      <c r="I1633" s="55" t="str">
        <f aca="false">IF(C1633="","",IFERROR(INDEX('DANH MỤC'!$B$5:$B$200,MATCH(C1633,'DANH MỤC'!$A$5:$A$200,0)),"⚠ Mã chưa có trong DANH MỤC"))</f>
        <v/>
      </c>
      <c r="J1633" s="52"/>
      <c r="K1633" s="52"/>
      <c r="L1633" s="52"/>
    </row>
    <row r="1634" customFormat="false" ht="15" hidden="false" customHeight="false" outlineLevel="0" collapsed="false">
      <c r="A1634" s="50"/>
      <c r="B1634" s="51" t="str">
        <f aca="false">IF(A1634="","",MONTH(A1634))</f>
        <v/>
      </c>
      <c r="C1634" s="52"/>
      <c r="D1634" s="52"/>
      <c r="E1634" s="52"/>
      <c r="F1634" s="53"/>
      <c r="G1634" s="52"/>
      <c r="H1634" s="54" t="str">
        <f aca="false">IF(E1634="","",E1634*N(F1634)*IF(G1634="",1,G1634))</f>
        <v/>
      </c>
      <c r="I1634" s="55" t="str">
        <f aca="false">IF(C1634="","",IFERROR(INDEX('DANH MỤC'!$B$5:$B$200,MATCH(C1634,'DANH MỤC'!$A$5:$A$200,0)),"⚠ Mã chưa có trong DANH MỤC"))</f>
        <v/>
      </c>
      <c r="J1634" s="52"/>
      <c r="K1634" s="52"/>
      <c r="L1634" s="52"/>
    </row>
    <row r="1635" customFormat="false" ht="15" hidden="false" customHeight="false" outlineLevel="0" collapsed="false">
      <c r="A1635" s="50"/>
      <c r="B1635" s="51" t="str">
        <f aca="false">IF(A1635="","",MONTH(A1635))</f>
        <v/>
      </c>
      <c r="C1635" s="52"/>
      <c r="D1635" s="52"/>
      <c r="E1635" s="52"/>
      <c r="F1635" s="53"/>
      <c r="G1635" s="52"/>
      <c r="H1635" s="54" t="str">
        <f aca="false">IF(E1635="","",E1635*N(F1635)*IF(G1635="",1,G1635))</f>
        <v/>
      </c>
      <c r="I1635" s="55" t="str">
        <f aca="false">IF(C1635="","",IFERROR(INDEX('DANH MỤC'!$B$5:$B$200,MATCH(C1635,'DANH MỤC'!$A$5:$A$200,0)),"⚠ Mã chưa có trong DANH MỤC"))</f>
        <v/>
      </c>
      <c r="J1635" s="52"/>
      <c r="K1635" s="52"/>
      <c r="L1635" s="52"/>
    </row>
    <row r="1636" customFormat="false" ht="15" hidden="false" customHeight="false" outlineLevel="0" collapsed="false">
      <c r="A1636" s="50"/>
      <c r="B1636" s="51" t="str">
        <f aca="false">IF(A1636="","",MONTH(A1636))</f>
        <v/>
      </c>
      <c r="C1636" s="52"/>
      <c r="D1636" s="52"/>
      <c r="E1636" s="52"/>
      <c r="F1636" s="53"/>
      <c r="G1636" s="52"/>
      <c r="H1636" s="54" t="str">
        <f aca="false">IF(E1636="","",E1636*N(F1636)*IF(G1636="",1,G1636))</f>
        <v/>
      </c>
      <c r="I1636" s="55" t="str">
        <f aca="false">IF(C1636="","",IFERROR(INDEX('DANH MỤC'!$B$5:$B$200,MATCH(C1636,'DANH MỤC'!$A$5:$A$200,0)),"⚠ Mã chưa có trong DANH MỤC"))</f>
        <v/>
      </c>
      <c r="J1636" s="52"/>
      <c r="K1636" s="52"/>
      <c r="L1636" s="52"/>
    </row>
    <row r="1637" customFormat="false" ht="15" hidden="false" customHeight="false" outlineLevel="0" collapsed="false">
      <c r="A1637" s="50"/>
      <c r="B1637" s="51" t="str">
        <f aca="false">IF(A1637="","",MONTH(A1637))</f>
        <v/>
      </c>
      <c r="C1637" s="52"/>
      <c r="D1637" s="52"/>
      <c r="E1637" s="52"/>
      <c r="F1637" s="53"/>
      <c r="G1637" s="52"/>
      <c r="H1637" s="54" t="str">
        <f aca="false">IF(E1637="","",E1637*N(F1637)*IF(G1637="",1,G1637))</f>
        <v/>
      </c>
      <c r="I1637" s="55" t="str">
        <f aca="false">IF(C1637="","",IFERROR(INDEX('DANH MỤC'!$B$5:$B$200,MATCH(C1637,'DANH MỤC'!$A$5:$A$200,0)),"⚠ Mã chưa có trong DANH MỤC"))</f>
        <v/>
      </c>
      <c r="J1637" s="52"/>
      <c r="K1637" s="52"/>
      <c r="L1637" s="52"/>
    </row>
    <row r="1638" customFormat="false" ht="15" hidden="false" customHeight="false" outlineLevel="0" collapsed="false">
      <c r="A1638" s="50"/>
      <c r="B1638" s="51" t="str">
        <f aca="false">IF(A1638="","",MONTH(A1638))</f>
        <v/>
      </c>
      <c r="C1638" s="52"/>
      <c r="D1638" s="52"/>
      <c r="E1638" s="52"/>
      <c r="F1638" s="53"/>
      <c r="G1638" s="52"/>
      <c r="H1638" s="54" t="str">
        <f aca="false">IF(E1638="","",E1638*N(F1638)*IF(G1638="",1,G1638))</f>
        <v/>
      </c>
      <c r="I1638" s="55" t="str">
        <f aca="false">IF(C1638="","",IFERROR(INDEX('DANH MỤC'!$B$5:$B$200,MATCH(C1638,'DANH MỤC'!$A$5:$A$200,0)),"⚠ Mã chưa có trong DANH MỤC"))</f>
        <v/>
      </c>
      <c r="J1638" s="52"/>
      <c r="K1638" s="52"/>
      <c r="L1638" s="52"/>
    </row>
    <row r="1639" customFormat="false" ht="15" hidden="false" customHeight="false" outlineLevel="0" collapsed="false">
      <c r="A1639" s="50"/>
      <c r="B1639" s="51" t="str">
        <f aca="false">IF(A1639="","",MONTH(A1639))</f>
        <v/>
      </c>
      <c r="C1639" s="52"/>
      <c r="D1639" s="52"/>
      <c r="E1639" s="52"/>
      <c r="F1639" s="53"/>
      <c r="G1639" s="52"/>
      <c r="H1639" s="54" t="str">
        <f aca="false">IF(E1639="","",E1639*N(F1639)*IF(G1639="",1,G1639))</f>
        <v/>
      </c>
      <c r="I1639" s="55" t="str">
        <f aca="false">IF(C1639="","",IFERROR(INDEX('DANH MỤC'!$B$5:$B$200,MATCH(C1639,'DANH MỤC'!$A$5:$A$200,0)),"⚠ Mã chưa có trong DANH MỤC"))</f>
        <v/>
      </c>
      <c r="J1639" s="52"/>
      <c r="K1639" s="52"/>
      <c r="L1639" s="52"/>
    </row>
    <row r="1640" customFormat="false" ht="15" hidden="false" customHeight="false" outlineLevel="0" collapsed="false">
      <c r="A1640" s="50"/>
      <c r="B1640" s="51" t="str">
        <f aca="false">IF(A1640="","",MONTH(A1640))</f>
        <v/>
      </c>
      <c r="C1640" s="52"/>
      <c r="D1640" s="52"/>
      <c r="E1640" s="52"/>
      <c r="F1640" s="53"/>
      <c r="G1640" s="52"/>
      <c r="H1640" s="54" t="str">
        <f aca="false">IF(E1640="","",E1640*N(F1640)*IF(G1640="",1,G1640))</f>
        <v/>
      </c>
      <c r="I1640" s="55" t="str">
        <f aca="false">IF(C1640="","",IFERROR(INDEX('DANH MỤC'!$B$5:$B$200,MATCH(C1640,'DANH MỤC'!$A$5:$A$200,0)),"⚠ Mã chưa có trong DANH MỤC"))</f>
        <v/>
      </c>
      <c r="J1640" s="52"/>
      <c r="K1640" s="52"/>
      <c r="L1640" s="52"/>
    </row>
    <row r="1641" customFormat="false" ht="15" hidden="false" customHeight="false" outlineLevel="0" collapsed="false">
      <c r="A1641" s="50"/>
      <c r="B1641" s="51" t="str">
        <f aca="false">IF(A1641="","",MONTH(A1641))</f>
        <v/>
      </c>
      <c r="C1641" s="52"/>
      <c r="D1641" s="52"/>
      <c r="E1641" s="52"/>
      <c r="F1641" s="53"/>
      <c r="G1641" s="52"/>
      <c r="H1641" s="54" t="str">
        <f aca="false">IF(E1641="","",E1641*N(F1641)*IF(G1641="",1,G1641))</f>
        <v/>
      </c>
      <c r="I1641" s="55" t="str">
        <f aca="false">IF(C1641="","",IFERROR(INDEX('DANH MỤC'!$B$5:$B$200,MATCH(C1641,'DANH MỤC'!$A$5:$A$200,0)),"⚠ Mã chưa có trong DANH MỤC"))</f>
        <v/>
      </c>
      <c r="J1641" s="52"/>
      <c r="K1641" s="52"/>
      <c r="L1641" s="52"/>
    </row>
    <row r="1642" customFormat="false" ht="15" hidden="false" customHeight="false" outlineLevel="0" collapsed="false">
      <c r="A1642" s="50"/>
      <c r="B1642" s="51" t="str">
        <f aca="false">IF(A1642="","",MONTH(A1642))</f>
        <v/>
      </c>
      <c r="C1642" s="52"/>
      <c r="D1642" s="52"/>
      <c r="E1642" s="52"/>
      <c r="F1642" s="53"/>
      <c r="G1642" s="52"/>
      <c r="H1642" s="54" t="str">
        <f aca="false">IF(E1642="","",E1642*N(F1642)*IF(G1642="",1,G1642))</f>
        <v/>
      </c>
      <c r="I1642" s="55" t="str">
        <f aca="false">IF(C1642="","",IFERROR(INDEX('DANH MỤC'!$B$5:$B$200,MATCH(C1642,'DANH MỤC'!$A$5:$A$200,0)),"⚠ Mã chưa có trong DANH MỤC"))</f>
        <v/>
      </c>
      <c r="J1642" s="52"/>
      <c r="K1642" s="52"/>
      <c r="L1642" s="52"/>
    </row>
    <row r="1643" customFormat="false" ht="15" hidden="false" customHeight="false" outlineLevel="0" collapsed="false">
      <c r="A1643" s="50"/>
      <c r="B1643" s="51" t="str">
        <f aca="false">IF(A1643="","",MONTH(A1643))</f>
        <v/>
      </c>
      <c r="C1643" s="52"/>
      <c r="D1643" s="52"/>
      <c r="E1643" s="52"/>
      <c r="F1643" s="53"/>
      <c r="G1643" s="52"/>
      <c r="H1643" s="54" t="str">
        <f aca="false">IF(E1643="","",E1643*N(F1643)*IF(G1643="",1,G1643))</f>
        <v/>
      </c>
      <c r="I1643" s="55" t="str">
        <f aca="false">IF(C1643="","",IFERROR(INDEX('DANH MỤC'!$B$5:$B$200,MATCH(C1643,'DANH MỤC'!$A$5:$A$200,0)),"⚠ Mã chưa có trong DANH MỤC"))</f>
        <v/>
      </c>
      <c r="J1643" s="52"/>
      <c r="K1643" s="52"/>
      <c r="L1643" s="52"/>
    </row>
    <row r="1644" customFormat="false" ht="15" hidden="false" customHeight="false" outlineLevel="0" collapsed="false">
      <c r="A1644" s="50"/>
      <c r="B1644" s="51" t="str">
        <f aca="false">IF(A1644="","",MONTH(A1644))</f>
        <v/>
      </c>
      <c r="C1644" s="52"/>
      <c r="D1644" s="52"/>
      <c r="E1644" s="52"/>
      <c r="F1644" s="53"/>
      <c r="G1644" s="52"/>
      <c r="H1644" s="54" t="str">
        <f aca="false">IF(E1644="","",E1644*N(F1644)*IF(G1644="",1,G1644))</f>
        <v/>
      </c>
      <c r="I1644" s="55" t="str">
        <f aca="false">IF(C1644="","",IFERROR(INDEX('DANH MỤC'!$B$5:$B$200,MATCH(C1644,'DANH MỤC'!$A$5:$A$200,0)),"⚠ Mã chưa có trong DANH MỤC"))</f>
        <v/>
      </c>
      <c r="J1644" s="52"/>
      <c r="K1644" s="52"/>
      <c r="L1644" s="52"/>
    </row>
    <row r="1645" customFormat="false" ht="15" hidden="false" customHeight="false" outlineLevel="0" collapsed="false">
      <c r="A1645" s="50"/>
      <c r="B1645" s="51" t="str">
        <f aca="false">IF(A1645="","",MONTH(A1645))</f>
        <v/>
      </c>
      <c r="C1645" s="52"/>
      <c r="D1645" s="52"/>
      <c r="E1645" s="52"/>
      <c r="F1645" s="53"/>
      <c r="G1645" s="52"/>
      <c r="H1645" s="54" t="str">
        <f aca="false">IF(E1645="","",E1645*N(F1645)*IF(G1645="",1,G1645))</f>
        <v/>
      </c>
      <c r="I1645" s="55" t="str">
        <f aca="false">IF(C1645="","",IFERROR(INDEX('DANH MỤC'!$B$5:$B$200,MATCH(C1645,'DANH MỤC'!$A$5:$A$200,0)),"⚠ Mã chưa có trong DANH MỤC"))</f>
        <v/>
      </c>
      <c r="J1645" s="52"/>
      <c r="K1645" s="52"/>
      <c r="L1645" s="52"/>
    </row>
    <row r="1646" customFormat="false" ht="15" hidden="false" customHeight="false" outlineLevel="0" collapsed="false">
      <c r="A1646" s="50"/>
      <c r="B1646" s="51" t="str">
        <f aca="false">IF(A1646="","",MONTH(A1646))</f>
        <v/>
      </c>
      <c r="C1646" s="52"/>
      <c r="D1646" s="52"/>
      <c r="E1646" s="52"/>
      <c r="F1646" s="53"/>
      <c r="G1646" s="52"/>
      <c r="H1646" s="54" t="str">
        <f aca="false">IF(E1646="","",E1646*N(F1646)*IF(G1646="",1,G1646))</f>
        <v/>
      </c>
      <c r="I1646" s="55" t="str">
        <f aca="false">IF(C1646="","",IFERROR(INDEX('DANH MỤC'!$B$5:$B$200,MATCH(C1646,'DANH MỤC'!$A$5:$A$200,0)),"⚠ Mã chưa có trong DANH MỤC"))</f>
        <v/>
      </c>
      <c r="J1646" s="52"/>
      <c r="K1646" s="52"/>
      <c r="L1646" s="52"/>
    </row>
    <row r="1647" customFormat="false" ht="15" hidden="false" customHeight="false" outlineLevel="0" collapsed="false">
      <c r="A1647" s="50"/>
      <c r="B1647" s="51" t="str">
        <f aca="false">IF(A1647="","",MONTH(A1647))</f>
        <v/>
      </c>
      <c r="C1647" s="52"/>
      <c r="D1647" s="52"/>
      <c r="E1647" s="52"/>
      <c r="F1647" s="53"/>
      <c r="G1647" s="52"/>
      <c r="H1647" s="54" t="str">
        <f aca="false">IF(E1647="","",E1647*N(F1647)*IF(G1647="",1,G1647))</f>
        <v/>
      </c>
      <c r="I1647" s="55" t="str">
        <f aca="false">IF(C1647="","",IFERROR(INDEX('DANH MỤC'!$B$5:$B$200,MATCH(C1647,'DANH MỤC'!$A$5:$A$200,0)),"⚠ Mã chưa có trong DANH MỤC"))</f>
        <v/>
      </c>
      <c r="J1647" s="52"/>
      <c r="K1647" s="52"/>
      <c r="L1647" s="52"/>
    </row>
    <row r="1648" customFormat="false" ht="15" hidden="false" customHeight="false" outlineLevel="0" collapsed="false">
      <c r="A1648" s="50"/>
      <c r="B1648" s="51" t="str">
        <f aca="false">IF(A1648="","",MONTH(A1648))</f>
        <v/>
      </c>
      <c r="C1648" s="52"/>
      <c r="D1648" s="52"/>
      <c r="E1648" s="52"/>
      <c r="F1648" s="53"/>
      <c r="G1648" s="52"/>
      <c r="H1648" s="54" t="str">
        <f aca="false">IF(E1648="","",E1648*N(F1648)*IF(G1648="",1,G1648))</f>
        <v/>
      </c>
      <c r="I1648" s="55" t="str">
        <f aca="false">IF(C1648="","",IFERROR(INDEX('DANH MỤC'!$B$5:$B$200,MATCH(C1648,'DANH MỤC'!$A$5:$A$200,0)),"⚠ Mã chưa có trong DANH MỤC"))</f>
        <v/>
      </c>
      <c r="J1648" s="52"/>
      <c r="K1648" s="52"/>
      <c r="L1648" s="52"/>
    </row>
    <row r="1649" customFormat="false" ht="15" hidden="false" customHeight="false" outlineLevel="0" collapsed="false">
      <c r="A1649" s="50"/>
      <c r="B1649" s="51" t="str">
        <f aca="false">IF(A1649="","",MONTH(A1649))</f>
        <v/>
      </c>
      <c r="C1649" s="52"/>
      <c r="D1649" s="52"/>
      <c r="E1649" s="52"/>
      <c r="F1649" s="53"/>
      <c r="G1649" s="52"/>
      <c r="H1649" s="54" t="str">
        <f aca="false">IF(E1649="","",E1649*N(F1649)*IF(G1649="",1,G1649))</f>
        <v/>
      </c>
      <c r="I1649" s="55" t="str">
        <f aca="false">IF(C1649="","",IFERROR(INDEX('DANH MỤC'!$B$5:$B$200,MATCH(C1649,'DANH MỤC'!$A$5:$A$200,0)),"⚠ Mã chưa có trong DANH MỤC"))</f>
        <v/>
      </c>
      <c r="J1649" s="52"/>
      <c r="K1649" s="52"/>
      <c r="L1649" s="52"/>
    </row>
    <row r="1650" customFormat="false" ht="15" hidden="false" customHeight="false" outlineLevel="0" collapsed="false">
      <c r="A1650" s="50"/>
      <c r="B1650" s="51" t="str">
        <f aca="false">IF(A1650="","",MONTH(A1650))</f>
        <v/>
      </c>
      <c r="C1650" s="52"/>
      <c r="D1650" s="52"/>
      <c r="E1650" s="52"/>
      <c r="F1650" s="53"/>
      <c r="G1650" s="52"/>
      <c r="H1650" s="54" t="str">
        <f aca="false">IF(E1650="","",E1650*N(F1650)*IF(G1650="",1,G1650))</f>
        <v/>
      </c>
      <c r="I1650" s="55" t="str">
        <f aca="false">IF(C1650="","",IFERROR(INDEX('DANH MỤC'!$B$5:$B$200,MATCH(C1650,'DANH MỤC'!$A$5:$A$200,0)),"⚠ Mã chưa có trong DANH MỤC"))</f>
        <v/>
      </c>
      <c r="J1650" s="52"/>
      <c r="K1650" s="52"/>
      <c r="L1650" s="52"/>
    </row>
    <row r="1651" customFormat="false" ht="15" hidden="false" customHeight="false" outlineLevel="0" collapsed="false">
      <c r="A1651" s="50"/>
      <c r="B1651" s="51" t="str">
        <f aca="false">IF(A1651="","",MONTH(A1651))</f>
        <v/>
      </c>
      <c r="C1651" s="52"/>
      <c r="D1651" s="52"/>
      <c r="E1651" s="52"/>
      <c r="F1651" s="53"/>
      <c r="G1651" s="52"/>
      <c r="H1651" s="54" t="str">
        <f aca="false">IF(E1651="","",E1651*N(F1651)*IF(G1651="",1,G1651))</f>
        <v/>
      </c>
      <c r="I1651" s="55" t="str">
        <f aca="false">IF(C1651="","",IFERROR(INDEX('DANH MỤC'!$B$5:$B$200,MATCH(C1651,'DANH MỤC'!$A$5:$A$200,0)),"⚠ Mã chưa có trong DANH MỤC"))</f>
        <v/>
      </c>
      <c r="J1651" s="52"/>
      <c r="K1651" s="52"/>
      <c r="L1651" s="52"/>
    </row>
    <row r="1652" customFormat="false" ht="15" hidden="false" customHeight="false" outlineLevel="0" collapsed="false">
      <c r="A1652" s="50"/>
      <c r="B1652" s="51" t="str">
        <f aca="false">IF(A1652="","",MONTH(A1652))</f>
        <v/>
      </c>
      <c r="C1652" s="52"/>
      <c r="D1652" s="52"/>
      <c r="E1652" s="52"/>
      <c r="F1652" s="53"/>
      <c r="G1652" s="52"/>
      <c r="H1652" s="54" t="str">
        <f aca="false">IF(E1652="","",E1652*N(F1652)*IF(G1652="",1,G1652))</f>
        <v/>
      </c>
      <c r="I1652" s="55" t="str">
        <f aca="false">IF(C1652="","",IFERROR(INDEX('DANH MỤC'!$B$5:$B$200,MATCH(C1652,'DANH MỤC'!$A$5:$A$200,0)),"⚠ Mã chưa có trong DANH MỤC"))</f>
        <v/>
      </c>
      <c r="J1652" s="52"/>
      <c r="K1652" s="52"/>
      <c r="L1652" s="52"/>
    </row>
    <row r="1653" customFormat="false" ht="15" hidden="false" customHeight="false" outlineLevel="0" collapsed="false">
      <c r="A1653" s="50"/>
      <c r="B1653" s="51" t="str">
        <f aca="false">IF(A1653="","",MONTH(A1653))</f>
        <v/>
      </c>
      <c r="C1653" s="52"/>
      <c r="D1653" s="52"/>
      <c r="E1653" s="52"/>
      <c r="F1653" s="53"/>
      <c r="G1653" s="52"/>
      <c r="H1653" s="54" t="str">
        <f aca="false">IF(E1653="","",E1653*N(F1653)*IF(G1653="",1,G1653))</f>
        <v/>
      </c>
      <c r="I1653" s="55" t="str">
        <f aca="false">IF(C1653="","",IFERROR(INDEX('DANH MỤC'!$B$5:$B$200,MATCH(C1653,'DANH MỤC'!$A$5:$A$200,0)),"⚠ Mã chưa có trong DANH MỤC"))</f>
        <v/>
      </c>
      <c r="J1653" s="52"/>
      <c r="K1653" s="52"/>
      <c r="L1653" s="52"/>
    </row>
    <row r="1654" customFormat="false" ht="15" hidden="false" customHeight="false" outlineLevel="0" collapsed="false">
      <c r="A1654" s="50"/>
      <c r="B1654" s="51" t="str">
        <f aca="false">IF(A1654="","",MONTH(A1654))</f>
        <v/>
      </c>
      <c r="C1654" s="52"/>
      <c r="D1654" s="52"/>
      <c r="E1654" s="52"/>
      <c r="F1654" s="53"/>
      <c r="G1654" s="52"/>
      <c r="H1654" s="54" t="str">
        <f aca="false">IF(E1654="","",E1654*N(F1654)*IF(G1654="",1,G1654))</f>
        <v/>
      </c>
      <c r="I1654" s="55" t="str">
        <f aca="false">IF(C1654="","",IFERROR(INDEX('DANH MỤC'!$B$5:$B$200,MATCH(C1654,'DANH MỤC'!$A$5:$A$200,0)),"⚠ Mã chưa có trong DANH MỤC"))</f>
        <v/>
      </c>
      <c r="J1654" s="52"/>
      <c r="K1654" s="52"/>
      <c r="L1654" s="52"/>
    </row>
    <row r="1655" customFormat="false" ht="15" hidden="false" customHeight="false" outlineLevel="0" collapsed="false">
      <c r="A1655" s="50"/>
      <c r="B1655" s="51" t="str">
        <f aca="false">IF(A1655="","",MONTH(A1655))</f>
        <v/>
      </c>
      <c r="C1655" s="52"/>
      <c r="D1655" s="52"/>
      <c r="E1655" s="52"/>
      <c r="F1655" s="53"/>
      <c r="G1655" s="52"/>
      <c r="H1655" s="54" t="str">
        <f aca="false">IF(E1655="","",E1655*N(F1655)*IF(G1655="",1,G1655))</f>
        <v/>
      </c>
      <c r="I1655" s="55" t="str">
        <f aca="false">IF(C1655="","",IFERROR(INDEX('DANH MỤC'!$B$5:$B$200,MATCH(C1655,'DANH MỤC'!$A$5:$A$200,0)),"⚠ Mã chưa có trong DANH MỤC"))</f>
        <v/>
      </c>
      <c r="J1655" s="52"/>
      <c r="K1655" s="52"/>
      <c r="L1655" s="52"/>
    </row>
    <row r="1656" customFormat="false" ht="15" hidden="false" customHeight="false" outlineLevel="0" collapsed="false">
      <c r="A1656" s="50"/>
      <c r="B1656" s="51" t="str">
        <f aca="false">IF(A1656="","",MONTH(A1656))</f>
        <v/>
      </c>
      <c r="C1656" s="52"/>
      <c r="D1656" s="52"/>
      <c r="E1656" s="52"/>
      <c r="F1656" s="53"/>
      <c r="G1656" s="52"/>
      <c r="H1656" s="54" t="str">
        <f aca="false">IF(E1656="","",E1656*N(F1656)*IF(G1656="",1,G1656))</f>
        <v/>
      </c>
      <c r="I1656" s="55" t="str">
        <f aca="false">IF(C1656="","",IFERROR(INDEX('DANH MỤC'!$B$5:$B$200,MATCH(C1656,'DANH MỤC'!$A$5:$A$200,0)),"⚠ Mã chưa có trong DANH MỤC"))</f>
        <v/>
      </c>
      <c r="J1656" s="52"/>
      <c r="K1656" s="52"/>
      <c r="L1656" s="52"/>
    </row>
    <row r="1657" customFormat="false" ht="15" hidden="false" customHeight="false" outlineLevel="0" collapsed="false">
      <c r="A1657" s="50"/>
      <c r="B1657" s="51" t="str">
        <f aca="false">IF(A1657="","",MONTH(A1657))</f>
        <v/>
      </c>
      <c r="C1657" s="52"/>
      <c r="D1657" s="52"/>
      <c r="E1657" s="52"/>
      <c r="F1657" s="53"/>
      <c r="G1657" s="52"/>
      <c r="H1657" s="54" t="str">
        <f aca="false">IF(E1657="","",E1657*N(F1657)*IF(G1657="",1,G1657))</f>
        <v/>
      </c>
      <c r="I1657" s="55" t="str">
        <f aca="false">IF(C1657="","",IFERROR(INDEX('DANH MỤC'!$B$5:$B$200,MATCH(C1657,'DANH MỤC'!$A$5:$A$200,0)),"⚠ Mã chưa có trong DANH MỤC"))</f>
        <v/>
      </c>
      <c r="J1657" s="52"/>
      <c r="K1657" s="52"/>
      <c r="L1657" s="52"/>
    </row>
    <row r="1658" customFormat="false" ht="15" hidden="false" customHeight="false" outlineLevel="0" collapsed="false">
      <c r="A1658" s="50"/>
      <c r="B1658" s="51" t="str">
        <f aca="false">IF(A1658="","",MONTH(A1658))</f>
        <v/>
      </c>
      <c r="C1658" s="52"/>
      <c r="D1658" s="52"/>
      <c r="E1658" s="52"/>
      <c r="F1658" s="53"/>
      <c r="G1658" s="52"/>
      <c r="H1658" s="54" t="str">
        <f aca="false">IF(E1658="","",E1658*N(F1658)*IF(G1658="",1,G1658))</f>
        <v/>
      </c>
      <c r="I1658" s="55" t="str">
        <f aca="false">IF(C1658="","",IFERROR(INDEX('DANH MỤC'!$B$5:$B$200,MATCH(C1658,'DANH MỤC'!$A$5:$A$200,0)),"⚠ Mã chưa có trong DANH MỤC"))</f>
        <v/>
      </c>
      <c r="J1658" s="52"/>
      <c r="K1658" s="52"/>
      <c r="L1658" s="52"/>
    </row>
    <row r="1659" customFormat="false" ht="15" hidden="false" customHeight="false" outlineLevel="0" collapsed="false">
      <c r="A1659" s="50"/>
      <c r="B1659" s="51" t="str">
        <f aca="false">IF(A1659="","",MONTH(A1659))</f>
        <v/>
      </c>
      <c r="C1659" s="52"/>
      <c r="D1659" s="52"/>
      <c r="E1659" s="52"/>
      <c r="F1659" s="53"/>
      <c r="G1659" s="52"/>
      <c r="H1659" s="54" t="str">
        <f aca="false">IF(E1659="","",E1659*N(F1659)*IF(G1659="",1,G1659))</f>
        <v/>
      </c>
      <c r="I1659" s="55" t="str">
        <f aca="false">IF(C1659="","",IFERROR(INDEX('DANH MỤC'!$B$5:$B$200,MATCH(C1659,'DANH MỤC'!$A$5:$A$200,0)),"⚠ Mã chưa có trong DANH MỤC"))</f>
        <v/>
      </c>
      <c r="J1659" s="52"/>
      <c r="K1659" s="52"/>
      <c r="L1659" s="52"/>
    </row>
    <row r="1660" customFormat="false" ht="15" hidden="false" customHeight="false" outlineLevel="0" collapsed="false">
      <c r="A1660" s="50"/>
      <c r="B1660" s="51" t="str">
        <f aca="false">IF(A1660="","",MONTH(A1660))</f>
        <v/>
      </c>
      <c r="C1660" s="52"/>
      <c r="D1660" s="52"/>
      <c r="E1660" s="52"/>
      <c r="F1660" s="53"/>
      <c r="G1660" s="52"/>
      <c r="H1660" s="54" t="str">
        <f aca="false">IF(E1660="","",E1660*N(F1660)*IF(G1660="",1,G1660))</f>
        <v/>
      </c>
      <c r="I1660" s="55" t="str">
        <f aca="false">IF(C1660="","",IFERROR(INDEX('DANH MỤC'!$B$5:$B$200,MATCH(C1660,'DANH MỤC'!$A$5:$A$200,0)),"⚠ Mã chưa có trong DANH MỤC"))</f>
        <v/>
      </c>
      <c r="J1660" s="52"/>
      <c r="K1660" s="52"/>
      <c r="L1660" s="52"/>
    </row>
    <row r="1661" customFormat="false" ht="15" hidden="false" customHeight="false" outlineLevel="0" collapsed="false">
      <c r="A1661" s="50"/>
      <c r="B1661" s="51" t="str">
        <f aca="false">IF(A1661="","",MONTH(A1661))</f>
        <v/>
      </c>
      <c r="C1661" s="52"/>
      <c r="D1661" s="52"/>
      <c r="E1661" s="52"/>
      <c r="F1661" s="53"/>
      <c r="G1661" s="52"/>
      <c r="H1661" s="54" t="str">
        <f aca="false">IF(E1661="","",E1661*N(F1661)*IF(G1661="",1,G1661))</f>
        <v/>
      </c>
      <c r="I1661" s="55" t="str">
        <f aca="false">IF(C1661="","",IFERROR(INDEX('DANH MỤC'!$B$5:$B$200,MATCH(C1661,'DANH MỤC'!$A$5:$A$200,0)),"⚠ Mã chưa có trong DANH MỤC"))</f>
        <v/>
      </c>
      <c r="J1661" s="52"/>
      <c r="K1661" s="52"/>
      <c r="L1661" s="52"/>
    </row>
    <row r="1662" customFormat="false" ht="15" hidden="false" customHeight="false" outlineLevel="0" collapsed="false">
      <c r="A1662" s="50"/>
      <c r="B1662" s="51" t="str">
        <f aca="false">IF(A1662="","",MONTH(A1662))</f>
        <v/>
      </c>
      <c r="C1662" s="52"/>
      <c r="D1662" s="52"/>
      <c r="E1662" s="52"/>
      <c r="F1662" s="53"/>
      <c r="G1662" s="52"/>
      <c r="H1662" s="54" t="str">
        <f aca="false">IF(E1662="","",E1662*N(F1662)*IF(G1662="",1,G1662))</f>
        <v/>
      </c>
      <c r="I1662" s="55" t="str">
        <f aca="false">IF(C1662="","",IFERROR(INDEX('DANH MỤC'!$B$5:$B$200,MATCH(C1662,'DANH MỤC'!$A$5:$A$200,0)),"⚠ Mã chưa có trong DANH MỤC"))</f>
        <v/>
      </c>
      <c r="J1662" s="52"/>
      <c r="K1662" s="52"/>
      <c r="L1662" s="52"/>
    </row>
    <row r="1663" customFormat="false" ht="15" hidden="false" customHeight="false" outlineLevel="0" collapsed="false">
      <c r="A1663" s="50"/>
      <c r="B1663" s="51" t="str">
        <f aca="false">IF(A1663="","",MONTH(A1663))</f>
        <v/>
      </c>
      <c r="C1663" s="52"/>
      <c r="D1663" s="52"/>
      <c r="E1663" s="52"/>
      <c r="F1663" s="53"/>
      <c r="G1663" s="52"/>
      <c r="H1663" s="54" t="str">
        <f aca="false">IF(E1663="","",E1663*N(F1663)*IF(G1663="",1,G1663))</f>
        <v/>
      </c>
      <c r="I1663" s="55" t="str">
        <f aca="false">IF(C1663="","",IFERROR(INDEX('DANH MỤC'!$B$5:$B$200,MATCH(C1663,'DANH MỤC'!$A$5:$A$200,0)),"⚠ Mã chưa có trong DANH MỤC"))</f>
        <v/>
      </c>
      <c r="J1663" s="52"/>
      <c r="K1663" s="52"/>
      <c r="L1663" s="52"/>
    </row>
    <row r="1664" customFormat="false" ht="15" hidden="false" customHeight="false" outlineLevel="0" collapsed="false">
      <c r="A1664" s="50"/>
      <c r="B1664" s="51" t="str">
        <f aca="false">IF(A1664="","",MONTH(A1664))</f>
        <v/>
      </c>
      <c r="C1664" s="52"/>
      <c r="D1664" s="52"/>
      <c r="E1664" s="52"/>
      <c r="F1664" s="53"/>
      <c r="G1664" s="52"/>
      <c r="H1664" s="54" t="str">
        <f aca="false">IF(E1664="","",E1664*N(F1664)*IF(G1664="",1,G1664))</f>
        <v/>
      </c>
      <c r="I1664" s="55" t="str">
        <f aca="false">IF(C1664="","",IFERROR(INDEX('DANH MỤC'!$B$5:$B$200,MATCH(C1664,'DANH MỤC'!$A$5:$A$200,0)),"⚠ Mã chưa có trong DANH MỤC"))</f>
        <v/>
      </c>
      <c r="J1664" s="52"/>
      <c r="K1664" s="52"/>
      <c r="L1664" s="52"/>
    </row>
    <row r="1665" customFormat="false" ht="15" hidden="false" customHeight="false" outlineLevel="0" collapsed="false">
      <c r="A1665" s="50"/>
      <c r="B1665" s="51" t="str">
        <f aca="false">IF(A1665="","",MONTH(A1665))</f>
        <v/>
      </c>
      <c r="C1665" s="52"/>
      <c r="D1665" s="52"/>
      <c r="E1665" s="52"/>
      <c r="F1665" s="53"/>
      <c r="G1665" s="52"/>
      <c r="H1665" s="54" t="str">
        <f aca="false">IF(E1665="","",E1665*N(F1665)*IF(G1665="",1,G1665))</f>
        <v/>
      </c>
      <c r="I1665" s="55" t="str">
        <f aca="false">IF(C1665="","",IFERROR(INDEX('DANH MỤC'!$B$5:$B$200,MATCH(C1665,'DANH MỤC'!$A$5:$A$200,0)),"⚠ Mã chưa có trong DANH MỤC"))</f>
        <v/>
      </c>
      <c r="J1665" s="52"/>
      <c r="K1665" s="52"/>
      <c r="L1665" s="52"/>
    </row>
    <row r="1666" customFormat="false" ht="15" hidden="false" customHeight="false" outlineLevel="0" collapsed="false">
      <c r="A1666" s="50"/>
      <c r="B1666" s="51" t="str">
        <f aca="false">IF(A1666="","",MONTH(A1666))</f>
        <v/>
      </c>
      <c r="C1666" s="52"/>
      <c r="D1666" s="52"/>
      <c r="E1666" s="52"/>
      <c r="F1666" s="53"/>
      <c r="G1666" s="52"/>
      <c r="H1666" s="54" t="str">
        <f aca="false">IF(E1666="","",E1666*N(F1666)*IF(G1666="",1,G1666))</f>
        <v/>
      </c>
      <c r="I1666" s="55" t="str">
        <f aca="false">IF(C1666="","",IFERROR(INDEX('DANH MỤC'!$B$5:$B$200,MATCH(C1666,'DANH MỤC'!$A$5:$A$200,0)),"⚠ Mã chưa có trong DANH MỤC"))</f>
        <v/>
      </c>
      <c r="J1666" s="52"/>
      <c r="K1666" s="52"/>
      <c r="L1666" s="52"/>
    </row>
    <row r="1667" customFormat="false" ht="15" hidden="false" customHeight="false" outlineLevel="0" collapsed="false">
      <c r="A1667" s="50"/>
      <c r="B1667" s="51" t="str">
        <f aca="false">IF(A1667="","",MONTH(A1667))</f>
        <v/>
      </c>
      <c r="C1667" s="52"/>
      <c r="D1667" s="52"/>
      <c r="E1667" s="52"/>
      <c r="F1667" s="53"/>
      <c r="G1667" s="52"/>
      <c r="H1667" s="54" t="str">
        <f aca="false">IF(E1667="","",E1667*N(F1667)*IF(G1667="",1,G1667))</f>
        <v/>
      </c>
      <c r="I1667" s="55" t="str">
        <f aca="false">IF(C1667="","",IFERROR(INDEX('DANH MỤC'!$B$5:$B$200,MATCH(C1667,'DANH MỤC'!$A$5:$A$200,0)),"⚠ Mã chưa có trong DANH MỤC"))</f>
        <v/>
      </c>
      <c r="J1667" s="52"/>
      <c r="K1667" s="52"/>
      <c r="L1667" s="52"/>
    </row>
    <row r="1668" customFormat="false" ht="15" hidden="false" customHeight="false" outlineLevel="0" collapsed="false">
      <c r="A1668" s="50"/>
      <c r="B1668" s="51" t="str">
        <f aca="false">IF(A1668="","",MONTH(A1668))</f>
        <v/>
      </c>
      <c r="C1668" s="52"/>
      <c r="D1668" s="52"/>
      <c r="E1668" s="52"/>
      <c r="F1668" s="53"/>
      <c r="G1668" s="52"/>
      <c r="H1668" s="54" t="str">
        <f aca="false">IF(E1668="","",E1668*N(F1668)*IF(G1668="",1,G1668))</f>
        <v/>
      </c>
      <c r="I1668" s="55" t="str">
        <f aca="false">IF(C1668="","",IFERROR(INDEX('DANH MỤC'!$B$5:$B$200,MATCH(C1668,'DANH MỤC'!$A$5:$A$200,0)),"⚠ Mã chưa có trong DANH MỤC"))</f>
        <v/>
      </c>
      <c r="J1668" s="52"/>
      <c r="K1668" s="52"/>
      <c r="L1668" s="52"/>
    </row>
    <row r="1669" customFormat="false" ht="15" hidden="false" customHeight="false" outlineLevel="0" collapsed="false">
      <c r="A1669" s="50"/>
      <c r="B1669" s="51" t="str">
        <f aca="false">IF(A1669="","",MONTH(A1669))</f>
        <v/>
      </c>
      <c r="C1669" s="52"/>
      <c r="D1669" s="52"/>
      <c r="E1669" s="52"/>
      <c r="F1669" s="53"/>
      <c r="G1669" s="52"/>
      <c r="H1669" s="54" t="str">
        <f aca="false">IF(E1669="","",E1669*N(F1669)*IF(G1669="",1,G1669))</f>
        <v/>
      </c>
      <c r="I1669" s="55" t="str">
        <f aca="false">IF(C1669="","",IFERROR(INDEX('DANH MỤC'!$B$5:$B$200,MATCH(C1669,'DANH MỤC'!$A$5:$A$200,0)),"⚠ Mã chưa có trong DANH MỤC"))</f>
        <v/>
      </c>
      <c r="J1669" s="52"/>
      <c r="K1669" s="52"/>
      <c r="L1669" s="52"/>
    </row>
    <row r="1670" customFormat="false" ht="15" hidden="false" customHeight="false" outlineLevel="0" collapsed="false">
      <c r="A1670" s="50"/>
      <c r="B1670" s="51" t="str">
        <f aca="false">IF(A1670="","",MONTH(A1670))</f>
        <v/>
      </c>
      <c r="C1670" s="52"/>
      <c r="D1670" s="52"/>
      <c r="E1670" s="52"/>
      <c r="F1670" s="53"/>
      <c r="G1670" s="52"/>
      <c r="H1670" s="54" t="str">
        <f aca="false">IF(E1670="","",E1670*N(F1670)*IF(G1670="",1,G1670))</f>
        <v/>
      </c>
      <c r="I1670" s="55" t="str">
        <f aca="false">IF(C1670="","",IFERROR(INDEX('DANH MỤC'!$B$5:$B$200,MATCH(C1670,'DANH MỤC'!$A$5:$A$200,0)),"⚠ Mã chưa có trong DANH MỤC"))</f>
        <v/>
      </c>
      <c r="J1670" s="52"/>
      <c r="K1670" s="52"/>
      <c r="L1670" s="52"/>
    </row>
    <row r="1671" customFormat="false" ht="15" hidden="false" customHeight="false" outlineLevel="0" collapsed="false">
      <c r="A1671" s="50"/>
      <c r="B1671" s="51" t="str">
        <f aca="false">IF(A1671="","",MONTH(A1671))</f>
        <v/>
      </c>
      <c r="C1671" s="52"/>
      <c r="D1671" s="52"/>
      <c r="E1671" s="52"/>
      <c r="F1671" s="53"/>
      <c r="G1671" s="52"/>
      <c r="H1671" s="54" t="str">
        <f aca="false">IF(E1671="","",E1671*N(F1671)*IF(G1671="",1,G1671))</f>
        <v/>
      </c>
      <c r="I1671" s="55" t="str">
        <f aca="false">IF(C1671="","",IFERROR(INDEX('DANH MỤC'!$B$5:$B$200,MATCH(C1671,'DANH MỤC'!$A$5:$A$200,0)),"⚠ Mã chưa có trong DANH MỤC"))</f>
        <v/>
      </c>
      <c r="J1671" s="52"/>
      <c r="K1671" s="52"/>
      <c r="L1671" s="52"/>
    </row>
    <row r="1672" customFormat="false" ht="15" hidden="false" customHeight="false" outlineLevel="0" collapsed="false">
      <c r="A1672" s="50"/>
      <c r="B1672" s="51" t="str">
        <f aca="false">IF(A1672="","",MONTH(A1672))</f>
        <v/>
      </c>
      <c r="C1672" s="52"/>
      <c r="D1672" s="52"/>
      <c r="E1672" s="52"/>
      <c r="F1672" s="53"/>
      <c r="G1672" s="52"/>
      <c r="H1672" s="54" t="str">
        <f aca="false">IF(E1672="","",E1672*N(F1672)*IF(G1672="",1,G1672))</f>
        <v/>
      </c>
      <c r="I1672" s="55" t="str">
        <f aca="false">IF(C1672="","",IFERROR(INDEX('DANH MỤC'!$B$5:$B$200,MATCH(C1672,'DANH MỤC'!$A$5:$A$200,0)),"⚠ Mã chưa có trong DANH MỤC"))</f>
        <v/>
      </c>
      <c r="J1672" s="52"/>
      <c r="K1672" s="52"/>
      <c r="L1672" s="52"/>
    </row>
    <row r="1673" customFormat="false" ht="15" hidden="false" customHeight="false" outlineLevel="0" collapsed="false">
      <c r="A1673" s="50"/>
      <c r="B1673" s="51" t="str">
        <f aca="false">IF(A1673="","",MONTH(A1673))</f>
        <v/>
      </c>
      <c r="C1673" s="52"/>
      <c r="D1673" s="52"/>
      <c r="E1673" s="52"/>
      <c r="F1673" s="53"/>
      <c r="G1673" s="52"/>
      <c r="H1673" s="54" t="str">
        <f aca="false">IF(E1673="","",E1673*N(F1673)*IF(G1673="",1,G1673))</f>
        <v/>
      </c>
      <c r="I1673" s="55" t="str">
        <f aca="false">IF(C1673="","",IFERROR(INDEX('DANH MỤC'!$B$5:$B$200,MATCH(C1673,'DANH MỤC'!$A$5:$A$200,0)),"⚠ Mã chưa có trong DANH MỤC"))</f>
        <v/>
      </c>
      <c r="J1673" s="52"/>
      <c r="K1673" s="52"/>
      <c r="L1673" s="52"/>
    </row>
    <row r="1674" customFormat="false" ht="15" hidden="false" customHeight="false" outlineLevel="0" collapsed="false">
      <c r="A1674" s="50"/>
      <c r="B1674" s="51" t="str">
        <f aca="false">IF(A1674="","",MONTH(A1674))</f>
        <v/>
      </c>
      <c r="C1674" s="52"/>
      <c r="D1674" s="52"/>
      <c r="E1674" s="52"/>
      <c r="F1674" s="53"/>
      <c r="G1674" s="52"/>
      <c r="H1674" s="54" t="str">
        <f aca="false">IF(E1674="","",E1674*N(F1674)*IF(G1674="",1,G1674))</f>
        <v/>
      </c>
      <c r="I1674" s="55" t="str">
        <f aca="false">IF(C1674="","",IFERROR(INDEX('DANH MỤC'!$B$5:$B$200,MATCH(C1674,'DANH MỤC'!$A$5:$A$200,0)),"⚠ Mã chưa có trong DANH MỤC"))</f>
        <v/>
      </c>
      <c r="J1674" s="52"/>
      <c r="K1674" s="52"/>
      <c r="L1674" s="52"/>
    </row>
    <row r="1675" customFormat="false" ht="15" hidden="false" customHeight="false" outlineLevel="0" collapsed="false">
      <c r="A1675" s="50"/>
      <c r="B1675" s="51" t="str">
        <f aca="false">IF(A1675="","",MONTH(A1675))</f>
        <v/>
      </c>
      <c r="C1675" s="52"/>
      <c r="D1675" s="52"/>
      <c r="E1675" s="52"/>
      <c r="F1675" s="53"/>
      <c r="G1675" s="52"/>
      <c r="H1675" s="54" t="str">
        <f aca="false">IF(E1675="","",E1675*N(F1675)*IF(G1675="",1,G1675))</f>
        <v/>
      </c>
      <c r="I1675" s="55" t="str">
        <f aca="false">IF(C1675="","",IFERROR(INDEX('DANH MỤC'!$B$5:$B$200,MATCH(C1675,'DANH MỤC'!$A$5:$A$200,0)),"⚠ Mã chưa có trong DANH MỤC"))</f>
        <v/>
      </c>
      <c r="J1675" s="52"/>
      <c r="K1675" s="52"/>
      <c r="L1675" s="52"/>
    </row>
    <row r="1676" customFormat="false" ht="15" hidden="false" customHeight="false" outlineLevel="0" collapsed="false">
      <c r="A1676" s="50"/>
      <c r="B1676" s="51" t="str">
        <f aca="false">IF(A1676="","",MONTH(A1676))</f>
        <v/>
      </c>
      <c r="C1676" s="52"/>
      <c r="D1676" s="52"/>
      <c r="E1676" s="52"/>
      <c r="F1676" s="53"/>
      <c r="G1676" s="52"/>
      <c r="H1676" s="54" t="str">
        <f aca="false">IF(E1676="","",E1676*N(F1676)*IF(G1676="",1,G1676))</f>
        <v/>
      </c>
      <c r="I1676" s="55" t="str">
        <f aca="false">IF(C1676="","",IFERROR(INDEX('DANH MỤC'!$B$5:$B$200,MATCH(C1676,'DANH MỤC'!$A$5:$A$200,0)),"⚠ Mã chưa có trong DANH MỤC"))</f>
        <v/>
      </c>
      <c r="J1676" s="52"/>
      <c r="K1676" s="52"/>
      <c r="L1676" s="52"/>
    </row>
    <row r="1677" customFormat="false" ht="15" hidden="false" customHeight="false" outlineLevel="0" collapsed="false">
      <c r="A1677" s="50"/>
      <c r="B1677" s="51" t="str">
        <f aca="false">IF(A1677="","",MONTH(A1677))</f>
        <v/>
      </c>
      <c r="C1677" s="52"/>
      <c r="D1677" s="52"/>
      <c r="E1677" s="52"/>
      <c r="F1677" s="53"/>
      <c r="G1677" s="52"/>
      <c r="H1677" s="54" t="str">
        <f aca="false">IF(E1677="","",E1677*N(F1677)*IF(G1677="",1,G1677))</f>
        <v/>
      </c>
      <c r="I1677" s="55" t="str">
        <f aca="false">IF(C1677="","",IFERROR(INDEX('DANH MỤC'!$B$5:$B$200,MATCH(C1677,'DANH MỤC'!$A$5:$A$200,0)),"⚠ Mã chưa có trong DANH MỤC"))</f>
        <v/>
      </c>
      <c r="J1677" s="52"/>
      <c r="K1677" s="52"/>
      <c r="L1677" s="52"/>
    </row>
    <row r="1678" customFormat="false" ht="15" hidden="false" customHeight="false" outlineLevel="0" collapsed="false">
      <c r="A1678" s="50"/>
      <c r="B1678" s="51" t="str">
        <f aca="false">IF(A1678="","",MONTH(A1678))</f>
        <v/>
      </c>
      <c r="C1678" s="52"/>
      <c r="D1678" s="52"/>
      <c r="E1678" s="52"/>
      <c r="F1678" s="53"/>
      <c r="G1678" s="52"/>
      <c r="H1678" s="54" t="str">
        <f aca="false">IF(E1678="","",E1678*N(F1678)*IF(G1678="",1,G1678))</f>
        <v/>
      </c>
      <c r="I1678" s="55" t="str">
        <f aca="false">IF(C1678="","",IFERROR(INDEX('DANH MỤC'!$B$5:$B$200,MATCH(C1678,'DANH MỤC'!$A$5:$A$200,0)),"⚠ Mã chưa có trong DANH MỤC"))</f>
        <v/>
      </c>
      <c r="J1678" s="52"/>
      <c r="K1678" s="52"/>
      <c r="L1678" s="52"/>
    </row>
    <row r="1679" customFormat="false" ht="15" hidden="false" customHeight="false" outlineLevel="0" collapsed="false">
      <c r="A1679" s="50"/>
      <c r="B1679" s="51" t="str">
        <f aca="false">IF(A1679="","",MONTH(A1679))</f>
        <v/>
      </c>
      <c r="C1679" s="52"/>
      <c r="D1679" s="52"/>
      <c r="E1679" s="52"/>
      <c r="F1679" s="53"/>
      <c r="G1679" s="52"/>
      <c r="H1679" s="54" t="str">
        <f aca="false">IF(E1679="","",E1679*N(F1679)*IF(G1679="",1,G1679))</f>
        <v/>
      </c>
      <c r="I1679" s="55" t="str">
        <f aca="false">IF(C1679="","",IFERROR(INDEX('DANH MỤC'!$B$5:$B$200,MATCH(C1679,'DANH MỤC'!$A$5:$A$200,0)),"⚠ Mã chưa có trong DANH MỤC"))</f>
        <v/>
      </c>
      <c r="J1679" s="52"/>
      <c r="K1679" s="52"/>
      <c r="L1679" s="52"/>
    </row>
    <row r="1680" customFormat="false" ht="15" hidden="false" customHeight="false" outlineLevel="0" collapsed="false">
      <c r="A1680" s="50"/>
      <c r="B1680" s="51" t="str">
        <f aca="false">IF(A1680="","",MONTH(A1680))</f>
        <v/>
      </c>
      <c r="C1680" s="52"/>
      <c r="D1680" s="52"/>
      <c r="E1680" s="52"/>
      <c r="F1680" s="53"/>
      <c r="G1680" s="52"/>
      <c r="H1680" s="54" t="str">
        <f aca="false">IF(E1680="","",E1680*N(F1680)*IF(G1680="",1,G1680))</f>
        <v/>
      </c>
      <c r="I1680" s="55" t="str">
        <f aca="false">IF(C1680="","",IFERROR(INDEX('DANH MỤC'!$B$5:$B$200,MATCH(C1680,'DANH MỤC'!$A$5:$A$200,0)),"⚠ Mã chưa có trong DANH MỤC"))</f>
        <v/>
      </c>
      <c r="J1680" s="52"/>
      <c r="K1680" s="52"/>
      <c r="L1680" s="52"/>
    </row>
    <row r="1681" customFormat="false" ht="15" hidden="false" customHeight="false" outlineLevel="0" collapsed="false">
      <c r="A1681" s="50"/>
      <c r="B1681" s="51" t="str">
        <f aca="false">IF(A1681="","",MONTH(A1681))</f>
        <v/>
      </c>
      <c r="C1681" s="52"/>
      <c r="D1681" s="52"/>
      <c r="E1681" s="52"/>
      <c r="F1681" s="53"/>
      <c r="G1681" s="52"/>
      <c r="H1681" s="54" t="str">
        <f aca="false">IF(E1681="","",E1681*N(F1681)*IF(G1681="",1,G1681))</f>
        <v/>
      </c>
      <c r="I1681" s="55" t="str">
        <f aca="false">IF(C1681="","",IFERROR(INDEX('DANH MỤC'!$B$5:$B$200,MATCH(C1681,'DANH MỤC'!$A$5:$A$200,0)),"⚠ Mã chưa có trong DANH MỤC"))</f>
        <v/>
      </c>
      <c r="J1681" s="52"/>
      <c r="K1681" s="52"/>
      <c r="L1681" s="52"/>
    </row>
    <row r="1682" customFormat="false" ht="15" hidden="false" customHeight="false" outlineLevel="0" collapsed="false">
      <c r="A1682" s="50"/>
      <c r="B1682" s="51" t="str">
        <f aca="false">IF(A1682="","",MONTH(A1682))</f>
        <v/>
      </c>
      <c r="C1682" s="52"/>
      <c r="D1682" s="52"/>
      <c r="E1682" s="52"/>
      <c r="F1682" s="53"/>
      <c r="G1682" s="52"/>
      <c r="H1682" s="54" t="str">
        <f aca="false">IF(E1682="","",E1682*N(F1682)*IF(G1682="",1,G1682))</f>
        <v/>
      </c>
      <c r="I1682" s="55" t="str">
        <f aca="false">IF(C1682="","",IFERROR(INDEX('DANH MỤC'!$B$5:$B$200,MATCH(C1682,'DANH MỤC'!$A$5:$A$200,0)),"⚠ Mã chưa có trong DANH MỤC"))</f>
        <v/>
      </c>
      <c r="J1682" s="52"/>
      <c r="K1682" s="52"/>
      <c r="L1682" s="52"/>
    </row>
    <row r="1683" customFormat="false" ht="15" hidden="false" customHeight="false" outlineLevel="0" collapsed="false">
      <c r="A1683" s="50"/>
      <c r="B1683" s="51" t="str">
        <f aca="false">IF(A1683="","",MONTH(A1683))</f>
        <v/>
      </c>
      <c r="C1683" s="52"/>
      <c r="D1683" s="52"/>
      <c r="E1683" s="52"/>
      <c r="F1683" s="53"/>
      <c r="G1683" s="52"/>
      <c r="H1683" s="54" t="str">
        <f aca="false">IF(E1683="","",E1683*N(F1683)*IF(G1683="",1,G1683))</f>
        <v/>
      </c>
      <c r="I1683" s="55" t="str">
        <f aca="false">IF(C1683="","",IFERROR(INDEX('DANH MỤC'!$B$5:$B$200,MATCH(C1683,'DANH MỤC'!$A$5:$A$200,0)),"⚠ Mã chưa có trong DANH MỤC"))</f>
        <v/>
      </c>
      <c r="J1683" s="52"/>
      <c r="K1683" s="52"/>
      <c r="L1683" s="52"/>
    </row>
    <row r="1684" customFormat="false" ht="15" hidden="false" customHeight="false" outlineLevel="0" collapsed="false">
      <c r="A1684" s="50"/>
      <c r="B1684" s="51" t="str">
        <f aca="false">IF(A1684="","",MONTH(A1684))</f>
        <v/>
      </c>
      <c r="C1684" s="52"/>
      <c r="D1684" s="52"/>
      <c r="E1684" s="52"/>
      <c r="F1684" s="53"/>
      <c r="G1684" s="52"/>
      <c r="H1684" s="54" t="str">
        <f aca="false">IF(E1684="","",E1684*N(F1684)*IF(G1684="",1,G1684))</f>
        <v/>
      </c>
      <c r="I1684" s="55" t="str">
        <f aca="false">IF(C1684="","",IFERROR(INDEX('DANH MỤC'!$B$5:$B$200,MATCH(C1684,'DANH MỤC'!$A$5:$A$200,0)),"⚠ Mã chưa có trong DANH MỤC"))</f>
        <v/>
      </c>
      <c r="J1684" s="52"/>
      <c r="K1684" s="52"/>
      <c r="L1684" s="52"/>
    </row>
    <row r="1685" customFormat="false" ht="15" hidden="false" customHeight="false" outlineLevel="0" collapsed="false">
      <c r="A1685" s="50"/>
      <c r="B1685" s="51" t="str">
        <f aca="false">IF(A1685="","",MONTH(A1685))</f>
        <v/>
      </c>
      <c r="C1685" s="52"/>
      <c r="D1685" s="52"/>
      <c r="E1685" s="52"/>
      <c r="F1685" s="53"/>
      <c r="G1685" s="52"/>
      <c r="H1685" s="54" t="str">
        <f aca="false">IF(E1685="","",E1685*N(F1685)*IF(G1685="",1,G1685))</f>
        <v/>
      </c>
      <c r="I1685" s="55" t="str">
        <f aca="false">IF(C1685="","",IFERROR(INDEX('DANH MỤC'!$B$5:$B$200,MATCH(C1685,'DANH MỤC'!$A$5:$A$200,0)),"⚠ Mã chưa có trong DANH MỤC"))</f>
        <v/>
      </c>
      <c r="J1685" s="52"/>
      <c r="K1685" s="52"/>
      <c r="L1685" s="52"/>
    </row>
    <row r="1686" customFormat="false" ht="15" hidden="false" customHeight="false" outlineLevel="0" collapsed="false">
      <c r="A1686" s="50"/>
      <c r="B1686" s="51" t="str">
        <f aca="false">IF(A1686="","",MONTH(A1686))</f>
        <v/>
      </c>
      <c r="C1686" s="52"/>
      <c r="D1686" s="52"/>
      <c r="E1686" s="52"/>
      <c r="F1686" s="53"/>
      <c r="G1686" s="52"/>
      <c r="H1686" s="54" t="str">
        <f aca="false">IF(E1686="","",E1686*N(F1686)*IF(G1686="",1,G1686))</f>
        <v/>
      </c>
      <c r="I1686" s="55" t="str">
        <f aca="false">IF(C1686="","",IFERROR(INDEX('DANH MỤC'!$B$5:$B$200,MATCH(C1686,'DANH MỤC'!$A$5:$A$200,0)),"⚠ Mã chưa có trong DANH MỤC"))</f>
        <v/>
      </c>
      <c r="J1686" s="52"/>
      <c r="K1686" s="52"/>
      <c r="L1686" s="52"/>
    </row>
    <row r="1687" customFormat="false" ht="15" hidden="false" customHeight="false" outlineLevel="0" collapsed="false">
      <c r="A1687" s="50"/>
      <c r="B1687" s="51" t="str">
        <f aca="false">IF(A1687="","",MONTH(A1687))</f>
        <v/>
      </c>
      <c r="C1687" s="52"/>
      <c r="D1687" s="52"/>
      <c r="E1687" s="52"/>
      <c r="F1687" s="53"/>
      <c r="G1687" s="52"/>
      <c r="H1687" s="54" t="str">
        <f aca="false">IF(E1687="","",E1687*N(F1687)*IF(G1687="",1,G1687))</f>
        <v/>
      </c>
      <c r="I1687" s="55" t="str">
        <f aca="false">IF(C1687="","",IFERROR(INDEX('DANH MỤC'!$B$5:$B$200,MATCH(C1687,'DANH MỤC'!$A$5:$A$200,0)),"⚠ Mã chưa có trong DANH MỤC"))</f>
        <v/>
      </c>
      <c r="J1687" s="52"/>
      <c r="K1687" s="52"/>
      <c r="L1687" s="52"/>
    </row>
    <row r="1688" customFormat="false" ht="15" hidden="false" customHeight="false" outlineLevel="0" collapsed="false">
      <c r="A1688" s="50"/>
      <c r="B1688" s="51" t="str">
        <f aca="false">IF(A1688="","",MONTH(A1688))</f>
        <v/>
      </c>
      <c r="C1688" s="52"/>
      <c r="D1688" s="52"/>
      <c r="E1688" s="52"/>
      <c r="F1688" s="53"/>
      <c r="G1688" s="52"/>
      <c r="H1688" s="54" t="str">
        <f aca="false">IF(E1688="","",E1688*N(F1688)*IF(G1688="",1,G1688))</f>
        <v/>
      </c>
      <c r="I1688" s="55" t="str">
        <f aca="false">IF(C1688="","",IFERROR(INDEX('DANH MỤC'!$B$5:$B$200,MATCH(C1688,'DANH MỤC'!$A$5:$A$200,0)),"⚠ Mã chưa có trong DANH MỤC"))</f>
        <v/>
      </c>
      <c r="J1688" s="52"/>
      <c r="K1688" s="52"/>
      <c r="L1688" s="52"/>
    </row>
    <row r="1689" customFormat="false" ht="15" hidden="false" customHeight="false" outlineLevel="0" collapsed="false">
      <c r="A1689" s="50"/>
      <c r="B1689" s="51" t="str">
        <f aca="false">IF(A1689="","",MONTH(A1689))</f>
        <v/>
      </c>
      <c r="C1689" s="52"/>
      <c r="D1689" s="52"/>
      <c r="E1689" s="52"/>
      <c r="F1689" s="53"/>
      <c r="G1689" s="52"/>
      <c r="H1689" s="54" t="str">
        <f aca="false">IF(E1689="","",E1689*N(F1689)*IF(G1689="",1,G1689))</f>
        <v/>
      </c>
      <c r="I1689" s="55" t="str">
        <f aca="false">IF(C1689="","",IFERROR(INDEX('DANH MỤC'!$B$5:$B$200,MATCH(C1689,'DANH MỤC'!$A$5:$A$200,0)),"⚠ Mã chưa có trong DANH MỤC"))</f>
        <v/>
      </c>
      <c r="J1689" s="52"/>
      <c r="K1689" s="52"/>
      <c r="L1689" s="52"/>
    </row>
    <row r="1690" customFormat="false" ht="15" hidden="false" customHeight="false" outlineLevel="0" collapsed="false">
      <c r="A1690" s="50"/>
      <c r="B1690" s="51" t="str">
        <f aca="false">IF(A1690="","",MONTH(A1690))</f>
        <v/>
      </c>
      <c r="C1690" s="52"/>
      <c r="D1690" s="52"/>
      <c r="E1690" s="52"/>
      <c r="F1690" s="53"/>
      <c r="G1690" s="52"/>
      <c r="H1690" s="54" t="str">
        <f aca="false">IF(E1690="","",E1690*N(F1690)*IF(G1690="",1,G1690))</f>
        <v/>
      </c>
      <c r="I1690" s="55" t="str">
        <f aca="false">IF(C1690="","",IFERROR(INDEX('DANH MỤC'!$B$5:$B$200,MATCH(C1690,'DANH MỤC'!$A$5:$A$200,0)),"⚠ Mã chưa có trong DANH MỤC"))</f>
        <v/>
      </c>
      <c r="J1690" s="52"/>
      <c r="K1690" s="52"/>
      <c r="L1690" s="52"/>
    </row>
    <row r="1691" customFormat="false" ht="15" hidden="false" customHeight="false" outlineLevel="0" collapsed="false">
      <c r="A1691" s="50"/>
      <c r="B1691" s="51" t="str">
        <f aca="false">IF(A1691="","",MONTH(A1691))</f>
        <v/>
      </c>
      <c r="C1691" s="52"/>
      <c r="D1691" s="52"/>
      <c r="E1691" s="52"/>
      <c r="F1691" s="53"/>
      <c r="G1691" s="52"/>
      <c r="H1691" s="54" t="str">
        <f aca="false">IF(E1691="","",E1691*N(F1691)*IF(G1691="",1,G1691))</f>
        <v/>
      </c>
      <c r="I1691" s="55" t="str">
        <f aca="false">IF(C1691="","",IFERROR(INDEX('DANH MỤC'!$B$5:$B$200,MATCH(C1691,'DANH MỤC'!$A$5:$A$200,0)),"⚠ Mã chưa có trong DANH MỤC"))</f>
        <v/>
      </c>
      <c r="J1691" s="52"/>
      <c r="K1691" s="52"/>
      <c r="L1691" s="52"/>
    </row>
    <row r="1692" customFormat="false" ht="15" hidden="false" customHeight="false" outlineLevel="0" collapsed="false">
      <c r="A1692" s="50"/>
      <c r="B1692" s="51" t="str">
        <f aca="false">IF(A1692="","",MONTH(A1692))</f>
        <v/>
      </c>
      <c r="C1692" s="52"/>
      <c r="D1692" s="52"/>
      <c r="E1692" s="52"/>
      <c r="F1692" s="53"/>
      <c r="G1692" s="52"/>
      <c r="H1692" s="54" t="str">
        <f aca="false">IF(E1692="","",E1692*N(F1692)*IF(G1692="",1,G1692))</f>
        <v/>
      </c>
      <c r="I1692" s="55" t="str">
        <f aca="false">IF(C1692="","",IFERROR(INDEX('DANH MỤC'!$B$5:$B$200,MATCH(C1692,'DANH MỤC'!$A$5:$A$200,0)),"⚠ Mã chưa có trong DANH MỤC"))</f>
        <v/>
      </c>
      <c r="J1692" s="52"/>
      <c r="K1692" s="52"/>
      <c r="L1692" s="52"/>
    </row>
    <row r="1693" customFormat="false" ht="15" hidden="false" customHeight="false" outlineLevel="0" collapsed="false">
      <c r="A1693" s="50"/>
      <c r="B1693" s="51" t="str">
        <f aca="false">IF(A1693="","",MONTH(A1693))</f>
        <v/>
      </c>
      <c r="C1693" s="52"/>
      <c r="D1693" s="52"/>
      <c r="E1693" s="52"/>
      <c r="F1693" s="53"/>
      <c r="G1693" s="52"/>
      <c r="H1693" s="54" t="str">
        <f aca="false">IF(E1693="","",E1693*N(F1693)*IF(G1693="",1,G1693))</f>
        <v/>
      </c>
      <c r="I1693" s="55" t="str">
        <f aca="false">IF(C1693="","",IFERROR(INDEX('DANH MỤC'!$B$5:$B$200,MATCH(C1693,'DANH MỤC'!$A$5:$A$200,0)),"⚠ Mã chưa có trong DANH MỤC"))</f>
        <v/>
      </c>
      <c r="J1693" s="52"/>
      <c r="K1693" s="52"/>
      <c r="L1693" s="52"/>
    </row>
    <row r="1694" customFormat="false" ht="15" hidden="false" customHeight="false" outlineLevel="0" collapsed="false">
      <c r="A1694" s="50"/>
      <c r="B1694" s="51" t="str">
        <f aca="false">IF(A1694="","",MONTH(A1694))</f>
        <v/>
      </c>
      <c r="C1694" s="52"/>
      <c r="D1694" s="52"/>
      <c r="E1694" s="52"/>
      <c r="F1694" s="53"/>
      <c r="G1694" s="52"/>
      <c r="H1694" s="54" t="str">
        <f aca="false">IF(E1694="","",E1694*N(F1694)*IF(G1694="",1,G1694))</f>
        <v/>
      </c>
      <c r="I1694" s="55" t="str">
        <f aca="false">IF(C1694="","",IFERROR(INDEX('DANH MỤC'!$B$5:$B$200,MATCH(C1694,'DANH MỤC'!$A$5:$A$200,0)),"⚠ Mã chưa có trong DANH MỤC"))</f>
        <v/>
      </c>
      <c r="J1694" s="52"/>
      <c r="K1694" s="52"/>
      <c r="L1694" s="52"/>
    </row>
    <row r="1695" customFormat="false" ht="15" hidden="false" customHeight="false" outlineLevel="0" collapsed="false">
      <c r="A1695" s="50"/>
      <c r="B1695" s="51" t="str">
        <f aca="false">IF(A1695="","",MONTH(A1695))</f>
        <v/>
      </c>
      <c r="C1695" s="52"/>
      <c r="D1695" s="52"/>
      <c r="E1695" s="52"/>
      <c r="F1695" s="53"/>
      <c r="G1695" s="52"/>
      <c r="H1695" s="54" t="str">
        <f aca="false">IF(E1695="","",E1695*N(F1695)*IF(G1695="",1,G1695))</f>
        <v/>
      </c>
      <c r="I1695" s="55" t="str">
        <f aca="false">IF(C1695="","",IFERROR(INDEX('DANH MỤC'!$B$5:$B$200,MATCH(C1695,'DANH MỤC'!$A$5:$A$200,0)),"⚠ Mã chưa có trong DANH MỤC"))</f>
        <v/>
      </c>
      <c r="J1695" s="52"/>
      <c r="K1695" s="52"/>
      <c r="L1695" s="52"/>
    </row>
    <row r="1696" customFormat="false" ht="15" hidden="false" customHeight="false" outlineLevel="0" collapsed="false">
      <c r="A1696" s="50"/>
      <c r="B1696" s="51" t="str">
        <f aca="false">IF(A1696="","",MONTH(A1696))</f>
        <v/>
      </c>
      <c r="C1696" s="52"/>
      <c r="D1696" s="52"/>
      <c r="E1696" s="52"/>
      <c r="F1696" s="53"/>
      <c r="G1696" s="52"/>
      <c r="H1696" s="54" t="str">
        <f aca="false">IF(E1696="","",E1696*N(F1696)*IF(G1696="",1,G1696))</f>
        <v/>
      </c>
      <c r="I1696" s="55" t="str">
        <f aca="false">IF(C1696="","",IFERROR(INDEX('DANH MỤC'!$B$5:$B$200,MATCH(C1696,'DANH MỤC'!$A$5:$A$200,0)),"⚠ Mã chưa có trong DANH MỤC"))</f>
        <v/>
      </c>
      <c r="J1696" s="52"/>
      <c r="K1696" s="52"/>
      <c r="L1696" s="52"/>
    </row>
    <row r="1697" customFormat="false" ht="15" hidden="false" customHeight="false" outlineLevel="0" collapsed="false">
      <c r="A1697" s="50"/>
      <c r="B1697" s="51" t="str">
        <f aca="false">IF(A1697="","",MONTH(A1697))</f>
        <v/>
      </c>
      <c r="C1697" s="52"/>
      <c r="D1697" s="52"/>
      <c r="E1697" s="52"/>
      <c r="F1697" s="53"/>
      <c r="G1697" s="52"/>
      <c r="H1697" s="54" t="str">
        <f aca="false">IF(E1697="","",E1697*N(F1697)*IF(G1697="",1,G1697))</f>
        <v/>
      </c>
      <c r="I1697" s="55" t="str">
        <f aca="false">IF(C1697="","",IFERROR(INDEX('DANH MỤC'!$B$5:$B$200,MATCH(C1697,'DANH MỤC'!$A$5:$A$200,0)),"⚠ Mã chưa có trong DANH MỤC"))</f>
        <v/>
      </c>
      <c r="J1697" s="52"/>
      <c r="K1697" s="52"/>
      <c r="L1697" s="52"/>
    </row>
    <row r="1698" customFormat="false" ht="15" hidden="false" customHeight="false" outlineLevel="0" collapsed="false">
      <c r="A1698" s="50"/>
      <c r="B1698" s="51" t="str">
        <f aca="false">IF(A1698="","",MONTH(A1698))</f>
        <v/>
      </c>
      <c r="C1698" s="52"/>
      <c r="D1698" s="52"/>
      <c r="E1698" s="52"/>
      <c r="F1698" s="53"/>
      <c r="G1698" s="52"/>
      <c r="H1698" s="54" t="str">
        <f aca="false">IF(E1698="","",E1698*N(F1698)*IF(G1698="",1,G1698))</f>
        <v/>
      </c>
      <c r="I1698" s="55" t="str">
        <f aca="false">IF(C1698="","",IFERROR(INDEX('DANH MỤC'!$B$5:$B$200,MATCH(C1698,'DANH MỤC'!$A$5:$A$200,0)),"⚠ Mã chưa có trong DANH MỤC"))</f>
        <v/>
      </c>
      <c r="J1698" s="52"/>
      <c r="K1698" s="52"/>
      <c r="L1698" s="52"/>
    </row>
    <row r="1699" customFormat="false" ht="15" hidden="false" customHeight="false" outlineLevel="0" collapsed="false">
      <c r="A1699" s="50"/>
      <c r="B1699" s="51" t="str">
        <f aca="false">IF(A1699="","",MONTH(A1699))</f>
        <v/>
      </c>
      <c r="C1699" s="52"/>
      <c r="D1699" s="52"/>
      <c r="E1699" s="52"/>
      <c r="F1699" s="53"/>
      <c r="G1699" s="52"/>
      <c r="H1699" s="54" t="str">
        <f aca="false">IF(E1699="","",E1699*N(F1699)*IF(G1699="",1,G1699))</f>
        <v/>
      </c>
      <c r="I1699" s="55" t="str">
        <f aca="false">IF(C1699="","",IFERROR(INDEX('DANH MỤC'!$B$5:$B$200,MATCH(C1699,'DANH MỤC'!$A$5:$A$200,0)),"⚠ Mã chưa có trong DANH MỤC"))</f>
        <v/>
      </c>
      <c r="J1699" s="52"/>
      <c r="K1699" s="52"/>
      <c r="L1699" s="52"/>
    </row>
    <row r="1700" customFormat="false" ht="15" hidden="false" customHeight="false" outlineLevel="0" collapsed="false">
      <c r="A1700" s="50"/>
      <c r="B1700" s="51" t="str">
        <f aca="false">IF(A1700="","",MONTH(A1700))</f>
        <v/>
      </c>
      <c r="C1700" s="52"/>
      <c r="D1700" s="52"/>
      <c r="E1700" s="52"/>
      <c r="F1700" s="53"/>
      <c r="G1700" s="52"/>
      <c r="H1700" s="54" t="str">
        <f aca="false">IF(E1700="","",E1700*N(F1700)*IF(G1700="",1,G1700))</f>
        <v/>
      </c>
      <c r="I1700" s="55" t="str">
        <f aca="false">IF(C1700="","",IFERROR(INDEX('DANH MỤC'!$B$5:$B$200,MATCH(C1700,'DANH MỤC'!$A$5:$A$200,0)),"⚠ Mã chưa có trong DANH MỤC"))</f>
        <v/>
      </c>
      <c r="J1700" s="52"/>
      <c r="K1700" s="52"/>
      <c r="L1700" s="52"/>
    </row>
    <row r="1701" customFormat="false" ht="15" hidden="false" customHeight="false" outlineLevel="0" collapsed="false">
      <c r="A1701" s="50"/>
      <c r="B1701" s="51" t="str">
        <f aca="false">IF(A1701="","",MONTH(A1701))</f>
        <v/>
      </c>
      <c r="C1701" s="52"/>
      <c r="D1701" s="52"/>
      <c r="E1701" s="52"/>
      <c r="F1701" s="53"/>
      <c r="G1701" s="52"/>
      <c r="H1701" s="54" t="str">
        <f aca="false">IF(E1701="","",E1701*N(F1701)*IF(G1701="",1,G1701))</f>
        <v/>
      </c>
      <c r="I1701" s="55" t="str">
        <f aca="false">IF(C1701="","",IFERROR(INDEX('DANH MỤC'!$B$5:$B$200,MATCH(C1701,'DANH MỤC'!$A$5:$A$200,0)),"⚠ Mã chưa có trong DANH MỤC"))</f>
        <v/>
      </c>
      <c r="J1701" s="52"/>
      <c r="K1701" s="52"/>
      <c r="L1701" s="52"/>
    </row>
    <row r="1702" customFormat="false" ht="15" hidden="false" customHeight="false" outlineLevel="0" collapsed="false">
      <c r="A1702" s="50"/>
      <c r="B1702" s="51" t="str">
        <f aca="false">IF(A1702="","",MONTH(A1702))</f>
        <v/>
      </c>
      <c r="C1702" s="52"/>
      <c r="D1702" s="52"/>
      <c r="E1702" s="52"/>
      <c r="F1702" s="53"/>
      <c r="G1702" s="52"/>
      <c r="H1702" s="54" t="str">
        <f aca="false">IF(E1702="","",E1702*N(F1702)*IF(G1702="",1,G1702))</f>
        <v/>
      </c>
      <c r="I1702" s="55" t="str">
        <f aca="false">IF(C1702="","",IFERROR(INDEX('DANH MỤC'!$B$5:$B$200,MATCH(C1702,'DANH MỤC'!$A$5:$A$200,0)),"⚠ Mã chưa có trong DANH MỤC"))</f>
        <v/>
      </c>
      <c r="J1702" s="52"/>
      <c r="K1702" s="52"/>
      <c r="L1702" s="52"/>
    </row>
    <row r="1703" customFormat="false" ht="15" hidden="false" customHeight="false" outlineLevel="0" collapsed="false">
      <c r="A1703" s="50"/>
      <c r="B1703" s="51" t="str">
        <f aca="false">IF(A1703="","",MONTH(A1703))</f>
        <v/>
      </c>
      <c r="C1703" s="52"/>
      <c r="D1703" s="52"/>
      <c r="E1703" s="52"/>
      <c r="F1703" s="53"/>
      <c r="G1703" s="52"/>
      <c r="H1703" s="54" t="str">
        <f aca="false">IF(E1703="","",E1703*N(F1703)*IF(G1703="",1,G1703))</f>
        <v/>
      </c>
      <c r="I1703" s="55" t="str">
        <f aca="false">IF(C1703="","",IFERROR(INDEX('DANH MỤC'!$B$5:$B$200,MATCH(C1703,'DANH MỤC'!$A$5:$A$200,0)),"⚠ Mã chưa có trong DANH MỤC"))</f>
        <v/>
      </c>
      <c r="J1703" s="52"/>
      <c r="K1703" s="52"/>
      <c r="L1703" s="52"/>
    </row>
    <row r="1704" customFormat="false" ht="15" hidden="false" customHeight="false" outlineLevel="0" collapsed="false">
      <c r="A1704" s="50"/>
      <c r="B1704" s="51" t="str">
        <f aca="false">IF(A1704="","",MONTH(A1704))</f>
        <v/>
      </c>
      <c r="C1704" s="52"/>
      <c r="D1704" s="52"/>
      <c r="E1704" s="52"/>
      <c r="F1704" s="53"/>
      <c r="G1704" s="52"/>
      <c r="H1704" s="54" t="str">
        <f aca="false">IF(E1704="","",E1704*N(F1704)*IF(G1704="",1,G1704))</f>
        <v/>
      </c>
      <c r="I1704" s="55" t="str">
        <f aca="false">IF(C1704="","",IFERROR(INDEX('DANH MỤC'!$B$5:$B$200,MATCH(C1704,'DANH MỤC'!$A$5:$A$200,0)),"⚠ Mã chưa có trong DANH MỤC"))</f>
        <v/>
      </c>
      <c r="J1704" s="52"/>
      <c r="K1704" s="52"/>
      <c r="L1704" s="52"/>
    </row>
    <row r="1705" customFormat="false" ht="15" hidden="false" customHeight="false" outlineLevel="0" collapsed="false">
      <c r="A1705" s="50"/>
      <c r="B1705" s="51" t="str">
        <f aca="false">IF(A1705="","",MONTH(A1705))</f>
        <v/>
      </c>
      <c r="C1705" s="52"/>
      <c r="D1705" s="52"/>
      <c r="E1705" s="52"/>
      <c r="F1705" s="53"/>
      <c r="G1705" s="52"/>
      <c r="H1705" s="54" t="str">
        <f aca="false">IF(E1705="","",E1705*N(F1705)*IF(G1705="",1,G1705))</f>
        <v/>
      </c>
      <c r="I1705" s="55" t="str">
        <f aca="false">IF(C1705="","",IFERROR(INDEX('DANH MỤC'!$B$5:$B$200,MATCH(C1705,'DANH MỤC'!$A$5:$A$200,0)),"⚠ Mã chưa có trong DANH MỤC"))</f>
        <v/>
      </c>
      <c r="J1705" s="52"/>
      <c r="K1705" s="52"/>
      <c r="L1705" s="52"/>
    </row>
    <row r="1706" customFormat="false" ht="15" hidden="false" customHeight="false" outlineLevel="0" collapsed="false">
      <c r="A1706" s="50"/>
      <c r="B1706" s="51" t="str">
        <f aca="false">IF(A1706="","",MONTH(A1706))</f>
        <v/>
      </c>
      <c r="C1706" s="52"/>
      <c r="D1706" s="52"/>
      <c r="E1706" s="52"/>
      <c r="F1706" s="53"/>
      <c r="G1706" s="52"/>
      <c r="H1706" s="54" t="str">
        <f aca="false">IF(E1706="","",E1706*N(F1706)*IF(G1706="",1,G1706))</f>
        <v/>
      </c>
      <c r="I1706" s="55" t="str">
        <f aca="false">IF(C1706="","",IFERROR(INDEX('DANH MỤC'!$B$5:$B$200,MATCH(C1706,'DANH MỤC'!$A$5:$A$200,0)),"⚠ Mã chưa có trong DANH MỤC"))</f>
        <v/>
      </c>
      <c r="J1706" s="52"/>
      <c r="K1706" s="52"/>
      <c r="L1706" s="52"/>
    </row>
    <row r="1707" customFormat="false" ht="15" hidden="false" customHeight="false" outlineLevel="0" collapsed="false">
      <c r="A1707" s="50"/>
      <c r="B1707" s="51" t="str">
        <f aca="false">IF(A1707="","",MONTH(A1707))</f>
        <v/>
      </c>
      <c r="C1707" s="52"/>
      <c r="D1707" s="52"/>
      <c r="E1707" s="52"/>
      <c r="F1707" s="53"/>
      <c r="G1707" s="52"/>
      <c r="H1707" s="54" t="str">
        <f aca="false">IF(E1707="","",E1707*N(F1707)*IF(G1707="",1,G1707))</f>
        <v/>
      </c>
      <c r="I1707" s="55" t="str">
        <f aca="false">IF(C1707="","",IFERROR(INDEX('DANH MỤC'!$B$5:$B$200,MATCH(C1707,'DANH MỤC'!$A$5:$A$200,0)),"⚠ Mã chưa có trong DANH MỤC"))</f>
        <v/>
      </c>
      <c r="J1707" s="52"/>
      <c r="K1707" s="52"/>
      <c r="L1707" s="52"/>
    </row>
    <row r="1708" customFormat="false" ht="15" hidden="false" customHeight="false" outlineLevel="0" collapsed="false">
      <c r="A1708" s="50"/>
      <c r="B1708" s="51" t="str">
        <f aca="false">IF(A1708="","",MONTH(A1708))</f>
        <v/>
      </c>
      <c r="C1708" s="52"/>
      <c r="D1708" s="52"/>
      <c r="E1708" s="52"/>
      <c r="F1708" s="53"/>
      <c r="G1708" s="52"/>
      <c r="H1708" s="54" t="str">
        <f aca="false">IF(E1708="","",E1708*N(F1708)*IF(G1708="",1,G1708))</f>
        <v/>
      </c>
      <c r="I1708" s="55" t="str">
        <f aca="false">IF(C1708="","",IFERROR(INDEX('DANH MỤC'!$B$5:$B$200,MATCH(C1708,'DANH MỤC'!$A$5:$A$200,0)),"⚠ Mã chưa có trong DANH MỤC"))</f>
        <v/>
      </c>
      <c r="J1708" s="52"/>
      <c r="K1708" s="52"/>
      <c r="L1708" s="52"/>
    </row>
    <row r="1709" customFormat="false" ht="15" hidden="false" customHeight="false" outlineLevel="0" collapsed="false">
      <c r="A1709" s="50"/>
      <c r="B1709" s="51" t="str">
        <f aca="false">IF(A1709="","",MONTH(A1709))</f>
        <v/>
      </c>
      <c r="C1709" s="52"/>
      <c r="D1709" s="52"/>
      <c r="E1709" s="52"/>
      <c r="F1709" s="53"/>
      <c r="G1709" s="52"/>
      <c r="H1709" s="54" t="str">
        <f aca="false">IF(E1709="","",E1709*N(F1709)*IF(G1709="",1,G1709))</f>
        <v/>
      </c>
      <c r="I1709" s="55" t="str">
        <f aca="false">IF(C1709="","",IFERROR(INDEX('DANH MỤC'!$B$5:$B$200,MATCH(C1709,'DANH MỤC'!$A$5:$A$200,0)),"⚠ Mã chưa có trong DANH MỤC"))</f>
        <v/>
      </c>
      <c r="J1709" s="52"/>
      <c r="K1709" s="52"/>
      <c r="L1709" s="52"/>
    </row>
    <row r="1710" customFormat="false" ht="15" hidden="false" customHeight="false" outlineLevel="0" collapsed="false">
      <c r="A1710" s="50"/>
      <c r="B1710" s="51" t="str">
        <f aca="false">IF(A1710="","",MONTH(A1710))</f>
        <v/>
      </c>
      <c r="C1710" s="52"/>
      <c r="D1710" s="52"/>
      <c r="E1710" s="52"/>
      <c r="F1710" s="53"/>
      <c r="G1710" s="52"/>
      <c r="H1710" s="54" t="str">
        <f aca="false">IF(E1710="","",E1710*N(F1710)*IF(G1710="",1,G1710))</f>
        <v/>
      </c>
      <c r="I1710" s="55" t="str">
        <f aca="false">IF(C1710="","",IFERROR(INDEX('DANH MỤC'!$B$5:$B$200,MATCH(C1710,'DANH MỤC'!$A$5:$A$200,0)),"⚠ Mã chưa có trong DANH MỤC"))</f>
        <v/>
      </c>
      <c r="J1710" s="52"/>
      <c r="K1710" s="52"/>
      <c r="L1710" s="52"/>
    </row>
    <row r="1711" customFormat="false" ht="15" hidden="false" customHeight="false" outlineLevel="0" collapsed="false">
      <c r="A1711" s="50"/>
      <c r="B1711" s="51" t="str">
        <f aca="false">IF(A1711="","",MONTH(A1711))</f>
        <v/>
      </c>
      <c r="C1711" s="52"/>
      <c r="D1711" s="52"/>
      <c r="E1711" s="52"/>
      <c r="F1711" s="53"/>
      <c r="G1711" s="52"/>
      <c r="H1711" s="54" t="str">
        <f aca="false">IF(E1711="","",E1711*N(F1711)*IF(G1711="",1,G1711))</f>
        <v/>
      </c>
      <c r="I1711" s="55" t="str">
        <f aca="false">IF(C1711="","",IFERROR(INDEX('DANH MỤC'!$B$5:$B$200,MATCH(C1711,'DANH MỤC'!$A$5:$A$200,0)),"⚠ Mã chưa có trong DANH MỤC"))</f>
        <v/>
      </c>
      <c r="J1711" s="52"/>
      <c r="K1711" s="52"/>
      <c r="L1711" s="52"/>
    </row>
    <row r="1712" customFormat="false" ht="15" hidden="false" customHeight="false" outlineLevel="0" collapsed="false">
      <c r="A1712" s="50"/>
      <c r="B1712" s="51" t="str">
        <f aca="false">IF(A1712="","",MONTH(A1712))</f>
        <v/>
      </c>
      <c r="C1712" s="52"/>
      <c r="D1712" s="52"/>
      <c r="E1712" s="52"/>
      <c r="F1712" s="53"/>
      <c r="G1712" s="52"/>
      <c r="H1712" s="54" t="str">
        <f aca="false">IF(E1712="","",E1712*N(F1712)*IF(G1712="",1,G1712))</f>
        <v/>
      </c>
      <c r="I1712" s="55" t="str">
        <f aca="false">IF(C1712="","",IFERROR(INDEX('DANH MỤC'!$B$5:$B$200,MATCH(C1712,'DANH MỤC'!$A$5:$A$200,0)),"⚠ Mã chưa có trong DANH MỤC"))</f>
        <v/>
      </c>
      <c r="J1712" s="52"/>
      <c r="K1712" s="52"/>
      <c r="L1712" s="52"/>
    </row>
    <row r="1713" customFormat="false" ht="15" hidden="false" customHeight="false" outlineLevel="0" collapsed="false">
      <c r="A1713" s="50"/>
      <c r="B1713" s="51" t="str">
        <f aca="false">IF(A1713="","",MONTH(A1713))</f>
        <v/>
      </c>
      <c r="C1713" s="52"/>
      <c r="D1713" s="52"/>
      <c r="E1713" s="52"/>
      <c r="F1713" s="53"/>
      <c r="G1713" s="52"/>
      <c r="H1713" s="54" t="str">
        <f aca="false">IF(E1713="","",E1713*N(F1713)*IF(G1713="",1,G1713))</f>
        <v/>
      </c>
      <c r="I1713" s="55" t="str">
        <f aca="false">IF(C1713="","",IFERROR(INDEX('DANH MỤC'!$B$5:$B$200,MATCH(C1713,'DANH MỤC'!$A$5:$A$200,0)),"⚠ Mã chưa có trong DANH MỤC"))</f>
        <v/>
      </c>
      <c r="J1713" s="52"/>
      <c r="K1713" s="52"/>
      <c r="L1713" s="52"/>
    </row>
    <row r="1714" customFormat="false" ht="15" hidden="false" customHeight="false" outlineLevel="0" collapsed="false">
      <c r="A1714" s="50"/>
      <c r="B1714" s="51" t="str">
        <f aca="false">IF(A1714="","",MONTH(A1714))</f>
        <v/>
      </c>
      <c r="C1714" s="52"/>
      <c r="D1714" s="52"/>
      <c r="E1714" s="52"/>
      <c r="F1714" s="53"/>
      <c r="G1714" s="52"/>
      <c r="H1714" s="54" t="str">
        <f aca="false">IF(E1714="","",E1714*N(F1714)*IF(G1714="",1,G1714))</f>
        <v/>
      </c>
      <c r="I1714" s="55" t="str">
        <f aca="false">IF(C1714="","",IFERROR(INDEX('DANH MỤC'!$B$5:$B$200,MATCH(C1714,'DANH MỤC'!$A$5:$A$200,0)),"⚠ Mã chưa có trong DANH MỤC"))</f>
        <v/>
      </c>
      <c r="J1714" s="52"/>
      <c r="K1714" s="52"/>
      <c r="L1714" s="52"/>
    </row>
    <row r="1715" customFormat="false" ht="15" hidden="false" customHeight="false" outlineLevel="0" collapsed="false">
      <c r="A1715" s="50"/>
      <c r="B1715" s="51" t="str">
        <f aca="false">IF(A1715="","",MONTH(A1715))</f>
        <v/>
      </c>
      <c r="C1715" s="52"/>
      <c r="D1715" s="52"/>
      <c r="E1715" s="52"/>
      <c r="F1715" s="53"/>
      <c r="G1715" s="52"/>
      <c r="H1715" s="54" t="str">
        <f aca="false">IF(E1715="","",E1715*N(F1715)*IF(G1715="",1,G1715))</f>
        <v/>
      </c>
      <c r="I1715" s="55" t="str">
        <f aca="false">IF(C1715="","",IFERROR(INDEX('DANH MỤC'!$B$5:$B$200,MATCH(C1715,'DANH MỤC'!$A$5:$A$200,0)),"⚠ Mã chưa có trong DANH MỤC"))</f>
        <v/>
      </c>
      <c r="J1715" s="52"/>
      <c r="K1715" s="52"/>
      <c r="L1715" s="52"/>
    </row>
    <row r="1716" customFormat="false" ht="15" hidden="false" customHeight="false" outlineLevel="0" collapsed="false">
      <c r="A1716" s="50"/>
      <c r="B1716" s="51" t="str">
        <f aca="false">IF(A1716="","",MONTH(A1716))</f>
        <v/>
      </c>
      <c r="C1716" s="52"/>
      <c r="D1716" s="52"/>
      <c r="E1716" s="52"/>
      <c r="F1716" s="53"/>
      <c r="G1716" s="52"/>
      <c r="H1716" s="54" t="str">
        <f aca="false">IF(E1716="","",E1716*N(F1716)*IF(G1716="",1,G1716))</f>
        <v/>
      </c>
      <c r="I1716" s="55" t="str">
        <f aca="false">IF(C1716="","",IFERROR(INDEX('DANH MỤC'!$B$5:$B$200,MATCH(C1716,'DANH MỤC'!$A$5:$A$200,0)),"⚠ Mã chưa có trong DANH MỤC"))</f>
        <v/>
      </c>
      <c r="J1716" s="52"/>
      <c r="K1716" s="52"/>
      <c r="L1716" s="52"/>
    </row>
    <row r="1717" customFormat="false" ht="15" hidden="false" customHeight="false" outlineLevel="0" collapsed="false">
      <c r="A1717" s="50"/>
      <c r="B1717" s="51" t="str">
        <f aca="false">IF(A1717="","",MONTH(A1717))</f>
        <v/>
      </c>
      <c r="C1717" s="52"/>
      <c r="D1717" s="52"/>
      <c r="E1717" s="52"/>
      <c r="F1717" s="53"/>
      <c r="G1717" s="52"/>
      <c r="H1717" s="54" t="str">
        <f aca="false">IF(E1717="","",E1717*N(F1717)*IF(G1717="",1,G1717))</f>
        <v/>
      </c>
      <c r="I1717" s="55" t="str">
        <f aca="false">IF(C1717="","",IFERROR(INDEX('DANH MỤC'!$B$5:$B$200,MATCH(C1717,'DANH MỤC'!$A$5:$A$200,0)),"⚠ Mã chưa có trong DANH MỤC"))</f>
        <v/>
      </c>
      <c r="J1717" s="52"/>
      <c r="K1717" s="52"/>
      <c r="L1717" s="52"/>
    </row>
    <row r="1718" customFormat="false" ht="15" hidden="false" customHeight="false" outlineLevel="0" collapsed="false">
      <c r="A1718" s="50"/>
      <c r="B1718" s="51" t="str">
        <f aca="false">IF(A1718="","",MONTH(A1718))</f>
        <v/>
      </c>
      <c r="C1718" s="52"/>
      <c r="D1718" s="52"/>
      <c r="E1718" s="52"/>
      <c r="F1718" s="53"/>
      <c r="G1718" s="52"/>
      <c r="H1718" s="54" t="str">
        <f aca="false">IF(E1718="","",E1718*N(F1718)*IF(G1718="",1,G1718))</f>
        <v/>
      </c>
      <c r="I1718" s="55" t="str">
        <f aca="false">IF(C1718="","",IFERROR(INDEX('DANH MỤC'!$B$5:$B$200,MATCH(C1718,'DANH MỤC'!$A$5:$A$200,0)),"⚠ Mã chưa có trong DANH MỤC"))</f>
        <v/>
      </c>
      <c r="J1718" s="52"/>
      <c r="K1718" s="52"/>
      <c r="L1718" s="52"/>
    </row>
    <row r="1719" customFormat="false" ht="15" hidden="false" customHeight="false" outlineLevel="0" collapsed="false">
      <c r="A1719" s="50"/>
      <c r="B1719" s="51" t="str">
        <f aca="false">IF(A1719="","",MONTH(A1719))</f>
        <v/>
      </c>
      <c r="C1719" s="52"/>
      <c r="D1719" s="52"/>
      <c r="E1719" s="52"/>
      <c r="F1719" s="53"/>
      <c r="G1719" s="52"/>
      <c r="H1719" s="54" t="str">
        <f aca="false">IF(E1719="","",E1719*N(F1719)*IF(G1719="",1,G1719))</f>
        <v/>
      </c>
      <c r="I1719" s="55" t="str">
        <f aca="false">IF(C1719="","",IFERROR(INDEX('DANH MỤC'!$B$5:$B$200,MATCH(C1719,'DANH MỤC'!$A$5:$A$200,0)),"⚠ Mã chưa có trong DANH MỤC"))</f>
        <v/>
      </c>
      <c r="J1719" s="52"/>
      <c r="K1719" s="52"/>
      <c r="L1719" s="52"/>
    </row>
    <row r="1720" customFormat="false" ht="15" hidden="false" customHeight="false" outlineLevel="0" collapsed="false">
      <c r="A1720" s="50"/>
      <c r="B1720" s="51" t="str">
        <f aca="false">IF(A1720="","",MONTH(A1720))</f>
        <v/>
      </c>
      <c r="C1720" s="52"/>
      <c r="D1720" s="52"/>
      <c r="E1720" s="52"/>
      <c r="F1720" s="53"/>
      <c r="G1720" s="52"/>
      <c r="H1720" s="54" t="str">
        <f aca="false">IF(E1720="","",E1720*N(F1720)*IF(G1720="",1,G1720))</f>
        <v/>
      </c>
      <c r="I1720" s="55" t="str">
        <f aca="false">IF(C1720="","",IFERROR(INDEX('DANH MỤC'!$B$5:$B$200,MATCH(C1720,'DANH MỤC'!$A$5:$A$200,0)),"⚠ Mã chưa có trong DANH MỤC"))</f>
        <v/>
      </c>
      <c r="J1720" s="52"/>
      <c r="K1720" s="52"/>
      <c r="L1720" s="52"/>
    </row>
    <row r="1721" customFormat="false" ht="15" hidden="false" customHeight="false" outlineLevel="0" collapsed="false">
      <c r="A1721" s="50"/>
      <c r="B1721" s="51" t="str">
        <f aca="false">IF(A1721="","",MONTH(A1721))</f>
        <v/>
      </c>
      <c r="C1721" s="52"/>
      <c r="D1721" s="52"/>
      <c r="E1721" s="52"/>
      <c r="F1721" s="53"/>
      <c r="G1721" s="52"/>
      <c r="H1721" s="54" t="str">
        <f aca="false">IF(E1721="","",E1721*N(F1721)*IF(G1721="",1,G1721))</f>
        <v/>
      </c>
      <c r="I1721" s="55" t="str">
        <f aca="false">IF(C1721="","",IFERROR(INDEX('DANH MỤC'!$B$5:$B$200,MATCH(C1721,'DANH MỤC'!$A$5:$A$200,0)),"⚠ Mã chưa có trong DANH MỤC"))</f>
        <v/>
      </c>
      <c r="J1721" s="52"/>
      <c r="K1721" s="52"/>
      <c r="L1721" s="52"/>
    </row>
    <row r="1722" customFormat="false" ht="15" hidden="false" customHeight="false" outlineLevel="0" collapsed="false">
      <c r="A1722" s="50"/>
      <c r="B1722" s="51" t="str">
        <f aca="false">IF(A1722="","",MONTH(A1722))</f>
        <v/>
      </c>
      <c r="C1722" s="52"/>
      <c r="D1722" s="52"/>
      <c r="E1722" s="52"/>
      <c r="F1722" s="53"/>
      <c r="G1722" s="52"/>
      <c r="H1722" s="54" t="str">
        <f aca="false">IF(E1722="","",E1722*N(F1722)*IF(G1722="",1,G1722))</f>
        <v/>
      </c>
      <c r="I1722" s="55" t="str">
        <f aca="false">IF(C1722="","",IFERROR(INDEX('DANH MỤC'!$B$5:$B$200,MATCH(C1722,'DANH MỤC'!$A$5:$A$200,0)),"⚠ Mã chưa có trong DANH MỤC"))</f>
        <v/>
      </c>
      <c r="J1722" s="52"/>
      <c r="K1722" s="52"/>
      <c r="L1722" s="52"/>
    </row>
    <row r="1723" customFormat="false" ht="15" hidden="false" customHeight="false" outlineLevel="0" collapsed="false">
      <c r="A1723" s="50"/>
      <c r="B1723" s="51" t="str">
        <f aca="false">IF(A1723="","",MONTH(A1723))</f>
        <v/>
      </c>
      <c r="C1723" s="52"/>
      <c r="D1723" s="52"/>
      <c r="E1723" s="52"/>
      <c r="F1723" s="53"/>
      <c r="G1723" s="52"/>
      <c r="H1723" s="54" t="str">
        <f aca="false">IF(E1723="","",E1723*N(F1723)*IF(G1723="",1,G1723))</f>
        <v/>
      </c>
      <c r="I1723" s="55" t="str">
        <f aca="false">IF(C1723="","",IFERROR(INDEX('DANH MỤC'!$B$5:$B$200,MATCH(C1723,'DANH MỤC'!$A$5:$A$200,0)),"⚠ Mã chưa có trong DANH MỤC"))</f>
        <v/>
      </c>
      <c r="J1723" s="52"/>
      <c r="K1723" s="52"/>
      <c r="L1723" s="52"/>
    </row>
    <row r="1724" customFormat="false" ht="15" hidden="false" customHeight="false" outlineLevel="0" collapsed="false">
      <c r="A1724" s="50"/>
      <c r="B1724" s="51" t="str">
        <f aca="false">IF(A1724="","",MONTH(A1724))</f>
        <v/>
      </c>
      <c r="C1724" s="52"/>
      <c r="D1724" s="52"/>
      <c r="E1724" s="52"/>
      <c r="F1724" s="53"/>
      <c r="G1724" s="52"/>
      <c r="H1724" s="54" t="str">
        <f aca="false">IF(E1724="","",E1724*N(F1724)*IF(G1724="",1,G1724))</f>
        <v/>
      </c>
      <c r="I1724" s="55" t="str">
        <f aca="false">IF(C1724="","",IFERROR(INDEX('DANH MỤC'!$B$5:$B$200,MATCH(C1724,'DANH MỤC'!$A$5:$A$200,0)),"⚠ Mã chưa có trong DANH MỤC"))</f>
        <v/>
      </c>
      <c r="J1724" s="52"/>
      <c r="K1724" s="52"/>
      <c r="L1724" s="52"/>
    </row>
    <row r="1725" customFormat="false" ht="15" hidden="false" customHeight="false" outlineLevel="0" collapsed="false">
      <c r="A1725" s="50"/>
      <c r="B1725" s="51" t="str">
        <f aca="false">IF(A1725="","",MONTH(A1725))</f>
        <v/>
      </c>
      <c r="C1725" s="52"/>
      <c r="D1725" s="52"/>
      <c r="E1725" s="52"/>
      <c r="F1725" s="53"/>
      <c r="G1725" s="52"/>
      <c r="H1725" s="54" t="str">
        <f aca="false">IF(E1725="","",E1725*N(F1725)*IF(G1725="",1,G1725))</f>
        <v/>
      </c>
      <c r="I1725" s="55" t="str">
        <f aca="false">IF(C1725="","",IFERROR(INDEX('DANH MỤC'!$B$5:$B$200,MATCH(C1725,'DANH MỤC'!$A$5:$A$200,0)),"⚠ Mã chưa có trong DANH MỤC"))</f>
        <v/>
      </c>
      <c r="J1725" s="52"/>
      <c r="K1725" s="52"/>
      <c r="L1725" s="52"/>
    </row>
    <row r="1726" customFormat="false" ht="15" hidden="false" customHeight="false" outlineLevel="0" collapsed="false">
      <c r="A1726" s="50"/>
      <c r="B1726" s="51" t="str">
        <f aca="false">IF(A1726="","",MONTH(A1726))</f>
        <v/>
      </c>
      <c r="C1726" s="52"/>
      <c r="D1726" s="52"/>
      <c r="E1726" s="52"/>
      <c r="F1726" s="53"/>
      <c r="G1726" s="52"/>
      <c r="H1726" s="54" t="str">
        <f aca="false">IF(E1726="","",E1726*N(F1726)*IF(G1726="",1,G1726))</f>
        <v/>
      </c>
      <c r="I1726" s="55" t="str">
        <f aca="false">IF(C1726="","",IFERROR(INDEX('DANH MỤC'!$B$5:$B$200,MATCH(C1726,'DANH MỤC'!$A$5:$A$200,0)),"⚠ Mã chưa có trong DANH MỤC"))</f>
        <v/>
      </c>
      <c r="J1726" s="52"/>
      <c r="K1726" s="52"/>
      <c r="L1726" s="52"/>
    </row>
    <row r="1727" customFormat="false" ht="15" hidden="false" customHeight="false" outlineLevel="0" collapsed="false">
      <c r="A1727" s="50"/>
      <c r="B1727" s="51" t="str">
        <f aca="false">IF(A1727="","",MONTH(A1727))</f>
        <v/>
      </c>
      <c r="C1727" s="52"/>
      <c r="D1727" s="52"/>
      <c r="E1727" s="52"/>
      <c r="F1727" s="53"/>
      <c r="G1727" s="52"/>
      <c r="H1727" s="54" t="str">
        <f aca="false">IF(E1727="","",E1727*N(F1727)*IF(G1727="",1,G1727))</f>
        <v/>
      </c>
      <c r="I1727" s="55" t="str">
        <f aca="false">IF(C1727="","",IFERROR(INDEX('DANH MỤC'!$B$5:$B$200,MATCH(C1727,'DANH MỤC'!$A$5:$A$200,0)),"⚠ Mã chưa có trong DANH MỤC"))</f>
        <v/>
      </c>
      <c r="J1727" s="52"/>
      <c r="K1727" s="52"/>
      <c r="L1727" s="52"/>
    </row>
    <row r="1728" customFormat="false" ht="15" hidden="false" customHeight="false" outlineLevel="0" collapsed="false">
      <c r="A1728" s="50"/>
      <c r="B1728" s="51" t="str">
        <f aca="false">IF(A1728="","",MONTH(A1728))</f>
        <v/>
      </c>
      <c r="C1728" s="52"/>
      <c r="D1728" s="52"/>
      <c r="E1728" s="52"/>
      <c r="F1728" s="53"/>
      <c r="G1728" s="52"/>
      <c r="H1728" s="54" t="str">
        <f aca="false">IF(E1728="","",E1728*N(F1728)*IF(G1728="",1,G1728))</f>
        <v/>
      </c>
      <c r="I1728" s="55" t="str">
        <f aca="false">IF(C1728="","",IFERROR(INDEX('DANH MỤC'!$B$5:$B$200,MATCH(C1728,'DANH MỤC'!$A$5:$A$200,0)),"⚠ Mã chưa có trong DANH MỤC"))</f>
        <v/>
      </c>
      <c r="J1728" s="52"/>
      <c r="K1728" s="52"/>
      <c r="L1728" s="52"/>
    </row>
    <row r="1729" customFormat="false" ht="15" hidden="false" customHeight="false" outlineLevel="0" collapsed="false">
      <c r="A1729" s="50"/>
      <c r="B1729" s="51" t="str">
        <f aca="false">IF(A1729="","",MONTH(A1729))</f>
        <v/>
      </c>
      <c r="C1729" s="52"/>
      <c r="D1729" s="52"/>
      <c r="E1729" s="52"/>
      <c r="F1729" s="53"/>
      <c r="G1729" s="52"/>
      <c r="H1729" s="54" t="str">
        <f aca="false">IF(E1729="","",E1729*N(F1729)*IF(G1729="",1,G1729))</f>
        <v/>
      </c>
      <c r="I1729" s="55" t="str">
        <f aca="false">IF(C1729="","",IFERROR(INDEX('DANH MỤC'!$B$5:$B$200,MATCH(C1729,'DANH MỤC'!$A$5:$A$200,0)),"⚠ Mã chưa có trong DANH MỤC"))</f>
        <v/>
      </c>
      <c r="J1729" s="52"/>
      <c r="K1729" s="52"/>
      <c r="L1729" s="52"/>
    </row>
    <row r="1730" customFormat="false" ht="15" hidden="false" customHeight="false" outlineLevel="0" collapsed="false">
      <c r="A1730" s="50"/>
      <c r="B1730" s="51" t="str">
        <f aca="false">IF(A1730="","",MONTH(A1730))</f>
        <v/>
      </c>
      <c r="C1730" s="52"/>
      <c r="D1730" s="52"/>
      <c r="E1730" s="52"/>
      <c r="F1730" s="53"/>
      <c r="G1730" s="52"/>
      <c r="H1730" s="54" t="str">
        <f aca="false">IF(E1730="","",E1730*N(F1730)*IF(G1730="",1,G1730))</f>
        <v/>
      </c>
      <c r="I1730" s="55" t="str">
        <f aca="false">IF(C1730="","",IFERROR(INDEX('DANH MỤC'!$B$5:$B$200,MATCH(C1730,'DANH MỤC'!$A$5:$A$200,0)),"⚠ Mã chưa có trong DANH MỤC"))</f>
        <v/>
      </c>
      <c r="J1730" s="52"/>
      <c r="K1730" s="52"/>
      <c r="L1730" s="52"/>
    </row>
    <row r="1731" customFormat="false" ht="15" hidden="false" customHeight="false" outlineLevel="0" collapsed="false">
      <c r="A1731" s="50"/>
      <c r="B1731" s="51" t="str">
        <f aca="false">IF(A1731="","",MONTH(A1731))</f>
        <v/>
      </c>
      <c r="C1731" s="52"/>
      <c r="D1731" s="52"/>
      <c r="E1731" s="52"/>
      <c r="F1731" s="53"/>
      <c r="G1731" s="52"/>
      <c r="H1731" s="54" t="str">
        <f aca="false">IF(E1731="","",E1731*N(F1731)*IF(G1731="",1,G1731))</f>
        <v/>
      </c>
      <c r="I1731" s="55" t="str">
        <f aca="false">IF(C1731="","",IFERROR(INDEX('DANH MỤC'!$B$5:$B$200,MATCH(C1731,'DANH MỤC'!$A$5:$A$200,0)),"⚠ Mã chưa có trong DANH MỤC"))</f>
        <v/>
      </c>
      <c r="J1731" s="52"/>
      <c r="K1731" s="52"/>
      <c r="L1731" s="52"/>
    </row>
    <row r="1732" customFormat="false" ht="15" hidden="false" customHeight="false" outlineLevel="0" collapsed="false">
      <c r="A1732" s="50"/>
      <c r="B1732" s="51" t="str">
        <f aca="false">IF(A1732="","",MONTH(A1732))</f>
        <v/>
      </c>
      <c r="C1732" s="52"/>
      <c r="D1732" s="52"/>
      <c r="E1732" s="52"/>
      <c r="F1732" s="53"/>
      <c r="G1732" s="52"/>
      <c r="H1732" s="54" t="str">
        <f aca="false">IF(E1732="","",E1732*N(F1732)*IF(G1732="",1,G1732))</f>
        <v/>
      </c>
      <c r="I1732" s="55" t="str">
        <f aca="false">IF(C1732="","",IFERROR(INDEX('DANH MỤC'!$B$5:$B$200,MATCH(C1732,'DANH MỤC'!$A$5:$A$200,0)),"⚠ Mã chưa có trong DANH MỤC"))</f>
        <v/>
      </c>
      <c r="J1732" s="52"/>
      <c r="K1732" s="52"/>
      <c r="L1732" s="52"/>
    </row>
    <row r="1733" customFormat="false" ht="15" hidden="false" customHeight="false" outlineLevel="0" collapsed="false">
      <c r="A1733" s="50"/>
      <c r="B1733" s="51" t="str">
        <f aca="false">IF(A1733="","",MONTH(A1733))</f>
        <v/>
      </c>
      <c r="C1733" s="52"/>
      <c r="D1733" s="52"/>
      <c r="E1733" s="52"/>
      <c r="F1733" s="53"/>
      <c r="G1733" s="52"/>
      <c r="H1733" s="54" t="str">
        <f aca="false">IF(E1733="","",E1733*N(F1733)*IF(G1733="",1,G1733))</f>
        <v/>
      </c>
      <c r="I1733" s="55" t="str">
        <f aca="false">IF(C1733="","",IFERROR(INDEX('DANH MỤC'!$B$5:$B$200,MATCH(C1733,'DANH MỤC'!$A$5:$A$200,0)),"⚠ Mã chưa có trong DANH MỤC"))</f>
        <v/>
      </c>
      <c r="J1733" s="52"/>
      <c r="K1733" s="52"/>
      <c r="L1733" s="52"/>
    </row>
    <row r="1734" customFormat="false" ht="15" hidden="false" customHeight="false" outlineLevel="0" collapsed="false">
      <c r="A1734" s="50"/>
      <c r="B1734" s="51" t="str">
        <f aca="false">IF(A1734="","",MONTH(A1734))</f>
        <v/>
      </c>
      <c r="C1734" s="52"/>
      <c r="D1734" s="52"/>
      <c r="E1734" s="52"/>
      <c r="F1734" s="53"/>
      <c r="G1734" s="52"/>
      <c r="H1734" s="54" t="str">
        <f aca="false">IF(E1734="","",E1734*N(F1734)*IF(G1734="",1,G1734))</f>
        <v/>
      </c>
      <c r="I1734" s="55" t="str">
        <f aca="false">IF(C1734="","",IFERROR(INDEX('DANH MỤC'!$B$5:$B$200,MATCH(C1734,'DANH MỤC'!$A$5:$A$200,0)),"⚠ Mã chưa có trong DANH MỤC"))</f>
        <v/>
      </c>
      <c r="J1734" s="52"/>
      <c r="K1734" s="52"/>
      <c r="L1734" s="52"/>
    </row>
    <row r="1735" customFormat="false" ht="15" hidden="false" customHeight="false" outlineLevel="0" collapsed="false">
      <c r="A1735" s="50"/>
      <c r="B1735" s="51" t="str">
        <f aca="false">IF(A1735="","",MONTH(A1735))</f>
        <v/>
      </c>
      <c r="C1735" s="52"/>
      <c r="D1735" s="52"/>
      <c r="E1735" s="52"/>
      <c r="F1735" s="53"/>
      <c r="G1735" s="52"/>
      <c r="H1735" s="54" t="str">
        <f aca="false">IF(E1735="","",E1735*N(F1735)*IF(G1735="",1,G1735))</f>
        <v/>
      </c>
      <c r="I1735" s="55" t="str">
        <f aca="false">IF(C1735="","",IFERROR(INDEX('DANH MỤC'!$B$5:$B$200,MATCH(C1735,'DANH MỤC'!$A$5:$A$200,0)),"⚠ Mã chưa có trong DANH MỤC"))</f>
        <v/>
      </c>
      <c r="J1735" s="52"/>
      <c r="K1735" s="52"/>
      <c r="L1735" s="52"/>
    </row>
    <row r="1736" customFormat="false" ht="15" hidden="false" customHeight="false" outlineLevel="0" collapsed="false">
      <c r="A1736" s="50"/>
      <c r="B1736" s="51" t="str">
        <f aca="false">IF(A1736="","",MONTH(A1736))</f>
        <v/>
      </c>
      <c r="C1736" s="52"/>
      <c r="D1736" s="52"/>
      <c r="E1736" s="52"/>
      <c r="F1736" s="53"/>
      <c r="G1736" s="52"/>
      <c r="H1736" s="54" t="str">
        <f aca="false">IF(E1736="","",E1736*N(F1736)*IF(G1736="",1,G1736))</f>
        <v/>
      </c>
      <c r="I1736" s="55" t="str">
        <f aca="false">IF(C1736="","",IFERROR(INDEX('DANH MỤC'!$B$5:$B$200,MATCH(C1736,'DANH MỤC'!$A$5:$A$200,0)),"⚠ Mã chưa có trong DANH MỤC"))</f>
        <v/>
      </c>
      <c r="J1736" s="52"/>
      <c r="K1736" s="52"/>
      <c r="L1736" s="52"/>
    </row>
    <row r="1737" customFormat="false" ht="15" hidden="false" customHeight="false" outlineLevel="0" collapsed="false">
      <c r="A1737" s="50"/>
      <c r="B1737" s="51" t="str">
        <f aca="false">IF(A1737="","",MONTH(A1737))</f>
        <v/>
      </c>
      <c r="C1737" s="52"/>
      <c r="D1737" s="52"/>
      <c r="E1737" s="52"/>
      <c r="F1737" s="53"/>
      <c r="G1737" s="52"/>
      <c r="H1737" s="54" t="str">
        <f aca="false">IF(E1737="","",E1737*N(F1737)*IF(G1737="",1,G1737))</f>
        <v/>
      </c>
      <c r="I1737" s="55" t="str">
        <f aca="false">IF(C1737="","",IFERROR(INDEX('DANH MỤC'!$B$5:$B$200,MATCH(C1737,'DANH MỤC'!$A$5:$A$200,0)),"⚠ Mã chưa có trong DANH MỤC"))</f>
        <v/>
      </c>
      <c r="J1737" s="52"/>
      <c r="K1737" s="52"/>
      <c r="L1737" s="52"/>
    </row>
    <row r="1738" customFormat="false" ht="15" hidden="false" customHeight="false" outlineLevel="0" collapsed="false">
      <c r="A1738" s="50"/>
      <c r="B1738" s="51" t="str">
        <f aca="false">IF(A1738="","",MONTH(A1738))</f>
        <v/>
      </c>
      <c r="C1738" s="52"/>
      <c r="D1738" s="52"/>
      <c r="E1738" s="52"/>
      <c r="F1738" s="53"/>
      <c r="G1738" s="52"/>
      <c r="H1738" s="54" t="str">
        <f aca="false">IF(E1738="","",E1738*N(F1738)*IF(G1738="",1,G1738))</f>
        <v/>
      </c>
      <c r="I1738" s="55" t="str">
        <f aca="false">IF(C1738="","",IFERROR(INDEX('DANH MỤC'!$B$5:$B$200,MATCH(C1738,'DANH MỤC'!$A$5:$A$200,0)),"⚠ Mã chưa có trong DANH MỤC"))</f>
        <v/>
      </c>
      <c r="J1738" s="52"/>
      <c r="K1738" s="52"/>
      <c r="L1738" s="52"/>
    </row>
    <row r="1739" customFormat="false" ht="15" hidden="false" customHeight="false" outlineLevel="0" collapsed="false">
      <c r="A1739" s="50"/>
      <c r="B1739" s="51" t="str">
        <f aca="false">IF(A1739="","",MONTH(A1739))</f>
        <v/>
      </c>
      <c r="C1739" s="52"/>
      <c r="D1739" s="52"/>
      <c r="E1739" s="52"/>
      <c r="F1739" s="53"/>
      <c r="G1739" s="52"/>
      <c r="H1739" s="54" t="str">
        <f aca="false">IF(E1739="","",E1739*N(F1739)*IF(G1739="",1,G1739))</f>
        <v/>
      </c>
      <c r="I1739" s="55" t="str">
        <f aca="false">IF(C1739="","",IFERROR(INDEX('DANH MỤC'!$B$5:$B$200,MATCH(C1739,'DANH MỤC'!$A$5:$A$200,0)),"⚠ Mã chưa có trong DANH MỤC"))</f>
        <v/>
      </c>
      <c r="J1739" s="52"/>
      <c r="K1739" s="52"/>
      <c r="L1739" s="52"/>
    </row>
    <row r="1740" customFormat="false" ht="15" hidden="false" customHeight="false" outlineLevel="0" collapsed="false">
      <c r="A1740" s="50"/>
      <c r="B1740" s="51" t="str">
        <f aca="false">IF(A1740="","",MONTH(A1740))</f>
        <v/>
      </c>
      <c r="C1740" s="52"/>
      <c r="D1740" s="52"/>
      <c r="E1740" s="52"/>
      <c r="F1740" s="53"/>
      <c r="G1740" s="52"/>
      <c r="H1740" s="54" t="str">
        <f aca="false">IF(E1740="","",E1740*N(F1740)*IF(G1740="",1,G1740))</f>
        <v/>
      </c>
      <c r="I1740" s="55" t="str">
        <f aca="false">IF(C1740="","",IFERROR(INDEX('DANH MỤC'!$B$5:$B$200,MATCH(C1740,'DANH MỤC'!$A$5:$A$200,0)),"⚠ Mã chưa có trong DANH MỤC"))</f>
        <v/>
      </c>
      <c r="J1740" s="52"/>
      <c r="K1740" s="52"/>
      <c r="L1740" s="52"/>
    </row>
    <row r="1741" customFormat="false" ht="15" hidden="false" customHeight="false" outlineLevel="0" collapsed="false">
      <c r="A1741" s="50"/>
      <c r="B1741" s="51" t="str">
        <f aca="false">IF(A1741="","",MONTH(A1741))</f>
        <v/>
      </c>
      <c r="C1741" s="52"/>
      <c r="D1741" s="52"/>
      <c r="E1741" s="52"/>
      <c r="F1741" s="53"/>
      <c r="G1741" s="52"/>
      <c r="H1741" s="54" t="str">
        <f aca="false">IF(E1741="","",E1741*N(F1741)*IF(G1741="",1,G1741))</f>
        <v/>
      </c>
      <c r="I1741" s="55" t="str">
        <f aca="false">IF(C1741="","",IFERROR(INDEX('DANH MỤC'!$B$5:$B$200,MATCH(C1741,'DANH MỤC'!$A$5:$A$200,0)),"⚠ Mã chưa có trong DANH MỤC"))</f>
        <v/>
      </c>
      <c r="J1741" s="52"/>
      <c r="K1741" s="52"/>
      <c r="L1741" s="52"/>
    </row>
    <row r="1742" customFormat="false" ht="15" hidden="false" customHeight="false" outlineLevel="0" collapsed="false">
      <c r="A1742" s="50"/>
      <c r="B1742" s="51" t="str">
        <f aca="false">IF(A1742="","",MONTH(A1742))</f>
        <v/>
      </c>
      <c r="C1742" s="52"/>
      <c r="D1742" s="52"/>
      <c r="E1742" s="52"/>
      <c r="F1742" s="53"/>
      <c r="G1742" s="52"/>
      <c r="H1742" s="54" t="str">
        <f aca="false">IF(E1742="","",E1742*N(F1742)*IF(G1742="",1,G1742))</f>
        <v/>
      </c>
      <c r="I1742" s="55" t="str">
        <f aca="false">IF(C1742="","",IFERROR(INDEX('DANH MỤC'!$B$5:$B$200,MATCH(C1742,'DANH MỤC'!$A$5:$A$200,0)),"⚠ Mã chưa có trong DANH MỤC"))</f>
        <v/>
      </c>
      <c r="J1742" s="52"/>
      <c r="K1742" s="52"/>
      <c r="L1742" s="52"/>
    </row>
    <row r="1743" customFormat="false" ht="15" hidden="false" customHeight="false" outlineLevel="0" collapsed="false">
      <c r="A1743" s="50"/>
      <c r="B1743" s="51" t="str">
        <f aca="false">IF(A1743="","",MONTH(A1743))</f>
        <v/>
      </c>
      <c r="C1743" s="52"/>
      <c r="D1743" s="52"/>
      <c r="E1743" s="52"/>
      <c r="F1743" s="53"/>
      <c r="G1743" s="52"/>
      <c r="H1743" s="54" t="str">
        <f aca="false">IF(E1743="","",E1743*N(F1743)*IF(G1743="",1,G1743))</f>
        <v/>
      </c>
      <c r="I1743" s="55" t="str">
        <f aca="false">IF(C1743="","",IFERROR(INDEX('DANH MỤC'!$B$5:$B$200,MATCH(C1743,'DANH MỤC'!$A$5:$A$200,0)),"⚠ Mã chưa có trong DANH MỤC"))</f>
        <v/>
      </c>
      <c r="J1743" s="52"/>
      <c r="K1743" s="52"/>
      <c r="L1743" s="52"/>
    </row>
    <row r="1744" customFormat="false" ht="15" hidden="false" customHeight="false" outlineLevel="0" collapsed="false">
      <c r="A1744" s="50"/>
      <c r="B1744" s="51" t="str">
        <f aca="false">IF(A1744="","",MONTH(A1744))</f>
        <v/>
      </c>
      <c r="C1744" s="52"/>
      <c r="D1744" s="52"/>
      <c r="E1744" s="52"/>
      <c r="F1744" s="53"/>
      <c r="G1744" s="52"/>
      <c r="H1744" s="54" t="str">
        <f aca="false">IF(E1744="","",E1744*N(F1744)*IF(G1744="",1,G1744))</f>
        <v/>
      </c>
      <c r="I1744" s="55" t="str">
        <f aca="false">IF(C1744="","",IFERROR(INDEX('DANH MỤC'!$B$5:$B$200,MATCH(C1744,'DANH MỤC'!$A$5:$A$200,0)),"⚠ Mã chưa có trong DANH MỤC"))</f>
        <v/>
      </c>
      <c r="J1744" s="52"/>
      <c r="K1744" s="52"/>
      <c r="L1744" s="52"/>
    </row>
    <row r="1745" customFormat="false" ht="15" hidden="false" customHeight="false" outlineLevel="0" collapsed="false">
      <c r="A1745" s="50"/>
      <c r="B1745" s="51" t="str">
        <f aca="false">IF(A1745="","",MONTH(A1745))</f>
        <v/>
      </c>
      <c r="C1745" s="52"/>
      <c r="D1745" s="52"/>
      <c r="E1745" s="52"/>
      <c r="F1745" s="53"/>
      <c r="G1745" s="52"/>
      <c r="H1745" s="54" t="str">
        <f aca="false">IF(E1745="","",E1745*N(F1745)*IF(G1745="",1,G1745))</f>
        <v/>
      </c>
      <c r="I1745" s="55" t="str">
        <f aca="false">IF(C1745="","",IFERROR(INDEX('DANH MỤC'!$B$5:$B$200,MATCH(C1745,'DANH MỤC'!$A$5:$A$200,0)),"⚠ Mã chưa có trong DANH MỤC"))</f>
        <v/>
      </c>
      <c r="J1745" s="52"/>
      <c r="K1745" s="52"/>
      <c r="L1745" s="52"/>
    </row>
    <row r="1746" customFormat="false" ht="15" hidden="false" customHeight="false" outlineLevel="0" collapsed="false">
      <c r="A1746" s="50"/>
      <c r="B1746" s="51" t="str">
        <f aca="false">IF(A1746="","",MONTH(A1746))</f>
        <v/>
      </c>
      <c r="C1746" s="52"/>
      <c r="D1746" s="52"/>
      <c r="E1746" s="52"/>
      <c r="F1746" s="53"/>
      <c r="G1746" s="52"/>
      <c r="H1746" s="54" t="str">
        <f aca="false">IF(E1746="","",E1746*N(F1746)*IF(G1746="",1,G1746))</f>
        <v/>
      </c>
      <c r="I1746" s="55" t="str">
        <f aca="false">IF(C1746="","",IFERROR(INDEX('DANH MỤC'!$B$5:$B$200,MATCH(C1746,'DANH MỤC'!$A$5:$A$200,0)),"⚠ Mã chưa có trong DANH MỤC"))</f>
        <v/>
      </c>
      <c r="J1746" s="52"/>
      <c r="K1746" s="52"/>
      <c r="L1746" s="52"/>
    </row>
    <row r="1747" customFormat="false" ht="15" hidden="false" customHeight="false" outlineLevel="0" collapsed="false">
      <c r="A1747" s="50"/>
      <c r="B1747" s="51" t="str">
        <f aca="false">IF(A1747="","",MONTH(A1747))</f>
        <v/>
      </c>
      <c r="C1747" s="52"/>
      <c r="D1747" s="52"/>
      <c r="E1747" s="52"/>
      <c r="F1747" s="53"/>
      <c r="G1747" s="52"/>
      <c r="H1747" s="54" t="str">
        <f aca="false">IF(E1747="","",E1747*N(F1747)*IF(G1747="",1,G1747))</f>
        <v/>
      </c>
      <c r="I1747" s="55" t="str">
        <f aca="false">IF(C1747="","",IFERROR(INDEX('DANH MỤC'!$B$5:$B$200,MATCH(C1747,'DANH MỤC'!$A$5:$A$200,0)),"⚠ Mã chưa có trong DANH MỤC"))</f>
        <v/>
      </c>
      <c r="J1747" s="52"/>
      <c r="K1747" s="52"/>
      <c r="L1747" s="52"/>
    </row>
    <row r="1748" customFormat="false" ht="15" hidden="false" customHeight="false" outlineLevel="0" collapsed="false">
      <c r="A1748" s="50"/>
      <c r="B1748" s="51" t="str">
        <f aca="false">IF(A1748="","",MONTH(A1748))</f>
        <v/>
      </c>
      <c r="C1748" s="52"/>
      <c r="D1748" s="52"/>
      <c r="E1748" s="52"/>
      <c r="F1748" s="53"/>
      <c r="G1748" s="52"/>
      <c r="H1748" s="54" t="str">
        <f aca="false">IF(E1748="","",E1748*N(F1748)*IF(G1748="",1,G1748))</f>
        <v/>
      </c>
      <c r="I1748" s="55" t="str">
        <f aca="false">IF(C1748="","",IFERROR(INDEX('DANH MỤC'!$B$5:$B$200,MATCH(C1748,'DANH MỤC'!$A$5:$A$200,0)),"⚠ Mã chưa có trong DANH MỤC"))</f>
        <v/>
      </c>
      <c r="J1748" s="52"/>
      <c r="K1748" s="52"/>
      <c r="L1748" s="52"/>
    </row>
    <row r="1749" customFormat="false" ht="15" hidden="false" customHeight="false" outlineLevel="0" collapsed="false">
      <c r="A1749" s="50"/>
      <c r="B1749" s="51" t="str">
        <f aca="false">IF(A1749="","",MONTH(A1749))</f>
        <v/>
      </c>
      <c r="C1749" s="52"/>
      <c r="D1749" s="52"/>
      <c r="E1749" s="52"/>
      <c r="F1749" s="53"/>
      <c r="G1749" s="52"/>
      <c r="H1749" s="54" t="str">
        <f aca="false">IF(E1749="","",E1749*N(F1749)*IF(G1749="",1,G1749))</f>
        <v/>
      </c>
      <c r="I1749" s="55" t="str">
        <f aca="false">IF(C1749="","",IFERROR(INDEX('DANH MỤC'!$B$5:$B$200,MATCH(C1749,'DANH MỤC'!$A$5:$A$200,0)),"⚠ Mã chưa có trong DANH MỤC"))</f>
        <v/>
      </c>
      <c r="J1749" s="52"/>
      <c r="K1749" s="52"/>
      <c r="L1749" s="52"/>
    </row>
    <row r="1750" customFormat="false" ht="15" hidden="false" customHeight="false" outlineLevel="0" collapsed="false">
      <c r="A1750" s="50"/>
      <c r="B1750" s="51" t="str">
        <f aca="false">IF(A1750="","",MONTH(A1750))</f>
        <v/>
      </c>
      <c r="C1750" s="52"/>
      <c r="D1750" s="52"/>
      <c r="E1750" s="52"/>
      <c r="F1750" s="53"/>
      <c r="G1750" s="52"/>
      <c r="H1750" s="54" t="str">
        <f aca="false">IF(E1750="","",E1750*N(F1750)*IF(G1750="",1,G1750))</f>
        <v/>
      </c>
      <c r="I1750" s="55" t="str">
        <f aca="false">IF(C1750="","",IFERROR(INDEX('DANH MỤC'!$B$5:$B$200,MATCH(C1750,'DANH MỤC'!$A$5:$A$200,0)),"⚠ Mã chưa có trong DANH MỤC"))</f>
        <v/>
      </c>
      <c r="J1750" s="52"/>
      <c r="K1750" s="52"/>
      <c r="L1750" s="52"/>
    </row>
    <row r="1751" customFormat="false" ht="15" hidden="false" customHeight="false" outlineLevel="0" collapsed="false">
      <c r="A1751" s="50"/>
      <c r="B1751" s="51" t="str">
        <f aca="false">IF(A1751="","",MONTH(A1751))</f>
        <v/>
      </c>
      <c r="C1751" s="52"/>
      <c r="D1751" s="52"/>
      <c r="E1751" s="52"/>
      <c r="F1751" s="53"/>
      <c r="G1751" s="52"/>
      <c r="H1751" s="54" t="str">
        <f aca="false">IF(E1751="","",E1751*N(F1751)*IF(G1751="",1,G1751))</f>
        <v/>
      </c>
      <c r="I1751" s="55" t="str">
        <f aca="false">IF(C1751="","",IFERROR(INDEX('DANH MỤC'!$B$5:$B$200,MATCH(C1751,'DANH MỤC'!$A$5:$A$200,0)),"⚠ Mã chưa có trong DANH MỤC"))</f>
        <v/>
      </c>
      <c r="J1751" s="52"/>
      <c r="K1751" s="52"/>
      <c r="L1751" s="52"/>
    </row>
    <row r="1752" customFormat="false" ht="15" hidden="false" customHeight="false" outlineLevel="0" collapsed="false">
      <c r="A1752" s="50"/>
      <c r="B1752" s="51" t="str">
        <f aca="false">IF(A1752="","",MONTH(A1752))</f>
        <v/>
      </c>
      <c r="C1752" s="52"/>
      <c r="D1752" s="52"/>
      <c r="E1752" s="52"/>
      <c r="F1752" s="53"/>
      <c r="G1752" s="52"/>
      <c r="H1752" s="54" t="str">
        <f aca="false">IF(E1752="","",E1752*N(F1752)*IF(G1752="",1,G1752))</f>
        <v/>
      </c>
      <c r="I1752" s="55" t="str">
        <f aca="false">IF(C1752="","",IFERROR(INDEX('DANH MỤC'!$B$5:$B$200,MATCH(C1752,'DANH MỤC'!$A$5:$A$200,0)),"⚠ Mã chưa có trong DANH MỤC"))</f>
        <v/>
      </c>
      <c r="J1752" s="52"/>
      <c r="K1752" s="52"/>
      <c r="L1752" s="52"/>
    </row>
    <row r="1753" customFormat="false" ht="15" hidden="false" customHeight="false" outlineLevel="0" collapsed="false">
      <c r="A1753" s="50"/>
      <c r="B1753" s="51" t="str">
        <f aca="false">IF(A1753="","",MONTH(A1753))</f>
        <v/>
      </c>
      <c r="C1753" s="52"/>
      <c r="D1753" s="52"/>
      <c r="E1753" s="52"/>
      <c r="F1753" s="53"/>
      <c r="G1753" s="52"/>
      <c r="H1753" s="54" t="str">
        <f aca="false">IF(E1753="","",E1753*N(F1753)*IF(G1753="",1,G1753))</f>
        <v/>
      </c>
      <c r="I1753" s="55" t="str">
        <f aca="false">IF(C1753="","",IFERROR(INDEX('DANH MỤC'!$B$5:$B$200,MATCH(C1753,'DANH MỤC'!$A$5:$A$200,0)),"⚠ Mã chưa có trong DANH MỤC"))</f>
        <v/>
      </c>
      <c r="J1753" s="52"/>
      <c r="K1753" s="52"/>
      <c r="L1753" s="52"/>
    </row>
    <row r="1754" customFormat="false" ht="15" hidden="false" customHeight="false" outlineLevel="0" collapsed="false">
      <c r="A1754" s="50"/>
      <c r="B1754" s="51" t="str">
        <f aca="false">IF(A1754="","",MONTH(A1754))</f>
        <v/>
      </c>
      <c r="C1754" s="52"/>
      <c r="D1754" s="52"/>
      <c r="E1754" s="52"/>
      <c r="F1754" s="53"/>
      <c r="G1754" s="52"/>
      <c r="H1754" s="54" t="str">
        <f aca="false">IF(E1754="","",E1754*N(F1754)*IF(G1754="",1,G1754))</f>
        <v/>
      </c>
      <c r="I1754" s="55" t="str">
        <f aca="false">IF(C1754="","",IFERROR(INDEX('DANH MỤC'!$B$5:$B$200,MATCH(C1754,'DANH MỤC'!$A$5:$A$200,0)),"⚠ Mã chưa có trong DANH MỤC"))</f>
        <v/>
      </c>
      <c r="J1754" s="52"/>
      <c r="K1754" s="52"/>
      <c r="L1754" s="52"/>
    </row>
    <row r="1755" customFormat="false" ht="15" hidden="false" customHeight="false" outlineLevel="0" collapsed="false">
      <c r="A1755" s="50"/>
      <c r="B1755" s="51" t="str">
        <f aca="false">IF(A1755="","",MONTH(A1755))</f>
        <v/>
      </c>
      <c r="C1755" s="52"/>
      <c r="D1755" s="52"/>
      <c r="E1755" s="52"/>
      <c r="F1755" s="53"/>
      <c r="G1755" s="52"/>
      <c r="H1755" s="54" t="str">
        <f aca="false">IF(E1755="","",E1755*N(F1755)*IF(G1755="",1,G1755))</f>
        <v/>
      </c>
      <c r="I1755" s="55" t="str">
        <f aca="false">IF(C1755="","",IFERROR(INDEX('DANH MỤC'!$B$5:$B$200,MATCH(C1755,'DANH MỤC'!$A$5:$A$200,0)),"⚠ Mã chưa có trong DANH MỤC"))</f>
        <v/>
      </c>
      <c r="J1755" s="52"/>
      <c r="K1755" s="52"/>
      <c r="L1755" s="52"/>
    </row>
    <row r="1756" customFormat="false" ht="15" hidden="false" customHeight="false" outlineLevel="0" collapsed="false">
      <c r="A1756" s="50"/>
      <c r="B1756" s="51" t="str">
        <f aca="false">IF(A1756="","",MONTH(A1756))</f>
        <v/>
      </c>
      <c r="C1756" s="52"/>
      <c r="D1756" s="52"/>
      <c r="E1756" s="52"/>
      <c r="F1756" s="53"/>
      <c r="G1756" s="52"/>
      <c r="H1756" s="54" t="str">
        <f aca="false">IF(E1756="","",E1756*N(F1756)*IF(G1756="",1,G1756))</f>
        <v/>
      </c>
      <c r="I1756" s="55" t="str">
        <f aca="false">IF(C1756="","",IFERROR(INDEX('DANH MỤC'!$B$5:$B$200,MATCH(C1756,'DANH MỤC'!$A$5:$A$200,0)),"⚠ Mã chưa có trong DANH MỤC"))</f>
        <v/>
      </c>
      <c r="J1756" s="52"/>
      <c r="K1756" s="52"/>
      <c r="L1756" s="52"/>
    </row>
    <row r="1757" customFormat="false" ht="15" hidden="false" customHeight="false" outlineLevel="0" collapsed="false">
      <c r="A1757" s="50"/>
      <c r="B1757" s="51" t="str">
        <f aca="false">IF(A1757="","",MONTH(A1757))</f>
        <v/>
      </c>
      <c r="C1757" s="52"/>
      <c r="D1757" s="52"/>
      <c r="E1757" s="52"/>
      <c r="F1757" s="53"/>
      <c r="G1757" s="52"/>
      <c r="H1757" s="54" t="str">
        <f aca="false">IF(E1757="","",E1757*N(F1757)*IF(G1757="",1,G1757))</f>
        <v/>
      </c>
      <c r="I1757" s="55" t="str">
        <f aca="false">IF(C1757="","",IFERROR(INDEX('DANH MỤC'!$B$5:$B$200,MATCH(C1757,'DANH MỤC'!$A$5:$A$200,0)),"⚠ Mã chưa có trong DANH MỤC"))</f>
        <v/>
      </c>
      <c r="J1757" s="52"/>
      <c r="K1757" s="52"/>
      <c r="L1757" s="52"/>
    </row>
    <row r="1758" customFormat="false" ht="15" hidden="false" customHeight="false" outlineLevel="0" collapsed="false">
      <c r="A1758" s="50"/>
      <c r="B1758" s="51" t="str">
        <f aca="false">IF(A1758="","",MONTH(A1758))</f>
        <v/>
      </c>
      <c r="C1758" s="52"/>
      <c r="D1758" s="52"/>
      <c r="E1758" s="52"/>
      <c r="F1758" s="53"/>
      <c r="G1758" s="52"/>
      <c r="H1758" s="54" t="str">
        <f aca="false">IF(E1758="","",E1758*N(F1758)*IF(G1758="",1,G1758))</f>
        <v/>
      </c>
      <c r="I1758" s="55" t="str">
        <f aca="false">IF(C1758="","",IFERROR(INDEX('DANH MỤC'!$B$5:$B$200,MATCH(C1758,'DANH MỤC'!$A$5:$A$200,0)),"⚠ Mã chưa có trong DANH MỤC"))</f>
        <v/>
      </c>
      <c r="J1758" s="52"/>
      <c r="K1758" s="52"/>
      <c r="L1758" s="52"/>
    </row>
    <row r="1759" customFormat="false" ht="15" hidden="false" customHeight="false" outlineLevel="0" collapsed="false">
      <c r="A1759" s="50"/>
      <c r="B1759" s="51" t="str">
        <f aca="false">IF(A1759="","",MONTH(A1759))</f>
        <v/>
      </c>
      <c r="C1759" s="52"/>
      <c r="D1759" s="52"/>
      <c r="E1759" s="52"/>
      <c r="F1759" s="53"/>
      <c r="G1759" s="52"/>
      <c r="H1759" s="54" t="str">
        <f aca="false">IF(E1759="","",E1759*N(F1759)*IF(G1759="",1,G1759))</f>
        <v/>
      </c>
      <c r="I1759" s="55" t="str">
        <f aca="false">IF(C1759="","",IFERROR(INDEX('DANH MỤC'!$B$5:$B$200,MATCH(C1759,'DANH MỤC'!$A$5:$A$200,0)),"⚠ Mã chưa có trong DANH MỤC"))</f>
        <v/>
      </c>
      <c r="J1759" s="52"/>
      <c r="K1759" s="52"/>
      <c r="L1759" s="52"/>
    </row>
    <row r="1760" customFormat="false" ht="15" hidden="false" customHeight="false" outlineLevel="0" collapsed="false">
      <c r="A1760" s="50"/>
      <c r="B1760" s="51" t="str">
        <f aca="false">IF(A1760="","",MONTH(A1760))</f>
        <v/>
      </c>
      <c r="C1760" s="52"/>
      <c r="D1760" s="52"/>
      <c r="E1760" s="52"/>
      <c r="F1760" s="53"/>
      <c r="G1760" s="52"/>
      <c r="H1760" s="54" t="str">
        <f aca="false">IF(E1760="","",E1760*N(F1760)*IF(G1760="",1,G1760))</f>
        <v/>
      </c>
      <c r="I1760" s="55" t="str">
        <f aca="false">IF(C1760="","",IFERROR(INDEX('DANH MỤC'!$B$5:$B$200,MATCH(C1760,'DANH MỤC'!$A$5:$A$200,0)),"⚠ Mã chưa có trong DANH MỤC"))</f>
        <v/>
      </c>
      <c r="J1760" s="52"/>
      <c r="K1760" s="52"/>
      <c r="L1760" s="52"/>
    </row>
    <row r="1761" customFormat="false" ht="15" hidden="false" customHeight="false" outlineLevel="0" collapsed="false">
      <c r="A1761" s="50"/>
      <c r="B1761" s="51" t="str">
        <f aca="false">IF(A1761="","",MONTH(A1761))</f>
        <v/>
      </c>
      <c r="C1761" s="52"/>
      <c r="D1761" s="52"/>
      <c r="E1761" s="52"/>
      <c r="F1761" s="53"/>
      <c r="G1761" s="52"/>
      <c r="H1761" s="54" t="str">
        <f aca="false">IF(E1761="","",E1761*N(F1761)*IF(G1761="",1,G1761))</f>
        <v/>
      </c>
      <c r="I1761" s="55" t="str">
        <f aca="false">IF(C1761="","",IFERROR(INDEX('DANH MỤC'!$B$5:$B$200,MATCH(C1761,'DANH MỤC'!$A$5:$A$200,0)),"⚠ Mã chưa có trong DANH MỤC"))</f>
        <v/>
      </c>
      <c r="J1761" s="52"/>
      <c r="K1761" s="52"/>
      <c r="L1761" s="52"/>
    </row>
    <row r="1762" customFormat="false" ht="15" hidden="false" customHeight="false" outlineLevel="0" collapsed="false">
      <c r="A1762" s="50"/>
      <c r="B1762" s="51" t="str">
        <f aca="false">IF(A1762="","",MONTH(A1762))</f>
        <v/>
      </c>
      <c r="C1762" s="52"/>
      <c r="D1762" s="52"/>
      <c r="E1762" s="52"/>
      <c r="F1762" s="53"/>
      <c r="G1762" s="52"/>
      <c r="H1762" s="54" t="str">
        <f aca="false">IF(E1762="","",E1762*N(F1762)*IF(G1762="",1,G1762))</f>
        <v/>
      </c>
      <c r="I1762" s="55" t="str">
        <f aca="false">IF(C1762="","",IFERROR(INDEX('DANH MỤC'!$B$5:$B$200,MATCH(C1762,'DANH MỤC'!$A$5:$A$200,0)),"⚠ Mã chưa có trong DANH MỤC"))</f>
        <v/>
      </c>
      <c r="J1762" s="52"/>
      <c r="K1762" s="52"/>
      <c r="L1762" s="52"/>
    </row>
    <row r="1763" customFormat="false" ht="15" hidden="false" customHeight="false" outlineLevel="0" collapsed="false">
      <c r="A1763" s="50"/>
      <c r="B1763" s="51" t="str">
        <f aca="false">IF(A1763="","",MONTH(A1763))</f>
        <v/>
      </c>
      <c r="C1763" s="52"/>
      <c r="D1763" s="52"/>
      <c r="E1763" s="52"/>
      <c r="F1763" s="53"/>
      <c r="G1763" s="52"/>
      <c r="H1763" s="54" t="str">
        <f aca="false">IF(E1763="","",E1763*N(F1763)*IF(G1763="",1,G1763))</f>
        <v/>
      </c>
      <c r="I1763" s="55" t="str">
        <f aca="false">IF(C1763="","",IFERROR(INDEX('DANH MỤC'!$B$5:$B$200,MATCH(C1763,'DANH MỤC'!$A$5:$A$200,0)),"⚠ Mã chưa có trong DANH MỤC"))</f>
        <v/>
      </c>
      <c r="J1763" s="52"/>
      <c r="K1763" s="52"/>
      <c r="L1763" s="52"/>
    </row>
    <row r="1764" customFormat="false" ht="15" hidden="false" customHeight="false" outlineLevel="0" collapsed="false">
      <c r="A1764" s="50"/>
      <c r="B1764" s="51" t="str">
        <f aca="false">IF(A1764="","",MONTH(A1764))</f>
        <v/>
      </c>
      <c r="C1764" s="52"/>
      <c r="D1764" s="52"/>
      <c r="E1764" s="52"/>
      <c r="F1764" s="53"/>
      <c r="G1764" s="52"/>
      <c r="H1764" s="54" t="str">
        <f aca="false">IF(E1764="","",E1764*N(F1764)*IF(G1764="",1,G1764))</f>
        <v/>
      </c>
      <c r="I1764" s="55" t="str">
        <f aca="false">IF(C1764="","",IFERROR(INDEX('DANH MỤC'!$B$5:$B$200,MATCH(C1764,'DANH MỤC'!$A$5:$A$200,0)),"⚠ Mã chưa có trong DANH MỤC"))</f>
        <v/>
      </c>
      <c r="J1764" s="52"/>
      <c r="K1764" s="52"/>
      <c r="L1764" s="52"/>
    </row>
    <row r="1765" customFormat="false" ht="15" hidden="false" customHeight="false" outlineLevel="0" collapsed="false">
      <c r="A1765" s="50"/>
      <c r="B1765" s="51" t="str">
        <f aca="false">IF(A1765="","",MONTH(A1765))</f>
        <v/>
      </c>
      <c r="C1765" s="52"/>
      <c r="D1765" s="52"/>
      <c r="E1765" s="52"/>
      <c r="F1765" s="53"/>
      <c r="G1765" s="52"/>
      <c r="H1765" s="54" t="str">
        <f aca="false">IF(E1765="","",E1765*N(F1765)*IF(G1765="",1,G1765))</f>
        <v/>
      </c>
      <c r="I1765" s="55" t="str">
        <f aca="false">IF(C1765="","",IFERROR(INDEX('DANH MỤC'!$B$5:$B$200,MATCH(C1765,'DANH MỤC'!$A$5:$A$200,0)),"⚠ Mã chưa có trong DANH MỤC"))</f>
        <v/>
      </c>
      <c r="J1765" s="52"/>
      <c r="K1765" s="52"/>
      <c r="L1765" s="52"/>
    </row>
    <row r="1766" customFormat="false" ht="15" hidden="false" customHeight="false" outlineLevel="0" collapsed="false">
      <c r="A1766" s="50"/>
      <c r="B1766" s="51" t="str">
        <f aca="false">IF(A1766="","",MONTH(A1766))</f>
        <v/>
      </c>
      <c r="C1766" s="52"/>
      <c r="D1766" s="52"/>
      <c r="E1766" s="52"/>
      <c r="F1766" s="53"/>
      <c r="G1766" s="52"/>
      <c r="H1766" s="54" t="str">
        <f aca="false">IF(E1766="","",E1766*N(F1766)*IF(G1766="",1,G1766))</f>
        <v/>
      </c>
      <c r="I1766" s="55" t="str">
        <f aca="false">IF(C1766="","",IFERROR(INDEX('DANH MỤC'!$B$5:$B$200,MATCH(C1766,'DANH MỤC'!$A$5:$A$200,0)),"⚠ Mã chưa có trong DANH MỤC"))</f>
        <v/>
      </c>
      <c r="J1766" s="52"/>
      <c r="K1766" s="52"/>
      <c r="L1766" s="52"/>
    </row>
    <row r="1767" customFormat="false" ht="15" hidden="false" customHeight="false" outlineLevel="0" collapsed="false">
      <c r="A1767" s="50"/>
      <c r="B1767" s="51" t="str">
        <f aca="false">IF(A1767="","",MONTH(A1767))</f>
        <v/>
      </c>
      <c r="C1767" s="52"/>
      <c r="D1767" s="52"/>
      <c r="E1767" s="52"/>
      <c r="F1767" s="53"/>
      <c r="G1767" s="52"/>
      <c r="H1767" s="54" t="str">
        <f aca="false">IF(E1767="","",E1767*N(F1767)*IF(G1767="",1,G1767))</f>
        <v/>
      </c>
      <c r="I1767" s="55" t="str">
        <f aca="false">IF(C1767="","",IFERROR(INDEX('DANH MỤC'!$B$5:$B$200,MATCH(C1767,'DANH MỤC'!$A$5:$A$200,0)),"⚠ Mã chưa có trong DANH MỤC"))</f>
        <v/>
      </c>
      <c r="J1767" s="52"/>
      <c r="K1767" s="52"/>
      <c r="L1767" s="52"/>
    </row>
    <row r="1768" customFormat="false" ht="15" hidden="false" customHeight="false" outlineLevel="0" collapsed="false">
      <c r="A1768" s="50"/>
      <c r="B1768" s="51" t="str">
        <f aca="false">IF(A1768="","",MONTH(A1768))</f>
        <v/>
      </c>
      <c r="C1768" s="52"/>
      <c r="D1768" s="52"/>
      <c r="E1768" s="52"/>
      <c r="F1768" s="53"/>
      <c r="G1768" s="52"/>
      <c r="H1768" s="54" t="str">
        <f aca="false">IF(E1768="","",E1768*N(F1768)*IF(G1768="",1,G1768))</f>
        <v/>
      </c>
      <c r="I1768" s="55" t="str">
        <f aca="false">IF(C1768="","",IFERROR(INDEX('DANH MỤC'!$B$5:$B$200,MATCH(C1768,'DANH MỤC'!$A$5:$A$200,0)),"⚠ Mã chưa có trong DANH MỤC"))</f>
        <v/>
      </c>
      <c r="J1768" s="52"/>
      <c r="K1768" s="52"/>
      <c r="L1768" s="52"/>
    </row>
    <row r="1769" customFormat="false" ht="15" hidden="false" customHeight="false" outlineLevel="0" collapsed="false">
      <c r="A1769" s="50"/>
      <c r="B1769" s="51" t="str">
        <f aca="false">IF(A1769="","",MONTH(A1769))</f>
        <v/>
      </c>
      <c r="C1769" s="52"/>
      <c r="D1769" s="52"/>
      <c r="E1769" s="52"/>
      <c r="F1769" s="53"/>
      <c r="G1769" s="52"/>
      <c r="H1769" s="54" t="str">
        <f aca="false">IF(E1769="","",E1769*N(F1769)*IF(G1769="",1,G1769))</f>
        <v/>
      </c>
      <c r="I1769" s="55" t="str">
        <f aca="false">IF(C1769="","",IFERROR(INDEX('DANH MỤC'!$B$5:$B$200,MATCH(C1769,'DANH MỤC'!$A$5:$A$200,0)),"⚠ Mã chưa có trong DANH MỤC"))</f>
        <v/>
      </c>
      <c r="J1769" s="52"/>
      <c r="K1769" s="52"/>
      <c r="L1769" s="52"/>
    </row>
    <row r="1770" customFormat="false" ht="15" hidden="false" customHeight="false" outlineLevel="0" collapsed="false">
      <c r="A1770" s="50"/>
      <c r="B1770" s="51" t="str">
        <f aca="false">IF(A1770="","",MONTH(A1770))</f>
        <v/>
      </c>
      <c r="C1770" s="52"/>
      <c r="D1770" s="52"/>
      <c r="E1770" s="52"/>
      <c r="F1770" s="53"/>
      <c r="G1770" s="52"/>
      <c r="H1770" s="54" t="str">
        <f aca="false">IF(E1770="","",E1770*N(F1770)*IF(G1770="",1,G1770))</f>
        <v/>
      </c>
      <c r="I1770" s="55" t="str">
        <f aca="false">IF(C1770="","",IFERROR(INDEX('DANH MỤC'!$B$5:$B$200,MATCH(C1770,'DANH MỤC'!$A$5:$A$200,0)),"⚠ Mã chưa có trong DANH MỤC"))</f>
        <v/>
      </c>
      <c r="J1770" s="52"/>
      <c r="K1770" s="52"/>
      <c r="L1770" s="52"/>
    </row>
    <row r="1771" customFormat="false" ht="15" hidden="false" customHeight="false" outlineLevel="0" collapsed="false">
      <c r="A1771" s="50"/>
      <c r="B1771" s="51" t="str">
        <f aca="false">IF(A1771="","",MONTH(A1771))</f>
        <v/>
      </c>
      <c r="C1771" s="52"/>
      <c r="D1771" s="52"/>
      <c r="E1771" s="52"/>
      <c r="F1771" s="53"/>
      <c r="G1771" s="52"/>
      <c r="H1771" s="54" t="str">
        <f aca="false">IF(E1771="","",E1771*N(F1771)*IF(G1771="",1,G1771))</f>
        <v/>
      </c>
      <c r="I1771" s="55" t="str">
        <f aca="false">IF(C1771="","",IFERROR(INDEX('DANH MỤC'!$B$5:$B$200,MATCH(C1771,'DANH MỤC'!$A$5:$A$200,0)),"⚠ Mã chưa có trong DANH MỤC"))</f>
        <v/>
      </c>
      <c r="J1771" s="52"/>
      <c r="K1771" s="52"/>
      <c r="L1771" s="52"/>
    </row>
    <row r="1772" customFormat="false" ht="15" hidden="false" customHeight="false" outlineLevel="0" collapsed="false">
      <c r="A1772" s="50"/>
      <c r="B1772" s="51" t="str">
        <f aca="false">IF(A1772="","",MONTH(A1772))</f>
        <v/>
      </c>
      <c r="C1772" s="52"/>
      <c r="D1772" s="52"/>
      <c r="E1772" s="52"/>
      <c r="F1772" s="53"/>
      <c r="G1772" s="52"/>
      <c r="H1772" s="54" t="str">
        <f aca="false">IF(E1772="","",E1772*N(F1772)*IF(G1772="",1,G1772))</f>
        <v/>
      </c>
      <c r="I1772" s="55" t="str">
        <f aca="false">IF(C1772="","",IFERROR(INDEX('DANH MỤC'!$B$5:$B$200,MATCH(C1772,'DANH MỤC'!$A$5:$A$200,0)),"⚠ Mã chưa có trong DANH MỤC"))</f>
        <v/>
      </c>
      <c r="J1772" s="52"/>
      <c r="K1772" s="52"/>
      <c r="L1772" s="52"/>
    </row>
    <row r="1773" customFormat="false" ht="15" hidden="false" customHeight="false" outlineLevel="0" collapsed="false">
      <c r="A1773" s="50"/>
      <c r="B1773" s="51" t="str">
        <f aca="false">IF(A1773="","",MONTH(A1773))</f>
        <v/>
      </c>
      <c r="C1773" s="52"/>
      <c r="D1773" s="52"/>
      <c r="E1773" s="52"/>
      <c r="F1773" s="53"/>
      <c r="G1773" s="52"/>
      <c r="H1773" s="54" t="str">
        <f aca="false">IF(E1773="","",E1773*N(F1773)*IF(G1773="",1,G1773))</f>
        <v/>
      </c>
      <c r="I1773" s="55" t="str">
        <f aca="false">IF(C1773="","",IFERROR(INDEX('DANH MỤC'!$B$5:$B$200,MATCH(C1773,'DANH MỤC'!$A$5:$A$200,0)),"⚠ Mã chưa có trong DANH MỤC"))</f>
        <v/>
      </c>
      <c r="J1773" s="52"/>
      <c r="K1773" s="52"/>
      <c r="L1773" s="52"/>
    </row>
    <row r="1774" customFormat="false" ht="15" hidden="false" customHeight="false" outlineLevel="0" collapsed="false">
      <c r="A1774" s="50"/>
      <c r="B1774" s="51" t="str">
        <f aca="false">IF(A1774="","",MONTH(A1774))</f>
        <v/>
      </c>
      <c r="C1774" s="52"/>
      <c r="D1774" s="52"/>
      <c r="E1774" s="52"/>
      <c r="F1774" s="53"/>
      <c r="G1774" s="52"/>
      <c r="H1774" s="54" t="str">
        <f aca="false">IF(E1774="","",E1774*N(F1774)*IF(G1774="",1,G1774))</f>
        <v/>
      </c>
      <c r="I1774" s="55" t="str">
        <f aca="false">IF(C1774="","",IFERROR(INDEX('DANH MỤC'!$B$5:$B$200,MATCH(C1774,'DANH MỤC'!$A$5:$A$200,0)),"⚠ Mã chưa có trong DANH MỤC"))</f>
        <v/>
      </c>
      <c r="J1774" s="52"/>
      <c r="K1774" s="52"/>
      <c r="L1774" s="52"/>
    </row>
    <row r="1775" customFormat="false" ht="15" hidden="false" customHeight="false" outlineLevel="0" collapsed="false">
      <c r="A1775" s="50"/>
      <c r="B1775" s="51" t="str">
        <f aca="false">IF(A1775="","",MONTH(A1775))</f>
        <v/>
      </c>
      <c r="C1775" s="52"/>
      <c r="D1775" s="52"/>
      <c r="E1775" s="52"/>
      <c r="F1775" s="53"/>
      <c r="G1775" s="52"/>
      <c r="H1775" s="54" t="str">
        <f aca="false">IF(E1775="","",E1775*N(F1775)*IF(G1775="",1,G1775))</f>
        <v/>
      </c>
      <c r="I1775" s="55" t="str">
        <f aca="false">IF(C1775="","",IFERROR(INDEX('DANH MỤC'!$B$5:$B$200,MATCH(C1775,'DANH MỤC'!$A$5:$A$200,0)),"⚠ Mã chưa có trong DANH MỤC"))</f>
        <v/>
      </c>
      <c r="J1775" s="52"/>
      <c r="K1775" s="52"/>
      <c r="L1775" s="52"/>
    </row>
    <row r="1776" customFormat="false" ht="15" hidden="false" customHeight="false" outlineLevel="0" collapsed="false">
      <c r="A1776" s="50"/>
      <c r="B1776" s="51" t="str">
        <f aca="false">IF(A1776="","",MONTH(A1776))</f>
        <v/>
      </c>
      <c r="C1776" s="52"/>
      <c r="D1776" s="52"/>
      <c r="E1776" s="52"/>
      <c r="F1776" s="53"/>
      <c r="G1776" s="52"/>
      <c r="H1776" s="54" t="str">
        <f aca="false">IF(E1776="","",E1776*N(F1776)*IF(G1776="",1,G1776))</f>
        <v/>
      </c>
      <c r="I1776" s="55" t="str">
        <f aca="false">IF(C1776="","",IFERROR(INDEX('DANH MỤC'!$B$5:$B$200,MATCH(C1776,'DANH MỤC'!$A$5:$A$200,0)),"⚠ Mã chưa có trong DANH MỤC"))</f>
        <v/>
      </c>
      <c r="J1776" s="52"/>
      <c r="K1776" s="52"/>
      <c r="L1776" s="52"/>
    </row>
    <row r="1777" customFormat="false" ht="15" hidden="false" customHeight="false" outlineLevel="0" collapsed="false">
      <c r="A1777" s="50"/>
      <c r="B1777" s="51" t="str">
        <f aca="false">IF(A1777="","",MONTH(A1777))</f>
        <v/>
      </c>
      <c r="C1777" s="52"/>
      <c r="D1777" s="52"/>
      <c r="E1777" s="52"/>
      <c r="F1777" s="53"/>
      <c r="G1777" s="52"/>
      <c r="H1777" s="54" t="str">
        <f aca="false">IF(E1777="","",E1777*N(F1777)*IF(G1777="",1,G1777))</f>
        <v/>
      </c>
      <c r="I1777" s="55" t="str">
        <f aca="false">IF(C1777="","",IFERROR(INDEX('DANH MỤC'!$B$5:$B$200,MATCH(C1777,'DANH MỤC'!$A$5:$A$200,0)),"⚠ Mã chưa có trong DANH MỤC"))</f>
        <v/>
      </c>
      <c r="J1777" s="52"/>
      <c r="K1777" s="52"/>
      <c r="L1777" s="52"/>
    </row>
    <row r="1778" customFormat="false" ht="15" hidden="false" customHeight="false" outlineLevel="0" collapsed="false">
      <c r="A1778" s="50"/>
      <c r="B1778" s="51" t="str">
        <f aca="false">IF(A1778="","",MONTH(A1778))</f>
        <v/>
      </c>
      <c r="C1778" s="52"/>
      <c r="D1778" s="52"/>
      <c r="E1778" s="52"/>
      <c r="F1778" s="53"/>
      <c r="G1778" s="52"/>
      <c r="H1778" s="54" t="str">
        <f aca="false">IF(E1778="","",E1778*N(F1778)*IF(G1778="",1,G1778))</f>
        <v/>
      </c>
      <c r="I1778" s="55" t="str">
        <f aca="false">IF(C1778="","",IFERROR(INDEX('DANH MỤC'!$B$5:$B$200,MATCH(C1778,'DANH MỤC'!$A$5:$A$200,0)),"⚠ Mã chưa có trong DANH MỤC"))</f>
        <v/>
      </c>
      <c r="J1778" s="52"/>
      <c r="K1778" s="52"/>
      <c r="L1778" s="52"/>
    </row>
    <row r="1779" customFormat="false" ht="15" hidden="false" customHeight="false" outlineLevel="0" collapsed="false">
      <c r="A1779" s="50"/>
      <c r="B1779" s="51" t="str">
        <f aca="false">IF(A1779="","",MONTH(A1779))</f>
        <v/>
      </c>
      <c r="C1779" s="52"/>
      <c r="D1779" s="52"/>
      <c r="E1779" s="52"/>
      <c r="F1779" s="53"/>
      <c r="G1779" s="52"/>
      <c r="H1779" s="54" t="str">
        <f aca="false">IF(E1779="","",E1779*N(F1779)*IF(G1779="",1,G1779))</f>
        <v/>
      </c>
      <c r="I1779" s="55" t="str">
        <f aca="false">IF(C1779="","",IFERROR(INDEX('DANH MỤC'!$B$5:$B$200,MATCH(C1779,'DANH MỤC'!$A$5:$A$200,0)),"⚠ Mã chưa có trong DANH MỤC"))</f>
        <v/>
      </c>
      <c r="J1779" s="52"/>
      <c r="K1779" s="52"/>
      <c r="L1779" s="52"/>
    </row>
    <row r="1780" customFormat="false" ht="15" hidden="false" customHeight="false" outlineLevel="0" collapsed="false">
      <c r="A1780" s="50"/>
      <c r="B1780" s="51" t="str">
        <f aca="false">IF(A1780="","",MONTH(A1780))</f>
        <v/>
      </c>
      <c r="C1780" s="52"/>
      <c r="D1780" s="52"/>
      <c r="E1780" s="52"/>
      <c r="F1780" s="53"/>
      <c r="G1780" s="52"/>
      <c r="H1780" s="54" t="str">
        <f aca="false">IF(E1780="","",E1780*N(F1780)*IF(G1780="",1,G1780))</f>
        <v/>
      </c>
      <c r="I1780" s="55" t="str">
        <f aca="false">IF(C1780="","",IFERROR(INDEX('DANH MỤC'!$B$5:$B$200,MATCH(C1780,'DANH MỤC'!$A$5:$A$200,0)),"⚠ Mã chưa có trong DANH MỤC"))</f>
        <v/>
      </c>
      <c r="J1780" s="52"/>
      <c r="K1780" s="52"/>
      <c r="L1780" s="52"/>
    </row>
    <row r="1781" customFormat="false" ht="15" hidden="false" customHeight="false" outlineLevel="0" collapsed="false">
      <c r="A1781" s="50"/>
      <c r="B1781" s="51" t="str">
        <f aca="false">IF(A1781="","",MONTH(A1781))</f>
        <v/>
      </c>
      <c r="C1781" s="52"/>
      <c r="D1781" s="52"/>
      <c r="E1781" s="52"/>
      <c r="F1781" s="53"/>
      <c r="G1781" s="52"/>
      <c r="H1781" s="54" t="str">
        <f aca="false">IF(E1781="","",E1781*N(F1781)*IF(G1781="",1,G1781))</f>
        <v/>
      </c>
      <c r="I1781" s="55" t="str">
        <f aca="false">IF(C1781="","",IFERROR(INDEX('DANH MỤC'!$B$5:$B$200,MATCH(C1781,'DANH MỤC'!$A$5:$A$200,0)),"⚠ Mã chưa có trong DANH MỤC"))</f>
        <v/>
      </c>
      <c r="J1781" s="52"/>
      <c r="K1781" s="52"/>
      <c r="L1781" s="52"/>
    </row>
    <row r="1782" customFormat="false" ht="15" hidden="false" customHeight="false" outlineLevel="0" collapsed="false">
      <c r="A1782" s="50"/>
      <c r="B1782" s="51" t="str">
        <f aca="false">IF(A1782="","",MONTH(A1782))</f>
        <v/>
      </c>
      <c r="C1782" s="52"/>
      <c r="D1782" s="52"/>
      <c r="E1782" s="52"/>
      <c r="F1782" s="53"/>
      <c r="G1782" s="52"/>
      <c r="H1782" s="54" t="str">
        <f aca="false">IF(E1782="","",E1782*N(F1782)*IF(G1782="",1,G1782))</f>
        <v/>
      </c>
      <c r="I1782" s="55" t="str">
        <f aca="false">IF(C1782="","",IFERROR(INDEX('DANH MỤC'!$B$5:$B$200,MATCH(C1782,'DANH MỤC'!$A$5:$A$200,0)),"⚠ Mã chưa có trong DANH MỤC"))</f>
        <v/>
      </c>
      <c r="J1782" s="52"/>
      <c r="K1782" s="52"/>
      <c r="L1782" s="52"/>
    </row>
    <row r="1783" customFormat="false" ht="15" hidden="false" customHeight="false" outlineLevel="0" collapsed="false">
      <c r="A1783" s="50"/>
      <c r="B1783" s="51" t="str">
        <f aca="false">IF(A1783="","",MONTH(A1783))</f>
        <v/>
      </c>
      <c r="C1783" s="52"/>
      <c r="D1783" s="52"/>
      <c r="E1783" s="52"/>
      <c r="F1783" s="53"/>
      <c r="G1783" s="52"/>
      <c r="H1783" s="54" t="str">
        <f aca="false">IF(E1783="","",E1783*N(F1783)*IF(G1783="",1,G1783))</f>
        <v/>
      </c>
      <c r="I1783" s="55" t="str">
        <f aca="false">IF(C1783="","",IFERROR(INDEX('DANH MỤC'!$B$5:$B$200,MATCH(C1783,'DANH MỤC'!$A$5:$A$200,0)),"⚠ Mã chưa có trong DANH MỤC"))</f>
        <v/>
      </c>
      <c r="J1783" s="52"/>
      <c r="K1783" s="52"/>
      <c r="L1783" s="52"/>
    </row>
    <row r="1784" customFormat="false" ht="15" hidden="false" customHeight="false" outlineLevel="0" collapsed="false">
      <c r="A1784" s="50"/>
      <c r="B1784" s="51" t="str">
        <f aca="false">IF(A1784="","",MONTH(A1784))</f>
        <v/>
      </c>
      <c r="C1784" s="52"/>
      <c r="D1784" s="52"/>
      <c r="E1784" s="52"/>
      <c r="F1784" s="53"/>
      <c r="G1784" s="52"/>
      <c r="H1784" s="54" t="str">
        <f aca="false">IF(E1784="","",E1784*N(F1784)*IF(G1784="",1,G1784))</f>
        <v/>
      </c>
      <c r="I1784" s="55" t="str">
        <f aca="false">IF(C1784="","",IFERROR(INDEX('DANH MỤC'!$B$5:$B$200,MATCH(C1784,'DANH MỤC'!$A$5:$A$200,0)),"⚠ Mã chưa có trong DANH MỤC"))</f>
        <v/>
      </c>
      <c r="J1784" s="52"/>
      <c r="K1784" s="52"/>
      <c r="L1784" s="52"/>
    </row>
    <row r="1785" customFormat="false" ht="15" hidden="false" customHeight="false" outlineLevel="0" collapsed="false">
      <c r="A1785" s="50"/>
      <c r="B1785" s="51" t="str">
        <f aca="false">IF(A1785="","",MONTH(A1785))</f>
        <v/>
      </c>
      <c r="C1785" s="52"/>
      <c r="D1785" s="52"/>
      <c r="E1785" s="52"/>
      <c r="F1785" s="53"/>
      <c r="G1785" s="52"/>
      <c r="H1785" s="54" t="str">
        <f aca="false">IF(E1785="","",E1785*N(F1785)*IF(G1785="",1,G1785))</f>
        <v/>
      </c>
      <c r="I1785" s="55" t="str">
        <f aca="false">IF(C1785="","",IFERROR(INDEX('DANH MỤC'!$B$5:$B$200,MATCH(C1785,'DANH MỤC'!$A$5:$A$200,0)),"⚠ Mã chưa có trong DANH MỤC"))</f>
        <v/>
      </c>
      <c r="J1785" s="52"/>
      <c r="K1785" s="52"/>
      <c r="L1785" s="52"/>
    </row>
    <row r="1786" customFormat="false" ht="15" hidden="false" customHeight="false" outlineLevel="0" collapsed="false">
      <c r="A1786" s="50"/>
      <c r="B1786" s="51" t="str">
        <f aca="false">IF(A1786="","",MONTH(A1786))</f>
        <v/>
      </c>
      <c r="C1786" s="52"/>
      <c r="D1786" s="52"/>
      <c r="E1786" s="52"/>
      <c r="F1786" s="53"/>
      <c r="G1786" s="52"/>
      <c r="H1786" s="54" t="str">
        <f aca="false">IF(E1786="","",E1786*N(F1786)*IF(G1786="",1,G1786))</f>
        <v/>
      </c>
      <c r="I1786" s="55" t="str">
        <f aca="false">IF(C1786="","",IFERROR(INDEX('DANH MỤC'!$B$5:$B$200,MATCH(C1786,'DANH MỤC'!$A$5:$A$200,0)),"⚠ Mã chưa có trong DANH MỤC"))</f>
        <v/>
      </c>
      <c r="J1786" s="52"/>
      <c r="K1786" s="52"/>
      <c r="L1786" s="52"/>
    </row>
    <row r="1787" customFormat="false" ht="15" hidden="false" customHeight="false" outlineLevel="0" collapsed="false">
      <c r="A1787" s="50"/>
      <c r="B1787" s="51" t="str">
        <f aca="false">IF(A1787="","",MONTH(A1787))</f>
        <v/>
      </c>
      <c r="C1787" s="52"/>
      <c r="D1787" s="52"/>
      <c r="E1787" s="52"/>
      <c r="F1787" s="53"/>
      <c r="G1787" s="52"/>
      <c r="H1787" s="54" t="str">
        <f aca="false">IF(E1787="","",E1787*N(F1787)*IF(G1787="",1,G1787))</f>
        <v/>
      </c>
      <c r="I1787" s="55" t="str">
        <f aca="false">IF(C1787="","",IFERROR(INDEX('DANH MỤC'!$B$5:$B$200,MATCH(C1787,'DANH MỤC'!$A$5:$A$200,0)),"⚠ Mã chưa có trong DANH MỤC"))</f>
        <v/>
      </c>
      <c r="J1787" s="52"/>
      <c r="K1787" s="52"/>
      <c r="L1787" s="52"/>
    </row>
    <row r="1788" customFormat="false" ht="15" hidden="false" customHeight="false" outlineLevel="0" collapsed="false">
      <c r="A1788" s="50"/>
      <c r="B1788" s="51" t="str">
        <f aca="false">IF(A1788="","",MONTH(A1788))</f>
        <v/>
      </c>
      <c r="C1788" s="52"/>
      <c r="D1788" s="52"/>
      <c r="E1788" s="52"/>
      <c r="F1788" s="53"/>
      <c r="G1788" s="52"/>
      <c r="H1788" s="54" t="str">
        <f aca="false">IF(E1788="","",E1788*N(F1788)*IF(G1788="",1,G1788))</f>
        <v/>
      </c>
      <c r="I1788" s="55" t="str">
        <f aca="false">IF(C1788="","",IFERROR(INDEX('DANH MỤC'!$B$5:$B$200,MATCH(C1788,'DANH MỤC'!$A$5:$A$200,0)),"⚠ Mã chưa có trong DANH MỤC"))</f>
        <v/>
      </c>
      <c r="J1788" s="52"/>
      <c r="K1788" s="52"/>
      <c r="L1788" s="52"/>
    </row>
    <row r="1789" customFormat="false" ht="15" hidden="false" customHeight="false" outlineLevel="0" collapsed="false">
      <c r="A1789" s="50"/>
      <c r="B1789" s="51" t="str">
        <f aca="false">IF(A1789="","",MONTH(A1789))</f>
        <v/>
      </c>
      <c r="C1789" s="52"/>
      <c r="D1789" s="52"/>
      <c r="E1789" s="52"/>
      <c r="F1789" s="53"/>
      <c r="G1789" s="52"/>
      <c r="H1789" s="54" t="str">
        <f aca="false">IF(E1789="","",E1789*N(F1789)*IF(G1789="",1,G1789))</f>
        <v/>
      </c>
      <c r="I1789" s="55" t="str">
        <f aca="false">IF(C1789="","",IFERROR(INDEX('DANH MỤC'!$B$5:$B$200,MATCH(C1789,'DANH MỤC'!$A$5:$A$200,0)),"⚠ Mã chưa có trong DANH MỤC"))</f>
        <v/>
      </c>
      <c r="J1789" s="52"/>
      <c r="K1789" s="52"/>
      <c r="L1789" s="52"/>
    </row>
    <row r="1790" customFormat="false" ht="15" hidden="false" customHeight="false" outlineLevel="0" collapsed="false">
      <c r="A1790" s="50"/>
      <c r="B1790" s="51" t="str">
        <f aca="false">IF(A1790="","",MONTH(A1790))</f>
        <v/>
      </c>
      <c r="C1790" s="52"/>
      <c r="D1790" s="52"/>
      <c r="E1790" s="52"/>
      <c r="F1790" s="53"/>
      <c r="G1790" s="52"/>
      <c r="H1790" s="54" t="str">
        <f aca="false">IF(E1790="","",E1790*N(F1790)*IF(G1790="",1,G1790))</f>
        <v/>
      </c>
      <c r="I1790" s="55" t="str">
        <f aca="false">IF(C1790="","",IFERROR(INDEX('DANH MỤC'!$B$5:$B$200,MATCH(C1790,'DANH MỤC'!$A$5:$A$200,0)),"⚠ Mã chưa có trong DANH MỤC"))</f>
        <v/>
      </c>
      <c r="J1790" s="52"/>
      <c r="K1790" s="52"/>
      <c r="L1790" s="52"/>
    </row>
    <row r="1791" customFormat="false" ht="15" hidden="false" customHeight="false" outlineLevel="0" collapsed="false">
      <c r="A1791" s="50"/>
      <c r="B1791" s="51" t="str">
        <f aca="false">IF(A1791="","",MONTH(A1791))</f>
        <v/>
      </c>
      <c r="C1791" s="52"/>
      <c r="D1791" s="52"/>
      <c r="E1791" s="52"/>
      <c r="F1791" s="53"/>
      <c r="G1791" s="52"/>
      <c r="H1791" s="54" t="str">
        <f aca="false">IF(E1791="","",E1791*N(F1791)*IF(G1791="",1,G1791))</f>
        <v/>
      </c>
      <c r="I1791" s="55" t="str">
        <f aca="false">IF(C1791="","",IFERROR(INDEX('DANH MỤC'!$B$5:$B$200,MATCH(C1791,'DANH MỤC'!$A$5:$A$200,0)),"⚠ Mã chưa có trong DANH MỤC"))</f>
        <v/>
      </c>
      <c r="J1791" s="52"/>
      <c r="K1791" s="52"/>
      <c r="L1791" s="52"/>
    </row>
    <row r="1792" customFormat="false" ht="15" hidden="false" customHeight="false" outlineLevel="0" collapsed="false">
      <c r="A1792" s="50"/>
      <c r="B1792" s="51" t="str">
        <f aca="false">IF(A1792="","",MONTH(A1792))</f>
        <v/>
      </c>
      <c r="C1792" s="52"/>
      <c r="D1792" s="52"/>
      <c r="E1792" s="52"/>
      <c r="F1792" s="53"/>
      <c r="G1792" s="52"/>
      <c r="H1792" s="54" t="str">
        <f aca="false">IF(E1792="","",E1792*N(F1792)*IF(G1792="",1,G1792))</f>
        <v/>
      </c>
      <c r="I1792" s="55" t="str">
        <f aca="false">IF(C1792="","",IFERROR(INDEX('DANH MỤC'!$B$5:$B$200,MATCH(C1792,'DANH MỤC'!$A$5:$A$200,0)),"⚠ Mã chưa có trong DANH MỤC"))</f>
        <v/>
      </c>
      <c r="J1792" s="52"/>
      <c r="K1792" s="52"/>
      <c r="L1792" s="52"/>
    </row>
    <row r="1793" customFormat="false" ht="15" hidden="false" customHeight="false" outlineLevel="0" collapsed="false">
      <c r="A1793" s="50"/>
      <c r="B1793" s="51" t="str">
        <f aca="false">IF(A1793="","",MONTH(A1793))</f>
        <v/>
      </c>
      <c r="C1793" s="52"/>
      <c r="D1793" s="52"/>
      <c r="E1793" s="52"/>
      <c r="F1793" s="53"/>
      <c r="G1793" s="52"/>
      <c r="H1793" s="54" t="str">
        <f aca="false">IF(E1793="","",E1793*N(F1793)*IF(G1793="",1,G1793))</f>
        <v/>
      </c>
      <c r="I1793" s="55" t="str">
        <f aca="false">IF(C1793="","",IFERROR(INDEX('DANH MỤC'!$B$5:$B$200,MATCH(C1793,'DANH MỤC'!$A$5:$A$200,0)),"⚠ Mã chưa có trong DANH MỤC"))</f>
        <v/>
      </c>
      <c r="J1793" s="52"/>
      <c r="K1793" s="52"/>
      <c r="L1793" s="52"/>
    </row>
    <row r="1794" customFormat="false" ht="15" hidden="false" customHeight="false" outlineLevel="0" collapsed="false">
      <c r="A1794" s="50"/>
      <c r="B1794" s="51" t="str">
        <f aca="false">IF(A1794="","",MONTH(A1794))</f>
        <v/>
      </c>
      <c r="C1794" s="52"/>
      <c r="D1794" s="52"/>
      <c r="E1794" s="52"/>
      <c r="F1794" s="53"/>
      <c r="G1794" s="52"/>
      <c r="H1794" s="54" t="str">
        <f aca="false">IF(E1794="","",E1794*N(F1794)*IF(G1794="",1,G1794))</f>
        <v/>
      </c>
      <c r="I1794" s="55" t="str">
        <f aca="false">IF(C1794="","",IFERROR(INDEX('DANH MỤC'!$B$5:$B$200,MATCH(C1794,'DANH MỤC'!$A$5:$A$200,0)),"⚠ Mã chưa có trong DANH MỤC"))</f>
        <v/>
      </c>
      <c r="J1794" s="52"/>
      <c r="K1794" s="52"/>
      <c r="L1794" s="52"/>
    </row>
    <row r="1795" customFormat="false" ht="15" hidden="false" customHeight="false" outlineLevel="0" collapsed="false">
      <c r="A1795" s="50"/>
      <c r="B1795" s="51" t="str">
        <f aca="false">IF(A1795="","",MONTH(A1795))</f>
        <v/>
      </c>
      <c r="C1795" s="52"/>
      <c r="D1795" s="52"/>
      <c r="E1795" s="52"/>
      <c r="F1795" s="53"/>
      <c r="G1795" s="52"/>
      <c r="H1795" s="54" t="str">
        <f aca="false">IF(E1795="","",E1795*N(F1795)*IF(G1795="",1,G1795))</f>
        <v/>
      </c>
      <c r="I1795" s="55" t="str">
        <f aca="false">IF(C1795="","",IFERROR(INDEX('DANH MỤC'!$B$5:$B$200,MATCH(C1795,'DANH MỤC'!$A$5:$A$200,0)),"⚠ Mã chưa có trong DANH MỤC"))</f>
        <v/>
      </c>
      <c r="J1795" s="52"/>
      <c r="K1795" s="52"/>
      <c r="L1795" s="52"/>
    </row>
    <row r="1796" customFormat="false" ht="15" hidden="false" customHeight="false" outlineLevel="0" collapsed="false">
      <c r="A1796" s="50"/>
      <c r="B1796" s="51" t="str">
        <f aca="false">IF(A1796="","",MONTH(A1796))</f>
        <v/>
      </c>
      <c r="C1796" s="52"/>
      <c r="D1796" s="52"/>
      <c r="E1796" s="52"/>
      <c r="F1796" s="53"/>
      <c r="G1796" s="52"/>
      <c r="H1796" s="54" t="str">
        <f aca="false">IF(E1796="","",E1796*N(F1796)*IF(G1796="",1,G1796))</f>
        <v/>
      </c>
      <c r="I1796" s="55" t="str">
        <f aca="false">IF(C1796="","",IFERROR(INDEX('DANH MỤC'!$B$5:$B$200,MATCH(C1796,'DANH MỤC'!$A$5:$A$200,0)),"⚠ Mã chưa có trong DANH MỤC"))</f>
        <v/>
      </c>
      <c r="J1796" s="52"/>
      <c r="K1796" s="52"/>
      <c r="L1796" s="52"/>
    </row>
    <row r="1797" customFormat="false" ht="15" hidden="false" customHeight="false" outlineLevel="0" collapsed="false">
      <c r="A1797" s="50"/>
      <c r="B1797" s="51" t="str">
        <f aca="false">IF(A1797="","",MONTH(A1797))</f>
        <v/>
      </c>
      <c r="C1797" s="52"/>
      <c r="D1797" s="52"/>
      <c r="E1797" s="52"/>
      <c r="F1797" s="53"/>
      <c r="G1797" s="52"/>
      <c r="H1797" s="54" t="str">
        <f aca="false">IF(E1797="","",E1797*N(F1797)*IF(G1797="",1,G1797))</f>
        <v/>
      </c>
      <c r="I1797" s="55" t="str">
        <f aca="false">IF(C1797="","",IFERROR(INDEX('DANH MỤC'!$B$5:$B$200,MATCH(C1797,'DANH MỤC'!$A$5:$A$200,0)),"⚠ Mã chưa có trong DANH MỤC"))</f>
        <v/>
      </c>
      <c r="J1797" s="52"/>
      <c r="K1797" s="52"/>
      <c r="L1797" s="52"/>
    </row>
    <row r="1798" customFormat="false" ht="15" hidden="false" customHeight="false" outlineLevel="0" collapsed="false">
      <c r="A1798" s="50"/>
      <c r="B1798" s="51" t="str">
        <f aca="false">IF(A1798="","",MONTH(A1798))</f>
        <v/>
      </c>
      <c r="C1798" s="52"/>
      <c r="D1798" s="52"/>
      <c r="E1798" s="52"/>
      <c r="F1798" s="53"/>
      <c r="G1798" s="52"/>
      <c r="H1798" s="54" t="str">
        <f aca="false">IF(E1798="","",E1798*N(F1798)*IF(G1798="",1,G1798))</f>
        <v/>
      </c>
      <c r="I1798" s="55" t="str">
        <f aca="false">IF(C1798="","",IFERROR(INDEX('DANH MỤC'!$B$5:$B$200,MATCH(C1798,'DANH MỤC'!$A$5:$A$200,0)),"⚠ Mã chưa có trong DANH MỤC"))</f>
        <v/>
      </c>
      <c r="J1798" s="52"/>
      <c r="K1798" s="52"/>
      <c r="L1798" s="52"/>
    </row>
    <row r="1799" customFormat="false" ht="15" hidden="false" customHeight="false" outlineLevel="0" collapsed="false">
      <c r="A1799" s="50"/>
      <c r="B1799" s="51" t="str">
        <f aca="false">IF(A1799="","",MONTH(A1799))</f>
        <v/>
      </c>
      <c r="C1799" s="52"/>
      <c r="D1799" s="52"/>
      <c r="E1799" s="52"/>
      <c r="F1799" s="53"/>
      <c r="G1799" s="52"/>
      <c r="H1799" s="54" t="str">
        <f aca="false">IF(E1799="","",E1799*N(F1799)*IF(G1799="",1,G1799))</f>
        <v/>
      </c>
      <c r="I1799" s="55" t="str">
        <f aca="false">IF(C1799="","",IFERROR(INDEX('DANH MỤC'!$B$5:$B$200,MATCH(C1799,'DANH MỤC'!$A$5:$A$200,0)),"⚠ Mã chưa có trong DANH MỤC"))</f>
        <v/>
      </c>
      <c r="J1799" s="52"/>
      <c r="K1799" s="52"/>
      <c r="L1799" s="52"/>
    </row>
    <row r="1800" customFormat="false" ht="15" hidden="false" customHeight="false" outlineLevel="0" collapsed="false">
      <c r="A1800" s="50"/>
      <c r="B1800" s="51" t="str">
        <f aca="false">IF(A1800="","",MONTH(A1800))</f>
        <v/>
      </c>
      <c r="C1800" s="52"/>
      <c r="D1800" s="52"/>
      <c r="E1800" s="52"/>
      <c r="F1800" s="53"/>
      <c r="G1800" s="52"/>
      <c r="H1800" s="54" t="str">
        <f aca="false">IF(E1800="","",E1800*N(F1800)*IF(G1800="",1,G1800))</f>
        <v/>
      </c>
      <c r="I1800" s="55" t="str">
        <f aca="false">IF(C1800="","",IFERROR(INDEX('DANH MỤC'!$B$5:$B$200,MATCH(C1800,'DANH MỤC'!$A$5:$A$200,0)),"⚠ Mã chưa có trong DANH MỤC"))</f>
        <v/>
      </c>
      <c r="J1800" s="52"/>
      <c r="K1800" s="52"/>
      <c r="L1800" s="52"/>
    </row>
    <row r="1801" customFormat="false" ht="15" hidden="false" customHeight="false" outlineLevel="0" collapsed="false">
      <c r="A1801" s="50"/>
      <c r="B1801" s="51" t="str">
        <f aca="false">IF(A1801="","",MONTH(A1801))</f>
        <v/>
      </c>
      <c r="C1801" s="52"/>
      <c r="D1801" s="52"/>
      <c r="E1801" s="52"/>
      <c r="F1801" s="53"/>
      <c r="G1801" s="52"/>
      <c r="H1801" s="54" t="str">
        <f aca="false">IF(E1801="","",E1801*N(F1801)*IF(G1801="",1,G1801))</f>
        <v/>
      </c>
      <c r="I1801" s="55" t="str">
        <f aca="false">IF(C1801="","",IFERROR(INDEX('DANH MỤC'!$B$5:$B$200,MATCH(C1801,'DANH MỤC'!$A$5:$A$200,0)),"⚠ Mã chưa có trong DANH MỤC"))</f>
        <v/>
      </c>
      <c r="J1801" s="52"/>
      <c r="K1801" s="52"/>
      <c r="L1801" s="52"/>
    </row>
    <row r="1802" customFormat="false" ht="15" hidden="false" customHeight="false" outlineLevel="0" collapsed="false">
      <c r="A1802" s="50"/>
      <c r="B1802" s="51" t="str">
        <f aca="false">IF(A1802="","",MONTH(A1802))</f>
        <v/>
      </c>
      <c r="C1802" s="52"/>
      <c r="D1802" s="52"/>
      <c r="E1802" s="52"/>
      <c r="F1802" s="53"/>
      <c r="G1802" s="52"/>
      <c r="H1802" s="54" t="str">
        <f aca="false">IF(E1802="","",E1802*N(F1802)*IF(G1802="",1,G1802))</f>
        <v/>
      </c>
      <c r="I1802" s="55" t="str">
        <f aca="false">IF(C1802="","",IFERROR(INDEX('DANH MỤC'!$B$5:$B$200,MATCH(C1802,'DANH MỤC'!$A$5:$A$200,0)),"⚠ Mã chưa có trong DANH MỤC"))</f>
        <v/>
      </c>
      <c r="J1802" s="52"/>
      <c r="K1802" s="52"/>
      <c r="L1802" s="52"/>
    </row>
    <row r="1803" customFormat="false" ht="15" hidden="false" customHeight="false" outlineLevel="0" collapsed="false">
      <c r="A1803" s="50"/>
      <c r="B1803" s="51" t="str">
        <f aca="false">IF(A1803="","",MONTH(A1803))</f>
        <v/>
      </c>
      <c r="C1803" s="52"/>
      <c r="D1803" s="52"/>
      <c r="E1803" s="52"/>
      <c r="F1803" s="53"/>
      <c r="G1803" s="52"/>
      <c r="H1803" s="54" t="str">
        <f aca="false">IF(E1803="","",E1803*N(F1803)*IF(G1803="",1,G1803))</f>
        <v/>
      </c>
      <c r="I1803" s="55" t="str">
        <f aca="false">IF(C1803="","",IFERROR(INDEX('DANH MỤC'!$B$5:$B$200,MATCH(C1803,'DANH MỤC'!$A$5:$A$200,0)),"⚠ Mã chưa có trong DANH MỤC"))</f>
        <v/>
      </c>
      <c r="J1803" s="52"/>
      <c r="K1803" s="52"/>
      <c r="L1803" s="52"/>
    </row>
    <row r="1804" customFormat="false" ht="15" hidden="false" customHeight="false" outlineLevel="0" collapsed="false">
      <c r="A1804" s="50"/>
      <c r="B1804" s="51" t="str">
        <f aca="false">IF(A1804="","",MONTH(A1804))</f>
        <v/>
      </c>
      <c r="C1804" s="52"/>
      <c r="D1804" s="52"/>
      <c r="E1804" s="52"/>
      <c r="F1804" s="53"/>
      <c r="G1804" s="52"/>
      <c r="H1804" s="54" t="str">
        <f aca="false">IF(E1804="","",E1804*N(F1804)*IF(G1804="",1,G1804))</f>
        <v/>
      </c>
      <c r="I1804" s="55" t="str">
        <f aca="false">IF(C1804="","",IFERROR(INDEX('DANH MỤC'!$B$5:$B$200,MATCH(C1804,'DANH MỤC'!$A$5:$A$200,0)),"⚠ Mã chưa có trong DANH MỤC"))</f>
        <v/>
      </c>
      <c r="J1804" s="52"/>
      <c r="K1804" s="52"/>
      <c r="L1804" s="52"/>
    </row>
    <row r="1805" customFormat="false" ht="15" hidden="false" customHeight="false" outlineLevel="0" collapsed="false">
      <c r="A1805" s="50"/>
      <c r="B1805" s="51" t="str">
        <f aca="false">IF(A1805="","",MONTH(A1805))</f>
        <v/>
      </c>
      <c r="C1805" s="52"/>
      <c r="D1805" s="52"/>
      <c r="E1805" s="52"/>
      <c r="F1805" s="53"/>
      <c r="G1805" s="52"/>
      <c r="H1805" s="54" t="str">
        <f aca="false">IF(E1805="","",E1805*N(F1805)*IF(G1805="",1,G1805))</f>
        <v/>
      </c>
      <c r="I1805" s="55" t="str">
        <f aca="false">IF(C1805="","",IFERROR(INDEX('DANH MỤC'!$B$5:$B$200,MATCH(C1805,'DANH MỤC'!$A$5:$A$200,0)),"⚠ Mã chưa có trong DANH MỤC"))</f>
        <v/>
      </c>
      <c r="J1805" s="52"/>
      <c r="K1805" s="52"/>
      <c r="L1805" s="52"/>
    </row>
    <row r="1806" customFormat="false" ht="15" hidden="false" customHeight="false" outlineLevel="0" collapsed="false">
      <c r="A1806" s="50"/>
      <c r="B1806" s="51" t="str">
        <f aca="false">IF(A1806="","",MONTH(A1806))</f>
        <v/>
      </c>
      <c r="C1806" s="52"/>
      <c r="D1806" s="52"/>
      <c r="E1806" s="52"/>
      <c r="F1806" s="53"/>
      <c r="G1806" s="52"/>
      <c r="H1806" s="54" t="str">
        <f aca="false">IF(E1806="","",E1806*N(F1806)*IF(G1806="",1,G1806))</f>
        <v/>
      </c>
      <c r="I1806" s="55" t="str">
        <f aca="false">IF(C1806="","",IFERROR(INDEX('DANH MỤC'!$B$5:$B$200,MATCH(C1806,'DANH MỤC'!$A$5:$A$200,0)),"⚠ Mã chưa có trong DANH MỤC"))</f>
        <v/>
      </c>
      <c r="J1806" s="52"/>
      <c r="K1806" s="52"/>
      <c r="L1806" s="52"/>
    </row>
    <row r="1807" customFormat="false" ht="15" hidden="false" customHeight="false" outlineLevel="0" collapsed="false">
      <c r="A1807" s="50"/>
      <c r="B1807" s="51" t="str">
        <f aca="false">IF(A1807="","",MONTH(A1807))</f>
        <v/>
      </c>
      <c r="C1807" s="52"/>
      <c r="D1807" s="52"/>
      <c r="E1807" s="52"/>
      <c r="F1807" s="53"/>
      <c r="G1807" s="52"/>
      <c r="H1807" s="54" t="str">
        <f aca="false">IF(E1807="","",E1807*N(F1807)*IF(G1807="",1,G1807))</f>
        <v/>
      </c>
      <c r="I1807" s="55" t="str">
        <f aca="false">IF(C1807="","",IFERROR(INDEX('DANH MỤC'!$B$5:$B$200,MATCH(C1807,'DANH MỤC'!$A$5:$A$200,0)),"⚠ Mã chưa có trong DANH MỤC"))</f>
        <v/>
      </c>
      <c r="J1807" s="52"/>
      <c r="K1807" s="52"/>
      <c r="L1807" s="52"/>
    </row>
    <row r="1808" customFormat="false" ht="15" hidden="false" customHeight="false" outlineLevel="0" collapsed="false">
      <c r="A1808" s="50"/>
      <c r="B1808" s="51" t="str">
        <f aca="false">IF(A1808="","",MONTH(A1808))</f>
        <v/>
      </c>
      <c r="C1808" s="52"/>
      <c r="D1808" s="52"/>
      <c r="E1808" s="52"/>
      <c r="F1808" s="53"/>
      <c r="G1808" s="52"/>
      <c r="H1808" s="54" t="str">
        <f aca="false">IF(E1808="","",E1808*N(F1808)*IF(G1808="",1,G1808))</f>
        <v/>
      </c>
      <c r="I1808" s="55" t="str">
        <f aca="false">IF(C1808="","",IFERROR(INDEX('DANH MỤC'!$B$5:$B$200,MATCH(C1808,'DANH MỤC'!$A$5:$A$200,0)),"⚠ Mã chưa có trong DANH MỤC"))</f>
        <v/>
      </c>
      <c r="J1808" s="52"/>
      <c r="K1808" s="52"/>
      <c r="L1808" s="52"/>
    </row>
    <row r="1809" customFormat="false" ht="15" hidden="false" customHeight="false" outlineLevel="0" collapsed="false">
      <c r="A1809" s="50"/>
      <c r="B1809" s="51" t="str">
        <f aca="false">IF(A1809="","",MONTH(A1809))</f>
        <v/>
      </c>
      <c r="C1809" s="52"/>
      <c r="D1809" s="52"/>
      <c r="E1809" s="52"/>
      <c r="F1809" s="53"/>
      <c r="G1809" s="52"/>
      <c r="H1809" s="54" t="str">
        <f aca="false">IF(E1809="","",E1809*N(F1809)*IF(G1809="",1,G1809))</f>
        <v/>
      </c>
      <c r="I1809" s="55" t="str">
        <f aca="false">IF(C1809="","",IFERROR(INDEX('DANH MỤC'!$B$5:$B$200,MATCH(C1809,'DANH MỤC'!$A$5:$A$200,0)),"⚠ Mã chưa có trong DANH MỤC"))</f>
        <v/>
      </c>
      <c r="J1809" s="52"/>
      <c r="K1809" s="52"/>
      <c r="L1809" s="52"/>
    </row>
    <row r="1810" customFormat="false" ht="15" hidden="false" customHeight="false" outlineLevel="0" collapsed="false">
      <c r="A1810" s="50"/>
      <c r="B1810" s="51" t="str">
        <f aca="false">IF(A1810="","",MONTH(A1810))</f>
        <v/>
      </c>
      <c r="C1810" s="52"/>
      <c r="D1810" s="52"/>
      <c r="E1810" s="52"/>
      <c r="F1810" s="53"/>
      <c r="G1810" s="52"/>
      <c r="H1810" s="54" t="str">
        <f aca="false">IF(E1810="","",E1810*N(F1810)*IF(G1810="",1,G1810))</f>
        <v/>
      </c>
      <c r="I1810" s="55" t="str">
        <f aca="false">IF(C1810="","",IFERROR(INDEX('DANH MỤC'!$B$5:$B$200,MATCH(C1810,'DANH MỤC'!$A$5:$A$200,0)),"⚠ Mã chưa có trong DANH MỤC"))</f>
        <v/>
      </c>
      <c r="J1810" s="52"/>
      <c r="K1810" s="52"/>
      <c r="L1810" s="52"/>
    </row>
    <row r="1811" customFormat="false" ht="15" hidden="false" customHeight="false" outlineLevel="0" collapsed="false">
      <c r="A1811" s="50"/>
      <c r="B1811" s="51" t="str">
        <f aca="false">IF(A1811="","",MONTH(A1811))</f>
        <v/>
      </c>
      <c r="C1811" s="52"/>
      <c r="D1811" s="52"/>
      <c r="E1811" s="52"/>
      <c r="F1811" s="53"/>
      <c r="G1811" s="52"/>
      <c r="H1811" s="54" t="str">
        <f aca="false">IF(E1811="","",E1811*N(F1811)*IF(G1811="",1,G1811))</f>
        <v/>
      </c>
      <c r="I1811" s="55" t="str">
        <f aca="false">IF(C1811="","",IFERROR(INDEX('DANH MỤC'!$B$5:$B$200,MATCH(C1811,'DANH MỤC'!$A$5:$A$200,0)),"⚠ Mã chưa có trong DANH MỤC"))</f>
        <v/>
      </c>
      <c r="J1811" s="52"/>
      <c r="K1811" s="52"/>
      <c r="L1811" s="52"/>
    </row>
    <row r="1812" customFormat="false" ht="15" hidden="false" customHeight="false" outlineLevel="0" collapsed="false">
      <c r="A1812" s="50"/>
      <c r="B1812" s="51" t="str">
        <f aca="false">IF(A1812="","",MONTH(A1812))</f>
        <v/>
      </c>
      <c r="C1812" s="52"/>
      <c r="D1812" s="52"/>
      <c r="E1812" s="52"/>
      <c r="F1812" s="53"/>
      <c r="G1812" s="52"/>
      <c r="H1812" s="54" t="str">
        <f aca="false">IF(E1812="","",E1812*N(F1812)*IF(G1812="",1,G1812))</f>
        <v/>
      </c>
      <c r="I1812" s="55" t="str">
        <f aca="false">IF(C1812="","",IFERROR(INDEX('DANH MỤC'!$B$5:$B$200,MATCH(C1812,'DANH MỤC'!$A$5:$A$200,0)),"⚠ Mã chưa có trong DANH MỤC"))</f>
        <v/>
      </c>
      <c r="J1812" s="52"/>
      <c r="K1812" s="52"/>
      <c r="L1812" s="52"/>
    </row>
    <row r="1813" customFormat="false" ht="15" hidden="false" customHeight="false" outlineLevel="0" collapsed="false">
      <c r="A1813" s="50"/>
      <c r="B1813" s="51" t="str">
        <f aca="false">IF(A1813="","",MONTH(A1813))</f>
        <v/>
      </c>
      <c r="C1813" s="52"/>
      <c r="D1813" s="52"/>
      <c r="E1813" s="52"/>
      <c r="F1813" s="53"/>
      <c r="G1813" s="52"/>
      <c r="H1813" s="54" t="str">
        <f aca="false">IF(E1813="","",E1813*N(F1813)*IF(G1813="",1,G1813))</f>
        <v/>
      </c>
      <c r="I1813" s="55" t="str">
        <f aca="false">IF(C1813="","",IFERROR(INDEX('DANH MỤC'!$B$5:$B$200,MATCH(C1813,'DANH MỤC'!$A$5:$A$200,0)),"⚠ Mã chưa có trong DANH MỤC"))</f>
        <v/>
      </c>
      <c r="J1813" s="52"/>
      <c r="K1813" s="52"/>
      <c r="L1813" s="52"/>
    </row>
    <row r="1814" customFormat="false" ht="15" hidden="false" customHeight="false" outlineLevel="0" collapsed="false">
      <c r="A1814" s="50"/>
      <c r="B1814" s="51" t="str">
        <f aca="false">IF(A1814="","",MONTH(A1814))</f>
        <v/>
      </c>
      <c r="C1814" s="52"/>
      <c r="D1814" s="52"/>
      <c r="E1814" s="52"/>
      <c r="F1814" s="53"/>
      <c r="G1814" s="52"/>
      <c r="H1814" s="54" t="str">
        <f aca="false">IF(E1814="","",E1814*N(F1814)*IF(G1814="",1,G1814))</f>
        <v/>
      </c>
      <c r="I1814" s="55" t="str">
        <f aca="false">IF(C1814="","",IFERROR(INDEX('DANH MỤC'!$B$5:$B$200,MATCH(C1814,'DANH MỤC'!$A$5:$A$200,0)),"⚠ Mã chưa có trong DANH MỤC"))</f>
        <v/>
      </c>
      <c r="J1814" s="52"/>
      <c r="K1814" s="52"/>
      <c r="L1814" s="52"/>
    </row>
    <row r="1815" customFormat="false" ht="15" hidden="false" customHeight="false" outlineLevel="0" collapsed="false">
      <c r="A1815" s="50"/>
      <c r="B1815" s="51" t="str">
        <f aca="false">IF(A1815="","",MONTH(A1815))</f>
        <v/>
      </c>
      <c r="C1815" s="52"/>
      <c r="D1815" s="52"/>
      <c r="E1815" s="52"/>
      <c r="F1815" s="53"/>
      <c r="G1815" s="52"/>
      <c r="H1815" s="54" t="str">
        <f aca="false">IF(E1815="","",E1815*N(F1815)*IF(G1815="",1,G1815))</f>
        <v/>
      </c>
      <c r="I1815" s="55" t="str">
        <f aca="false">IF(C1815="","",IFERROR(INDEX('DANH MỤC'!$B$5:$B$200,MATCH(C1815,'DANH MỤC'!$A$5:$A$200,0)),"⚠ Mã chưa có trong DANH MỤC"))</f>
        <v/>
      </c>
      <c r="J1815" s="52"/>
      <c r="K1815" s="52"/>
      <c r="L1815" s="52"/>
    </row>
    <row r="1816" customFormat="false" ht="15" hidden="false" customHeight="false" outlineLevel="0" collapsed="false">
      <c r="A1816" s="50"/>
      <c r="B1816" s="51" t="str">
        <f aca="false">IF(A1816="","",MONTH(A1816))</f>
        <v/>
      </c>
      <c r="C1816" s="52"/>
      <c r="D1816" s="52"/>
      <c r="E1816" s="52"/>
      <c r="F1816" s="53"/>
      <c r="G1816" s="52"/>
      <c r="H1816" s="54" t="str">
        <f aca="false">IF(E1816="","",E1816*N(F1816)*IF(G1816="",1,G1816))</f>
        <v/>
      </c>
      <c r="I1816" s="55" t="str">
        <f aca="false">IF(C1816="","",IFERROR(INDEX('DANH MỤC'!$B$5:$B$200,MATCH(C1816,'DANH MỤC'!$A$5:$A$200,0)),"⚠ Mã chưa có trong DANH MỤC"))</f>
        <v/>
      </c>
      <c r="J1816" s="52"/>
      <c r="K1816" s="52"/>
      <c r="L1816" s="52"/>
    </row>
    <row r="1817" customFormat="false" ht="15" hidden="false" customHeight="false" outlineLevel="0" collapsed="false">
      <c r="A1817" s="50"/>
      <c r="B1817" s="51" t="str">
        <f aca="false">IF(A1817="","",MONTH(A1817))</f>
        <v/>
      </c>
      <c r="C1817" s="52"/>
      <c r="D1817" s="52"/>
      <c r="E1817" s="52"/>
      <c r="F1817" s="53"/>
      <c r="G1817" s="52"/>
      <c r="H1817" s="54" t="str">
        <f aca="false">IF(E1817="","",E1817*N(F1817)*IF(G1817="",1,G1817))</f>
        <v/>
      </c>
      <c r="I1817" s="55" t="str">
        <f aca="false">IF(C1817="","",IFERROR(INDEX('DANH MỤC'!$B$5:$B$200,MATCH(C1817,'DANH MỤC'!$A$5:$A$200,0)),"⚠ Mã chưa có trong DANH MỤC"))</f>
        <v/>
      </c>
      <c r="J1817" s="52"/>
      <c r="K1817" s="52"/>
      <c r="L1817" s="52"/>
    </row>
    <row r="1818" customFormat="false" ht="15" hidden="false" customHeight="false" outlineLevel="0" collapsed="false">
      <c r="A1818" s="50"/>
      <c r="B1818" s="51" t="str">
        <f aca="false">IF(A1818="","",MONTH(A1818))</f>
        <v/>
      </c>
      <c r="C1818" s="52"/>
      <c r="D1818" s="52"/>
      <c r="E1818" s="52"/>
      <c r="F1818" s="53"/>
      <c r="G1818" s="52"/>
      <c r="H1818" s="54" t="str">
        <f aca="false">IF(E1818="","",E1818*N(F1818)*IF(G1818="",1,G1818))</f>
        <v/>
      </c>
      <c r="I1818" s="55" t="str">
        <f aca="false">IF(C1818="","",IFERROR(INDEX('DANH MỤC'!$B$5:$B$200,MATCH(C1818,'DANH MỤC'!$A$5:$A$200,0)),"⚠ Mã chưa có trong DANH MỤC"))</f>
        <v/>
      </c>
      <c r="J1818" s="52"/>
      <c r="K1818" s="52"/>
      <c r="L1818" s="52"/>
    </row>
    <row r="1819" customFormat="false" ht="15" hidden="false" customHeight="false" outlineLevel="0" collapsed="false">
      <c r="A1819" s="50"/>
      <c r="B1819" s="51" t="str">
        <f aca="false">IF(A1819="","",MONTH(A1819))</f>
        <v/>
      </c>
      <c r="C1819" s="52"/>
      <c r="D1819" s="52"/>
      <c r="E1819" s="52"/>
      <c r="F1819" s="53"/>
      <c r="G1819" s="52"/>
      <c r="H1819" s="54" t="str">
        <f aca="false">IF(E1819="","",E1819*N(F1819)*IF(G1819="",1,G1819))</f>
        <v/>
      </c>
      <c r="I1819" s="55" t="str">
        <f aca="false">IF(C1819="","",IFERROR(INDEX('DANH MỤC'!$B$5:$B$200,MATCH(C1819,'DANH MỤC'!$A$5:$A$200,0)),"⚠ Mã chưa có trong DANH MỤC"))</f>
        <v/>
      </c>
      <c r="J1819" s="52"/>
      <c r="K1819" s="52"/>
      <c r="L1819" s="52"/>
    </row>
    <row r="1820" customFormat="false" ht="15" hidden="false" customHeight="false" outlineLevel="0" collapsed="false">
      <c r="A1820" s="50"/>
      <c r="B1820" s="51" t="str">
        <f aca="false">IF(A1820="","",MONTH(A1820))</f>
        <v/>
      </c>
      <c r="C1820" s="52"/>
      <c r="D1820" s="52"/>
      <c r="E1820" s="52"/>
      <c r="F1820" s="53"/>
      <c r="G1820" s="52"/>
      <c r="H1820" s="54" t="str">
        <f aca="false">IF(E1820="","",E1820*N(F1820)*IF(G1820="",1,G1820))</f>
        <v/>
      </c>
      <c r="I1820" s="55" t="str">
        <f aca="false">IF(C1820="","",IFERROR(INDEX('DANH MỤC'!$B$5:$B$200,MATCH(C1820,'DANH MỤC'!$A$5:$A$200,0)),"⚠ Mã chưa có trong DANH MỤC"))</f>
        <v/>
      </c>
      <c r="J1820" s="52"/>
      <c r="K1820" s="52"/>
      <c r="L1820" s="52"/>
    </row>
    <row r="1821" customFormat="false" ht="15" hidden="false" customHeight="false" outlineLevel="0" collapsed="false">
      <c r="A1821" s="50"/>
      <c r="B1821" s="51" t="str">
        <f aca="false">IF(A1821="","",MONTH(A1821))</f>
        <v/>
      </c>
      <c r="C1821" s="52"/>
      <c r="D1821" s="52"/>
      <c r="E1821" s="52"/>
      <c r="F1821" s="53"/>
      <c r="G1821" s="52"/>
      <c r="H1821" s="54" t="str">
        <f aca="false">IF(E1821="","",E1821*N(F1821)*IF(G1821="",1,G1821))</f>
        <v/>
      </c>
      <c r="I1821" s="55" t="str">
        <f aca="false">IF(C1821="","",IFERROR(INDEX('DANH MỤC'!$B$5:$B$200,MATCH(C1821,'DANH MỤC'!$A$5:$A$200,0)),"⚠ Mã chưa có trong DANH MỤC"))</f>
        <v/>
      </c>
      <c r="J1821" s="52"/>
      <c r="K1821" s="52"/>
      <c r="L1821" s="52"/>
    </row>
    <row r="1822" customFormat="false" ht="15" hidden="false" customHeight="false" outlineLevel="0" collapsed="false">
      <c r="A1822" s="50"/>
      <c r="B1822" s="51" t="str">
        <f aca="false">IF(A1822="","",MONTH(A1822))</f>
        <v/>
      </c>
      <c r="C1822" s="52"/>
      <c r="D1822" s="52"/>
      <c r="E1822" s="52"/>
      <c r="F1822" s="53"/>
      <c r="G1822" s="52"/>
      <c r="H1822" s="54" t="str">
        <f aca="false">IF(E1822="","",E1822*N(F1822)*IF(G1822="",1,G1822))</f>
        <v/>
      </c>
      <c r="I1822" s="55" t="str">
        <f aca="false">IF(C1822="","",IFERROR(INDEX('DANH MỤC'!$B$5:$B$200,MATCH(C1822,'DANH MỤC'!$A$5:$A$200,0)),"⚠ Mã chưa có trong DANH MỤC"))</f>
        <v/>
      </c>
      <c r="J1822" s="52"/>
      <c r="K1822" s="52"/>
      <c r="L1822" s="52"/>
    </row>
    <row r="1823" customFormat="false" ht="15" hidden="false" customHeight="false" outlineLevel="0" collapsed="false">
      <c r="A1823" s="50"/>
      <c r="B1823" s="51" t="str">
        <f aca="false">IF(A1823="","",MONTH(A1823))</f>
        <v/>
      </c>
      <c r="C1823" s="52"/>
      <c r="D1823" s="52"/>
      <c r="E1823" s="52"/>
      <c r="F1823" s="53"/>
      <c r="G1823" s="52"/>
      <c r="H1823" s="54" t="str">
        <f aca="false">IF(E1823="","",E1823*N(F1823)*IF(G1823="",1,G1823))</f>
        <v/>
      </c>
      <c r="I1823" s="55" t="str">
        <f aca="false">IF(C1823="","",IFERROR(INDEX('DANH MỤC'!$B$5:$B$200,MATCH(C1823,'DANH MỤC'!$A$5:$A$200,0)),"⚠ Mã chưa có trong DANH MỤC"))</f>
        <v/>
      </c>
      <c r="J1823" s="52"/>
      <c r="K1823" s="52"/>
      <c r="L1823" s="52"/>
    </row>
    <row r="1824" customFormat="false" ht="15" hidden="false" customHeight="false" outlineLevel="0" collapsed="false">
      <c r="A1824" s="50"/>
      <c r="B1824" s="51" t="str">
        <f aca="false">IF(A1824="","",MONTH(A1824))</f>
        <v/>
      </c>
      <c r="C1824" s="52"/>
      <c r="D1824" s="52"/>
      <c r="E1824" s="52"/>
      <c r="F1824" s="53"/>
      <c r="G1824" s="52"/>
      <c r="H1824" s="54" t="str">
        <f aca="false">IF(E1824="","",E1824*N(F1824)*IF(G1824="",1,G1824))</f>
        <v/>
      </c>
      <c r="I1824" s="55" t="str">
        <f aca="false">IF(C1824="","",IFERROR(INDEX('DANH MỤC'!$B$5:$B$200,MATCH(C1824,'DANH MỤC'!$A$5:$A$200,0)),"⚠ Mã chưa có trong DANH MỤC"))</f>
        <v/>
      </c>
      <c r="J1824" s="52"/>
      <c r="K1824" s="52"/>
      <c r="L1824" s="52"/>
    </row>
    <row r="1825" customFormat="false" ht="15" hidden="false" customHeight="false" outlineLevel="0" collapsed="false">
      <c r="A1825" s="50"/>
      <c r="B1825" s="51" t="str">
        <f aca="false">IF(A1825="","",MONTH(A1825))</f>
        <v/>
      </c>
      <c r="C1825" s="52"/>
      <c r="D1825" s="52"/>
      <c r="E1825" s="52"/>
      <c r="F1825" s="53"/>
      <c r="G1825" s="52"/>
      <c r="H1825" s="54" t="str">
        <f aca="false">IF(E1825="","",E1825*N(F1825)*IF(G1825="",1,G1825))</f>
        <v/>
      </c>
      <c r="I1825" s="55" t="str">
        <f aca="false">IF(C1825="","",IFERROR(INDEX('DANH MỤC'!$B$5:$B$200,MATCH(C1825,'DANH MỤC'!$A$5:$A$200,0)),"⚠ Mã chưa có trong DANH MỤC"))</f>
        <v/>
      </c>
      <c r="J1825" s="52"/>
      <c r="K1825" s="52"/>
      <c r="L1825" s="52"/>
    </row>
    <row r="1826" customFormat="false" ht="15" hidden="false" customHeight="false" outlineLevel="0" collapsed="false">
      <c r="A1826" s="50"/>
      <c r="B1826" s="51" t="str">
        <f aca="false">IF(A1826="","",MONTH(A1826))</f>
        <v/>
      </c>
      <c r="C1826" s="52"/>
      <c r="D1826" s="52"/>
      <c r="E1826" s="52"/>
      <c r="F1826" s="53"/>
      <c r="G1826" s="52"/>
      <c r="H1826" s="54" t="str">
        <f aca="false">IF(E1826="","",E1826*N(F1826)*IF(G1826="",1,G1826))</f>
        <v/>
      </c>
      <c r="I1826" s="55" t="str">
        <f aca="false">IF(C1826="","",IFERROR(INDEX('DANH MỤC'!$B$5:$B$200,MATCH(C1826,'DANH MỤC'!$A$5:$A$200,0)),"⚠ Mã chưa có trong DANH MỤC"))</f>
        <v/>
      </c>
      <c r="J1826" s="52"/>
      <c r="K1826" s="52"/>
      <c r="L1826" s="52"/>
    </row>
    <row r="1827" customFormat="false" ht="15" hidden="false" customHeight="false" outlineLevel="0" collapsed="false">
      <c r="A1827" s="50"/>
      <c r="B1827" s="51" t="str">
        <f aca="false">IF(A1827="","",MONTH(A1827))</f>
        <v/>
      </c>
      <c r="C1827" s="52"/>
      <c r="D1827" s="52"/>
      <c r="E1827" s="52"/>
      <c r="F1827" s="53"/>
      <c r="G1827" s="52"/>
      <c r="H1827" s="54" t="str">
        <f aca="false">IF(E1827="","",E1827*N(F1827)*IF(G1827="",1,G1827))</f>
        <v/>
      </c>
      <c r="I1827" s="55" t="str">
        <f aca="false">IF(C1827="","",IFERROR(INDEX('DANH MỤC'!$B$5:$B$200,MATCH(C1827,'DANH MỤC'!$A$5:$A$200,0)),"⚠ Mã chưa có trong DANH MỤC"))</f>
        <v/>
      </c>
      <c r="J1827" s="52"/>
      <c r="K1827" s="52"/>
      <c r="L1827" s="52"/>
    </row>
    <row r="1828" customFormat="false" ht="15" hidden="false" customHeight="false" outlineLevel="0" collapsed="false">
      <c r="A1828" s="50"/>
      <c r="B1828" s="51" t="str">
        <f aca="false">IF(A1828="","",MONTH(A1828))</f>
        <v/>
      </c>
      <c r="C1828" s="52"/>
      <c r="D1828" s="52"/>
      <c r="E1828" s="52"/>
      <c r="F1828" s="53"/>
      <c r="G1828" s="52"/>
      <c r="H1828" s="54" t="str">
        <f aca="false">IF(E1828="","",E1828*N(F1828)*IF(G1828="",1,G1828))</f>
        <v/>
      </c>
      <c r="I1828" s="55" t="str">
        <f aca="false">IF(C1828="","",IFERROR(INDEX('DANH MỤC'!$B$5:$B$200,MATCH(C1828,'DANH MỤC'!$A$5:$A$200,0)),"⚠ Mã chưa có trong DANH MỤC"))</f>
        <v/>
      </c>
      <c r="J1828" s="52"/>
      <c r="K1828" s="52"/>
      <c r="L1828" s="52"/>
    </row>
    <row r="1829" customFormat="false" ht="15" hidden="false" customHeight="false" outlineLevel="0" collapsed="false">
      <c r="A1829" s="50"/>
      <c r="B1829" s="51" t="str">
        <f aca="false">IF(A1829="","",MONTH(A1829))</f>
        <v/>
      </c>
      <c r="C1829" s="52"/>
      <c r="D1829" s="52"/>
      <c r="E1829" s="52"/>
      <c r="F1829" s="53"/>
      <c r="G1829" s="52"/>
      <c r="H1829" s="54" t="str">
        <f aca="false">IF(E1829="","",E1829*N(F1829)*IF(G1829="",1,G1829))</f>
        <v/>
      </c>
      <c r="I1829" s="55" t="str">
        <f aca="false">IF(C1829="","",IFERROR(INDEX('DANH MỤC'!$B$5:$B$200,MATCH(C1829,'DANH MỤC'!$A$5:$A$200,0)),"⚠ Mã chưa có trong DANH MỤC"))</f>
        <v/>
      </c>
      <c r="J1829" s="52"/>
      <c r="K1829" s="52"/>
      <c r="L1829" s="52"/>
    </row>
    <row r="1830" customFormat="false" ht="15" hidden="false" customHeight="false" outlineLevel="0" collapsed="false">
      <c r="A1830" s="50"/>
      <c r="B1830" s="51" t="str">
        <f aca="false">IF(A1830="","",MONTH(A1830))</f>
        <v/>
      </c>
      <c r="C1830" s="52"/>
      <c r="D1830" s="52"/>
      <c r="E1830" s="52"/>
      <c r="F1830" s="53"/>
      <c r="G1830" s="52"/>
      <c r="H1830" s="54" t="str">
        <f aca="false">IF(E1830="","",E1830*N(F1830)*IF(G1830="",1,G1830))</f>
        <v/>
      </c>
      <c r="I1830" s="55" t="str">
        <f aca="false">IF(C1830="","",IFERROR(INDEX('DANH MỤC'!$B$5:$B$200,MATCH(C1830,'DANH MỤC'!$A$5:$A$200,0)),"⚠ Mã chưa có trong DANH MỤC"))</f>
        <v/>
      </c>
      <c r="J1830" s="52"/>
      <c r="K1830" s="52"/>
      <c r="L1830" s="52"/>
    </row>
    <row r="1831" customFormat="false" ht="15" hidden="false" customHeight="false" outlineLevel="0" collapsed="false">
      <c r="A1831" s="50"/>
      <c r="B1831" s="51" t="str">
        <f aca="false">IF(A1831="","",MONTH(A1831))</f>
        <v/>
      </c>
      <c r="C1831" s="52"/>
      <c r="D1831" s="52"/>
      <c r="E1831" s="52"/>
      <c r="F1831" s="53"/>
      <c r="G1831" s="52"/>
      <c r="H1831" s="54" t="str">
        <f aca="false">IF(E1831="","",E1831*N(F1831)*IF(G1831="",1,G1831))</f>
        <v/>
      </c>
      <c r="I1831" s="55" t="str">
        <f aca="false">IF(C1831="","",IFERROR(INDEX('DANH MỤC'!$B$5:$B$200,MATCH(C1831,'DANH MỤC'!$A$5:$A$200,0)),"⚠ Mã chưa có trong DANH MỤC"))</f>
        <v/>
      </c>
      <c r="J1831" s="52"/>
      <c r="K1831" s="52"/>
      <c r="L1831" s="52"/>
    </row>
    <row r="1832" customFormat="false" ht="15" hidden="false" customHeight="false" outlineLevel="0" collapsed="false">
      <c r="A1832" s="50"/>
      <c r="B1832" s="51" t="str">
        <f aca="false">IF(A1832="","",MONTH(A1832))</f>
        <v/>
      </c>
      <c r="C1832" s="52"/>
      <c r="D1832" s="52"/>
      <c r="E1832" s="52"/>
      <c r="F1832" s="53"/>
      <c r="G1832" s="52"/>
      <c r="H1832" s="54" t="str">
        <f aca="false">IF(E1832="","",E1832*N(F1832)*IF(G1832="",1,G1832))</f>
        <v/>
      </c>
      <c r="I1832" s="55" t="str">
        <f aca="false">IF(C1832="","",IFERROR(INDEX('DANH MỤC'!$B$5:$B$200,MATCH(C1832,'DANH MỤC'!$A$5:$A$200,0)),"⚠ Mã chưa có trong DANH MỤC"))</f>
        <v/>
      </c>
      <c r="J1832" s="52"/>
      <c r="K1832" s="52"/>
      <c r="L1832" s="52"/>
    </row>
    <row r="1833" customFormat="false" ht="15" hidden="false" customHeight="false" outlineLevel="0" collapsed="false">
      <c r="A1833" s="50"/>
      <c r="B1833" s="51" t="str">
        <f aca="false">IF(A1833="","",MONTH(A1833))</f>
        <v/>
      </c>
      <c r="C1833" s="52"/>
      <c r="D1833" s="52"/>
      <c r="E1833" s="52"/>
      <c r="F1833" s="53"/>
      <c r="G1833" s="52"/>
      <c r="H1833" s="54" t="str">
        <f aca="false">IF(E1833="","",E1833*N(F1833)*IF(G1833="",1,G1833))</f>
        <v/>
      </c>
      <c r="I1833" s="55" t="str">
        <f aca="false">IF(C1833="","",IFERROR(INDEX('DANH MỤC'!$B$5:$B$200,MATCH(C1833,'DANH MỤC'!$A$5:$A$200,0)),"⚠ Mã chưa có trong DANH MỤC"))</f>
        <v/>
      </c>
      <c r="J1833" s="52"/>
      <c r="K1833" s="52"/>
      <c r="L1833" s="52"/>
    </row>
    <row r="1834" customFormat="false" ht="15" hidden="false" customHeight="false" outlineLevel="0" collapsed="false">
      <c r="A1834" s="50"/>
      <c r="B1834" s="51" t="str">
        <f aca="false">IF(A1834="","",MONTH(A1834))</f>
        <v/>
      </c>
      <c r="C1834" s="52"/>
      <c r="D1834" s="52"/>
      <c r="E1834" s="52"/>
      <c r="F1834" s="53"/>
      <c r="G1834" s="52"/>
      <c r="H1834" s="54" t="str">
        <f aca="false">IF(E1834="","",E1834*N(F1834)*IF(G1834="",1,G1834))</f>
        <v/>
      </c>
      <c r="I1834" s="55" t="str">
        <f aca="false">IF(C1834="","",IFERROR(INDEX('DANH MỤC'!$B$5:$B$200,MATCH(C1834,'DANH MỤC'!$A$5:$A$200,0)),"⚠ Mã chưa có trong DANH MỤC"))</f>
        <v/>
      </c>
      <c r="J1834" s="52"/>
      <c r="K1834" s="52"/>
      <c r="L1834" s="52"/>
    </row>
    <row r="1835" customFormat="false" ht="15" hidden="false" customHeight="false" outlineLevel="0" collapsed="false">
      <c r="A1835" s="50"/>
      <c r="B1835" s="51" t="str">
        <f aca="false">IF(A1835="","",MONTH(A1835))</f>
        <v/>
      </c>
      <c r="C1835" s="52"/>
      <c r="D1835" s="52"/>
      <c r="E1835" s="52"/>
      <c r="F1835" s="53"/>
      <c r="G1835" s="52"/>
      <c r="H1835" s="54" t="str">
        <f aca="false">IF(E1835="","",E1835*N(F1835)*IF(G1835="",1,G1835))</f>
        <v/>
      </c>
      <c r="I1835" s="55" t="str">
        <f aca="false">IF(C1835="","",IFERROR(INDEX('DANH MỤC'!$B$5:$B$200,MATCH(C1835,'DANH MỤC'!$A$5:$A$200,0)),"⚠ Mã chưa có trong DANH MỤC"))</f>
        <v/>
      </c>
      <c r="J1835" s="52"/>
      <c r="K1835" s="52"/>
      <c r="L1835" s="52"/>
    </row>
    <row r="1836" customFormat="false" ht="15" hidden="false" customHeight="false" outlineLevel="0" collapsed="false">
      <c r="A1836" s="50"/>
      <c r="B1836" s="51" t="str">
        <f aca="false">IF(A1836="","",MONTH(A1836))</f>
        <v/>
      </c>
      <c r="C1836" s="52"/>
      <c r="D1836" s="52"/>
      <c r="E1836" s="52"/>
      <c r="F1836" s="53"/>
      <c r="G1836" s="52"/>
      <c r="H1836" s="54" t="str">
        <f aca="false">IF(E1836="","",E1836*N(F1836)*IF(G1836="",1,G1836))</f>
        <v/>
      </c>
      <c r="I1836" s="55" t="str">
        <f aca="false">IF(C1836="","",IFERROR(INDEX('DANH MỤC'!$B$5:$B$200,MATCH(C1836,'DANH MỤC'!$A$5:$A$200,0)),"⚠ Mã chưa có trong DANH MỤC"))</f>
        <v/>
      </c>
      <c r="J1836" s="52"/>
      <c r="K1836" s="52"/>
      <c r="L1836" s="52"/>
    </row>
    <row r="1837" customFormat="false" ht="15" hidden="false" customHeight="false" outlineLevel="0" collapsed="false">
      <c r="A1837" s="50"/>
      <c r="B1837" s="51" t="str">
        <f aca="false">IF(A1837="","",MONTH(A1837))</f>
        <v/>
      </c>
      <c r="C1837" s="52"/>
      <c r="D1837" s="52"/>
      <c r="E1837" s="52"/>
      <c r="F1837" s="53"/>
      <c r="G1837" s="52"/>
      <c r="H1837" s="54" t="str">
        <f aca="false">IF(E1837="","",E1837*N(F1837)*IF(G1837="",1,G1837))</f>
        <v/>
      </c>
      <c r="I1837" s="55" t="str">
        <f aca="false">IF(C1837="","",IFERROR(INDEX('DANH MỤC'!$B$5:$B$200,MATCH(C1837,'DANH MỤC'!$A$5:$A$200,0)),"⚠ Mã chưa có trong DANH MỤC"))</f>
        <v/>
      </c>
      <c r="J1837" s="52"/>
      <c r="K1837" s="52"/>
      <c r="L1837" s="52"/>
    </row>
    <row r="1838" customFormat="false" ht="15" hidden="false" customHeight="false" outlineLevel="0" collapsed="false">
      <c r="A1838" s="50"/>
      <c r="B1838" s="51" t="str">
        <f aca="false">IF(A1838="","",MONTH(A1838))</f>
        <v/>
      </c>
      <c r="C1838" s="52"/>
      <c r="D1838" s="52"/>
      <c r="E1838" s="52"/>
      <c r="F1838" s="53"/>
      <c r="G1838" s="52"/>
      <c r="H1838" s="54" t="str">
        <f aca="false">IF(E1838="","",E1838*N(F1838)*IF(G1838="",1,G1838))</f>
        <v/>
      </c>
      <c r="I1838" s="55" t="str">
        <f aca="false">IF(C1838="","",IFERROR(INDEX('DANH MỤC'!$B$5:$B$200,MATCH(C1838,'DANH MỤC'!$A$5:$A$200,0)),"⚠ Mã chưa có trong DANH MỤC"))</f>
        <v/>
      </c>
      <c r="J1838" s="52"/>
      <c r="K1838" s="52"/>
      <c r="L1838" s="52"/>
    </row>
    <row r="1839" customFormat="false" ht="15" hidden="false" customHeight="false" outlineLevel="0" collapsed="false">
      <c r="A1839" s="50"/>
      <c r="B1839" s="51" t="str">
        <f aca="false">IF(A1839="","",MONTH(A1839))</f>
        <v/>
      </c>
      <c r="C1839" s="52"/>
      <c r="D1839" s="52"/>
      <c r="E1839" s="52"/>
      <c r="F1839" s="53"/>
      <c r="G1839" s="52"/>
      <c r="H1839" s="54" t="str">
        <f aca="false">IF(E1839="","",E1839*N(F1839)*IF(G1839="",1,G1839))</f>
        <v/>
      </c>
      <c r="I1839" s="55" t="str">
        <f aca="false">IF(C1839="","",IFERROR(INDEX('DANH MỤC'!$B$5:$B$200,MATCH(C1839,'DANH MỤC'!$A$5:$A$200,0)),"⚠ Mã chưa có trong DANH MỤC"))</f>
        <v/>
      </c>
      <c r="J1839" s="52"/>
      <c r="K1839" s="52"/>
      <c r="L1839" s="52"/>
    </row>
    <row r="1840" customFormat="false" ht="15" hidden="false" customHeight="false" outlineLevel="0" collapsed="false">
      <c r="A1840" s="50"/>
      <c r="B1840" s="51" t="str">
        <f aca="false">IF(A1840="","",MONTH(A1840))</f>
        <v/>
      </c>
      <c r="C1840" s="52"/>
      <c r="D1840" s="52"/>
      <c r="E1840" s="52"/>
      <c r="F1840" s="53"/>
      <c r="G1840" s="52"/>
      <c r="H1840" s="54" t="str">
        <f aca="false">IF(E1840="","",E1840*N(F1840)*IF(G1840="",1,G1840))</f>
        <v/>
      </c>
      <c r="I1840" s="55" t="str">
        <f aca="false">IF(C1840="","",IFERROR(INDEX('DANH MỤC'!$B$5:$B$200,MATCH(C1840,'DANH MỤC'!$A$5:$A$200,0)),"⚠ Mã chưa có trong DANH MỤC"))</f>
        <v/>
      </c>
      <c r="J1840" s="52"/>
      <c r="K1840" s="52"/>
      <c r="L1840" s="52"/>
    </row>
    <row r="1841" customFormat="false" ht="15" hidden="false" customHeight="false" outlineLevel="0" collapsed="false">
      <c r="A1841" s="50"/>
      <c r="B1841" s="51" t="str">
        <f aca="false">IF(A1841="","",MONTH(A1841))</f>
        <v/>
      </c>
      <c r="C1841" s="52"/>
      <c r="D1841" s="52"/>
      <c r="E1841" s="52"/>
      <c r="F1841" s="53"/>
      <c r="G1841" s="52"/>
      <c r="H1841" s="54" t="str">
        <f aca="false">IF(E1841="","",E1841*N(F1841)*IF(G1841="",1,G1841))</f>
        <v/>
      </c>
      <c r="I1841" s="55" t="str">
        <f aca="false">IF(C1841="","",IFERROR(INDEX('DANH MỤC'!$B$5:$B$200,MATCH(C1841,'DANH MỤC'!$A$5:$A$200,0)),"⚠ Mã chưa có trong DANH MỤC"))</f>
        <v/>
      </c>
      <c r="J1841" s="52"/>
      <c r="K1841" s="52"/>
      <c r="L1841" s="52"/>
    </row>
    <row r="1842" customFormat="false" ht="15" hidden="false" customHeight="false" outlineLevel="0" collapsed="false">
      <c r="A1842" s="50"/>
      <c r="B1842" s="51" t="str">
        <f aca="false">IF(A1842="","",MONTH(A1842))</f>
        <v/>
      </c>
      <c r="C1842" s="52"/>
      <c r="D1842" s="52"/>
      <c r="E1842" s="52"/>
      <c r="F1842" s="53"/>
      <c r="G1842" s="52"/>
      <c r="H1842" s="54" t="str">
        <f aca="false">IF(E1842="","",E1842*N(F1842)*IF(G1842="",1,G1842))</f>
        <v/>
      </c>
      <c r="I1842" s="55" t="str">
        <f aca="false">IF(C1842="","",IFERROR(INDEX('DANH MỤC'!$B$5:$B$200,MATCH(C1842,'DANH MỤC'!$A$5:$A$200,0)),"⚠ Mã chưa có trong DANH MỤC"))</f>
        <v/>
      </c>
      <c r="J1842" s="52"/>
      <c r="K1842" s="52"/>
      <c r="L1842" s="52"/>
    </row>
    <row r="1843" customFormat="false" ht="15" hidden="false" customHeight="false" outlineLevel="0" collapsed="false">
      <c r="A1843" s="50"/>
      <c r="B1843" s="51" t="str">
        <f aca="false">IF(A1843="","",MONTH(A1843))</f>
        <v/>
      </c>
      <c r="C1843" s="52"/>
      <c r="D1843" s="52"/>
      <c r="E1843" s="52"/>
      <c r="F1843" s="53"/>
      <c r="G1843" s="52"/>
      <c r="H1843" s="54" t="str">
        <f aca="false">IF(E1843="","",E1843*N(F1843)*IF(G1843="",1,G1843))</f>
        <v/>
      </c>
      <c r="I1843" s="55" t="str">
        <f aca="false">IF(C1843="","",IFERROR(INDEX('DANH MỤC'!$B$5:$B$200,MATCH(C1843,'DANH MỤC'!$A$5:$A$200,0)),"⚠ Mã chưa có trong DANH MỤC"))</f>
        <v/>
      </c>
      <c r="J1843" s="52"/>
      <c r="K1843" s="52"/>
      <c r="L1843" s="52"/>
    </row>
    <row r="1844" customFormat="false" ht="15" hidden="false" customHeight="false" outlineLevel="0" collapsed="false">
      <c r="A1844" s="50"/>
      <c r="B1844" s="51" t="str">
        <f aca="false">IF(A1844="","",MONTH(A1844))</f>
        <v/>
      </c>
      <c r="C1844" s="52"/>
      <c r="D1844" s="52"/>
      <c r="E1844" s="52"/>
      <c r="F1844" s="53"/>
      <c r="G1844" s="52"/>
      <c r="H1844" s="54" t="str">
        <f aca="false">IF(E1844="","",E1844*N(F1844)*IF(G1844="",1,G1844))</f>
        <v/>
      </c>
      <c r="I1844" s="55" t="str">
        <f aca="false">IF(C1844="","",IFERROR(INDEX('DANH MỤC'!$B$5:$B$200,MATCH(C1844,'DANH MỤC'!$A$5:$A$200,0)),"⚠ Mã chưa có trong DANH MỤC"))</f>
        <v/>
      </c>
      <c r="J1844" s="52"/>
      <c r="K1844" s="52"/>
      <c r="L1844" s="52"/>
    </row>
    <row r="1845" customFormat="false" ht="15" hidden="false" customHeight="false" outlineLevel="0" collapsed="false">
      <c r="A1845" s="50"/>
      <c r="B1845" s="51" t="str">
        <f aca="false">IF(A1845="","",MONTH(A1845))</f>
        <v/>
      </c>
      <c r="C1845" s="52"/>
      <c r="D1845" s="52"/>
      <c r="E1845" s="52"/>
      <c r="F1845" s="53"/>
      <c r="G1845" s="52"/>
      <c r="H1845" s="54" t="str">
        <f aca="false">IF(E1845="","",E1845*N(F1845)*IF(G1845="",1,G1845))</f>
        <v/>
      </c>
      <c r="I1845" s="55" t="str">
        <f aca="false">IF(C1845="","",IFERROR(INDEX('DANH MỤC'!$B$5:$B$200,MATCH(C1845,'DANH MỤC'!$A$5:$A$200,0)),"⚠ Mã chưa có trong DANH MỤC"))</f>
        <v/>
      </c>
      <c r="J1845" s="52"/>
      <c r="K1845" s="52"/>
      <c r="L1845" s="52"/>
    </row>
    <row r="1846" customFormat="false" ht="15" hidden="false" customHeight="false" outlineLevel="0" collapsed="false">
      <c r="A1846" s="50"/>
      <c r="B1846" s="51" t="str">
        <f aca="false">IF(A1846="","",MONTH(A1846))</f>
        <v/>
      </c>
      <c r="C1846" s="52"/>
      <c r="D1846" s="52"/>
      <c r="E1846" s="52"/>
      <c r="F1846" s="53"/>
      <c r="G1846" s="52"/>
      <c r="H1846" s="54" t="str">
        <f aca="false">IF(E1846="","",E1846*N(F1846)*IF(G1846="",1,G1846))</f>
        <v/>
      </c>
      <c r="I1846" s="55" t="str">
        <f aca="false">IF(C1846="","",IFERROR(INDEX('DANH MỤC'!$B$5:$B$200,MATCH(C1846,'DANH MỤC'!$A$5:$A$200,0)),"⚠ Mã chưa có trong DANH MỤC"))</f>
        <v/>
      </c>
      <c r="J1846" s="52"/>
      <c r="K1846" s="52"/>
      <c r="L1846" s="52"/>
    </row>
    <row r="1847" customFormat="false" ht="15" hidden="false" customHeight="false" outlineLevel="0" collapsed="false">
      <c r="A1847" s="50"/>
      <c r="B1847" s="51" t="str">
        <f aca="false">IF(A1847="","",MONTH(A1847))</f>
        <v/>
      </c>
      <c r="C1847" s="52"/>
      <c r="D1847" s="52"/>
      <c r="E1847" s="52"/>
      <c r="F1847" s="53"/>
      <c r="G1847" s="52"/>
      <c r="H1847" s="54" t="str">
        <f aca="false">IF(E1847="","",E1847*N(F1847)*IF(G1847="",1,G1847))</f>
        <v/>
      </c>
      <c r="I1847" s="55" t="str">
        <f aca="false">IF(C1847="","",IFERROR(INDEX('DANH MỤC'!$B$5:$B$200,MATCH(C1847,'DANH MỤC'!$A$5:$A$200,0)),"⚠ Mã chưa có trong DANH MỤC"))</f>
        <v/>
      </c>
      <c r="J1847" s="52"/>
      <c r="K1847" s="52"/>
      <c r="L1847" s="52"/>
    </row>
    <row r="1848" customFormat="false" ht="15" hidden="false" customHeight="false" outlineLevel="0" collapsed="false">
      <c r="A1848" s="50"/>
      <c r="B1848" s="51" t="str">
        <f aca="false">IF(A1848="","",MONTH(A1848))</f>
        <v/>
      </c>
      <c r="C1848" s="52"/>
      <c r="D1848" s="52"/>
      <c r="E1848" s="52"/>
      <c r="F1848" s="53"/>
      <c r="G1848" s="52"/>
      <c r="H1848" s="54" t="str">
        <f aca="false">IF(E1848="","",E1848*N(F1848)*IF(G1848="",1,G1848))</f>
        <v/>
      </c>
      <c r="I1848" s="55" t="str">
        <f aca="false">IF(C1848="","",IFERROR(INDEX('DANH MỤC'!$B$5:$B$200,MATCH(C1848,'DANH MỤC'!$A$5:$A$200,0)),"⚠ Mã chưa có trong DANH MỤC"))</f>
        <v/>
      </c>
      <c r="J1848" s="52"/>
      <c r="K1848" s="52"/>
      <c r="L1848" s="52"/>
    </row>
    <row r="1849" customFormat="false" ht="15" hidden="false" customHeight="false" outlineLevel="0" collapsed="false">
      <c r="A1849" s="50"/>
      <c r="B1849" s="51" t="str">
        <f aca="false">IF(A1849="","",MONTH(A1849))</f>
        <v/>
      </c>
      <c r="C1849" s="52"/>
      <c r="D1849" s="52"/>
      <c r="E1849" s="52"/>
      <c r="F1849" s="53"/>
      <c r="G1849" s="52"/>
      <c r="H1849" s="54" t="str">
        <f aca="false">IF(E1849="","",E1849*N(F1849)*IF(G1849="",1,G1849))</f>
        <v/>
      </c>
      <c r="I1849" s="55" t="str">
        <f aca="false">IF(C1849="","",IFERROR(INDEX('DANH MỤC'!$B$5:$B$200,MATCH(C1849,'DANH MỤC'!$A$5:$A$200,0)),"⚠ Mã chưa có trong DANH MỤC"))</f>
        <v/>
      </c>
      <c r="J1849" s="52"/>
      <c r="K1849" s="52"/>
      <c r="L1849" s="52"/>
    </row>
    <row r="1850" customFormat="false" ht="15" hidden="false" customHeight="false" outlineLevel="0" collapsed="false">
      <c r="A1850" s="50"/>
      <c r="B1850" s="51" t="str">
        <f aca="false">IF(A1850="","",MONTH(A1850))</f>
        <v/>
      </c>
      <c r="C1850" s="52"/>
      <c r="D1850" s="52"/>
      <c r="E1850" s="52"/>
      <c r="F1850" s="53"/>
      <c r="G1850" s="52"/>
      <c r="H1850" s="54" t="str">
        <f aca="false">IF(E1850="","",E1850*N(F1850)*IF(G1850="",1,G1850))</f>
        <v/>
      </c>
      <c r="I1850" s="55" t="str">
        <f aca="false">IF(C1850="","",IFERROR(INDEX('DANH MỤC'!$B$5:$B$200,MATCH(C1850,'DANH MỤC'!$A$5:$A$200,0)),"⚠ Mã chưa có trong DANH MỤC"))</f>
        <v/>
      </c>
      <c r="J1850" s="52"/>
      <c r="K1850" s="52"/>
      <c r="L1850" s="52"/>
    </row>
    <row r="1851" customFormat="false" ht="15" hidden="false" customHeight="false" outlineLevel="0" collapsed="false">
      <c r="A1851" s="50"/>
      <c r="B1851" s="51" t="str">
        <f aca="false">IF(A1851="","",MONTH(A1851))</f>
        <v/>
      </c>
      <c r="C1851" s="52"/>
      <c r="D1851" s="52"/>
      <c r="E1851" s="52"/>
      <c r="F1851" s="53"/>
      <c r="G1851" s="52"/>
      <c r="H1851" s="54" t="str">
        <f aca="false">IF(E1851="","",E1851*N(F1851)*IF(G1851="",1,G1851))</f>
        <v/>
      </c>
      <c r="I1851" s="55" t="str">
        <f aca="false">IF(C1851="","",IFERROR(INDEX('DANH MỤC'!$B$5:$B$200,MATCH(C1851,'DANH MỤC'!$A$5:$A$200,0)),"⚠ Mã chưa có trong DANH MỤC"))</f>
        <v/>
      </c>
      <c r="J1851" s="52"/>
      <c r="K1851" s="52"/>
      <c r="L1851" s="52"/>
    </row>
    <row r="1852" customFormat="false" ht="15" hidden="false" customHeight="false" outlineLevel="0" collapsed="false">
      <c r="A1852" s="50"/>
      <c r="B1852" s="51" t="str">
        <f aca="false">IF(A1852="","",MONTH(A1852))</f>
        <v/>
      </c>
      <c r="C1852" s="52"/>
      <c r="D1852" s="52"/>
      <c r="E1852" s="52"/>
      <c r="F1852" s="53"/>
      <c r="G1852" s="52"/>
      <c r="H1852" s="54" t="str">
        <f aca="false">IF(E1852="","",E1852*N(F1852)*IF(G1852="",1,G1852))</f>
        <v/>
      </c>
      <c r="I1852" s="55" t="str">
        <f aca="false">IF(C1852="","",IFERROR(INDEX('DANH MỤC'!$B$5:$B$200,MATCH(C1852,'DANH MỤC'!$A$5:$A$200,0)),"⚠ Mã chưa có trong DANH MỤC"))</f>
        <v/>
      </c>
      <c r="J1852" s="52"/>
      <c r="K1852" s="52"/>
      <c r="L1852" s="52"/>
    </row>
    <row r="1853" customFormat="false" ht="15" hidden="false" customHeight="false" outlineLevel="0" collapsed="false">
      <c r="A1853" s="50"/>
      <c r="B1853" s="51" t="str">
        <f aca="false">IF(A1853="","",MONTH(A1853))</f>
        <v/>
      </c>
      <c r="C1853" s="52"/>
      <c r="D1853" s="52"/>
      <c r="E1853" s="52"/>
      <c r="F1853" s="53"/>
      <c r="G1853" s="52"/>
      <c r="H1853" s="54" t="str">
        <f aca="false">IF(E1853="","",E1853*N(F1853)*IF(G1853="",1,G1853))</f>
        <v/>
      </c>
      <c r="I1853" s="55" t="str">
        <f aca="false">IF(C1853="","",IFERROR(INDEX('DANH MỤC'!$B$5:$B$200,MATCH(C1853,'DANH MỤC'!$A$5:$A$200,0)),"⚠ Mã chưa có trong DANH MỤC"))</f>
        <v/>
      </c>
      <c r="J1853" s="52"/>
      <c r="K1853" s="52"/>
      <c r="L1853" s="52"/>
    </row>
    <row r="1854" customFormat="false" ht="15" hidden="false" customHeight="false" outlineLevel="0" collapsed="false">
      <c r="A1854" s="50"/>
      <c r="B1854" s="51" t="str">
        <f aca="false">IF(A1854="","",MONTH(A1854))</f>
        <v/>
      </c>
      <c r="C1854" s="52"/>
      <c r="D1854" s="52"/>
      <c r="E1854" s="52"/>
      <c r="F1854" s="53"/>
      <c r="G1854" s="52"/>
      <c r="H1854" s="54" t="str">
        <f aca="false">IF(E1854="","",E1854*N(F1854)*IF(G1854="",1,G1854))</f>
        <v/>
      </c>
      <c r="I1854" s="55" t="str">
        <f aca="false">IF(C1854="","",IFERROR(INDEX('DANH MỤC'!$B$5:$B$200,MATCH(C1854,'DANH MỤC'!$A$5:$A$200,0)),"⚠ Mã chưa có trong DANH MỤC"))</f>
        <v/>
      </c>
      <c r="J1854" s="52"/>
      <c r="K1854" s="52"/>
      <c r="L1854" s="52"/>
    </row>
    <row r="1855" customFormat="false" ht="15" hidden="false" customHeight="false" outlineLevel="0" collapsed="false">
      <c r="A1855" s="50"/>
      <c r="B1855" s="51" t="str">
        <f aca="false">IF(A1855="","",MONTH(A1855))</f>
        <v/>
      </c>
      <c r="C1855" s="52"/>
      <c r="D1855" s="52"/>
      <c r="E1855" s="52"/>
      <c r="F1855" s="53"/>
      <c r="G1855" s="52"/>
      <c r="H1855" s="54" t="str">
        <f aca="false">IF(E1855="","",E1855*N(F1855)*IF(G1855="",1,G1855))</f>
        <v/>
      </c>
      <c r="I1855" s="55" t="str">
        <f aca="false">IF(C1855="","",IFERROR(INDEX('DANH MỤC'!$B$5:$B$200,MATCH(C1855,'DANH MỤC'!$A$5:$A$200,0)),"⚠ Mã chưa có trong DANH MỤC"))</f>
        <v/>
      </c>
      <c r="J1855" s="52"/>
      <c r="K1855" s="52"/>
      <c r="L1855" s="52"/>
    </row>
    <row r="1856" customFormat="false" ht="15" hidden="false" customHeight="false" outlineLevel="0" collapsed="false">
      <c r="A1856" s="50"/>
      <c r="B1856" s="51" t="str">
        <f aca="false">IF(A1856="","",MONTH(A1856))</f>
        <v/>
      </c>
      <c r="C1856" s="52"/>
      <c r="D1856" s="52"/>
      <c r="E1856" s="52"/>
      <c r="F1856" s="53"/>
      <c r="G1856" s="52"/>
      <c r="H1856" s="54" t="str">
        <f aca="false">IF(E1856="","",E1856*N(F1856)*IF(G1856="",1,G1856))</f>
        <v/>
      </c>
      <c r="I1856" s="55" t="str">
        <f aca="false">IF(C1856="","",IFERROR(INDEX('DANH MỤC'!$B$5:$B$200,MATCH(C1856,'DANH MỤC'!$A$5:$A$200,0)),"⚠ Mã chưa có trong DANH MỤC"))</f>
        <v/>
      </c>
      <c r="J1856" s="52"/>
      <c r="K1856" s="52"/>
      <c r="L1856" s="52"/>
    </row>
    <row r="1857" customFormat="false" ht="15" hidden="false" customHeight="false" outlineLevel="0" collapsed="false">
      <c r="A1857" s="50"/>
      <c r="B1857" s="51" t="str">
        <f aca="false">IF(A1857="","",MONTH(A1857))</f>
        <v/>
      </c>
      <c r="C1857" s="52"/>
      <c r="D1857" s="52"/>
      <c r="E1857" s="52"/>
      <c r="F1857" s="53"/>
      <c r="G1857" s="52"/>
      <c r="H1857" s="54" t="str">
        <f aca="false">IF(E1857="","",E1857*N(F1857)*IF(G1857="",1,G1857))</f>
        <v/>
      </c>
      <c r="I1857" s="55" t="str">
        <f aca="false">IF(C1857="","",IFERROR(INDEX('DANH MỤC'!$B$5:$B$200,MATCH(C1857,'DANH MỤC'!$A$5:$A$200,0)),"⚠ Mã chưa có trong DANH MỤC"))</f>
        <v/>
      </c>
      <c r="J1857" s="52"/>
      <c r="K1857" s="52"/>
      <c r="L1857" s="52"/>
    </row>
    <row r="1858" customFormat="false" ht="15" hidden="false" customHeight="false" outlineLevel="0" collapsed="false">
      <c r="A1858" s="50"/>
      <c r="B1858" s="51" t="str">
        <f aca="false">IF(A1858="","",MONTH(A1858))</f>
        <v/>
      </c>
      <c r="C1858" s="52"/>
      <c r="D1858" s="52"/>
      <c r="E1858" s="52"/>
      <c r="F1858" s="53"/>
      <c r="G1858" s="52"/>
      <c r="H1858" s="54" t="str">
        <f aca="false">IF(E1858="","",E1858*N(F1858)*IF(G1858="",1,G1858))</f>
        <v/>
      </c>
      <c r="I1858" s="55" t="str">
        <f aca="false">IF(C1858="","",IFERROR(INDEX('DANH MỤC'!$B$5:$B$200,MATCH(C1858,'DANH MỤC'!$A$5:$A$200,0)),"⚠ Mã chưa có trong DANH MỤC"))</f>
        <v/>
      </c>
      <c r="J1858" s="52"/>
      <c r="K1858" s="52"/>
      <c r="L1858" s="52"/>
    </row>
    <row r="1859" customFormat="false" ht="15" hidden="false" customHeight="false" outlineLevel="0" collapsed="false">
      <c r="A1859" s="50"/>
      <c r="B1859" s="51" t="str">
        <f aca="false">IF(A1859="","",MONTH(A1859))</f>
        <v/>
      </c>
      <c r="C1859" s="52"/>
      <c r="D1859" s="52"/>
      <c r="E1859" s="52"/>
      <c r="F1859" s="53"/>
      <c r="G1859" s="52"/>
      <c r="H1859" s="54" t="str">
        <f aca="false">IF(E1859="","",E1859*N(F1859)*IF(G1859="",1,G1859))</f>
        <v/>
      </c>
      <c r="I1859" s="55" t="str">
        <f aca="false">IF(C1859="","",IFERROR(INDEX('DANH MỤC'!$B$5:$B$200,MATCH(C1859,'DANH MỤC'!$A$5:$A$200,0)),"⚠ Mã chưa có trong DANH MỤC"))</f>
        <v/>
      </c>
      <c r="J1859" s="52"/>
      <c r="K1859" s="52"/>
      <c r="L1859" s="52"/>
    </row>
    <row r="1860" customFormat="false" ht="15" hidden="false" customHeight="false" outlineLevel="0" collapsed="false">
      <c r="A1860" s="50"/>
      <c r="B1860" s="51" t="str">
        <f aca="false">IF(A1860="","",MONTH(A1860))</f>
        <v/>
      </c>
      <c r="C1860" s="52"/>
      <c r="D1860" s="52"/>
      <c r="E1860" s="52"/>
      <c r="F1860" s="53"/>
      <c r="G1860" s="52"/>
      <c r="H1860" s="54" t="str">
        <f aca="false">IF(E1860="","",E1860*N(F1860)*IF(G1860="",1,G1860))</f>
        <v/>
      </c>
      <c r="I1860" s="55" t="str">
        <f aca="false">IF(C1860="","",IFERROR(INDEX('DANH MỤC'!$B$5:$B$200,MATCH(C1860,'DANH MỤC'!$A$5:$A$200,0)),"⚠ Mã chưa có trong DANH MỤC"))</f>
        <v/>
      </c>
      <c r="J1860" s="52"/>
      <c r="K1860" s="52"/>
      <c r="L1860" s="52"/>
    </row>
    <row r="1861" customFormat="false" ht="15" hidden="false" customHeight="false" outlineLevel="0" collapsed="false">
      <c r="A1861" s="50"/>
      <c r="B1861" s="51" t="str">
        <f aca="false">IF(A1861="","",MONTH(A1861))</f>
        <v/>
      </c>
      <c r="C1861" s="52"/>
      <c r="D1861" s="52"/>
      <c r="E1861" s="52"/>
      <c r="F1861" s="53"/>
      <c r="G1861" s="52"/>
      <c r="H1861" s="54" t="str">
        <f aca="false">IF(E1861="","",E1861*N(F1861)*IF(G1861="",1,G1861))</f>
        <v/>
      </c>
      <c r="I1861" s="55" t="str">
        <f aca="false">IF(C1861="","",IFERROR(INDEX('DANH MỤC'!$B$5:$B$200,MATCH(C1861,'DANH MỤC'!$A$5:$A$200,0)),"⚠ Mã chưa có trong DANH MỤC"))</f>
        <v/>
      </c>
      <c r="J1861" s="52"/>
      <c r="K1861" s="52"/>
      <c r="L1861" s="52"/>
    </row>
    <row r="1862" customFormat="false" ht="15" hidden="false" customHeight="false" outlineLevel="0" collapsed="false">
      <c r="A1862" s="50"/>
      <c r="B1862" s="51" t="str">
        <f aca="false">IF(A1862="","",MONTH(A1862))</f>
        <v/>
      </c>
      <c r="C1862" s="52"/>
      <c r="D1862" s="52"/>
      <c r="E1862" s="52"/>
      <c r="F1862" s="53"/>
      <c r="G1862" s="52"/>
      <c r="H1862" s="54" t="str">
        <f aca="false">IF(E1862="","",E1862*N(F1862)*IF(G1862="",1,G1862))</f>
        <v/>
      </c>
      <c r="I1862" s="55" t="str">
        <f aca="false">IF(C1862="","",IFERROR(INDEX('DANH MỤC'!$B$5:$B$200,MATCH(C1862,'DANH MỤC'!$A$5:$A$200,0)),"⚠ Mã chưa có trong DANH MỤC"))</f>
        <v/>
      </c>
      <c r="J1862" s="52"/>
      <c r="K1862" s="52"/>
      <c r="L1862" s="52"/>
    </row>
    <row r="1863" customFormat="false" ht="15" hidden="false" customHeight="false" outlineLevel="0" collapsed="false">
      <c r="A1863" s="50"/>
      <c r="B1863" s="51" t="str">
        <f aca="false">IF(A1863="","",MONTH(A1863))</f>
        <v/>
      </c>
      <c r="C1863" s="52"/>
      <c r="D1863" s="52"/>
      <c r="E1863" s="52"/>
      <c r="F1863" s="53"/>
      <c r="G1863" s="52"/>
      <c r="H1863" s="54" t="str">
        <f aca="false">IF(E1863="","",E1863*N(F1863)*IF(G1863="",1,G1863))</f>
        <v/>
      </c>
      <c r="I1863" s="55" t="str">
        <f aca="false">IF(C1863="","",IFERROR(INDEX('DANH MỤC'!$B$5:$B$200,MATCH(C1863,'DANH MỤC'!$A$5:$A$200,0)),"⚠ Mã chưa có trong DANH MỤC"))</f>
        <v/>
      </c>
      <c r="J1863" s="52"/>
      <c r="K1863" s="52"/>
      <c r="L1863" s="52"/>
    </row>
    <row r="1864" customFormat="false" ht="15" hidden="false" customHeight="false" outlineLevel="0" collapsed="false">
      <c r="A1864" s="50"/>
      <c r="B1864" s="51" t="str">
        <f aca="false">IF(A1864="","",MONTH(A1864))</f>
        <v/>
      </c>
      <c r="C1864" s="52"/>
      <c r="D1864" s="52"/>
      <c r="E1864" s="52"/>
      <c r="F1864" s="53"/>
      <c r="G1864" s="52"/>
      <c r="H1864" s="54" t="str">
        <f aca="false">IF(E1864="","",E1864*N(F1864)*IF(G1864="",1,G1864))</f>
        <v/>
      </c>
      <c r="I1864" s="55" t="str">
        <f aca="false">IF(C1864="","",IFERROR(INDEX('DANH MỤC'!$B$5:$B$200,MATCH(C1864,'DANH MỤC'!$A$5:$A$200,0)),"⚠ Mã chưa có trong DANH MỤC"))</f>
        <v/>
      </c>
      <c r="J1864" s="52"/>
      <c r="K1864" s="52"/>
      <c r="L1864" s="52"/>
    </row>
    <row r="1865" customFormat="false" ht="15" hidden="false" customHeight="false" outlineLevel="0" collapsed="false">
      <c r="A1865" s="50"/>
      <c r="B1865" s="51" t="str">
        <f aca="false">IF(A1865="","",MONTH(A1865))</f>
        <v/>
      </c>
      <c r="C1865" s="52"/>
      <c r="D1865" s="52"/>
      <c r="E1865" s="52"/>
      <c r="F1865" s="53"/>
      <c r="G1865" s="52"/>
      <c r="H1865" s="54" t="str">
        <f aca="false">IF(E1865="","",E1865*N(F1865)*IF(G1865="",1,G1865))</f>
        <v/>
      </c>
      <c r="I1865" s="55" t="str">
        <f aca="false">IF(C1865="","",IFERROR(INDEX('DANH MỤC'!$B$5:$B$200,MATCH(C1865,'DANH MỤC'!$A$5:$A$200,0)),"⚠ Mã chưa có trong DANH MỤC"))</f>
        <v/>
      </c>
      <c r="J1865" s="52"/>
      <c r="K1865" s="52"/>
      <c r="L1865" s="52"/>
    </row>
    <row r="1866" customFormat="false" ht="15" hidden="false" customHeight="false" outlineLevel="0" collapsed="false">
      <c r="A1866" s="50"/>
      <c r="B1866" s="51" t="str">
        <f aca="false">IF(A1866="","",MONTH(A1866))</f>
        <v/>
      </c>
      <c r="C1866" s="52"/>
      <c r="D1866" s="52"/>
      <c r="E1866" s="52"/>
      <c r="F1866" s="53"/>
      <c r="G1866" s="52"/>
      <c r="H1866" s="54" t="str">
        <f aca="false">IF(E1866="","",E1866*N(F1866)*IF(G1866="",1,G1866))</f>
        <v/>
      </c>
      <c r="I1866" s="55" t="str">
        <f aca="false">IF(C1866="","",IFERROR(INDEX('DANH MỤC'!$B$5:$B$200,MATCH(C1866,'DANH MỤC'!$A$5:$A$200,0)),"⚠ Mã chưa có trong DANH MỤC"))</f>
        <v/>
      </c>
      <c r="J1866" s="52"/>
      <c r="K1866" s="52"/>
      <c r="L1866" s="52"/>
    </row>
    <row r="1867" customFormat="false" ht="15" hidden="false" customHeight="false" outlineLevel="0" collapsed="false">
      <c r="A1867" s="50"/>
      <c r="B1867" s="51" t="str">
        <f aca="false">IF(A1867="","",MONTH(A1867))</f>
        <v/>
      </c>
      <c r="C1867" s="52"/>
      <c r="D1867" s="52"/>
      <c r="E1867" s="52"/>
      <c r="F1867" s="53"/>
      <c r="G1867" s="52"/>
      <c r="H1867" s="54" t="str">
        <f aca="false">IF(E1867="","",E1867*N(F1867)*IF(G1867="",1,G1867))</f>
        <v/>
      </c>
      <c r="I1867" s="55" t="str">
        <f aca="false">IF(C1867="","",IFERROR(INDEX('DANH MỤC'!$B$5:$B$200,MATCH(C1867,'DANH MỤC'!$A$5:$A$200,0)),"⚠ Mã chưa có trong DANH MỤC"))</f>
        <v/>
      </c>
      <c r="J1867" s="52"/>
      <c r="K1867" s="52"/>
      <c r="L1867" s="52"/>
    </row>
    <row r="1868" customFormat="false" ht="15" hidden="false" customHeight="false" outlineLevel="0" collapsed="false">
      <c r="A1868" s="50"/>
      <c r="B1868" s="51" t="str">
        <f aca="false">IF(A1868="","",MONTH(A1868))</f>
        <v/>
      </c>
      <c r="C1868" s="52"/>
      <c r="D1868" s="52"/>
      <c r="E1868" s="52"/>
      <c r="F1868" s="53"/>
      <c r="G1868" s="52"/>
      <c r="H1868" s="54" t="str">
        <f aca="false">IF(E1868="","",E1868*N(F1868)*IF(G1868="",1,G1868))</f>
        <v/>
      </c>
      <c r="I1868" s="55" t="str">
        <f aca="false">IF(C1868="","",IFERROR(INDEX('DANH MỤC'!$B$5:$B$200,MATCH(C1868,'DANH MỤC'!$A$5:$A$200,0)),"⚠ Mã chưa có trong DANH MỤC"))</f>
        <v/>
      </c>
      <c r="J1868" s="52"/>
      <c r="K1868" s="52"/>
      <c r="L1868" s="52"/>
    </row>
    <row r="1869" customFormat="false" ht="15" hidden="false" customHeight="false" outlineLevel="0" collapsed="false">
      <c r="A1869" s="50"/>
      <c r="B1869" s="51" t="str">
        <f aca="false">IF(A1869="","",MONTH(A1869))</f>
        <v/>
      </c>
      <c r="C1869" s="52"/>
      <c r="D1869" s="52"/>
      <c r="E1869" s="52"/>
      <c r="F1869" s="53"/>
      <c r="G1869" s="52"/>
      <c r="H1869" s="54" t="str">
        <f aca="false">IF(E1869="","",E1869*N(F1869)*IF(G1869="",1,G1869))</f>
        <v/>
      </c>
      <c r="I1869" s="55" t="str">
        <f aca="false">IF(C1869="","",IFERROR(INDEX('DANH MỤC'!$B$5:$B$200,MATCH(C1869,'DANH MỤC'!$A$5:$A$200,0)),"⚠ Mã chưa có trong DANH MỤC"))</f>
        <v/>
      </c>
      <c r="J1869" s="52"/>
      <c r="K1869" s="52"/>
      <c r="L1869" s="52"/>
    </row>
    <row r="1870" customFormat="false" ht="15" hidden="false" customHeight="false" outlineLevel="0" collapsed="false">
      <c r="A1870" s="50"/>
      <c r="B1870" s="51" t="str">
        <f aca="false">IF(A1870="","",MONTH(A1870))</f>
        <v/>
      </c>
      <c r="C1870" s="52"/>
      <c r="D1870" s="52"/>
      <c r="E1870" s="52"/>
      <c r="F1870" s="53"/>
      <c r="G1870" s="52"/>
      <c r="H1870" s="54" t="str">
        <f aca="false">IF(E1870="","",E1870*N(F1870)*IF(G1870="",1,G1870))</f>
        <v/>
      </c>
      <c r="I1870" s="55" t="str">
        <f aca="false">IF(C1870="","",IFERROR(INDEX('DANH MỤC'!$B$5:$B$200,MATCH(C1870,'DANH MỤC'!$A$5:$A$200,0)),"⚠ Mã chưa có trong DANH MỤC"))</f>
        <v/>
      </c>
      <c r="J1870" s="52"/>
      <c r="K1870" s="52"/>
      <c r="L1870" s="52"/>
    </row>
    <row r="1871" customFormat="false" ht="15" hidden="false" customHeight="false" outlineLevel="0" collapsed="false">
      <c r="A1871" s="50"/>
      <c r="B1871" s="51" t="str">
        <f aca="false">IF(A1871="","",MONTH(A1871))</f>
        <v/>
      </c>
      <c r="C1871" s="52"/>
      <c r="D1871" s="52"/>
      <c r="E1871" s="52"/>
      <c r="F1871" s="53"/>
      <c r="G1871" s="52"/>
      <c r="H1871" s="54" t="str">
        <f aca="false">IF(E1871="","",E1871*N(F1871)*IF(G1871="",1,G1871))</f>
        <v/>
      </c>
      <c r="I1871" s="55" t="str">
        <f aca="false">IF(C1871="","",IFERROR(INDEX('DANH MỤC'!$B$5:$B$200,MATCH(C1871,'DANH MỤC'!$A$5:$A$200,0)),"⚠ Mã chưa có trong DANH MỤC"))</f>
        <v/>
      </c>
      <c r="J1871" s="52"/>
      <c r="K1871" s="52"/>
      <c r="L1871" s="52"/>
    </row>
    <row r="1872" customFormat="false" ht="15" hidden="false" customHeight="false" outlineLevel="0" collapsed="false">
      <c r="A1872" s="50"/>
      <c r="B1872" s="51" t="str">
        <f aca="false">IF(A1872="","",MONTH(A1872))</f>
        <v/>
      </c>
      <c r="C1872" s="52"/>
      <c r="D1872" s="52"/>
      <c r="E1872" s="52"/>
      <c r="F1872" s="53"/>
      <c r="G1872" s="52"/>
      <c r="H1872" s="54" t="str">
        <f aca="false">IF(E1872="","",E1872*N(F1872)*IF(G1872="",1,G1872))</f>
        <v/>
      </c>
      <c r="I1872" s="55" t="str">
        <f aca="false">IF(C1872="","",IFERROR(INDEX('DANH MỤC'!$B$5:$B$200,MATCH(C1872,'DANH MỤC'!$A$5:$A$200,0)),"⚠ Mã chưa có trong DANH MỤC"))</f>
        <v/>
      </c>
      <c r="J1872" s="52"/>
      <c r="K1872" s="52"/>
      <c r="L1872" s="52"/>
    </row>
    <row r="1873" customFormat="false" ht="15" hidden="false" customHeight="false" outlineLevel="0" collapsed="false">
      <c r="A1873" s="50"/>
      <c r="B1873" s="51" t="str">
        <f aca="false">IF(A1873="","",MONTH(A1873))</f>
        <v/>
      </c>
      <c r="C1873" s="52"/>
      <c r="D1873" s="52"/>
      <c r="E1873" s="52"/>
      <c r="F1873" s="53"/>
      <c r="G1873" s="52"/>
      <c r="H1873" s="54" t="str">
        <f aca="false">IF(E1873="","",E1873*N(F1873)*IF(G1873="",1,G1873))</f>
        <v/>
      </c>
      <c r="I1873" s="55" t="str">
        <f aca="false">IF(C1873="","",IFERROR(INDEX('DANH MỤC'!$B$5:$B$200,MATCH(C1873,'DANH MỤC'!$A$5:$A$200,0)),"⚠ Mã chưa có trong DANH MỤC"))</f>
        <v/>
      </c>
      <c r="J1873" s="52"/>
      <c r="K1873" s="52"/>
      <c r="L1873" s="52"/>
    </row>
    <row r="1874" customFormat="false" ht="15" hidden="false" customHeight="false" outlineLevel="0" collapsed="false">
      <c r="A1874" s="50"/>
      <c r="B1874" s="51" t="str">
        <f aca="false">IF(A1874="","",MONTH(A1874))</f>
        <v/>
      </c>
      <c r="C1874" s="52"/>
      <c r="D1874" s="52"/>
      <c r="E1874" s="52"/>
      <c r="F1874" s="53"/>
      <c r="G1874" s="52"/>
      <c r="H1874" s="54" t="str">
        <f aca="false">IF(E1874="","",E1874*N(F1874)*IF(G1874="",1,G1874))</f>
        <v/>
      </c>
      <c r="I1874" s="55" t="str">
        <f aca="false">IF(C1874="","",IFERROR(INDEX('DANH MỤC'!$B$5:$B$200,MATCH(C1874,'DANH MỤC'!$A$5:$A$200,0)),"⚠ Mã chưa có trong DANH MỤC"))</f>
        <v/>
      </c>
      <c r="J1874" s="52"/>
      <c r="K1874" s="52"/>
      <c r="L1874" s="52"/>
    </row>
    <row r="1875" customFormat="false" ht="15" hidden="false" customHeight="false" outlineLevel="0" collapsed="false">
      <c r="A1875" s="50"/>
      <c r="B1875" s="51" t="str">
        <f aca="false">IF(A1875="","",MONTH(A1875))</f>
        <v/>
      </c>
      <c r="C1875" s="52"/>
      <c r="D1875" s="52"/>
      <c r="E1875" s="52"/>
      <c r="F1875" s="53"/>
      <c r="G1875" s="52"/>
      <c r="H1875" s="54" t="str">
        <f aca="false">IF(E1875="","",E1875*N(F1875)*IF(G1875="",1,G1875))</f>
        <v/>
      </c>
      <c r="I1875" s="55" t="str">
        <f aca="false">IF(C1875="","",IFERROR(INDEX('DANH MỤC'!$B$5:$B$200,MATCH(C1875,'DANH MỤC'!$A$5:$A$200,0)),"⚠ Mã chưa có trong DANH MỤC"))</f>
        <v/>
      </c>
      <c r="J1875" s="52"/>
      <c r="K1875" s="52"/>
      <c r="L1875" s="52"/>
    </row>
    <row r="1876" customFormat="false" ht="15" hidden="false" customHeight="false" outlineLevel="0" collapsed="false">
      <c r="A1876" s="50"/>
      <c r="B1876" s="51" t="str">
        <f aca="false">IF(A1876="","",MONTH(A1876))</f>
        <v/>
      </c>
      <c r="C1876" s="52"/>
      <c r="D1876" s="52"/>
      <c r="E1876" s="52"/>
      <c r="F1876" s="53"/>
      <c r="G1876" s="52"/>
      <c r="H1876" s="54" t="str">
        <f aca="false">IF(E1876="","",E1876*N(F1876)*IF(G1876="",1,G1876))</f>
        <v/>
      </c>
      <c r="I1876" s="55" t="str">
        <f aca="false">IF(C1876="","",IFERROR(INDEX('DANH MỤC'!$B$5:$B$200,MATCH(C1876,'DANH MỤC'!$A$5:$A$200,0)),"⚠ Mã chưa có trong DANH MỤC"))</f>
        <v/>
      </c>
      <c r="J1876" s="52"/>
      <c r="K1876" s="52"/>
      <c r="L1876" s="52"/>
    </row>
    <row r="1877" customFormat="false" ht="15" hidden="false" customHeight="false" outlineLevel="0" collapsed="false">
      <c r="A1877" s="50"/>
      <c r="B1877" s="51" t="str">
        <f aca="false">IF(A1877="","",MONTH(A1877))</f>
        <v/>
      </c>
      <c r="C1877" s="52"/>
      <c r="D1877" s="52"/>
      <c r="E1877" s="52"/>
      <c r="F1877" s="53"/>
      <c r="G1877" s="52"/>
      <c r="H1877" s="54" t="str">
        <f aca="false">IF(E1877="","",E1877*N(F1877)*IF(G1877="",1,G1877))</f>
        <v/>
      </c>
      <c r="I1877" s="55" t="str">
        <f aca="false">IF(C1877="","",IFERROR(INDEX('DANH MỤC'!$B$5:$B$200,MATCH(C1877,'DANH MỤC'!$A$5:$A$200,0)),"⚠ Mã chưa có trong DANH MỤC"))</f>
        <v/>
      </c>
      <c r="J1877" s="52"/>
      <c r="K1877" s="52"/>
      <c r="L1877" s="52"/>
    </row>
    <row r="1878" customFormat="false" ht="15" hidden="false" customHeight="false" outlineLevel="0" collapsed="false">
      <c r="A1878" s="50"/>
      <c r="B1878" s="51" t="str">
        <f aca="false">IF(A1878="","",MONTH(A1878))</f>
        <v/>
      </c>
      <c r="C1878" s="52"/>
      <c r="D1878" s="52"/>
      <c r="E1878" s="52"/>
      <c r="F1878" s="53"/>
      <c r="G1878" s="52"/>
      <c r="H1878" s="54" t="str">
        <f aca="false">IF(E1878="","",E1878*N(F1878)*IF(G1878="",1,G1878))</f>
        <v/>
      </c>
      <c r="I1878" s="55" t="str">
        <f aca="false">IF(C1878="","",IFERROR(INDEX('DANH MỤC'!$B$5:$B$200,MATCH(C1878,'DANH MỤC'!$A$5:$A$200,0)),"⚠ Mã chưa có trong DANH MỤC"))</f>
        <v/>
      </c>
      <c r="J1878" s="52"/>
      <c r="K1878" s="52"/>
      <c r="L1878" s="52"/>
    </row>
    <row r="1879" customFormat="false" ht="15" hidden="false" customHeight="false" outlineLevel="0" collapsed="false">
      <c r="A1879" s="50"/>
      <c r="B1879" s="51" t="str">
        <f aca="false">IF(A1879="","",MONTH(A1879))</f>
        <v/>
      </c>
      <c r="C1879" s="52"/>
      <c r="D1879" s="52"/>
      <c r="E1879" s="52"/>
      <c r="F1879" s="53"/>
      <c r="G1879" s="52"/>
      <c r="H1879" s="54" t="str">
        <f aca="false">IF(E1879="","",E1879*N(F1879)*IF(G1879="",1,G1879))</f>
        <v/>
      </c>
      <c r="I1879" s="55" t="str">
        <f aca="false">IF(C1879="","",IFERROR(INDEX('DANH MỤC'!$B$5:$B$200,MATCH(C1879,'DANH MỤC'!$A$5:$A$200,0)),"⚠ Mã chưa có trong DANH MỤC"))</f>
        <v/>
      </c>
      <c r="J1879" s="52"/>
      <c r="K1879" s="52"/>
      <c r="L1879" s="52"/>
    </row>
    <row r="1880" customFormat="false" ht="15" hidden="false" customHeight="false" outlineLevel="0" collapsed="false">
      <c r="A1880" s="50"/>
      <c r="B1880" s="51" t="str">
        <f aca="false">IF(A1880="","",MONTH(A1880))</f>
        <v/>
      </c>
      <c r="C1880" s="52"/>
      <c r="D1880" s="52"/>
      <c r="E1880" s="52"/>
      <c r="F1880" s="53"/>
      <c r="G1880" s="52"/>
      <c r="H1880" s="54" t="str">
        <f aca="false">IF(E1880="","",E1880*N(F1880)*IF(G1880="",1,G1880))</f>
        <v/>
      </c>
      <c r="I1880" s="55" t="str">
        <f aca="false">IF(C1880="","",IFERROR(INDEX('DANH MỤC'!$B$5:$B$200,MATCH(C1880,'DANH MỤC'!$A$5:$A$200,0)),"⚠ Mã chưa có trong DANH MỤC"))</f>
        <v/>
      </c>
      <c r="J1880" s="52"/>
      <c r="K1880" s="52"/>
      <c r="L1880" s="52"/>
    </row>
    <row r="1881" customFormat="false" ht="15" hidden="false" customHeight="false" outlineLevel="0" collapsed="false">
      <c r="A1881" s="50"/>
      <c r="B1881" s="51" t="str">
        <f aca="false">IF(A1881="","",MONTH(A1881))</f>
        <v/>
      </c>
      <c r="C1881" s="52"/>
      <c r="D1881" s="52"/>
      <c r="E1881" s="52"/>
      <c r="F1881" s="53"/>
      <c r="G1881" s="52"/>
      <c r="H1881" s="54" t="str">
        <f aca="false">IF(E1881="","",E1881*N(F1881)*IF(G1881="",1,G1881))</f>
        <v/>
      </c>
      <c r="I1881" s="55" t="str">
        <f aca="false">IF(C1881="","",IFERROR(INDEX('DANH MỤC'!$B$5:$B$200,MATCH(C1881,'DANH MỤC'!$A$5:$A$200,0)),"⚠ Mã chưa có trong DANH MỤC"))</f>
        <v/>
      </c>
      <c r="J1881" s="52"/>
      <c r="K1881" s="52"/>
      <c r="L1881" s="52"/>
    </row>
    <row r="1882" customFormat="false" ht="15" hidden="false" customHeight="false" outlineLevel="0" collapsed="false">
      <c r="A1882" s="50"/>
      <c r="B1882" s="51" t="str">
        <f aca="false">IF(A1882="","",MONTH(A1882))</f>
        <v/>
      </c>
      <c r="C1882" s="52"/>
      <c r="D1882" s="52"/>
      <c r="E1882" s="52"/>
      <c r="F1882" s="53"/>
      <c r="G1882" s="52"/>
      <c r="H1882" s="54" t="str">
        <f aca="false">IF(E1882="","",E1882*N(F1882)*IF(G1882="",1,G1882))</f>
        <v/>
      </c>
      <c r="I1882" s="55" t="str">
        <f aca="false">IF(C1882="","",IFERROR(INDEX('DANH MỤC'!$B$5:$B$200,MATCH(C1882,'DANH MỤC'!$A$5:$A$200,0)),"⚠ Mã chưa có trong DANH MỤC"))</f>
        <v/>
      </c>
      <c r="J1882" s="52"/>
      <c r="K1882" s="52"/>
      <c r="L1882" s="52"/>
    </row>
    <row r="1883" customFormat="false" ht="15" hidden="false" customHeight="false" outlineLevel="0" collapsed="false">
      <c r="A1883" s="50"/>
      <c r="B1883" s="51" t="str">
        <f aca="false">IF(A1883="","",MONTH(A1883))</f>
        <v/>
      </c>
      <c r="C1883" s="52"/>
      <c r="D1883" s="52"/>
      <c r="E1883" s="52"/>
      <c r="F1883" s="53"/>
      <c r="G1883" s="52"/>
      <c r="H1883" s="54" t="str">
        <f aca="false">IF(E1883="","",E1883*N(F1883)*IF(G1883="",1,G1883))</f>
        <v/>
      </c>
      <c r="I1883" s="55" t="str">
        <f aca="false">IF(C1883="","",IFERROR(INDEX('DANH MỤC'!$B$5:$B$200,MATCH(C1883,'DANH MỤC'!$A$5:$A$200,0)),"⚠ Mã chưa có trong DANH MỤC"))</f>
        <v/>
      </c>
      <c r="J1883" s="52"/>
      <c r="K1883" s="52"/>
      <c r="L1883" s="52"/>
    </row>
    <row r="1884" customFormat="false" ht="15" hidden="false" customHeight="false" outlineLevel="0" collapsed="false">
      <c r="A1884" s="50"/>
      <c r="B1884" s="51" t="str">
        <f aca="false">IF(A1884="","",MONTH(A1884))</f>
        <v/>
      </c>
      <c r="C1884" s="52"/>
      <c r="D1884" s="52"/>
      <c r="E1884" s="52"/>
      <c r="F1884" s="53"/>
      <c r="G1884" s="52"/>
      <c r="H1884" s="54" t="str">
        <f aca="false">IF(E1884="","",E1884*N(F1884)*IF(G1884="",1,G1884))</f>
        <v/>
      </c>
      <c r="I1884" s="55" t="str">
        <f aca="false">IF(C1884="","",IFERROR(INDEX('DANH MỤC'!$B$5:$B$200,MATCH(C1884,'DANH MỤC'!$A$5:$A$200,0)),"⚠ Mã chưa có trong DANH MỤC"))</f>
        <v/>
      </c>
      <c r="J1884" s="52"/>
      <c r="K1884" s="52"/>
      <c r="L1884" s="52"/>
    </row>
    <row r="1885" customFormat="false" ht="15" hidden="false" customHeight="false" outlineLevel="0" collapsed="false">
      <c r="A1885" s="50"/>
      <c r="B1885" s="51" t="str">
        <f aca="false">IF(A1885="","",MONTH(A1885))</f>
        <v/>
      </c>
      <c r="C1885" s="52"/>
      <c r="D1885" s="52"/>
      <c r="E1885" s="52"/>
      <c r="F1885" s="53"/>
      <c r="G1885" s="52"/>
      <c r="H1885" s="54" t="str">
        <f aca="false">IF(E1885="","",E1885*N(F1885)*IF(G1885="",1,G1885))</f>
        <v/>
      </c>
      <c r="I1885" s="55" t="str">
        <f aca="false">IF(C1885="","",IFERROR(INDEX('DANH MỤC'!$B$5:$B$200,MATCH(C1885,'DANH MỤC'!$A$5:$A$200,0)),"⚠ Mã chưa có trong DANH MỤC"))</f>
        <v/>
      </c>
      <c r="J1885" s="52"/>
      <c r="K1885" s="52"/>
      <c r="L1885" s="52"/>
    </row>
    <row r="1886" customFormat="false" ht="15" hidden="false" customHeight="false" outlineLevel="0" collapsed="false">
      <c r="A1886" s="50"/>
      <c r="B1886" s="51" t="str">
        <f aca="false">IF(A1886="","",MONTH(A1886))</f>
        <v/>
      </c>
      <c r="C1886" s="52"/>
      <c r="D1886" s="52"/>
      <c r="E1886" s="52"/>
      <c r="F1886" s="53"/>
      <c r="G1886" s="52"/>
      <c r="H1886" s="54" t="str">
        <f aca="false">IF(E1886="","",E1886*N(F1886)*IF(G1886="",1,G1886))</f>
        <v/>
      </c>
      <c r="I1886" s="55" t="str">
        <f aca="false">IF(C1886="","",IFERROR(INDEX('DANH MỤC'!$B$5:$B$200,MATCH(C1886,'DANH MỤC'!$A$5:$A$200,0)),"⚠ Mã chưa có trong DANH MỤC"))</f>
        <v/>
      </c>
      <c r="J1886" s="52"/>
      <c r="K1886" s="52"/>
      <c r="L1886" s="52"/>
    </row>
    <row r="1887" customFormat="false" ht="15" hidden="false" customHeight="false" outlineLevel="0" collapsed="false">
      <c r="A1887" s="50"/>
      <c r="B1887" s="51" t="str">
        <f aca="false">IF(A1887="","",MONTH(A1887))</f>
        <v/>
      </c>
      <c r="C1887" s="52"/>
      <c r="D1887" s="52"/>
      <c r="E1887" s="52"/>
      <c r="F1887" s="53"/>
      <c r="G1887" s="52"/>
      <c r="H1887" s="54" t="str">
        <f aca="false">IF(E1887="","",E1887*N(F1887)*IF(G1887="",1,G1887))</f>
        <v/>
      </c>
      <c r="I1887" s="55" t="str">
        <f aca="false">IF(C1887="","",IFERROR(INDEX('DANH MỤC'!$B$5:$B$200,MATCH(C1887,'DANH MỤC'!$A$5:$A$200,0)),"⚠ Mã chưa có trong DANH MỤC"))</f>
        <v/>
      </c>
      <c r="J1887" s="52"/>
      <c r="K1887" s="52"/>
      <c r="L1887" s="52"/>
    </row>
    <row r="1888" customFormat="false" ht="15" hidden="false" customHeight="false" outlineLevel="0" collapsed="false">
      <c r="A1888" s="50"/>
      <c r="B1888" s="51" t="str">
        <f aca="false">IF(A1888="","",MONTH(A1888))</f>
        <v/>
      </c>
      <c r="C1888" s="52"/>
      <c r="D1888" s="52"/>
      <c r="E1888" s="52"/>
      <c r="F1888" s="53"/>
      <c r="G1888" s="52"/>
      <c r="H1888" s="54" t="str">
        <f aca="false">IF(E1888="","",E1888*N(F1888)*IF(G1888="",1,G1888))</f>
        <v/>
      </c>
      <c r="I1888" s="55" t="str">
        <f aca="false">IF(C1888="","",IFERROR(INDEX('DANH MỤC'!$B$5:$B$200,MATCH(C1888,'DANH MỤC'!$A$5:$A$200,0)),"⚠ Mã chưa có trong DANH MỤC"))</f>
        <v/>
      </c>
      <c r="J1888" s="52"/>
      <c r="K1888" s="52"/>
      <c r="L1888" s="52"/>
    </row>
    <row r="1889" customFormat="false" ht="15" hidden="false" customHeight="false" outlineLevel="0" collapsed="false">
      <c r="A1889" s="50"/>
      <c r="B1889" s="51" t="str">
        <f aca="false">IF(A1889="","",MONTH(A1889))</f>
        <v/>
      </c>
      <c r="C1889" s="52"/>
      <c r="D1889" s="52"/>
      <c r="E1889" s="52"/>
      <c r="F1889" s="53"/>
      <c r="G1889" s="52"/>
      <c r="H1889" s="54" t="str">
        <f aca="false">IF(E1889="","",E1889*N(F1889)*IF(G1889="",1,G1889))</f>
        <v/>
      </c>
      <c r="I1889" s="55" t="str">
        <f aca="false">IF(C1889="","",IFERROR(INDEX('DANH MỤC'!$B$5:$B$200,MATCH(C1889,'DANH MỤC'!$A$5:$A$200,0)),"⚠ Mã chưa có trong DANH MỤC"))</f>
        <v/>
      </c>
      <c r="J1889" s="52"/>
      <c r="K1889" s="52"/>
      <c r="L1889" s="52"/>
    </row>
    <row r="1890" customFormat="false" ht="15" hidden="false" customHeight="false" outlineLevel="0" collapsed="false">
      <c r="A1890" s="50"/>
      <c r="B1890" s="51" t="str">
        <f aca="false">IF(A1890="","",MONTH(A1890))</f>
        <v/>
      </c>
      <c r="C1890" s="52"/>
      <c r="D1890" s="52"/>
      <c r="E1890" s="52"/>
      <c r="F1890" s="53"/>
      <c r="G1890" s="52"/>
      <c r="H1890" s="54" t="str">
        <f aca="false">IF(E1890="","",E1890*N(F1890)*IF(G1890="",1,G1890))</f>
        <v/>
      </c>
      <c r="I1890" s="55" t="str">
        <f aca="false">IF(C1890="","",IFERROR(INDEX('DANH MỤC'!$B$5:$B$200,MATCH(C1890,'DANH MỤC'!$A$5:$A$200,0)),"⚠ Mã chưa có trong DANH MỤC"))</f>
        <v/>
      </c>
      <c r="J1890" s="52"/>
      <c r="K1890" s="52"/>
      <c r="L1890" s="52"/>
    </row>
    <row r="1891" customFormat="false" ht="15" hidden="false" customHeight="false" outlineLevel="0" collapsed="false">
      <c r="A1891" s="50"/>
      <c r="B1891" s="51" t="str">
        <f aca="false">IF(A1891="","",MONTH(A1891))</f>
        <v/>
      </c>
      <c r="C1891" s="52"/>
      <c r="D1891" s="52"/>
      <c r="E1891" s="52"/>
      <c r="F1891" s="53"/>
      <c r="G1891" s="52"/>
      <c r="H1891" s="54" t="str">
        <f aca="false">IF(E1891="","",E1891*N(F1891)*IF(G1891="",1,G1891))</f>
        <v/>
      </c>
      <c r="I1891" s="55" t="str">
        <f aca="false">IF(C1891="","",IFERROR(INDEX('DANH MỤC'!$B$5:$B$200,MATCH(C1891,'DANH MỤC'!$A$5:$A$200,0)),"⚠ Mã chưa có trong DANH MỤC"))</f>
        <v/>
      </c>
      <c r="J1891" s="52"/>
      <c r="K1891" s="52"/>
      <c r="L1891" s="52"/>
    </row>
    <row r="1892" customFormat="false" ht="15" hidden="false" customHeight="false" outlineLevel="0" collapsed="false">
      <c r="A1892" s="50"/>
      <c r="B1892" s="51" t="str">
        <f aca="false">IF(A1892="","",MONTH(A1892))</f>
        <v/>
      </c>
      <c r="C1892" s="52"/>
      <c r="D1892" s="52"/>
      <c r="E1892" s="52"/>
      <c r="F1892" s="53"/>
      <c r="G1892" s="52"/>
      <c r="H1892" s="54" t="str">
        <f aca="false">IF(E1892="","",E1892*N(F1892)*IF(G1892="",1,G1892))</f>
        <v/>
      </c>
      <c r="I1892" s="55" t="str">
        <f aca="false">IF(C1892="","",IFERROR(INDEX('DANH MỤC'!$B$5:$B$200,MATCH(C1892,'DANH MỤC'!$A$5:$A$200,0)),"⚠ Mã chưa có trong DANH MỤC"))</f>
        <v/>
      </c>
      <c r="J1892" s="52"/>
      <c r="K1892" s="52"/>
      <c r="L1892" s="52"/>
    </row>
    <row r="1893" customFormat="false" ht="15" hidden="false" customHeight="false" outlineLevel="0" collapsed="false">
      <c r="A1893" s="50"/>
      <c r="B1893" s="51" t="str">
        <f aca="false">IF(A1893="","",MONTH(A1893))</f>
        <v/>
      </c>
      <c r="C1893" s="52"/>
      <c r="D1893" s="52"/>
      <c r="E1893" s="52"/>
      <c r="F1893" s="53"/>
      <c r="G1893" s="52"/>
      <c r="H1893" s="54" t="str">
        <f aca="false">IF(E1893="","",E1893*N(F1893)*IF(G1893="",1,G1893))</f>
        <v/>
      </c>
      <c r="I1893" s="55" t="str">
        <f aca="false">IF(C1893="","",IFERROR(INDEX('DANH MỤC'!$B$5:$B$200,MATCH(C1893,'DANH MỤC'!$A$5:$A$200,0)),"⚠ Mã chưa có trong DANH MỤC"))</f>
        <v/>
      </c>
      <c r="J1893" s="52"/>
      <c r="K1893" s="52"/>
      <c r="L1893" s="52"/>
    </row>
    <row r="1894" customFormat="false" ht="15" hidden="false" customHeight="false" outlineLevel="0" collapsed="false">
      <c r="A1894" s="50"/>
      <c r="B1894" s="51" t="str">
        <f aca="false">IF(A1894="","",MONTH(A1894))</f>
        <v/>
      </c>
      <c r="C1894" s="52"/>
      <c r="D1894" s="52"/>
      <c r="E1894" s="52"/>
      <c r="F1894" s="53"/>
      <c r="G1894" s="52"/>
      <c r="H1894" s="54" t="str">
        <f aca="false">IF(E1894="","",E1894*N(F1894)*IF(G1894="",1,G1894))</f>
        <v/>
      </c>
      <c r="I1894" s="55" t="str">
        <f aca="false">IF(C1894="","",IFERROR(INDEX('DANH MỤC'!$B$5:$B$200,MATCH(C1894,'DANH MỤC'!$A$5:$A$200,0)),"⚠ Mã chưa có trong DANH MỤC"))</f>
        <v/>
      </c>
      <c r="J1894" s="52"/>
      <c r="K1894" s="52"/>
      <c r="L1894" s="52"/>
    </row>
    <row r="1895" customFormat="false" ht="15" hidden="false" customHeight="false" outlineLevel="0" collapsed="false">
      <c r="A1895" s="50"/>
      <c r="B1895" s="51" t="str">
        <f aca="false">IF(A1895="","",MONTH(A1895))</f>
        <v/>
      </c>
      <c r="C1895" s="52"/>
      <c r="D1895" s="52"/>
      <c r="E1895" s="52"/>
      <c r="F1895" s="53"/>
      <c r="G1895" s="52"/>
      <c r="H1895" s="54" t="str">
        <f aca="false">IF(E1895="","",E1895*N(F1895)*IF(G1895="",1,G1895))</f>
        <v/>
      </c>
      <c r="I1895" s="55" t="str">
        <f aca="false">IF(C1895="","",IFERROR(INDEX('DANH MỤC'!$B$5:$B$200,MATCH(C1895,'DANH MỤC'!$A$5:$A$200,0)),"⚠ Mã chưa có trong DANH MỤC"))</f>
        <v/>
      </c>
      <c r="J1895" s="52"/>
      <c r="K1895" s="52"/>
      <c r="L1895" s="52"/>
    </row>
    <row r="1896" customFormat="false" ht="15" hidden="false" customHeight="false" outlineLevel="0" collapsed="false">
      <c r="A1896" s="50"/>
      <c r="B1896" s="51" t="str">
        <f aca="false">IF(A1896="","",MONTH(A1896))</f>
        <v/>
      </c>
      <c r="C1896" s="52"/>
      <c r="D1896" s="52"/>
      <c r="E1896" s="52"/>
      <c r="F1896" s="53"/>
      <c r="G1896" s="52"/>
      <c r="H1896" s="54" t="str">
        <f aca="false">IF(E1896="","",E1896*N(F1896)*IF(G1896="",1,G1896))</f>
        <v/>
      </c>
      <c r="I1896" s="55" t="str">
        <f aca="false">IF(C1896="","",IFERROR(INDEX('DANH MỤC'!$B$5:$B$200,MATCH(C1896,'DANH MỤC'!$A$5:$A$200,0)),"⚠ Mã chưa có trong DANH MỤC"))</f>
        <v/>
      </c>
      <c r="J1896" s="52"/>
      <c r="K1896" s="52"/>
      <c r="L1896" s="52"/>
    </row>
    <row r="1897" customFormat="false" ht="15" hidden="false" customHeight="false" outlineLevel="0" collapsed="false">
      <c r="A1897" s="50"/>
      <c r="B1897" s="51" t="str">
        <f aca="false">IF(A1897="","",MONTH(A1897))</f>
        <v/>
      </c>
      <c r="C1897" s="52"/>
      <c r="D1897" s="52"/>
      <c r="E1897" s="52"/>
      <c r="F1897" s="53"/>
      <c r="G1897" s="52"/>
      <c r="H1897" s="54" t="str">
        <f aca="false">IF(E1897="","",E1897*N(F1897)*IF(G1897="",1,G1897))</f>
        <v/>
      </c>
      <c r="I1897" s="55" t="str">
        <f aca="false">IF(C1897="","",IFERROR(INDEX('DANH MỤC'!$B$5:$B$200,MATCH(C1897,'DANH MỤC'!$A$5:$A$200,0)),"⚠ Mã chưa có trong DANH MỤC"))</f>
        <v/>
      </c>
      <c r="J1897" s="52"/>
      <c r="K1897" s="52"/>
      <c r="L1897" s="52"/>
    </row>
    <row r="1898" customFormat="false" ht="15" hidden="false" customHeight="false" outlineLevel="0" collapsed="false">
      <c r="A1898" s="50"/>
      <c r="B1898" s="51" t="str">
        <f aca="false">IF(A1898="","",MONTH(A1898))</f>
        <v/>
      </c>
      <c r="C1898" s="52"/>
      <c r="D1898" s="52"/>
      <c r="E1898" s="52"/>
      <c r="F1898" s="53"/>
      <c r="G1898" s="52"/>
      <c r="H1898" s="54" t="str">
        <f aca="false">IF(E1898="","",E1898*N(F1898)*IF(G1898="",1,G1898))</f>
        <v/>
      </c>
      <c r="I1898" s="55" t="str">
        <f aca="false">IF(C1898="","",IFERROR(INDEX('DANH MỤC'!$B$5:$B$200,MATCH(C1898,'DANH MỤC'!$A$5:$A$200,0)),"⚠ Mã chưa có trong DANH MỤC"))</f>
        <v/>
      </c>
      <c r="J1898" s="52"/>
      <c r="K1898" s="52"/>
      <c r="L1898" s="52"/>
    </row>
    <row r="1899" customFormat="false" ht="15" hidden="false" customHeight="false" outlineLevel="0" collapsed="false">
      <c r="A1899" s="50"/>
      <c r="B1899" s="51" t="str">
        <f aca="false">IF(A1899="","",MONTH(A1899))</f>
        <v/>
      </c>
      <c r="C1899" s="52"/>
      <c r="D1899" s="52"/>
      <c r="E1899" s="52"/>
      <c r="F1899" s="53"/>
      <c r="G1899" s="52"/>
      <c r="H1899" s="54" t="str">
        <f aca="false">IF(E1899="","",E1899*N(F1899)*IF(G1899="",1,G1899))</f>
        <v/>
      </c>
      <c r="I1899" s="55" t="str">
        <f aca="false">IF(C1899="","",IFERROR(INDEX('DANH MỤC'!$B$5:$B$200,MATCH(C1899,'DANH MỤC'!$A$5:$A$200,0)),"⚠ Mã chưa có trong DANH MỤC"))</f>
        <v/>
      </c>
      <c r="J1899" s="52"/>
      <c r="K1899" s="52"/>
      <c r="L1899" s="52"/>
    </row>
    <row r="1900" customFormat="false" ht="15" hidden="false" customHeight="false" outlineLevel="0" collapsed="false">
      <c r="A1900" s="50"/>
      <c r="B1900" s="51" t="str">
        <f aca="false">IF(A1900="","",MONTH(A1900))</f>
        <v/>
      </c>
      <c r="C1900" s="52"/>
      <c r="D1900" s="52"/>
      <c r="E1900" s="52"/>
      <c r="F1900" s="53"/>
      <c r="G1900" s="52"/>
      <c r="H1900" s="54" t="str">
        <f aca="false">IF(E1900="","",E1900*N(F1900)*IF(G1900="",1,G1900))</f>
        <v/>
      </c>
      <c r="I1900" s="55" t="str">
        <f aca="false">IF(C1900="","",IFERROR(INDEX('DANH MỤC'!$B$5:$B$200,MATCH(C1900,'DANH MỤC'!$A$5:$A$200,0)),"⚠ Mã chưa có trong DANH MỤC"))</f>
        <v/>
      </c>
      <c r="J1900" s="52"/>
      <c r="K1900" s="52"/>
      <c r="L1900" s="52"/>
    </row>
    <row r="1901" customFormat="false" ht="15" hidden="false" customHeight="false" outlineLevel="0" collapsed="false">
      <c r="A1901" s="50"/>
      <c r="B1901" s="51" t="str">
        <f aca="false">IF(A1901="","",MONTH(A1901))</f>
        <v/>
      </c>
      <c r="C1901" s="52"/>
      <c r="D1901" s="52"/>
      <c r="E1901" s="52"/>
      <c r="F1901" s="53"/>
      <c r="G1901" s="52"/>
      <c r="H1901" s="54" t="str">
        <f aca="false">IF(E1901="","",E1901*N(F1901)*IF(G1901="",1,G1901))</f>
        <v/>
      </c>
      <c r="I1901" s="55" t="str">
        <f aca="false">IF(C1901="","",IFERROR(INDEX('DANH MỤC'!$B$5:$B$200,MATCH(C1901,'DANH MỤC'!$A$5:$A$200,0)),"⚠ Mã chưa có trong DANH MỤC"))</f>
        <v/>
      </c>
      <c r="J1901" s="52"/>
      <c r="K1901" s="52"/>
      <c r="L1901" s="52"/>
    </row>
    <row r="1902" customFormat="false" ht="15" hidden="false" customHeight="false" outlineLevel="0" collapsed="false">
      <c r="A1902" s="50"/>
      <c r="B1902" s="51" t="str">
        <f aca="false">IF(A1902="","",MONTH(A1902))</f>
        <v/>
      </c>
      <c r="C1902" s="52"/>
      <c r="D1902" s="52"/>
      <c r="E1902" s="52"/>
      <c r="F1902" s="53"/>
      <c r="G1902" s="52"/>
      <c r="H1902" s="54" t="str">
        <f aca="false">IF(E1902="","",E1902*N(F1902)*IF(G1902="",1,G1902))</f>
        <v/>
      </c>
      <c r="I1902" s="55" t="str">
        <f aca="false">IF(C1902="","",IFERROR(INDEX('DANH MỤC'!$B$5:$B$200,MATCH(C1902,'DANH MỤC'!$A$5:$A$200,0)),"⚠ Mã chưa có trong DANH MỤC"))</f>
        <v/>
      </c>
      <c r="J1902" s="52"/>
      <c r="K1902" s="52"/>
      <c r="L1902" s="52"/>
    </row>
    <row r="1903" customFormat="false" ht="15" hidden="false" customHeight="false" outlineLevel="0" collapsed="false">
      <c r="A1903" s="50"/>
      <c r="B1903" s="51" t="str">
        <f aca="false">IF(A1903="","",MONTH(A1903))</f>
        <v/>
      </c>
      <c r="C1903" s="52"/>
      <c r="D1903" s="52"/>
      <c r="E1903" s="52"/>
      <c r="F1903" s="53"/>
      <c r="G1903" s="52"/>
      <c r="H1903" s="54" t="str">
        <f aca="false">IF(E1903="","",E1903*N(F1903)*IF(G1903="",1,G1903))</f>
        <v/>
      </c>
      <c r="I1903" s="55" t="str">
        <f aca="false">IF(C1903="","",IFERROR(INDEX('DANH MỤC'!$B$5:$B$200,MATCH(C1903,'DANH MỤC'!$A$5:$A$200,0)),"⚠ Mã chưa có trong DANH MỤC"))</f>
        <v/>
      </c>
      <c r="J1903" s="52"/>
      <c r="K1903" s="52"/>
      <c r="L1903" s="52"/>
    </row>
    <row r="1904" customFormat="false" ht="15" hidden="false" customHeight="false" outlineLevel="0" collapsed="false">
      <c r="A1904" s="50"/>
      <c r="B1904" s="51" t="str">
        <f aca="false">IF(A1904="","",MONTH(A1904))</f>
        <v/>
      </c>
      <c r="C1904" s="52"/>
      <c r="D1904" s="52"/>
      <c r="E1904" s="52"/>
      <c r="F1904" s="53"/>
      <c r="G1904" s="52"/>
      <c r="H1904" s="54" t="str">
        <f aca="false">IF(E1904="","",E1904*N(F1904)*IF(G1904="",1,G1904))</f>
        <v/>
      </c>
      <c r="I1904" s="55" t="str">
        <f aca="false">IF(C1904="","",IFERROR(INDEX('DANH MỤC'!$B$5:$B$200,MATCH(C1904,'DANH MỤC'!$A$5:$A$200,0)),"⚠ Mã chưa có trong DANH MỤC"))</f>
        <v/>
      </c>
      <c r="J1904" s="52"/>
      <c r="K1904" s="52"/>
      <c r="L1904" s="52"/>
    </row>
    <row r="1905" customFormat="false" ht="15" hidden="false" customHeight="false" outlineLevel="0" collapsed="false">
      <c r="A1905" s="50"/>
      <c r="B1905" s="51" t="str">
        <f aca="false">IF(A1905="","",MONTH(A1905))</f>
        <v/>
      </c>
      <c r="C1905" s="52"/>
      <c r="D1905" s="52"/>
      <c r="E1905" s="52"/>
      <c r="F1905" s="53"/>
      <c r="G1905" s="52"/>
      <c r="H1905" s="54" t="str">
        <f aca="false">IF(E1905="","",E1905*N(F1905)*IF(G1905="",1,G1905))</f>
        <v/>
      </c>
      <c r="I1905" s="55" t="str">
        <f aca="false">IF(C1905="","",IFERROR(INDEX('DANH MỤC'!$B$5:$B$200,MATCH(C1905,'DANH MỤC'!$A$5:$A$200,0)),"⚠ Mã chưa có trong DANH MỤC"))</f>
        <v/>
      </c>
      <c r="J1905" s="52"/>
      <c r="K1905" s="52"/>
      <c r="L1905" s="52"/>
    </row>
    <row r="1906" customFormat="false" ht="15" hidden="false" customHeight="false" outlineLevel="0" collapsed="false">
      <c r="A1906" s="50"/>
      <c r="B1906" s="51" t="str">
        <f aca="false">IF(A1906="","",MONTH(A1906))</f>
        <v/>
      </c>
      <c r="C1906" s="52"/>
      <c r="D1906" s="52"/>
      <c r="E1906" s="52"/>
      <c r="F1906" s="53"/>
      <c r="G1906" s="52"/>
      <c r="H1906" s="54" t="str">
        <f aca="false">IF(E1906="","",E1906*N(F1906)*IF(G1906="",1,G1906))</f>
        <v/>
      </c>
      <c r="I1906" s="55" t="str">
        <f aca="false">IF(C1906="","",IFERROR(INDEX('DANH MỤC'!$B$5:$B$200,MATCH(C1906,'DANH MỤC'!$A$5:$A$200,0)),"⚠ Mã chưa có trong DANH MỤC"))</f>
        <v/>
      </c>
      <c r="J1906" s="52"/>
      <c r="K1906" s="52"/>
      <c r="L1906" s="52"/>
    </row>
    <row r="1907" customFormat="false" ht="15" hidden="false" customHeight="false" outlineLevel="0" collapsed="false">
      <c r="A1907" s="50"/>
      <c r="B1907" s="51" t="str">
        <f aca="false">IF(A1907="","",MONTH(A1907))</f>
        <v/>
      </c>
      <c r="C1907" s="52"/>
      <c r="D1907" s="52"/>
      <c r="E1907" s="52"/>
      <c r="F1907" s="53"/>
      <c r="G1907" s="52"/>
      <c r="H1907" s="54" t="str">
        <f aca="false">IF(E1907="","",E1907*N(F1907)*IF(G1907="",1,G1907))</f>
        <v/>
      </c>
      <c r="I1907" s="55" t="str">
        <f aca="false">IF(C1907="","",IFERROR(INDEX('DANH MỤC'!$B$5:$B$200,MATCH(C1907,'DANH MỤC'!$A$5:$A$200,0)),"⚠ Mã chưa có trong DANH MỤC"))</f>
        <v/>
      </c>
      <c r="J1907" s="52"/>
      <c r="K1907" s="52"/>
      <c r="L1907" s="52"/>
    </row>
    <row r="1908" customFormat="false" ht="15" hidden="false" customHeight="false" outlineLevel="0" collapsed="false">
      <c r="A1908" s="50"/>
      <c r="B1908" s="51" t="str">
        <f aca="false">IF(A1908="","",MONTH(A1908))</f>
        <v/>
      </c>
      <c r="C1908" s="52"/>
      <c r="D1908" s="52"/>
      <c r="E1908" s="52"/>
      <c r="F1908" s="53"/>
      <c r="G1908" s="52"/>
      <c r="H1908" s="54" t="str">
        <f aca="false">IF(E1908="","",E1908*N(F1908)*IF(G1908="",1,G1908))</f>
        <v/>
      </c>
      <c r="I1908" s="55" t="str">
        <f aca="false">IF(C1908="","",IFERROR(INDEX('DANH MỤC'!$B$5:$B$200,MATCH(C1908,'DANH MỤC'!$A$5:$A$200,0)),"⚠ Mã chưa có trong DANH MỤC"))</f>
        <v/>
      </c>
      <c r="J1908" s="52"/>
      <c r="K1908" s="52"/>
      <c r="L1908" s="52"/>
    </row>
    <row r="1909" customFormat="false" ht="15" hidden="false" customHeight="false" outlineLevel="0" collapsed="false">
      <c r="A1909" s="50"/>
      <c r="B1909" s="51" t="str">
        <f aca="false">IF(A1909="","",MONTH(A1909))</f>
        <v/>
      </c>
      <c r="C1909" s="52"/>
      <c r="D1909" s="52"/>
      <c r="E1909" s="52"/>
      <c r="F1909" s="53"/>
      <c r="G1909" s="52"/>
      <c r="H1909" s="54" t="str">
        <f aca="false">IF(E1909="","",E1909*N(F1909)*IF(G1909="",1,G1909))</f>
        <v/>
      </c>
      <c r="I1909" s="55" t="str">
        <f aca="false">IF(C1909="","",IFERROR(INDEX('DANH MỤC'!$B$5:$B$200,MATCH(C1909,'DANH MỤC'!$A$5:$A$200,0)),"⚠ Mã chưa có trong DANH MỤC"))</f>
        <v/>
      </c>
      <c r="J1909" s="52"/>
      <c r="K1909" s="52"/>
      <c r="L1909" s="52"/>
    </row>
    <row r="1910" customFormat="false" ht="15" hidden="false" customHeight="false" outlineLevel="0" collapsed="false">
      <c r="A1910" s="50"/>
      <c r="B1910" s="51" t="str">
        <f aca="false">IF(A1910="","",MONTH(A1910))</f>
        <v/>
      </c>
      <c r="C1910" s="52"/>
      <c r="D1910" s="52"/>
      <c r="E1910" s="52"/>
      <c r="F1910" s="53"/>
      <c r="G1910" s="52"/>
      <c r="H1910" s="54" t="str">
        <f aca="false">IF(E1910="","",E1910*N(F1910)*IF(G1910="",1,G1910))</f>
        <v/>
      </c>
      <c r="I1910" s="55" t="str">
        <f aca="false">IF(C1910="","",IFERROR(INDEX('DANH MỤC'!$B$5:$B$200,MATCH(C1910,'DANH MỤC'!$A$5:$A$200,0)),"⚠ Mã chưa có trong DANH MỤC"))</f>
        <v/>
      </c>
      <c r="J1910" s="52"/>
      <c r="K1910" s="52"/>
      <c r="L1910" s="52"/>
    </row>
    <row r="1911" customFormat="false" ht="15" hidden="false" customHeight="false" outlineLevel="0" collapsed="false">
      <c r="A1911" s="50"/>
      <c r="B1911" s="51" t="str">
        <f aca="false">IF(A1911="","",MONTH(A1911))</f>
        <v/>
      </c>
      <c r="C1911" s="52"/>
      <c r="D1911" s="52"/>
      <c r="E1911" s="52"/>
      <c r="F1911" s="53"/>
      <c r="G1911" s="52"/>
      <c r="H1911" s="54" t="str">
        <f aca="false">IF(E1911="","",E1911*N(F1911)*IF(G1911="",1,G1911))</f>
        <v/>
      </c>
      <c r="I1911" s="55" t="str">
        <f aca="false">IF(C1911="","",IFERROR(INDEX('DANH MỤC'!$B$5:$B$200,MATCH(C1911,'DANH MỤC'!$A$5:$A$200,0)),"⚠ Mã chưa có trong DANH MỤC"))</f>
        <v/>
      </c>
      <c r="J1911" s="52"/>
      <c r="K1911" s="52"/>
      <c r="L1911" s="52"/>
    </row>
    <row r="1912" customFormat="false" ht="15" hidden="false" customHeight="false" outlineLevel="0" collapsed="false">
      <c r="A1912" s="50"/>
      <c r="B1912" s="51" t="str">
        <f aca="false">IF(A1912="","",MONTH(A1912))</f>
        <v/>
      </c>
      <c r="C1912" s="52"/>
      <c r="D1912" s="52"/>
      <c r="E1912" s="52"/>
      <c r="F1912" s="53"/>
      <c r="G1912" s="52"/>
      <c r="H1912" s="54" t="str">
        <f aca="false">IF(E1912="","",E1912*N(F1912)*IF(G1912="",1,G1912))</f>
        <v/>
      </c>
      <c r="I1912" s="55" t="str">
        <f aca="false">IF(C1912="","",IFERROR(INDEX('DANH MỤC'!$B$5:$B$200,MATCH(C1912,'DANH MỤC'!$A$5:$A$200,0)),"⚠ Mã chưa có trong DANH MỤC"))</f>
        <v/>
      </c>
      <c r="J1912" s="52"/>
      <c r="K1912" s="52"/>
      <c r="L1912" s="52"/>
    </row>
    <row r="1913" customFormat="false" ht="15" hidden="false" customHeight="false" outlineLevel="0" collapsed="false">
      <c r="A1913" s="50"/>
      <c r="B1913" s="51" t="str">
        <f aca="false">IF(A1913="","",MONTH(A1913))</f>
        <v/>
      </c>
      <c r="C1913" s="52"/>
      <c r="D1913" s="52"/>
      <c r="E1913" s="52"/>
      <c r="F1913" s="53"/>
      <c r="G1913" s="52"/>
      <c r="H1913" s="54" t="str">
        <f aca="false">IF(E1913="","",E1913*N(F1913)*IF(G1913="",1,G1913))</f>
        <v/>
      </c>
      <c r="I1913" s="55" t="str">
        <f aca="false">IF(C1913="","",IFERROR(INDEX('DANH MỤC'!$B$5:$B$200,MATCH(C1913,'DANH MỤC'!$A$5:$A$200,0)),"⚠ Mã chưa có trong DANH MỤC"))</f>
        <v/>
      </c>
      <c r="J1913" s="52"/>
      <c r="K1913" s="52"/>
      <c r="L1913" s="52"/>
    </row>
    <row r="1914" customFormat="false" ht="15" hidden="false" customHeight="false" outlineLevel="0" collapsed="false">
      <c r="A1914" s="50"/>
      <c r="B1914" s="51" t="str">
        <f aca="false">IF(A1914="","",MONTH(A1914))</f>
        <v/>
      </c>
      <c r="C1914" s="52"/>
      <c r="D1914" s="52"/>
      <c r="E1914" s="52"/>
      <c r="F1914" s="53"/>
      <c r="G1914" s="52"/>
      <c r="H1914" s="54" t="str">
        <f aca="false">IF(E1914="","",E1914*N(F1914)*IF(G1914="",1,G1914))</f>
        <v/>
      </c>
      <c r="I1914" s="55" t="str">
        <f aca="false">IF(C1914="","",IFERROR(INDEX('DANH MỤC'!$B$5:$B$200,MATCH(C1914,'DANH MỤC'!$A$5:$A$200,0)),"⚠ Mã chưa có trong DANH MỤC"))</f>
        <v/>
      </c>
      <c r="J1914" s="52"/>
      <c r="K1914" s="52"/>
      <c r="L1914" s="52"/>
    </row>
    <row r="1915" customFormat="false" ht="15" hidden="false" customHeight="false" outlineLevel="0" collapsed="false">
      <c r="A1915" s="50"/>
      <c r="B1915" s="51" t="str">
        <f aca="false">IF(A1915="","",MONTH(A1915))</f>
        <v/>
      </c>
      <c r="C1915" s="52"/>
      <c r="D1915" s="52"/>
      <c r="E1915" s="52"/>
      <c r="F1915" s="53"/>
      <c r="G1915" s="52"/>
      <c r="H1915" s="54" t="str">
        <f aca="false">IF(E1915="","",E1915*N(F1915)*IF(G1915="",1,G1915))</f>
        <v/>
      </c>
      <c r="I1915" s="55" t="str">
        <f aca="false">IF(C1915="","",IFERROR(INDEX('DANH MỤC'!$B$5:$B$200,MATCH(C1915,'DANH MỤC'!$A$5:$A$200,0)),"⚠ Mã chưa có trong DANH MỤC"))</f>
        <v/>
      </c>
      <c r="J1915" s="52"/>
      <c r="K1915" s="52"/>
      <c r="L1915" s="52"/>
    </row>
    <row r="1916" customFormat="false" ht="15" hidden="false" customHeight="false" outlineLevel="0" collapsed="false">
      <c r="A1916" s="50"/>
      <c r="B1916" s="51" t="str">
        <f aca="false">IF(A1916="","",MONTH(A1916))</f>
        <v/>
      </c>
      <c r="C1916" s="52"/>
      <c r="D1916" s="52"/>
      <c r="E1916" s="52"/>
      <c r="F1916" s="53"/>
      <c r="G1916" s="52"/>
      <c r="H1916" s="54" t="str">
        <f aca="false">IF(E1916="","",E1916*N(F1916)*IF(G1916="",1,G1916))</f>
        <v/>
      </c>
      <c r="I1916" s="55" t="str">
        <f aca="false">IF(C1916="","",IFERROR(INDEX('DANH MỤC'!$B$5:$B$200,MATCH(C1916,'DANH MỤC'!$A$5:$A$200,0)),"⚠ Mã chưa có trong DANH MỤC"))</f>
        <v/>
      </c>
      <c r="J1916" s="52"/>
      <c r="K1916" s="52"/>
      <c r="L1916" s="52"/>
    </row>
    <row r="1917" customFormat="false" ht="15" hidden="false" customHeight="false" outlineLevel="0" collapsed="false">
      <c r="A1917" s="50"/>
      <c r="B1917" s="51" t="str">
        <f aca="false">IF(A1917="","",MONTH(A1917))</f>
        <v/>
      </c>
      <c r="C1917" s="52"/>
      <c r="D1917" s="52"/>
      <c r="E1917" s="52"/>
      <c r="F1917" s="53"/>
      <c r="G1917" s="52"/>
      <c r="H1917" s="54" t="str">
        <f aca="false">IF(E1917="","",E1917*N(F1917)*IF(G1917="",1,G1917))</f>
        <v/>
      </c>
      <c r="I1917" s="55" t="str">
        <f aca="false">IF(C1917="","",IFERROR(INDEX('DANH MỤC'!$B$5:$B$200,MATCH(C1917,'DANH MỤC'!$A$5:$A$200,0)),"⚠ Mã chưa có trong DANH MỤC"))</f>
        <v/>
      </c>
      <c r="J1917" s="52"/>
      <c r="K1917" s="52"/>
      <c r="L1917" s="52"/>
    </row>
    <row r="1918" customFormat="false" ht="15" hidden="false" customHeight="false" outlineLevel="0" collapsed="false">
      <c r="A1918" s="50"/>
      <c r="B1918" s="51" t="str">
        <f aca="false">IF(A1918="","",MONTH(A1918))</f>
        <v/>
      </c>
      <c r="C1918" s="52"/>
      <c r="D1918" s="52"/>
      <c r="E1918" s="52"/>
      <c r="F1918" s="53"/>
      <c r="G1918" s="52"/>
      <c r="H1918" s="54" t="str">
        <f aca="false">IF(E1918="","",E1918*N(F1918)*IF(G1918="",1,G1918))</f>
        <v/>
      </c>
      <c r="I1918" s="55" t="str">
        <f aca="false">IF(C1918="","",IFERROR(INDEX('DANH MỤC'!$B$5:$B$200,MATCH(C1918,'DANH MỤC'!$A$5:$A$200,0)),"⚠ Mã chưa có trong DANH MỤC"))</f>
        <v/>
      </c>
      <c r="J1918" s="52"/>
      <c r="K1918" s="52"/>
      <c r="L1918" s="52"/>
    </row>
    <row r="1919" customFormat="false" ht="15" hidden="false" customHeight="false" outlineLevel="0" collapsed="false">
      <c r="A1919" s="50"/>
      <c r="B1919" s="51" t="str">
        <f aca="false">IF(A1919="","",MONTH(A1919))</f>
        <v/>
      </c>
      <c r="C1919" s="52"/>
      <c r="D1919" s="52"/>
      <c r="E1919" s="52"/>
      <c r="F1919" s="53"/>
      <c r="G1919" s="52"/>
      <c r="H1919" s="54" t="str">
        <f aca="false">IF(E1919="","",E1919*N(F1919)*IF(G1919="",1,G1919))</f>
        <v/>
      </c>
      <c r="I1919" s="55" t="str">
        <f aca="false">IF(C1919="","",IFERROR(INDEX('DANH MỤC'!$B$5:$B$200,MATCH(C1919,'DANH MỤC'!$A$5:$A$200,0)),"⚠ Mã chưa có trong DANH MỤC"))</f>
        <v/>
      </c>
      <c r="J1919" s="52"/>
      <c r="K1919" s="52"/>
      <c r="L1919" s="52"/>
    </row>
    <row r="1920" customFormat="false" ht="15" hidden="false" customHeight="false" outlineLevel="0" collapsed="false">
      <c r="A1920" s="50"/>
      <c r="B1920" s="51" t="str">
        <f aca="false">IF(A1920="","",MONTH(A1920))</f>
        <v/>
      </c>
      <c r="C1920" s="52"/>
      <c r="D1920" s="52"/>
      <c r="E1920" s="52"/>
      <c r="F1920" s="53"/>
      <c r="G1920" s="52"/>
      <c r="H1920" s="54" t="str">
        <f aca="false">IF(E1920="","",E1920*N(F1920)*IF(G1920="",1,G1920))</f>
        <v/>
      </c>
      <c r="I1920" s="55" t="str">
        <f aca="false">IF(C1920="","",IFERROR(INDEX('DANH MỤC'!$B$5:$B$200,MATCH(C1920,'DANH MỤC'!$A$5:$A$200,0)),"⚠ Mã chưa có trong DANH MỤC"))</f>
        <v/>
      </c>
      <c r="J1920" s="52"/>
      <c r="K1920" s="52"/>
      <c r="L1920" s="52"/>
    </row>
    <row r="1921" customFormat="false" ht="15" hidden="false" customHeight="false" outlineLevel="0" collapsed="false">
      <c r="A1921" s="50"/>
      <c r="B1921" s="51" t="str">
        <f aca="false">IF(A1921="","",MONTH(A1921))</f>
        <v/>
      </c>
      <c r="C1921" s="52"/>
      <c r="D1921" s="52"/>
      <c r="E1921" s="52"/>
      <c r="F1921" s="53"/>
      <c r="G1921" s="52"/>
      <c r="H1921" s="54" t="str">
        <f aca="false">IF(E1921="","",E1921*N(F1921)*IF(G1921="",1,G1921))</f>
        <v/>
      </c>
      <c r="I1921" s="55" t="str">
        <f aca="false">IF(C1921="","",IFERROR(INDEX('DANH MỤC'!$B$5:$B$200,MATCH(C1921,'DANH MỤC'!$A$5:$A$200,0)),"⚠ Mã chưa có trong DANH MỤC"))</f>
        <v/>
      </c>
      <c r="J1921" s="52"/>
      <c r="K1921" s="52"/>
      <c r="L1921" s="52"/>
    </row>
    <row r="1922" customFormat="false" ht="15" hidden="false" customHeight="false" outlineLevel="0" collapsed="false">
      <c r="A1922" s="50"/>
      <c r="B1922" s="51" t="str">
        <f aca="false">IF(A1922="","",MONTH(A1922))</f>
        <v/>
      </c>
      <c r="C1922" s="52"/>
      <c r="D1922" s="52"/>
      <c r="E1922" s="52"/>
      <c r="F1922" s="53"/>
      <c r="G1922" s="52"/>
      <c r="H1922" s="54" t="str">
        <f aca="false">IF(E1922="","",E1922*N(F1922)*IF(G1922="",1,G1922))</f>
        <v/>
      </c>
      <c r="I1922" s="55" t="str">
        <f aca="false">IF(C1922="","",IFERROR(INDEX('DANH MỤC'!$B$5:$B$200,MATCH(C1922,'DANH MỤC'!$A$5:$A$200,0)),"⚠ Mã chưa có trong DANH MỤC"))</f>
        <v/>
      </c>
      <c r="J1922" s="52"/>
      <c r="K1922" s="52"/>
      <c r="L1922" s="52"/>
    </row>
    <row r="1923" customFormat="false" ht="15" hidden="false" customHeight="false" outlineLevel="0" collapsed="false">
      <c r="A1923" s="50"/>
      <c r="B1923" s="51" t="str">
        <f aca="false">IF(A1923="","",MONTH(A1923))</f>
        <v/>
      </c>
      <c r="C1923" s="52"/>
      <c r="D1923" s="52"/>
      <c r="E1923" s="52"/>
      <c r="F1923" s="53"/>
      <c r="G1923" s="52"/>
      <c r="H1923" s="54" t="str">
        <f aca="false">IF(E1923="","",E1923*N(F1923)*IF(G1923="",1,G1923))</f>
        <v/>
      </c>
      <c r="I1923" s="55" t="str">
        <f aca="false">IF(C1923="","",IFERROR(INDEX('DANH MỤC'!$B$5:$B$200,MATCH(C1923,'DANH MỤC'!$A$5:$A$200,0)),"⚠ Mã chưa có trong DANH MỤC"))</f>
        <v/>
      </c>
      <c r="J1923" s="52"/>
      <c r="K1923" s="52"/>
      <c r="L1923" s="52"/>
    </row>
    <row r="1924" customFormat="false" ht="15" hidden="false" customHeight="false" outlineLevel="0" collapsed="false">
      <c r="A1924" s="50"/>
      <c r="B1924" s="51" t="str">
        <f aca="false">IF(A1924="","",MONTH(A1924))</f>
        <v/>
      </c>
      <c r="C1924" s="52"/>
      <c r="D1924" s="52"/>
      <c r="E1924" s="52"/>
      <c r="F1924" s="53"/>
      <c r="G1924" s="52"/>
      <c r="H1924" s="54" t="str">
        <f aca="false">IF(E1924="","",E1924*N(F1924)*IF(G1924="",1,G1924))</f>
        <v/>
      </c>
      <c r="I1924" s="55" t="str">
        <f aca="false">IF(C1924="","",IFERROR(INDEX('DANH MỤC'!$B$5:$B$200,MATCH(C1924,'DANH MỤC'!$A$5:$A$200,0)),"⚠ Mã chưa có trong DANH MỤC"))</f>
        <v/>
      </c>
      <c r="J1924" s="52"/>
      <c r="K1924" s="52"/>
      <c r="L1924" s="52"/>
    </row>
    <row r="1925" customFormat="false" ht="15" hidden="false" customHeight="false" outlineLevel="0" collapsed="false">
      <c r="A1925" s="50"/>
      <c r="B1925" s="51" t="str">
        <f aca="false">IF(A1925="","",MONTH(A1925))</f>
        <v/>
      </c>
      <c r="C1925" s="52"/>
      <c r="D1925" s="52"/>
      <c r="E1925" s="52"/>
      <c r="F1925" s="53"/>
      <c r="G1925" s="52"/>
      <c r="H1925" s="54" t="str">
        <f aca="false">IF(E1925="","",E1925*N(F1925)*IF(G1925="",1,G1925))</f>
        <v/>
      </c>
      <c r="I1925" s="55" t="str">
        <f aca="false">IF(C1925="","",IFERROR(INDEX('DANH MỤC'!$B$5:$B$200,MATCH(C1925,'DANH MỤC'!$A$5:$A$200,0)),"⚠ Mã chưa có trong DANH MỤC"))</f>
        <v/>
      </c>
      <c r="J1925" s="52"/>
      <c r="K1925" s="52"/>
      <c r="L1925" s="52"/>
    </row>
    <row r="1926" customFormat="false" ht="15" hidden="false" customHeight="false" outlineLevel="0" collapsed="false">
      <c r="A1926" s="50"/>
      <c r="B1926" s="51" t="str">
        <f aca="false">IF(A1926="","",MONTH(A1926))</f>
        <v/>
      </c>
      <c r="C1926" s="52"/>
      <c r="D1926" s="52"/>
      <c r="E1926" s="52"/>
      <c r="F1926" s="53"/>
      <c r="G1926" s="52"/>
      <c r="H1926" s="54" t="str">
        <f aca="false">IF(E1926="","",E1926*N(F1926)*IF(G1926="",1,G1926))</f>
        <v/>
      </c>
      <c r="I1926" s="55" t="str">
        <f aca="false">IF(C1926="","",IFERROR(INDEX('DANH MỤC'!$B$5:$B$200,MATCH(C1926,'DANH MỤC'!$A$5:$A$200,0)),"⚠ Mã chưa có trong DANH MỤC"))</f>
        <v/>
      </c>
      <c r="J1926" s="52"/>
      <c r="K1926" s="52"/>
      <c r="L1926" s="52"/>
    </row>
    <row r="1927" customFormat="false" ht="15" hidden="false" customHeight="false" outlineLevel="0" collapsed="false">
      <c r="A1927" s="50"/>
      <c r="B1927" s="51" t="str">
        <f aca="false">IF(A1927="","",MONTH(A1927))</f>
        <v/>
      </c>
      <c r="C1927" s="52"/>
      <c r="D1927" s="52"/>
      <c r="E1927" s="52"/>
      <c r="F1927" s="53"/>
      <c r="G1927" s="52"/>
      <c r="H1927" s="54" t="str">
        <f aca="false">IF(E1927="","",E1927*N(F1927)*IF(G1927="",1,G1927))</f>
        <v/>
      </c>
      <c r="I1927" s="55" t="str">
        <f aca="false">IF(C1927="","",IFERROR(INDEX('DANH MỤC'!$B$5:$B$200,MATCH(C1927,'DANH MỤC'!$A$5:$A$200,0)),"⚠ Mã chưa có trong DANH MỤC"))</f>
        <v/>
      </c>
      <c r="J1927" s="52"/>
      <c r="K1927" s="52"/>
      <c r="L1927" s="52"/>
    </row>
    <row r="1928" customFormat="false" ht="15" hidden="false" customHeight="false" outlineLevel="0" collapsed="false">
      <c r="A1928" s="50"/>
      <c r="B1928" s="51" t="str">
        <f aca="false">IF(A1928="","",MONTH(A1928))</f>
        <v/>
      </c>
      <c r="C1928" s="52"/>
      <c r="D1928" s="52"/>
      <c r="E1928" s="52"/>
      <c r="F1928" s="53"/>
      <c r="G1928" s="52"/>
      <c r="H1928" s="54" t="str">
        <f aca="false">IF(E1928="","",E1928*N(F1928)*IF(G1928="",1,G1928))</f>
        <v/>
      </c>
      <c r="I1928" s="55" t="str">
        <f aca="false">IF(C1928="","",IFERROR(INDEX('DANH MỤC'!$B$5:$B$200,MATCH(C1928,'DANH MỤC'!$A$5:$A$200,0)),"⚠ Mã chưa có trong DANH MỤC"))</f>
        <v/>
      </c>
      <c r="J1928" s="52"/>
      <c r="K1928" s="52"/>
      <c r="L1928" s="52"/>
    </row>
    <row r="1929" customFormat="false" ht="15" hidden="false" customHeight="false" outlineLevel="0" collapsed="false">
      <c r="A1929" s="50"/>
      <c r="B1929" s="51" t="str">
        <f aca="false">IF(A1929="","",MONTH(A1929))</f>
        <v/>
      </c>
      <c r="C1929" s="52"/>
      <c r="D1929" s="52"/>
      <c r="E1929" s="52"/>
      <c r="F1929" s="53"/>
      <c r="G1929" s="52"/>
      <c r="H1929" s="54" t="str">
        <f aca="false">IF(E1929="","",E1929*N(F1929)*IF(G1929="",1,G1929))</f>
        <v/>
      </c>
      <c r="I1929" s="55" t="str">
        <f aca="false">IF(C1929="","",IFERROR(INDEX('DANH MỤC'!$B$5:$B$200,MATCH(C1929,'DANH MỤC'!$A$5:$A$200,0)),"⚠ Mã chưa có trong DANH MỤC"))</f>
        <v/>
      </c>
      <c r="J1929" s="52"/>
      <c r="K1929" s="52"/>
      <c r="L1929" s="52"/>
    </row>
    <row r="1930" customFormat="false" ht="15" hidden="false" customHeight="false" outlineLevel="0" collapsed="false">
      <c r="A1930" s="50"/>
      <c r="B1930" s="51" t="str">
        <f aca="false">IF(A1930="","",MONTH(A1930))</f>
        <v/>
      </c>
      <c r="C1930" s="52"/>
      <c r="D1930" s="52"/>
      <c r="E1930" s="52"/>
      <c r="F1930" s="53"/>
      <c r="G1930" s="52"/>
      <c r="H1930" s="54" t="str">
        <f aca="false">IF(E1930="","",E1930*N(F1930)*IF(G1930="",1,G1930))</f>
        <v/>
      </c>
      <c r="I1930" s="55" t="str">
        <f aca="false">IF(C1930="","",IFERROR(INDEX('DANH MỤC'!$B$5:$B$200,MATCH(C1930,'DANH MỤC'!$A$5:$A$200,0)),"⚠ Mã chưa có trong DANH MỤC"))</f>
        <v/>
      </c>
      <c r="J1930" s="52"/>
      <c r="K1930" s="52"/>
      <c r="L1930" s="52"/>
    </row>
    <row r="1931" customFormat="false" ht="15" hidden="false" customHeight="false" outlineLevel="0" collapsed="false">
      <c r="A1931" s="50"/>
      <c r="B1931" s="51" t="str">
        <f aca="false">IF(A1931="","",MONTH(A1931))</f>
        <v/>
      </c>
      <c r="C1931" s="52"/>
      <c r="D1931" s="52"/>
      <c r="E1931" s="52"/>
      <c r="F1931" s="53"/>
      <c r="G1931" s="52"/>
      <c r="H1931" s="54" t="str">
        <f aca="false">IF(E1931="","",E1931*N(F1931)*IF(G1931="",1,G1931))</f>
        <v/>
      </c>
      <c r="I1931" s="55" t="str">
        <f aca="false">IF(C1931="","",IFERROR(INDEX('DANH MỤC'!$B$5:$B$200,MATCH(C1931,'DANH MỤC'!$A$5:$A$200,0)),"⚠ Mã chưa có trong DANH MỤC"))</f>
        <v/>
      </c>
      <c r="J1931" s="52"/>
      <c r="K1931" s="52"/>
      <c r="L1931" s="52"/>
    </row>
    <row r="1932" customFormat="false" ht="15" hidden="false" customHeight="false" outlineLevel="0" collapsed="false">
      <c r="A1932" s="50"/>
      <c r="B1932" s="51" t="str">
        <f aca="false">IF(A1932="","",MONTH(A1932))</f>
        <v/>
      </c>
      <c r="C1932" s="52"/>
      <c r="D1932" s="52"/>
      <c r="E1932" s="52"/>
      <c r="F1932" s="53"/>
      <c r="G1932" s="52"/>
      <c r="H1932" s="54" t="str">
        <f aca="false">IF(E1932="","",E1932*N(F1932)*IF(G1932="",1,G1932))</f>
        <v/>
      </c>
      <c r="I1932" s="55" t="str">
        <f aca="false">IF(C1932="","",IFERROR(INDEX('DANH MỤC'!$B$5:$B$200,MATCH(C1932,'DANH MỤC'!$A$5:$A$200,0)),"⚠ Mã chưa có trong DANH MỤC"))</f>
        <v/>
      </c>
      <c r="J1932" s="52"/>
      <c r="K1932" s="52"/>
      <c r="L1932" s="52"/>
    </row>
    <row r="1933" customFormat="false" ht="15" hidden="false" customHeight="false" outlineLevel="0" collapsed="false">
      <c r="A1933" s="50"/>
      <c r="B1933" s="51" t="str">
        <f aca="false">IF(A1933="","",MONTH(A1933))</f>
        <v/>
      </c>
      <c r="C1933" s="52"/>
      <c r="D1933" s="52"/>
      <c r="E1933" s="52"/>
      <c r="F1933" s="53"/>
      <c r="G1933" s="52"/>
      <c r="H1933" s="54" t="str">
        <f aca="false">IF(E1933="","",E1933*N(F1933)*IF(G1933="",1,G1933))</f>
        <v/>
      </c>
      <c r="I1933" s="55" t="str">
        <f aca="false">IF(C1933="","",IFERROR(INDEX('DANH MỤC'!$B$5:$B$200,MATCH(C1933,'DANH MỤC'!$A$5:$A$200,0)),"⚠ Mã chưa có trong DANH MỤC"))</f>
        <v/>
      </c>
      <c r="J1933" s="52"/>
      <c r="K1933" s="52"/>
      <c r="L1933" s="52"/>
    </row>
    <row r="1934" customFormat="false" ht="15" hidden="false" customHeight="false" outlineLevel="0" collapsed="false">
      <c r="A1934" s="50"/>
      <c r="B1934" s="51" t="str">
        <f aca="false">IF(A1934="","",MONTH(A1934))</f>
        <v/>
      </c>
      <c r="C1934" s="52"/>
      <c r="D1934" s="52"/>
      <c r="E1934" s="52"/>
      <c r="F1934" s="53"/>
      <c r="G1934" s="52"/>
      <c r="H1934" s="54" t="str">
        <f aca="false">IF(E1934="","",E1934*N(F1934)*IF(G1934="",1,G1934))</f>
        <v/>
      </c>
      <c r="I1934" s="55" t="str">
        <f aca="false">IF(C1934="","",IFERROR(INDEX('DANH MỤC'!$B$5:$B$200,MATCH(C1934,'DANH MỤC'!$A$5:$A$200,0)),"⚠ Mã chưa có trong DANH MỤC"))</f>
        <v/>
      </c>
      <c r="J1934" s="52"/>
      <c r="K1934" s="52"/>
      <c r="L1934" s="52"/>
    </row>
    <row r="1935" customFormat="false" ht="15" hidden="false" customHeight="false" outlineLevel="0" collapsed="false">
      <c r="A1935" s="50"/>
      <c r="B1935" s="51" t="str">
        <f aca="false">IF(A1935="","",MONTH(A1935))</f>
        <v/>
      </c>
      <c r="C1935" s="52"/>
      <c r="D1935" s="52"/>
      <c r="E1935" s="52"/>
      <c r="F1935" s="53"/>
      <c r="G1935" s="52"/>
      <c r="H1935" s="54" t="str">
        <f aca="false">IF(E1935="","",E1935*N(F1935)*IF(G1935="",1,G1935))</f>
        <v/>
      </c>
      <c r="I1935" s="55" t="str">
        <f aca="false">IF(C1935="","",IFERROR(INDEX('DANH MỤC'!$B$5:$B$200,MATCH(C1935,'DANH MỤC'!$A$5:$A$200,0)),"⚠ Mã chưa có trong DANH MỤC"))</f>
        <v/>
      </c>
      <c r="J1935" s="52"/>
      <c r="K1935" s="52"/>
      <c r="L1935" s="52"/>
    </row>
    <row r="1936" customFormat="false" ht="15" hidden="false" customHeight="false" outlineLevel="0" collapsed="false">
      <c r="A1936" s="50"/>
      <c r="B1936" s="51" t="str">
        <f aca="false">IF(A1936="","",MONTH(A1936))</f>
        <v/>
      </c>
      <c r="C1936" s="52"/>
      <c r="D1936" s="52"/>
      <c r="E1936" s="52"/>
      <c r="F1936" s="53"/>
      <c r="G1936" s="52"/>
      <c r="H1936" s="54" t="str">
        <f aca="false">IF(E1936="","",E1936*N(F1936)*IF(G1936="",1,G1936))</f>
        <v/>
      </c>
      <c r="I1936" s="55" t="str">
        <f aca="false">IF(C1936="","",IFERROR(INDEX('DANH MỤC'!$B$5:$B$200,MATCH(C1936,'DANH MỤC'!$A$5:$A$200,0)),"⚠ Mã chưa có trong DANH MỤC"))</f>
        <v/>
      </c>
      <c r="J1936" s="52"/>
      <c r="K1936" s="52"/>
      <c r="L1936" s="52"/>
    </row>
    <row r="1937" customFormat="false" ht="15" hidden="false" customHeight="false" outlineLevel="0" collapsed="false">
      <c r="A1937" s="50"/>
      <c r="B1937" s="51" t="str">
        <f aca="false">IF(A1937="","",MONTH(A1937))</f>
        <v/>
      </c>
      <c r="C1937" s="52"/>
      <c r="D1937" s="52"/>
      <c r="E1937" s="52"/>
      <c r="F1937" s="53"/>
      <c r="G1937" s="52"/>
      <c r="H1937" s="54" t="str">
        <f aca="false">IF(E1937="","",E1937*N(F1937)*IF(G1937="",1,G1937))</f>
        <v/>
      </c>
      <c r="I1937" s="55" t="str">
        <f aca="false">IF(C1937="","",IFERROR(INDEX('DANH MỤC'!$B$5:$B$200,MATCH(C1937,'DANH MỤC'!$A$5:$A$200,0)),"⚠ Mã chưa có trong DANH MỤC"))</f>
        <v/>
      </c>
      <c r="J1937" s="52"/>
      <c r="K1937" s="52"/>
      <c r="L1937" s="52"/>
    </row>
    <row r="1938" customFormat="false" ht="15" hidden="false" customHeight="false" outlineLevel="0" collapsed="false">
      <c r="A1938" s="50"/>
      <c r="B1938" s="51" t="str">
        <f aca="false">IF(A1938="","",MONTH(A1938))</f>
        <v/>
      </c>
      <c r="C1938" s="52"/>
      <c r="D1938" s="52"/>
      <c r="E1938" s="52"/>
      <c r="F1938" s="53"/>
      <c r="G1938" s="52"/>
      <c r="H1938" s="54" t="str">
        <f aca="false">IF(E1938="","",E1938*N(F1938)*IF(G1938="",1,G1938))</f>
        <v/>
      </c>
      <c r="I1938" s="55" t="str">
        <f aca="false">IF(C1938="","",IFERROR(INDEX('DANH MỤC'!$B$5:$B$200,MATCH(C1938,'DANH MỤC'!$A$5:$A$200,0)),"⚠ Mã chưa có trong DANH MỤC"))</f>
        <v/>
      </c>
      <c r="J1938" s="52"/>
      <c r="K1938" s="52"/>
      <c r="L1938" s="52"/>
    </row>
    <row r="1939" customFormat="false" ht="15" hidden="false" customHeight="false" outlineLevel="0" collapsed="false">
      <c r="A1939" s="50"/>
      <c r="B1939" s="51" t="str">
        <f aca="false">IF(A1939="","",MONTH(A1939))</f>
        <v/>
      </c>
      <c r="C1939" s="52"/>
      <c r="D1939" s="52"/>
      <c r="E1939" s="52"/>
      <c r="F1939" s="53"/>
      <c r="G1939" s="52"/>
      <c r="H1939" s="54" t="str">
        <f aca="false">IF(E1939="","",E1939*N(F1939)*IF(G1939="",1,G1939))</f>
        <v/>
      </c>
      <c r="I1939" s="55" t="str">
        <f aca="false">IF(C1939="","",IFERROR(INDEX('DANH MỤC'!$B$5:$B$200,MATCH(C1939,'DANH MỤC'!$A$5:$A$200,0)),"⚠ Mã chưa có trong DANH MỤC"))</f>
        <v/>
      </c>
      <c r="J1939" s="52"/>
      <c r="K1939" s="52"/>
      <c r="L1939" s="52"/>
    </row>
    <row r="1940" customFormat="false" ht="15" hidden="false" customHeight="false" outlineLevel="0" collapsed="false">
      <c r="A1940" s="50"/>
      <c r="B1940" s="51" t="str">
        <f aca="false">IF(A1940="","",MONTH(A1940))</f>
        <v/>
      </c>
      <c r="C1940" s="52"/>
      <c r="D1940" s="52"/>
      <c r="E1940" s="52"/>
      <c r="F1940" s="53"/>
      <c r="G1940" s="52"/>
      <c r="H1940" s="54" t="str">
        <f aca="false">IF(E1940="","",E1940*N(F1940)*IF(G1940="",1,G1940))</f>
        <v/>
      </c>
      <c r="I1940" s="55" t="str">
        <f aca="false">IF(C1940="","",IFERROR(INDEX('DANH MỤC'!$B$5:$B$200,MATCH(C1940,'DANH MỤC'!$A$5:$A$200,0)),"⚠ Mã chưa có trong DANH MỤC"))</f>
        <v/>
      </c>
      <c r="J1940" s="52"/>
      <c r="K1940" s="52"/>
      <c r="L1940" s="52"/>
    </row>
    <row r="1941" customFormat="false" ht="15" hidden="false" customHeight="false" outlineLevel="0" collapsed="false">
      <c r="A1941" s="50"/>
      <c r="B1941" s="51" t="str">
        <f aca="false">IF(A1941="","",MONTH(A1941))</f>
        <v/>
      </c>
      <c r="C1941" s="52"/>
      <c r="D1941" s="52"/>
      <c r="E1941" s="52"/>
      <c r="F1941" s="53"/>
      <c r="G1941" s="52"/>
      <c r="H1941" s="54" t="str">
        <f aca="false">IF(E1941="","",E1941*N(F1941)*IF(G1941="",1,G1941))</f>
        <v/>
      </c>
      <c r="I1941" s="55" t="str">
        <f aca="false">IF(C1941="","",IFERROR(INDEX('DANH MỤC'!$B$5:$B$200,MATCH(C1941,'DANH MỤC'!$A$5:$A$200,0)),"⚠ Mã chưa có trong DANH MỤC"))</f>
        <v/>
      </c>
      <c r="J1941" s="52"/>
      <c r="K1941" s="52"/>
      <c r="L1941" s="52"/>
    </row>
    <row r="1942" customFormat="false" ht="15" hidden="false" customHeight="false" outlineLevel="0" collapsed="false">
      <c r="A1942" s="50"/>
      <c r="B1942" s="51" t="str">
        <f aca="false">IF(A1942="","",MONTH(A1942))</f>
        <v/>
      </c>
      <c r="C1942" s="52"/>
      <c r="D1942" s="52"/>
      <c r="E1942" s="52"/>
      <c r="F1942" s="53"/>
      <c r="G1942" s="52"/>
      <c r="H1942" s="54" t="str">
        <f aca="false">IF(E1942="","",E1942*N(F1942)*IF(G1942="",1,G1942))</f>
        <v/>
      </c>
      <c r="I1942" s="55" t="str">
        <f aca="false">IF(C1942="","",IFERROR(INDEX('DANH MỤC'!$B$5:$B$200,MATCH(C1942,'DANH MỤC'!$A$5:$A$200,0)),"⚠ Mã chưa có trong DANH MỤC"))</f>
        <v/>
      </c>
      <c r="J1942" s="52"/>
      <c r="K1942" s="52"/>
      <c r="L1942" s="52"/>
    </row>
    <row r="1943" customFormat="false" ht="15" hidden="false" customHeight="false" outlineLevel="0" collapsed="false">
      <c r="A1943" s="50"/>
      <c r="B1943" s="51" t="str">
        <f aca="false">IF(A1943="","",MONTH(A1943))</f>
        <v/>
      </c>
      <c r="C1943" s="52"/>
      <c r="D1943" s="52"/>
      <c r="E1943" s="52"/>
      <c r="F1943" s="53"/>
      <c r="G1943" s="52"/>
      <c r="H1943" s="54" t="str">
        <f aca="false">IF(E1943="","",E1943*N(F1943)*IF(G1943="",1,G1943))</f>
        <v/>
      </c>
      <c r="I1943" s="55" t="str">
        <f aca="false">IF(C1943="","",IFERROR(INDEX('DANH MỤC'!$B$5:$B$200,MATCH(C1943,'DANH MỤC'!$A$5:$A$200,0)),"⚠ Mã chưa có trong DANH MỤC"))</f>
        <v/>
      </c>
      <c r="J1943" s="52"/>
      <c r="K1943" s="52"/>
      <c r="L1943" s="52"/>
    </row>
    <row r="1944" customFormat="false" ht="15" hidden="false" customHeight="false" outlineLevel="0" collapsed="false">
      <c r="A1944" s="50"/>
      <c r="B1944" s="51" t="str">
        <f aca="false">IF(A1944="","",MONTH(A1944))</f>
        <v/>
      </c>
      <c r="C1944" s="52"/>
      <c r="D1944" s="52"/>
      <c r="E1944" s="52"/>
      <c r="F1944" s="53"/>
      <c r="G1944" s="52"/>
      <c r="H1944" s="54" t="str">
        <f aca="false">IF(E1944="","",E1944*N(F1944)*IF(G1944="",1,G1944))</f>
        <v/>
      </c>
      <c r="I1944" s="55" t="str">
        <f aca="false">IF(C1944="","",IFERROR(INDEX('DANH MỤC'!$B$5:$B$200,MATCH(C1944,'DANH MỤC'!$A$5:$A$200,0)),"⚠ Mã chưa có trong DANH MỤC"))</f>
        <v/>
      </c>
      <c r="J1944" s="52"/>
      <c r="K1944" s="52"/>
      <c r="L1944" s="52"/>
    </row>
    <row r="1945" customFormat="false" ht="15" hidden="false" customHeight="false" outlineLevel="0" collapsed="false">
      <c r="A1945" s="50"/>
      <c r="B1945" s="51" t="str">
        <f aca="false">IF(A1945="","",MONTH(A1945))</f>
        <v/>
      </c>
      <c r="C1945" s="52"/>
      <c r="D1945" s="52"/>
      <c r="E1945" s="52"/>
      <c r="F1945" s="53"/>
      <c r="G1945" s="52"/>
      <c r="H1945" s="54" t="str">
        <f aca="false">IF(E1945="","",E1945*N(F1945)*IF(G1945="",1,G1945))</f>
        <v/>
      </c>
      <c r="I1945" s="55" t="str">
        <f aca="false">IF(C1945="","",IFERROR(INDEX('DANH MỤC'!$B$5:$B$200,MATCH(C1945,'DANH MỤC'!$A$5:$A$200,0)),"⚠ Mã chưa có trong DANH MỤC"))</f>
        <v/>
      </c>
      <c r="J1945" s="52"/>
      <c r="K1945" s="52"/>
      <c r="L1945" s="52"/>
    </row>
    <row r="1946" customFormat="false" ht="15" hidden="false" customHeight="false" outlineLevel="0" collapsed="false">
      <c r="A1946" s="50"/>
      <c r="B1946" s="51" t="str">
        <f aca="false">IF(A1946="","",MONTH(A1946))</f>
        <v/>
      </c>
      <c r="C1946" s="52"/>
      <c r="D1946" s="52"/>
      <c r="E1946" s="52"/>
      <c r="F1946" s="53"/>
      <c r="G1946" s="52"/>
      <c r="H1946" s="54" t="str">
        <f aca="false">IF(E1946="","",E1946*N(F1946)*IF(G1946="",1,G1946))</f>
        <v/>
      </c>
      <c r="I1946" s="55" t="str">
        <f aca="false">IF(C1946="","",IFERROR(INDEX('DANH MỤC'!$B$5:$B$200,MATCH(C1946,'DANH MỤC'!$A$5:$A$200,0)),"⚠ Mã chưa có trong DANH MỤC"))</f>
        <v/>
      </c>
      <c r="J1946" s="52"/>
      <c r="K1946" s="52"/>
      <c r="L1946" s="52"/>
    </row>
    <row r="1947" customFormat="false" ht="15" hidden="false" customHeight="false" outlineLevel="0" collapsed="false">
      <c r="A1947" s="50"/>
      <c r="B1947" s="51" t="str">
        <f aca="false">IF(A1947="","",MONTH(A1947))</f>
        <v/>
      </c>
      <c r="C1947" s="52"/>
      <c r="D1947" s="52"/>
      <c r="E1947" s="52"/>
      <c r="F1947" s="53"/>
      <c r="G1947" s="52"/>
      <c r="H1947" s="54" t="str">
        <f aca="false">IF(E1947="","",E1947*N(F1947)*IF(G1947="",1,G1947))</f>
        <v/>
      </c>
      <c r="I1947" s="55" t="str">
        <f aca="false">IF(C1947="","",IFERROR(INDEX('DANH MỤC'!$B$5:$B$200,MATCH(C1947,'DANH MỤC'!$A$5:$A$200,0)),"⚠ Mã chưa có trong DANH MỤC"))</f>
        <v/>
      </c>
      <c r="J1947" s="52"/>
      <c r="K1947" s="52"/>
      <c r="L1947" s="52"/>
    </row>
    <row r="1948" customFormat="false" ht="15" hidden="false" customHeight="false" outlineLevel="0" collapsed="false">
      <c r="A1948" s="50"/>
      <c r="B1948" s="51" t="str">
        <f aca="false">IF(A1948="","",MONTH(A1948))</f>
        <v/>
      </c>
      <c r="C1948" s="52"/>
      <c r="D1948" s="52"/>
      <c r="E1948" s="52"/>
      <c r="F1948" s="53"/>
      <c r="G1948" s="52"/>
      <c r="H1948" s="54" t="str">
        <f aca="false">IF(E1948="","",E1948*N(F1948)*IF(G1948="",1,G1948))</f>
        <v/>
      </c>
      <c r="I1948" s="55" t="str">
        <f aca="false">IF(C1948="","",IFERROR(INDEX('DANH MỤC'!$B$5:$B$200,MATCH(C1948,'DANH MỤC'!$A$5:$A$200,0)),"⚠ Mã chưa có trong DANH MỤC"))</f>
        <v/>
      </c>
      <c r="J1948" s="52"/>
      <c r="K1948" s="52"/>
      <c r="L1948" s="52"/>
    </row>
    <row r="1949" customFormat="false" ht="15" hidden="false" customHeight="false" outlineLevel="0" collapsed="false">
      <c r="A1949" s="50"/>
      <c r="B1949" s="51" t="str">
        <f aca="false">IF(A1949="","",MONTH(A1949))</f>
        <v/>
      </c>
      <c r="C1949" s="52"/>
      <c r="D1949" s="52"/>
      <c r="E1949" s="52"/>
      <c r="F1949" s="53"/>
      <c r="G1949" s="52"/>
      <c r="H1949" s="54" t="str">
        <f aca="false">IF(E1949="","",E1949*N(F1949)*IF(G1949="",1,G1949))</f>
        <v/>
      </c>
      <c r="I1949" s="55" t="str">
        <f aca="false">IF(C1949="","",IFERROR(INDEX('DANH MỤC'!$B$5:$B$200,MATCH(C1949,'DANH MỤC'!$A$5:$A$200,0)),"⚠ Mã chưa có trong DANH MỤC"))</f>
        <v/>
      </c>
      <c r="J1949" s="52"/>
      <c r="K1949" s="52"/>
      <c r="L1949" s="52"/>
    </row>
    <row r="1950" customFormat="false" ht="15" hidden="false" customHeight="false" outlineLevel="0" collapsed="false">
      <c r="A1950" s="50"/>
      <c r="B1950" s="51" t="str">
        <f aca="false">IF(A1950="","",MONTH(A1950))</f>
        <v/>
      </c>
      <c r="C1950" s="52"/>
      <c r="D1950" s="52"/>
      <c r="E1950" s="52"/>
      <c r="F1950" s="53"/>
      <c r="G1950" s="52"/>
      <c r="H1950" s="54" t="str">
        <f aca="false">IF(E1950="","",E1950*N(F1950)*IF(G1950="",1,G1950))</f>
        <v/>
      </c>
      <c r="I1950" s="55" t="str">
        <f aca="false">IF(C1950="","",IFERROR(INDEX('DANH MỤC'!$B$5:$B$200,MATCH(C1950,'DANH MỤC'!$A$5:$A$200,0)),"⚠ Mã chưa có trong DANH MỤC"))</f>
        <v/>
      </c>
      <c r="J1950" s="52"/>
      <c r="K1950" s="52"/>
      <c r="L1950" s="52"/>
    </row>
    <row r="1951" customFormat="false" ht="15" hidden="false" customHeight="false" outlineLevel="0" collapsed="false">
      <c r="A1951" s="50"/>
      <c r="B1951" s="51" t="str">
        <f aca="false">IF(A1951="","",MONTH(A1951))</f>
        <v/>
      </c>
      <c r="C1951" s="52"/>
      <c r="D1951" s="52"/>
      <c r="E1951" s="52"/>
      <c r="F1951" s="53"/>
      <c r="G1951" s="52"/>
      <c r="H1951" s="54" t="str">
        <f aca="false">IF(E1951="","",E1951*N(F1951)*IF(G1951="",1,G1951))</f>
        <v/>
      </c>
      <c r="I1951" s="55" t="str">
        <f aca="false">IF(C1951="","",IFERROR(INDEX('DANH MỤC'!$B$5:$B$200,MATCH(C1951,'DANH MỤC'!$A$5:$A$200,0)),"⚠ Mã chưa có trong DANH MỤC"))</f>
        <v/>
      </c>
      <c r="J1951" s="52"/>
      <c r="K1951" s="52"/>
      <c r="L1951" s="52"/>
    </row>
    <row r="1952" customFormat="false" ht="15" hidden="false" customHeight="false" outlineLevel="0" collapsed="false">
      <c r="A1952" s="50"/>
      <c r="B1952" s="51" t="str">
        <f aca="false">IF(A1952="","",MONTH(A1952))</f>
        <v/>
      </c>
      <c r="C1952" s="52"/>
      <c r="D1952" s="52"/>
      <c r="E1952" s="52"/>
      <c r="F1952" s="53"/>
      <c r="G1952" s="52"/>
      <c r="H1952" s="54" t="str">
        <f aca="false">IF(E1952="","",E1952*N(F1952)*IF(G1952="",1,G1952))</f>
        <v/>
      </c>
      <c r="I1952" s="55" t="str">
        <f aca="false">IF(C1952="","",IFERROR(INDEX('DANH MỤC'!$B$5:$B$200,MATCH(C1952,'DANH MỤC'!$A$5:$A$200,0)),"⚠ Mã chưa có trong DANH MỤC"))</f>
        <v/>
      </c>
      <c r="J1952" s="52"/>
      <c r="K1952" s="52"/>
      <c r="L1952" s="52"/>
    </row>
    <row r="1953" customFormat="false" ht="15" hidden="false" customHeight="false" outlineLevel="0" collapsed="false">
      <c r="A1953" s="50"/>
      <c r="B1953" s="51" t="str">
        <f aca="false">IF(A1953="","",MONTH(A1953))</f>
        <v/>
      </c>
      <c r="C1953" s="52"/>
      <c r="D1953" s="52"/>
      <c r="E1953" s="52"/>
      <c r="F1953" s="53"/>
      <c r="G1953" s="52"/>
      <c r="H1953" s="54" t="str">
        <f aca="false">IF(E1953="","",E1953*N(F1953)*IF(G1953="",1,G1953))</f>
        <v/>
      </c>
      <c r="I1953" s="55" t="str">
        <f aca="false">IF(C1953="","",IFERROR(INDEX('DANH MỤC'!$B$5:$B$200,MATCH(C1953,'DANH MỤC'!$A$5:$A$200,0)),"⚠ Mã chưa có trong DANH MỤC"))</f>
        <v/>
      </c>
      <c r="J1953" s="52"/>
      <c r="K1953" s="52"/>
      <c r="L1953" s="52"/>
    </row>
    <row r="1954" customFormat="false" ht="15" hidden="false" customHeight="false" outlineLevel="0" collapsed="false">
      <c r="A1954" s="50"/>
      <c r="B1954" s="51" t="str">
        <f aca="false">IF(A1954="","",MONTH(A1954))</f>
        <v/>
      </c>
      <c r="C1954" s="52"/>
      <c r="D1954" s="52"/>
      <c r="E1954" s="52"/>
      <c r="F1954" s="53"/>
      <c r="G1954" s="52"/>
      <c r="H1954" s="54" t="str">
        <f aca="false">IF(E1954="","",E1954*N(F1954)*IF(G1954="",1,G1954))</f>
        <v/>
      </c>
      <c r="I1954" s="55" t="str">
        <f aca="false">IF(C1954="","",IFERROR(INDEX('DANH MỤC'!$B$5:$B$200,MATCH(C1954,'DANH MỤC'!$A$5:$A$200,0)),"⚠ Mã chưa có trong DANH MỤC"))</f>
        <v/>
      </c>
      <c r="J1954" s="52"/>
      <c r="K1954" s="52"/>
      <c r="L1954" s="52"/>
    </row>
    <row r="1955" customFormat="false" ht="15" hidden="false" customHeight="false" outlineLevel="0" collapsed="false">
      <c r="A1955" s="50"/>
      <c r="B1955" s="51" t="str">
        <f aca="false">IF(A1955="","",MONTH(A1955))</f>
        <v/>
      </c>
      <c r="C1955" s="52"/>
      <c r="D1955" s="52"/>
      <c r="E1955" s="52"/>
      <c r="F1955" s="53"/>
      <c r="G1955" s="52"/>
      <c r="H1955" s="54" t="str">
        <f aca="false">IF(E1955="","",E1955*N(F1955)*IF(G1955="",1,G1955))</f>
        <v/>
      </c>
      <c r="I1955" s="55" t="str">
        <f aca="false">IF(C1955="","",IFERROR(INDEX('DANH MỤC'!$B$5:$B$200,MATCH(C1955,'DANH MỤC'!$A$5:$A$200,0)),"⚠ Mã chưa có trong DANH MỤC"))</f>
        <v/>
      </c>
      <c r="J1955" s="52"/>
      <c r="K1955" s="52"/>
      <c r="L1955" s="52"/>
    </row>
    <row r="1956" customFormat="false" ht="15" hidden="false" customHeight="false" outlineLevel="0" collapsed="false">
      <c r="A1956" s="50"/>
      <c r="B1956" s="51" t="str">
        <f aca="false">IF(A1956="","",MONTH(A1956))</f>
        <v/>
      </c>
      <c r="C1956" s="52"/>
      <c r="D1956" s="52"/>
      <c r="E1956" s="52"/>
      <c r="F1956" s="53"/>
      <c r="G1956" s="52"/>
      <c r="H1956" s="54" t="str">
        <f aca="false">IF(E1956="","",E1956*N(F1956)*IF(G1956="",1,G1956))</f>
        <v/>
      </c>
      <c r="I1956" s="55" t="str">
        <f aca="false">IF(C1956="","",IFERROR(INDEX('DANH MỤC'!$B$5:$B$200,MATCH(C1956,'DANH MỤC'!$A$5:$A$200,0)),"⚠ Mã chưa có trong DANH MỤC"))</f>
        <v/>
      </c>
      <c r="J1956" s="52"/>
      <c r="K1956" s="52"/>
      <c r="L1956" s="52"/>
    </row>
    <row r="1957" customFormat="false" ht="15" hidden="false" customHeight="false" outlineLevel="0" collapsed="false">
      <c r="A1957" s="50"/>
      <c r="B1957" s="51" t="str">
        <f aca="false">IF(A1957="","",MONTH(A1957))</f>
        <v/>
      </c>
      <c r="C1957" s="52"/>
      <c r="D1957" s="52"/>
      <c r="E1957" s="52"/>
      <c r="F1957" s="53"/>
      <c r="G1957" s="52"/>
      <c r="H1957" s="54" t="str">
        <f aca="false">IF(E1957="","",E1957*N(F1957)*IF(G1957="",1,G1957))</f>
        <v/>
      </c>
      <c r="I1957" s="55" t="str">
        <f aca="false">IF(C1957="","",IFERROR(INDEX('DANH MỤC'!$B$5:$B$200,MATCH(C1957,'DANH MỤC'!$A$5:$A$200,0)),"⚠ Mã chưa có trong DANH MỤC"))</f>
        <v/>
      </c>
      <c r="J1957" s="52"/>
      <c r="K1957" s="52"/>
      <c r="L1957" s="52"/>
    </row>
    <row r="1958" customFormat="false" ht="15" hidden="false" customHeight="false" outlineLevel="0" collapsed="false">
      <c r="A1958" s="50"/>
      <c r="B1958" s="51" t="str">
        <f aca="false">IF(A1958="","",MONTH(A1958))</f>
        <v/>
      </c>
      <c r="C1958" s="52"/>
      <c r="D1958" s="52"/>
      <c r="E1958" s="52"/>
      <c r="F1958" s="53"/>
      <c r="G1958" s="52"/>
      <c r="H1958" s="54" t="str">
        <f aca="false">IF(E1958="","",E1958*N(F1958)*IF(G1958="",1,G1958))</f>
        <v/>
      </c>
      <c r="I1958" s="55" t="str">
        <f aca="false">IF(C1958="","",IFERROR(INDEX('DANH MỤC'!$B$5:$B$200,MATCH(C1958,'DANH MỤC'!$A$5:$A$200,0)),"⚠ Mã chưa có trong DANH MỤC"))</f>
        <v/>
      </c>
      <c r="J1958" s="52"/>
      <c r="K1958" s="52"/>
      <c r="L1958" s="52"/>
    </row>
    <row r="1959" customFormat="false" ht="15" hidden="false" customHeight="false" outlineLevel="0" collapsed="false">
      <c r="A1959" s="50"/>
      <c r="B1959" s="51" t="str">
        <f aca="false">IF(A1959="","",MONTH(A1959))</f>
        <v/>
      </c>
      <c r="C1959" s="52"/>
      <c r="D1959" s="52"/>
      <c r="E1959" s="52"/>
      <c r="F1959" s="53"/>
      <c r="G1959" s="52"/>
      <c r="H1959" s="54" t="str">
        <f aca="false">IF(E1959="","",E1959*N(F1959)*IF(G1959="",1,G1959))</f>
        <v/>
      </c>
      <c r="I1959" s="55" t="str">
        <f aca="false">IF(C1959="","",IFERROR(INDEX('DANH MỤC'!$B$5:$B$200,MATCH(C1959,'DANH MỤC'!$A$5:$A$200,0)),"⚠ Mã chưa có trong DANH MỤC"))</f>
        <v/>
      </c>
      <c r="J1959" s="52"/>
      <c r="K1959" s="52"/>
      <c r="L1959" s="52"/>
    </row>
    <row r="1960" customFormat="false" ht="15" hidden="false" customHeight="false" outlineLevel="0" collapsed="false">
      <c r="A1960" s="50"/>
      <c r="B1960" s="51" t="str">
        <f aca="false">IF(A1960="","",MONTH(A1960))</f>
        <v/>
      </c>
      <c r="C1960" s="52"/>
      <c r="D1960" s="52"/>
      <c r="E1960" s="52"/>
      <c r="F1960" s="53"/>
      <c r="G1960" s="52"/>
      <c r="H1960" s="54" t="str">
        <f aca="false">IF(E1960="","",E1960*N(F1960)*IF(G1960="",1,G1960))</f>
        <v/>
      </c>
      <c r="I1960" s="55" t="str">
        <f aca="false">IF(C1960="","",IFERROR(INDEX('DANH MỤC'!$B$5:$B$200,MATCH(C1960,'DANH MỤC'!$A$5:$A$200,0)),"⚠ Mã chưa có trong DANH MỤC"))</f>
        <v/>
      </c>
      <c r="J1960" s="52"/>
      <c r="K1960" s="52"/>
      <c r="L1960" s="52"/>
    </row>
    <row r="1961" customFormat="false" ht="15" hidden="false" customHeight="false" outlineLevel="0" collapsed="false">
      <c r="A1961" s="50"/>
      <c r="B1961" s="51" t="str">
        <f aca="false">IF(A1961="","",MONTH(A1961))</f>
        <v/>
      </c>
      <c r="C1961" s="52"/>
      <c r="D1961" s="52"/>
      <c r="E1961" s="52"/>
      <c r="F1961" s="53"/>
      <c r="G1961" s="52"/>
      <c r="H1961" s="54" t="str">
        <f aca="false">IF(E1961="","",E1961*N(F1961)*IF(G1961="",1,G1961))</f>
        <v/>
      </c>
      <c r="I1961" s="55" t="str">
        <f aca="false">IF(C1961="","",IFERROR(INDEX('DANH MỤC'!$B$5:$B$200,MATCH(C1961,'DANH MỤC'!$A$5:$A$200,0)),"⚠ Mã chưa có trong DANH MỤC"))</f>
        <v/>
      </c>
      <c r="J1961" s="52"/>
      <c r="K1961" s="52"/>
      <c r="L1961" s="52"/>
    </row>
    <row r="1962" customFormat="false" ht="15" hidden="false" customHeight="false" outlineLevel="0" collapsed="false">
      <c r="A1962" s="50"/>
      <c r="B1962" s="51" t="str">
        <f aca="false">IF(A1962="","",MONTH(A1962))</f>
        <v/>
      </c>
      <c r="C1962" s="52"/>
      <c r="D1962" s="52"/>
      <c r="E1962" s="52"/>
      <c r="F1962" s="53"/>
      <c r="G1962" s="52"/>
      <c r="H1962" s="54" t="str">
        <f aca="false">IF(E1962="","",E1962*N(F1962)*IF(G1962="",1,G1962))</f>
        <v/>
      </c>
      <c r="I1962" s="55" t="str">
        <f aca="false">IF(C1962="","",IFERROR(INDEX('DANH MỤC'!$B$5:$B$200,MATCH(C1962,'DANH MỤC'!$A$5:$A$200,0)),"⚠ Mã chưa có trong DANH MỤC"))</f>
        <v/>
      </c>
      <c r="J1962" s="52"/>
      <c r="K1962" s="52"/>
      <c r="L1962" s="52"/>
    </row>
    <row r="1963" customFormat="false" ht="15" hidden="false" customHeight="false" outlineLevel="0" collapsed="false">
      <c r="A1963" s="50"/>
      <c r="B1963" s="51" t="str">
        <f aca="false">IF(A1963="","",MONTH(A1963))</f>
        <v/>
      </c>
      <c r="C1963" s="52"/>
      <c r="D1963" s="52"/>
      <c r="E1963" s="52"/>
      <c r="F1963" s="53"/>
      <c r="G1963" s="52"/>
      <c r="H1963" s="54" t="str">
        <f aca="false">IF(E1963="","",E1963*N(F1963)*IF(G1963="",1,G1963))</f>
        <v/>
      </c>
      <c r="I1963" s="55" t="str">
        <f aca="false">IF(C1963="","",IFERROR(INDEX('DANH MỤC'!$B$5:$B$200,MATCH(C1963,'DANH MỤC'!$A$5:$A$200,0)),"⚠ Mã chưa có trong DANH MỤC"))</f>
        <v/>
      </c>
      <c r="J1963" s="52"/>
      <c r="K1963" s="52"/>
      <c r="L1963" s="52"/>
    </row>
    <row r="1964" customFormat="false" ht="15" hidden="false" customHeight="false" outlineLevel="0" collapsed="false">
      <c r="A1964" s="50"/>
      <c r="B1964" s="51" t="str">
        <f aca="false">IF(A1964="","",MONTH(A1964))</f>
        <v/>
      </c>
      <c r="C1964" s="52"/>
      <c r="D1964" s="52"/>
      <c r="E1964" s="52"/>
      <c r="F1964" s="53"/>
      <c r="G1964" s="52"/>
      <c r="H1964" s="54" t="str">
        <f aca="false">IF(E1964="","",E1964*N(F1964)*IF(G1964="",1,G1964))</f>
        <v/>
      </c>
      <c r="I1964" s="55" t="str">
        <f aca="false">IF(C1964="","",IFERROR(INDEX('DANH MỤC'!$B$5:$B$200,MATCH(C1964,'DANH MỤC'!$A$5:$A$200,0)),"⚠ Mã chưa có trong DANH MỤC"))</f>
        <v/>
      </c>
      <c r="J1964" s="52"/>
      <c r="K1964" s="52"/>
      <c r="L1964" s="52"/>
    </row>
    <row r="1965" customFormat="false" ht="15" hidden="false" customHeight="false" outlineLevel="0" collapsed="false">
      <c r="A1965" s="50"/>
      <c r="B1965" s="51" t="str">
        <f aca="false">IF(A1965="","",MONTH(A1965))</f>
        <v/>
      </c>
      <c r="C1965" s="52"/>
      <c r="D1965" s="52"/>
      <c r="E1965" s="52"/>
      <c r="F1965" s="53"/>
      <c r="G1965" s="52"/>
      <c r="H1965" s="54" t="str">
        <f aca="false">IF(E1965="","",E1965*N(F1965)*IF(G1965="",1,G1965))</f>
        <v/>
      </c>
      <c r="I1965" s="55" t="str">
        <f aca="false">IF(C1965="","",IFERROR(INDEX('DANH MỤC'!$B$5:$B$200,MATCH(C1965,'DANH MỤC'!$A$5:$A$200,0)),"⚠ Mã chưa có trong DANH MỤC"))</f>
        <v/>
      </c>
      <c r="J1965" s="52"/>
      <c r="K1965" s="52"/>
      <c r="L1965" s="52"/>
    </row>
    <row r="1966" customFormat="false" ht="15" hidden="false" customHeight="false" outlineLevel="0" collapsed="false">
      <c r="A1966" s="50"/>
      <c r="B1966" s="51" t="str">
        <f aca="false">IF(A1966="","",MONTH(A1966))</f>
        <v/>
      </c>
      <c r="C1966" s="52"/>
      <c r="D1966" s="52"/>
      <c r="E1966" s="52"/>
      <c r="F1966" s="53"/>
      <c r="G1966" s="52"/>
      <c r="H1966" s="54" t="str">
        <f aca="false">IF(E1966="","",E1966*N(F1966)*IF(G1966="",1,G1966))</f>
        <v/>
      </c>
      <c r="I1966" s="55" t="str">
        <f aca="false">IF(C1966="","",IFERROR(INDEX('DANH MỤC'!$B$5:$B$200,MATCH(C1966,'DANH MỤC'!$A$5:$A$200,0)),"⚠ Mã chưa có trong DANH MỤC"))</f>
        <v/>
      </c>
      <c r="J1966" s="52"/>
      <c r="K1966" s="52"/>
      <c r="L1966" s="52"/>
    </row>
    <row r="1967" customFormat="false" ht="15" hidden="false" customHeight="false" outlineLevel="0" collapsed="false">
      <c r="A1967" s="50"/>
      <c r="B1967" s="51" t="str">
        <f aca="false">IF(A1967="","",MONTH(A1967))</f>
        <v/>
      </c>
      <c r="C1967" s="52"/>
      <c r="D1967" s="52"/>
      <c r="E1967" s="52"/>
      <c r="F1967" s="53"/>
      <c r="G1967" s="52"/>
      <c r="H1967" s="54" t="str">
        <f aca="false">IF(E1967="","",E1967*N(F1967)*IF(G1967="",1,G1967))</f>
        <v/>
      </c>
      <c r="I1967" s="55" t="str">
        <f aca="false">IF(C1967="","",IFERROR(INDEX('DANH MỤC'!$B$5:$B$200,MATCH(C1967,'DANH MỤC'!$A$5:$A$200,0)),"⚠ Mã chưa có trong DANH MỤC"))</f>
        <v/>
      </c>
      <c r="J1967" s="52"/>
      <c r="K1967" s="52"/>
      <c r="L1967" s="52"/>
    </row>
    <row r="1968" customFormat="false" ht="15" hidden="false" customHeight="false" outlineLevel="0" collapsed="false">
      <c r="A1968" s="50"/>
      <c r="B1968" s="51" t="str">
        <f aca="false">IF(A1968="","",MONTH(A1968))</f>
        <v/>
      </c>
      <c r="C1968" s="52"/>
      <c r="D1968" s="52"/>
      <c r="E1968" s="52"/>
      <c r="F1968" s="53"/>
      <c r="G1968" s="52"/>
      <c r="H1968" s="54" t="str">
        <f aca="false">IF(E1968="","",E1968*N(F1968)*IF(G1968="",1,G1968))</f>
        <v/>
      </c>
      <c r="I1968" s="55" t="str">
        <f aca="false">IF(C1968="","",IFERROR(INDEX('DANH MỤC'!$B$5:$B$200,MATCH(C1968,'DANH MỤC'!$A$5:$A$200,0)),"⚠ Mã chưa có trong DANH MỤC"))</f>
        <v/>
      </c>
      <c r="J1968" s="52"/>
      <c r="K1968" s="52"/>
      <c r="L1968" s="52"/>
    </row>
    <row r="1969" customFormat="false" ht="15" hidden="false" customHeight="false" outlineLevel="0" collapsed="false">
      <c r="A1969" s="50"/>
      <c r="B1969" s="51" t="str">
        <f aca="false">IF(A1969="","",MONTH(A1969))</f>
        <v/>
      </c>
      <c r="C1969" s="52"/>
      <c r="D1969" s="52"/>
      <c r="E1969" s="52"/>
      <c r="F1969" s="53"/>
      <c r="G1969" s="52"/>
      <c r="H1969" s="54" t="str">
        <f aca="false">IF(E1969="","",E1969*N(F1969)*IF(G1969="",1,G1969))</f>
        <v/>
      </c>
      <c r="I1969" s="55" t="str">
        <f aca="false">IF(C1969="","",IFERROR(INDEX('DANH MỤC'!$B$5:$B$200,MATCH(C1969,'DANH MỤC'!$A$5:$A$200,0)),"⚠ Mã chưa có trong DANH MỤC"))</f>
        <v/>
      </c>
      <c r="J1969" s="52"/>
      <c r="K1969" s="52"/>
      <c r="L1969" s="52"/>
    </row>
    <row r="1970" customFormat="false" ht="15" hidden="false" customHeight="false" outlineLevel="0" collapsed="false">
      <c r="A1970" s="50"/>
      <c r="B1970" s="51" t="str">
        <f aca="false">IF(A1970="","",MONTH(A1970))</f>
        <v/>
      </c>
      <c r="C1970" s="52"/>
      <c r="D1970" s="52"/>
      <c r="E1970" s="52"/>
      <c r="F1970" s="53"/>
      <c r="G1970" s="52"/>
      <c r="H1970" s="54" t="str">
        <f aca="false">IF(E1970="","",E1970*N(F1970)*IF(G1970="",1,G1970))</f>
        <v/>
      </c>
      <c r="I1970" s="55" t="str">
        <f aca="false">IF(C1970="","",IFERROR(INDEX('DANH MỤC'!$B$5:$B$200,MATCH(C1970,'DANH MỤC'!$A$5:$A$200,0)),"⚠ Mã chưa có trong DANH MỤC"))</f>
        <v/>
      </c>
      <c r="J1970" s="52"/>
      <c r="K1970" s="52"/>
      <c r="L1970" s="52"/>
    </row>
    <row r="1971" customFormat="false" ht="15" hidden="false" customHeight="false" outlineLevel="0" collapsed="false">
      <c r="A1971" s="50"/>
      <c r="B1971" s="51" t="str">
        <f aca="false">IF(A1971="","",MONTH(A1971))</f>
        <v/>
      </c>
      <c r="C1971" s="52"/>
      <c r="D1971" s="52"/>
      <c r="E1971" s="52"/>
      <c r="F1971" s="53"/>
      <c r="G1971" s="52"/>
      <c r="H1971" s="54" t="str">
        <f aca="false">IF(E1971="","",E1971*N(F1971)*IF(G1971="",1,G1971))</f>
        <v/>
      </c>
      <c r="I1971" s="55" t="str">
        <f aca="false">IF(C1971="","",IFERROR(INDEX('DANH MỤC'!$B$5:$B$200,MATCH(C1971,'DANH MỤC'!$A$5:$A$200,0)),"⚠ Mã chưa có trong DANH MỤC"))</f>
        <v/>
      </c>
      <c r="J1971" s="52"/>
      <c r="K1971" s="52"/>
      <c r="L1971" s="52"/>
    </row>
    <row r="1972" customFormat="false" ht="15" hidden="false" customHeight="false" outlineLevel="0" collapsed="false">
      <c r="A1972" s="50"/>
      <c r="B1972" s="51" t="str">
        <f aca="false">IF(A1972="","",MONTH(A1972))</f>
        <v/>
      </c>
      <c r="C1972" s="52"/>
      <c r="D1972" s="52"/>
      <c r="E1972" s="52"/>
      <c r="F1972" s="53"/>
      <c r="G1972" s="52"/>
      <c r="H1972" s="54" t="str">
        <f aca="false">IF(E1972="","",E1972*N(F1972)*IF(G1972="",1,G1972))</f>
        <v/>
      </c>
      <c r="I1972" s="55" t="str">
        <f aca="false">IF(C1972="","",IFERROR(INDEX('DANH MỤC'!$B$5:$B$200,MATCH(C1972,'DANH MỤC'!$A$5:$A$200,0)),"⚠ Mã chưa có trong DANH MỤC"))</f>
        <v/>
      </c>
      <c r="J1972" s="52"/>
      <c r="K1972" s="52"/>
      <c r="L1972" s="52"/>
    </row>
    <row r="1973" customFormat="false" ht="15" hidden="false" customHeight="false" outlineLevel="0" collapsed="false">
      <c r="A1973" s="50"/>
      <c r="B1973" s="51" t="str">
        <f aca="false">IF(A1973="","",MONTH(A1973))</f>
        <v/>
      </c>
      <c r="C1973" s="52"/>
      <c r="D1973" s="52"/>
      <c r="E1973" s="52"/>
      <c r="F1973" s="53"/>
      <c r="G1973" s="52"/>
      <c r="H1973" s="54" t="str">
        <f aca="false">IF(E1973="","",E1973*N(F1973)*IF(G1973="",1,G1973))</f>
        <v/>
      </c>
      <c r="I1973" s="55" t="str">
        <f aca="false">IF(C1973="","",IFERROR(INDEX('DANH MỤC'!$B$5:$B$200,MATCH(C1973,'DANH MỤC'!$A$5:$A$200,0)),"⚠ Mã chưa có trong DANH MỤC"))</f>
        <v/>
      </c>
      <c r="J1973" s="52"/>
      <c r="K1973" s="52"/>
      <c r="L1973" s="52"/>
    </row>
    <row r="1974" customFormat="false" ht="15" hidden="false" customHeight="false" outlineLevel="0" collapsed="false">
      <c r="A1974" s="50"/>
      <c r="B1974" s="51" t="str">
        <f aca="false">IF(A1974="","",MONTH(A1974))</f>
        <v/>
      </c>
      <c r="C1974" s="52"/>
      <c r="D1974" s="52"/>
      <c r="E1974" s="52"/>
      <c r="F1974" s="53"/>
      <c r="G1974" s="52"/>
      <c r="H1974" s="54" t="str">
        <f aca="false">IF(E1974="","",E1974*N(F1974)*IF(G1974="",1,G1974))</f>
        <v/>
      </c>
      <c r="I1974" s="55" t="str">
        <f aca="false">IF(C1974="","",IFERROR(INDEX('DANH MỤC'!$B$5:$B$200,MATCH(C1974,'DANH MỤC'!$A$5:$A$200,0)),"⚠ Mã chưa có trong DANH MỤC"))</f>
        <v/>
      </c>
      <c r="J1974" s="52"/>
      <c r="K1974" s="52"/>
      <c r="L1974" s="52"/>
    </row>
    <row r="1975" customFormat="false" ht="15" hidden="false" customHeight="false" outlineLevel="0" collapsed="false">
      <c r="A1975" s="50"/>
      <c r="B1975" s="51" t="str">
        <f aca="false">IF(A1975="","",MONTH(A1975))</f>
        <v/>
      </c>
      <c r="C1975" s="52"/>
      <c r="D1975" s="52"/>
      <c r="E1975" s="52"/>
      <c r="F1975" s="53"/>
      <c r="G1975" s="52"/>
      <c r="H1975" s="54" t="str">
        <f aca="false">IF(E1975="","",E1975*N(F1975)*IF(G1975="",1,G1975))</f>
        <v/>
      </c>
      <c r="I1975" s="55" t="str">
        <f aca="false">IF(C1975="","",IFERROR(INDEX('DANH MỤC'!$B$5:$B$200,MATCH(C1975,'DANH MỤC'!$A$5:$A$200,0)),"⚠ Mã chưa có trong DANH MỤC"))</f>
        <v/>
      </c>
      <c r="J1975" s="52"/>
      <c r="K1975" s="52"/>
      <c r="L1975" s="52"/>
    </row>
    <row r="1976" customFormat="false" ht="15" hidden="false" customHeight="false" outlineLevel="0" collapsed="false">
      <c r="A1976" s="50"/>
      <c r="B1976" s="51" t="str">
        <f aca="false">IF(A1976="","",MONTH(A1976))</f>
        <v/>
      </c>
      <c r="C1976" s="52"/>
      <c r="D1976" s="52"/>
      <c r="E1976" s="52"/>
      <c r="F1976" s="53"/>
      <c r="G1976" s="52"/>
      <c r="H1976" s="54" t="str">
        <f aca="false">IF(E1976="","",E1976*N(F1976)*IF(G1976="",1,G1976))</f>
        <v/>
      </c>
      <c r="I1976" s="55" t="str">
        <f aca="false">IF(C1976="","",IFERROR(INDEX('DANH MỤC'!$B$5:$B$200,MATCH(C1976,'DANH MỤC'!$A$5:$A$200,0)),"⚠ Mã chưa có trong DANH MỤC"))</f>
        <v/>
      </c>
      <c r="J1976" s="52"/>
      <c r="K1976" s="52"/>
      <c r="L1976" s="52"/>
    </row>
    <row r="1977" customFormat="false" ht="15" hidden="false" customHeight="false" outlineLevel="0" collapsed="false">
      <c r="A1977" s="50"/>
      <c r="B1977" s="51" t="str">
        <f aca="false">IF(A1977="","",MONTH(A1977))</f>
        <v/>
      </c>
      <c r="C1977" s="52"/>
      <c r="D1977" s="52"/>
      <c r="E1977" s="52"/>
      <c r="F1977" s="53"/>
      <c r="G1977" s="52"/>
      <c r="H1977" s="54" t="str">
        <f aca="false">IF(E1977="","",E1977*N(F1977)*IF(G1977="",1,G1977))</f>
        <v/>
      </c>
      <c r="I1977" s="55" t="str">
        <f aca="false">IF(C1977="","",IFERROR(INDEX('DANH MỤC'!$B$5:$B$200,MATCH(C1977,'DANH MỤC'!$A$5:$A$200,0)),"⚠ Mã chưa có trong DANH MỤC"))</f>
        <v/>
      </c>
      <c r="J1977" s="52"/>
      <c r="K1977" s="52"/>
      <c r="L1977" s="52"/>
    </row>
    <row r="1978" customFormat="false" ht="15" hidden="false" customHeight="false" outlineLevel="0" collapsed="false">
      <c r="A1978" s="50"/>
      <c r="B1978" s="51" t="str">
        <f aca="false">IF(A1978="","",MONTH(A1978))</f>
        <v/>
      </c>
      <c r="C1978" s="52"/>
      <c r="D1978" s="52"/>
      <c r="E1978" s="52"/>
      <c r="F1978" s="53"/>
      <c r="G1978" s="52"/>
      <c r="H1978" s="54" t="str">
        <f aca="false">IF(E1978="","",E1978*N(F1978)*IF(G1978="",1,G1978))</f>
        <v/>
      </c>
      <c r="I1978" s="55" t="str">
        <f aca="false">IF(C1978="","",IFERROR(INDEX('DANH MỤC'!$B$5:$B$200,MATCH(C1978,'DANH MỤC'!$A$5:$A$200,0)),"⚠ Mã chưa có trong DANH MỤC"))</f>
        <v/>
      </c>
      <c r="J1978" s="52"/>
      <c r="K1978" s="52"/>
      <c r="L1978" s="52"/>
    </row>
    <row r="1979" customFormat="false" ht="15" hidden="false" customHeight="false" outlineLevel="0" collapsed="false">
      <c r="A1979" s="50"/>
      <c r="B1979" s="51" t="str">
        <f aca="false">IF(A1979="","",MONTH(A1979))</f>
        <v/>
      </c>
      <c r="C1979" s="52"/>
      <c r="D1979" s="52"/>
      <c r="E1979" s="52"/>
      <c r="F1979" s="53"/>
      <c r="G1979" s="52"/>
      <c r="H1979" s="54" t="str">
        <f aca="false">IF(E1979="","",E1979*N(F1979)*IF(G1979="",1,G1979))</f>
        <v/>
      </c>
      <c r="I1979" s="55" t="str">
        <f aca="false">IF(C1979="","",IFERROR(INDEX('DANH MỤC'!$B$5:$B$200,MATCH(C1979,'DANH MỤC'!$A$5:$A$200,0)),"⚠ Mã chưa có trong DANH MỤC"))</f>
        <v/>
      </c>
      <c r="J1979" s="52"/>
      <c r="K1979" s="52"/>
      <c r="L1979" s="52"/>
    </row>
    <row r="1980" customFormat="false" ht="15" hidden="false" customHeight="false" outlineLevel="0" collapsed="false">
      <c r="A1980" s="50"/>
      <c r="B1980" s="51" t="str">
        <f aca="false">IF(A1980="","",MONTH(A1980))</f>
        <v/>
      </c>
      <c r="C1980" s="52"/>
      <c r="D1980" s="52"/>
      <c r="E1980" s="52"/>
      <c r="F1980" s="53"/>
      <c r="G1980" s="52"/>
      <c r="H1980" s="54" t="str">
        <f aca="false">IF(E1980="","",E1980*N(F1980)*IF(G1980="",1,G1980))</f>
        <v/>
      </c>
      <c r="I1980" s="55" t="str">
        <f aca="false">IF(C1980="","",IFERROR(INDEX('DANH MỤC'!$B$5:$B$200,MATCH(C1980,'DANH MỤC'!$A$5:$A$200,0)),"⚠ Mã chưa có trong DANH MỤC"))</f>
        <v/>
      </c>
      <c r="J1980" s="52"/>
      <c r="K1980" s="52"/>
      <c r="L1980" s="52"/>
    </row>
    <row r="1981" customFormat="false" ht="15" hidden="false" customHeight="false" outlineLevel="0" collapsed="false">
      <c r="A1981" s="50"/>
      <c r="B1981" s="51" t="str">
        <f aca="false">IF(A1981="","",MONTH(A1981))</f>
        <v/>
      </c>
      <c r="C1981" s="52"/>
      <c r="D1981" s="52"/>
      <c r="E1981" s="52"/>
      <c r="F1981" s="53"/>
      <c r="G1981" s="52"/>
      <c r="H1981" s="54" t="str">
        <f aca="false">IF(E1981="","",E1981*N(F1981)*IF(G1981="",1,G1981))</f>
        <v/>
      </c>
      <c r="I1981" s="55" t="str">
        <f aca="false">IF(C1981="","",IFERROR(INDEX('DANH MỤC'!$B$5:$B$200,MATCH(C1981,'DANH MỤC'!$A$5:$A$200,0)),"⚠ Mã chưa có trong DANH MỤC"))</f>
        <v/>
      </c>
      <c r="J1981" s="52"/>
      <c r="K1981" s="52"/>
      <c r="L1981" s="52"/>
    </row>
    <row r="1982" customFormat="false" ht="15" hidden="false" customHeight="false" outlineLevel="0" collapsed="false">
      <c r="A1982" s="50"/>
      <c r="B1982" s="51" t="str">
        <f aca="false">IF(A1982="","",MONTH(A1982))</f>
        <v/>
      </c>
      <c r="C1982" s="52"/>
      <c r="D1982" s="52"/>
      <c r="E1982" s="52"/>
      <c r="F1982" s="53"/>
      <c r="G1982" s="52"/>
      <c r="H1982" s="54" t="str">
        <f aca="false">IF(E1982="","",E1982*N(F1982)*IF(G1982="",1,G1982))</f>
        <v/>
      </c>
      <c r="I1982" s="55" t="str">
        <f aca="false">IF(C1982="","",IFERROR(INDEX('DANH MỤC'!$B$5:$B$200,MATCH(C1982,'DANH MỤC'!$A$5:$A$200,0)),"⚠ Mã chưa có trong DANH MỤC"))</f>
        <v/>
      </c>
      <c r="J1982" s="52"/>
      <c r="K1982" s="52"/>
      <c r="L1982" s="52"/>
    </row>
    <row r="1983" customFormat="false" ht="15" hidden="false" customHeight="false" outlineLevel="0" collapsed="false">
      <c r="A1983" s="50"/>
      <c r="B1983" s="51" t="str">
        <f aca="false">IF(A1983="","",MONTH(A1983))</f>
        <v/>
      </c>
      <c r="C1983" s="52"/>
      <c r="D1983" s="52"/>
      <c r="E1983" s="52"/>
      <c r="F1983" s="53"/>
      <c r="G1983" s="52"/>
      <c r="H1983" s="54" t="str">
        <f aca="false">IF(E1983="","",E1983*N(F1983)*IF(G1983="",1,G1983))</f>
        <v/>
      </c>
      <c r="I1983" s="55" t="str">
        <f aca="false">IF(C1983="","",IFERROR(INDEX('DANH MỤC'!$B$5:$B$200,MATCH(C1983,'DANH MỤC'!$A$5:$A$200,0)),"⚠ Mã chưa có trong DANH MỤC"))</f>
        <v/>
      </c>
      <c r="J1983" s="52"/>
      <c r="K1983" s="52"/>
      <c r="L1983" s="52"/>
    </row>
    <row r="1984" customFormat="false" ht="15" hidden="false" customHeight="false" outlineLevel="0" collapsed="false">
      <c r="A1984" s="50"/>
      <c r="B1984" s="51" t="str">
        <f aca="false">IF(A1984="","",MONTH(A1984))</f>
        <v/>
      </c>
      <c r="C1984" s="52"/>
      <c r="D1984" s="52"/>
      <c r="E1984" s="52"/>
      <c r="F1984" s="53"/>
      <c r="G1984" s="52"/>
      <c r="H1984" s="54" t="str">
        <f aca="false">IF(E1984="","",E1984*N(F1984)*IF(G1984="",1,G1984))</f>
        <v/>
      </c>
      <c r="I1984" s="55" t="str">
        <f aca="false">IF(C1984="","",IFERROR(INDEX('DANH MỤC'!$B$5:$B$200,MATCH(C1984,'DANH MỤC'!$A$5:$A$200,0)),"⚠ Mã chưa có trong DANH MỤC"))</f>
        <v/>
      </c>
      <c r="J1984" s="52"/>
      <c r="K1984" s="52"/>
      <c r="L1984" s="52"/>
    </row>
    <row r="1985" customFormat="false" ht="15" hidden="false" customHeight="false" outlineLevel="0" collapsed="false">
      <c r="A1985" s="50"/>
      <c r="B1985" s="51" t="str">
        <f aca="false">IF(A1985="","",MONTH(A1985))</f>
        <v/>
      </c>
      <c r="C1985" s="52"/>
      <c r="D1985" s="52"/>
      <c r="E1985" s="52"/>
      <c r="F1985" s="53"/>
      <c r="G1985" s="52"/>
      <c r="H1985" s="54" t="str">
        <f aca="false">IF(E1985="","",E1985*N(F1985)*IF(G1985="",1,G1985))</f>
        <v/>
      </c>
      <c r="I1985" s="55" t="str">
        <f aca="false">IF(C1985="","",IFERROR(INDEX('DANH MỤC'!$B$5:$B$200,MATCH(C1985,'DANH MỤC'!$A$5:$A$200,0)),"⚠ Mã chưa có trong DANH MỤC"))</f>
        <v/>
      </c>
      <c r="J1985" s="52"/>
      <c r="K1985" s="52"/>
      <c r="L1985" s="52"/>
    </row>
    <row r="1986" customFormat="false" ht="15" hidden="false" customHeight="false" outlineLevel="0" collapsed="false">
      <c r="A1986" s="50"/>
      <c r="B1986" s="51" t="str">
        <f aca="false">IF(A1986="","",MONTH(A1986))</f>
        <v/>
      </c>
      <c r="C1986" s="52"/>
      <c r="D1986" s="52"/>
      <c r="E1986" s="52"/>
      <c r="F1986" s="53"/>
      <c r="G1986" s="52"/>
      <c r="H1986" s="54" t="str">
        <f aca="false">IF(E1986="","",E1986*N(F1986)*IF(G1986="",1,G1986))</f>
        <v/>
      </c>
      <c r="I1986" s="55" t="str">
        <f aca="false">IF(C1986="","",IFERROR(INDEX('DANH MỤC'!$B$5:$B$200,MATCH(C1986,'DANH MỤC'!$A$5:$A$200,0)),"⚠ Mã chưa có trong DANH MỤC"))</f>
        <v/>
      </c>
      <c r="J1986" s="52"/>
      <c r="K1986" s="52"/>
      <c r="L1986" s="52"/>
    </row>
    <row r="1987" customFormat="false" ht="15" hidden="false" customHeight="false" outlineLevel="0" collapsed="false">
      <c r="A1987" s="50"/>
      <c r="B1987" s="51" t="str">
        <f aca="false">IF(A1987="","",MONTH(A1987))</f>
        <v/>
      </c>
      <c r="C1987" s="52"/>
      <c r="D1987" s="52"/>
      <c r="E1987" s="52"/>
      <c r="F1987" s="53"/>
      <c r="G1987" s="52"/>
      <c r="H1987" s="54" t="str">
        <f aca="false">IF(E1987="","",E1987*N(F1987)*IF(G1987="",1,G1987))</f>
        <v/>
      </c>
      <c r="I1987" s="55" t="str">
        <f aca="false">IF(C1987="","",IFERROR(INDEX('DANH MỤC'!$B$5:$B$200,MATCH(C1987,'DANH MỤC'!$A$5:$A$200,0)),"⚠ Mã chưa có trong DANH MỤC"))</f>
        <v/>
      </c>
      <c r="J1987" s="52"/>
      <c r="K1987" s="52"/>
      <c r="L1987" s="52"/>
    </row>
    <row r="1988" customFormat="false" ht="15" hidden="false" customHeight="false" outlineLevel="0" collapsed="false">
      <c r="A1988" s="50"/>
      <c r="B1988" s="51" t="str">
        <f aca="false">IF(A1988="","",MONTH(A1988))</f>
        <v/>
      </c>
      <c r="C1988" s="52"/>
      <c r="D1988" s="52"/>
      <c r="E1988" s="52"/>
      <c r="F1988" s="53"/>
      <c r="G1988" s="52"/>
      <c r="H1988" s="54" t="str">
        <f aca="false">IF(E1988="","",E1988*N(F1988)*IF(G1988="",1,G1988))</f>
        <v/>
      </c>
      <c r="I1988" s="55" t="str">
        <f aca="false">IF(C1988="","",IFERROR(INDEX('DANH MỤC'!$B$5:$B$200,MATCH(C1988,'DANH MỤC'!$A$5:$A$200,0)),"⚠ Mã chưa có trong DANH MỤC"))</f>
        <v/>
      </c>
      <c r="J1988" s="52"/>
      <c r="K1988" s="52"/>
      <c r="L1988" s="52"/>
    </row>
    <row r="1989" customFormat="false" ht="15" hidden="false" customHeight="false" outlineLevel="0" collapsed="false">
      <c r="A1989" s="50"/>
      <c r="B1989" s="51" t="str">
        <f aca="false">IF(A1989="","",MONTH(A1989))</f>
        <v/>
      </c>
      <c r="C1989" s="52"/>
      <c r="D1989" s="52"/>
      <c r="E1989" s="52"/>
      <c r="F1989" s="53"/>
      <c r="G1989" s="52"/>
      <c r="H1989" s="54" t="str">
        <f aca="false">IF(E1989="","",E1989*N(F1989)*IF(G1989="",1,G1989))</f>
        <v/>
      </c>
      <c r="I1989" s="55" t="str">
        <f aca="false">IF(C1989="","",IFERROR(INDEX('DANH MỤC'!$B$5:$B$200,MATCH(C1989,'DANH MỤC'!$A$5:$A$200,0)),"⚠ Mã chưa có trong DANH MỤC"))</f>
        <v/>
      </c>
      <c r="J1989" s="52"/>
      <c r="K1989" s="52"/>
      <c r="L1989" s="52"/>
    </row>
    <row r="1990" customFormat="false" ht="15" hidden="false" customHeight="false" outlineLevel="0" collapsed="false">
      <c r="A1990" s="50"/>
      <c r="B1990" s="51" t="str">
        <f aca="false">IF(A1990="","",MONTH(A1990))</f>
        <v/>
      </c>
      <c r="C1990" s="52"/>
      <c r="D1990" s="52"/>
      <c r="E1990" s="52"/>
      <c r="F1990" s="53"/>
      <c r="G1990" s="52"/>
      <c r="H1990" s="54" t="str">
        <f aca="false">IF(E1990="","",E1990*N(F1990)*IF(G1990="",1,G1990))</f>
        <v/>
      </c>
      <c r="I1990" s="55" t="str">
        <f aca="false">IF(C1990="","",IFERROR(INDEX('DANH MỤC'!$B$5:$B$200,MATCH(C1990,'DANH MỤC'!$A$5:$A$200,0)),"⚠ Mã chưa có trong DANH MỤC"))</f>
        <v/>
      </c>
      <c r="J1990" s="52"/>
      <c r="K1990" s="52"/>
      <c r="L1990" s="52"/>
    </row>
    <row r="1991" customFormat="false" ht="15" hidden="false" customHeight="false" outlineLevel="0" collapsed="false">
      <c r="A1991" s="50"/>
      <c r="B1991" s="51" t="str">
        <f aca="false">IF(A1991="","",MONTH(A1991))</f>
        <v/>
      </c>
      <c r="C1991" s="52"/>
      <c r="D1991" s="52"/>
      <c r="E1991" s="52"/>
      <c r="F1991" s="53"/>
      <c r="G1991" s="52"/>
      <c r="H1991" s="54" t="str">
        <f aca="false">IF(E1991="","",E1991*N(F1991)*IF(G1991="",1,G1991))</f>
        <v/>
      </c>
      <c r="I1991" s="55" t="str">
        <f aca="false">IF(C1991="","",IFERROR(INDEX('DANH MỤC'!$B$5:$B$200,MATCH(C1991,'DANH MỤC'!$A$5:$A$200,0)),"⚠ Mã chưa có trong DANH MỤC"))</f>
        <v/>
      </c>
      <c r="J1991" s="52"/>
      <c r="K1991" s="52"/>
      <c r="L1991" s="52"/>
    </row>
    <row r="1992" customFormat="false" ht="15" hidden="false" customHeight="false" outlineLevel="0" collapsed="false">
      <c r="A1992" s="50"/>
      <c r="B1992" s="51" t="str">
        <f aca="false">IF(A1992="","",MONTH(A1992))</f>
        <v/>
      </c>
      <c r="C1992" s="52"/>
      <c r="D1992" s="52"/>
      <c r="E1992" s="52"/>
      <c r="F1992" s="53"/>
      <c r="G1992" s="52"/>
      <c r="H1992" s="54" t="str">
        <f aca="false">IF(E1992="","",E1992*N(F1992)*IF(G1992="",1,G1992))</f>
        <v/>
      </c>
      <c r="I1992" s="55" t="str">
        <f aca="false">IF(C1992="","",IFERROR(INDEX('DANH MỤC'!$B$5:$B$200,MATCH(C1992,'DANH MỤC'!$A$5:$A$200,0)),"⚠ Mã chưa có trong DANH MỤC"))</f>
        <v/>
      </c>
      <c r="J1992" s="52"/>
      <c r="K1992" s="52"/>
      <c r="L1992" s="52"/>
    </row>
    <row r="1993" customFormat="false" ht="15" hidden="false" customHeight="false" outlineLevel="0" collapsed="false">
      <c r="A1993" s="50"/>
      <c r="B1993" s="51" t="str">
        <f aca="false">IF(A1993="","",MONTH(A1993))</f>
        <v/>
      </c>
      <c r="C1993" s="52"/>
      <c r="D1993" s="52"/>
      <c r="E1993" s="52"/>
      <c r="F1993" s="53"/>
      <c r="G1993" s="52"/>
      <c r="H1993" s="54" t="str">
        <f aca="false">IF(E1993="","",E1993*N(F1993)*IF(G1993="",1,G1993))</f>
        <v/>
      </c>
      <c r="I1993" s="55" t="str">
        <f aca="false">IF(C1993="","",IFERROR(INDEX('DANH MỤC'!$B$5:$B$200,MATCH(C1993,'DANH MỤC'!$A$5:$A$200,0)),"⚠ Mã chưa có trong DANH MỤC"))</f>
        <v/>
      </c>
      <c r="J1993" s="52"/>
      <c r="K1993" s="52"/>
      <c r="L1993" s="52"/>
    </row>
    <row r="1994" customFormat="false" ht="15" hidden="false" customHeight="false" outlineLevel="0" collapsed="false">
      <c r="A1994" s="50"/>
      <c r="B1994" s="51" t="str">
        <f aca="false">IF(A1994="","",MONTH(A1994))</f>
        <v/>
      </c>
      <c r="C1994" s="52"/>
      <c r="D1994" s="52"/>
      <c r="E1994" s="52"/>
      <c r="F1994" s="53"/>
      <c r="G1994" s="52"/>
      <c r="H1994" s="54" t="str">
        <f aca="false">IF(E1994="","",E1994*N(F1994)*IF(G1994="",1,G1994))</f>
        <v/>
      </c>
      <c r="I1994" s="55" t="str">
        <f aca="false">IF(C1994="","",IFERROR(INDEX('DANH MỤC'!$B$5:$B$200,MATCH(C1994,'DANH MỤC'!$A$5:$A$200,0)),"⚠ Mã chưa có trong DANH MỤC"))</f>
        <v/>
      </c>
      <c r="J1994" s="52"/>
      <c r="K1994" s="52"/>
      <c r="L1994" s="52"/>
    </row>
    <row r="1995" customFormat="false" ht="15" hidden="false" customHeight="false" outlineLevel="0" collapsed="false">
      <c r="A1995" s="50"/>
      <c r="B1995" s="51" t="str">
        <f aca="false">IF(A1995="","",MONTH(A1995))</f>
        <v/>
      </c>
      <c r="C1995" s="52"/>
      <c r="D1995" s="52"/>
      <c r="E1995" s="52"/>
      <c r="F1995" s="53"/>
      <c r="G1995" s="52"/>
      <c r="H1995" s="54" t="str">
        <f aca="false">IF(E1995="","",E1995*N(F1995)*IF(G1995="",1,G1995))</f>
        <v/>
      </c>
      <c r="I1995" s="55" t="str">
        <f aca="false">IF(C1995="","",IFERROR(INDEX('DANH MỤC'!$B$5:$B$200,MATCH(C1995,'DANH MỤC'!$A$5:$A$200,0)),"⚠ Mã chưa có trong DANH MỤC"))</f>
        <v/>
      </c>
      <c r="J1995" s="52"/>
      <c r="K1995" s="52"/>
      <c r="L1995" s="52"/>
    </row>
    <row r="1996" customFormat="false" ht="15" hidden="false" customHeight="false" outlineLevel="0" collapsed="false">
      <c r="A1996" s="50"/>
      <c r="B1996" s="51" t="str">
        <f aca="false">IF(A1996="","",MONTH(A1996))</f>
        <v/>
      </c>
      <c r="C1996" s="52"/>
      <c r="D1996" s="52"/>
      <c r="E1996" s="52"/>
      <c r="F1996" s="53"/>
      <c r="G1996" s="52"/>
      <c r="H1996" s="54" t="str">
        <f aca="false">IF(E1996="","",E1996*N(F1996)*IF(G1996="",1,G1996))</f>
        <v/>
      </c>
      <c r="I1996" s="55" t="str">
        <f aca="false">IF(C1996="","",IFERROR(INDEX('DANH MỤC'!$B$5:$B$200,MATCH(C1996,'DANH MỤC'!$A$5:$A$200,0)),"⚠ Mã chưa có trong DANH MỤC"))</f>
        <v/>
      </c>
      <c r="J1996" s="52"/>
      <c r="K1996" s="52"/>
      <c r="L1996" s="52"/>
    </row>
    <row r="1997" customFormat="false" ht="15" hidden="false" customHeight="false" outlineLevel="0" collapsed="false">
      <c r="A1997" s="50"/>
      <c r="B1997" s="51" t="str">
        <f aca="false">IF(A1997="","",MONTH(A1997))</f>
        <v/>
      </c>
      <c r="C1997" s="52"/>
      <c r="D1997" s="52"/>
      <c r="E1997" s="52"/>
      <c r="F1997" s="53"/>
      <c r="G1997" s="52"/>
      <c r="H1997" s="54" t="str">
        <f aca="false">IF(E1997="","",E1997*N(F1997)*IF(G1997="",1,G1997))</f>
        <v/>
      </c>
      <c r="I1997" s="55" t="str">
        <f aca="false">IF(C1997="","",IFERROR(INDEX('DANH MỤC'!$B$5:$B$200,MATCH(C1997,'DANH MỤC'!$A$5:$A$200,0)),"⚠ Mã chưa có trong DANH MỤC"))</f>
        <v/>
      </c>
      <c r="J1997" s="52"/>
      <c r="K1997" s="52"/>
      <c r="L1997" s="52"/>
    </row>
    <row r="1998" customFormat="false" ht="15" hidden="false" customHeight="false" outlineLevel="0" collapsed="false">
      <c r="A1998" s="50"/>
      <c r="B1998" s="51" t="str">
        <f aca="false">IF(A1998="","",MONTH(A1998))</f>
        <v/>
      </c>
      <c r="C1998" s="52"/>
      <c r="D1998" s="52"/>
      <c r="E1998" s="52"/>
      <c r="F1998" s="53"/>
      <c r="G1998" s="52"/>
      <c r="H1998" s="54" t="str">
        <f aca="false">IF(E1998="","",E1998*N(F1998)*IF(G1998="",1,G1998))</f>
        <v/>
      </c>
      <c r="I1998" s="55" t="str">
        <f aca="false">IF(C1998="","",IFERROR(INDEX('DANH MỤC'!$B$5:$B$200,MATCH(C1998,'DANH MỤC'!$A$5:$A$200,0)),"⚠ Mã chưa có trong DANH MỤC"))</f>
        <v/>
      </c>
      <c r="J1998" s="52"/>
      <c r="K1998" s="52"/>
      <c r="L1998" s="52"/>
    </row>
    <row r="1999" customFormat="false" ht="15" hidden="false" customHeight="false" outlineLevel="0" collapsed="false">
      <c r="A1999" s="50"/>
      <c r="B1999" s="51" t="str">
        <f aca="false">IF(A1999="","",MONTH(A1999))</f>
        <v/>
      </c>
      <c r="C1999" s="52"/>
      <c r="D1999" s="52"/>
      <c r="E1999" s="52"/>
      <c r="F1999" s="53"/>
      <c r="G1999" s="52"/>
      <c r="H1999" s="54" t="str">
        <f aca="false">IF(E1999="","",E1999*N(F1999)*IF(G1999="",1,G1999))</f>
        <v/>
      </c>
      <c r="I1999" s="55" t="str">
        <f aca="false">IF(C1999="","",IFERROR(INDEX('DANH MỤC'!$B$5:$B$200,MATCH(C1999,'DANH MỤC'!$A$5:$A$200,0)),"⚠ Mã chưa có trong DANH MỤC"))</f>
        <v/>
      </c>
      <c r="J1999" s="52"/>
      <c r="K1999" s="52"/>
      <c r="L1999" s="52"/>
    </row>
    <row r="2000" customFormat="false" ht="15" hidden="false" customHeight="false" outlineLevel="0" collapsed="false">
      <c r="A2000" s="50"/>
      <c r="B2000" s="51" t="str">
        <f aca="false">IF(A2000="","",MONTH(A2000))</f>
        <v/>
      </c>
      <c r="C2000" s="52"/>
      <c r="D2000" s="52"/>
      <c r="E2000" s="52"/>
      <c r="F2000" s="53"/>
      <c r="G2000" s="52"/>
      <c r="H2000" s="54" t="str">
        <f aca="false">IF(E2000="","",E2000*N(F2000)*IF(G2000="",1,G2000))</f>
        <v/>
      </c>
      <c r="I2000" s="55" t="str">
        <f aca="false">IF(C2000="","",IFERROR(INDEX('DANH MỤC'!$B$5:$B$200,MATCH(C2000,'DANH MỤC'!$A$5:$A$200,0)),"⚠ Mã chưa có trong DANH MỤC"))</f>
        <v/>
      </c>
      <c r="J2000" s="52"/>
      <c r="K2000" s="52"/>
      <c r="L2000" s="52"/>
    </row>
    <row r="2001" customFormat="false" ht="15" hidden="false" customHeight="false" outlineLevel="0" collapsed="false">
      <c r="A2001" s="50"/>
      <c r="B2001" s="51" t="str">
        <f aca="false">IF(A2001="","",MONTH(A2001))</f>
        <v/>
      </c>
      <c r="C2001" s="52"/>
      <c r="D2001" s="52"/>
      <c r="E2001" s="52"/>
      <c r="F2001" s="53"/>
      <c r="G2001" s="52"/>
      <c r="H2001" s="54" t="str">
        <f aca="false">IF(E2001="","",E2001*N(F2001)*IF(G2001="",1,G2001))</f>
        <v/>
      </c>
      <c r="I2001" s="55" t="str">
        <f aca="false">IF(C2001="","",IFERROR(INDEX('DANH MỤC'!$B$5:$B$200,MATCH(C2001,'DANH MỤC'!$A$5:$A$200,0)),"⚠ Mã chưa có trong DANH MỤC"))</f>
        <v/>
      </c>
      <c r="J2001" s="52"/>
      <c r="K2001" s="52"/>
      <c r="L2001" s="52"/>
    </row>
    <row r="2002" customFormat="false" ht="15" hidden="false" customHeight="false" outlineLevel="0" collapsed="false">
      <c r="A2002" s="50"/>
      <c r="B2002" s="51" t="str">
        <f aca="false">IF(A2002="","",MONTH(A2002))</f>
        <v/>
      </c>
      <c r="C2002" s="52"/>
      <c r="D2002" s="52"/>
      <c r="E2002" s="52"/>
      <c r="F2002" s="53"/>
      <c r="G2002" s="52"/>
      <c r="H2002" s="54" t="str">
        <f aca="false">IF(E2002="","",E2002*N(F2002)*IF(G2002="",1,G2002))</f>
        <v/>
      </c>
      <c r="I2002" s="55" t="str">
        <f aca="false">IF(C2002="","",IFERROR(INDEX('DANH MỤC'!$B$5:$B$200,MATCH(C2002,'DANH MỤC'!$A$5:$A$200,0)),"⚠ Mã chưa có trong DANH MỤC"))</f>
        <v/>
      </c>
      <c r="J2002" s="52"/>
      <c r="K2002" s="52"/>
      <c r="L2002" s="52"/>
    </row>
    <row r="2003" customFormat="false" ht="15" hidden="false" customHeight="false" outlineLevel="0" collapsed="false">
      <c r="A2003" s="50"/>
      <c r="B2003" s="51" t="str">
        <f aca="false">IF(A2003="","",MONTH(A2003))</f>
        <v/>
      </c>
      <c r="C2003" s="52"/>
      <c r="D2003" s="52"/>
      <c r="E2003" s="52"/>
      <c r="F2003" s="53"/>
      <c r="G2003" s="52"/>
      <c r="H2003" s="54" t="str">
        <f aca="false">IF(E2003="","",E2003*N(F2003)*IF(G2003="",1,G2003))</f>
        <v/>
      </c>
      <c r="I2003" s="55" t="str">
        <f aca="false">IF(C2003="","",IFERROR(INDEX('DANH MỤC'!$B$5:$B$200,MATCH(C2003,'DANH MỤC'!$A$5:$A$200,0)),"⚠ Mã chưa có trong DANH MỤC"))</f>
        <v/>
      </c>
      <c r="J2003" s="52"/>
      <c r="K2003" s="52"/>
      <c r="L2003" s="52"/>
    </row>
    <row r="2004" customFormat="false" ht="15" hidden="false" customHeight="false" outlineLevel="0" collapsed="false">
      <c r="A2004" s="50"/>
      <c r="B2004" s="51" t="str">
        <f aca="false">IF(A2004="","",MONTH(A2004))</f>
        <v/>
      </c>
      <c r="C2004" s="52"/>
      <c r="D2004" s="52"/>
      <c r="E2004" s="52"/>
      <c r="F2004" s="53"/>
      <c r="G2004" s="52"/>
      <c r="H2004" s="54" t="str">
        <f aca="false">IF(E2004="","",E2004*N(F2004)*IF(G2004="",1,G2004))</f>
        <v/>
      </c>
      <c r="I2004" s="55" t="str">
        <f aca="false">IF(C2004="","",IFERROR(INDEX('DANH MỤC'!$B$5:$B$200,MATCH(C2004,'DANH MỤC'!$A$5:$A$200,0)),"⚠ Mã chưa có trong DANH MỤC"))</f>
        <v/>
      </c>
      <c r="J2004" s="52"/>
      <c r="K2004" s="52"/>
      <c r="L2004" s="52"/>
    </row>
  </sheetData>
  <autoFilter ref="A4:L2004"/>
  <conditionalFormatting sqref="L5:L2004">
    <cfRule type="expression" priority="2" aboveAverage="0" equalAverage="0" bottom="0" percent="0" rank="0" text="" dxfId="25">
      <formula>LEN(L5)&gt;0</formula>
    </cfRule>
  </conditionalFormatting>
  <conditionalFormatting sqref="I5:I2004">
    <cfRule type="expression" priority="3" aboveAverage="0" equalAverage="0" bottom="0" percent="0" rank="0" text="" dxfId="26">
      <formula>LEFT(I5,1)="⚠"</formula>
    </cfRule>
  </conditionalFormatting>
  <dataValidations count="4">
    <dataValidation allowBlank="true" error="Chọn mã trong danh sách (xem sheet DANH MỤC)" errorStyle="stop" operator="between" showDropDown="false" showErrorMessage="false" showInputMessage="false" sqref="C5:C2004" type="list">
      <formula1>'DANH MỤC'!$A$5:$A$200</formula1>
      <formula2>0</formula2>
    </dataValidation>
    <dataValidation allowBlank="true" errorStyle="stop" operator="between" showDropDown="false" showErrorMessage="false" showInputMessage="false" sqref="D5:D2004" type="list">
      <formula1>"1L,5L,18L,Bao"</formula1>
      <formula2>0</formula2>
    </dataValidation>
    <dataValidation allowBlank="true" error="Nhập ngày dạng dd/mm/yyyy" errorStyle="stop" operator="greaterThan" showDropDown="false" showErrorMessage="false" showInputMessage="false" sqref="A5:A2004" type="date">
      <formula1>43831</formula1>
      <formula2>0</formula2>
    </dataValidation>
    <dataValidation allowBlank="true" error="Số lượng phải là số dương" errorStyle="stop" operator="greaterThan" showDropDown="false" showErrorMessage="false" showInputMessage="false" sqref="E5:E2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20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30"/>
    <col collapsed="false" customWidth="true" hidden="false" outlineLevel="0" max="7" min="7" style="0" width="46"/>
    <col collapsed="false" customWidth="true" hidden="false" outlineLevel="0" max="8" min="8" style="0" width="16"/>
    <col collapsed="false" customWidth="true" hidden="false" outlineLevel="0" max="9" min="9" style="0" width="50"/>
  </cols>
  <sheetData>
    <row r="1" customFormat="false" ht="19.7" hidden="false" customHeight="false" outlineLevel="0" collapsed="false">
      <c r="A1" s="23" t="s">
        <v>548</v>
      </c>
    </row>
    <row r="2" customFormat="false" ht="15" hidden="false" customHeight="false" outlineLevel="0" collapsed="false">
      <c r="A2" s="2" t="s">
        <v>549</v>
      </c>
    </row>
    <row r="3" customFormat="false" ht="15" hidden="false" customHeight="false" outlineLevel="0" collapsed="false">
      <c r="A3" s="57" t="s">
        <v>550</v>
      </c>
    </row>
    <row r="4" customFormat="false" ht="33.75" hidden="false" customHeight="true" outlineLevel="0" collapsed="false">
      <c r="A4" s="14" t="s">
        <v>551</v>
      </c>
      <c r="B4" s="14" t="s">
        <v>84</v>
      </c>
      <c r="C4" s="14" t="s">
        <v>8</v>
      </c>
      <c r="D4" s="14" t="s">
        <v>9</v>
      </c>
      <c r="E4" s="14" t="s">
        <v>98</v>
      </c>
      <c r="F4" s="14" t="s">
        <v>552</v>
      </c>
      <c r="G4" s="14" t="s">
        <v>102</v>
      </c>
      <c r="H4" s="14" t="s">
        <v>104</v>
      </c>
      <c r="I4" s="14" t="s">
        <v>105</v>
      </c>
    </row>
    <row r="5" customFormat="false" ht="15" hidden="false" customHeight="false" outlineLevel="0" collapsed="false">
      <c r="A5" s="50" t="n">
        <v>46181</v>
      </c>
      <c r="B5" s="51" t="n">
        <f aca="false">IF(A5="","",MONTH(A5))</f>
        <v>6</v>
      </c>
      <c r="C5" s="52" t="s">
        <v>72</v>
      </c>
      <c r="D5" s="52" t="s">
        <v>53</v>
      </c>
      <c r="E5" s="52" t="n">
        <v>1</v>
      </c>
      <c r="F5" s="52" t="s">
        <v>553</v>
      </c>
      <c r="G5" s="55" t="str">
        <f aca="false">IF(C5="","",IFERROR(INDEX('DANH MỤC'!$B$5:$B$200,MATCH(C5,'DANH MỤC'!$A$5:$A$200,0)),"⚠ Mã chưa có trong DANH MỤC"))</f>
        <v>Sơn chống thấm màu ETM 309 (ghi đậm)</v>
      </c>
      <c r="H5" s="52" t="s">
        <v>554</v>
      </c>
      <c r="I5" s="52"/>
    </row>
    <row r="6" customFormat="false" ht="15" hidden="false" customHeight="false" outlineLevel="0" collapsed="false">
      <c r="A6" s="50" t="n">
        <v>46190</v>
      </c>
      <c r="B6" s="51" t="n">
        <f aca="false">IF(A6="","",MONTH(A6))</f>
        <v>6</v>
      </c>
      <c r="C6" s="52" t="s">
        <v>58</v>
      </c>
      <c r="D6" s="52" t="s">
        <v>52</v>
      </c>
      <c r="E6" s="52" t="n">
        <v>2</v>
      </c>
      <c r="F6" s="52" t="s">
        <v>555</v>
      </c>
      <c r="G6" s="55" t="str">
        <f aca="false">IF(C6="","",IFERROR(INDEX('DANH MỤC'!$B$5:$B$200,MATCH(C6,'DANH MỤC'!$A$5:$A$200,0)),"⚠ Mã chưa có trong DANH MỤC"))</f>
        <v>Sơn lót ngoại thất kháng kiềm Silver EL5</v>
      </c>
      <c r="H6" s="52" t="s">
        <v>556</v>
      </c>
      <c r="I6" s="52"/>
    </row>
    <row r="7" customFormat="false" ht="15" hidden="false" customHeight="false" outlineLevel="0" collapsed="false">
      <c r="A7" s="50" t="n">
        <v>46190</v>
      </c>
      <c r="B7" s="51" t="n">
        <f aca="false">IF(A7="","",MONTH(A7))</f>
        <v>6</v>
      </c>
      <c r="C7" s="52" t="s">
        <v>59</v>
      </c>
      <c r="D7" s="52" t="s">
        <v>52</v>
      </c>
      <c r="E7" s="52" t="n">
        <v>2</v>
      </c>
      <c r="F7" s="52" t="s">
        <v>555</v>
      </c>
      <c r="G7" s="55" t="str">
        <f aca="false">IF(C7="","",IFERROR(INDEX('DANH MỤC'!$B$5:$B$200,MATCH(C7,'DANH MỤC'!$A$5:$A$200,0)),"⚠ Mã chưa có trong DANH MỤC"))</f>
        <v>Sơn nội thất siêu trắng Imperia IEW</v>
      </c>
      <c r="H7" s="52" t="s">
        <v>557</v>
      </c>
      <c r="I7" s="52"/>
    </row>
    <row r="8" customFormat="false" ht="15" hidden="false" customHeight="false" outlineLevel="0" collapsed="false">
      <c r="A8" s="50" t="n">
        <v>46190</v>
      </c>
      <c r="B8" s="51" t="n">
        <f aca="false">IF(A8="","",MONTH(A8))</f>
        <v>6</v>
      </c>
      <c r="C8" s="52" t="s">
        <v>68</v>
      </c>
      <c r="D8" s="52" t="s">
        <v>52</v>
      </c>
      <c r="E8" s="52" t="n">
        <v>1</v>
      </c>
      <c r="F8" s="52" t="s">
        <v>555</v>
      </c>
      <c r="G8" s="55" t="str">
        <f aca="false">IF(C8="","",IFERROR(INDEX('DANH MỤC'!$B$5:$B$200,MATCH(C8,'DANH MỤC'!$A$5:$A$200,0)),"⚠ Mã chưa có trong DANH MỤC"))</f>
        <v>Sơn ngoại thất cao cấp bóng mờ Imperia ESG10</v>
      </c>
      <c r="H8" s="52" t="s">
        <v>558</v>
      </c>
      <c r="I8" s="52"/>
    </row>
    <row r="9" customFormat="false" ht="15" hidden="false" customHeight="false" outlineLevel="0" collapsed="false">
      <c r="A9" s="50" t="n">
        <v>46195</v>
      </c>
      <c r="B9" s="51" t="n">
        <f aca="false">IF(A9="","",MONTH(A9))</f>
        <v>6</v>
      </c>
      <c r="C9" s="52" t="s">
        <v>61</v>
      </c>
      <c r="D9" s="52" t="s">
        <v>53</v>
      </c>
      <c r="E9" s="52" t="n">
        <v>2</v>
      </c>
      <c r="F9" s="52" t="s">
        <v>559</v>
      </c>
      <c r="G9" s="55" t="str">
        <f aca="false">IF(C9="","",IFERROR(INDEX('DANH MỤC'!$B$5:$B$200,MATCH(C9,'DANH MỤC'!$A$5:$A$200,0)),"⚠ Mã chưa có trong DANH MỤC"))</f>
        <v>Sơn nội thất cao cấp bóng mờ Imperia ISG06</v>
      </c>
      <c r="H9" s="52" t="s">
        <v>560</v>
      </c>
      <c r="I9" s="52"/>
    </row>
    <row r="10" customFormat="false" ht="15" hidden="false" customHeight="false" outlineLevel="0" collapsed="false">
      <c r="A10" s="50" t="n">
        <v>46195</v>
      </c>
      <c r="B10" s="51" t="n">
        <f aca="false">IF(A10="","",MONTH(A10))</f>
        <v>6</v>
      </c>
      <c r="C10" s="52" t="s">
        <v>51</v>
      </c>
      <c r="D10" s="52" t="s">
        <v>53</v>
      </c>
      <c r="E10" s="52" t="n">
        <v>1</v>
      </c>
      <c r="F10" s="52" t="s">
        <v>561</v>
      </c>
      <c r="G10" s="55" t="str">
        <f aca="false">IF(C10="","",IFERROR(INDEX('DANH MỤC'!$B$5:$B$200,MATCH(C10,'DANH MỤC'!$A$5:$A$200,0)),"⚠ Mã chưa có trong DANH MỤC"))</f>
        <v>Sơn lót nội thất kháng kiềm cao cấp Imperia PI04</v>
      </c>
      <c r="H10" s="52" t="s">
        <v>562</v>
      </c>
      <c r="I10" s="52"/>
    </row>
    <row r="11" customFormat="false" ht="15" hidden="false" customHeight="false" outlineLevel="0" collapsed="false">
      <c r="A11" s="50" t="n">
        <v>46195</v>
      </c>
      <c r="B11" s="51" t="n">
        <f aca="false">IF(A11="","",MONTH(A11))</f>
        <v>6</v>
      </c>
      <c r="C11" s="52" t="s">
        <v>64</v>
      </c>
      <c r="D11" s="52" t="s">
        <v>53</v>
      </c>
      <c r="E11" s="52" t="n">
        <v>1</v>
      </c>
      <c r="F11" s="52" t="s">
        <v>555</v>
      </c>
      <c r="G11" s="55" t="str">
        <f aca="false">IF(C11="","",IFERROR(INDEX('DANH MỤC'!$B$5:$B$200,MATCH(C11,'DANH MỤC'!$A$5:$A$200,0)),"⚠ Mã chưa có trong DANH MỤC"))</f>
        <v>Sơn nội thất kinh tế Deco IDC</v>
      </c>
      <c r="H11" s="52" t="s">
        <v>563</v>
      </c>
      <c r="I11" s="56" t="s">
        <v>564</v>
      </c>
    </row>
    <row r="12" customFormat="false" ht="15" hidden="false" customHeight="false" outlineLevel="0" collapsed="false">
      <c r="A12" s="50" t="n">
        <v>46219</v>
      </c>
      <c r="B12" s="51" t="n">
        <f aca="false">IF(A12="","",MONTH(A12))</f>
        <v>7</v>
      </c>
      <c r="C12" s="52" t="s">
        <v>51</v>
      </c>
      <c r="D12" s="52" t="s">
        <v>53</v>
      </c>
      <c r="E12" s="52" t="n">
        <v>2</v>
      </c>
      <c r="F12" s="52" t="s">
        <v>555</v>
      </c>
      <c r="G12" s="55" t="str">
        <f aca="false">IF(C12="","",IFERROR(INDEX('DANH MỤC'!$B$5:$B$200,MATCH(C12,'DANH MỤC'!$A$5:$A$200,0)),"⚠ Mã chưa có trong DANH MỤC"))</f>
        <v>Sơn lót nội thất kháng kiềm cao cấp Imperia PI04</v>
      </c>
      <c r="H12" s="52" t="s">
        <v>565</v>
      </c>
      <c r="I12" s="52"/>
    </row>
    <row r="13" customFormat="false" ht="15" hidden="false" customHeight="false" outlineLevel="0" collapsed="false">
      <c r="A13" s="50" t="n">
        <v>46219</v>
      </c>
      <c r="B13" s="51" t="n">
        <f aca="false">IF(A13="","",MONTH(A13))</f>
        <v>7</v>
      </c>
      <c r="C13" s="52" t="s">
        <v>69</v>
      </c>
      <c r="D13" s="52" t="s">
        <v>53</v>
      </c>
      <c r="E13" s="52" t="n">
        <v>1</v>
      </c>
      <c r="F13" s="52" t="s">
        <v>566</v>
      </c>
      <c r="G13" s="55" t="str">
        <f aca="false">IF(C13="","",IFERROR(INDEX('DANH MỤC'!$B$5:$B$200,MATCH(C13,'DANH MỤC'!$A$5:$A$200,0)),"⚠ Mã chưa có trong DANH MỤC"))</f>
        <v>Sơn ngoại thất siêu bóng cao cấp Imperia EG09</v>
      </c>
      <c r="H13" s="52" t="s">
        <v>567</v>
      </c>
      <c r="I13" s="56" t="s">
        <v>568</v>
      </c>
    </row>
    <row r="14" customFormat="false" ht="15" hidden="false" customHeight="false" outlineLevel="0" collapsed="false">
      <c r="A14" s="50" t="n">
        <v>46219</v>
      </c>
      <c r="B14" s="51" t="n">
        <f aca="false">IF(A14="","",MONTH(A14))</f>
        <v>7</v>
      </c>
      <c r="C14" s="52" t="s">
        <v>54</v>
      </c>
      <c r="D14" s="52" t="s">
        <v>53</v>
      </c>
      <c r="E14" s="52" t="n">
        <v>1</v>
      </c>
      <c r="F14" s="52" t="s">
        <v>555</v>
      </c>
      <c r="G14" s="55" t="str">
        <f aca="false">IF(C14="","",IFERROR(INDEX('DANH MỤC'!$B$5:$B$200,MATCH(C14,'DANH MỤC'!$A$5:$A$200,0)),"⚠ Mã chưa có trong DANH MỤC"))</f>
        <v>Sơn lót ngoại thất kháng kiềm cao cấp Imperia PE02</v>
      </c>
      <c r="H14" s="52" t="s">
        <v>569</v>
      </c>
      <c r="I14" s="52"/>
    </row>
    <row r="15" customFormat="false" ht="15" hidden="false" customHeight="false" outlineLevel="0" collapsed="false">
      <c r="A15" s="50" t="n">
        <v>46230</v>
      </c>
      <c r="B15" s="51" t="n">
        <f aca="false">IF(A15="","",MONTH(A15))</f>
        <v>7</v>
      </c>
      <c r="C15" s="52" t="s">
        <v>51</v>
      </c>
      <c r="D15" s="52" t="s">
        <v>53</v>
      </c>
      <c r="E15" s="52" t="n">
        <v>2</v>
      </c>
      <c r="F15" s="52" t="s">
        <v>570</v>
      </c>
      <c r="G15" s="55" t="str">
        <f aca="false">IF(C15="","",IFERROR(INDEX('DANH MỤC'!$B$5:$B$200,MATCH(C15,'DANH MỤC'!$A$5:$A$200,0)),"⚠ Mã chưa có trong DANH MỤC"))</f>
        <v>Sơn lót nội thất kháng kiềm cao cấp Imperia PI04</v>
      </c>
      <c r="H15" s="52" t="s">
        <v>571</v>
      </c>
      <c r="I15" s="52"/>
    </row>
    <row r="16" customFormat="false" ht="15" hidden="false" customHeight="false" outlineLevel="0" collapsed="false">
      <c r="A16" s="50" t="n">
        <v>46230</v>
      </c>
      <c r="B16" s="51" t="n">
        <f aca="false">IF(A16="","",MONTH(A16))</f>
        <v>7</v>
      </c>
      <c r="C16" s="52" t="s">
        <v>62</v>
      </c>
      <c r="D16" s="52" t="s">
        <v>53</v>
      </c>
      <c r="E16" s="52" t="n">
        <v>1</v>
      </c>
      <c r="F16" s="52" t="s">
        <v>572</v>
      </c>
      <c r="G16" s="55" t="str">
        <f aca="false">IF(C16="","",IFERROR(INDEX('DANH MỤC'!$B$5:$B$200,MATCH(C16,'DANH MỤC'!$A$5:$A$200,0)),"⚠ Mã chưa có trong DANH MỤC"))</f>
        <v>Sơn nội thất siêu bóng cao cấp Imperia IG05</v>
      </c>
      <c r="H16" s="52" t="s">
        <v>573</v>
      </c>
      <c r="I16" s="52"/>
    </row>
    <row r="17" customFormat="false" ht="15" hidden="false" customHeight="false" outlineLevel="0" collapsed="false">
      <c r="A17" s="50" t="n">
        <v>46230</v>
      </c>
      <c r="B17" s="51" t="n">
        <f aca="false">IF(A17="","",MONTH(A17))</f>
        <v>7</v>
      </c>
      <c r="C17" s="52" t="s">
        <v>71</v>
      </c>
      <c r="D17" s="52" t="s">
        <v>53</v>
      </c>
      <c r="E17" s="52" t="n">
        <v>1</v>
      </c>
      <c r="F17" s="52" t="s">
        <v>555</v>
      </c>
      <c r="G17" s="55" t="str">
        <f aca="false">IF(C17="","",IFERROR(INDEX('DANH MỤC'!$B$5:$B$200,MATCH(C17,'DANH MỤC'!$A$5:$A$200,0)),"⚠ Mã chưa có trong DANH MỤC"))</f>
        <v>Sơn chống thấm đa năng Imperia CT12</v>
      </c>
      <c r="H17" s="52" t="s">
        <v>574</v>
      </c>
      <c r="I17" s="52"/>
    </row>
    <row r="18" customFormat="false" ht="15" hidden="false" customHeight="false" outlineLevel="0" collapsed="false">
      <c r="A18" s="50" t="n">
        <v>46233</v>
      </c>
      <c r="B18" s="51" t="n">
        <f aca="false">IF(A18="","",MONTH(A18))</f>
        <v>7</v>
      </c>
      <c r="C18" s="52" t="s">
        <v>61</v>
      </c>
      <c r="D18" s="52" t="s">
        <v>53</v>
      </c>
      <c r="E18" s="52" t="n">
        <v>1</v>
      </c>
      <c r="F18" s="52" t="s">
        <v>575</v>
      </c>
      <c r="G18" s="55" t="str">
        <f aca="false">IF(C18="","",IFERROR(INDEX('DANH MỤC'!$B$5:$B$200,MATCH(C18,'DANH MỤC'!$A$5:$A$200,0)),"⚠ Mã chưa có trong DANH MỤC"))</f>
        <v>Sơn nội thất cao cấp bóng mờ Imperia ISG06</v>
      </c>
      <c r="H18" s="52" t="s">
        <v>576</v>
      </c>
      <c r="I18" s="52"/>
    </row>
    <row r="19" customFormat="false" ht="15" hidden="false" customHeight="false" outlineLevel="0" collapsed="false">
      <c r="A19" s="50"/>
      <c r="B19" s="51" t="str">
        <f aca="false">IF(A19="","",MONTH(A19))</f>
        <v/>
      </c>
      <c r="C19" s="52"/>
      <c r="D19" s="52"/>
      <c r="E19" s="52"/>
      <c r="F19" s="52"/>
      <c r="G19" s="55" t="str">
        <f aca="false">IF(C19="","",IFERROR(INDEX('DANH MỤC'!$B$5:$B$200,MATCH(C19,'DANH MỤC'!$A$5:$A$200,0)),"⚠ Mã chưa có trong DANH MỤC"))</f>
        <v/>
      </c>
      <c r="H19" s="52"/>
      <c r="I19" s="52"/>
    </row>
    <row r="20" customFormat="false" ht="15" hidden="false" customHeight="false" outlineLevel="0" collapsed="false">
      <c r="A20" s="50"/>
      <c r="B20" s="51" t="str">
        <f aca="false">IF(A20="","",MONTH(A20))</f>
        <v/>
      </c>
      <c r="C20" s="52"/>
      <c r="D20" s="52"/>
      <c r="E20" s="52"/>
      <c r="F20" s="52"/>
      <c r="G20" s="55" t="str">
        <f aca="false">IF(C20="","",IFERROR(INDEX('DANH MỤC'!$B$5:$B$200,MATCH(C20,'DANH MỤC'!$A$5:$A$200,0)),"⚠ Mã chưa có trong DANH MỤC"))</f>
        <v/>
      </c>
      <c r="H20" s="52"/>
      <c r="I20" s="52"/>
    </row>
    <row r="21" customFormat="false" ht="15" hidden="false" customHeight="false" outlineLevel="0" collapsed="false">
      <c r="A21" s="50"/>
      <c r="B21" s="51" t="str">
        <f aca="false">IF(A21="","",MONTH(A21))</f>
        <v/>
      </c>
      <c r="C21" s="52"/>
      <c r="D21" s="52"/>
      <c r="E21" s="52"/>
      <c r="F21" s="52"/>
      <c r="G21" s="55" t="str">
        <f aca="false">IF(C21="","",IFERROR(INDEX('DANH MỤC'!$B$5:$B$200,MATCH(C21,'DANH MỤC'!$A$5:$A$200,0)),"⚠ Mã chưa có trong DANH MỤC"))</f>
        <v/>
      </c>
      <c r="H21" s="52"/>
      <c r="I21" s="52"/>
    </row>
    <row r="22" customFormat="false" ht="15" hidden="false" customHeight="false" outlineLevel="0" collapsed="false">
      <c r="A22" s="50"/>
      <c r="B22" s="51" t="str">
        <f aca="false">IF(A22="","",MONTH(A22))</f>
        <v/>
      </c>
      <c r="C22" s="52"/>
      <c r="D22" s="52"/>
      <c r="E22" s="52"/>
      <c r="F22" s="52"/>
      <c r="G22" s="55" t="str">
        <f aca="false">IF(C22="","",IFERROR(INDEX('DANH MỤC'!$B$5:$B$200,MATCH(C22,'DANH MỤC'!$A$5:$A$200,0)),"⚠ Mã chưa có trong DANH MỤC"))</f>
        <v/>
      </c>
      <c r="H22" s="52"/>
      <c r="I22" s="52"/>
    </row>
    <row r="23" customFormat="false" ht="15" hidden="false" customHeight="false" outlineLevel="0" collapsed="false">
      <c r="A23" s="50"/>
      <c r="B23" s="51" t="str">
        <f aca="false">IF(A23="","",MONTH(A23))</f>
        <v/>
      </c>
      <c r="C23" s="52"/>
      <c r="D23" s="52"/>
      <c r="E23" s="52"/>
      <c r="F23" s="52"/>
      <c r="G23" s="55" t="str">
        <f aca="false">IF(C23="","",IFERROR(INDEX('DANH MỤC'!$B$5:$B$200,MATCH(C23,'DANH MỤC'!$A$5:$A$200,0)),"⚠ Mã chưa có trong DANH MỤC"))</f>
        <v/>
      </c>
      <c r="H23" s="52"/>
      <c r="I23" s="52"/>
    </row>
    <row r="24" customFormat="false" ht="15" hidden="false" customHeight="false" outlineLevel="0" collapsed="false">
      <c r="A24" s="50"/>
      <c r="B24" s="51" t="str">
        <f aca="false">IF(A24="","",MONTH(A24))</f>
        <v/>
      </c>
      <c r="C24" s="52"/>
      <c r="D24" s="52"/>
      <c r="E24" s="52"/>
      <c r="F24" s="52"/>
      <c r="G24" s="55" t="str">
        <f aca="false">IF(C24="","",IFERROR(INDEX('DANH MỤC'!$B$5:$B$200,MATCH(C24,'DANH MỤC'!$A$5:$A$200,0)),"⚠ Mã chưa có trong DANH MỤC"))</f>
        <v/>
      </c>
      <c r="H24" s="52"/>
      <c r="I24" s="52"/>
    </row>
    <row r="25" customFormat="false" ht="15" hidden="false" customHeight="false" outlineLevel="0" collapsed="false">
      <c r="A25" s="50"/>
      <c r="B25" s="51" t="str">
        <f aca="false">IF(A25="","",MONTH(A25))</f>
        <v/>
      </c>
      <c r="C25" s="52"/>
      <c r="D25" s="52"/>
      <c r="E25" s="52"/>
      <c r="F25" s="52"/>
      <c r="G25" s="55" t="str">
        <f aca="false">IF(C25="","",IFERROR(INDEX('DANH MỤC'!$B$5:$B$200,MATCH(C25,'DANH MỤC'!$A$5:$A$200,0)),"⚠ Mã chưa có trong DANH MỤC"))</f>
        <v/>
      </c>
      <c r="H25" s="52"/>
      <c r="I25" s="52"/>
    </row>
    <row r="26" customFormat="false" ht="15" hidden="false" customHeight="false" outlineLevel="0" collapsed="false">
      <c r="A26" s="50"/>
      <c r="B26" s="51" t="str">
        <f aca="false">IF(A26="","",MONTH(A26))</f>
        <v/>
      </c>
      <c r="C26" s="52"/>
      <c r="D26" s="52"/>
      <c r="E26" s="52"/>
      <c r="F26" s="52"/>
      <c r="G26" s="55" t="str">
        <f aca="false">IF(C26="","",IFERROR(INDEX('DANH MỤC'!$B$5:$B$200,MATCH(C26,'DANH MỤC'!$A$5:$A$200,0)),"⚠ Mã chưa có trong DANH MỤC"))</f>
        <v/>
      </c>
      <c r="H26" s="52"/>
      <c r="I26" s="52"/>
    </row>
    <row r="27" customFormat="false" ht="15" hidden="false" customHeight="false" outlineLevel="0" collapsed="false">
      <c r="A27" s="50"/>
      <c r="B27" s="51" t="str">
        <f aca="false">IF(A27="","",MONTH(A27))</f>
        <v/>
      </c>
      <c r="C27" s="52"/>
      <c r="D27" s="52"/>
      <c r="E27" s="52"/>
      <c r="F27" s="52"/>
      <c r="G27" s="55" t="str">
        <f aca="false">IF(C27="","",IFERROR(INDEX('DANH MỤC'!$B$5:$B$200,MATCH(C27,'DANH MỤC'!$A$5:$A$200,0)),"⚠ Mã chưa có trong DANH MỤC"))</f>
        <v/>
      </c>
      <c r="H27" s="52"/>
      <c r="I27" s="52"/>
    </row>
    <row r="28" customFormat="false" ht="15" hidden="false" customHeight="false" outlineLevel="0" collapsed="false">
      <c r="A28" s="50"/>
      <c r="B28" s="51" t="str">
        <f aca="false">IF(A28="","",MONTH(A28))</f>
        <v/>
      </c>
      <c r="C28" s="52"/>
      <c r="D28" s="52"/>
      <c r="E28" s="52"/>
      <c r="F28" s="52"/>
      <c r="G28" s="55" t="str">
        <f aca="false">IF(C28="","",IFERROR(INDEX('DANH MỤC'!$B$5:$B$200,MATCH(C28,'DANH MỤC'!$A$5:$A$200,0)),"⚠ Mã chưa có trong DANH MỤC"))</f>
        <v/>
      </c>
      <c r="H28" s="52"/>
      <c r="I28" s="52"/>
    </row>
    <row r="29" customFormat="false" ht="15" hidden="false" customHeight="false" outlineLevel="0" collapsed="false">
      <c r="A29" s="50"/>
      <c r="B29" s="51" t="str">
        <f aca="false">IF(A29="","",MONTH(A29))</f>
        <v/>
      </c>
      <c r="C29" s="52"/>
      <c r="D29" s="52"/>
      <c r="E29" s="52"/>
      <c r="F29" s="52"/>
      <c r="G29" s="55" t="str">
        <f aca="false">IF(C29="","",IFERROR(INDEX('DANH MỤC'!$B$5:$B$200,MATCH(C29,'DANH MỤC'!$A$5:$A$200,0)),"⚠ Mã chưa có trong DANH MỤC"))</f>
        <v/>
      </c>
      <c r="H29" s="52"/>
      <c r="I29" s="52"/>
    </row>
    <row r="30" customFormat="false" ht="15" hidden="false" customHeight="false" outlineLevel="0" collapsed="false">
      <c r="A30" s="50"/>
      <c r="B30" s="51" t="str">
        <f aca="false">IF(A30="","",MONTH(A30))</f>
        <v/>
      </c>
      <c r="C30" s="52"/>
      <c r="D30" s="52"/>
      <c r="E30" s="52"/>
      <c r="F30" s="52"/>
      <c r="G30" s="55" t="str">
        <f aca="false">IF(C30="","",IFERROR(INDEX('DANH MỤC'!$B$5:$B$200,MATCH(C30,'DANH MỤC'!$A$5:$A$200,0)),"⚠ Mã chưa có trong DANH MỤC"))</f>
        <v/>
      </c>
      <c r="H30" s="52"/>
      <c r="I30" s="52"/>
    </row>
    <row r="31" customFormat="false" ht="15" hidden="false" customHeight="false" outlineLevel="0" collapsed="false">
      <c r="A31" s="50"/>
      <c r="B31" s="51" t="str">
        <f aca="false">IF(A31="","",MONTH(A31))</f>
        <v/>
      </c>
      <c r="C31" s="52"/>
      <c r="D31" s="52"/>
      <c r="E31" s="52"/>
      <c r="F31" s="52"/>
      <c r="G31" s="55" t="str">
        <f aca="false">IF(C31="","",IFERROR(INDEX('DANH MỤC'!$B$5:$B$200,MATCH(C31,'DANH MỤC'!$A$5:$A$200,0)),"⚠ Mã chưa có trong DANH MỤC"))</f>
        <v/>
      </c>
      <c r="H31" s="52"/>
      <c r="I31" s="52"/>
    </row>
    <row r="32" customFormat="false" ht="15" hidden="false" customHeight="false" outlineLevel="0" collapsed="false">
      <c r="A32" s="50"/>
      <c r="B32" s="51" t="str">
        <f aca="false">IF(A32="","",MONTH(A32))</f>
        <v/>
      </c>
      <c r="C32" s="52"/>
      <c r="D32" s="52"/>
      <c r="E32" s="52"/>
      <c r="F32" s="52"/>
      <c r="G32" s="55" t="str">
        <f aca="false">IF(C32="","",IFERROR(INDEX('DANH MỤC'!$B$5:$B$200,MATCH(C32,'DANH MỤC'!$A$5:$A$200,0)),"⚠ Mã chưa có trong DANH MỤC"))</f>
        <v/>
      </c>
      <c r="H32" s="52"/>
      <c r="I32" s="52"/>
    </row>
    <row r="33" customFormat="false" ht="15" hidden="false" customHeight="false" outlineLevel="0" collapsed="false">
      <c r="A33" s="50"/>
      <c r="B33" s="51" t="str">
        <f aca="false">IF(A33="","",MONTH(A33))</f>
        <v/>
      </c>
      <c r="C33" s="52"/>
      <c r="D33" s="52"/>
      <c r="E33" s="52"/>
      <c r="F33" s="52"/>
      <c r="G33" s="55" t="str">
        <f aca="false">IF(C33="","",IFERROR(INDEX('DANH MỤC'!$B$5:$B$200,MATCH(C33,'DANH MỤC'!$A$5:$A$200,0)),"⚠ Mã chưa có trong DANH MỤC"))</f>
        <v/>
      </c>
      <c r="H33" s="52"/>
      <c r="I33" s="52"/>
    </row>
    <row r="34" customFormat="false" ht="15" hidden="false" customHeight="false" outlineLevel="0" collapsed="false">
      <c r="A34" s="50"/>
      <c r="B34" s="51" t="str">
        <f aca="false">IF(A34="","",MONTH(A34))</f>
        <v/>
      </c>
      <c r="C34" s="52"/>
      <c r="D34" s="52"/>
      <c r="E34" s="52"/>
      <c r="F34" s="52"/>
      <c r="G34" s="55" t="str">
        <f aca="false">IF(C34="","",IFERROR(INDEX('DANH MỤC'!$B$5:$B$200,MATCH(C34,'DANH MỤC'!$A$5:$A$200,0)),"⚠ Mã chưa có trong DANH MỤC"))</f>
        <v/>
      </c>
      <c r="H34" s="52"/>
      <c r="I34" s="52"/>
    </row>
    <row r="35" customFormat="false" ht="15" hidden="false" customHeight="false" outlineLevel="0" collapsed="false">
      <c r="A35" s="50"/>
      <c r="B35" s="51" t="str">
        <f aca="false">IF(A35="","",MONTH(A35))</f>
        <v/>
      </c>
      <c r="C35" s="52"/>
      <c r="D35" s="52"/>
      <c r="E35" s="52"/>
      <c r="F35" s="52"/>
      <c r="G35" s="55" t="str">
        <f aca="false">IF(C35="","",IFERROR(INDEX('DANH MỤC'!$B$5:$B$200,MATCH(C35,'DANH MỤC'!$A$5:$A$200,0)),"⚠ Mã chưa có trong DANH MỤC"))</f>
        <v/>
      </c>
      <c r="H35" s="52"/>
      <c r="I35" s="52"/>
    </row>
    <row r="36" customFormat="false" ht="15" hidden="false" customHeight="false" outlineLevel="0" collapsed="false">
      <c r="A36" s="50"/>
      <c r="B36" s="51" t="str">
        <f aca="false">IF(A36="","",MONTH(A36))</f>
        <v/>
      </c>
      <c r="C36" s="52"/>
      <c r="D36" s="52"/>
      <c r="E36" s="52"/>
      <c r="F36" s="52"/>
      <c r="G36" s="55" t="str">
        <f aca="false">IF(C36="","",IFERROR(INDEX('DANH MỤC'!$B$5:$B$200,MATCH(C36,'DANH MỤC'!$A$5:$A$200,0)),"⚠ Mã chưa có trong DANH MỤC"))</f>
        <v/>
      </c>
      <c r="H36" s="52"/>
      <c r="I36" s="52"/>
    </row>
    <row r="37" customFormat="false" ht="15" hidden="false" customHeight="false" outlineLevel="0" collapsed="false">
      <c r="A37" s="50"/>
      <c r="B37" s="51" t="str">
        <f aca="false">IF(A37="","",MONTH(A37))</f>
        <v/>
      </c>
      <c r="C37" s="52"/>
      <c r="D37" s="52"/>
      <c r="E37" s="52"/>
      <c r="F37" s="52"/>
      <c r="G37" s="55" t="str">
        <f aca="false">IF(C37="","",IFERROR(INDEX('DANH MỤC'!$B$5:$B$200,MATCH(C37,'DANH MỤC'!$A$5:$A$200,0)),"⚠ Mã chưa có trong DANH MỤC"))</f>
        <v/>
      </c>
      <c r="H37" s="52"/>
      <c r="I37" s="52"/>
    </row>
    <row r="38" customFormat="false" ht="15" hidden="false" customHeight="false" outlineLevel="0" collapsed="false">
      <c r="A38" s="50"/>
      <c r="B38" s="51" t="str">
        <f aca="false">IF(A38="","",MONTH(A38))</f>
        <v/>
      </c>
      <c r="C38" s="52"/>
      <c r="D38" s="52"/>
      <c r="E38" s="52"/>
      <c r="F38" s="52"/>
      <c r="G38" s="55" t="str">
        <f aca="false">IF(C38="","",IFERROR(INDEX('DANH MỤC'!$B$5:$B$200,MATCH(C38,'DANH MỤC'!$A$5:$A$200,0)),"⚠ Mã chưa có trong DANH MỤC"))</f>
        <v/>
      </c>
      <c r="H38" s="52"/>
      <c r="I38" s="52"/>
    </row>
    <row r="39" customFormat="false" ht="15" hidden="false" customHeight="false" outlineLevel="0" collapsed="false">
      <c r="A39" s="50"/>
      <c r="B39" s="51" t="str">
        <f aca="false">IF(A39="","",MONTH(A39))</f>
        <v/>
      </c>
      <c r="C39" s="52"/>
      <c r="D39" s="52"/>
      <c r="E39" s="52"/>
      <c r="F39" s="52"/>
      <c r="G39" s="55" t="str">
        <f aca="false">IF(C39="","",IFERROR(INDEX('DANH MỤC'!$B$5:$B$200,MATCH(C39,'DANH MỤC'!$A$5:$A$200,0)),"⚠ Mã chưa có trong DANH MỤC"))</f>
        <v/>
      </c>
      <c r="H39" s="52"/>
      <c r="I39" s="52"/>
    </row>
    <row r="40" customFormat="false" ht="15" hidden="false" customHeight="false" outlineLevel="0" collapsed="false">
      <c r="A40" s="50"/>
      <c r="B40" s="51" t="str">
        <f aca="false">IF(A40="","",MONTH(A40))</f>
        <v/>
      </c>
      <c r="C40" s="52"/>
      <c r="D40" s="52"/>
      <c r="E40" s="52"/>
      <c r="F40" s="52"/>
      <c r="G40" s="55" t="str">
        <f aca="false">IF(C40="","",IFERROR(INDEX('DANH MỤC'!$B$5:$B$200,MATCH(C40,'DANH MỤC'!$A$5:$A$200,0)),"⚠ Mã chưa có trong DANH MỤC"))</f>
        <v/>
      </c>
      <c r="H40" s="52"/>
      <c r="I40" s="52"/>
    </row>
    <row r="41" customFormat="false" ht="15" hidden="false" customHeight="false" outlineLevel="0" collapsed="false">
      <c r="A41" s="50"/>
      <c r="B41" s="51" t="str">
        <f aca="false">IF(A41="","",MONTH(A41))</f>
        <v/>
      </c>
      <c r="C41" s="52"/>
      <c r="D41" s="52"/>
      <c r="E41" s="52"/>
      <c r="F41" s="52"/>
      <c r="G41" s="55" t="str">
        <f aca="false">IF(C41="","",IFERROR(INDEX('DANH MỤC'!$B$5:$B$200,MATCH(C41,'DANH MỤC'!$A$5:$A$200,0)),"⚠ Mã chưa có trong DANH MỤC"))</f>
        <v/>
      </c>
      <c r="H41" s="52"/>
      <c r="I41" s="52"/>
    </row>
    <row r="42" customFormat="false" ht="15" hidden="false" customHeight="false" outlineLevel="0" collapsed="false">
      <c r="A42" s="50"/>
      <c r="B42" s="51" t="str">
        <f aca="false">IF(A42="","",MONTH(A42))</f>
        <v/>
      </c>
      <c r="C42" s="52"/>
      <c r="D42" s="52"/>
      <c r="E42" s="52"/>
      <c r="F42" s="52"/>
      <c r="G42" s="55" t="str">
        <f aca="false">IF(C42="","",IFERROR(INDEX('DANH MỤC'!$B$5:$B$200,MATCH(C42,'DANH MỤC'!$A$5:$A$200,0)),"⚠ Mã chưa có trong DANH MỤC"))</f>
        <v/>
      </c>
      <c r="H42" s="52"/>
      <c r="I42" s="52"/>
    </row>
    <row r="43" customFormat="false" ht="15" hidden="false" customHeight="false" outlineLevel="0" collapsed="false">
      <c r="A43" s="50"/>
      <c r="B43" s="51" t="str">
        <f aca="false">IF(A43="","",MONTH(A43))</f>
        <v/>
      </c>
      <c r="C43" s="52"/>
      <c r="D43" s="52"/>
      <c r="E43" s="52"/>
      <c r="F43" s="52"/>
      <c r="G43" s="55" t="str">
        <f aca="false">IF(C43="","",IFERROR(INDEX('DANH MỤC'!$B$5:$B$200,MATCH(C43,'DANH MỤC'!$A$5:$A$200,0)),"⚠ Mã chưa có trong DANH MỤC"))</f>
        <v/>
      </c>
      <c r="H43" s="52"/>
      <c r="I43" s="52"/>
    </row>
    <row r="44" customFormat="false" ht="15" hidden="false" customHeight="false" outlineLevel="0" collapsed="false">
      <c r="A44" s="50"/>
      <c r="B44" s="51" t="str">
        <f aca="false">IF(A44="","",MONTH(A44))</f>
        <v/>
      </c>
      <c r="C44" s="52"/>
      <c r="D44" s="52"/>
      <c r="E44" s="52"/>
      <c r="F44" s="52"/>
      <c r="G44" s="55" t="str">
        <f aca="false">IF(C44="","",IFERROR(INDEX('DANH MỤC'!$B$5:$B$200,MATCH(C44,'DANH MỤC'!$A$5:$A$200,0)),"⚠ Mã chưa có trong DANH MỤC"))</f>
        <v/>
      </c>
      <c r="H44" s="52"/>
      <c r="I44" s="52"/>
    </row>
    <row r="45" customFormat="false" ht="15" hidden="false" customHeight="false" outlineLevel="0" collapsed="false">
      <c r="A45" s="50"/>
      <c r="B45" s="51" t="str">
        <f aca="false">IF(A45="","",MONTH(A45))</f>
        <v/>
      </c>
      <c r="C45" s="52"/>
      <c r="D45" s="52"/>
      <c r="E45" s="52"/>
      <c r="F45" s="52"/>
      <c r="G45" s="55" t="str">
        <f aca="false">IF(C45="","",IFERROR(INDEX('DANH MỤC'!$B$5:$B$200,MATCH(C45,'DANH MỤC'!$A$5:$A$200,0)),"⚠ Mã chưa có trong DANH MỤC"))</f>
        <v/>
      </c>
      <c r="H45" s="52"/>
      <c r="I45" s="52"/>
    </row>
    <row r="46" customFormat="false" ht="15" hidden="false" customHeight="false" outlineLevel="0" collapsed="false">
      <c r="A46" s="50"/>
      <c r="B46" s="51" t="str">
        <f aca="false">IF(A46="","",MONTH(A46))</f>
        <v/>
      </c>
      <c r="C46" s="52"/>
      <c r="D46" s="52"/>
      <c r="E46" s="52"/>
      <c r="F46" s="52"/>
      <c r="G46" s="55" t="str">
        <f aca="false">IF(C46="","",IFERROR(INDEX('DANH MỤC'!$B$5:$B$200,MATCH(C46,'DANH MỤC'!$A$5:$A$200,0)),"⚠ Mã chưa có trong DANH MỤC"))</f>
        <v/>
      </c>
      <c r="H46" s="52"/>
      <c r="I46" s="52"/>
    </row>
    <row r="47" customFormat="false" ht="15" hidden="false" customHeight="false" outlineLevel="0" collapsed="false">
      <c r="A47" s="50"/>
      <c r="B47" s="51" t="str">
        <f aca="false">IF(A47="","",MONTH(A47))</f>
        <v/>
      </c>
      <c r="C47" s="52"/>
      <c r="D47" s="52"/>
      <c r="E47" s="52"/>
      <c r="F47" s="52"/>
      <c r="G47" s="55" t="str">
        <f aca="false">IF(C47="","",IFERROR(INDEX('DANH MỤC'!$B$5:$B$200,MATCH(C47,'DANH MỤC'!$A$5:$A$200,0)),"⚠ Mã chưa có trong DANH MỤC"))</f>
        <v/>
      </c>
      <c r="H47" s="52"/>
      <c r="I47" s="52"/>
    </row>
    <row r="48" customFormat="false" ht="15" hidden="false" customHeight="false" outlineLevel="0" collapsed="false">
      <c r="A48" s="50"/>
      <c r="B48" s="51" t="str">
        <f aca="false">IF(A48="","",MONTH(A48))</f>
        <v/>
      </c>
      <c r="C48" s="52"/>
      <c r="D48" s="52"/>
      <c r="E48" s="52"/>
      <c r="F48" s="52"/>
      <c r="G48" s="55" t="str">
        <f aca="false">IF(C48="","",IFERROR(INDEX('DANH MỤC'!$B$5:$B$200,MATCH(C48,'DANH MỤC'!$A$5:$A$200,0)),"⚠ Mã chưa có trong DANH MỤC"))</f>
        <v/>
      </c>
      <c r="H48" s="52"/>
      <c r="I48" s="52"/>
    </row>
    <row r="49" customFormat="false" ht="15" hidden="false" customHeight="false" outlineLevel="0" collapsed="false">
      <c r="A49" s="50"/>
      <c r="B49" s="51" t="str">
        <f aca="false">IF(A49="","",MONTH(A49))</f>
        <v/>
      </c>
      <c r="C49" s="52"/>
      <c r="D49" s="52"/>
      <c r="E49" s="52"/>
      <c r="F49" s="52"/>
      <c r="G49" s="55" t="str">
        <f aca="false">IF(C49="","",IFERROR(INDEX('DANH MỤC'!$B$5:$B$200,MATCH(C49,'DANH MỤC'!$A$5:$A$200,0)),"⚠ Mã chưa có trong DANH MỤC"))</f>
        <v/>
      </c>
      <c r="H49" s="52"/>
      <c r="I49" s="52"/>
    </row>
    <row r="50" customFormat="false" ht="15" hidden="false" customHeight="false" outlineLevel="0" collapsed="false">
      <c r="A50" s="50"/>
      <c r="B50" s="51" t="str">
        <f aca="false">IF(A50="","",MONTH(A50))</f>
        <v/>
      </c>
      <c r="C50" s="52"/>
      <c r="D50" s="52"/>
      <c r="E50" s="52"/>
      <c r="F50" s="52"/>
      <c r="G50" s="55" t="str">
        <f aca="false">IF(C50="","",IFERROR(INDEX('DANH MỤC'!$B$5:$B$200,MATCH(C50,'DANH MỤC'!$A$5:$A$200,0)),"⚠ Mã chưa có trong DANH MỤC"))</f>
        <v/>
      </c>
      <c r="H50" s="52"/>
      <c r="I50" s="52"/>
    </row>
    <row r="51" customFormat="false" ht="15" hidden="false" customHeight="false" outlineLevel="0" collapsed="false">
      <c r="A51" s="50"/>
      <c r="B51" s="51" t="str">
        <f aca="false">IF(A51="","",MONTH(A51))</f>
        <v/>
      </c>
      <c r="C51" s="52"/>
      <c r="D51" s="52"/>
      <c r="E51" s="52"/>
      <c r="F51" s="52"/>
      <c r="G51" s="55" t="str">
        <f aca="false">IF(C51="","",IFERROR(INDEX('DANH MỤC'!$B$5:$B$200,MATCH(C51,'DANH MỤC'!$A$5:$A$200,0)),"⚠ Mã chưa có trong DANH MỤC"))</f>
        <v/>
      </c>
      <c r="H51" s="52"/>
      <c r="I51" s="52"/>
    </row>
    <row r="52" customFormat="false" ht="15" hidden="false" customHeight="false" outlineLevel="0" collapsed="false">
      <c r="A52" s="50"/>
      <c r="B52" s="51" t="str">
        <f aca="false">IF(A52="","",MONTH(A52))</f>
        <v/>
      </c>
      <c r="C52" s="52"/>
      <c r="D52" s="52"/>
      <c r="E52" s="52"/>
      <c r="F52" s="52"/>
      <c r="G52" s="55" t="str">
        <f aca="false">IF(C52="","",IFERROR(INDEX('DANH MỤC'!$B$5:$B$200,MATCH(C52,'DANH MỤC'!$A$5:$A$200,0)),"⚠ Mã chưa có trong DANH MỤC"))</f>
        <v/>
      </c>
      <c r="H52" s="52"/>
      <c r="I52" s="52"/>
    </row>
    <row r="53" customFormat="false" ht="15" hidden="false" customHeight="false" outlineLevel="0" collapsed="false">
      <c r="A53" s="50"/>
      <c r="B53" s="51" t="str">
        <f aca="false">IF(A53="","",MONTH(A53))</f>
        <v/>
      </c>
      <c r="C53" s="52"/>
      <c r="D53" s="52"/>
      <c r="E53" s="52"/>
      <c r="F53" s="52"/>
      <c r="G53" s="55" t="str">
        <f aca="false">IF(C53="","",IFERROR(INDEX('DANH MỤC'!$B$5:$B$200,MATCH(C53,'DANH MỤC'!$A$5:$A$200,0)),"⚠ Mã chưa có trong DANH MỤC"))</f>
        <v/>
      </c>
      <c r="H53" s="52"/>
      <c r="I53" s="52"/>
    </row>
    <row r="54" customFormat="false" ht="15" hidden="false" customHeight="false" outlineLevel="0" collapsed="false">
      <c r="A54" s="50"/>
      <c r="B54" s="51" t="str">
        <f aca="false">IF(A54="","",MONTH(A54))</f>
        <v/>
      </c>
      <c r="C54" s="52"/>
      <c r="D54" s="52"/>
      <c r="E54" s="52"/>
      <c r="F54" s="52"/>
      <c r="G54" s="55" t="str">
        <f aca="false">IF(C54="","",IFERROR(INDEX('DANH MỤC'!$B$5:$B$200,MATCH(C54,'DANH MỤC'!$A$5:$A$200,0)),"⚠ Mã chưa có trong DANH MỤC"))</f>
        <v/>
      </c>
      <c r="H54" s="52"/>
      <c r="I54" s="52"/>
    </row>
    <row r="55" customFormat="false" ht="15" hidden="false" customHeight="false" outlineLevel="0" collapsed="false">
      <c r="A55" s="50"/>
      <c r="B55" s="51" t="str">
        <f aca="false">IF(A55="","",MONTH(A55))</f>
        <v/>
      </c>
      <c r="C55" s="52"/>
      <c r="D55" s="52"/>
      <c r="E55" s="52"/>
      <c r="F55" s="52"/>
      <c r="G55" s="55" t="str">
        <f aca="false">IF(C55="","",IFERROR(INDEX('DANH MỤC'!$B$5:$B$200,MATCH(C55,'DANH MỤC'!$A$5:$A$200,0)),"⚠ Mã chưa có trong DANH MỤC"))</f>
        <v/>
      </c>
      <c r="H55" s="52"/>
      <c r="I55" s="52"/>
    </row>
    <row r="56" customFormat="false" ht="15" hidden="false" customHeight="false" outlineLevel="0" collapsed="false">
      <c r="A56" s="50"/>
      <c r="B56" s="51" t="str">
        <f aca="false">IF(A56="","",MONTH(A56))</f>
        <v/>
      </c>
      <c r="C56" s="52"/>
      <c r="D56" s="52"/>
      <c r="E56" s="52"/>
      <c r="F56" s="52"/>
      <c r="G56" s="55" t="str">
        <f aca="false">IF(C56="","",IFERROR(INDEX('DANH MỤC'!$B$5:$B$200,MATCH(C56,'DANH MỤC'!$A$5:$A$200,0)),"⚠ Mã chưa có trong DANH MỤC"))</f>
        <v/>
      </c>
      <c r="H56" s="52"/>
      <c r="I56" s="52"/>
    </row>
    <row r="57" customFormat="false" ht="15" hidden="false" customHeight="false" outlineLevel="0" collapsed="false">
      <c r="A57" s="50"/>
      <c r="B57" s="51" t="str">
        <f aca="false">IF(A57="","",MONTH(A57))</f>
        <v/>
      </c>
      <c r="C57" s="52"/>
      <c r="D57" s="52"/>
      <c r="E57" s="52"/>
      <c r="F57" s="52"/>
      <c r="G57" s="55" t="str">
        <f aca="false">IF(C57="","",IFERROR(INDEX('DANH MỤC'!$B$5:$B$200,MATCH(C57,'DANH MỤC'!$A$5:$A$200,0)),"⚠ Mã chưa có trong DANH MỤC"))</f>
        <v/>
      </c>
      <c r="H57" s="52"/>
      <c r="I57" s="52"/>
    </row>
    <row r="58" customFormat="false" ht="15" hidden="false" customHeight="false" outlineLevel="0" collapsed="false">
      <c r="A58" s="50"/>
      <c r="B58" s="51" t="str">
        <f aca="false">IF(A58="","",MONTH(A58))</f>
        <v/>
      </c>
      <c r="C58" s="52"/>
      <c r="D58" s="52"/>
      <c r="E58" s="52"/>
      <c r="F58" s="52"/>
      <c r="G58" s="55" t="str">
        <f aca="false">IF(C58="","",IFERROR(INDEX('DANH MỤC'!$B$5:$B$200,MATCH(C58,'DANH MỤC'!$A$5:$A$200,0)),"⚠ Mã chưa có trong DANH MỤC"))</f>
        <v/>
      </c>
      <c r="H58" s="52"/>
      <c r="I58" s="52"/>
    </row>
    <row r="59" customFormat="false" ht="15" hidden="false" customHeight="false" outlineLevel="0" collapsed="false">
      <c r="A59" s="50"/>
      <c r="B59" s="51" t="str">
        <f aca="false">IF(A59="","",MONTH(A59))</f>
        <v/>
      </c>
      <c r="C59" s="52"/>
      <c r="D59" s="52"/>
      <c r="E59" s="52"/>
      <c r="F59" s="52"/>
      <c r="G59" s="55" t="str">
        <f aca="false">IF(C59="","",IFERROR(INDEX('DANH MỤC'!$B$5:$B$200,MATCH(C59,'DANH MỤC'!$A$5:$A$200,0)),"⚠ Mã chưa có trong DANH MỤC"))</f>
        <v/>
      </c>
      <c r="H59" s="52"/>
      <c r="I59" s="52"/>
    </row>
    <row r="60" customFormat="false" ht="15" hidden="false" customHeight="false" outlineLevel="0" collapsed="false">
      <c r="A60" s="50"/>
      <c r="B60" s="51" t="str">
        <f aca="false">IF(A60="","",MONTH(A60))</f>
        <v/>
      </c>
      <c r="C60" s="52"/>
      <c r="D60" s="52"/>
      <c r="E60" s="52"/>
      <c r="F60" s="52"/>
      <c r="G60" s="55" t="str">
        <f aca="false">IF(C60="","",IFERROR(INDEX('DANH MỤC'!$B$5:$B$200,MATCH(C60,'DANH MỤC'!$A$5:$A$200,0)),"⚠ Mã chưa có trong DANH MỤC"))</f>
        <v/>
      </c>
      <c r="H60" s="52"/>
      <c r="I60" s="52"/>
    </row>
    <row r="61" customFormat="false" ht="15" hidden="false" customHeight="false" outlineLevel="0" collapsed="false">
      <c r="A61" s="50"/>
      <c r="B61" s="51" t="str">
        <f aca="false">IF(A61="","",MONTH(A61))</f>
        <v/>
      </c>
      <c r="C61" s="52"/>
      <c r="D61" s="52"/>
      <c r="E61" s="52"/>
      <c r="F61" s="52"/>
      <c r="G61" s="55" t="str">
        <f aca="false">IF(C61="","",IFERROR(INDEX('DANH MỤC'!$B$5:$B$200,MATCH(C61,'DANH MỤC'!$A$5:$A$200,0)),"⚠ Mã chưa có trong DANH MỤC"))</f>
        <v/>
      </c>
      <c r="H61" s="52"/>
      <c r="I61" s="52"/>
    </row>
    <row r="62" customFormat="false" ht="15" hidden="false" customHeight="false" outlineLevel="0" collapsed="false">
      <c r="A62" s="50"/>
      <c r="B62" s="51" t="str">
        <f aca="false">IF(A62="","",MONTH(A62))</f>
        <v/>
      </c>
      <c r="C62" s="52"/>
      <c r="D62" s="52"/>
      <c r="E62" s="52"/>
      <c r="F62" s="52"/>
      <c r="G62" s="55" t="str">
        <f aca="false">IF(C62="","",IFERROR(INDEX('DANH MỤC'!$B$5:$B$200,MATCH(C62,'DANH MỤC'!$A$5:$A$200,0)),"⚠ Mã chưa có trong DANH MỤC"))</f>
        <v/>
      </c>
      <c r="H62" s="52"/>
      <c r="I62" s="52"/>
    </row>
    <row r="63" customFormat="false" ht="15" hidden="false" customHeight="false" outlineLevel="0" collapsed="false">
      <c r="A63" s="50"/>
      <c r="B63" s="51" t="str">
        <f aca="false">IF(A63="","",MONTH(A63))</f>
        <v/>
      </c>
      <c r="C63" s="52"/>
      <c r="D63" s="52"/>
      <c r="E63" s="52"/>
      <c r="F63" s="52"/>
      <c r="G63" s="55" t="str">
        <f aca="false">IF(C63="","",IFERROR(INDEX('DANH MỤC'!$B$5:$B$200,MATCH(C63,'DANH MỤC'!$A$5:$A$200,0)),"⚠ Mã chưa có trong DANH MỤC"))</f>
        <v/>
      </c>
      <c r="H63" s="52"/>
      <c r="I63" s="52"/>
    </row>
    <row r="64" customFormat="false" ht="15" hidden="false" customHeight="false" outlineLevel="0" collapsed="false">
      <c r="A64" s="50"/>
      <c r="B64" s="51" t="str">
        <f aca="false">IF(A64="","",MONTH(A64))</f>
        <v/>
      </c>
      <c r="C64" s="52"/>
      <c r="D64" s="52"/>
      <c r="E64" s="52"/>
      <c r="F64" s="52"/>
      <c r="G64" s="55" t="str">
        <f aca="false">IF(C64="","",IFERROR(INDEX('DANH MỤC'!$B$5:$B$200,MATCH(C64,'DANH MỤC'!$A$5:$A$200,0)),"⚠ Mã chưa có trong DANH MỤC"))</f>
        <v/>
      </c>
      <c r="H64" s="52"/>
      <c r="I64" s="52"/>
    </row>
    <row r="65" customFormat="false" ht="15" hidden="false" customHeight="false" outlineLevel="0" collapsed="false">
      <c r="A65" s="50"/>
      <c r="B65" s="51" t="str">
        <f aca="false">IF(A65="","",MONTH(A65))</f>
        <v/>
      </c>
      <c r="C65" s="52"/>
      <c r="D65" s="52"/>
      <c r="E65" s="52"/>
      <c r="F65" s="52"/>
      <c r="G65" s="55" t="str">
        <f aca="false">IF(C65="","",IFERROR(INDEX('DANH MỤC'!$B$5:$B$200,MATCH(C65,'DANH MỤC'!$A$5:$A$200,0)),"⚠ Mã chưa có trong DANH MỤC"))</f>
        <v/>
      </c>
      <c r="H65" s="52"/>
      <c r="I65" s="52"/>
    </row>
    <row r="66" customFormat="false" ht="15" hidden="false" customHeight="false" outlineLevel="0" collapsed="false">
      <c r="A66" s="50"/>
      <c r="B66" s="51" t="str">
        <f aca="false">IF(A66="","",MONTH(A66))</f>
        <v/>
      </c>
      <c r="C66" s="52"/>
      <c r="D66" s="52"/>
      <c r="E66" s="52"/>
      <c r="F66" s="52"/>
      <c r="G66" s="55" t="str">
        <f aca="false">IF(C66="","",IFERROR(INDEX('DANH MỤC'!$B$5:$B$200,MATCH(C66,'DANH MỤC'!$A$5:$A$200,0)),"⚠ Mã chưa có trong DANH MỤC"))</f>
        <v/>
      </c>
      <c r="H66" s="52"/>
      <c r="I66" s="52"/>
    </row>
    <row r="67" customFormat="false" ht="15" hidden="false" customHeight="false" outlineLevel="0" collapsed="false">
      <c r="A67" s="50"/>
      <c r="B67" s="51" t="str">
        <f aca="false">IF(A67="","",MONTH(A67))</f>
        <v/>
      </c>
      <c r="C67" s="52"/>
      <c r="D67" s="52"/>
      <c r="E67" s="52"/>
      <c r="F67" s="52"/>
      <c r="G67" s="55" t="str">
        <f aca="false">IF(C67="","",IFERROR(INDEX('DANH MỤC'!$B$5:$B$200,MATCH(C67,'DANH MỤC'!$A$5:$A$200,0)),"⚠ Mã chưa có trong DANH MỤC"))</f>
        <v/>
      </c>
      <c r="H67" s="52"/>
      <c r="I67" s="52"/>
    </row>
    <row r="68" customFormat="false" ht="15" hidden="false" customHeight="false" outlineLevel="0" collapsed="false">
      <c r="A68" s="50"/>
      <c r="B68" s="51" t="str">
        <f aca="false">IF(A68="","",MONTH(A68))</f>
        <v/>
      </c>
      <c r="C68" s="52"/>
      <c r="D68" s="52"/>
      <c r="E68" s="52"/>
      <c r="F68" s="52"/>
      <c r="G68" s="55" t="str">
        <f aca="false">IF(C68="","",IFERROR(INDEX('DANH MỤC'!$B$5:$B$200,MATCH(C68,'DANH MỤC'!$A$5:$A$200,0)),"⚠ Mã chưa có trong DANH MỤC"))</f>
        <v/>
      </c>
      <c r="H68" s="52"/>
      <c r="I68" s="52"/>
    </row>
    <row r="69" customFormat="false" ht="15" hidden="false" customHeight="false" outlineLevel="0" collapsed="false">
      <c r="A69" s="50"/>
      <c r="B69" s="51" t="str">
        <f aca="false">IF(A69="","",MONTH(A69))</f>
        <v/>
      </c>
      <c r="C69" s="52"/>
      <c r="D69" s="52"/>
      <c r="E69" s="52"/>
      <c r="F69" s="52"/>
      <c r="G69" s="55" t="str">
        <f aca="false">IF(C69="","",IFERROR(INDEX('DANH MỤC'!$B$5:$B$200,MATCH(C69,'DANH MỤC'!$A$5:$A$200,0)),"⚠ Mã chưa có trong DANH MỤC"))</f>
        <v/>
      </c>
      <c r="H69" s="52"/>
      <c r="I69" s="52"/>
    </row>
    <row r="70" customFormat="false" ht="15" hidden="false" customHeight="false" outlineLevel="0" collapsed="false">
      <c r="A70" s="50"/>
      <c r="B70" s="51" t="str">
        <f aca="false">IF(A70="","",MONTH(A70))</f>
        <v/>
      </c>
      <c r="C70" s="52"/>
      <c r="D70" s="52"/>
      <c r="E70" s="52"/>
      <c r="F70" s="52"/>
      <c r="G70" s="55" t="str">
        <f aca="false">IF(C70="","",IFERROR(INDEX('DANH MỤC'!$B$5:$B$200,MATCH(C70,'DANH MỤC'!$A$5:$A$200,0)),"⚠ Mã chưa có trong DANH MỤC"))</f>
        <v/>
      </c>
      <c r="H70" s="52"/>
      <c r="I70" s="52"/>
    </row>
    <row r="71" customFormat="false" ht="15" hidden="false" customHeight="false" outlineLevel="0" collapsed="false">
      <c r="A71" s="50"/>
      <c r="B71" s="51" t="str">
        <f aca="false">IF(A71="","",MONTH(A71))</f>
        <v/>
      </c>
      <c r="C71" s="52"/>
      <c r="D71" s="52"/>
      <c r="E71" s="52"/>
      <c r="F71" s="52"/>
      <c r="G71" s="55" t="str">
        <f aca="false">IF(C71="","",IFERROR(INDEX('DANH MỤC'!$B$5:$B$200,MATCH(C71,'DANH MỤC'!$A$5:$A$200,0)),"⚠ Mã chưa có trong DANH MỤC"))</f>
        <v/>
      </c>
      <c r="H71" s="52"/>
      <c r="I71" s="52"/>
    </row>
    <row r="72" customFormat="false" ht="15" hidden="false" customHeight="false" outlineLevel="0" collapsed="false">
      <c r="A72" s="50"/>
      <c r="B72" s="51" t="str">
        <f aca="false">IF(A72="","",MONTH(A72))</f>
        <v/>
      </c>
      <c r="C72" s="52"/>
      <c r="D72" s="52"/>
      <c r="E72" s="52"/>
      <c r="F72" s="52"/>
      <c r="G72" s="55" t="str">
        <f aca="false">IF(C72="","",IFERROR(INDEX('DANH MỤC'!$B$5:$B$200,MATCH(C72,'DANH MỤC'!$A$5:$A$200,0)),"⚠ Mã chưa có trong DANH MỤC"))</f>
        <v/>
      </c>
      <c r="H72" s="52"/>
      <c r="I72" s="52"/>
    </row>
    <row r="73" customFormat="false" ht="15" hidden="false" customHeight="false" outlineLevel="0" collapsed="false">
      <c r="A73" s="50"/>
      <c r="B73" s="51" t="str">
        <f aca="false">IF(A73="","",MONTH(A73))</f>
        <v/>
      </c>
      <c r="C73" s="52"/>
      <c r="D73" s="52"/>
      <c r="E73" s="52"/>
      <c r="F73" s="52"/>
      <c r="G73" s="55" t="str">
        <f aca="false">IF(C73="","",IFERROR(INDEX('DANH MỤC'!$B$5:$B$200,MATCH(C73,'DANH MỤC'!$A$5:$A$200,0)),"⚠ Mã chưa có trong DANH MỤC"))</f>
        <v/>
      </c>
      <c r="H73" s="52"/>
      <c r="I73" s="52"/>
    </row>
    <row r="74" customFormat="false" ht="15" hidden="false" customHeight="false" outlineLevel="0" collapsed="false">
      <c r="A74" s="50"/>
      <c r="B74" s="51" t="str">
        <f aca="false">IF(A74="","",MONTH(A74))</f>
        <v/>
      </c>
      <c r="C74" s="52"/>
      <c r="D74" s="52"/>
      <c r="E74" s="52"/>
      <c r="F74" s="52"/>
      <c r="G74" s="55" t="str">
        <f aca="false">IF(C74="","",IFERROR(INDEX('DANH MỤC'!$B$5:$B$200,MATCH(C74,'DANH MỤC'!$A$5:$A$200,0)),"⚠ Mã chưa có trong DANH MỤC"))</f>
        <v/>
      </c>
      <c r="H74" s="52"/>
      <c r="I74" s="52"/>
    </row>
    <row r="75" customFormat="false" ht="15" hidden="false" customHeight="false" outlineLevel="0" collapsed="false">
      <c r="A75" s="50"/>
      <c r="B75" s="51" t="str">
        <f aca="false">IF(A75="","",MONTH(A75))</f>
        <v/>
      </c>
      <c r="C75" s="52"/>
      <c r="D75" s="52"/>
      <c r="E75" s="52"/>
      <c r="F75" s="52"/>
      <c r="G75" s="55" t="str">
        <f aca="false">IF(C75="","",IFERROR(INDEX('DANH MỤC'!$B$5:$B$200,MATCH(C75,'DANH MỤC'!$A$5:$A$200,0)),"⚠ Mã chưa có trong DANH MỤC"))</f>
        <v/>
      </c>
      <c r="H75" s="52"/>
      <c r="I75" s="52"/>
    </row>
    <row r="76" customFormat="false" ht="15" hidden="false" customHeight="false" outlineLevel="0" collapsed="false">
      <c r="A76" s="50"/>
      <c r="B76" s="51" t="str">
        <f aca="false">IF(A76="","",MONTH(A76))</f>
        <v/>
      </c>
      <c r="C76" s="52"/>
      <c r="D76" s="52"/>
      <c r="E76" s="52"/>
      <c r="F76" s="52"/>
      <c r="G76" s="55" t="str">
        <f aca="false">IF(C76="","",IFERROR(INDEX('DANH MỤC'!$B$5:$B$200,MATCH(C76,'DANH MỤC'!$A$5:$A$200,0)),"⚠ Mã chưa có trong DANH MỤC"))</f>
        <v/>
      </c>
      <c r="H76" s="52"/>
      <c r="I76" s="52"/>
    </row>
    <row r="77" customFormat="false" ht="15" hidden="false" customHeight="false" outlineLevel="0" collapsed="false">
      <c r="A77" s="50"/>
      <c r="B77" s="51" t="str">
        <f aca="false">IF(A77="","",MONTH(A77))</f>
        <v/>
      </c>
      <c r="C77" s="52"/>
      <c r="D77" s="52"/>
      <c r="E77" s="52"/>
      <c r="F77" s="52"/>
      <c r="G77" s="55" t="str">
        <f aca="false">IF(C77="","",IFERROR(INDEX('DANH MỤC'!$B$5:$B$200,MATCH(C77,'DANH MỤC'!$A$5:$A$200,0)),"⚠ Mã chưa có trong DANH MỤC"))</f>
        <v/>
      </c>
      <c r="H77" s="52"/>
      <c r="I77" s="52"/>
    </row>
    <row r="78" customFormat="false" ht="15" hidden="false" customHeight="false" outlineLevel="0" collapsed="false">
      <c r="A78" s="50"/>
      <c r="B78" s="51" t="str">
        <f aca="false">IF(A78="","",MONTH(A78))</f>
        <v/>
      </c>
      <c r="C78" s="52"/>
      <c r="D78" s="52"/>
      <c r="E78" s="52"/>
      <c r="F78" s="52"/>
      <c r="G78" s="55" t="str">
        <f aca="false">IF(C78="","",IFERROR(INDEX('DANH MỤC'!$B$5:$B$200,MATCH(C78,'DANH MỤC'!$A$5:$A$200,0)),"⚠ Mã chưa có trong DANH MỤC"))</f>
        <v/>
      </c>
      <c r="H78" s="52"/>
      <c r="I78" s="52"/>
    </row>
    <row r="79" customFormat="false" ht="15" hidden="false" customHeight="false" outlineLevel="0" collapsed="false">
      <c r="A79" s="50"/>
      <c r="B79" s="51" t="str">
        <f aca="false">IF(A79="","",MONTH(A79))</f>
        <v/>
      </c>
      <c r="C79" s="52"/>
      <c r="D79" s="52"/>
      <c r="E79" s="52"/>
      <c r="F79" s="52"/>
      <c r="G79" s="55" t="str">
        <f aca="false">IF(C79="","",IFERROR(INDEX('DANH MỤC'!$B$5:$B$200,MATCH(C79,'DANH MỤC'!$A$5:$A$200,0)),"⚠ Mã chưa có trong DANH MỤC"))</f>
        <v/>
      </c>
      <c r="H79" s="52"/>
      <c r="I79" s="52"/>
    </row>
    <row r="80" customFormat="false" ht="15" hidden="false" customHeight="false" outlineLevel="0" collapsed="false">
      <c r="A80" s="50"/>
      <c r="B80" s="51" t="str">
        <f aca="false">IF(A80="","",MONTH(A80))</f>
        <v/>
      </c>
      <c r="C80" s="52"/>
      <c r="D80" s="52"/>
      <c r="E80" s="52"/>
      <c r="F80" s="52"/>
      <c r="G80" s="55" t="str">
        <f aca="false">IF(C80="","",IFERROR(INDEX('DANH MỤC'!$B$5:$B$200,MATCH(C80,'DANH MỤC'!$A$5:$A$200,0)),"⚠ Mã chưa có trong DANH MỤC"))</f>
        <v/>
      </c>
      <c r="H80" s="52"/>
      <c r="I80" s="52"/>
    </row>
    <row r="81" customFormat="false" ht="15" hidden="false" customHeight="false" outlineLevel="0" collapsed="false">
      <c r="A81" s="50"/>
      <c r="B81" s="51" t="str">
        <f aca="false">IF(A81="","",MONTH(A81))</f>
        <v/>
      </c>
      <c r="C81" s="52"/>
      <c r="D81" s="52"/>
      <c r="E81" s="52"/>
      <c r="F81" s="52"/>
      <c r="G81" s="55" t="str">
        <f aca="false">IF(C81="","",IFERROR(INDEX('DANH MỤC'!$B$5:$B$200,MATCH(C81,'DANH MỤC'!$A$5:$A$200,0)),"⚠ Mã chưa có trong DANH MỤC"))</f>
        <v/>
      </c>
      <c r="H81" s="52"/>
      <c r="I81" s="52"/>
    </row>
    <row r="82" customFormat="false" ht="15" hidden="false" customHeight="false" outlineLevel="0" collapsed="false">
      <c r="A82" s="50"/>
      <c r="B82" s="51" t="str">
        <f aca="false">IF(A82="","",MONTH(A82))</f>
        <v/>
      </c>
      <c r="C82" s="52"/>
      <c r="D82" s="52"/>
      <c r="E82" s="52"/>
      <c r="F82" s="52"/>
      <c r="G82" s="55" t="str">
        <f aca="false">IF(C82="","",IFERROR(INDEX('DANH MỤC'!$B$5:$B$200,MATCH(C82,'DANH MỤC'!$A$5:$A$200,0)),"⚠ Mã chưa có trong DANH MỤC"))</f>
        <v/>
      </c>
      <c r="H82" s="52"/>
      <c r="I82" s="52"/>
    </row>
    <row r="83" customFormat="false" ht="15" hidden="false" customHeight="false" outlineLevel="0" collapsed="false">
      <c r="A83" s="50"/>
      <c r="B83" s="51" t="str">
        <f aca="false">IF(A83="","",MONTH(A83))</f>
        <v/>
      </c>
      <c r="C83" s="52"/>
      <c r="D83" s="52"/>
      <c r="E83" s="52"/>
      <c r="F83" s="52"/>
      <c r="G83" s="55" t="str">
        <f aca="false">IF(C83="","",IFERROR(INDEX('DANH MỤC'!$B$5:$B$200,MATCH(C83,'DANH MỤC'!$A$5:$A$200,0)),"⚠ Mã chưa có trong DANH MỤC"))</f>
        <v/>
      </c>
      <c r="H83" s="52"/>
      <c r="I83" s="52"/>
    </row>
    <row r="84" customFormat="false" ht="15" hidden="false" customHeight="false" outlineLevel="0" collapsed="false">
      <c r="A84" s="50"/>
      <c r="B84" s="51" t="str">
        <f aca="false">IF(A84="","",MONTH(A84))</f>
        <v/>
      </c>
      <c r="C84" s="52"/>
      <c r="D84" s="52"/>
      <c r="E84" s="52"/>
      <c r="F84" s="52"/>
      <c r="G84" s="55" t="str">
        <f aca="false">IF(C84="","",IFERROR(INDEX('DANH MỤC'!$B$5:$B$200,MATCH(C84,'DANH MỤC'!$A$5:$A$200,0)),"⚠ Mã chưa có trong DANH MỤC"))</f>
        <v/>
      </c>
      <c r="H84" s="52"/>
      <c r="I84" s="52"/>
    </row>
    <row r="85" customFormat="false" ht="15" hidden="false" customHeight="false" outlineLevel="0" collapsed="false">
      <c r="A85" s="50"/>
      <c r="B85" s="51" t="str">
        <f aca="false">IF(A85="","",MONTH(A85))</f>
        <v/>
      </c>
      <c r="C85" s="52"/>
      <c r="D85" s="52"/>
      <c r="E85" s="52"/>
      <c r="F85" s="52"/>
      <c r="G85" s="55" t="str">
        <f aca="false">IF(C85="","",IFERROR(INDEX('DANH MỤC'!$B$5:$B$200,MATCH(C85,'DANH MỤC'!$A$5:$A$200,0)),"⚠ Mã chưa có trong DANH MỤC"))</f>
        <v/>
      </c>
      <c r="H85" s="52"/>
      <c r="I85" s="52"/>
    </row>
    <row r="86" customFormat="false" ht="15" hidden="false" customHeight="false" outlineLevel="0" collapsed="false">
      <c r="A86" s="50"/>
      <c r="B86" s="51" t="str">
        <f aca="false">IF(A86="","",MONTH(A86))</f>
        <v/>
      </c>
      <c r="C86" s="52"/>
      <c r="D86" s="52"/>
      <c r="E86" s="52"/>
      <c r="F86" s="52"/>
      <c r="G86" s="55" t="str">
        <f aca="false">IF(C86="","",IFERROR(INDEX('DANH MỤC'!$B$5:$B$200,MATCH(C86,'DANH MỤC'!$A$5:$A$200,0)),"⚠ Mã chưa có trong DANH MỤC"))</f>
        <v/>
      </c>
      <c r="H86" s="52"/>
      <c r="I86" s="52"/>
    </row>
    <row r="87" customFormat="false" ht="15" hidden="false" customHeight="false" outlineLevel="0" collapsed="false">
      <c r="A87" s="50"/>
      <c r="B87" s="51" t="str">
        <f aca="false">IF(A87="","",MONTH(A87))</f>
        <v/>
      </c>
      <c r="C87" s="52"/>
      <c r="D87" s="52"/>
      <c r="E87" s="52"/>
      <c r="F87" s="52"/>
      <c r="G87" s="55" t="str">
        <f aca="false">IF(C87="","",IFERROR(INDEX('DANH MỤC'!$B$5:$B$200,MATCH(C87,'DANH MỤC'!$A$5:$A$200,0)),"⚠ Mã chưa có trong DANH MỤC"))</f>
        <v/>
      </c>
      <c r="H87" s="52"/>
      <c r="I87" s="52"/>
    </row>
    <row r="88" customFormat="false" ht="15" hidden="false" customHeight="false" outlineLevel="0" collapsed="false">
      <c r="A88" s="50"/>
      <c r="B88" s="51" t="str">
        <f aca="false">IF(A88="","",MONTH(A88))</f>
        <v/>
      </c>
      <c r="C88" s="52"/>
      <c r="D88" s="52"/>
      <c r="E88" s="52"/>
      <c r="F88" s="52"/>
      <c r="G88" s="55" t="str">
        <f aca="false">IF(C88="","",IFERROR(INDEX('DANH MỤC'!$B$5:$B$200,MATCH(C88,'DANH MỤC'!$A$5:$A$200,0)),"⚠ Mã chưa có trong DANH MỤC"))</f>
        <v/>
      </c>
      <c r="H88" s="52"/>
      <c r="I88" s="52"/>
    </row>
    <row r="89" customFormat="false" ht="15" hidden="false" customHeight="false" outlineLevel="0" collapsed="false">
      <c r="A89" s="50"/>
      <c r="B89" s="51" t="str">
        <f aca="false">IF(A89="","",MONTH(A89))</f>
        <v/>
      </c>
      <c r="C89" s="52"/>
      <c r="D89" s="52"/>
      <c r="E89" s="52"/>
      <c r="F89" s="52"/>
      <c r="G89" s="55" t="str">
        <f aca="false">IF(C89="","",IFERROR(INDEX('DANH MỤC'!$B$5:$B$200,MATCH(C89,'DANH MỤC'!$A$5:$A$200,0)),"⚠ Mã chưa có trong DANH MỤC"))</f>
        <v/>
      </c>
      <c r="H89" s="52"/>
      <c r="I89" s="52"/>
    </row>
    <row r="90" customFormat="false" ht="15" hidden="false" customHeight="false" outlineLevel="0" collapsed="false">
      <c r="A90" s="50"/>
      <c r="B90" s="51" t="str">
        <f aca="false">IF(A90="","",MONTH(A90))</f>
        <v/>
      </c>
      <c r="C90" s="52"/>
      <c r="D90" s="52"/>
      <c r="E90" s="52"/>
      <c r="F90" s="52"/>
      <c r="G90" s="55" t="str">
        <f aca="false">IF(C90="","",IFERROR(INDEX('DANH MỤC'!$B$5:$B$200,MATCH(C90,'DANH MỤC'!$A$5:$A$200,0)),"⚠ Mã chưa có trong DANH MỤC"))</f>
        <v/>
      </c>
      <c r="H90" s="52"/>
      <c r="I90" s="52"/>
    </row>
    <row r="91" customFormat="false" ht="15" hidden="false" customHeight="false" outlineLevel="0" collapsed="false">
      <c r="A91" s="50"/>
      <c r="B91" s="51" t="str">
        <f aca="false">IF(A91="","",MONTH(A91))</f>
        <v/>
      </c>
      <c r="C91" s="52"/>
      <c r="D91" s="52"/>
      <c r="E91" s="52"/>
      <c r="F91" s="52"/>
      <c r="G91" s="55" t="str">
        <f aca="false">IF(C91="","",IFERROR(INDEX('DANH MỤC'!$B$5:$B$200,MATCH(C91,'DANH MỤC'!$A$5:$A$200,0)),"⚠ Mã chưa có trong DANH MỤC"))</f>
        <v/>
      </c>
      <c r="H91" s="52"/>
      <c r="I91" s="52"/>
    </row>
    <row r="92" customFormat="false" ht="15" hidden="false" customHeight="false" outlineLevel="0" collapsed="false">
      <c r="A92" s="50"/>
      <c r="B92" s="51" t="str">
        <f aca="false">IF(A92="","",MONTH(A92))</f>
        <v/>
      </c>
      <c r="C92" s="52"/>
      <c r="D92" s="52"/>
      <c r="E92" s="52"/>
      <c r="F92" s="52"/>
      <c r="G92" s="55" t="str">
        <f aca="false">IF(C92="","",IFERROR(INDEX('DANH MỤC'!$B$5:$B$200,MATCH(C92,'DANH MỤC'!$A$5:$A$200,0)),"⚠ Mã chưa có trong DANH MỤC"))</f>
        <v/>
      </c>
      <c r="H92" s="52"/>
      <c r="I92" s="52"/>
    </row>
    <row r="93" customFormat="false" ht="15" hidden="false" customHeight="false" outlineLevel="0" collapsed="false">
      <c r="A93" s="50"/>
      <c r="B93" s="51" t="str">
        <f aca="false">IF(A93="","",MONTH(A93))</f>
        <v/>
      </c>
      <c r="C93" s="52"/>
      <c r="D93" s="52"/>
      <c r="E93" s="52"/>
      <c r="F93" s="52"/>
      <c r="G93" s="55" t="str">
        <f aca="false">IF(C93="","",IFERROR(INDEX('DANH MỤC'!$B$5:$B$200,MATCH(C93,'DANH MỤC'!$A$5:$A$200,0)),"⚠ Mã chưa có trong DANH MỤC"))</f>
        <v/>
      </c>
      <c r="H93" s="52"/>
      <c r="I93" s="52"/>
    </row>
    <row r="94" customFormat="false" ht="15" hidden="false" customHeight="false" outlineLevel="0" collapsed="false">
      <c r="A94" s="50"/>
      <c r="B94" s="51" t="str">
        <f aca="false">IF(A94="","",MONTH(A94))</f>
        <v/>
      </c>
      <c r="C94" s="52"/>
      <c r="D94" s="52"/>
      <c r="E94" s="52"/>
      <c r="F94" s="52"/>
      <c r="G94" s="55" t="str">
        <f aca="false">IF(C94="","",IFERROR(INDEX('DANH MỤC'!$B$5:$B$200,MATCH(C94,'DANH MỤC'!$A$5:$A$200,0)),"⚠ Mã chưa có trong DANH MỤC"))</f>
        <v/>
      </c>
      <c r="H94" s="52"/>
      <c r="I94" s="52"/>
    </row>
    <row r="95" customFormat="false" ht="15" hidden="false" customHeight="false" outlineLevel="0" collapsed="false">
      <c r="A95" s="50"/>
      <c r="B95" s="51" t="str">
        <f aca="false">IF(A95="","",MONTH(A95))</f>
        <v/>
      </c>
      <c r="C95" s="52"/>
      <c r="D95" s="52"/>
      <c r="E95" s="52"/>
      <c r="F95" s="52"/>
      <c r="G95" s="55" t="str">
        <f aca="false">IF(C95="","",IFERROR(INDEX('DANH MỤC'!$B$5:$B$200,MATCH(C95,'DANH MỤC'!$A$5:$A$200,0)),"⚠ Mã chưa có trong DANH MỤC"))</f>
        <v/>
      </c>
      <c r="H95" s="52"/>
      <c r="I95" s="52"/>
    </row>
    <row r="96" customFormat="false" ht="15" hidden="false" customHeight="false" outlineLevel="0" collapsed="false">
      <c r="A96" s="50"/>
      <c r="B96" s="51" t="str">
        <f aca="false">IF(A96="","",MONTH(A96))</f>
        <v/>
      </c>
      <c r="C96" s="52"/>
      <c r="D96" s="52"/>
      <c r="E96" s="52"/>
      <c r="F96" s="52"/>
      <c r="G96" s="55" t="str">
        <f aca="false">IF(C96="","",IFERROR(INDEX('DANH MỤC'!$B$5:$B$200,MATCH(C96,'DANH MỤC'!$A$5:$A$200,0)),"⚠ Mã chưa có trong DANH MỤC"))</f>
        <v/>
      </c>
      <c r="H96" s="52"/>
      <c r="I96" s="52"/>
    </row>
    <row r="97" customFormat="false" ht="15" hidden="false" customHeight="false" outlineLevel="0" collapsed="false">
      <c r="A97" s="50"/>
      <c r="B97" s="51" t="str">
        <f aca="false">IF(A97="","",MONTH(A97))</f>
        <v/>
      </c>
      <c r="C97" s="52"/>
      <c r="D97" s="52"/>
      <c r="E97" s="52"/>
      <c r="F97" s="52"/>
      <c r="G97" s="55" t="str">
        <f aca="false">IF(C97="","",IFERROR(INDEX('DANH MỤC'!$B$5:$B$200,MATCH(C97,'DANH MỤC'!$A$5:$A$200,0)),"⚠ Mã chưa có trong DANH MỤC"))</f>
        <v/>
      </c>
      <c r="H97" s="52"/>
      <c r="I97" s="52"/>
    </row>
    <row r="98" customFormat="false" ht="15" hidden="false" customHeight="false" outlineLevel="0" collapsed="false">
      <c r="A98" s="50"/>
      <c r="B98" s="51" t="str">
        <f aca="false">IF(A98="","",MONTH(A98))</f>
        <v/>
      </c>
      <c r="C98" s="52"/>
      <c r="D98" s="52"/>
      <c r="E98" s="52"/>
      <c r="F98" s="52"/>
      <c r="G98" s="55" t="str">
        <f aca="false">IF(C98="","",IFERROR(INDEX('DANH MỤC'!$B$5:$B$200,MATCH(C98,'DANH MỤC'!$A$5:$A$200,0)),"⚠ Mã chưa có trong DANH MỤC"))</f>
        <v/>
      </c>
      <c r="H98" s="52"/>
      <c r="I98" s="52"/>
    </row>
    <row r="99" customFormat="false" ht="15" hidden="false" customHeight="false" outlineLevel="0" collapsed="false">
      <c r="A99" s="50"/>
      <c r="B99" s="51" t="str">
        <f aca="false">IF(A99="","",MONTH(A99))</f>
        <v/>
      </c>
      <c r="C99" s="52"/>
      <c r="D99" s="52"/>
      <c r="E99" s="52"/>
      <c r="F99" s="52"/>
      <c r="G99" s="55" t="str">
        <f aca="false">IF(C99="","",IFERROR(INDEX('DANH MỤC'!$B$5:$B$200,MATCH(C99,'DANH MỤC'!$A$5:$A$200,0)),"⚠ Mã chưa có trong DANH MỤC"))</f>
        <v/>
      </c>
      <c r="H99" s="52"/>
      <c r="I99" s="52"/>
    </row>
    <row r="100" customFormat="false" ht="15" hidden="false" customHeight="false" outlineLevel="0" collapsed="false">
      <c r="A100" s="50"/>
      <c r="B100" s="51" t="str">
        <f aca="false">IF(A100="","",MONTH(A100))</f>
        <v/>
      </c>
      <c r="C100" s="52"/>
      <c r="D100" s="52"/>
      <c r="E100" s="52"/>
      <c r="F100" s="52"/>
      <c r="G100" s="55" t="str">
        <f aca="false">IF(C100="","",IFERROR(INDEX('DANH MỤC'!$B$5:$B$200,MATCH(C100,'DANH MỤC'!$A$5:$A$200,0)),"⚠ Mã chưa có trong DANH MỤC"))</f>
        <v/>
      </c>
      <c r="H100" s="52"/>
      <c r="I100" s="52"/>
    </row>
    <row r="101" customFormat="false" ht="15" hidden="false" customHeight="false" outlineLevel="0" collapsed="false">
      <c r="A101" s="50"/>
      <c r="B101" s="51" t="str">
        <f aca="false">IF(A101="","",MONTH(A101))</f>
        <v/>
      </c>
      <c r="C101" s="52"/>
      <c r="D101" s="52"/>
      <c r="E101" s="52"/>
      <c r="F101" s="52"/>
      <c r="G101" s="55" t="str">
        <f aca="false">IF(C101="","",IFERROR(INDEX('DANH MỤC'!$B$5:$B$200,MATCH(C101,'DANH MỤC'!$A$5:$A$200,0)),"⚠ Mã chưa có trong DANH MỤC"))</f>
        <v/>
      </c>
      <c r="H101" s="52"/>
      <c r="I101" s="52"/>
    </row>
    <row r="102" customFormat="false" ht="15" hidden="false" customHeight="false" outlineLevel="0" collapsed="false">
      <c r="A102" s="50"/>
      <c r="B102" s="51" t="str">
        <f aca="false">IF(A102="","",MONTH(A102))</f>
        <v/>
      </c>
      <c r="C102" s="52"/>
      <c r="D102" s="52"/>
      <c r="E102" s="52"/>
      <c r="F102" s="52"/>
      <c r="G102" s="55" t="str">
        <f aca="false">IF(C102="","",IFERROR(INDEX('DANH MỤC'!$B$5:$B$200,MATCH(C102,'DANH MỤC'!$A$5:$A$200,0)),"⚠ Mã chưa có trong DANH MỤC"))</f>
        <v/>
      </c>
      <c r="H102" s="52"/>
      <c r="I102" s="52"/>
    </row>
    <row r="103" customFormat="false" ht="15" hidden="false" customHeight="false" outlineLevel="0" collapsed="false">
      <c r="A103" s="50"/>
      <c r="B103" s="51" t="str">
        <f aca="false">IF(A103="","",MONTH(A103))</f>
        <v/>
      </c>
      <c r="C103" s="52"/>
      <c r="D103" s="52"/>
      <c r="E103" s="52"/>
      <c r="F103" s="52"/>
      <c r="G103" s="55" t="str">
        <f aca="false">IF(C103="","",IFERROR(INDEX('DANH MỤC'!$B$5:$B$200,MATCH(C103,'DANH MỤC'!$A$5:$A$200,0)),"⚠ Mã chưa có trong DANH MỤC"))</f>
        <v/>
      </c>
      <c r="H103" s="52"/>
      <c r="I103" s="52"/>
    </row>
    <row r="104" customFormat="false" ht="15" hidden="false" customHeight="false" outlineLevel="0" collapsed="false">
      <c r="A104" s="50"/>
      <c r="B104" s="51" t="str">
        <f aca="false">IF(A104="","",MONTH(A104))</f>
        <v/>
      </c>
      <c r="C104" s="52"/>
      <c r="D104" s="52"/>
      <c r="E104" s="52"/>
      <c r="F104" s="52"/>
      <c r="G104" s="55" t="str">
        <f aca="false">IF(C104="","",IFERROR(INDEX('DANH MỤC'!$B$5:$B$200,MATCH(C104,'DANH MỤC'!$A$5:$A$200,0)),"⚠ Mã chưa có trong DANH MỤC"))</f>
        <v/>
      </c>
      <c r="H104" s="52"/>
      <c r="I104" s="52"/>
    </row>
    <row r="105" customFormat="false" ht="15" hidden="false" customHeight="false" outlineLevel="0" collapsed="false">
      <c r="A105" s="50"/>
      <c r="B105" s="51" t="str">
        <f aca="false">IF(A105="","",MONTH(A105))</f>
        <v/>
      </c>
      <c r="C105" s="52"/>
      <c r="D105" s="52"/>
      <c r="E105" s="52"/>
      <c r="F105" s="52"/>
      <c r="G105" s="55" t="str">
        <f aca="false">IF(C105="","",IFERROR(INDEX('DANH MỤC'!$B$5:$B$200,MATCH(C105,'DANH MỤC'!$A$5:$A$200,0)),"⚠ Mã chưa có trong DANH MỤC"))</f>
        <v/>
      </c>
      <c r="H105" s="52"/>
      <c r="I105" s="52"/>
    </row>
    <row r="106" customFormat="false" ht="15" hidden="false" customHeight="false" outlineLevel="0" collapsed="false">
      <c r="A106" s="50"/>
      <c r="B106" s="51" t="str">
        <f aca="false">IF(A106="","",MONTH(A106))</f>
        <v/>
      </c>
      <c r="C106" s="52"/>
      <c r="D106" s="52"/>
      <c r="E106" s="52"/>
      <c r="F106" s="52"/>
      <c r="G106" s="55" t="str">
        <f aca="false">IF(C106="","",IFERROR(INDEX('DANH MỤC'!$B$5:$B$200,MATCH(C106,'DANH MỤC'!$A$5:$A$200,0)),"⚠ Mã chưa có trong DANH MỤC"))</f>
        <v/>
      </c>
      <c r="H106" s="52"/>
      <c r="I106" s="52"/>
    </row>
    <row r="107" customFormat="false" ht="15" hidden="false" customHeight="false" outlineLevel="0" collapsed="false">
      <c r="A107" s="50"/>
      <c r="B107" s="51" t="str">
        <f aca="false">IF(A107="","",MONTH(A107))</f>
        <v/>
      </c>
      <c r="C107" s="52"/>
      <c r="D107" s="52"/>
      <c r="E107" s="52"/>
      <c r="F107" s="52"/>
      <c r="G107" s="55" t="str">
        <f aca="false">IF(C107="","",IFERROR(INDEX('DANH MỤC'!$B$5:$B$200,MATCH(C107,'DANH MỤC'!$A$5:$A$200,0)),"⚠ Mã chưa có trong DANH MỤC"))</f>
        <v/>
      </c>
      <c r="H107" s="52"/>
      <c r="I107" s="52"/>
    </row>
    <row r="108" customFormat="false" ht="15" hidden="false" customHeight="false" outlineLevel="0" collapsed="false">
      <c r="A108" s="50"/>
      <c r="B108" s="51" t="str">
        <f aca="false">IF(A108="","",MONTH(A108))</f>
        <v/>
      </c>
      <c r="C108" s="52"/>
      <c r="D108" s="52"/>
      <c r="E108" s="52"/>
      <c r="F108" s="52"/>
      <c r="G108" s="55" t="str">
        <f aca="false">IF(C108="","",IFERROR(INDEX('DANH MỤC'!$B$5:$B$200,MATCH(C108,'DANH MỤC'!$A$5:$A$200,0)),"⚠ Mã chưa có trong DANH MỤC"))</f>
        <v/>
      </c>
      <c r="H108" s="52"/>
      <c r="I108" s="52"/>
    </row>
    <row r="109" customFormat="false" ht="15" hidden="false" customHeight="false" outlineLevel="0" collapsed="false">
      <c r="A109" s="50"/>
      <c r="B109" s="51" t="str">
        <f aca="false">IF(A109="","",MONTH(A109))</f>
        <v/>
      </c>
      <c r="C109" s="52"/>
      <c r="D109" s="52"/>
      <c r="E109" s="52"/>
      <c r="F109" s="52"/>
      <c r="G109" s="55" t="str">
        <f aca="false">IF(C109="","",IFERROR(INDEX('DANH MỤC'!$B$5:$B$200,MATCH(C109,'DANH MỤC'!$A$5:$A$200,0)),"⚠ Mã chưa có trong DANH MỤC"))</f>
        <v/>
      </c>
      <c r="H109" s="52"/>
      <c r="I109" s="52"/>
    </row>
    <row r="110" customFormat="false" ht="15" hidden="false" customHeight="false" outlineLevel="0" collapsed="false">
      <c r="A110" s="50"/>
      <c r="B110" s="51" t="str">
        <f aca="false">IF(A110="","",MONTH(A110))</f>
        <v/>
      </c>
      <c r="C110" s="52"/>
      <c r="D110" s="52"/>
      <c r="E110" s="52"/>
      <c r="F110" s="52"/>
      <c r="G110" s="55" t="str">
        <f aca="false">IF(C110="","",IFERROR(INDEX('DANH MỤC'!$B$5:$B$200,MATCH(C110,'DANH MỤC'!$A$5:$A$200,0)),"⚠ Mã chưa có trong DANH MỤC"))</f>
        <v/>
      </c>
      <c r="H110" s="52"/>
      <c r="I110" s="52"/>
    </row>
    <row r="111" customFormat="false" ht="15" hidden="false" customHeight="false" outlineLevel="0" collapsed="false">
      <c r="A111" s="50"/>
      <c r="B111" s="51" t="str">
        <f aca="false">IF(A111="","",MONTH(A111))</f>
        <v/>
      </c>
      <c r="C111" s="52"/>
      <c r="D111" s="52"/>
      <c r="E111" s="52"/>
      <c r="F111" s="52"/>
      <c r="G111" s="55" t="str">
        <f aca="false">IF(C111="","",IFERROR(INDEX('DANH MỤC'!$B$5:$B$200,MATCH(C111,'DANH MỤC'!$A$5:$A$200,0)),"⚠ Mã chưa có trong DANH MỤC"))</f>
        <v/>
      </c>
      <c r="H111" s="52"/>
      <c r="I111" s="52"/>
    </row>
    <row r="112" customFormat="false" ht="15" hidden="false" customHeight="false" outlineLevel="0" collapsed="false">
      <c r="A112" s="50"/>
      <c r="B112" s="51" t="str">
        <f aca="false">IF(A112="","",MONTH(A112))</f>
        <v/>
      </c>
      <c r="C112" s="52"/>
      <c r="D112" s="52"/>
      <c r="E112" s="52"/>
      <c r="F112" s="52"/>
      <c r="G112" s="55" t="str">
        <f aca="false">IF(C112="","",IFERROR(INDEX('DANH MỤC'!$B$5:$B$200,MATCH(C112,'DANH MỤC'!$A$5:$A$200,0)),"⚠ Mã chưa có trong DANH MỤC"))</f>
        <v/>
      </c>
      <c r="H112" s="52"/>
      <c r="I112" s="52"/>
    </row>
    <row r="113" customFormat="false" ht="15" hidden="false" customHeight="false" outlineLevel="0" collapsed="false">
      <c r="A113" s="50"/>
      <c r="B113" s="51" t="str">
        <f aca="false">IF(A113="","",MONTH(A113))</f>
        <v/>
      </c>
      <c r="C113" s="52"/>
      <c r="D113" s="52"/>
      <c r="E113" s="52"/>
      <c r="F113" s="52"/>
      <c r="G113" s="55" t="str">
        <f aca="false">IF(C113="","",IFERROR(INDEX('DANH MỤC'!$B$5:$B$200,MATCH(C113,'DANH MỤC'!$A$5:$A$200,0)),"⚠ Mã chưa có trong DANH MỤC"))</f>
        <v/>
      </c>
      <c r="H113" s="52"/>
      <c r="I113" s="52"/>
    </row>
    <row r="114" customFormat="false" ht="15" hidden="false" customHeight="false" outlineLevel="0" collapsed="false">
      <c r="A114" s="50"/>
      <c r="B114" s="51" t="str">
        <f aca="false">IF(A114="","",MONTH(A114))</f>
        <v/>
      </c>
      <c r="C114" s="52"/>
      <c r="D114" s="52"/>
      <c r="E114" s="52"/>
      <c r="F114" s="52"/>
      <c r="G114" s="55" t="str">
        <f aca="false">IF(C114="","",IFERROR(INDEX('DANH MỤC'!$B$5:$B$200,MATCH(C114,'DANH MỤC'!$A$5:$A$200,0)),"⚠ Mã chưa có trong DANH MỤC"))</f>
        <v/>
      </c>
      <c r="H114" s="52"/>
      <c r="I114" s="52"/>
    </row>
    <row r="115" customFormat="false" ht="15" hidden="false" customHeight="false" outlineLevel="0" collapsed="false">
      <c r="A115" s="50"/>
      <c r="B115" s="51" t="str">
        <f aca="false">IF(A115="","",MONTH(A115))</f>
        <v/>
      </c>
      <c r="C115" s="52"/>
      <c r="D115" s="52"/>
      <c r="E115" s="52"/>
      <c r="F115" s="52"/>
      <c r="G115" s="55" t="str">
        <f aca="false">IF(C115="","",IFERROR(INDEX('DANH MỤC'!$B$5:$B$200,MATCH(C115,'DANH MỤC'!$A$5:$A$200,0)),"⚠ Mã chưa có trong DANH MỤC"))</f>
        <v/>
      </c>
      <c r="H115" s="52"/>
      <c r="I115" s="52"/>
    </row>
    <row r="116" customFormat="false" ht="15" hidden="false" customHeight="false" outlineLevel="0" collapsed="false">
      <c r="A116" s="50"/>
      <c r="B116" s="51" t="str">
        <f aca="false">IF(A116="","",MONTH(A116))</f>
        <v/>
      </c>
      <c r="C116" s="52"/>
      <c r="D116" s="52"/>
      <c r="E116" s="52"/>
      <c r="F116" s="52"/>
      <c r="G116" s="55" t="str">
        <f aca="false">IF(C116="","",IFERROR(INDEX('DANH MỤC'!$B$5:$B$200,MATCH(C116,'DANH MỤC'!$A$5:$A$200,0)),"⚠ Mã chưa có trong DANH MỤC"))</f>
        <v/>
      </c>
      <c r="H116" s="52"/>
      <c r="I116" s="52"/>
    </row>
    <row r="117" customFormat="false" ht="15" hidden="false" customHeight="false" outlineLevel="0" collapsed="false">
      <c r="A117" s="50"/>
      <c r="B117" s="51" t="str">
        <f aca="false">IF(A117="","",MONTH(A117))</f>
        <v/>
      </c>
      <c r="C117" s="52"/>
      <c r="D117" s="52"/>
      <c r="E117" s="52"/>
      <c r="F117" s="52"/>
      <c r="G117" s="55" t="str">
        <f aca="false">IF(C117="","",IFERROR(INDEX('DANH MỤC'!$B$5:$B$200,MATCH(C117,'DANH MỤC'!$A$5:$A$200,0)),"⚠ Mã chưa có trong DANH MỤC"))</f>
        <v/>
      </c>
      <c r="H117" s="52"/>
      <c r="I117" s="52"/>
    </row>
    <row r="118" customFormat="false" ht="15" hidden="false" customHeight="false" outlineLevel="0" collapsed="false">
      <c r="A118" s="50"/>
      <c r="B118" s="51" t="str">
        <f aca="false">IF(A118="","",MONTH(A118))</f>
        <v/>
      </c>
      <c r="C118" s="52"/>
      <c r="D118" s="52"/>
      <c r="E118" s="52"/>
      <c r="F118" s="52"/>
      <c r="G118" s="55" t="str">
        <f aca="false">IF(C118="","",IFERROR(INDEX('DANH MỤC'!$B$5:$B$200,MATCH(C118,'DANH MỤC'!$A$5:$A$200,0)),"⚠ Mã chưa có trong DANH MỤC"))</f>
        <v/>
      </c>
      <c r="H118" s="52"/>
      <c r="I118" s="52"/>
    </row>
    <row r="119" customFormat="false" ht="15" hidden="false" customHeight="false" outlineLevel="0" collapsed="false">
      <c r="A119" s="50"/>
      <c r="B119" s="51" t="str">
        <f aca="false">IF(A119="","",MONTH(A119))</f>
        <v/>
      </c>
      <c r="C119" s="52"/>
      <c r="D119" s="52"/>
      <c r="E119" s="52"/>
      <c r="F119" s="52"/>
      <c r="G119" s="55" t="str">
        <f aca="false">IF(C119="","",IFERROR(INDEX('DANH MỤC'!$B$5:$B$200,MATCH(C119,'DANH MỤC'!$A$5:$A$200,0)),"⚠ Mã chưa có trong DANH MỤC"))</f>
        <v/>
      </c>
      <c r="H119" s="52"/>
      <c r="I119" s="52"/>
    </row>
    <row r="120" customFormat="false" ht="15" hidden="false" customHeight="false" outlineLevel="0" collapsed="false">
      <c r="A120" s="50"/>
      <c r="B120" s="51" t="str">
        <f aca="false">IF(A120="","",MONTH(A120))</f>
        <v/>
      </c>
      <c r="C120" s="52"/>
      <c r="D120" s="52"/>
      <c r="E120" s="52"/>
      <c r="F120" s="52"/>
      <c r="G120" s="55" t="str">
        <f aca="false">IF(C120="","",IFERROR(INDEX('DANH MỤC'!$B$5:$B$200,MATCH(C120,'DANH MỤC'!$A$5:$A$200,0)),"⚠ Mã chưa có trong DANH MỤC"))</f>
        <v/>
      </c>
      <c r="H120" s="52"/>
      <c r="I120" s="52"/>
    </row>
    <row r="121" customFormat="false" ht="15" hidden="false" customHeight="false" outlineLevel="0" collapsed="false">
      <c r="A121" s="50"/>
      <c r="B121" s="51" t="str">
        <f aca="false">IF(A121="","",MONTH(A121))</f>
        <v/>
      </c>
      <c r="C121" s="52"/>
      <c r="D121" s="52"/>
      <c r="E121" s="52"/>
      <c r="F121" s="52"/>
      <c r="G121" s="55" t="str">
        <f aca="false">IF(C121="","",IFERROR(INDEX('DANH MỤC'!$B$5:$B$200,MATCH(C121,'DANH MỤC'!$A$5:$A$200,0)),"⚠ Mã chưa có trong DANH MỤC"))</f>
        <v/>
      </c>
      <c r="H121" s="52"/>
      <c r="I121" s="52"/>
    </row>
    <row r="122" customFormat="false" ht="15" hidden="false" customHeight="false" outlineLevel="0" collapsed="false">
      <c r="A122" s="50"/>
      <c r="B122" s="51" t="str">
        <f aca="false">IF(A122="","",MONTH(A122))</f>
        <v/>
      </c>
      <c r="C122" s="52"/>
      <c r="D122" s="52"/>
      <c r="E122" s="52"/>
      <c r="F122" s="52"/>
      <c r="G122" s="55" t="str">
        <f aca="false">IF(C122="","",IFERROR(INDEX('DANH MỤC'!$B$5:$B$200,MATCH(C122,'DANH MỤC'!$A$5:$A$200,0)),"⚠ Mã chưa có trong DANH MỤC"))</f>
        <v/>
      </c>
      <c r="H122" s="52"/>
      <c r="I122" s="52"/>
    </row>
    <row r="123" customFormat="false" ht="15" hidden="false" customHeight="false" outlineLevel="0" collapsed="false">
      <c r="A123" s="50"/>
      <c r="B123" s="51" t="str">
        <f aca="false">IF(A123="","",MONTH(A123))</f>
        <v/>
      </c>
      <c r="C123" s="52"/>
      <c r="D123" s="52"/>
      <c r="E123" s="52"/>
      <c r="F123" s="52"/>
      <c r="G123" s="55" t="str">
        <f aca="false">IF(C123="","",IFERROR(INDEX('DANH MỤC'!$B$5:$B$200,MATCH(C123,'DANH MỤC'!$A$5:$A$200,0)),"⚠ Mã chưa có trong DANH MỤC"))</f>
        <v/>
      </c>
      <c r="H123" s="52"/>
      <c r="I123" s="52"/>
    </row>
    <row r="124" customFormat="false" ht="15" hidden="false" customHeight="false" outlineLevel="0" collapsed="false">
      <c r="A124" s="50"/>
      <c r="B124" s="51" t="str">
        <f aca="false">IF(A124="","",MONTH(A124))</f>
        <v/>
      </c>
      <c r="C124" s="52"/>
      <c r="D124" s="52"/>
      <c r="E124" s="52"/>
      <c r="F124" s="52"/>
      <c r="G124" s="55" t="str">
        <f aca="false">IF(C124="","",IFERROR(INDEX('DANH MỤC'!$B$5:$B$200,MATCH(C124,'DANH MỤC'!$A$5:$A$200,0)),"⚠ Mã chưa có trong DANH MỤC"))</f>
        <v/>
      </c>
      <c r="H124" s="52"/>
      <c r="I124" s="52"/>
    </row>
    <row r="125" customFormat="false" ht="15" hidden="false" customHeight="false" outlineLevel="0" collapsed="false">
      <c r="A125" s="50"/>
      <c r="B125" s="51" t="str">
        <f aca="false">IF(A125="","",MONTH(A125))</f>
        <v/>
      </c>
      <c r="C125" s="52"/>
      <c r="D125" s="52"/>
      <c r="E125" s="52"/>
      <c r="F125" s="52"/>
      <c r="G125" s="55" t="str">
        <f aca="false">IF(C125="","",IFERROR(INDEX('DANH MỤC'!$B$5:$B$200,MATCH(C125,'DANH MỤC'!$A$5:$A$200,0)),"⚠ Mã chưa có trong DANH MỤC"))</f>
        <v/>
      </c>
      <c r="H125" s="52"/>
      <c r="I125" s="52"/>
    </row>
    <row r="126" customFormat="false" ht="15" hidden="false" customHeight="false" outlineLevel="0" collapsed="false">
      <c r="A126" s="50"/>
      <c r="B126" s="51" t="str">
        <f aca="false">IF(A126="","",MONTH(A126))</f>
        <v/>
      </c>
      <c r="C126" s="52"/>
      <c r="D126" s="52"/>
      <c r="E126" s="52"/>
      <c r="F126" s="52"/>
      <c r="G126" s="55" t="str">
        <f aca="false">IF(C126="","",IFERROR(INDEX('DANH MỤC'!$B$5:$B$200,MATCH(C126,'DANH MỤC'!$A$5:$A$200,0)),"⚠ Mã chưa có trong DANH MỤC"))</f>
        <v/>
      </c>
      <c r="H126" s="52"/>
      <c r="I126" s="52"/>
    </row>
    <row r="127" customFormat="false" ht="15" hidden="false" customHeight="false" outlineLevel="0" collapsed="false">
      <c r="A127" s="50"/>
      <c r="B127" s="51" t="str">
        <f aca="false">IF(A127="","",MONTH(A127))</f>
        <v/>
      </c>
      <c r="C127" s="52"/>
      <c r="D127" s="52"/>
      <c r="E127" s="52"/>
      <c r="F127" s="52"/>
      <c r="G127" s="55" t="str">
        <f aca="false">IF(C127="","",IFERROR(INDEX('DANH MỤC'!$B$5:$B$200,MATCH(C127,'DANH MỤC'!$A$5:$A$200,0)),"⚠ Mã chưa có trong DANH MỤC"))</f>
        <v/>
      </c>
      <c r="H127" s="52"/>
      <c r="I127" s="52"/>
    </row>
    <row r="128" customFormat="false" ht="15" hidden="false" customHeight="false" outlineLevel="0" collapsed="false">
      <c r="A128" s="50"/>
      <c r="B128" s="51" t="str">
        <f aca="false">IF(A128="","",MONTH(A128))</f>
        <v/>
      </c>
      <c r="C128" s="52"/>
      <c r="D128" s="52"/>
      <c r="E128" s="52"/>
      <c r="F128" s="52"/>
      <c r="G128" s="55" t="str">
        <f aca="false">IF(C128="","",IFERROR(INDEX('DANH MỤC'!$B$5:$B$200,MATCH(C128,'DANH MỤC'!$A$5:$A$200,0)),"⚠ Mã chưa có trong DANH MỤC"))</f>
        <v/>
      </c>
      <c r="H128" s="52"/>
      <c r="I128" s="52"/>
    </row>
    <row r="129" customFormat="false" ht="15" hidden="false" customHeight="false" outlineLevel="0" collapsed="false">
      <c r="A129" s="50"/>
      <c r="B129" s="51" t="str">
        <f aca="false">IF(A129="","",MONTH(A129))</f>
        <v/>
      </c>
      <c r="C129" s="52"/>
      <c r="D129" s="52"/>
      <c r="E129" s="52"/>
      <c r="F129" s="52"/>
      <c r="G129" s="55" t="str">
        <f aca="false">IF(C129="","",IFERROR(INDEX('DANH MỤC'!$B$5:$B$200,MATCH(C129,'DANH MỤC'!$A$5:$A$200,0)),"⚠ Mã chưa có trong DANH MỤC"))</f>
        <v/>
      </c>
      <c r="H129" s="52"/>
      <c r="I129" s="52"/>
    </row>
    <row r="130" customFormat="false" ht="15" hidden="false" customHeight="false" outlineLevel="0" collapsed="false">
      <c r="A130" s="50"/>
      <c r="B130" s="51" t="str">
        <f aca="false">IF(A130="","",MONTH(A130))</f>
        <v/>
      </c>
      <c r="C130" s="52"/>
      <c r="D130" s="52"/>
      <c r="E130" s="52"/>
      <c r="F130" s="52"/>
      <c r="G130" s="55" t="str">
        <f aca="false">IF(C130="","",IFERROR(INDEX('DANH MỤC'!$B$5:$B$200,MATCH(C130,'DANH MỤC'!$A$5:$A$200,0)),"⚠ Mã chưa có trong DANH MỤC"))</f>
        <v/>
      </c>
      <c r="H130" s="52"/>
      <c r="I130" s="52"/>
    </row>
    <row r="131" customFormat="false" ht="15" hidden="false" customHeight="false" outlineLevel="0" collapsed="false">
      <c r="A131" s="50"/>
      <c r="B131" s="51" t="str">
        <f aca="false">IF(A131="","",MONTH(A131))</f>
        <v/>
      </c>
      <c r="C131" s="52"/>
      <c r="D131" s="52"/>
      <c r="E131" s="52"/>
      <c r="F131" s="52"/>
      <c r="G131" s="55" t="str">
        <f aca="false">IF(C131="","",IFERROR(INDEX('DANH MỤC'!$B$5:$B$200,MATCH(C131,'DANH MỤC'!$A$5:$A$200,0)),"⚠ Mã chưa có trong DANH MỤC"))</f>
        <v/>
      </c>
      <c r="H131" s="52"/>
      <c r="I131" s="52"/>
    </row>
    <row r="132" customFormat="false" ht="15" hidden="false" customHeight="false" outlineLevel="0" collapsed="false">
      <c r="A132" s="50"/>
      <c r="B132" s="51" t="str">
        <f aca="false">IF(A132="","",MONTH(A132))</f>
        <v/>
      </c>
      <c r="C132" s="52"/>
      <c r="D132" s="52"/>
      <c r="E132" s="52"/>
      <c r="F132" s="52"/>
      <c r="G132" s="55" t="str">
        <f aca="false">IF(C132="","",IFERROR(INDEX('DANH MỤC'!$B$5:$B$200,MATCH(C132,'DANH MỤC'!$A$5:$A$200,0)),"⚠ Mã chưa có trong DANH MỤC"))</f>
        <v/>
      </c>
      <c r="H132" s="52"/>
      <c r="I132" s="52"/>
    </row>
    <row r="133" customFormat="false" ht="15" hidden="false" customHeight="false" outlineLevel="0" collapsed="false">
      <c r="A133" s="50"/>
      <c r="B133" s="51" t="str">
        <f aca="false">IF(A133="","",MONTH(A133))</f>
        <v/>
      </c>
      <c r="C133" s="52"/>
      <c r="D133" s="52"/>
      <c r="E133" s="52"/>
      <c r="F133" s="52"/>
      <c r="G133" s="55" t="str">
        <f aca="false">IF(C133="","",IFERROR(INDEX('DANH MỤC'!$B$5:$B$200,MATCH(C133,'DANH MỤC'!$A$5:$A$200,0)),"⚠ Mã chưa có trong DANH MỤC"))</f>
        <v/>
      </c>
      <c r="H133" s="52"/>
      <c r="I133" s="52"/>
    </row>
    <row r="134" customFormat="false" ht="15" hidden="false" customHeight="false" outlineLevel="0" collapsed="false">
      <c r="A134" s="50"/>
      <c r="B134" s="51" t="str">
        <f aca="false">IF(A134="","",MONTH(A134))</f>
        <v/>
      </c>
      <c r="C134" s="52"/>
      <c r="D134" s="52"/>
      <c r="E134" s="52"/>
      <c r="F134" s="52"/>
      <c r="G134" s="55" t="str">
        <f aca="false">IF(C134="","",IFERROR(INDEX('DANH MỤC'!$B$5:$B$200,MATCH(C134,'DANH MỤC'!$A$5:$A$200,0)),"⚠ Mã chưa có trong DANH MỤC"))</f>
        <v/>
      </c>
      <c r="H134" s="52"/>
      <c r="I134" s="52"/>
    </row>
    <row r="135" customFormat="false" ht="15" hidden="false" customHeight="false" outlineLevel="0" collapsed="false">
      <c r="A135" s="50"/>
      <c r="B135" s="51" t="str">
        <f aca="false">IF(A135="","",MONTH(A135))</f>
        <v/>
      </c>
      <c r="C135" s="52"/>
      <c r="D135" s="52"/>
      <c r="E135" s="52"/>
      <c r="F135" s="52"/>
      <c r="G135" s="55" t="str">
        <f aca="false">IF(C135="","",IFERROR(INDEX('DANH MỤC'!$B$5:$B$200,MATCH(C135,'DANH MỤC'!$A$5:$A$200,0)),"⚠ Mã chưa có trong DANH MỤC"))</f>
        <v/>
      </c>
      <c r="H135" s="52"/>
      <c r="I135" s="52"/>
    </row>
    <row r="136" customFormat="false" ht="15" hidden="false" customHeight="false" outlineLevel="0" collapsed="false">
      <c r="A136" s="50"/>
      <c r="B136" s="51" t="str">
        <f aca="false">IF(A136="","",MONTH(A136))</f>
        <v/>
      </c>
      <c r="C136" s="52"/>
      <c r="D136" s="52"/>
      <c r="E136" s="52"/>
      <c r="F136" s="52"/>
      <c r="G136" s="55" t="str">
        <f aca="false">IF(C136="","",IFERROR(INDEX('DANH MỤC'!$B$5:$B$200,MATCH(C136,'DANH MỤC'!$A$5:$A$200,0)),"⚠ Mã chưa có trong DANH MỤC"))</f>
        <v/>
      </c>
      <c r="H136" s="52"/>
      <c r="I136" s="52"/>
    </row>
    <row r="137" customFormat="false" ht="15" hidden="false" customHeight="false" outlineLevel="0" collapsed="false">
      <c r="A137" s="50"/>
      <c r="B137" s="51" t="str">
        <f aca="false">IF(A137="","",MONTH(A137))</f>
        <v/>
      </c>
      <c r="C137" s="52"/>
      <c r="D137" s="52"/>
      <c r="E137" s="52"/>
      <c r="F137" s="52"/>
      <c r="G137" s="55" t="str">
        <f aca="false">IF(C137="","",IFERROR(INDEX('DANH MỤC'!$B$5:$B$200,MATCH(C137,'DANH MỤC'!$A$5:$A$200,0)),"⚠ Mã chưa có trong DANH MỤC"))</f>
        <v/>
      </c>
      <c r="H137" s="52"/>
      <c r="I137" s="52"/>
    </row>
    <row r="138" customFormat="false" ht="15" hidden="false" customHeight="false" outlineLevel="0" collapsed="false">
      <c r="A138" s="50"/>
      <c r="B138" s="51" t="str">
        <f aca="false">IF(A138="","",MONTH(A138))</f>
        <v/>
      </c>
      <c r="C138" s="52"/>
      <c r="D138" s="52"/>
      <c r="E138" s="52"/>
      <c r="F138" s="52"/>
      <c r="G138" s="55" t="str">
        <f aca="false">IF(C138="","",IFERROR(INDEX('DANH MỤC'!$B$5:$B$200,MATCH(C138,'DANH MỤC'!$A$5:$A$200,0)),"⚠ Mã chưa có trong DANH MỤC"))</f>
        <v/>
      </c>
      <c r="H138" s="52"/>
      <c r="I138" s="52"/>
    </row>
    <row r="139" customFormat="false" ht="15" hidden="false" customHeight="false" outlineLevel="0" collapsed="false">
      <c r="A139" s="50"/>
      <c r="B139" s="51" t="str">
        <f aca="false">IF(A139="","",MONTH(A139))</f>
        <v/>
      </c>
      <c r="C139" s="52"/>
      <c r="D139" s="52"/>
      <c r="E139" s="52"/>
      <c r="F139" s="52"/>
      <c r="G139" s="55" t="str">
        <f aca="false">IF(C139="","",IFERROR(INDEX('DANH MỤC'!$B$5:$B$200,MATCH(C139,'DANH MỤC'!$A$5:$A$200,0)),"⚠ Mã chưa có trong DANH MỤC"))</f>
        <v/>
      </c>
      <c r="H139" s="52"/>
      <c r="I139" s="52"/>
    </row>
    <row r="140" customFormat="false" ht="15" hidden="false" customHeight="false" outlineLevel="0" collapsed="false">
      <c r="A140" s="50"/>
      <c r="B140" s="51" t="str">
        <f aca="false">IF(A140="","",MONTH(A140))</f>
        <v/>
      </c>
      <c r="C140" s="52"/>
      <c r="D140" s="52"/>
      <c r="E140" s="52"/>
      <c r="F140" s="52"/>
      <c r="G140" s="55" t="str">
        <f aca="false">IF(C140="","",IFERROR(INDEX('DANH MỤC'!$B$5:$B$200,MATCH(C140,'DANH MỤC'!$A$5:$A$200,0)),"⚠ Mã chưa có trong DANH MỤC"))</f>
        <v/>
      </c>
      <c r="H140" s="52"/>
      <c r="I140" s="52"/>
    </row>
    <row r="141" customFormat="false" ht="15" hidden="false" customHeight="false" outlineLevel="0" collapsed="false">
      <c r="A141" s="50"/>
      <c r="B141" s="51" t="str">
        <f aca="false">IF(A141="","",MONTH(A141))</f>
        <v/>
      </c>
      <c r="C141" s="52"/>
      <c r="D141" s="52"/>
      <c r="E141" s="52"/>
      <c r="F141" s="52"/>
      <c r="G141" s="55" t="str">
        <f aca="false">IF(C141="","",IFERROR(INDEX('DANH MỤC'!$B$5:$B$200,MATCH(C141,'DANH MỤC'!$A$5:$A$200,0)),"⚠ Mã chưa có trong DANH MỤC"))</f>
        <v/>
      </c>
      <c r="H141" s="52"/>
      <c r="I141" s="52"/>
    </row>
    <row r="142" customFormat="false" ht="15" hidden="false" customHeight="false" outlineLevel="0" collapsed="false">
      <c r="A142" s="50"/>
      <c r="B142" s="51" t="str">
        <f aca="false">IF(A142="","",MONTH(A142))</f>
        <v/>
      </c>
      <c r="C142" s="52"/>
      <c r="D142" s="52"/>
      <c r="E142" s="52"/>
      <c r="F142" s="52"/>
      <c r="G142" s="55" t="str">
        <f aca="false">IF(C142="","",IFERROR(INDEX('DANH MỤC'!$B$5:$B$200,MATCH(C142,'DANH MỤC'!$A$5:$A$200,0)),"⚠ Mã chưa có trong DANH MỤC"))</f>
        <v/>
      </c>
      <c r="H142" s="52"/>
      <c r="I142" s="52"/>
    </row>
    <row r="143" customFormat="false" ht="15" hidden="false" customHeight="false" outlineLevel="0" collapsed="false">
      <c r="A143" s="50"/>
      <c r="B143" s="51" t="str">
        <f aca="false">IF(A143="","",MONTH(A143))</f>
        <v/>
      </c>
      <c r="C143" s="52"/>
      <c r="D143" s="52"/>
      <c r="E143" s="52"/>
      <c r="F143" s="52"/>
      <c r="G143" s="55" t="str">
        <f aca="false">IF(C143="","",IFERROR(INDEX('DANH MỤC'!$B$5:$B$200,MATCH(C143,'DANH MỤC'!$A$5:$A$200,0)),"⚠ Mã chưa có trong DANH MỤC"))</f>
        <v/>
      </c>
      <c r="H143" s="52"/>
      <c r="I143" s="52"/>
    </row>
    <row r="144" customFormat="false" ht="15" hidden="false" customHeight="false" outlineLevel="0" collapsed="false">
      <c r="A144" s="50"/>
      <c r="B144" s="51" t="str">
        <f aca="false">IF(A144="","",MONTH(A144))</f>
        <v/>
      </c>
      <c r="C144" s="52"/>
      <c r="D144" s="52"/>
      <c r="E144" s="52"/>
      <c r="F144" s="52"/>
      <c r="G144" s="55" t="str">
        <f aca="false">IF(C144="","",IFERROR(INDEX('DANH MỤC'!$B$5:$B$200,MATCH(C144,'DANH MỤC'!$A$5:$A$200,0)),"⚠ Mã chưa có trong DANH MỤC"))</f>
        <v/>
      </c>
      <c r="H144" s="52"/>
      <c r="I144" s="52"/>
    </row>
    <row r="145" customFormat="false" ht="15" hidden="false" customHeight="false" outlineLevel="0" collapsed="false">
      <c r="A145" s="50"/>
      <c r="B145" s="51" t="str">
        <f aca="false">IF(A145="","",MONTH(A145))</f>
        <v/>
      </c>
      <c r="C145" s="52"/>
      <c r="D145" s="52"/>
      <c r="E145" s="52"/>
      <c r="F145" s="52"/>
      <c r="G145" s="55" t="str">
        <f aca="false">IF(C145="","",IFERROR(INDEX('DANH MỤC'!$B$5:$B$200,MATCH(C145,'DANH MỤC'!$A$5:$A$200,0)),"⚠ Mã chưa có trong DANH MỤC"))</f>
        <v/>
      </c>
      <c r="H145" s="52"/>
      <c r="I145" s="52"/>
    </row>
    <row r="146" customFormat="false" ht="15" hidden="false" customHeight="false" outlineLevel="0" collapsed="false">
      <c r="A146" s="50"/>
      <c r="B146" s="51" t="str">
        <f aca="false">IF(A146="","",MONTH(A146))</f>
        <v/>
      </c>
      <c r="C146" s="52"/>
      <c r="D146" s="52"/>
      <c r="E146" s="52"/>
      <c r="F146" s="52"/>
      <c r="G146" s="55" t="str">
        <f aca="false">IF(C146="","",IFERROR(INDEX('DANH MỤC'!$B$5:$B$200,MATCH(C146,'DANH MỤC'!$A$5:$A$200,0)),"⚠ Mã chưa có trong DANH MỤC"))</f>
        <v/>
      </c>
      <c r="H146" s="52"/>
      <c r="I146" s="52"/>
    </row>
    <row r="147" customFormat="false" ht="15" hidden="false" customHeight="false" outlineLevel="0" collapsed="false">
      <c r="A147" s="50"/>
      <c r="B147" s="51" t="str">
        <f aca="false">IF(A147="","",MONTH(A147))</f>
        <v/>
      </c>
      <c r="C147" s="52"/>
      <c r="D147" s="52"/>
      <c r="E147" s="52"/>
      <c r="F147" s="52"/>
      <c r="G147" s="55" t="str">
        <f aca="false">IF(C147="","",IFERROR(INDEX('DANH MỤC'!$B$5:$B$200,MATCH(C147,'DANH MỤC'!$A$5:$A$200,0)),"⚠ Mã chưa có trong DANH MỤC"))</f>
        <v/>
      </c>
      <c r="H147" s="52"/>
      <c r="I147" s="52"/>
    </row>
    <row r="148" customFormat="false" ht="15" hidden="false" customHeight="false" outlineLevel="0" collapsed="false">
      <c r="A148" s="50"/>
      <c r="B148" s="51" t="str">
        <f aca="false">IF(A148="","",MONTH(A148))</f>
        <v/>
      </c>
      <c r="C148" s="52"/>
      <c r="D148" s="52"/>
      <c r="E148" s="52"/>
      <c r="F148" s="52"/>
      <c r="G148" s="55" t="str">
        <f aca="false">IF(C148="","",IFERROR(INDEX('DANH MỤC'!$B$5:$B$200,MATCH(C148,'DANH MỤC'!$A$5:$A$200,0)),"⚠ Mã chưa có trong DANH MỤC"))</f>
        <v/>
      </c>
      <c r="H148" s="52"/>
      <c r="I148" s="52"/>
    </row>
    <row r="149" customFormat="false" ht="15" hidden="false" customHeight="false" outlineLevel="0" collapsed="false">
      <c r="A149" s="50"/>
      <c r="B149" s="51" t="str">
        <f aca="false">IF(A149="","",MONTH(A149))</f>
        <v/>
      </c>
      <c r="C149" s="52"/>
      <c r="D149" s="52"/>
      <c r="E149" s="52"/>
      <c r="F149" s="52"/>
      <c r="G149" s="55" t="str">
        <f aca="false">IF(C149="","",IFERROR(INDEX('DANH MỤC'!$B$5:$B$200,MATCH(C149,'DANH MỤC'!$A$5:$A$200,0)),"⚠ Mã chưa có trong DANH MỤC"))</f>
        <v/>
      </c>
      <c r="H149" s="52"/>
      <c r="I149" s="52"/>
    </row>
    <row r="150" customFormat="false" ht="15" hidden="false" customHeight="false" outlineLevel="0" collapsed="false">
      <c r="A150" s="50"/>
      <c r="B150" s="51" t="str">
        <f aca="false">IF(A150="","",MONTH(A150))</f>
        <v/>
      </c>
      <c r="C150" s="52"/>
      <c r="D150" s="52"/>
      <c r="E150" s="52"/>
      <c r="F150" s="52"/>
      <c r="G150" s="55" t="str">
        <f aca="false">IF(C150="","",IFERROR(INDEX('DANH MỤC'!$B$5:$B$200,MATCH(C150,'DANH MỤC'!$A$5:$A$200,0)),"⚠ Mã chưa có trong DANH MỤC"))</f>
        <v/>
      </c>
      <c r="H150" s="52"/>
      <c r="I150" s="52"/>
    </row>
    <row r="151" customFormat="false" ht="15" hidden="false" customHeight="false" outlineLevel="0" collapsed="false">
      <c r="A151" s="50"/>
      <c r="B151" s="51" t="str">
        <f aca="false">IF(A151="","",MONTH(A151))</f>
        <v/>
      </c>
      <c r="C151" s="52"/>
      <c r="D151" s="52"/>
      <c r="E151" s="52"/>
      <c r="F151" s="52"/>
      <c r="G151" s="55" t="str">
        <f aca="false">IF(C151="","",IFERROR(INDEX('DANH MỤC'!$B$5:$B$200,MATCH(C151,'DANH MỤC'!$A$5:$A$200,0)),"⚠ Mã chưa có trong DANH MỤC"))</f>
        <v/>
      </c>
      <c r="H151" s="52"/>
      <c r="I151" s="52"/>
    </row>
    <row r="152" customFormat="false" ht="15" hidden="false" customHeight="false" outlineLevel="0" collapsed="false">
      <c r="A152" s="50"/>
      <c r="B152" s="51" t="str">
        <f aca="false">IF(A152="","",MONTH(A152))</f>
        <v/>
      </c>
      <c r="C152" s="52"/>
      <c r="D152" s="52"/>
      <c r="E152" s="52"/>
      <c r="F152" s="52"/>
      <c r="G152" s="55" t="str">
        <f aca="false">IF(C152="","",IFERROR(INDEX('DANH MỤC'!$B$5:$B$200,MATCH(C152,'DANH MỤC'!$A$5:$A$200,0)),"⚠ Mã chưa có trong DANH MỤC"))</f>
        <v/>
      </c>
      <c r="H152" s="52"/>
      <c r="I152" s="52"/>
    </row>
    <row r="153" customFormat="false" ht="15" hidden="false" customHeight="false" outlineLevel="0" collapsed="false">
      <c r="A153" s="50"/>
      <c r="B153" s="51" t="str">
        <f aca="false">IF(A153="","",MONTH(A153))</f>
        <v/>
      </c>
      <c r="C153" s="52"/>
      <c r="D153" s="52"/>
      <c r="E153" s="52"/>
      <c r="F153" s="52"/>
      <c r="G153" s="55" t="str">
        <f aca="false">IF(C153="","",IFERROR(INDEX('DANH MỤC'!$B$5:$B$200,MATCH(C153,'DANH MỤC'!$A$5:$A$200,0)),"⚠ Mã chưa có trong DANH MỤC"))</f>
        <v/>
      </c>
      <c r="H153" s="52"/>
      <c r="I153" s="52"/>
    </row>
    <row r="154" customFormat="false" ht="15" hidden="false" customHeight="false" outlineLevel="0" collapsed="false">
      <c r="A154" s="50"/>
      <c r="B154" s="51" t="str">
        <f aca="false">IF(A154="","",MONTH(A154))</f>
        <v/>
      </c>
      <c r="C154" s="52"/>
      <c r="D154" s="52"/>
      <c r="E154" s="52"/>
      <c r="F154" s="52"/>
      <c r="G154" s="55" t="str">
        <f aca="false">IF(C154="","",IFERROR(INDEX('DANH MỤC'!$B$5:$B$200,MATCH(C154,'DANH MỤC'!$A$5:$A$200,0)),"⚠ Mã chưa có trong DANH MỤC"))</f>
        <v/>
      </c>
      <c r="H154" s="52"/>
      <c r="I154" s="52"/>
    </row>
    <row r="155" customFormat="false" ht="15" hidden="false" customHeight="false" outlineLevel="0" collapsed="false">
      <c r="A155" s="50"/>
      <c r="B155" s="51" t="str">
        <f aca="false">IF(A155="","",MONTH(A155))</f>
        <v/>
      </c>
      <c r="C155" s="52"/>
      <c r="D155" s="52"/>
      <c r="E155" s="52"/>
      <c r="F155" s="52"/>
      <c r="G155" s="55" t="str">
        <f aca="false">IF(C155="","",IFERROR(INDEX('DANH MỤC'!$B$5:$B$200,MATCH(C155,'DANH MỤC'!$A$5:$A$200,0)),"⚠ Mã chưa có trong DANH MỤC"))</f>
        <v/>
      </c>
      <c r="H155" s="52"/>
      <c r="I155" s="52"/>
    </row>
    <row r="156" customFormat="false" ht="15" hidden="false" customHeight="false" outlineLevel="0" collapsed="false">
      <c r="A156" s="50"/>
      <c r="B156" s="51" t="str">
        <f aca="false">IF(A156="","",MONTH(A156))</f>
        <v/>
      </c>
      <c r="C156" s="52"/>
      <c r="D156" s="52"/>
      <c r="E156" s="52"/>
      <c r="F156" s="52"/>
      <c r="G156" s="55" t="str">
        <f aca="false">IF(C156="","",IFERROR(INDEX('DANH MỤC'!$B$5:$B$200,MATCH(C156,'DANH MỤC'!$A$5:$A$200,0)),"⚠ Mã chưa có trong DANH MỤC"))</f>
        <v/>
      </c>
      <c r="H156" s="52"/>
      <c r="I156" s="52"/>
    </row>
    <row r="157" customFormat="false" ht="15" hidden="false" customHeight="false" outlineLevel="0" collapsed="false">
      <c r="A157" s="50"/>
      <c r="B157" s="51" t="str">
        <f aca="false">IF(A157="","",MONTH(A157))</f>
        <v/>
      </c>
      <c r="C157" s="52"/>
      <c r="D157" s="52"/>
      <c r="E157" s="52"/>
      <c r="F157" s="52"/>
      <c r="G157" s="55" t="str">
        <f aca="false">IF(C157="","",IFERROR(INDEX('DANH MỤC'!$B$5:$B$200,MATCH(C157,'DANH MỤC'!$A$5:$A$200,0)),"⚠ Mã chưa có trong DANH MỤC"))</f>
        <v/>
      </c>
      <c r="H157" s="52"/>
      <c r="I157" s="52"/>
    </row>
    <row r="158" customFormat="false" ht="15" hidden="false" customHeight="false" outlineLevel="0" collapsed="false">
      <c r="A158" s="50"/>
      <c r="B158" s="51" t="str">
        <f aca="false">IF(A158="","",MONTH(A158))</f>
        <v/>
      </c>
      <c r="C158" s="52"/>
      <c r="D158" s="52"/>
      <c r="E158" s="52"/>
      <c r="F158" s="52"/>
      <c r="G158" s="55" t="str">
        <f aca="false">IF(C158="","",IFERROR(INDEX('DANH MỤC'!$B$5:$B$200,MATCH(C158,'DANH MỤC'!$A$5:$A$200,0)),"⚠ Mã chưa có trong DANH MỤC"))</f>
        <v/>
      </c>
      <c r="H158" s="52"/>
      <c r="I158" s="52"/>
    </row>
    <row r="159" customFormat="false" ht="15" hidden="false" customHeight="false" outlineLevel="0" collapsed="false">
      <c r="A159" s="50"/>
      <c r="B159" s="51" t="str">
        <f aca="false">IF(A159="","",MONTH(A159))</f>
        <v/>
      </c>
      <c r="C159" s="52"/>
      <c r="D159" s="52"/>
      <c r="E159" s="52"/>
      <c r="F159" s="52"/>
      <c r="G159" s="55" t="str">
        <f aca="false">IF(C159="","",IFERROR(INDEX('DANH MỤC'!$B$5:$B$200,MATCH(C159,'DANH MỤC'!$A$5:$A$200,0)),"⚠ Mã chưa có trong DANH MỤC"))</f>
        <v/>
      </c>
      <c r="H159" s="52"/>
      <c r="I159" s="52"/>
    </row>
    <row r="160" customFormat="false" ht="15" hidden="false" customHeight="false" outlineLevel="0" collapsed="false">
      <c r="A160" s="50"/>
      <c r="B160" s="51" t="str">
        <f aca="false">IF(A160="","",MONTH(A160))</f>
        <v/>
      </c>
      <c r="C160" s="52"/>
      <c r="D160" s="52"/>
      <c r="E160" s="52"/>
      <c r="F160" s="52"/>
      <c r="G160" s="55" t="str">
        <f aca="false">IF(C160="","",IFERROR(INDEX('DANH MỤC'!$B$5:$B$200,MATCH(C160,'DANH MỤC'!$A$5:$A$200,0)),"⚠ Mã chưa có trong DANH MỤC"))</f>
        <v/>
      </c>
      <c r="H160" s="52"/>
      <c r="I160" s="52"/>
    </row>
    <row r="161" customFormat="false" ht="15" hidden="false" customHeight="false" outlineLevel="0" collapsed="false">
      <c r="A161" s="50"/>
      <c r="B161" s="51" t="str">
        <f aca="false">IF(A161="","",MONTH(A161))</f>
        <v/>
      </c>
      <c r="C161" s="52"/>
      <c r="D161" s="52"/>
      <c r="E161" s="52"/>
      <c r="F161" s="52"/>
      <c r="G161" s="55" t="str">
        <f aca="false">IF(C161="","",IFERROR(INDEX('DANH MỤC'!$B$5:$B$200,MATCH(C161,'DANH MỤC'!$A$5:$A$200,0)),"⚠ Mã chưa có trong DANH MỤC"))</f>
        <v/>
      </c>
      <c r="H161" s="52"/>
      <c r="I161" s="52"/>
    </row>
    <row r="162" customFormat="false" ht="15" hidden="false" customHeight="false" outlineLevel="0" collapsed="false">
      <c r="A162" s="50"/>
      <c r="B162" s="51" t="str">
        <f aca="false">IF(A162="","",MONTH(A162))</f>
        <v/>
      </c>
      <c r="C162" s="52"/>
      <c r="D162" s="52"/>
      <c r="E162" s="52"/>
      <c r="F162" s="52"/>
      <c r="G162" s="55" t="str">
        <f aca="false">IF(C162="","",IFERROR(INDEX('DANH MỤC'!$B$5:$B$200,MATCH(C162,'DANH MỤC'!$A$5:$A$200,0)),"⚠ Mã chưa có trong DANH MỤC"))</f>
        <v/>
      </c>
      <c r="H162" s="52"/>
      <c r="I162" s="52"/>
    </row>
    <row r="163" customFormat="false" ht="15" hidden="false" customHeight="false" outlineLevel="0" collapsed="false">
      <c r="A163" s="50"/>
      <c r="B163" s="51" t="str">
        <f aca="false">IF(A163="","",MONTH(A163))</f>
        <v/>
      </c>
      <c r="C163" s="52"/>
      <c r="D163" s="52"/>
      <c r="E163" s="52"/>
      <c r="F163" s="52"/>
      <c r="G163" s="55" t="str">
        <f aca="false">IF(C163="","",IFERROR(INDEX('DANH MỤC'!$B$5:$B$200,MATCH(C163,'DANH MỤC'!$A$5:$A$200,0)),"⚠ Mã chưa có trong DANH MỤC"))</f>
        <v/>
      </c>
      <c r="H163" s="52"/>
      <c r="I163" s="52"/>
    </row>
    <row r="164" customFormat="false" ht="15" hidden="false" customHeight="false" outlineLevel="0" collapsed="false">
      <c r="A164" s="50"/>
      <c r="B164" s="51" t="str">
        <f aca="false">IF(A164="","",MONTH(A164))</f>
        <v/>
      </c>
      <c r="C164" s="52"/>
      <c r="D164" s="52"/>
      <c r="E164" s="52"/>
      <c r="F164" s="52"/>
      <c r="G164" s="55" t="str">
        <f aca="false">IF(C164="","",IFERROR(INDEX('DANH MỤC'!$B$5:$B$200,MATCH(C164,'DANH MỤC'!$A$5:$A$200,0)),"⚠ Mã chưa có trong DANH MỤC"))</f>
        <v/>
      </c>
      <c r="H164" s="52"/>
      <c r="I164" s="52"/>
    </row>
    <row r="165" customFormat="false" ht="15" hidden="false" customHeight="false" outlineLevel="0" collapsed="false">
      <c r="A165" s="50"/>
      <c r="B165" s="51" t="str">
        <f aca="false">IF(A165="","",MONTH(A165))</f>
        <v/>
      </c>
      <c r="C165" s="52"/>
      <c r="D165" s="52"/>
      <c r="E165" s="52"/>
      <c r="F165" s="52"/>
      <c r="G165" s="55" t="str">
        <f aca="false">IF(C165="","",IFERROR(INDEX('DANH MỤC'!$B$5:$B$200,MATCH(C165,'DANH MỤC'!$A$5:$A$200,0)),"⚠ Mã chưa có trong DANH MỤC"))</f>
        <v/>
      </c>
      <c r="H165" s="52"/>
      <c r="I165" s="52"/>
    </row>
    <row r="166" customFormat="false" ht="15" hidden="false" customHeight="false" outlineLevel="0" collapsed="false">
      <c r="A166" s="50"/>
      <c r="B166" s="51" t="str">
        <f aca="false">IF(A166="","",MONTH(A166))</f>
        <v/>
      </c>
      <c r="C166" s="52"/>
      <c r="D166" s="52"/>
      <c r="E166" s="52"/>
      <c r="F166" s="52"/>
      <c r="G166" s="55" t="str">
        <f aca="false">IF(C166="","",IFERROR(INDEX('DANH MỤC'!$B$5:$B$200,MATCH(C166,'DANH MỤC'!$A$5:$A$200,0)),"⚠ Mã chưa có trong DANH MỤC"))</f>
        <v/>
      </c>
      <c r="H166" s="52"/>
      <c r="I166" s="52"/>
    </row>
    <row r="167" customFormat="false" ht="15" hidden="false" customHeight="false" outlineLevel="0" collapsed="false">
      <c r="A167" s="50"/>
      <c r="B167" s="51" t="str">
        <f aca="false">IF(A167="","",MONTH(A167))</f>
        <v/>
      </c>
      <c r="C167" s="52"/>
      <c r="D167" s="52"/>
      <c r="E167" s="52"/>
      <c r="F167" s="52"/>
      <c r="G167" s="55" t="str">
        <f aca="false">IF(C167="","",IFERROR(INDEX('DANH MỤC'!$B$5:$B$200,MATCH(C167,'DANH MỤC'!$A$5:$A$200,0)),"⚠ Mã chưa có trong DANH MỤC"))</f>
        <v/>
      </c>
      <c r="H167" s="52"/>
      <c r="I167" s="52"/>
    </row>
    <row r="168" customFormat="false" ht="15" hidden="false" customHeight="false" outlineLevel="0" collapsed="false">
      <c r="A168" s="50"/>
      <c r="B168" s="51" t="str">
        <f aca="false">IF(A168="","",MONTH(A168))</f>
        <v/>
      </c>
      <c r="C168" s="52"/>
      <c r="D168" s="52"/>
      <c r="E168" s="52"/>
      <c r="F168" s="52"/>
      <c r="G168" s="55" t="str">
        <f aca="false">IF(C168="","",IFERROR(INDEX('DANH MỤC'!$B$5:$B$200,MATCH(C168,'DANH MỤC'!$A$5:$A$200,0)),"⚠ Mã chưa có trong DANH MỤC"))</f>
        <v/>
      </c>
      <c r="H168" s="52"/>
      <c r="I168" s="52"/>
    </row>
    <row r="169" customFormat="false" ht="15" hidden="false" customHeight="false" outlineLevel="0" collapsed="false">
      <c r="A169" s="50"/>
      <c r="B169" s="51" t="str">
        <f aca="false">IF(A169="","",MONTH(A169))</f>
        <v/>
      </c>
      <c r="C169" s="52"/>
      <c r="D169" s="52"/>
      <c r="E169" s="52"/>
      <c r="F169" s="52"/>
      <c r="G169" s="55" t="str">
        <f aca="false">IF(C169="","",IFERROR(INDEX('DANH MỤC'!$B$5:$B$200,MATCH(C169,'DANH MỤC'!$A$5:$A$200,0)),"⚠ Mã chưa có trong DANH MỤC"))</f>
        <v/>
      </c>
      <c r="H169" s="52"/>
      <c r="I169" s="52"/>
    </row>
    <row r="170" customFormat="false" ht="15" hidden="false" customHeight="false" outlineLevel="0" collapsed="false">
      <c r="A170" s="50"/>
      <c r="B170" s="51" t="str">
        <f aca="false">IF(A170="","",MONTH(A170))</f>
        <v/>
      </c>
      <c r="C170" s="52"/>
      <c r="D170" s="52"/>
      <c r="E170" s="52"/>
      <c r="F170" s="52"/>
      <c r="G170" s="55" t="str">
        <f aca="false">IF(C170="","",IFERROR(INDEX('DANH MỤC'!$B$5:$B$200,MATCH(C170,'DANH MỤC'!$A$5:$A$200,0)),"⚠ Mã chưa có trong DANH MỤC"))</f>
        <v/>
      </c>
      <c r="H170" s="52"/>
      <c r="I170" s="52"/>
    </row>
    <row r="171" customFormat="false" ht="15" hidden="false" customHeight="false" outlineLevel="0" collapsed="false">
      <c r="A171" s="50"/>
      <c r="B171" s="51" t="str">
        <f aca="false">IF(A171="","",MONTH(A171))</f>
        <v/>
      </c>
      <c r="C171" s="52"/>
      <c r="D171" s="52"/>
      <c r="E171" s="52"/>
      <c r="F171" s="52"/>
      <c r="G171" s="55" t="str">
        <f aca="false">IF(C171="","",IFERROR(INDEX('DANH MỤC'!$B$5:$B$200,MATCH(C171,'DANH MỤC'!$A$5:$A$200,0)),"⚠ Mã chưa có trong DANH MỤC"))</f>
        <v/>
      </c>
      <c r="H171" s="52"/>
      <c r="I171" s="52"/>
    </row>
    <row r="172" customFormat="false" ht="15" hidden="false" customHeight="false" outlineLevel="0" collapsed="false">
      <c r="A172" s="50"/>
      <c r="B172" s="51" t="str">
        <f aca="false">IF(A172="","",MONTH(A172))</f>
        <v/>
      </c>
      <c r="C172" s="52"/>
      <c r="D172" s="52"/>
      <c r="E172" s="52"/>
      <c r="F172" s="52"/>
      <c r="G172" s="55" t="str">
        <f aca="false">IF(C172="","",IFERROR(INDEX('DANH MỤC'!$B$5:$B$200,MATCH(C172,'DANH MỤC'!$A$5:$A$200,0)),"⚠ Mã chưa có trong DANH MỤC"))</f>
        <v/>
      </c>
      <c r="H172" s="52"/>
      <c r="I172" s="52"/>
    </row>
    <row r="173" customFormat="false" ht="15" hidden="false" customHeight="false" outlineLevel="0" collapsed="false">
      <c r="A173" s="50"/>
      <c r="B173" s="51" t="str">
        <f aca="false">IF(A173="","",MONTH(A173))</f>
        <v/>
      </c>
      <c r="C173" s="52"/>
      <c r="D173" s="52"/>
      <c r="E173" s="52"/>
      <c r="F173" s="52"/>
      <c r="G173" s="55" t="str">
        <f aca="false">IF(C173="","",IFERROR(INDEX('DANH MỤC'!$B$5:$B$200,MATCH(C173,'DANH MỤC'!$A$5:$A$200,0)),"⚠ Mã chưa có trong DANH MỤC"))</f>
        <v/>
      </c>
      <c r="H173" s="52"/>
      <c r="I173" s="52"/>
    </row>
    <row r="174" customFormat="false" ht="15" hidden="false" customHeight="false" outlineLevel="0" collapsed="false">
      <c r="A174" s="50"/>
      <c r="B174" s="51" t="str">
        <f aca="false">IF(A174="","",MONTH(A174))</f>
        <v/>
      </c>
      <c r="C174" s="52"/>
      <c r="D174" s="52"/>
      <c r="E174" s="52"/>
      <c r="F174" s="52"/>
      <c r="G174" s="55" t="str">
        <f aca="false">IF(C174="","",IFERROR(INDEX('DANH MỤC'!$B$5:$B$200,MATCH(C174,'DANH MỤC'!$A$5:$A$200,0)),"⚠ Mã chưa có trong DANH MỤC"))</f>
        <v/>
      </c>
      <c r="H174" s="52"/>
      <c r="I174" s="52"/>
    </row>
    <row r="175" customFormat="false" ht="15" hidden="false" customHeight="false" outlineLevel="0" collapsed="false">
      <c r="A175" s="50"/>
      <c r="B175" s="51" t="str">
        <f aca="false">IF(A175="","",MONTH(A175))</f>
        <v/>
      </c>
      <c r="C175" s="52"/>
      <c r="D175" s="52"/>
      <c r="E175" s="52"/>
      <c r="F175" s="52"/>
      <c r="G175" s="55" t="str">
        <f aca="false">IF(C175="","",IFERROR(INDEX('DANH MỤC'!$B$5:$B$200,MATCH(C175,'DANH MỤC'!$A$5:$A$200,0)),"⚠ Mã chưa có trong DANH MỤC"))</f>
        <v/>
      </c>
      <c r="H175" s="52"/>
      <c r="I175" s="52"/>
    </row>
    <row r="176" customFormat="false" ht="15" hidden="false" customHeight="false" outlineLevel="0" collapsed="false">
      <c r="A176" s="50"/>
      <c r="B176" s="51" t="str">
        <f aca="false">IF(A176="","",MONTH(A176))</f>
        <v/>
      </c>
      <c r="C176" s="52"/>
      <c r="D176" s="52"/>
      <c r="E176" s="52"/>
      <c r="F176" s="52"/>
      <c r="G176" s="55" t="str">
        <f aca="false">IF(C176="","",IFERROR(INDEX('DANH MỤC'!$B$5:$B$200,MATCH(C176,'DANH MỤC'!$A$5:$A$200,0)),"⚠ Mã chưa có trong DANH MỤC"))</f>
        <v/>
      </c>
      <c r="H176" s="52"/>
      <c r="I176" s="52"/>
    </row>
    <row r="177" customFormat="false" ht="15" hidden="false" customHeight="false" outlineLevel="0" collapsed="false">
      <c r="A177" s="50"/>
      <c r="B177" s="51" t="str">
        <f aca="false">IF(A177="","",MONTH(A177))</f>
        <v/>
      </c>
      <c r="C177" s="52"/>
      <c r="D177" s="52"/>
      <c r="E177" s="52"/>
      <c r="F177" s="52"/>
      <c r="G177" s="55" t="str">
        <f aca="false">IF(C177="","",IFERROR(INDEX('DANH MỤC'!$B$5:$B$200,MATCH(C177,'DANH MỤC'!$A$5:$A$200,0)),"⚠ Mã chưa có trong DANH MỤC"))</f>
        <v/>
      </c>
      <c r="H177" s="52"/>
      <c r="I177" s="52"/>
    </row>
    <row r="178" customFormat="false" ht="15" hidden="false" customHeight="false" outlineLevel="0" collapsed="false">
      <c r="A178" s="50"/>
      <c r="B178" s="51" t="str">
        <f aca="false">IF(A178="","",MONTH(A178))</f>
        <v/>
      </c>
      <c r="C178" s="52"/>
      <c r="D178" s="52"/>
      <c r="E178" s="52"/>
      <c r="F178" s="52"/>
      <c r="G178" s="55" t="str">
        <f aca="false">IF(C178="","",IFERROR(INDEX('DANH MỤC'!$B$5:$B$200,MATCH(C178,'DANH MỤC'!$A$5:$A$200,0)),"⚠ Mã chưa có trong DANH MỤC"))</f>
        <v/>
      </c>
      <c r="H178" s="52"/>
      <c r="I178" s="52"/>
    </row>
    <row r="179" customFormat="false" ht="15" hidden="false" customHeight="false" outlineLevel="0" collapsed="false">
      <c r="A179" s="50"/>
      <c r="B179" s="51" t="str">
        <f aca="false">IF(A179="","",MONTH(A179))</f>
        <v/>
      </c>
      <c r="C179" s="52"/>
      <c r="D179" s="52"/>
      <c r="E179" s="52"/>
      <c r="F179" s="52"/>
      <c r="G179" s="55" t="str">
        <f aca="false">IF(C179="","",IFERROR(INDEX('DANH MỤC'!$B$5:$B$200,MATCH(C179,'DANH MỤC'!$A$5:$A$200,0)),"⚠ Mã chưa có trong DANH MỤC"))</f>
        <v/>
      </c>
      <c r="H179" s="52"/>
      <c r="I179" s="52"/>
    </row>
    <row r="180" customFormat="false" ht="15" hidden="false" customHeight="false" outlineLevel="0" collapsed="false">
      <c r="A180" s="50"/>
      <c r="B180" s="51" t="str">
        <f aca="false">IF(A180="","",MONTH(A180))</f>
        <v/>
      </c>
      <c r="C180" s="52"/>
      <c r="D180" s="52"/>
      <c r="E180" s="52"/>
      <c r="F180" s="52"/>
      <c r="G180" s="55" t="str">
        <f aca="false">IF(C180="","",IFERROR(INDEX('DANH MỤC'!$B$5:$B$200,MATCH(C180,'DANH MỤC'!$A$5:$A$200,0)),"⚠ Mã chưa có trong DANH MỤC"))</f>
        <v/>
      </c>
      <c r="H180" s="52"/>
      <c r="I180" s="52"/>
    </row>
    <row r="181" customFormat="false" ht="15" hidden="false" customHeight="false" outlineLevel="0" collapsed="false">
      <c r="A181" s="50"/>
      <c r="B181" s="51" t="str">
        <f aca="false">IF(A181="","",MONTH(A181))</f>
        <v/>
      </c>
      <c r="C181" s="52"/>
      <c r="D181" s="52"/>
      <c r="E181" s="52"/>
      <c r="F181" s="52"/>
      <c r="G181" s="55" t="str">
        <f aca="false">IF(C181="","",IFERROR(INDEX('DANH MỤC'!$B$5:$B$200,MATCH(C181,'DANH MỤC'!$A$5:$A$200,0)),"⚠ Mã chưa có trong DANH MỤC"))</f>
        <v/>
      </c>
      <c r="H181" s="52"/>
      <c r="I181" s="52"/>
    </row>
    <row r="182" customFormat="false" ht="15" hidden="false" customHeight="false" outlineLevel="0" collapsed="false">
      <c r="A182" s="50"/>
      <c r="B182" s="51" t="str">
        <f aca="false">IF(A182="","",MONTH(A182))</f>
        <v/>
      </c>
      <c r="C182" s="52"/>
      <c r="D182" s="52"/>
      <c r="E182" s="52"/>
      <c r="F182" s="52"/>
      <c r="G182" s="55" t="str">
        <f aca="false">IF(C182="","",IFERROR(INDEX('DANH MỤC'!$B$5:$B$200,MATCH(C182,'DANH MỤC'!$A$5:$A$200,0)),"⚠ Mã chưa có trong DANH MỤC"))</f>
        <v/>
      </c>
      <c r="H182" s="52"/>
      <c r="I182" s="52"/>
    </row>
    <row r="183" customFormat="false" ht="15" hidden="false" customHeight="false" outlineLevel="0" collapsed="false">
      <c r="A183" s="50"/>
      <c r="B183" s="51" t="str">
        <f aca="false">IF(A183="","",MONTH(A183))</f>
        <v/>
      </c>
      <c r="C183" s="52"/>
      <c r="D183" s="52"/>
      <c r="E183" s="52"/>
      <c r="F183" s="52"/>
      <c r="G183" s="55" t="str">
        <f aca="false">IF(C183="","",IFERROR(INDEX('DANH MỤC'!$B$5:$B$200,MATCH(C183,'DANH MỤC'!$A$5:$A$200,0)),"⚠ Mã chưa có trong DANH MỤC"))</f>
        <v/>
      </c>
      <c r="H183" s="52"/>
      <c r="I183" s="52"/>
    </row>
    <row r="184" customFormat="false" ht="15" hidden="false" customHeight="false" outlineLevel="0" collapsed="false">
      <c r="A184" s="50"/>
      <c r="B184" s="51" t="str">
        <f aca="false">IF(A184="","",MONTH(A184))</f>
        <v/>
      </c>
      <c r="C184" s="52"/>
      <c r="D184" s="52"/>
      <c r="E184" s="52"/>
      <c r="F184" s="52"/>
      <c r="G184" s="55" t="str">
        <f aca="false">IF(C184="","",IFERROR(INDEX('DANH MỤC'!$B$5:$B$200,MATCH(C184,'DANH MỤC'!$A$5:$A$200,0)),"⚠ Mã chưa có trong DANH MỤC"))</f>
        <v/>
      </c>
      <c r="H184" s="52"/>
      <c r="I184" s="52"/>
    </row>
    <row r="185" customFormat="false" ht="15" hidden="false" customHeight="false" outlineLevel="0" collapsed="false">
      <c r="A185" s="50"/>
      <c r="B185" s="51" t="str">
        <f aca="false">IF(A185="","",MONTH(A185))</f>
        <v/>
      </c>
      <c r="C185" s="52"/>
      <c r="D185" s="52"/>
      <c r="E185" s="52"/>
      <c r="F185" s="52"/>
      <c r="G185" s="55" t="str">
        <f aca="false">IF(C185="","",IFERROR(INDEX('DANH MỤC'!$B$5:$B$200,MATCH(C185,'DANH MỤC'!$A$5:$A$200,0)),"⚠ Mã chưa có trong DANH MỤC"))</f>
        <v/>
      </c>
      <c r="H185" s="52"/>
      <c r="I185" s="52"/>
    </row>
    <row r="186" customFormat="false" ht="15" hidden="false" customHeight="false" outlineLevel="0" collapsed="false">
      <c r="A186" s="50"/>
      <c r="B186" s="51" t="str">
        <f aca="false">IF(A186="","",MONTH(A186))</f>
        <v/>
      </c>
      <c r="C186" s="52"/>
      <c r="D186" s="52"/>
      <c r="E186" s="52"/>
      <c r="F186" s="52"/>
      <c r="G186" s="55" t="str">
        <f aca="false">IF(C186="","",IFERROR(INDEX('DANH MỤC'!$B$5:$B$200,MATCH(C186,'DANH MỤC'!$A$5:$A$200,0)),"⚠ Mã chưa có trong DANH MỤC"))</f>
        <v/>
      </c>
      <c r="H186" s="52"/>
      <c r="I186" s="52"/>
    </row>
    <row r="187" customFormat="false" ht="15" hidden="false" customHeight="false" outlineLevel="0" collapsed="false">
      <c r="A187" s="50"/>
      <c r="B187" s="51" t="str">
        <f aca="false">IF(A187="","",MONTH(A187))</f>
        <v/>
      </c>
      <c r="C187" s="52"/>
      <c r="D187" s="52"/>
      <c r="E187" s="52"/>
      <c r="F187" s="52"/>
      <c r="G187" s="55" t="str">
        <f aca="false">IF(C187="","",IFERROR(INDEX('DANH MỤC'!$B$5:$B$200,MATCH(C187,'DANH MỤC'!$A$5:$A$200,0)),"⚠ Mã chưa có trong DANH MỤC"))</f>
        <v/>
      </c>
      <c r="H187" s="52"/>
      <c r="I187" s="52"/>
    </row>
    <row r="188" customFormat="false" ht="15" hidden="false" customHeight="false" outlineLevel="0" collapsed="false">
      <c r="A188" s="50"/>
      <c r="B188" s="51" t="str">
        <f aca="false">IF(A188="","",MONTH(A188))</f>
        <v/>
      </c>
      <c r="C188" s="52"/>
      <c r="D188" s="52"/>
      <c r="E188" s="52"/>
      <c r="F188" s="52"/>
      <c r="G188" s="55" t="str">
        <f aca="false">IF(C188="","",IFERROR(INDEX('DANH MỤC'!$B$5:$B$200,MATCH(C188,'DANH MỤC'!$A$5:$A$200,0)),"⚠ Mã chưa có trong DANH MỤC"))</f>
        <v/>
      </c>
      <c r="H188" s="52"/>
      <c r="I188" s="52"/>
    </row>
    <row r="189" customFormat="false" ht="15" hidden="false" customHeight="false" outlineLevel="0" collapsed="false">
      <c r="A189" s="50"/>
      <c r="B189" s="51" t="str">
        <f aca="false">IF(A189="","",MONTH(A189))</f>
        <v/>
      </c>
      <c r="C189" s="52"/>
      <c r="D189" s="52"/>
      <c r="E189" s="52"/>
      <c r="F189" s="52"/>
      <c r="G189" s="55" t="str">
        <f aca="false">IF(C189="","",IFERROR(INDEX('DANH MỤC'!$B$5:$B$200,MATCH(C189,'DANH MỤC'!$A$5:$A$200,0)),"⚠ Mã chưa có trong DANH MỤC"))</f>
        <v/>
      </c>
      <c r="H189" s="52"/>
      <c r="I189" s="52"/>
    </row>
    <row r="190" customFormat="false" ht="15" hidden="false" customHeight="false" outlineLevel="0" collapsed="false">
      <c r="A190" s="50"/>
      <c r="B190" s="51" t="str">
        <f aca="false">IF(A190="","",MONTH(A190))</f>
        <v/>
      </c>
      <c r="C190" s="52"/>
      <c r="D190" s="52"/>
      <c r="E190" s="52"/>
      <c r="F190" s="52"/>
      <c r="G190" s="55" t="str">
        <f aca="false">IF(C190="","",IFERROR(INDEX('DANH MỤC'!$B$5:$B$200,MATCH(C190,'DANH MỤC'!$A$5:$A$200,0)),"⚠ Mã chưa có trong DANH MỤC"))</f>
        <v/>
      </c>
      <c r="H190" s="52"/>
      <c r="I190" s="52"/>
    </row>
    <row r="191" customFormat="false" ht="15" hidden="false" customHeight="false" outlineLevel="0" collapsed="false">
      <c r="A191" s="50"/>
      <c r="B191" s="51" t="str">
        <f aca="false">IF(A191="","",MONTH(A191))</f>
        <v/>
      </c>
      <c r="C191" s="52"/>
      <c r="D191" s="52"/>
      <c r="E191" s="52"/>
      <c r="F191" s="52"/>
      <c r="G191" s="55" t="str">
        <f aca="false">IF(C191="","",IFERROR(INDEX('DANH MỤC'!$B$5:$B$200,MATCH(C191,'DANH MỤC'!$A$5:$A$200,0)),"⚠ Mã chưa có trong DANH MỤC"))</f>
        <v/>
      </c>
      <c r="H191" s="52"/>
      <c r="I191" s="52"/>
    </row>
    <row r="192" customFormat="false" ht="15" hidden="false" customHeight="false" outlineLevel="0" collapsed="false">
      <c r="A192" s="50"/>
      <c r="B192" s="51" t="str">
        <f aca="false">IF(A192="","",MONTH(A192))</f>
        <v/>
      </c>
      <c r="C192" s="52"/>
      <c r="D192" s="52"/>
      <c r="E192" s="52"/>
      <c r="F192" s="52"/>
      <c r="G192" s="55" t="str">
        <f aca="false">IF(C192="","",IFERROR(INDEX('DANH MỤC'!$B$5:$B$200,MATCH(C192,'DANH MỤC'!$A$5:$A$200,0)),"⚠ Mã chưa có trong DANH MỤC"))</f>
        <v/>
      </c>
      <c r="H192" s="52"/>
      <c r="I192" s="52"/>
    </row>
    <row r="193" customFormat="false" ht="15" hidden="false" customHeight="false" outlineLevel="0" collapsed="false">
      <c r="A193" s="50"/>
      <c r="B193" s="51" t="str">
        <f aca="false">IF(A193="","",MONTH(A193))</f>
        <v/>
      </c>
      <c r="C193" s="52"/>
      <c r="D193" s="52"/>
      <c r="E193" s="52"/>
      <c r="F193" s="52"/>
      <c r="G193" s="55" t="str">
        <f aca="false">IF(C193="","",IFERROR(INDEX('DANH MỤC'!$B$5:$B$200,MATCH(C193,'DANH MỤC'!$A$5:$A$200,0)),"⚠ Mã chưa có trong DANH MỤC"))</f>
        <v/>
      </c>
      <c r="H193" s="52"/>
      <c r="I193" s="52"/>
    </row>
    <row r="194" customFormat="false" ht="15" hidden="false" customHeight="false" outlineLevel="0" collapsed="false">
      <c r="A194" s="50"/>
      <c r="B194" s="51" t="str">
        <f aca="false">IF(A194="","",MONTH(A194))</f>
        <v/>
      </c>
      <c r="C194" s="52"/>
      <c r="D194" s="52"/>
      <c r="E194" s="52"/>
      <c r="F194" s="52"/>
      <c r="G194" s="55" t="str">
        <f aca="false">IF(C194="","",IFERROR(INDEX('DANH MỤC'!$B$5:$B$200,MATCH(C194,'DANH MỤC'!$A$5:$A$200,0)),"⚠ Mã chưa có trong DANH MỤC"))</f>
        <v/>
      </c>
      <c r="H194" s="52"/>
      <c r="I194" s="52"/>
    </row>
    <row r="195" customFormat="false" ht="15" hidden="false" customHeight="false" outlineLevel="0" collapsed="false">
      <c r="A195" s="50"/>
      <c r="B195" s="51" t="str">
        <f aca="false">IF(A195="","",MONTH(A195))</f>
        <v/>
      </c>
      <c r="C195" s="52"/>
      <c r="D195" s="52"/>
      <c r="E195" s="52"/>
      <c r="F195" s="52"/>
      <c r="G195" s="55" t="str">
        <f aca="false">IF(C195="","",IFERROR(INDEX('DANH MỤC'!$B$5:$B$200,MATCH(C195,'DANH MỤC'!$A$5:$A$200,0)),"⚠ Mã chưa có trong DANH MỤC"))</f>
        <v/>
      </c>
      <c r="H195" s="52"/>
      <c r="I195" s="52"/>
    </row>
    <row r="196" customFormat="false" ht="15" hidden="false" customHeight="false" outlineLevel="0" collapsed="false">
      <c r="A196" s="50"/>
      <c r="B196" s="51" t="str">
        <f aca="false">IF(A196="","",MONTH(A196))</f>
        <v/>
      </c>
      <c r="C196" s="52"/>
      <c r="D196" s="52"/>
      <c r="E196" s="52"/>
      <c r="F196" s="52"/>
      <c r="G196" s="55" t="str">
        <f aca="false">IF(C196="","",IFERROR(INDEX('DANH MỤC'!$B$5:$B$200,MATCH(C196,'DANH MỤC'!$A$5:$A$200,0)),"⚠ Mã chưa có trong DANH MỤC"))</f>
        <v/>
      </c>
      <c r="H196" s="52"/>
      <c r="I196" s="52"/>
    </row>
    <row r="197" customFormat="false" ht="15" hidden="false" customHeight="false" outlineLevel="0" collapsed="false">
      <c r="A197" s="50"/>
      <c r="B197" s="51" t="str">
        <f aca="false">IF(A197="","",MONTH(A197))</f>
        <v/>
      </c>
      <c r="C197" s="52"/>
      <c r="D197" s="52"/>
      <c r="E197" s="52"/>
      <c r="F197" s="52"/>
      <c r="G197" s="55" t="str">
        <f aca="false">IF(C197="","",IFERROR(INDEX('DANH MỤC'!$B$5:$B$200,MATCH(C197,'DANH MỤC'!$A$5:$A$200,0)),"⚠ Mã chưa có trong DANH MỤC"))</f>
        <v/>
      </c>
      <c r="H197" s="52"/>
      <c r="I197" s="52"/>
    </row>
    <row r="198" customFormat="false" ht="15" hidden="false" customHeight="false" outlineLevel="0" collapsed="false">
      <c r="A198" s="50"/>
      <c r="B198" s="51" t="str">
        <f aca="false">IF(A198="","",MONTH(A198))</f>
        <v/>
      </c>
      <c r="C198" s="52"/>
      <c r="D198" s="52"/>
      <c r="E198" s="52"/>
      <c r="F198" s="52"/>
      <c r="G198" s="55" t="str">
        <f aca="false">IF(C198="","",IFERROR(INDEX('DANH MỤC'!$B$5:$B$200,MATCH(C198,'DANH MỤC'!$A$5:$A$200,0)),"⚠ Mã chưa có trong DANH MỤC"))</f>
        <v/>
      </c>
      <c r="H198" s="52"/>
      <c r="I198" s="52"/>
    </row>
    <row r="199" customFormat="false" ht="15" hidden="false" customHeight="false" outlineLevel="0" collapsed="false">
      <c r="A199" s="50"/>
      <c r="B199" s="51" t="str">
        <f aca="false">IF(A199="","",MONTH(A199))</f>
        <v/>
      </c>
      <c r="C199" s="52"/>
      <c r="D199" s="52"/>
      <c r="E199" s="52"/>
      <c r="F199" s="52"/>
      <c r="G199" s="55" t="str">
        <f aca="false">IF(C199="","",IFERROR(INDEX('DANH MỤC'!$B$5:$B$200,MATCH(C199,'DANH MỤC'!$A$5:$A$200,0)),"⚠ Mã chưa có trong DANH MỤC"))</f>
        <v/>
      </c>
      <c r="H199" s="52"/>
      <c r="I199" s="52"/>
    </row>
    <row r="200" customFormat="false" ht="15" hidden="false" customHeight="false" outlineLevel="0" collapsed="false">
      <c r="A200" s="50"/>
      <c r="B200" s="51" t="str">
        <f aca="false">IF(A200="","",MONTH(A200))</f>
        <v/>
      </c>
      <c r="C200" s="52"/>
      <c r="D200" s="52"/>
      <c r="E200" s="52"/>
      <c r="F200" s="52"/>
      <c r="G200" s="55" t="str">
        <f aca="false">IF(C200="","",IFERROR(INDEX('DANH MỤC'!$B$5:$B$200,MATCH(C200,'DANH MỤC'!$A$5:$A$200,0)),"⚠ Mã chưa có trong DANH MỤC"))</f>
        <v/>
      </c>
      <c r="H200" s="52"/>
      <c r="I200" s="52"/>
    </row>
    <row r="201" customFormat="false" ht="15" hidden="false" customHeight="false" outlineLevel="0" collapsed="false">
      <c r="A201" s="50"/>
      <c r="B201" s="51" t="str">
        <f aca="false">IF(A201="","",MONTH(A201))</f>
        <v/>
      </c>
      <c r="C201" s="52"/>
      <c r="D201" s="52"/>
      <c r="E201" s="52"/>
      <c r="F201" s="52"/>
      <c r="G201" s="55" t="str">
        <f aca="false">IF(C201="","",IFERROR(INDEX('DANH MỤC'!$B$5:$B$200,MATCH(C201,'DANH MỤC'!$A$5:$A$200,0)),"⚠ Mã chưa có trong DANH MỤC"))</f>
        <v/>
      </c>
      <c r="H201" s="52"/>
      <c r="I201" s="52"/>
    </row>
    <row r="202" customFormat="false" ht="15" hidden="false" customHeight="false" outlineLevel="0" collapsed="false">
      <c r="A202" s="50"/>
      <c r="B202" s="51" t="str">
        <f aca="false">IF(A202="","",MONTH(A202))</f>
        <v/>
      </c>
      <c r="C202" s="52"/>
      <c r="D202" s="52"/>
      <c r="E202" s="52"/>
      <c r="F202" s="52"/>
      <c r="G202" s="55" t="str">
        <f aca="false">IF(C202="","",IFERROR(INDEX('DANH MỤC'!$B$5:$B$200,MATCH(C202,'DANH MỤC'!$A$5:$A$200,0)),"⚠ Mã chưa có trong DANH MỤC"))</f>
        <v/>
      </c>
      <c r="H202" s="52"/>
      <c r="I202" s="52"/>
    </row>
    <row r="203" customFormat="false" ht="15" hidden="false" customHeight="false" outlineLevel="0" collapsed="false">
      <c r="A203" s="50"/>
      <c r="B203" s="51" t="str">
        <f aca="false">IF(A203="","",MONTH(A203))</f>
        <v/>
      </c>
      <c r="C203" s="52"/>
      <c r="D203" s="52"/>
      <c r="E203" s="52"/>
      <c r="F203" s="52"/>
      <c r="G203" s="55" t="str">
        <f aca="false">IF(C203="","",IFERROR(INDEX('DANH MỤC'!$B$5:$B$200,MATCH(C203,'DANH MỤC'!$A$5:$A$200,0)),"⚠ Mã chưa có trong DANH MỤC"))</f>
        <v/>
      </c>
      <c r="H203" s="52"/>
      <c r="I203" s="52"/>
    </row>
    <row r="204" customFormat="false" ht="15" hidden="false" customHeight="false" outlineLevel="0" collapsed="false">
      <c r="A204" s="50"/>
      <c r="B204" s="51" t="str">
        <f aca="false">IF(A204="","",MONTH(A204))</f>
        <v/>
      </c>
      <c r="C204" s="52"/>
      <c r="D204" s="52"/>
      <c r="E204" s="52"/>
      <c r="F204" s="52"/>
      <c r="G204" s="55" t="str">
        <f aca="false">IF(C204="","",IFERROR(INDEX('DANH MỤC'!$B$5:$B$200,MATCH(C204,'DANH MỤC'!$A$5:$A$200,0)),"⚠ Mã chưa có trong DANH MỤC"))</f>
        <v/>
      </c>
      <c r="H204" s="52"/>
      <c r="I204" s="52"/>
    </row>
    <row r="205" customFormat="false" ht="15" hidden="false" customHeight="false" outlineLevel="0" collapsed="false">
      <c r="A205" s="50"/>
      <c r="B205" s="51" t="str">
        <f aca="false">IF(A205="","",MONTH(A205))</f>
        <v/>
      </c>
      <c r="C205" s="52"/>
      <c r="D205" s="52"/>
      <c r="E205" s="52"/>
      <c r="F205" s="52"/>
      <c r="G205" s="55" t="str">
        <f aca="false">IF(C205="","",IFERROR(INDEX('DANH MỤC'!$B$5:$B$200,MATCH(C205,'DANH MỤC'!$A$5:$A$200,0)),"⚠ Mã chưa có trong DANH MỤC"))</f>
        <v/>
      </c>
      <c r="H205" s="52"/>
      <c r="I205" s="52"/>
    </row>
    <row r="206" customFormat="false" ht="15" hidden="false" customHeight="false" outlineLevel="0" collapsed="false">
      <c r="A206" s="50"/>
      <c r="B206" s="51" t="str">
        <f aca="false">IF(A206="","",MONTH(A206))</f>
        <v/>
      </c>
      <c r="C206" s="52"/>
      <c r="D206" s="52"/>
      <c r="E206" s="52"/>
      <c r="F206" s="52"/>
      <c r="G206" s="55" t="str">
        <f aca="false">IF(C206="","",IFERROR(INDEX('DANH MỤC'!$B$5:$B$200,MATCH(C206,'DANH MỤC'!$A$5:$A$200,0)),"⚠ Mã chưa có trong DANH MỤC"))</f>
        <v/>
      </c>
      <c r="H206" s="52"/>
      <c r="I206" s="52"/>
    </row>
    <row r="207" customFormat="false" ht="15" hidden="false" customHeight="false" outlineLevel="0" collapsed="false">
      <c r="A207" s="50"/>
      <c r="B207" s="51" t="str">
        <f aca="false">IF(A207="","",MONTH(A207))</f>
        <v/>
      </c>
      <c r="C207" s="52"/>
      <c r="D207" s="52"/>
      <c r="E207" s="52"/>
      <c r="F207" s="52"/>
      <c r="G207" s="55" t="str">
        <f aca="false">IF(C207="","",IFERROR(INDEX('DANH MỤC'!$B$5:$B$200,MATCH(C207,'DANH MỤC'!$A$5:$A$200,0)),"⚠ Mã chưa có trong DANH MỤC"))</f>
        <v/>
      </c>
      <c r="H207" s="52"/>
      <c r="I207" s="52"/>
    </row>
    <row r="208" customFormat="false" ht="15" hidden="false" customHeight="false" outlineLevel="0" collapsed="false">
      <c r="A208" s="50"/>
      <c r="B208" s="51" t="str">
        <f aca="false">IF(A208="","",MONTH(A208))</f>
        <v/>
      </c>
      <c r="C208" s="52"/>
      <c r="D208" s="52"/>
      <c r="E208" s="52"/>
      <c r="F208" s="52"/>
      <c r="G208" s="55" t="str">
        <f aca="false">IF(C208="","",IFERROR(INDEX('DANH MỤC'!$B$5:$B$200,MATCH(C208,'DANH MỤC'!$A$5:$A$200,0)),"⚠ Mã chưa có trong DANH MỤC"))</f>
        <v/>
      </c>
      <c r="H208" s="52"/>
      <c r="I208" s="52"/>
    </row>
    <row r="209" customFormat="false" ht="15" hidden="false" customHeight="false" outlineLevel="0" collapsed="false">
      <c r="A209" s="50"/>
      <c r="B209" s="51" t="str">
        <f aca="false">IF(A209="","",MONTH(A209))</f>
        <v/>
      </c>
      <c r="C209" s="52"/>
      <c r="D209" s="52"/>
      <c r="E209" s="52"/>
      <c r="F209" s="52"/>
      <c r="G209" s="55" t="str">
        <f aca="false">IF(C209="","",IFERROR(INDEX('DANH MỤC'!$B$5:$B$200,MATCH(C209,'DANH MỤC'!$A$5:$A$200,0)),"⚠ Mã chưa có trong DANH MỤC"))</f>
        <v/>
      </c>
      <c r="H209" s="52"/>
      <c r="I209" s="52"/>
    </row>
    <row r="210" customFormat="false" ht="15" hidden="false" customHeight="false" outlineLevel="0" collapsed="false">
      <c r="A210" s="50"/>
      <c r="B210" s="51" t="str">
        <f aca="false">IF(A210="","",MONTH(A210))</f>
        <v/>
      </c>
      <c r="C210" s="52"/>
      <c r="D210" s="52"/>
      <c r="E210" s="52"/>
      <c r="F210" s="52"/>
      <c r="G210" s="55" t="str">
        <f aca="false">IF(C210="","",IFERROR(INDEX('DANH MỤC'!$B$5:$B$200,MATCH(C210,'DANH MỤC'!$A$5:$A$200,0)),"⚠ Mã chưa có trong DANH MỤC"))</f>
        <v/>
      </c>
      <c r="H210" s="52"/>
      <c r="I210" s="52"/>
    </row>
    <row r="211" customFormat="false" ht="15" hidden="false" customHeight="false" outlineLevel="0" collapsed="false">
      <c r="A211" s="50"/>
      <c r="B211" s="51" t="str">
        <f aca="false">IF(A211="","",MONTH(A211))</f>
        <v/>
      </c>
      <c r="C211" s="52"/>
      <c r="D211" s="52"/>
      <c r="E211" s="52"/>
      <c r="F211" s="52"/>
      <c r="G211" s="55" t="str">
        <f aca="false">IF(C211="","",IFERROR(INDEX('DANH MỤC'!$B$5:$B$200,MATCH(C211,'DANH MỤC'!$A$5:$A$200,0)),"⚠ Mã chưa có trong DANH MỤC"))</f>
        <v/>
      </c>
      <c r="H211" s="52"/>
      <c r="I211" s="52"/>
    </row>
    <row r="212" customFormat="false" ht="15" hidden="false" customHeight="false" outlineLevel="0" collapsed="false">
      <c r="A212" s="50"/>
      <c r="B212" s="51" t="str">
        <f aca="false">IF(A212="","",MONTH(A212))</f>
        <v/>
      </c>
      <c r="C212" s="52"/>
      <c r="D212" s="52"/>
      <c r="E212" s="52"/>
      <c r="F212" s="52"/>
      <c r="G212" s="55" t="str">
        <f aca="false">IF(C212="","",IFERROR(INDEX('DANH MỤC'!$B$5:$B$200,MATCH(C212,'DANH MỤC'!$A$5:$A$200,0)),"⚠ Mã chưa có trong DANH MỤC"))</f>
        <v/>
      </c>
      <c r="H212" s="52"/>
      <c r="I212" s="52"/>
    </row>
    <row r="213" customFormat="false" ht="15" hidden="false" customHeight="false" outlineLevel="0" collapsed="false">
      <c r="A213" s="50"/>
      <c r="B213" s="51" t="str">
        <f aca="false">IF(A213="","",MONTH(A213))</f>
        <v/>
      </c>
      <c r="C213" s="52"/>
      <c r="D213" s="52"/>
      <c r="E213" s="52"/>
      <c r="F213" s="52"/>
      <c r="G213" s="55" t="str">
        <f aca="false">IF(C213="","",IFERROR(INDEX('DANH MỤC'!$B$5:$B$200,MATCH(C213,'DANH MỤC'!$A$5:$A$200,0)),"⚠ Mã chưa có trong DANH MỤC"))</f>
        <v/>
      </c>
      <c r="H213" s="52"/>
      <c r="I213" s="52"/>
    </row>
    <row r="214" customFormat="false" ht="15" hidden="false" customHeight="false" outlineLevel="0" collapsed="false">
      <c r="A214" s="50"/>
      <c r="B214" s="51" t="str">
        <f aca="false">IF(A214="","",MONTH(A214))</f>
        <v/>
      </c>
      <c r="C214" s="52"/>
      <c r="D214" s="52"/>
      <c r="E214" s="52"/>
      <c r="F214" s="52"/>
      <c r="G214" s="55" t="str">
        <f aca="false">IF(C214="","",IFERROR(INDEX('DANH MỤC'!$B$5:$B$200,MATCH(C214,'DANH MỤC'!$A$5:$A$200,0)),"⚠ Mã chưa có trong DANH MỤC"))</f>
        <v/>
      </c>
      <c r="H214" s="52"/>
      <c r="I214" s="52"/>
    </row>
    <row r="215" customFormat="false" ht="15" hidden="false" customHeight="false" outlineLevel="0" collapsed="false">
      <c r="A215" s="50"/>
      <c r="B215" s="51" t="str">
        <f aca="false">IF(A215="","",MONTH(A215))</f>
        <v/>
      </c>
      <c r="C215" s="52"/>
      <c r="D215" s="52"/>
      <c r="E215" s="52"/>
      <c r="F215" s="52"/>
      <c r="G215" s="55" t="str">
        <f aca="false">IF(C215="","",IFERROR(INDEX('DANH MỤC'!$B$5:$B$200,MATCH(C215,'DANH MỤC'!$A$5:$A$200,0)),"⚠ Mã chưa có trong DANH MỤC"))</f>
        <v/>
      </c>
      <c r="H215" s="52"/>
      <c r="I215" s="52"/>
    </row>
    <row r="216" customFormat="false" ht="15" hidden="false" customHeight="false" outlineLevel="0" collapsed="false">
      <c r="A216" s="50"/>
      <c r="B216" s="51" t="str">
        <f aca="false">IF(A216="","",MONTH(A216))</f>
        <v/>
      </c>
      <c r="C216" s="52"/>
      <c r="D216" s="52"/>
      <c r="E216" s="52"/>
      <c r="F216" s="52"/>
      <c r="G216" s="55" t="str">
        <f aca="false">IF(C216="","",IFERROR(INDEX('DANH MỤC'!$B$5:$B$200,MATCH(C216,'DANH MỤC'!$A$5:$A$200,0)),"⚠ Mã chưa có trong DANH MỤC"))</f>
        <v/>
      </c>
      <c r="H216" s="52"/>
      <c r="I216" s="52"/>
    </row>
    <row r="217" customFormat="false" ht="15" hidden="false" customHeight="false" outlineLevel="0" collapsed="false">
      <c r="A217" s="50"/>
      <c r="B217" s="51" t="str">
        <f aca="false">IF(A217="","",MONTH(A217))</f>
        <v/>
      </c>
      <c r="C217" s="52"/>
      <c r="D217" s="52"/>
      <c r="E217" s="52"/>
      <c r="F217" s="52"/>
      <c r="G217" s="55" t="str">
        <f aca="false">IF(C217="","",IFERROR(INDEX('DANH MỤC'!$B$5:$B$200,MATCH(C217,'DANH MỤC'!$A$5:$A$200,0)),"⚠ Mã chưa có trong DANH MỤC"))</f>
        <v/>
      </c>
      <c r="H217" s="52"/>
      <c r="I217" s="52"/>
    </row>
    <row r="218" customFormat="false" ht="15" hidden="false" customHeight="false" outlineLevel="0" collapsed="false">
      <c r="A218" s="50"/>
      <c r="B218" s="51" t="str">
        <f aca="false">IF(A218="","",MONTH(A218))</f>
        <v/>
      </c>
      <c r="C218" s="52"/>
      <c r="D218" s="52"/>
      <c r="E218" s="52"/>
      <c r="F218" s="52"/>
      <c r="G218" s="55" t="str">
        <f aca="false">IF(C218="","",IFERROR(INDEX('DANH MỤC'!$B$5:$B$200,MATCH(C218,'DANH MỤC'!$A$5:$A$200,0)),"⚠ Mã chưa có trong DANH MỤC"))</f>
        <v/>
      </c>
      <c r="H218" s="52"/>
      <c r="I218" s="52"/>
    </row>
    <row r="219" customFormat="false" ht="15" hidden="false" customHeight="false" outlineLevel="0" collapsed="false">
      <c r="A219" s="50"/>
      <c r="B219" s="51" t="str">
        <f aca="false">IF(A219="","",MONTH(A219))</f>
        <v/>
      </c>
      <c r="C219" s="52"/>
      <c r="D219" s="52"/>
      <c r="E219" s="52"/>
      <c r="F219" s="52"/>
      <c r="G219" s="55" t="str">
        <f aca="false">IF(C219="","",IFERROR(INDEX('DANH MỤC'!$B$5:$B$200,MATCH(C219,'DANH MỤC'!$A$5:$A$200,0)),"⚠ Mã chưa có trong DANH MỤC"))</f>
        <v/>
      </c>
      <c r="H219" s="52"/>
      <c r="I219" s="52"/>
    </row>
    <row r="220" customFormat="false" ht="15" hidden="false" customHeight="false" outlineLevel="0" collapsed="false">
      <c r="A220" s="50"/>
      <c r="B220" s="51" t="str">
        <f aca="false">IF(A220="","",MONTH(A220))</f>
        <v/>
      </c>
      <c r="C220" s="52"/>
      <c r="D220" s="52"/>
      <c r="E220" s="52"/>
      <c r="F220" s="52"/>
      <c r="G220" s="55" t="str">
        <f aca="false">IF(C220="","",IFERROR(INDEX('DANH MỤC'!$B$5:$B$200,MATCH(C220,'DANH MỤC'!$A$5:$A$200,0)),"⚠ Mã chưa có trong DANH MỤC"))</f>
        <v/>
      </c>
      <c r="H220" s="52"/>
      <c r="I220" s="52"/>
    </row>
    <row r="221" customFormat="false" ht="15" hidden="false" customHeight="false" outlineLevel="0" collapsed="false">
      <c r="A221" s="50"/>
      <c r="B221" s="51" t="str">
        <f aca="false">IF(A221="","",MONTH(A221))</f>
        <v/>
      </c>
      <c r="C221" s="52"/>
      <c r="D221" s="52"/>
      <c r="E221" s="52"/>
      <c r="F221" s="52"/>
      <c r="G221" s="55" t="str">
        <f aca="false">IF(C221="","",IFERROR(INDEX('DANH MỤC'!$B$5:$B$200,MATCH(C221,'DANH MỤC'!$A$5:$A$200,0)),"⚠ Mã chưa có trong DANH MỤC"))</f>
        <v/>
      </c>
      <c r="H221" s="52"/>
      <c r="I221" s="52"/>
    </row>
    <row r="222" customFormat="false" ht="15" hidden="false" customHeight="false" outlineLevel="0" collapsed="false">
      <c r="A222" s="50"/>
      <c r="B222" s="51" t="str">
        <f aca="false">IF(A222="","",MONTH(A222))</f>
        <v/>
      </c>
      <c r="C222" s="52"/>
      <c r="D222" s="52"/>
      <c r="E222" s="52"/>
      <c r="F222" s="52"/>
      <c r="G222" s="55" t="str">
        <f aca="false">IF(C222="","",IFERROR(INDEX('DANH MỤC'!$B$5:$B$200,MATCH(C222,'DANH MỤC'!$A$5:$A$200,0)),"⚠ Mã chưa có trong DANH MỤC"))</f>
        <v/>
      </c>
      <c r="H222" s="52"/>
      <c r="I222" s="52"/>
    </row>
    <row r="223" customFormat="false" ht="15" hidden="false" customHeight="false" outlineLevel="0" collapsed="false">
      <c r="A223" s="50"/>
      <c r="B223" s="51" t="str">
        <f aca="false">IF(A223="","",MONTH(A223))</f>
        <v/>
      </c>
      <c r="C223" s="52"/>
      <c r="D223" s="52"/>
      <c r="E223" s="52"/>
      <c r="F223" s="52"/>
      <c r="G223" s="55" t="str">
        <f aca="false">IF(C223="","",IFERROR(INDEX('DANH MỤC'!$B$5:$B$200,MATCH(C223,'DANH MỤC'!$A$5:$A$200,0)),"⚠ Mã chưa có trong DANH MỤC"))</f>
        <v/>
      </c>
      <c r="H223" s="52"/>
      <c r="I223" s="52"/>
    </row>
    <row r="224" customFormat="false" ht="15" hidden="false" customHeight="false" outlineLevel="0" collapsed="false">
      <c r="A224" s="50"/>
      <c r="B224" s="51" t="str">
        <f aca="false">IF(A224="","",MONTH(A224))</f>
        <v/>
      </c>
      <c r="C224" s="52"/>
      <c r="D224" s="52"/>
      <c r="E224" s="52"/>
      <c r="F224" s="52"/>
      <c r="G224" s="55" t="str">
        <f aca="false">IF(C224="","",IFERROR(INDEX('DANH MỤC'!$B$5:$B$200,MATCH(C224,'DANH MỤC'!$A$5:$A$200,0)),"⚠ Mã chưa có trong DANH MỤC"))</f>
        <v/>
      </c>
      <c r="H224" s="52"/>
      <c r="I224" s="52"/>
    </row>
    <row r="225" customFormat="false" ht="15" hidden="false" customHeight="false" outlineLevel="0" collapsed="false">
      <c r="A225" s="50"/>
      <c r="B225" s="51" t="str">
        <f aca="false">IF(A225="","",MONTH(A225))</f>
        <v/>
      </c>
      <c r="C225" s="52"/>
      <c r="D225" s="52"/>
      <c r="E225" s="52"/>
      <c r="F225" s="52"/>
      <c r="G225" s="55" t="str">
        <f aca="false">IF(C225="","",IFERROR(INDEX('DANH MỤC'!$B$5:$B$200,MATCH(C225,'DANH MỤC'!$A$5:$A$200,0)),"⚠ Mã chưa có trong DANH MỤC"))</f>
        <v/>
      </c>
      <c r="H225" s="52"/>
      <c r="I225" s="52"/>
    </row>
    <row r="226" customFormat="false" ht="15" hidden="false" customHeight="false" outlineLevel="0" collapsed="false">
      <c r="A226" s="50"/>
      <c r="B226" s="51" t="str">
        <f aca="false">IF(A226="","",MONTH(A226))</f>
        <v/>
      </c>
      <c r="C226" s="52"/>
      <c r="D226" s="52"/>
      <c r="E226" s="52"/>
      <c r="F226" s="52"/>
      <c r="G226" s="55" t="str">
        <f aca="false">IF(C226="","",IFERROR(INDEX('DANH MỤC'!$B$5:$B$200,MATCH(C226,'DANH MỤC'!$A$5:$A$200,0)),"⚠ Mã chưa có trong DANH MỤC"))</f>
        <v/>
      </c>
      <c r="H226" s="52"/>
      <c r="I226" s="52"/>
    </row>
    <row r="227" customFormat="false" ht="15" hidden="false" customHeight="false" outlineLevel="0" collapsed="false">
      <c r="A227" s="50"/>
      <c r="B227" s="51" t="str">
        <f aca="false">IF(A227="","",MONTH(A227))</f>
        <v/>
      </c>
      <c r="C227" s="52"/>
      <c r="D227" s="52"/>
      <c r="E227" s="52"/>
      <c r="F227" s="52"/>
      <c r="G227" s="55" t="str">
        <f aca="false">IF(C227="","",IFERROR(INDEX('DANH MỤC'!$B$5:$B$200,MATCH(C227,'DANH MỤC'!$A$5:$A$200,0)),"⚠ Mã chưa có trong DANH MỤC"))</f>
        <v/>
      </c>
      <c r="H227" s="52"/>
      <c r="I227" s="52"/>
    </row>
    <row r="228" customFormat="false" ht="15" hidden="false" customHeight="false" outlineLevel="0" collapsed="false">
      <c r="A228" s="50"/>
      <c r="B228" s="51" t="str">
        <f aca="false">IF(A228="","",MONTH(A228))</f>
        <v/>
      </c>
      <c r="C228" s="52"/>
      <c r="D228" s="52"/>
      <c r="E228" s="52"/>
      <c r="F228" s="52"/>
      <c r="G228" s="55" t="str">
        <f aca="false">IF(C228="","",IFERROR(INDEX('DANH MỤC'!$B$5:$B$200,MATCH(C228,'DANH MỤC'!$A$5:$A$200,0)),"⚠ Mã chưa có trong DANH MỤC"))</f>
        <v/>
      </c>
      <c r="H228" s="52"/>
      <c r="I228" s="52"/>
    </row>
    <row r="229" customFormat="false" ht="15" hidden="false" customHeight="false" outlineLevel="0" collapsed="false">
      <c r="A229" s="50"/>
      <c r="B229" s="51" t="str">
        <f aca="false">IF(A229="","",MONTH(A229))</f>
        <v/>
      </c>
      <c r="C229" s="52"/>
      <c r="D229" s="52"/>
      <c r="E229" s="52"/>
      <c r="F229" s="52"/>
      <c r="G229" s="55" t="str">
        <f aca="false">IF(C229="","",IFERROR(INDEX('DANH MỤC'!$B$5:$B$200,MATCH(C229,'DANH MỤC'!$A$5:$A$200,0)),"⚠ Mã chưa có trong DANH MỤC"))</f>
        <v/>
      </c>
      <c r="H229" s="52"/>
      <c r="I229" s="52"/>
    </row>
    <row r="230" customFormat="false" ht="15" hidden="false" customHeight="false" outlineLevel="0" collapsed="false">
      <c r="A230" s="50"/>
      <c r="B230" s="51" t="str">
        <f aca="false">IF(A230="","",MONTH(A230))</f>
        <v/>
      </c>
      <c r="C230" s="52"/>
      <c r="D230" s="52"/>
      <c r="E230" s="52"/>
      <c r="F230" s="52"/>
      <c r="G230" s="55" t="str">
        <f aca="false">IF(C230="","",IFERROR(INDEX('DANH MỤC'!$B$5:$B$200,MATCH(C230,'DANH MỤC'!$A$5:$A$200,0)),"⚠ Mã chưa có trong DANH MỤC"))</f>
        <v/>
      </c>
      <c r="H230" s="52"/>
      <c r="I230" s="52"/>
    </row>
    <row r="231" customFormat="false" ht="15" hidden="false" customHeight="false" outlineLevel="0" collapsed="false">
      <c r="A231" s="50"/>
      <c r="B231" s="51" t="str">
        <f aca="false">IF(A231="","",MONTH(A231))</f>
        <v/>
      </c>
      <c r="C231" s="52"/>
      <c r="D231" s="52"/>
      <c r="E231" s="52"/>
      <c r="F231" s="52"/>
      <c r="G231" s="55" t="str">
        <f aca="false">IF(C231="","",IFERROR(INDEX('DANH MỤC'!$B$5:$B$200,MATCH(C231,'DANH MỤC'!$A$5:$A$200,0)),"⚠ Mã chưa có trong DANH MỤC"))</f>
        <v/>
      </c>
      <c r="H231" s="52"/>
      <c r="I231" s="52"/>
    </row>
    <row r="232" customFormat="false" ht="15" hidden="false" customHeight="false" outlineLevel="0" collapsed="false">
      <c r="A232" s="50"/>
      <c r="B232" s="51" t="str">
        <f aca="false">IF(A232="","",MONTH(A232))</f>
        <v/>
      </c>
      <c r="C232" s="52"/>
      <c r="D232" s="52"/>
      <c r="E232" s="52"/>
      <c r="F232" s="52"/>
      <c r="G232" s="55" t="str">
        <f aca="false">IF(C232="","",IFERROR(INDEX('DANH MỤC'!$B$5:$B$200,MATCH(C232,'DANH MỤC'!$A$5:$A$200,0)),"⚠ Mã chưa có trong DANH MỤC"))</f>
        <v/>
      </c>
      <c r="H232" s="52"/>
      <c r="I232" s="52"/>
    </row>
    <row r="233" customFormat="false" ht="15" hidden="false" customHeight="false" outlineLevel="0" collapsed="false">
      <c r="A233" s="50"/>
      <c r="B233" s="51" t="str">
        <f aca="false">IF(A233="","",MONTH(A233))</f>
        <v/>
      </c>
      <c r="C233" s="52"/>
      <c r="D233" s="52"/>
      <c r="E233" s="52"/>
      <c r="F233" s="52"/>
      <c r="G233" s="55" t="str">
        <f aca="false">IF(C233="","",IFERROR(INDEX('DANH MỤC'!$B$5:$B$200,MATCH(C233,'DANH MỤC'!$A$5:$A$200,0)),"⚠ Mã chưa có trong DANH MỤC"))</f>
        <v/>
      </c>
      <c r="H233" s="52"/>
      <c r="I233" s="52"/>
    </row>
    <row r="234" customFormat="false" ht="15" hidden="false" customHeight="false" outlineLevel="0" collapsed="false">
      <c r="A234" s="50"/>
      <c r="B234" s="51" t="str">
        <f aca="false">IF(A234="","",MONTH(A234))</f>
        <v/>
      </c>
      <c r="C234" s="52"/>
      <c r="D234" s="52"/>
      <c r="E234" s="52"/>
      <c r="F234" s="52"/>
      <c r="G234" s="55" t="str">
        <f aca="false">IF(C234="","",IFERROR(INDEX('DANH MỤC'!$B$5:$B$200,MATCH(C234,'DANH MỤC'!$A$5:$A$200,0)),"⚠ Mã chưa có trong DANH MỤC"))</f>
        <v/>
      </c>
      <c r="H234" s="52"/>
      <c r="I234" s="52"/>
    </row>
    <row r="235" customFormat="false" ht="15" hidden="false" customHeight="false" outlineLevel="0" collapsed="false">
      <c r="A235" s="50"/>
      <c r="B235" s="51" t="str">
        <f aca="false">IF(A235="","",MONTH(A235))</f>
        <v/>
      </c>
      <c r="C235" s="52"/>
      <c r="D235" s="52"/>
      <c r="E235" s="52"/>
      <c r="F235" s="52"/>
      <c r="G235" s="55" t="str">
        <f aca="false">IF(C235="","",IFERROR(INDEX('DANH MỤC'!$B$5:$B$200,MATCH(C235,'DANH MỤC'!$A$5:$A$200,0)),"⚠ Mã chưa có trong DANH MỤC"))</f>
        <v/>
      </c>
      <c r="H235" s="52"/>
      <c r="I235" s="52"/>
    </row>
    <row r="236" customFormat="false" ht="15" hidden="false" customHeight="false" outlineLevel="0" collapsed="false">
      <c r="A236" s="50"/>
      <c r="B236" s="51" t="str">
        <f aca="false">IF(A236="","",MONTH(A236))</f>
        <v/>
      </c>
      <c r="C236" s="52"/>
      <c r="D236" s="52"/>
      <c r="E236" s="52"/>
      <c r="F236" s="52"/>
      <c r="G236" s="55" t="str">
        <f aca="false">IF(C236="","",IFERROR(INDEX('DANH MỤC'!$B$5:$B$200,MATCH(C236,'DANH MỤC'!$A$5:$A$200,0)),"⚠ Mã chưa có trong DANH MỤC"))</f>
        <v/>
      </c>
      <c r="H236" s="52"/>
      <c r="I236" s="52"/>
    </row>
    <row r="237" customFormat="false" ht="15" hidden="false" customHeight="false" outlineLevel="0" collapsed="false">
      <c r="A237" s="50"/>
      <c r="B237" s="51" t="str">
        <f aca="false">IF(A237="","",MONTH(A237))</f>
        <v/>
      </c>
      <c r="C237" s="52"/>
      <c r="D237" s="52"/>
      <c r="E237" s="52"/>
      <c r="F237" s="52"/>
      <c r="G237" s="55" t="str">
        <f aca="false">IF(C237="","",IFERROR(INDEX('DANH MỤC'!$B$5:$B$200,MATCH(C237,'DANH MỤC'!$A$5:$A$200,0)),"⚠ Mã chưa có trong DANH MỤC"))</f>
        <v/>
      </c>
      <c r="H237" s="52"/>
      <c r="I237" s="52"/>
    </row>
    <row r="238" customFormat="false" ht="15" hidden="false" customHeight="false" outlineLevel="0" collapsed="false">
      <c r="A238" s="50"/>
      <c r="B238" s="51" t="str">
        <f aca="false">IF(A238="","",MONTH(A238))</f>
        <v/>
      </c>
      <c r="C238" s="52"/>
      <c r="D238" s="52"/>
      <c r="E238" s="52"/>
      <c r="F238" s="52"/>
      <c r="G238" s="55" t="str">
        <f aca="false">IF(C238="","",IFERROR(INDEX('DANH MỤC'!$B$5:$B$200,MATCH(C238,'DANH MỤC'!$A$5:$A$200,0)),"⚠ Mã chưa có trong DANH MỤC"))</f>
        <v/>
      </c>
      <c r="H238" s="52"/>
      <c r="I238" s="52"/>
    </row>
    <row r="239" customFormat="false" ht="15" hidden="false" customHeight="false" outlineLevel="0" collapsed="false">
      <c r="A239" s="50"/>
      <c r="B239" s="51" t="str">
        <f aca="false">IF(A239="","",MONTH(A239))</f>
        <v/>
      </c>
      <c r="C239" s="52"/>
      <c r="D239" s="52"/>
      <c r="E239" s="52"/>
      <c r="F239" s="52"/>
      <c r="G239" s="55" t="str">
        <f aca="false">IF(C239="","",IFERROR(INDEX('DANH MỤC'!$B$5:$B$200,MATCH(C239,'DANH MỤC'!$A$5:$A$200,0)),"⚠ Mã chưa có trong DANH MỤC"))</f>
        <v/>
      </c>
      <c r="H239" s="52"/>
      <c r="I239" s="52"/>
    </row>
    <row r="240" customFormat="false" ht="15" hidden="false" customHeight="false" outlineLevel="0" collapsed="false">
      <c r="A240" s="50"/>
      <c r="B240" s="51" t="str">
        <f aca="false">IF(A240="","",MONTH(A240))</f>
        <v/>
      </c>
      <c r="C240" s="52"/>
      <c r="D240" s="52"/>
      <c r="E240" s="52"/>
      <c r="F240" s="52"/>
      <c r="G240" s="55" t="str">
        <f aca="false">IF(C240="","",IFERROR(INDEX('DANH MỤC'!$B$5:$B$200,MATCH(C240,'DANH MỤC'!$A$5:$A$200,0)),"⚠ Mã chưa có trong DANH MỤC"))</f>
        <v/>
      </c>
      <c r="H240" s="52"/>
      <c r="I240" s="52"/>
    </row>
    <row r="241" customFormat="false" ht="15" hidden="false" customHeight="false" outlineLevel="0" collapsed="false">
      <c r="A241" s="50"/>
      <c r="B241" s="51" t="str">
        <f aca="false">IF(A241="","",MONTH(A241))</f>
        <v/>
      </c>
      <c r="C241" s="52"/>
      <c r="D241" s="52"/>
      <c r="E241" s="52"/>
      <c r="F241" s="52"/>
      <c r="G241" s="55" t="str">
        <f aca="false">IF(C241="","",IFERROR(INDEX('DANH MỤC'!$B$5:$B$200,MATCH(C241,'DANH MỤC'!$A$5:$A$200,0)),"⚠ Mã chưa có trong DANH MỤC"))</f>
        <v/>
      </c>
      <c r="H241" s="52"/>
      <c r="I241" s="52"/>
    </row>
    <row r="242" customFormat="false" ht="15" hidden="false" customHeight="false" outlineLevel="0" collapsed="false">
      <c r="A242" s="50"/>
      <c r="B242" s="51" t="str">
        <f aca="false">IF(A242="","",MONTH(A242))</f>
        <v/>
      </c>
      <c r="C242" s="52"/>
      <c r="D242" s="52"/>
      <c r="E242" s="52"/>
      <c r="F242" s="52"/>
      <c r="G242" s="55" t="str">
        <f aca="false">IF(C242="","",IFERROR(INDEX('DANH MỤC'!$B$5:$B$200,MATCH(C242,'DANH MỤC'!$A$5:$A$200,0)),"⚠ Mã chưa có trong DANH MỤC"))</f>
        <v/>
      </c>
      <c r="H242" s="52"/>
      <c r="I242" s="52"/>
    </row>
    <row r="243" customFormat="false" ht="15" hidden="false" customHeight="false" outlineLevel="0" collapsed="false">
      <c r="A243" s="50"/>
      <c r="B243" s="51" t="str">
        <f aca="false">IF(A243="","",MONTH(A243))</f>
        <v/>
      </c>
      <c r="C243" s="52"/>
      <c r="D243" s="52"/>
      <c r="E243" s="52"/>
      <c r="F243" s="52"/>
      <c r="G243" s="55" t="str">
        <f aca="false">IF(C243="","",IFERROR(INDEX('DANH MỤC'!$B$5:$B$200,MATCH(C243,'DANH MỤC'!$A$5:$A$200,0)),"⚠ Mã chưa có trong DANH MỤC"))</f>
        <v/>
      </c>
      <c r="H243" s="52"/>
      <c r="I243" s="52"/>
    </row>
    <row r="244" customFormat="false" ht="15" hidden="false" customHeight="false" outlineLevel="0" collapsed="false">
      <c r="A244" s="50"/>
      <c r="B244" s="51" t="str">
        <f aca="false">IF(A244="","",MONTH(A244))</f>
        <v/>
      </c>
      <c r="C244" s="52"/>
      <c r="D244" s="52"/>
      <c r="E244" s="52"/>
      <c r="F244" s="52"/>
      <c r="G244" s="55" t="str">
        <f aca="false">IF(C244="","",IFERROR(INDEX('DANH MỤC'!$B$5:$B$200,MATCH(C244,'DANH MỤC'!$A$5:$A$200,0)),"⚠ Mã chưa có trong DANH MỤC"))</f>
        <v/>
      </c>
      <c r="H244" s="52"/>
      <c r="I244" s="52"/>
    </row>
    <row r="245" customFormat="false" ht="15" hidden="false" customHeight="false" outlineLevel="0" collapsed="false">
      <c r="A245" s="50"/>
      <c r="B245" s="51" t="str">
        <f aca="false">IF(A245="","",MONTH(A245))</f>
        <v/>
      </c>
      <c r="C245" s="52"/>
      <c r="D245" s="52"/>
      <c r="E245" s="52"/>
      <c r="F245" s="52"/>
      <c r="G245" s="55" t="str">
        <f aca="false">IF(C245="","",IFERROR(INDEX('DANH MỤC'!$B$5:$B$200,MATCH(C245,'DANH MỤC'!$A$5:$A$200,0)),"⚠ Mã chưa có trong DANH MỤC"))</f>
        <v/>
      </c>
      <c r="H245" s="52"/>
      <c r="I245" s="52"/>
    </row>
    <row r="246" customFormat="false" ht="15" hidden="false" customHeight="false" outlineLevel="0" collapsed="false">
      <c r="A246" s="50"/>
      <c r="B246" s="51" t="str">
        <f aca="false">IF(A246="","",MONTH(A246))</f>
        <v/>
      </c>
      <c r="C246" s="52"/>
      <c r="D246" s="52"/>
      <c r="E246" s="52"/>
      <c r="F246" s="52"/>
      <c r="G246" s="55" t="str">
        <f aca="false">IF(C246="","",IFERROR(INDEX('DANH MỤC'!$B$5:$B$200,MATCH(C246,'DANH MỤC'!$A$5:$A$200,0)),"⚠ Mã chưa có trong DANH MỤC"))</f>
        <v/>
      </c>
      <c r="H246" s="52"/>
      <c r="I246" s="52"/>
    </row>
    <row r="247" customFormat="false" ht="15" hidden="false" customHeight="false" outlineLevel="0" collapsed="false">
      <c r="A247" s="50"/>
      <c r="B247" s="51" t="str">
        <f aca="false">IF(A247="","",MONTH(A247))</f>
        <v/>
      </c>
      <c r="C247" s="52"/>
      <c r="D247" s="52"/>
      <c r="E247" s="52"/>
      <c r="F247" s="52"/>
      <c r="G247" s="55" t="str">
        <f aca="false">IF(C247="","",IFERROR(INDEX('DANH MỤC'!$B$5:$B$200,MATCH(C247,'DANH MỤC'!$A$5:$A$200,0)),"⚠ Mã chưa có trong DANH MỤC"))</f>
        <v/>
      </c>
      <c r="H247" s="52"/>
      <c r="I247" s="52"/>
    </row>
    <row r="248" customFormat="false" ht="15" hidden="false" customHeight="false" outlineLevel="0" collapsed="false">
      <c r="A248" s="50"/>
      <c r="B248" s="51" t="str">
        <f aca="false">IF(A248="","",MONTH(A248))</f>
        <v/>
      </c>
      <c r="C248" s="52"/>
      <c r="D248" s="52"/>
      <c r="E248" s="52"/>
      <c r="F248" s="52"/>
      <c r="G248" s="55" t="str">
        <f aca="false">IF(C248="","",IFERROR(INDEX('DANH MỤC'!$B$5:$B$200,MATCH(C248,'DANH MỤC'!$A$5:$A$200,0)),"⚠ Mã chưa có trong DANH MỤC"))</f>
        <v/>
      </c>
      <c r="H248" s="52"/>
      <c r="I248" s="52"/>
    </row>
    <row r="249" customFormat="false" ht="15" hidden="false" customHeight="false" outlineLevel="0" collapsed="false">
      <c r="A249" s="50"/>
      <c r="B249" s="51" t="str">
        <f aca="false">IF(A249="","",MONTH(A249))</f>
        <v/>
      </c>
      <c r="C249" s="52"/>
      <c r="D249" s="52"/>
      <c r="E249" s="52"/>
      <c r="F249" s="52"/>
      <c r="G249" s="55" t="str">
        <f aca="false">IF(C249="","",IFERROR(INDEX('DANH MỤC'!$B$5:$B$200,MATCH(C249,'DANH MỤC'!$A$5:$A$200,0)),"⚠ Mã chưa có trong DANH MỤC"))</f>
        <v/>
      </c>
      <c r="H249" s="52"/>
      <c r="I249" s="52"/>
    </row>
    <row r="250" customFormat="false" ht="15" hidden="false" customHeight="false" outlineLevel="0" collapsed="false">
      <c r="A250" s="50"/>
      <c r="B250" s="51" t="str">
        <f aca="false">IF(A250="","",MONTH(A250))</f>
        <v/>
      </c>
      <c r="C250" s="52"/>
      <c r="D250" s="52"/>
      <c r="E250" s="52"/>
      <c r="F250" s="52"/>
      <c r="G250" s="55" t="str">
        <f aca="false">IF(C250="","",IFERROR(INDEX('DANH MỤC'!$B$5:$B$200,MATCH(C250,'DANH MỤC'!$A$5:$A$200,0)),"⚠ Mã chưa có trong DANH MỤC"))</f>
        <v/>
      </c>
      <c r="H250" s="52"/>
      <c r="I250" s="52"/>
    </row>
    <row r="251" customFormat="false" ht="15" hidden="false" customHeight="false" outlineLevel="0" collapsed="false">
      <c r="A251" s="50"/>
      <c r="B251" s="51" t="str">
        <f aca="false">IF(A251="","",MONTH(A251))</f>
        <v/>
      </c>
      <c r="C251" s="52"/>
      <c r="D251" s="52"/>
      <c r="E251" s="52"/>
      <c r="F251" s="52"/>
      <c r="G251" s="55" t="str">
        <f aca="false">IF(C251="","",IFERROR(INDEX('DANH MỤC'!$B$5:$B$200,MATCH(C251,'DANH MỤC'!$A$5:$A$200,0)),"⚠ Mã chưa có trong DANH MỤC"))</f>
        <v/>
      </c>
      <c r="H251" s="52"/>
      <c r="I251" s="52"/>
    </row>
    <row r="252" customFormat="false" ht="15" hidden="false" customHeight="false" outlineLevel="0" collapsed="false">
      <c r="A252" s="50"/>
      <c r="B252" s="51" t="str">
        <f aca="false">IF(A252="","",MONTH(A252))</f>
        <v/>
      </c>
      <c r="C252" s="52"/>
      <c r="D252" s="52"/>
      <c r="E252" s="52"/>
      <c r="F252" s="52"/>
      <c r="G252" s="55" t="str">
        <f aca="false">IF(C252="","",IFERROR(INDEX('DANH MỤC'!$B$5:$B$200,MATCH(C252,'DANH MỤC'!$A$5:$A$200,0)),"⚠ Mã chưa có trong DANH MỤC"))</f>
        <v/>
      </c>
      <c r="H252" s="52"/>
      <c r="I252" s="52"/>
    </row>
    <row r="253" customFormat="false" ht="15" hidden="false" customHeight="false" outlineLevel="0" collapsed="false">
      <c r="A253" s="50"/>
      <c r="B253" s="51" t="str">
        <f aca="false">IF(A253="","",MONTH(A253))</f>
        <v/>
      </c>
      <c r="C253" s="52"/>
      <c r="D253" s="52"/>
      <c r="E253" s="52"/>
      <c r="F253" s="52"/>
      <c r="G253" s="55" t="str">
        <f aca="false">IF(C253="","",IFERROR(INDEX('DANH MỤC'!$B$5:$B$200,MATCH(C253,'DANH MỤC'!$A$5:$A$200,0)),"⚠ Mã chưa có trong DANH MỤC"))</f>
        <v/>
      </c>
      <c r="H253" s="52"/>
      <c r="I253" s="52"/>
    </row>
    <row r="254" customFormat="false" ht="15" hidden="false" customHeight="false" outlineLevel="0" collapsed="false">
      <c r="A254" s="50"/>
      <c r="B254" s="51" t="str">
        <f aca="false">IF(A254="","",MONTH(A254))</f>
        <v/>
      </c>
      <c r="C254" s="52"/>
      <c r="D254" s="52"/>
      <c r="E254" s="52"/>
      <c r="F254" s="52"/>
      <c r="G254" s="55" t="str">
        <f aca="false">IF(C254="","",IFERROR(INDEX('DANH MỤC'!$B$5:$B$200,MATCH(C254,'DANH MỤC'!$A$5:$A$200,0)),"⚠ Mã chưa có trong DANH MỤC"))</f>
        <v/>
      </c>
      <c r="H254" s="52"/>
      <c r="I254" s="52"/>
    </row>
    <row r="255" customFormat="false" ht="15" hidden="false" customHeight="false" outlineLevel="0" collapsed="false">
      <c r="A255" s="50"/>
      <c r="B255" s="51" t="str">
        <f aca="false">IF(A255="","",MONTH(A255))</f>
        <v/>
      </c>
      <c r="C255" s="52"/>
      <c r="D255" s="52"/>
      <c r="E255" s="52"/>
      <c r="F255" s="52"/>
      <c r="G255" s="55" t="str">
        <f aca="false">IF(C255="","",IFERROR(INDEX('DANH MỤC'!$B$5:$B$200,MATCH(C255,'DANH MỤC'!$A$5:$A$200,0)),"⚠ Mã chưa có trong DANH MỤC"))</f>
        <v/>
      </c>
      <c r="H255" s="52"/>
      <c r="I255" s="52"/>
    </row>
    <row r="256" customFormat="false" ht="15" hidden="false" customHeight="false" outlineLevel="0" collapsed="false">
      <c r="A256" s="50"/>
      <c r="B256" s="51" t="str">
        <f aca="false">IF(A256="","",MONTH(A256))</f>
        <v/>
      </c>
      <c r="C256" s="52"/>
      <c r="D256" s="52"/>
      <c r="E256" s="52"/>
      <c r="F256" s="52"/>
      <c r="G256" s="55" t="str">
        <f aca="false">IF(C256="","",IFERROR(INDEX('DANH MỤC'!$B$5:$B$200,MATCH(C256,'DANH MỤC'!$A$5:$A$200,0)),"⚠ Mã chưa có trong DANH MỤC"))</f>
        <v/>
      </c>
      <c r="H256" s="52"/>
      <c r="I256" s="52"/>
    </row>
    <row r="257" customFormat="false" ht="15" hidden="false" customHeight="false" outlineLevel="0" collapsed="false">
      <c r="A257" s="50"/>
      <c r="B257" s="51" t="str">
        <f aca="false">IF(A257="","",MONTH(A257))</f>
        <v/>
      </c>
      <c r="C257" s="52"/>
      <c r="D257" s="52"/>
      <c r="E257" s="52"/>
      <c r="F257" s="52"/>
      <c r="G257" s="55" t="str">
        <f aca="false">IF(C257="","",IFERROR(INDEX('DANH MỤC'!$B$5:$B$200,MATCH(C257,'DANH MỤC'!$A$5:$A$200,0)),"⚠ Mã chưa có trong DANH MỤC"))</f>
        <v/>
      </c>
      <c r="H257" s="52"/>
      <c r="I257" s="52"/>
    </row>
    <row r="258" customFormat="false" ht="15" hidden="false" customHeight="false" outlineLevel="0" collapsed="false">
      <c r="A258" s="50"/>
      <c r="B258" s="51" t="str">
        <f aca="false">IF(A258="","",MONTH(A258))</f>
        <v/>
      </c>
      <c r="C258" s="52"/>
      <c r="D258" s="52"/>
      <c r="E258" s="52"/>
      <c r="F258" s="52"/>
      <c r="G258" s="55" t="str">
        <f aca="false">IF(C258="","",IFERROR(INDEX('DANH MỤC'!$B$5:$B$200,MATCH(C258,'DANH MỤC'!$A$5:$A$200,0)),"⚠ Mã chưa có trong DANH MỤC"))</f>
        <v/>
      </c>
      <c r="H258" s="52"/>
      <c r="I258" s="52"/>
    </row>
    <row r="259" customFormat="false" ht="15" hidden="false" customHeight="false" outlineLevel="0" collapsed="false">
      <c r="A259" s="50"/>
      <c r="B259" s="51" t="str">
        <f aca="false">IF(A259="","",MONTH(A259))</f>
        <v/>
      </c>
      <c r="C259" s="52"/>
      <c r="D259" s="52"/>
      <c r="E259" s="52"/>
      <c r="F259" s="52"/>
      <c r="G259" s="55" t="str">
        <f aca="false">IF(C259="","",IFERROR(INDEX('DANH MỤC'!$B$5:$B$200,MATCH(C259,'DANH MỤC'!$A$5:$A$200,0)),"⚠ Mã chưa có trong DANH MỤC"))</f>
        <v/>
      </c>
      <c r="H259" s="52"/>
      <c r="I259" s="52"/>
    </row>
    <row r="260" customFormat="false" ht="15" hidden="false" customHeight="false" outlineLevel="0" collapsed="false">
      <c r="A260" s="50"/>
      <c r="B260" s="51" t="str">
        <f aca="false">IF(A260="","",MONTH(A260))</f>
        <v/>
      </c>
      <c r="C260" s="52"/>
      <c r="D260" s="52"/>
      <c r="E260" s="52"/>
      <c r="F260" s="52"/>
      <c r="G260" s="55" t="str">
        <f aca="false">IF(C260="","",IFERROR(INDEX('DANH MỤC'!$B$5:$B$200,MATCH(C260,'DANH MỤC'!$A$5:$A$200,0)),"⚠ Mã chưa có trong DANH MỤC"))</f>
        <v/>
      </c>
      <c r="H260" s="52"/>
      <c r="I260" s="52"/>
    </row>
    <row r="261" customFormat="false" ht="15" hidden="false" customHeight="false" outlineLevel="0" collapsed="false">
      <c r="A261" s="50"/>
      <c r="B261" s="51" t="str">
        <f aca="false">IF(A261="","",MONTH(A261))</f>
        <v/>
      </c>
      <c r="C261" s="52"/>
      <c r="D261" s="52"/>
      <c r="E261" s="52"/>
      <c r="F261" s="52"/>
      <c r="G261" s="55" t="str">
        <f aca="false">IF(C261="","",IFERROR(INDEX('DANH MỤC'!$B$5:$B$200,MATCH(C261,'DANH MỤC'!$A$5:$A$200,0)),"⚠ Mã chưa có trong DANH MỤC"))</f>
        <v/>
      </c>
      <c r="H261" s="52"/>
      <c r="I261" s="52"/>
    </row>
    <row r="262" customFormat="false" ht="15" hidden="false" customHeight="false" outlineLevel="0" collapsed="false">
      <c r="A262" s="50"/>
      <c r="B262" s="51" t="str">
        <f aca="false">IF(A262="","",MONTH(A262))</f>
        <v/>
      </c>
      <c r="C262" s="52"/>
      <c r="D262" s="52"/>
      <c r="E262" s="52"/>
      <c r="F262" s="52"/>
      <c r="G262" s="55" t="str">
        <f aca="false">IF(C262="","",IFERROR(INDEX('DANH MỤC'!$B$5:$B$200,MATCH(C262,'DANH MỤC'!$A$5:$A$200,0)),"⚠ Mã chưa có trong DANH MỤC"))</f>
        <v/>
      </c>
      <c r="H262" s="52"/>
      <c r="I262" s="52"/>
    </row>
    <row r="263" customFormat="false" ht="15" hidden="false" customHeight="false" outlineLevel="0" collapsed="false">
      <c r="A263" s="50"/>
      <c r="B263" s="51" t="str">
        <f aca="false">IF(A263="","",MONTH(A263))</f>
        <v/>
      </c>
      <c r="C263" s="52"/>
      <c r="D263" s="52"/>
      <c r="E263" s="52"/>
      <c r="F263" s="52"/>
      <c r="G263" s="55" t="str">
        <f aca="false">IF(C263="","",IFERROR(INDEX('DANH MỤC'!$B$5:$B$200,MATCH(C263,'DANH MỤC'!$A$5:$A$200,0)),"⚠ Mã chưa có trong DANH MỤC"))</f>
        <v/>
      </c>
      <c r="H263" s="52"/>
      <c r="I263" s="52"/>
    </row>
    <row r="264" customFormat="false" ht="15" hidden="false" customHeight="false" outlineLevel="0" collapsed="false">
      <c r="A264" s="50"/>
      <c r="B264" s="51" t="str">
        <f aca="false">IF(A264="","",MONTH(A264))</f>
        <v/>
      </c>
      <c r="C264" s="52"/>
      <c r="D264" s="52"/>
      <c r="E264" s="52"/>
      <c r="F264" s="52"/>
      <c r="G264" s="55" t="str">
        <f aca="false">IF(C264="","",IFERROR(INDEX('DANH MỤC'!$B$5:$B$200,MATCH(C264,'DANH MỤC'!$A$5:$A$200,0)),"⚠ Mã chưa có trong DANH MỤC"))</f>
        <v/>
      </c>
      <c r="H264" s="52"/>
      <c r="I264" s="52"/>
    </row>
    <row r="265" customFormat="false" ht="15" hidden="false" customHeight="false" outlineLevel="0" collapsed="false">
      <c r="A265" s="50"/>
      <c r="B265" s="51" t="str">
        <f aca="false">IF(A265="","",MONTH(A265))</f>
        <v/>
      </c>
      <c r="C265" s="52"/>
      <c r="D265" s="52"/>
      <c r="E265" s="52"/>
      <c r="F265" s="52"/>
      <c r="G265" s="55" t="str">
        <f aca="false">IF(C265="","",IFERROR(INDEX('DANH MỤC'!$B$5:$B$200,MATCH(C265,'DANH MỤC'!$A$5:$A$200,0)),"⚠ Mã chưa có trong DANH MỤC"))</f>
        <v/>
      </c>
      <c r="H265" s="52"/>
      <c r="I265" s="52"/>
    </row>
    <row r="266" customFormat="false" ht="15" hidden="false" customHeight="false" outlineLevel="0" collapsed="false">
      <c r="A266" s="50"/>
      <c r="B266" s="51" t="str">
        <f aca="false">IF(A266="","",MONTH(A266))</f>
        <v/>
      </c>
      <c r="C266" s="52"/>
      <c r="D266" s="52"/>
      <c r="E266" s="52"/>
      <c r="F266" s="52"/>
      <c r="G266" s="55" t="str">
        <f aca="false">IF(C266="","",IFERROR(INDEX('DANH MỤC'!$B$5:$B$200,MATCH(C266,'DANH MỤC'!$A$5:$A$200,0)),"⚠ Mã chưa có trong DANH MỤC"))</f>
        <v/>
      </c>
      <c r="H266" s="52"/>
      <c r="I266" s="52"/>
    </row>
    <row r="267" customFormat="false" ht="15" hidden="false" customHeight="false" outlineLevel="0" collapsed="false">
      <c r="A267" s="50"/>
      <c r="B267" s="51" t="str">
        <f aca="false">IF(A267="","",MONTH(A267))</f>
        <v/>
      </c>
      <c r="C267" s="52"/>
      <c r="D267" s="52"/>
      <c r="E267" s="52"/>
      <c r="F267" s="52"/>
      <c r="G267" s="55" t="str">
        <f aca="false">IF(C267="","",IFERROR(INDEX('DANH MỤC'!$B$5:$B$200,MATCH(C267,'DANH MỤC'!$A$5:$A$200,0)),"⚠ Mã chưa có trong DANH MỤC"))</f>
        <v/>
      </c>
      <c r="H267" s="52"/>
      <c r="I267" s="52"/>
    </row>
    <row r="268" customFormat="false" ht="15" hidden="false" customHeight="false" outlineLevel="0" collapsed="false">
      <c r="A268" s="50"/>
      <c r="B268" s="51" t="str">
        <f aca="false">IF(A268="","",MONTH(A268))</f>
        <v/>
      </c>
      <c r="C268" s="52"/>
      <c r="D268" s="52"/>
      <c r="E268" s="52"/>
      <c r="F268" s="52"/>
      <c r="G268" s="55" t="str">
        <f aca="false">IF(C268="","",IFERROR(INDEX('DANH MỤC'!$B$5:$B$200,MATCH(C268,'DANH MỤC'!$A$5:$A$200,0)),"⚠ Mã chưa có trong DANH MỤC"))</f>
        <v/>
      </c>
      <c r="H268" s="52"/>
      <c r="I268" s="52"/>
    </row>
    <row r="269" customFormat="false" ht="15" hidden="false" customHeight="false" outlineLevel="0" collapsed="false">
      <c r="A269" s="50"/>
      <c r="B269" s="51" t="str">
        <f aca="false">IF(A269="","",MONTH(A269))</f>
        <v/>
      </c>
      <c r="C269" s="52"/>
      <c r="D269" s="52"/>
      <c r="E269" s="52"/>
      <c r="F269" s="52"/>
      <c r="G269" s="55" t="str">
        <f aca="false">IF(C269="","",IFERROR(INDEX('DANH MỤC'!$B$5:$B$200,MATCH(C269,'DANH MỤC'!$A$5:$A$200,0)),"⚠ Mã chưa có trong DANH MỤC"))</f>
        <v/>
      </c>
      <c r="H269" s="52"/>
      <c r="I269" s="52"/>
    </row>
    <row r="270" customFormat="false" ht="15" hidden="false" customHeight="false" outlineLevel="0" collapsed="false">
      <c r="A270" s="50"/>
      <c r="B270" s="51" t="str">
        <f aca="false">IF(A270="","",MONTH(A270))</f>
        <v/>
      </c>
      <c r="C270" s="52"/>
      <c r="D270" s="52"/>
      <c r="E270" s="52"/>
      <c r="F270" s="52"/>
      <c r="G270" s="55" t="str">
        <f aca="false">IF(C270="","",IFERROR(INDEX('DANH MỤC'!$B$5:$B$200,MATCH(C270,'DANH MỤC'!$A$5:$A$200,0)),"⚠ Mã chưa có trong DANH MỤC"))</f>
        <v/>
      </c>
      <c r="H270" s="52"/>
      <c r="I270" s="52"/>
    </row>
    <row r="271" customFormat="false" ht="15" hidden="false" customHeight="false" outlineLevel="0" collapsed="false">
      <c r="A271" s="50"/>
      <c r="B271" s="51" t="str">
        <f aca="false">IF(A271="","",MONTH(A271))</f>
        <v/>
      </c>
      <c r="C271" s="52"/>
      <c r="D271" s="52"/>
      <c r="E271" s="52"/>
      <c r="F271" s="52"/>
      <c r="G271" s="55" t="str">
        <f aca="false">IF(C271="","",IFERROR(INDEX('DANH MỤC'!$B$5:$B$200,MATCH(C271,'DANH MỤC'!$A$5:$A$200,0)),"⚠ Mã chưa có trong DANH MỤC"))</f>
        <v/>
      </c>
      <c r="H271" s="52"/>
      <c r="I271" s="52"/>
    </row>
    <row r="272" customFormat="false" ht="15" hidden="false" customHeight="false" outlineLevel="0" collapsed="false">
      <c r="A272" s="50"/>
      <c r="B272" s="51" t="str">
        <f aca="false">IF(A272="","",MONTH(A272))</f>
        <v/>
      </c>
      <c r="C272" s="52"/>
      <c r="D272" s="52"/>
      <c r="E272" s="52"/>
      <c r="F272" s="52"/>
      <c r="G272" s="55" t="str">
        <f aca="false">IF(C272="","",IFERROR(INDEX('DANH MỤC'!$B$5:$B$200,MATCH(C272,'DANH MỤC'!$A$5:$A$200,0)),"⚠ Mã chưa có trong DANH MỤC"))</f>
        <v/>
      </c>
      <c r="H272" s="52"/>
      <c r="I272" s="52"/>
    </row>
    <row r="273" customFormat="false" ht="15" hidden="false" customHeight="false" outlineLevel="0" collapsed="false">
      <c r="A273" s="50"/>
      <c r="B273" s="51" t="str">
        <f aca="false">IF(A273="","",MONTH(A273))</f>
        <v/>
      </c>
      <c r="C273" s="52"/>
      <c r="D273" s="52"/>
      <c r="E273" s="52"/>
      <c r="F273" s="52"/>
      <c r="G273" s="55" t="str">
        <f aca="false">IF(C273="","",IFERROR(INDEX('DANH MỤC'!$B$5:$B$200,MATCH(C273,'DANH MỤC'!$A$5:$A$200,0)),"⚠ Mã chưa có trong DANH MỤC"))</f>
        <v/>
      </c>
      <c r="H273" s="52"/>
      <c r="I273" s="52"/>
    </row>
    <row r="274" customFormat="false" ht="15" hidden="false" customHeight="false" outlineLevel="0" collapsed="false">
      <c r="A274" s="50"/>
      <c r="B274" s="51" t="str">
        <f aca="false">IF(A274="","",MONTH(A274))</f>
        <v/>
      </c>
      <c r="C274" s="52"/>
      <c r="D274" s="52"/>
      <c r="E274" s="52"/>
      <c r="F274" s="52"/>
      <c r="G274" s="55" t="str">
        <f aca="false">IF(C274="","",IFERROR(INDEX('DANH MỤC'!$B$5:$B$200,MATCH(C274,'DANH MỤC'!$A$5:$A$200,0)),"⚠ Mã chưa có trong DANH MỤC"))</f>
        <v/>
      </c>
      <c r="H274" s="52"/>
      <c r="I274" s="52"/>
    </row>
    <row r="275" customFormat="false" ht="15" hidden="false" customHeight="false" outlineLevel="0" collapsed="false">
      <c r="A275" s="50"/>
      <c r="B275" s="51" t="str">
        <f aca="false">IF(A275="","",MONTH(A275))</f>
        <v/>
      </c>
      <c r="C275" s="52"/>
      <c r="D275" s="52"/>
      <c r="E275" s="52"/>
      <c r="F275" s="52"/>
      <c r="G275" s="55" t="str">
        <f aca="false">IF(C275="","",IFERROR(INDEX('DANH MỤC'!$B$5:$B$200,MATCH(C275,'DANH MỤC'!$A$5:$A$200,0)),"⚠ Mã chưa có trong DANH MỤC"))</f>
        <v/>
      </c>
      <c r="H275" s="52"/>
      <c r="I275" s="52"/>
    </row>
    <row r="276" customFormat="false" ht="15" hidden="false" customHeight="false" outlineLevel="0" collapsed="false">
      <c r="A276" s="50"/>
      <c r="B276" s="51" t="str">
        <f aca="false">IF(A276="","",MONTH(A276))</f>
        <v/>
      </c>
      <c r="C276" s="52"/>
      <c r="D276" s="52"/>
      <c r="E276" s="52"/>
      <c r="F276" s="52"/>
      <c r="G276" s="55" t="str">
        <f aca="false">IF(C276="","",IFERROR(INDEX('DANH MỤC'!$B$5:$B$200,MATCH(C276,'DANH MỤC'!$A$5:$A$200,0)),"⚠ Mã chưa có trong DANH MỤC"))</f>
        <v/>
      </c>
      <c r="H276" s="52"/>
      <c r="I276" s="52"/>
    </row>
    <row r="277" customFormat="false" ht="15" hidden="false" customHeight="false" outlineLevel="0" collapsed="false">
      <c r="A277" s="50"/>
      <c r="B277" s="51" t="str">
        <f aca="false">IF(A277="","",MONTH(A277))</f>
        <v/>
      </c>
      <c r="C277" s="52"/>
      <c r="D277" s="52"/>
      <c r="E277" s="52"/>
      <c r="F277" s="52"/>
      <c r="G277" s="55" t="str">
        <f aca="false">IF(C277="","",IFERROR(INDEX('DANH MỤC'!$B$5:$B$200,MATCH(C277,'DANH MỤC'!$A$5:$A$200,0)),"⚠ Mã chưa có trong DANH MỤC"))</f>
        <v/>
      </c>
      <c r="H277" s="52"/>
      <c r="I277" s="52"/>
    </row>
    <row r="278" customFormat="false" ht="15" hidden="false" customHeight="false" outlineLevel="0" collapsed="false">
      <c r="A278" s="50"/>
      <c r="B278" s="51" t="str">
        <f aca="false">IF(A278="","",MONTH(A278))</f>
        <v/>
      </c>
      <c r="C278" s="52"/>
      <c r="D278" s="52"/>
      <c r="E278" s="52"/>
      <c r="F278" s="52"/>
      <c r="G278" s="55" t="str">
        <f aca="false">IF(C278="","",IFERROR(INDEX('DANH MỤC'!$B$5:$B$200,MATCH(C278,'DANH MỤC'!$A$5:$A$200,0)),"⚠ Mã chưa có trong DANH MỤC"))</f>
        <v/>
      </c>
      <c r="H278" s="52"/>
      <c r="I278" s="52"/>
    </row>
    <row r="279" customFormat="false" ht="15" hidden="false" customHeight="false" outlineLevel="0" collapsed="false">
      <c r="A279" s="50"/>
      <c r="B279" s="51" t="str">
        <f aca="false">IF(A279="","",MONTH(A279))</f>
        <v/>
      </c>
      <c r="C279" s="52"/>
      <c r="D279" s="52"/>
      <c r="E279" s="52"/>
      <c r="F279" s="52"/>
      <c r="G279" s="55" t="str">
        <f aca="false">IF(C279="","",IFERROR(INDEX('DANH MỤC'!$B$5:$B$200,MATCH(C279,'DANH MỤC'!$A$5:$A$200,0)),"⚠ Mã chưa có trong DANH MỤC"))</f>
        <v/>
      </c>
      <c r="H279" s="52"/>
      <c r="I279" s="52"/>
    </row>
    <row r="280" customFormat="false" ht="15" hidden="false" customHeight="false" outlineLevel="0" collapsed="false">
      <c r="A280" s="50"/>
      <c r="B280" s="51" t="str">
        <f aca="false">IF(A280="","",MONTH(A280))</f>
        <v/>
      </c>
      <c r="C280" s="52"/>
      <c r="D280" s="52"/>
      <c r="E280" s="52"/>
      <c r="F280" s="52"/>
      <c r="G280" s="55" t="str">
        <f aca="false">IF(C280="","",IFERROR(INDEX('DANH MỤC'!$B$5:$B$200,MATCH(C280,'DANH MỤC'!$A$5:$A$200,0)),"⚠ Mã chưa có trong DANH MỤC"))</f>
        <v/>
      </c>
      <c r="H280" s="52"/>
      <c r="I280" s="52"/>
    </row>
    <row r="281" customFormat="false" ht="15" hidden="false" customHeight="false" outlineLevel="0" collapsed="false">
      <c r="A281" s="50"/>
      <c r="B281" s="51" t="str">
        <f aca="false">IF(A281="","",MONTH(A281))</f>
        <v/>
      </c>
      <c r="C281" s="52"/>
      <c r="D281" s="52"/>
      <c r="E281" s="52"/>
      <c r="F281" s="52"/>
      <c r="G281" s="55" t="str">
        <f aca="false">IF(C281="","",IFERROR(INDEX('DANH MỤC'!$B$5:$B$200,MATCH(C281,'DANH MỤC'!$A$5:$A$200,0)),"⚠ Mã chưa có trong DANH MỤC"))</f>
        <v/>
      </c>
      <c r="H281" s="52"/>
      <c r="I281" s="52"/>
    </row>
    <row r="282" customFormat="false" ht="15" hidden="false" customHeight="false" outlineLevel="0" collapsed="false">
      <c r="A282" s="50"/>
      <c r="B282" s="51" t="str">
        <f aca="false">IF(A282="","",MONTH(A282))</f>
        <v/>
      </c>
      <c r="C282" s="52"/>
      <c r="D282" s="52"/>
      <c r="E282" s="52"/>
      <c r="F282" s="52"/>
      <c r="G282" s="55" t="str">
        <f aca="false">IF(C282="","",IFERROR(INDEX('DANH MỤC'!$B$5:$B$200,MATCH(C282,'DANH MỤC'!$A$5:$A$200,0)),"⚠ Mã chưa có trong DANH MỤC"))</f>
        <v/>
      </c>
      <c r="H282" s="52"/>
      <c r="I282" s="52"/>
    </row>
    <row r="283" customFormat="false" ht="15" hidden="false" customHeight="false" outlineLevel="0" collapsed="false">
      <c r="A283" s="50"/>
      <c r="B283" s="51" t="str">
        <f aca="false">IF(A283="","",MONTH(A283))</f>
        <v/>
      </c>
      <c r="C283" s="52"/>
      <c r="D283" s="52"/>
      <c r="E283" s="52"/>
      <c r="F283" s="52"/>
      <c r="G283" s="55" t="str">
        <f aca="false">IF(C283="","",IFERROR(INDEX('DANH MỤC'!$B$5:$B$200,MATCH(C283,'DANH MỤC'!$A$5:$A$200,0)),"⚠ Mã chưa có trong DANH MỤC"))</f>
        <v/>
      </c>
      <c r="H283" s="52"/>
      <c r="I283" s="52"/>
    </row>
    <row r="284" customFormat="false" ht="15" hidden="false" customHeight="false" outlineLevel="0" collapsed="false">
      <c r="A284" s="50"/>
      <c r="B284" s="51" t="str">
        <f aca="false">IF(A284="","",MONTH(A284))</f>
        <v/>
      </c>
      <c r="C284" s="52"/>
      <c r="D284" s="52"/>
      <c r="E284" s="52"/>
      <c r="F284" s="52"/>
      <c r="G284" s="55" t="str">
        <f aca="false">IF(C284="","",IFERROR(INDEX('DANH MỤC'!$B$5:$B$200,MATCH(C284,'DANH MỤC'!$A$5:$A$200,0)),"⚠ Mã chưa có trong DANH MỤC"))</f>
        <v/>
      </c>
      <c r="H284" s="52"/>
      <c r="I284" s="52"/>
    </row>
    <row r="285" customFormat="false" ht="15" hidden="false" customHeight="false" outlineLevel="0" collapsed="false">
      <c r="A285" s="50"/>
      <c r="B285" s="51" t="str">
        <f aca="false">IF(A285="","",MONTH(A285))</f>
        <v/>
      </c>
      <c r="C285" s="52"/>
      <c r="D285" s="52"/>
      <c r="E285" s="52"/>
      <c r="F285" s="52"/>
      <c r="G285" s="55" t="str">
        <f aca="false">IF(C285="","",IFERROR(INDEX('DANH MỤC'!$B$5:$B$200,MATCH(C285,'DANH MỤC'!$A$5:$A$200,0)),"⚠ Mã chưa có trong DANH MỤC"))</f>
        <v/>
      </c>
      <c r="H285" s="52"/>
      <c r="I285" s="52"/>
    </row>
    <row r="286" customFormat="false" ht="15" hidden="false" customHeight="false" outlineLevel="0" collapsed="false">
      <c r="A286" s="50"/>
      <c r="B286" s="51" t="str">
        <f aca="false">IF(A286="","",MONTH(A286))</f>
        <v/>
      </c>
      <c r="C286" s="52"/>
      <c r="D286" s="52"/>
      <c r="E286" s="52"/>
      <c r="F286" s="52"/>
      <c r="G286" s="55" t="str">
        <f aca="false">IF(C286="","",IFERROR(INDEX('DANH MỤC'!$B$5:$B$200,MATCH(C286,'DANH MỤC'!$A$5:$A$200,0)),"⚠ Mã chưa có trong DANH MỤC"))</f>
        <v/>
      </c>
      <c r="H286" s="52"/>
      <c r="I286" s="52"/>
    </row>
    <row r="287" customFormat="false" ht="15" hidden="false" customHeight="false" outlineLevel="0" collapsed="false">
      <c r="A287" s="50"/>
      <c r="B287" s="51" t="str">
        <f aca="false">IF(A287="","",MONTH(A287))</f>
        <v/>
      </c>
      <c r="C287" s="52"/>
      <c r="D287" s="52"/>
      <c r="E287" s="52"/>
      <c r="F287" s="52"/>
      <c r="G287" s="55" t="str">
        <f aca="false">IF(C287="","",IFERROR(INDEX('DANH MỤC'!$B$5:$B$200,MATCH(C287,'DANH MỤC'!$A$5:$A$200,0)),"⚠ Mã chưa có trong DANH MỤC"))</f>
        <v/>
      </c>
      <c r="H287" s="52"/>
      <c r="I287" s="52"/>
    </row>
    <row r="288" customFormat="false" ht="15" hidden="false" customHeight="false" outlineLevel="0" collapsed="false">
      <c r="A288" s="50"/>
      <c r="B288" s="51" t="str">
        <f aca="false">IF(A288="","",MONTH(A288))</f>
        <v/>
      </c>
      <c r="C288" s="52"/>
      <c r="D288" s="52"/>
      <c r="E288" s="52"/>
      <c r="F288" s="52"/>
      <c r="G288" s="55" t="str">
        <f aca="false">IF(C288="","",IFERROR(INDEX('DANH MỤC'!$B$5:$B$200,MATCH(C288,'DANH MỤC'!$A$5:$A$200,0)),"⚠ Mã chưa có trong DANH MỤC"))</f>
        <v/>
      </c>
      <c r="H288" s="52"/>
      <c r="I288" s="52"/>
    </row>
    <row r="289" customFormat="false" ht="15" hidden="false" customHeight="false" outlineLevel="0" collapsed="false">
      <c r="A289" s="50"/>
      <c r="B289" s="51" t="str">
        <f aca="false">IF(A289="","",MONTH(A289))</f>
        <v/>
      </c>
      <c r="C289" s="52"/>
      <c r="D289" s="52"/>
      <c r="E289" s="52"/>
      <c r="F289" s="52"/>
      <c r="G289" s="55" t="str">
        <f aca="false">IF(C289="","",IFERROR(INDEX('DANH MỤC'!$B$5:$B$200,MATCH(C289,'DANH MỤC'!$A$5:$A$200,0)),"⚠ Mã chưa có trong DANH MỤC"))</f>
        <v/>
      </c>
      <c r="H289" s="52"/>
      <c r="I289" s="52"/>
    </row>
    <row r="290" customFormat="false" ht="15" hidden="false" customHeight="false" outlineLevel="0" collapsed="false">
      <c r="A290" s="50"/>
      <c r="B290" s="51" t="str">
        <f aca="false">IF(A290="","",MONTH(A290))</f>
        <v/>
      </c>
      <c r="C290" s="52"/>
      <c r="D290" s="52"/>
      <c r="E290" s="52"/>
      <c r="F290" s="52"/>
      <c r="G290" s="55" t="str">
        <f aca="false">IF(C290="","",IFERROR(INDEX('DANH MỤC'!$B$5:$B$200,MATCH(C290,'DANH MỤC'!$A$5:$A$200,0)),"⚠ Mã chưa có trong DANH MỤC"))</f>
        <v/>
      </c>
      <c r="H290" s="52"/>
      <c r="I290" s="52"/>
    </row>
    <row r="291" customFormat="false" ht="15" hidden="false" customHeight="false" outlineLevel="0" collapsed="false">
      <c r="A291" s="50"/>
      <c r="B291" s="51" t="str">
        <f aca="false">IF(A291="","",MONTH(A291))</f>
        <v/>
      </c>
      <c r="C291" s="52"/>
      <c r="D291" s="52"/>
      <c r="E291" s="52"/>
      <c r="F291" s="52"/>
      <c r="G291" s="55" t="str">
        <f aca="false">IF(C291="","",IFERROR(INDEX('DANH MỤC'!$B$5:$B$200,MATCH(C291,'DANH MỤC'!$A$5:$A$200,0)),"⚠ Mã chưa có trong DANH MỤC"))</f>
        <v/>
      </c>
      <c r="H291" s="52"/>
      <c r="I291" s="52"/>
    </row>
    <row r="292" customFormat="false" ht="15" hidden="false" customHeight="false" outlineLevel="0" collapsed="false">
      <c r="A292" s="50"/>
      <c r="B292" s="51" t="str">
        <f aca="false">IF(A292="","",MONTH(A292))</f>
        <v/>
      </c>
      <c r="C292" s="52"/>
      <c r="D292" s="52"/>
      <c r="E292" s="52"/>
      <c r="F292" s="52"/>
      <c r="G292" s="55" t="str">
        <f aca="false">IF(C292="","",IFERROR(INDEX('DANH MỤC'!$B$5:$B$200,MATCH(C292,'DANH MỤC'!$A$5:$A$200,0)),"⚠ Mã chưa có trong DANH MỤC"))</f>
        <v/>
      </c>
      <c r="H292" s="52"/>
      <c r="I292" s="52"/>
    </row>
    <row r="293" customFormat="false" ht="15" hidden="false" customHeight="false" outlineLevel="0" collapsed="false">
      <c r="A293" s="50"/>
      <c r="B293" s="51" t="str">
        <f aca="false">IF(A293="","",MONTH(A293))</f>
        <v/>
      </c>
      <c r="C293" s="52"/>
      <c r="D293" s="52"/>
      <c r="E293" s="52"/>
      <c r="F293" s="52"/>
      <c r="G293" s="55" t="str">
        <f aca="false">IF(C293="","",IFERROR(INDEX('DANH MỤC'!$B$5:$B$200,MATCH(C293,'DANH MỤC'!$A$5:$A$200,0)),"⚠ Mã chưa có trong DANH MỤC"))</f>
        <v/>
      </c>
      <c r="H293" s="52"/>
      <c r="I293" s="52"/>
    </row>
    <row r="294" customFormat="false" ht="15" hidden="false" customHeight="false" outlineLevel="0" collapsed="false">
      <c r="A294" s="50"/>
      <c r="B294" s="51" t="str">
        <f aca="false">IF(A294="","",MONTH(A294))</f>
        <v/>
      </c>
      <c r="C294" s="52"/>
      <c r="D294" s="52"/>
      <c r="E294" s="52"/>
      <c r="F294" s="52"/>
      <c r="G294" s="55" t="str">
        <f aca="false">IF(C294="","",IFERROR(INDEX('DANH MỤC'!$B$5:$B$200,MATCH(C294,'DANH MỤC'!$A$5:$A$200,0)),"⚠ Mã chưa có trong DANH MỤC"))</f>
        <v/>
      </c>
      <c r="H294" s="52"/>
      <c r="I294" s="52"/>
    </row>
    <row r="295" customFormat="false" ht="15" hidden="false" customHeight="false" outlineLevel="0" collapsed="false">
      <c r="A295" s="50"/>
      <c r="B295" s="51" t="str">
        <f aca="false">IF(A295="","",MONTH(A295))</f>
        <v/>
      </c>
      <c r="C295" s="52"/>
      <c r="D295" s="52"/>
      <c r="E295" s="52"/>
      <c r="F295" s="52"/>
      <c r="G295" s="55" t="str">
        <f aca="false">IF(C295="","",IFERROR(INDEX('DANH MỤC'!$B$5:$B$200,MATCH(C295,'DANH MỤC'!$A$5:$A$200,0)),"⚠ Mã chưa có trong DANH MỤC"))</f>
        <v/>
      </c>
      <c r="H295" s="52"/>
      <c r="I295" s="52"/>
    </row>
    <row r="296" customFormat="false" ht="15" hidden="false" customHeight="false" outlineLevel="0" collapsed="false">
      <c r="A296" s="50"/>
      <c r="B296" s="51" t="str">
        <f aca="false">IF(A296="","",MONTH(A296))</f>
        <v/>
      </c>
      <c r="C296" s="52"/>
      <c r="D296" s="52"/>
      <c r="E296" s="52"/>
      <c r="F296" s="52"/>
      <c r="G296" s="55" t="str">
        <f aca="false">IF(C296="","",IFERROR(INDEX('DANH MỤC'!$B$5:$B$200,MATCH(C296,'DANH MỤC'!$A$5:$A$200,0)),"⚠ Mã chưa có trong DANH MỤC"))</f>
        <v/>
      </c>
      <c r="H296" s="52"/>
      <c r="I296" s="52"/>
    </row>
    <row r="297" customFormat="false" ht="15" hidden="false" customHeight="false" outlineLevel="0" collapsed="false">
      <c r="A297" s="50"/>
      <c r="B297" s="51" t="str">
        <f aca="false">IF(A297="","",MONTH(A297))</f>
        <v/>
      </c>
      <c r="C297" s="52"/>
      <c r="D297" s="52"/>
      <c r="E297" s="52"/>
      <c r="F297" s="52"/>
      <c r="G297" s="55" t="str">
        <f aca="false">IF(C297="","",IFERROR(INDEX('DANH MỤC'!$B$5:$B$200,MATCH(C297,'DANH MỤC'!$A$5:$A$200,0)),"⚠ Mã chưa có trong DANH MỤC"))</f>
        <v/>
      </c>
      <c r="H297" s="52"/>
      <c r="I297" s="52"/>
    </row>
    <row r="298" customFormat="false" ht="15" hidden="false" customHeight="false" outlineLevel="0" collapsed="false">
      <c r="A298" s="50"/>
      <c r="B298" s="51" t="str">
        <f aca="false">IF(A298="","",MONTH(A298))</f>
        <v/>
      </c>
      <c r="C298" s="52"/>
      <c r="D298" s="52"/>
      <c r="E298" s="52"/>
      <c r="F298" s="52"/>
      <c r="G298" s="55" t="str">
        <f aca="false">IF(C298="","",IFERROR(INDEX('DANH MỤC'!$B$5:$B$200,MATCH(C298,'DANH MỤC'!$A$5:$A$200,0)),"⚠ Mã chưa có trong DANH MỤC"))</f>
        <v/>
      </c>
      <c r="H298" s="52"/>
      <c r="I298" s="52"/>
    </row>
    <row r="299" customFormat="false" ht="15" hidden="false" customHeight="false" outlineLevel="0" collapsed="false">
      <c r="A299" s="50"/>
      <c r="B299" s="51" t="str">
        <f aca="false">IF(A299="","",MONTH(A299))</f>
        <v/>
      </c>
      <c r="C299" s="52"/>
      <c r="D299" s="52"/>
      <c r="E299" s="52"/>
      <c r="F299" s="52"/>
      <c r="G299" s="55" t="str">
        <f aca="false">IF(C299="","",IFERROR(INDEX('DANH MỤC'!$B$5:$B$200,MATCH(C299,'DANH MỤC'!$A$5:$A$200,0)),"⚠ Mã chưa có trong DANH MỤC"))</f>
        <v/>
      </c>
      <c r="H299" s="52"/>
      <c r="I299" s="52"/>
    </row>
    <row r="300" customFormat="false" ht="15" hidden="false" customHeight="false" outlineLevel="0" collapsed="false">
      <c r="A300" s="50"/>
      <c r="B300" s="51" t="str">
        <f aca="false">IF(A300="","",MONTH(A300))</f>
        <v/>
      </c>
      <c r="C300" s="52"/>
      <c r="D300" s="52"/>
      <c r="E300" s="52"/>
      <c r="F300" s="52"/>
      <c r="G300" s="55" t="str">
        <f aca="false">IF(C300="","",IFERROR(INDEX('DANH MỤC'!$B$5:$B$200,MATCH(C300,'DANH MỤC'!$A$5:$A$200,0)),"⚠ Mã chưa có trong DANH MỤC"))</f>
        <v/>
      </c>
      <c r="H300" s="52"/>
      <c r="I300" s="52"/>
    </row>
    <row r="301" customFormat="false" ht="15" hidden="false" customHeight="false" outlineLevel="0" collapsed="false">
      <c r="A301" s="50"/>
      <c r="B301" s="51" t="str">
        <f aca="false">IF(A301="","",MONTH(A301))</f>
        <v/>
      </c>
      <c r="C301" s="52"/>
      <c r="D301" s="52"/>
      <c r="E301" s="52"/>
      <c r="F301" s="52"/>
      <c r="G301" s="55" t="str">
        <f aca="false">IF(C301="","",IFERROR(INDEX('DANH MỤC'!$B$5:$B$200,MATCH(C301,'DANH MỤC'!$A$5:$A$200,0)),"⚠ Mã chưa có trong DANH MỤC"))</f>
        <v/>
      </c>
      <c r="H301" s="52"/>
      <c r="I301" s="52"/>
    </row>
    <row r="302" customFormat="false" ht="15" hidden="false" customHeight="false" outlineLevel="0" collapsed="false">
      <c r="A302" s="50"/>
      <c r="B302" s="51" t="str">
        <f aca="false">IF(A302="","",MONTH(A302))</f>
        <v/>
      </c>
      <c r="C302" s="52"/>
      <c r="D302" s="52"/>
      <c r="E302" s="52"/>
      <c r="F302" s="52"/>
      <c r="G302" s="55" t="str">
        <f aca="false">IF(C302="","",IFERROR(INDEX('DANH MỤC'!$B$5:$B$200,MATCH(C302,'DANH MỤC'!$A$5:$A$200,0)),"⚠ Mã chưa có trong DANH MỤC"))</f>
        <v/>
      </c>
      <c r="H302" s="52"/>
      <c r="I302" s="52"/>
    </row>
    <row r="303" customFormat="false" ht="15" hidden="false" customHeight="false" outlineLevel="0" collapsed="false">
      <c r="A303" s="50"/>
      <c r="B303" s="51" t="str">
        <f aca="false">IF(A303="","",MONTH(A303))</f>
        <v/>
      </c>
      <c r="C303" s="52"/>
      <c r="D303" s="52"/>
      <c r="E303" s="52"/>
      <c r="F303" s="52"/>
      <c r="G303" s="55" t="str">
        <f aca="false">IF(C303="","",IFERROR(INDEX('DANH MỤC'!$B$5:$B$200,MATCH(C303,'DANH MỤC'!$A$5:$A$200,0)),"⚠ Mã chưa có trong DANH MỤC"))</f>
        <v/>
      </c>
      <c r="H303" s="52"/>
      <c r="I303" s="52"/>
    </row>
    <row r="304" customFormat="false" ht="15" hidden="false" customHeight="false" outlineLevel="0" collapsed="false">
      <c r="A304" s="50"/>
      <c r="B304" s="51" t="str">
        <f aca="false">IF(A304="","",MONTH(A304))</f>
        <v/>
      </c>
      <c r="C304" s="52"/>
      <c r="D304" s="52"/>
      <c r="E304" s="52"/>
      <c r="F304" s="52"/>
      <c r="G304" s="55" t="str">
        <f aca="false">IF(C304="","",IFERROR(INDEX('DANH MỤC'!$B$5:$B$200,MATCH(C304,'DANH MỤC'!$A$5:$A$200,0)),"⚠ Mã chưa có trong DANH MỤC"))</f>
        <v/>
      </c>
      <c r="H304" s="52"/>
      <c r="I304" s="52"/>
    </row>
    <row r="305" customFormat="false" ht="15" hidden="false" customHeight="false" outlineLevel="0" collapsed="false">
      <c r="A305" s="50"/>
      <c r="B305" s="51" t="str">
        <f aca="false">IF(A305="","",MONTH(A305))</f>
        <v/>
      </c>
      <c r="C305" s="52"/>
      <c r="D305" s="52"/>
      <c r="E305" s="52"/>
      <c r="F305" s="52"/>
      <c r="G305" s="55" t="str">
        <f aca="false">IF(C305="","",IFERROR(INDEX('DANH MỤC'!$B$5:$B$200,MATCH(C305,'DANH MỤC'!$A$5:$A$200,0)),"⚠ Mã chưa có trong DANH MỤC"))</f>
        <v/>
      </c>
      <c r="H305" s="52"/>
      <c r="I305" s="52"/>
    </row>
    <row r="306" customFormat="false" ht="15" hidden="false" customHeight="false" outlineLevel="0" collapsed="false">
      <c r="A306" s="50"/>
      <c r="B306" s="51" t="str">
        <f aca="false">IF(A306="","",MONTH(A306))</f>
        <v/>
      </c>
      <c r="C306" s="52"/>
      <c r="D306" s="52"/>
      <c r="E306" s="52"/>
      <c r="F306" s="52"/>
      <c r="G306" s="55" t="str">
        <f aca="false">IF(C306="","",IFERROR(INDEX('DANH MỤC'!$B$5:$B$200,MATCH(C306,'DANH MỤC'!$A$5:$A$200,0)),"⚠ Mã chưa có trong DANH MỤC"))</f>
        <v/>
      </c>
      <c r="H306" s="52"/>
      <c r="I306" s="52"/>
    </row>
    <row r="307" customFormat="false" ht="15" hidden="false" customHeight="false" outlineLevel="0" collapsed="false">
      <c r="A307" s="50"/>
      <c r="B307" s="51" t="str">
        <f aca="false">IF(A307="","",MONTH(A307))</f>
        <v/>
      </c>
      <c r="C307" s="52"/>
      <c r="D307" s="52"/>
      <c r="E307" s="52"/>
      <c r="F307" s="52"/>
      <c r="G307" s="55" t="str">
        <f aca="false">IF(C307="","",IFERROR(INDEX('DANH MỤC'!$B$5:$B$200,MATCH(C307,'DANH MỤC'!$A$5:$A$200,0)),"⚠ Mã chưa có trong DANH MỤC"))</f>
        <v/>
      </c>
      <c r="H307" s="52"/>
      <c r="I307" s="52"/>
    </row>
    <row r="308" customFormat="false" ht="15" hidden="false" customHeight="false" outlineLevel="0" collapsed="false">
      <c r="A308" s="50"/>
      <c r="B308" s="51" t="str">
        <f aca="false">IF(A308="","",MONTH(A308))</f>
        <v/>
      </c>
      <c r="C308" s="52"/>
      <c r="D308" s="52"/>
      <c r="E308" s="52"/>
      <c r="F308" s="52"/>
      <c r="G308" s="55" t="str">
        <f aca="false">IF(C308="","",IFERROR(INDEX('DANH MỤC'!$B$5:$B$200,MATCH(C308,'DANH MỤC'!$A$5:$A$200,0)),"⚠ Mã chưa có trong DANH MỤC"))</f>
        <v/>
      </c>
      <c r="H308" s="52"/>
      <c r="I308" s="52"/>
    </row>
    <row r="309" customFormat="false" ht="15" hidden="false" customHeight="false" outlineLevel="0" collapsed="false">
      <c r="A309" s="50"/>
      <c r="B309" s="51" t="str">
        <f aca="false">IF(A309="","",MONTH(A309))</f>
        <v/>
      </c>
      <c r="C309" s="52"/>
      <c r="D309" s="52"/>
      <c r="E309" s="52"/>
      <c r="F309" s="52"/>
      <c r="G309" s="55" t="str">
        <f aca="false">IF(C309="","",IFERROR(INDEX('DANH MỤC'!$B$5:$B$200,MATCH(C309,'DANH MỤC'!$A$5:$A$200,0)),"⚠ Mã chưa có trong DANH MỤC"))</f>
        <v/>
      </c>
      <c r="H309" s="52"/>
      <c r="I309" s="52"/>
    </row>
    <row r="310" customFormat="false" ht="15" hidden="false" customHeight="false" outlineLevel="0" collapsed="false">
      <c r="A310" s="50"/>
      <c r="B310" s="51" t="str">
        <f aca="false">IF(A310="","",MONTH(A310))</f>
        <v/>
      </c>
      <c r="C310" s="52"/>
      <c r="D310" s="52"/>
      <c r="E310" s="52"/>
      <c r="F310" s="52"/>
      <c r="G310" s="55" t="str">
        <f aca="false">IF(C310="","",IFERROR(INDEX('DANH MỤC'!$B$5:$B$200,MATCH(C310,'DANH MỤC'!$A$5:$A$200,0)),"⚠ Mã chưa có trong DANH MỤC"))</f>
        <v/>
      </c>
      <c r="H310" s="52"/>
      <c r="I310" s="52"/>
    </row>
    <row r="311" customFormat="false" ht="15" hidden="false" customHeight="false" outlineLevel="0" collapsed="false">
      <c r="A311" s="50"/>
      <c r="B311" s="51" t="str">
        <f aca="false">IF(A311="","",MONTH(A311))</f>
        <v/>
      </c>
      <c r="C311" s="52"/>
      <c r="D311" s="52"/>
      <c r="E311" s="52"/>
      <c r="F311" s="52"/>
      <c r="G311" s="55" t="str">
        <f aca="false">IF(C311="","",IFERROR(INDEX('DANH MỤC'!$B$5:$B$200,MATCH(C311,'DANH MỤC'!$A$5:$A$200,0)),"⚠ Mã chưa có trong DANH MỤC"))</f>
        <v/>
      </c>
      <c r="H311" s="52"/>
      <c r="I311" s="52"/>
    </row>
    <row r="312" customFormat="false" ht="15" hidden="false" customHeight="false" outlineLevel="0" collapsed="false">
      <c r="A312" s="50"/>
      <c r="B312" s="51" t="str">
        <f aca="false">IF(A312="","",MONTH(A312))</f>
        <v/>
      </c>
      <c r="C312" s="52"/>
      <c r="D312" s="52"/>
      <c r="E312" s="52"/>
      <c r="F312" s="52"/>
      <c r="G312" s="55" t="str">
        <f aca="false">IF(C312="","",IFERROR(INDEX('DANH MỤC'!$B$5:$B$200,MATCH(C312,'DANH MỤC'!$A$5:$A$200,0)),"⚠ Mã chưa có trong DANH MỤC"))</f>
        <v/>
      </c>
      <c r="H312" s="52"/>
      <c r="I312" s="52"/>
    </row>
    <row r="313" customFormat="false" ht="15" hidden="false" customHeight="false" outlineLevel="0" collapsed="false">
      <c r="A313" s="50"/>
      <c r="B313" s="51" t="str">
        <f aca="false">IF(A313="","",MONTH(A313))</f>
        <v/>
      </c>
      <c r="C313" s="52"/>
      <c r="D313" s="52"/>
      <c r="E313" s="52"/>
      <c r="F313" s="52"/>
      <c r="G313" s="55" t="str">
        <f aca="false">IF(C313="","",IFERROR(INDEX('DANH MỤC'!$B$5:$B$200,MATCH(C313,'DANH MỤC'!$A$5:$A$200,0)),"⚠ Mã chưa có trong DANH MỤC"))</f>
        <v/>
      </c>
      <c r="H313" s="52"/>
      <c r="I313" s="52"/>
    </row>
    <row r="314" customFormat="false" ht="15" hidden="false" customHeight="false" outlineLevel="0" collapsed="false">
      <c r="A314" s="50"/>
      <c r="B314" s="51" t="str">
        <f aca="false">IF(A314="","",MONTH(A314))</f>
        <v/>
      </c>
      <c r="C314" s="52"/>
      <c r="D314" s="52"/>
      <c r="E314" s="52"/>
      <c r="F314" s="52"/>
      <c r="G314" s="55" t="str">
        <f aca="false">IF(C314="","",IFERROR(INDEX('DANH MỤC'!$B$5:$B$200,MATCH(C314,'DANH MỤC'!$A$5:$A$200,0)),"⚠ Mã chưa có trong DANH MỤC"))</f>
        <v/>
      </c>
      <c r="H314" s="52"/>
      <c r="I314" s="52"/>
    </row>
    <row r="315" customFormat="false" ht="15" hidden="false" customHeight="false" outlineLevel="0" collapsed="false">
      <c r="A315" s="50"/>
      <c r="B315" s="51" t="str">
        <f aca="false">IF(A315="","",MONTH(A315))</f>
        <v/>
      </c>
      <c r="C315" s="52"/>
      <c r="D315" s="52"/>
      <c r="E315" s="52"/>
      <c r="F315" s="52"/>
      <c r="G315" s="55" t="str">
        <f aca="false">IF(C315="","",IFERROR(INDEX('DANH MỤC'!$B$5:$B$200,MATCH(C315,'DANH MỤC'!$A$5:$A$200,0)),"⚠ Mã chưa có trong DANH MỤC"))</f>
        <v/>
      </c>
      <c r="H315" s="52"/>
      <c r="I315" s="52"/>
    </row>
    <row r="316" customFormat="false" ht="15" hidden="false" customHeight="false" outlineLevel="0" collapsed="false">
      <c r="A316" s="50"/>
      <c r="B316" s="51" t="str">
        <f aca="false">IF(A316="","",MONTH(A316))</f>
        <v/>
      </c>
      <c r="C316" s="52"/>
      <c r="D316" s="52"/>
      <c r="E316" s="52"/>
      <c r="F316" s="52"/>
      <c r="G316" s="55" t="str">
        <f aca="false">IF(C316="","",IFERROR(INDEX('DANH MỤC'!$B$5:$B$200,MATCH(C316,'DANH MỤC'!$A$5:$A$200,0)),"⚠ Mã chưa có trong DANH MỤC"))</f>
        <v/>
      </c>
      <c r="H316" s="52"/>
      <c r="I316" s="52"/>
    </row>
    <row r="317" customFormat="false" ht="15" hidden="false" customHeight="false" outlineLevel="0" collapsed="false">
      <c r="A317" s="50"/>
      <c r="B317" s="51" t="str">
        <f aca="false">IF(A317="","",MONTH(A317))</f>
        <v/>
      </c>
      <c r="C317" s="52"/>
      <c r="D317" s="52"/>
      <c r="E317" s="52"/>
      <c r="F317" s="52"/>
      <c r="G317" s="55" t="str">
        <f aca="false">IF(C317="","",IFERROR(INDEX('DANH MỤC'!$B$5:$B$200,MATCH(C317,'DANH MỤC'!$A$5:$A$200,0)),"⚠ Mã chưa có trong DANH MỤC"))</f>
        <v/>
      </c>
      <c r="H317" s="52"/>
      <c r="I317" s="52"/>
    </row>
    <row r="318" customFormat="false" ht="15" hidden="false" customHeight="false" outlineLevel="0" collapsed="false">
      <c r="A318" s="50"/>
      <c r="B318" s="51" t="str">
        <f aca="false">IF(A318="","",MONTH(A318))</f>
        <v/>
      </c>
      <c r="C318" s="52"/>
      <c r="D318" s="52"/>
      <c r="E318" s="52"/>
      <c r="F318" s="52"/>
      <c r="G318" s="55" t="str">
        <f aca="false">IF(C318="","",IFERROR(INDEX('DANH MỤC'!$B$5:$B$200,MATCH(C318,'DANH MỤC'!$A$5:$A$200,0)),"⚠ Mã chưa có trong DANH MỤC"))</f>
        <v/>
      </c>
      <c r="H318" s="52"/>
      <c r="I318" s="52"/>
    </row>
    <row r="319" customFormat="false" ht="15" hidden="false" customHeight="false" outlineLevel="0" collapsed="false">
      <c r="A319" s="50"/>
      <c r="B319" s="51" t="str">
        <f aca="false">IF(A319="","",MONTH(A319))</f>
        <v/>
      </c>
      <c r="C319" s="52"/>
      <c r="D319" s="52"/>
      <c r="E319" s="52"/>
      <c r="F319" s="52"/>
      <c r="G319" s="55" t="str">
        <f aca="false">IF(C319="","",IFERROR(INDEX('DANH MỤC'!$B$5:$B$200,MATCH(C319,'DANH MỤC'!$A$5:$A$200,0)),"⚠ Mã chưa có trong DANH MỤC"))</f>
        <v/>
      </c>
      <c r="H319" s="52"/>
      <c r="I319" s="52"/>
    </row>
    <row r="320" customFormat="false" ht="15" hidden="false" customHeight="false" outlineLevel="0" collapsed="false">
      <c r="A320" s="50"/>
      <c r="B320" s="51" t="str">
        <f aca="false">IF(A320="","",MONTH(A320))</f>
        <v/>
      </c>
      <c r="C320" s="52"/>
      <c r="D320" s="52"/>
      <c r="E320" s="52"/>
      <c r="F320" s="52"/>
      <c r="G320" s="55" t="str">
        <f aca="false">IF(C320="","",IFERROR(INDEX('DANH MỤC'!$B$5:$B$200,MATCH(C320,'DANH MỤC'!$A$5:$A$200,0)),"⚠ Mã chưa có trong DANH MỤC"))</f>
        <v/>
      </c>
      <c r="H320" s="52"/>
      <c r="I320" s="52"/>
    </row>
    <row r="321" customFormat="false" ht="15" hidden="false" customHeight="false" outlineLevel="0" collapsed="false">
      <c r="A321" s="50"/>
      <c r="B321" s="51" t="str">
        <f aca="false">IF(A321="","",MONTH(A321))</f>
        <v/>
      </c>
      <c r="C321" s="52"/>
      <c r="D321" s="52"/>
      <c r="E321" s="52"/>
      <c r="F321" s="52"/>
      <c r="G321" s="55" t="str">
        <f aca="false">IF(C321="","",IFERROR(INDEX('DANH MỤC'!$B$5:$B$200,MATCH(C321,'DANH MỤC'!$A$5:$A$200,0)),"⚠ Mã chưa có trong DANH MỤC"))</f>
        <v/>
      </c>
      <c r="H321" s="52"/>
      <c r="I321" s="52"/>
    </row>
    <row r="322" customFormat="false" ht="15" hidden="false" customHeight="false" outlineLevel="0" collapsed="false">
      <c r="A322" s="50"/>
      <c r="B322" s="51" t="str">
        <f aca="false">IF(A322="","",MONTH(A322))</f>
        <v/>
      </c>
      <c r="C322" s="52"/>
      <c r="D322" s="52"/>
      <c r="E322" s="52"/>
      <c r="F322" s="52"/>
      <c r="G322" s="55" t="str">
        <f aca="false">IF(C322="","",IFERROR(INDEX('DANH MỤC'!$B$5:$B$200,MATCH(C322,'DANH MỤC'!$A$5:$A$200,0)),"⚠ Mã chưa có trong DANH MỤC"))</f>
        <v/>
      </c>
      <c r="H322" s="52"/>
      <c r="I322" s="52"/>
    </row>
    <row r="323" customFormat="false" ht="15" hidden="false" customHeight="false" outlineLevel="0" collapsed="false">
      <c r="A323" s="50"/>
      <c r="B323" s="51" t="str">
        <f aca="false">IF(A323="","",MONTH(A323))</f>
        <v/>
      </c>
      <c r="C323" s="52"/>
      <c r="D323" s="52"/>
      <c r="E323" s="52"/>
      <c r="F323" s="52"/>
      <c r="G323" s="55" t="str">
        <f aca="false">IF(C323="","",IFERROR(INDEX('DANH MỤC'!$B$5:$B$200,MATCH(C323,'DANH MỤC'!$A$5:$A$200,0)),"⚠ Mã chưa có trong DANH MỤC"))</f>
        <v/>
      </c>
      <c r="H323" s="52"/>
      <c r="I323" s="52"/>
    </row>
    <row r="324" customFormat="false" ht="15" hidden="false" customHeight="false" outlineLevel="0" collapsed="false">
      <c r="A324" s="50"/>
      <c r="B324" s="51" t="str">
        <f aca="false">IF(A324="","",MONTH(A324))</f>
        <v/>
      </c>
      <c r="C324" s="52"/>
      <c r="D324" s="52"/>
      <c r="E324" s="52"/>
      <c r="F324" s="52"/>
      <c r="G324" s="55" t="str">
        <f aca="false">IF(C324="","",IFERROR(INDEX('DANH MỤC'!$B$5:$B$200,MATCH(C324,'DANH MỤC'!$A$5:$A$200,0)),"⚠ Mã chưa có trong DANH MỤC"))</f>
        <v/>
      </c>
      <c r="H324" s="52"/>
      <c r="I324" s="52"/>
    </row>
    <row r="325" customFormat="false" ht="15" hidden="false" customHeight="false" outlineLevel="0" collapsed="false">
      <c r="A325" s="50"/>
      <c r="B325" s="51" t="str">
        <f aca="false">IF(A325="","",MONTH(A325))</f>
        <v/>
      </c>
      <c r="C325" s="52"/>
      <c r="D325" s="52"/>
      <c r="E325" s="52"/>
      <c r="F325" s="52"/>
      <c r="G325" s="55" t="str">
        <f aca="false">IF(C325="","",IFERROR(INDEX('DANH MỤC'!$B$5:$B$200,MATCH(C325,'DANH MỤC'!$A$5:$A$200,0)),"⚠ Mã chưa có trong DANH MỤC"))</f>
        <v/>
      </c>
      <c r="H325" s="52"/>
      <c r="I325" s="52"/>
    </row>
    <row r="326" customFormat="false" ht="15" hidden="false" customHeight="false" outlineLevel="0" collapsed="false">
      <c r="A326" s="50"/>
      <c r="B326" s="51" t="str">
        <f aca="false">IF(A326="","",MONTH(A326))</f>
        <v/>
      </c>
      <c r="C326" s="52"/>
      <c r="D326" s="52"/>
      <c r="E326" s="52"/>
      <c r="F326" s="52"/>
      <c r="G326" s="55" t="str">
        <f aca="false">IF(C326="","",IFERROR(INDEX('DANH MỤC'!$B$5:$B$200,MATCH(C326,'DANH MỤC'!$A$5:$A$200,0)),"⚠ Mã chưa có trong DANH MỤC"))</f>
        <v/>
      </c>
      <c r="H326" s="52"/>
      <c r="I326" s="52"/>
    </row>
    <row r="327" customFormat="false" ht="15" hidden="false" customHeight="false" outlineLevel="0" collapsed="false">
      <c r="A327" s="50"/>
      <c r="B327" s="51" t="str">
        <f aca="false">IF(A327="","",MONTH(A327))</f>
        <v/>
      </c>
      <c r="C327" s="52"/>
      <c r="D327" s="52"/>
      <c r="E327" s="52"/>
      <c r="F327" s="52"/>
      <c r="G327" s="55" t="str">
        <f aca="false">IF(C327="","",IFERROR(INDEX('DANH MỤC'!$B$5:$B$200,MATCH(C327,'DANH MỤC'!$A$5:$A$200,0)),"⚠ Mã chưa có trong DANH MỤC"))</f>
        <v/>
      </c>
      <c r="H327" s="52"/>
      <c r="I327" s="52"/>
    </row>
    <row r="328" customFormat="false" ht="15" hidden="false" customHeight="false" outlineLevel="0" collapsed="false">
      <c r="A328" s="50"/>
      <c r="B328" s="51" t="str">
        <f aca="false">IF(A328="","",MONTH(A328))</f>
        <v/>
      </c>
      <c r="C328" s="52"/>
      <c r="D328" s="52"/>
      <c r="E328" s="52"/>
      <c r="F328" s="52"/>
      <c r="G328" s="55" t="str">
        <f aca="false">IF(C328="","",IFERROR(INDEX('DANH MỤC'!$B$5:$B$200,MATCH(C328,'DANH MỤC'!$A$5:$A$200,0)),"⚠ Mã chưa có trong DANH MỤC"))</f>
        <v/>
      </c>
      <c r="H328" s="52"/>
      <c r="I328" s="52"/>
    </row>
    <row r="329" customFormat="false" ht="15" hidden="false" customHeight="false" outlineLevel="0" collapsed="false">
      <c r="A329" s="50"/>
      <c r="B329" s="51" t="str">
        <f aca="false">IF(A329="","",MONTH(A329))</f>
        <v/>
      </c>
      <c r="C329" s="52"/>
      <c r="D329" s="52"/>
      <c r="E329" s="52"/>
      <c r="F329" s="52"/>
      <c r="G329" s="55" t="str">
        <f aca="false">IF(C329="","",IFERROR(INDEX('DANH MỤC'!$B$5:$B$200,MATCH(C329,'DANH MỤC'!$A$5:$A$200,0)),"⚠ Mã chưa có trong DANH MỤC"))</f>
        <v/>
      </c>
      <c r="H329" s="52"/>
      <c r="I329" s="52"/>
    </row>
    <row r="330" customFormat="false" ht="15" hidden="false" customHeight="false" outlineLevel="0" collapsed="false">
      <c r="A330" s="50"/>
      <c r="B330" s="51" t="str">
        <f aca="false">IF(A330="","",MONTH(A330))</f>
        <v/>
      </c>
      <c r="C330" s="52"/>
      <c r="D330" s="52"/>
      <c r="E330" s="52"/>
      <c r="F330" s="52"/>
      <c r="G330" s="55" t="str">
        <f aca="false">IF(C330="","",IFERROR(INDEX('DANH MỤC'!$B$5:$B$200,MATCH(C330,'DANH MỤC'!$A$5:$A$200,0)),"⚠ Mã chưa có trong DANH MỤC"))</f>
        <v/>
      </c>
      <c r="H330" s="52"/>
      <c r="I330" s="52"/>
    </row>
    <row r="331" customFormat="false" ht="15" hidden="false" customHeight="false" outlineLevel="0" collapsed="false">
      <c r="A331" s="50"/>
      <c r="B331" s="51" t="str">
        <f aca="false">IF(A331="","",MONTH(A331))</f>
        <v/>
      </c>
      <c r="C331" s="52"/>
      <c r="D331" s="52"/>
      <c r="E331" s="52"/>
      <c r="F331" s="52"/>
      <c r="G331" s="55" t="str">
        <f aca="false">IF(C331="","",IFERROR(INDEX('DANH MỤC'!$B$5:$B$200,MATCH(C331,'DANH MỤC'!$A$5:$A$200,0)),"⚠ Mã chưa có trong DANH MỤC"))</f>
        <v/>
      </c>
      <c r="H331" s="52"/>
      <c r="I331" s="52"/>
    </row>
    <row r="332" customFormat="false" ht="15" hidden="false" customHeight="false" outlineLevel="0" collapsed="false">
      <c r="A332" s="50"/>
      <c r="B332" s="51" t="str">
        <f aca="false">IF(A332="","",MONTH(A332))</f>
        <v/>
      </c>
      <c r="C332" s="52"/>
      <c r="D332" s="52"/>
      <c r="E332" s="52"/>
      <c r="F332" s="52"/>
      <c r="G332" s="55" t="str">
        <f aca="false">IF(C332="","",IFERROR(INDEX('DANH MỤC'!$B$5:$B$200,MATCH(C332,'DANH MỤC'!$A$5:$A$200,0)),"⚠ Mã chưa có trong DANH MỤC"))</f>
        <v/>
      </c>
      <c r="H332" s="52"/>
      <c r="I332" s="52"/>
    </row>
    <row r="333" customFormat="false" ht="15" hidden="false" customHeight="false" outlineLevel="0" collapsed="false">
      <c r="A333" s="50"/>
      <c r="B333" s="51" t="str">
        <f aca="false">IF(A333="","",MONTH(A333))</f>
        <v/>
      </c>
      <c r="C333" s="52"/>
      <c r="D333" s="52"/>
      <c r="E333" s="52"/>
      <c r="F333" s="52"/>
      <c r="G333" s="55" t="str">
        <f aca="false">IF(C333="","",IFERROR(INDEX('DANH MỤC'!$B$5:$B$200,MATCH(C333,'DANH MỤC'!$A$5:$A$200,0)),"⚠ Mã chưa có trong DANH MỤC"))</f>
        <v/>
      </c>
      <c r="H333" s="52"/>
      <c r="I333" s="52"/>
    </row>
    <row r="334" customFormat="false" ht="15" hidden="false" customHeight="false" outlineLevel="0" collapsed="false">
      <c r="A334" s="50"/>
      <c r="B334" s="51" t="str">
        <f aca="false">IF(A334="","",MONTH(A334))</f>
        <v/>
      </c>
      <c r="C334" s="52"/>
      <c r="D334" s="52"/>
      <c r="E334" s="52"/>
      <c r="F334" s="52"/>
      <c r="G334" s="55" t="str">
        <f aca="false">IF(C334="","",IFERROR(INDEX('DANH MỤC'!$B$5:$B$200,MATCH(C334,'DANH MỤC'!$A$5:$A$200,0)),"⚠ Mã chưa có trong DANH MỤC"))</f>
        <v/>
      </c>
      <c r="H334" s="52"/>
      <c r="I334" s="52"/>
    </row>
    <row r="335" customFormat="false" ht="15" hidden="false" customHeight="false" outlineLevel="0" collapsed="false">
      <c r="A335" s="50"/>
      <c r="B335" s="51" t="str">
        <f aca="false">IF(A335="","",MONTH(A335))</f>
        <v/>
      </c>
      <c r="C335" s="52"/>
      <c r="D335" s="52"/>
      <c r="E335" s="52"/>
      <c r="F335" s="52"/>
      <c r="G335" s="55" t="str">
        <f aca="false">IF(C335="","",IFERROR(INDEX('DANH MỤC'!$B$5:$B$200,MATCH(C335,'DANH MỤC'!$A$5:$A$200,0)),"⚠ Mã chưa có trong DANH MỤC"))</f>
        <v/>
      </c>
      <c r="H335" s="52"/>
      <c r="I335" s="52"/>
    </row>
    <row r="336" customFormat="false" ht="15" hidden="false" customHeight="false" outlineLevel="0" collapsed="false">
      <c r="A336" s="50"/>
      <c r="B336" s="51" t="str">
        <f aca="false">IF(A336="","",MONTH(A336))</f>
        <v/>
      </c>
      <c r="C336" s="52"/>
      <c r="D336" s="52"/>
      <c r="E336" s="52"/>
      <c r="F336" s="52"/>
      <c r="G336" s="55" t="str">
        <f aca="false">IF(C336="","",IFERROR(INDEX('DANH MỤC'!$B$5:$B$200,MATCH(C336,'DANH MỤC'!$A$5:$A$200,0)),"⚠ Mã chưa có trong DANH MỤC"))</f>
        <v/>
      </c>
      <c r="H336" s="52"/>
      <c r="I336" s="52"/>
    </row>
    <row r="337" customFormat="false" ht="15" hidden="false" customHeight="false" outlineLevel="0" collapsed="false">
      <c r="A337" s="50"/>
      <c r="B337" s="51" t="str">
        <f aca="false">IF(A337="","",MONTH(A337))</f>
        <v/>
      </c>
      <c r="C337" s="52"/>
      <c r="D337" s="52"/>
      <c r="E337" s="52"/>
      <c r="F337" s="52"/>
      <c r="G337" s="55" t="str">
        <f aca="false">IF(C337="","",IFERROR(INDEX('DANH MỤC'!$B$5:$B$200,MATCH(C337,'DANH MỤC'!$A$5:$A$200,0)),"⚠ Mã chưa có trong DANH MỤC"))</f>
        <v/>
      </c>
      <c r="H337" s="52"/>
      <c r="I337" s="52"/>
    </row>
    <row r="338" customFormat="false" ht="15" hidden="false" customHeight="false" outlineLevel="0" collapsed="false">
      <c r="A338" s="50"/>
      <c r="B338" s="51" t="str">
        <f aca="false">IF(A338="","",MONTH(A338))</f>
        <v/>
      </c>
      <c r="C338" s="52"/>
      <c r="D338" s="52"/>
      <c r="E338" s="52"/>
      <c r="F338" s="52"/>
      <c r="G338" s="55" t="str">
        <f aca="false">IF(C338="","",IFERROR(INDEX('DANH MỤC'!$B$5:$B$200,MATCH(C338,'DANH MỤC'!$A$5:$A$200,0)),"⚠ Mã chưa có trong DANH MỤC"))</f>
        <v/>
      </c>
      <c r="H338" s="52"/>
      <c r="I338" s="52"/>
    </row>
    <row r="339" customFormat="false" ht="15" hidden="false" customHeight="false" outlineLevel="0" collapsed="false">
      <c r="A339" s="50"/>
      <c r="B339" s="51" t="str">
        <f aca="false">IF(A339="","",MONTH(A339))</f>
        <v/>
      </c>
      <c r="C339" s="52"/>
      <c r="D339" s="52"/>
      <c r="E339" s="52"/>
      <c r="F339" s="52"/>
      <c r="G339" s="55" t="str">
        <f aca="false">IF(C339="","",IFERROR(INDEX('DANH MỤC'!$B$5:$B$200,MATCH(C339,'DANH MỤC'!$A$5:$A$200,0)),"⚠ Mã chưa có trong DANH MỤC"))</f>
        <v/>
      </c>
      <c r="H339" s="52"/>
      <c r="I339" s="52"/>
    </row>
    <row r="340" customFormat="false" ht="15" hidden="false" customHeight="false" outlineLevel="0" collapsed="false">
      <c r="A340" s="50"/>
      <c r="B340" s="51" t="str">
        <f aca="false">IF(A340="","",MONTH(A340))</f>
        <v/>
      </c>
      <c r="C340" s="52"/>
      <c r="D340" s="52"/>
      <c r="E340" s="52"/>
      <c r="F340" s="52"/>
      <c r="G340" s="55" t="str">
        <f aca="false">IF(C340="","",IFERROR(INDEX('DANH MỤC'!$B$5:$B$200,MATCH(C340,'DANH MỤC'!$A$5:$A$200,0)),"⚠ Mã chưa có trong DANH MỤC"))</f>
        <v/>
      </c>
      <c r="H340" s="52"/>
      <c r="I340" s="52"/>
    </row>
    <row r="341" customFormat="false" ht="15" hidden="false" customHeight="false" outlineLevel="0" collapsed="false">
      <c r="A341" s="50"/>
      <c r="B341" s="51" t="str">
        <f aca="false">IF(A341="","",MONTH(A341))</f>
        <v/>
      </c>
      <c r="C341" s="52"/>
      <c r="D341" s="52"/>
      <c r="E341" s="52"/>
      <c r="F341" s="52"/>
      <c r="G341" s="55" t="str">
        <f aca="false">IF(C341="","",IFERROR(INDEX('DANH MỤC'!$B$5:$B$200,MATCH(C341,'DANH MỤC'!$A$5:$A$200,0)),"⚠ Mã chưa có trong DANH MỤC"))</f>
        <v/>
      </c>
      <c r="H341" s="52"/>
      <c r="I341" s="52"/>
    </row>
    <row r="342" customFormat="false" ht="15" hidden="false" customHeight="false" outlineLevel="0" collapsed="false">
      <c r="A342" s="50"/>
      <c r="B342" s="51" t="str">
        <f aca="false">IF(A342="","",MONTH(A342))</f>
        <v/>
      </c>
      <c r="C342" s="52"/>
      <c r="D342" s="52"/>
      <c r="E342" s="52"/>
      <c r="F342" s="52"/>
      <c r="G342" s="55" t="str">
        <f aca="false">IF(C342="","",IFERROR(INDEX('DANH MỤC'!$B$5:$B$200,MATCH(C342,'DANH MỤC'!$A$5:$A$200,0)),"⚠ Mã chưa có trong DANH MỤC"))</f>
        <v/>
      </c>
      <c r="H342" s="52"/>
      <c r="I342" s="52"/>
    </row>
    <row r="343" customFormat="false" ht="15" hidden="false" customHeight="false" outlineLevel="0" collapsed="false">
      <c r="A343" s="50"/>
      <c r="B343" s="51" t="str">
        <f aca="false">IF(A343="","",MONTH(A343))</f>
        <v/>
      </c>
      <c r="C343" s="52"/>
      <c r="D343" s="52"/>
      <c r="E343" s="52"/>
      <c r="F343" s="52"/>
      <c r="G343" s="55" t="str">
        <f aca="false">IF(C343="","",IFERROR(INDEX('DANH MỤC'!$B$5:$B$200,MATCH(C343,'DANH MỤC'!$A$5:$A$200,0)),"⚠ Mã chưa có trong DANH MỤC"))</f>
        <v/>
      </c>
      <c r="H343" s="52"/>
      <c r="I343" s="52"/>
    </row>
    <row r="344" customFormat="false" ht="15" hidden="false" customHeight="false" outlineLevel="0" collapsed="false">
      <c r="A344" s="50"/>
      <c r="B344" s="51" t="str">
        <f aca="false">IF(A344="","",MONTH(A344))</f>
        <v/>
      </c>
      <c r="C344" s="52"/>
      <c r="D344" s="52"/>
      <c r="E344" s="52"/>
      <c r="F344" s="52"/>
      <c r="G344" s="55" t="str">
        <f aca="false">IF(C344="","",IFERROR(INDEX('DANH MỤC'!$B$5:$B$200,MATCH(C344,'DANH MỤC'!$A$5:$A$200,0)),"⚠ Mã chưa có trong DANH MỤC"))</f>
        <v/>
      </c>
      <c r="H344" s="52"/>
      <c r="I344" s="52"/>
    </row>
    <row r="345" customFormat="false" ht="15" hidden="false" customHeight="false" outlineLevel="0" collapsed="false">
      <c r="A345" s="50"/>
      <c r="B345" s="51" t="str">
        <f aca="false">IF(A345="","",MONTH(A345))</f>
        <v/>
      </c>
      <c r="C345" s="52"/>
      <c r="D345" s="52"/>
      <c r="E345" s="52"/>
      <c r="F345" s="52"/>
      <c r="G345" s="55" t="str">
        <f aca="false">IF(C345="","",IFERROR(INDEX('DANH MỤC'!$B$5:$B$200,MATCH(C345,'DANH MỤC'!$A$5:$A$200,0)),"⚠ Mã chưa có trong DANH MỤC"))</f>
        <v/>
      </c>
      <c r="H345" s="52"/>
      <c r="I345" s="52"/>
    </row>
    <row r="346" customFormat="false" ht="15" hidden="false" customHeight="false" outlineLevel="0" collapsed="false">
      <c r="A346" s="50"/>
      <c r="B346" s="51" t="str">
        <f aca="false">IF(A346="","",MONTH(A346))</f>
        <v/>
      </c>
      <c r="C346" s="52"/>
      <c r="D346" s="52"/>
      <c r="E346" s="52"/>
      <c r="F346" s="52"/>
      <c r="G346" s="55" t="str">
        <f aca="false">IF(C346="","",IFERROR(INDEX('DANH MỤC'!$B$5:$B$200,MATCH(C346,'DANH MỤC'!$A$5:$A$200,0)),"⚠ Mã chưa có trong DANH MỤC"))</f>
        <v/>
      </c>
      <c r="H346" s="52"/>
      <c r="I346" s="52"/>
    </row>
    <row r="347" customFormat="false" ht="15" hidden="false" customHeight="false" outlineLevel="0" collapsed="false">
      <c r="A347" s="50"/>
      <c r="B347" s="51" t="str">
        <f aca="false">IF(A347="","",MONTH(A347))</f>
        <v/>
      </c>
      <c r="C347" s="52"/>
      <c r="D347" s="52"/>
      <c r="E347" s="52"/>
      <c r="F347" s="52"/>
      <c r="G347" s="55" t="str">
        <f aca="false">IF(C347="","",IFERROR(INDEX('DANH MỤC'!$B$5:$B$200,MATCH(C347,'DANH MỤC'!$A$5:$A$200,0)),"⚠ Mã chưa có trong DANH MỤC"))</f>
        <v/>
      </c>
      <c r="H347" s="52"/>
      <c r="I347" s="52"/>
    </row>
    <row r="348" customFormat="false" ht="15" hidden="false" customHeight="false" outlineLevel="0" collapsed="false">
      <c r="A348" s="50"/>
      <c r="B348" s="51" t="str">
        <f aca="false">IF(A348="","",MONTH(A348))</f>
        <v/>
      </c>
      <c r="C348" s="52"/>
      <c r="D348" s="52"/>
      <c r="E348" s="52"/>
      <c r="F348" s="52"/>
      <c r="G348" s="55" t="str">
        <f aca="false">IF(C348="","",IFERROR(INDEX('DANH MỤC'!$B$5:$B$200,MATCH(C348,'DANH MỤC'!$A$5:$A$200,0)),"⚠ Mã chưa có trong DANH MỤC"))</f>
        <v/>
      </c>
      <c r="H348" s="52"/>
      <c r="I348" s="52"/>
    </row>
    <row r="349" customFormat="false" ht="15" hidden="false" customHeight="false" outlineLevel="0" collapsed="false">
      <c r="A349" s="50"/>
      <c r="B349" s="51" t="str">
        <f aca="false">IF(A349="","",MONTH(A349))</f>
        <v/>
      </c>
      <c r="C349" s="52"/>
      <c r="D349" s="52"/>
      <c r="E349" s="52"/>
      <c r="F349" s="52"/>
      <c r="G349" s="55" t="str">
        <f aca="false">IF(C349="","",IFERROR(INDEX('DANH MỤC'!$B$5:$B$200,MATCH(C349,'DANH MỤC'!$A$5:$A$200,0)),"⚠ Mã chưa có trong DANH MỤC"))</f>
        <v/>
      </c>
      <c r="H349" s="52"/>
      <c r="I349" s="52"/>
    </row>
    <row r="350" customFormat="false" ht="15" hidden="false" customHeight="false" outlineLevel="0" collapsed="false">
      <c r="A350" s="50"/>
      <c r="B350" s="51" t="str">
        <f aca="false">IF(A350="","",MONTH(A350))</f>
        <v/>
      </c>
      <c r="C350" s="52"/>
      <c r="D350" s="52"/>
      <c r="E350" s="52"/>
      <c r="F350" s="52"/>
      <c r="G350" s="55" t="str">
        <f aca="false">IF(C350="","",IFERROR(INDEX('DANH MỤC'!$B$5:$B$200,MATCH(C350,'DANH MỤC'!$A$5:$A$200,0)),"⚠ Mã chưa có trong DANH MỤC"))</f>
        <v/>
      </c>
      <c r="H350" s="52"/>
      <c r="I350" s="52"/>
    </row>
    <row r="351" customFormat="false" ht="15" hidden="false" customHeight="false" outlineLevel="0" collapsed="false">
      <c r="A351" s="50"/>
      <c r="B351" s="51" t="str">
        <f aca="false">IF(A351="","",MONTH(A351))</f>
        <v/>
      </c>
      <c r="C351" s="52"/>
      <c r="D351" s="52"/>
      <c r="E351" s="52"/>
      <c r="F351" s="52"/>
      <c r="G351" s="55" t="str">
        <f aca="false">IF(C351="","",IFERROR(INDEX('DANH MỤC'!$B$5:$B$200,MATCH(C351,'DANH MỤC'!$A$5:$A$200,0)),"⚠ Mã chưa có trong DANH MỤC"))</f>
        <v/>
      </c>
      <c r="H351" s="52"/>
      <c r="I351" s="52"/>
    </row>
    <row r="352" customFormat="false" ht="15" hidden="false" customHeight="false" outlineLevel="0" collapsed="false">
      <c r="A352" s="50"/>
      <c r="B352" s="51" t="str">
        <f aca="false">IF(A352="","",MONTH(A352))</f>
        <v/>
      </c>
      <c r="C352" s="52"/>
      <c r="D352" s="52"/>
      <c r="E352" s="52"/>
      <c r="F352" s="52"/>
      <c r="G352" s="55" t="str">
        <f aca="false">IF(C352="","",IFERROR(INDEX('DANH MỤC'!$B$5:$B$200,MATCH(C352,'DANH MỤC'!$A$5:$A$200,0)),"⚠ Mã chưa có trong DANH MỤC"))</f>
        <v/>
      </c>
      <c r="H352" s="52"/>
      <c r="I352" s="52"/>
    </row>
    <row r="353" customFormat="false" ht="15" hidden="false" customHeight="false" outlineLevel="0" collapsed="false">
      <c r="A353" s="50"/>
      <c r="B353" s="51" t="str">
        <f aca="false">IF(A353="","",MONTH(A353))</f>
        <v/>
      </c>
      <c r="C353" s="52"/>
      <c r="D353" s="52"/>
      <c r="E353" s="52"/>
      <c r="F353" s="52"/>
      <c r="G353" s="55" t="str">
        <f aca="false">IF(C353="","",IFERROR(INDEX('DANH MỤC'!$B$5:$B$200,MATCH(C353,'DANH MỤC'!$A$5:$A$200,0)),"⚠ Mã chưa có trong DANH MỤC"))</f>
        <v/>
      </c>
      <c r="H353" s="52"/>
      <c r="I353" s="52"/>
    </row>
    <row r="354" customFormat="false" ht="15" hidden="false" customHeight="false" outlineLevel="0" collapsed="false">
      <c r="A354" s="50"/>
      <c r="B354" s="51" t="str">
        <f aca="false">IF(A354="","",MONTH(A354))</f>
        <v/>
      </c>
      <c r="C354" s="52"/>
      <c r="D354" s="52"/>
      <c r="E354" s="52"/>
      <c r="F354" s="52"/>
      <c r="G354" s="55" t="str">
        <f aca="false">IF(C354="","",IFERROR(INDEX('DANH MỤC'!$B$5:$B$200,MATCH(C354,'DANH MỤC'!$A$5:$A$200,0)),"⚠ Mã chưa có trong DANH MỤC"))</f>
        <v/>
      </c>
      <c r="H354" s="52"/>
      <c r="I354" s="52"/>
    </row>
    <row r="355" customFormat="false" ht="15" hidden="false" customHeight="false" outlineLevel="0" collapsed="false">
      <c r="A355" s="50"/>
      <c r="B355" s="51" t="str">
        <f aca="false">IF(A355="","",MONTH(A355))</f>
        <v/>
      </c>
      <c r="C355" s="52"/>
      <c r="D355" s="52"/>
      <c r="E355" s="52"/>
      <c r="F355" s="52"/>
      <c r="G355" s="55" t="str">
        <f aca="false">IF(C355="","",IFERROR(INDEX('DANH MỤC'!$B$5:$B$200,MATCH(C355,'DANH MỤC'!$A$5:$A$200,0)),"⚠ Mã chưa có trong DANH MỤC"))</f>
        <v/>
      </c>
      <c r="H355" s="52"/>
      <c r="I355" s="52"/>
    </row>
    <row r="356" customFormat="false" ht="15" hidden="false" customHeight="false" outlineLevel="0" collapsed="false">
      <c r="A356" s="50"/>
      <c r="B356" s="51" t="str">
        <f aca="false">IF(A356="","",MONTH(A356))</f>
        <v/>
      </c>
      <c r="C356" s="52"/>
      <c r="D356" s="52"/>
      <c r="E356" s="52"/>
      <c r="F356" s="52"/>
      <c r="G356" s="55" t="str">
        <f aca="false">IF(C356="","",IFERROR(INDEX('DANH MỤC'!$B$5:$B$200,MATCH(C356,'DANH MỤC'!$A$5:$A$200,0)),"⚠ Mã chưa có trong DANH MỤC"))</f>
        <v/>
      </c>
      <c r="H356" s="52"/>
      <c r="I356" s="52"/>
    </row>
    <row r="357" customFormat="false" ht="15" hidden="false" customHeight="false" outlineLevel="0" collapsed="false">
      <c r="A357" s="50"/>
      <c r="B357" s="51" t="str">
        <f aca="false">IF(A357="","",MONTH(A357))</f>
        <v/>
      </c>
      <c r="C357" s="52"/>
      <c r="D357" s="52"/>
      <c r="E357" s="52"/>
      <c r="F357" s="52"/>
      <c r="G357" s="55" t="str">
        <f aca="false">IF(C357="","",IFERROR(INDEX('DANH MỤC'!$B$5:$B$200,MATCH(C357,'DANH MỤC'!$A$5:$A$200,0)),"⚠ Mã chưa có trong DANH MỤC"))</f>
        <v/>
      </c>
      <c r="H357" s="52"/>
      <c r="I357" s="52"/>
    </row>
    <row r="358" customFormat="false" ht="15" hidden="false" customHeight="false" outlineLevel="0" collapsed="false">
      <c r="A358" s="50"/>
      <c r="B358" s="51" t="str">
        <f aca="false">IF(A358="","",MONTH(A358))</f>
        <v/>
      </c>
      <c r="C358" s="52"/>
      <c r="D358" s="52"/>
      <c r="E358" s="52"/>
      <c r="F358" s="52"/>
      <c r="G358" s="55" t="str">
        <f aca="false">IF(C358="","",IFERROR(INDEX('DANH MỤC'!$B$5:$B$200,MATCH(C358,'DANH MỤC'!$A$5:$A$200,0)),"⚠ Mã chưa có trong DANH MỤC"))</f>
        <v/>
      </c>
      <c r="H358" s="52"/>
      <c r="I358" s="52"/>
    </row>
    <row r="359" customFormat="false" ht="15" hidden="false" customHeight="false" outlineLevel="0" collapsed="false">
      <c r="A359" s="50"/>
      <c r="B359" s="51" t="str">
        <f aca="false">IF(A359="","",MONTH(A359))</f>
        <v/>
      </c>
      <c r="C359" s="52"/>
      <c r="D359" s="52"/>
      <c r="E359" s="52"/>
      <c r="F359" s="52"/>
      <c r="G359" s="55" t="str">
        <f aca="false">IF(C359="","",IFERROR(INDEX('DANH MỤC'!$B$5:$B$200,MATCH(C359,'DANH MỤC'!$A$5:$A$200,0)),"⚠ Mã chưa có trong DANH MỤC"))</f>
        <v/>
      </c>
      <c r="H359" s="52"/>
      <c r="I359" s="52"/>
    </row>
    <row r="360" customFormat="false" ht="15" hidden="false" customHeight="false" outlineLevel="0" collapsed="false">
      <c r="A360" s="50"/>
      <c r="B360" s="51" t="str">
        <f aca="false">IF(A360="","",MONTH(A360))</f>
        <v/>
      </c>
      <c r="C360" s="52"/>
      <c r="D360" s="52"/>
      <c r="E360" s="52"/>
      <c r="F360" s="52"/>
      <c r="G360" s="55" t="str">
        <f aca="false">IF(C360="","",IFERROR(INDEX('DANH MỤC'!$B$5:$B$200,MATCH(C360,'DANH MỤC'!$A$5:$A$200,0)),"⚠ Mã chưa có trong DANH MỤC"))</f>
        <v/>
      </c>
      <c r="H360" s="52"/>
      <c r="I360" s="52"/>
    </row>
    <row r="361" customFormat="false" ht="15" hidden="false" customHeight="false" outlineLevel="0" collapsed="false">
      <c r="A361" s="50"/>
      <c r="B361" s="51" t="str">
        <f aca="false">IF(A361="","",MONTH(A361))</f>
        <v/>
      </c>
      <c r="C361" s="52"/>
      <c r="D361" s="52"/>
      <c r="E361" s="52"/>
      <c r="F361" s="52"/>
      <c r="G361" s="55" t="str">
        <f aca="false">IF(C361="","",IFERROR(INDEX('DANH MỤC'!$B$5:$B$200,MATCH(C361,'DANH MỤC'!$A$5:$A$200,0)),"⚠ Mã chưa có trong DANH MỤC"))</f>
        <v/>
      </c>
      <c r="H361" s="52"/>
      <c r="I361" s="52"/>
    </row>
    <row r="362" customFormat="false" ht="15" hidden="false" customHeight="false" outlineLevel="0" collapsed="false">
      <c r="A362" s="50"/>
      <c r="B362" s="51" t="str">
        <f aca="false">IF(A362="","",MONTH(A362))</f>
        <v/>
      </c>
      <c r="C362" s="52"/>
      <c r="D362" s="52"/>
      <c r="E362" s="52"/>
      <c r="F362" s="52"/>
      <c r="G362" s="55" t="str">
        <f aca="false">IF(C362="","",IFERROR(INDEX('DANH MỤC'!$B$5:$B$200,MATCH(C362,'DANH MỤC'!$A$5:$A$200,0)),"⚠ Mã chưa có trong DANH MỤC"))</f>
        <v/>
      </c>
      <c r="H362" s="52"/>
      <c r="I362" s="52"/>
    </row>
    <row r="363" customFormat="false" ht="15" hidden="false" customHeight="false" outlineLevel="0" collapsed="false">
      <c r="A363" s="50"/>
      <c r="B363" s="51" t="str">
        <f aca="false">IF(A363="","",MONTH(A363))</f>
        <v/>
      </c>
      <c r="C363" s="52"/>
      <c r="D363" s="52"/>
      <c r="E363" s="52"/>
      <c r="F363" s="52"/>
      <c r="G363" s="55" t="str">
        <f aca="false">IF(C363="","",IFERROR(INDEX('DANH MỤC'!$B$5:$B$200,MATCH(C363,'DANH MỤC'!$A$5:$A$200,0)),"⚠ Mã chưa có trong DANH MỤC"))</f>
        <v/>
      </c>
      <c r="H363" s="52"/>
      <c r="I363" s="52"/>
    </row>
    <row r="364" customFormat="false" ht="15" hidden="false" customHeight="false" outlineLevel="0" collapsed="false">
      <c r="A364" s="50"/>
      <c r="B364" s="51" t="str">
        <f aca="false">IF(A364="","",MONTH(A364))</f>
        <v/>
      </c>
      <c r="C364" s="52"/>
      <c r="D364" s="52"/>
      <c r="E364" s="52"/>
      <c r="F364" s="52"/>
      <c r="G364" s="55" t="str">
        <f aca="false">IF(C364="","",IFERROR(INDEX('DANH MỤC'!$B$5:$B$200,MATCH(C364,'DANH MỤC'!$A$5:$A$200,0)),"⚠ Mã chưa có trong DANH MỤC"))</f>
        <v/>
      </c>
      <c r="H364" s="52"/>
      <c r="I364" s="52"/>
    </row>
    <row r="365" customFormat="false" ht="15" hidden="false" customHeight="false" outlineLevel="0" collapsed="false">
      <c r="A365" s="50"/>
      <c r="B365" s="51" t="str">
        <f aca="false">IF(A365="","",MONTH(A365))</f>
        <v/>
      </c>
      <c r="C365" s="52"/>
      <c r="D365" s="52"/>
      <c r="E365" s="52"/>
      <c r="F365" s="52"/>
      <c r="G365" s="55" t="str">
        <f aca="false">IF(C365="","",IFERROR(INDEX('DANH MỤC'!$B$5:$B$200,MATCH(C365,'DANH MỤC'!$A$5:$A$200,0)),"⚠ Mã chưa có trong DANH MỤC"))</f>
        <v/>
      </c>
      <c r="H365" s="52"/>
      <c r="I365" s="52"/>
    </row>
    <row r="366" customFormat="false" ht="15" hidden="false" customHeight="false" outlineLevel="0" collapsed="false">
      <c r="A366" s="50"/>
      <c r="B366" s="51" t="str">
        <f aca="false">IF(A366="","",MONTH(A366))</f>
        <v/>
      </c>
      <c r="C366" s="52"/>
      <c r="D366" s="52"/>
      <c r="E366" s="52"/>
      <c r="F366" s="52"/>
      <c r="G366" s="55" t="str">
        <f aca="false">IF(C366="","",IFERROR(INDEX('DANH MỤC'!$B$5:$B$200,MATCH(C366,'DANH MỤC'!$A$5:$A$200,0)),"⚠ Mã chưa có trong DANH MỤC"))</f>
        <v/>
      </c>
      <c r="H366" s="52"/>
      <c r="I366" s="52"/>
    </row>
    <row r="367" customFormat="false" ht="15" hidden="false" customHeight="false" outlineLevel="0" collapsed="false">
      <c r="A367" s="50"/>
      <c r="B367" s="51" t="str">
        <f aca="false">IF(A367="","",MONTH(A367))</f>
        <v/>
      </c>
      <c r="C367" s="52"/>
      <c r="D367" s="52"/>
      <c r="E367" s="52"/>
      <c r="F367" s="52"/>
      <c r="G367" s="55" t="str">
        <f aca="false">IF(C367="","",IFERROR(INDEX('DANH MỤC'!$B$5:$B$200,MATCH(C367,'DANH MỤC'!$A$5:$A$200,0)),"⚠ Mã chưa có trong DANH MỤC"))</f>
        <v/>
      </c>
      <c r="H367" s="52"/>
      <c r="I367" s="52"/>
    </row>
    <row r="368" customFormat="false" ht="15" hidden="false" customHeight="false" outlineLevel="0" collapsed="false">
      <c r="A368" s="50"/>
      <c r="B368" s="51" t="str">
        <f aca="false">IF(A368="","",MONTH(A368))</f>
        <v/>
      </c>
      <c r="C368" s="52"/>
      <c r="D368" s="52"/>
      <c r="E368" s="52"/>
      <c r="F368" s="52"/>
      <c r="G368" s="55" t="str">
        <f aca="false">IF(C368="","",IFERROR(INDEX('DANH MỤC'!$B$5:$B$200,MATCH(C368,'DANH MỤC'!$A$5:$A$200,0)),"⚠ Mã chưa có trong DANH MỤC"))</f>
        <v/>
      </c>
      <c r="H368" s="52"/>
      <c r="I368" s="52"/>
    </row>
    <row r="369" customFormat="false" ht="15" hidden="false" customHeight="false" outlineLevel="0" collapsed="false">
      <c r="A369" s="50"/>
      <c r="B369" s="51" t="str">
        <f aca="false">IF(A369="","",MONTH(A369))</f>
        <v/>
      </c>
      <c r="C369" s="52"/>
      <c r="D369" s="52"/>
      <c r="E369" s="52"/>
      <c r="F369" s="52"/>
      <c r="G369" s="55" t="str">
        <f aca="false">IF(C369="","",IFERROR(INDEX('DANH MỤC'!$B$5:$B$200,MATCH(C369,'DANH MỤC'!$A$5:$A$200,0)),"⚠ Mã chưa có trong DANH MỤC"))</f>
        <v/>
      </c>
      <c r="H369" s="52"/>
      <c r="I369" s="52"/>
    </row>
    <row r="370" customFormat="false" ht="15" hidden="false" customHeight="false" outlineLevel="0" collapsed="false">
      <c r="A370" s="50"/>
      <c r="B370" s="51" t="str">
        <f aca="false">IF(A370="","",MONTH(A370))</f>
        <v/>
      </c>
      <c r="C370" s="52"/>
      <c r="D370" s="52"/>
      <c r="E370" s="52"/>
      <c r="F370" s="52"/>
      <c r="G370" s="55" t="str">
        <f aca="false">IF(C370="","",IFERROR(INDEX('DANH MỤC'!$B$5:$B$200,MATCH(C370,'DANH MỤC'!$A$5:$A$200,0)),"⚠ Mã chưa có trong DANH MỤC"))</f>
        <v/>
      </c>
      <c r="H370" s="52"/>
      <c r="I370" s="52"/>
    </row>
    <row r="371" customFormat="false" ht="15" hidden="false" customHeight="false" outlineLevel="0" collapsed="false">
      <c r="A371" s="50"/>
      <c r="B371" s="51" t="str">
        <f aca="false">IF(A371="","",MONTH(A371))</f>
        <v/>
      </c>
      <c r="C371" s="52"/>
      <c r="D371" s="52"/>
      <c r="E371" s="52"/>
      <c r="F371" s="52"/>
      <c r="G371" s="55" t="str">
        <f aca="false">IF(C371="","",IFERROR(INDEX('DANH MỤC'!$B$5:$B$200,MATCH(C371,'DANH MỤC'!$A$5:$A$200,0)),"⚠ Mã chưa có trong DANH MỤC"))</f>
        <v/>
      </c>
      <c r="H371" s="52"/>
      <c r="I371" s="52"/>
    </row>
    <row r="372" customFormat="false" ht="15" hidden="false" customHeight="false" outlineLevel="0" collapsed="false">
      <c r="A372" s="50"/>
      <c r="B372" s="51" t="str">
        <f aca="false">IF(A372="","",MONTH(A372))</f>
        <v/>
      </c>
      <c r="C372" s="52"/>
      <c r="D372" s="52"/>
      <c r="E372" s="52"/>
      <c r="F372" s="52"/>
      <c r="G372" s="55" t="str">
        <f aca="false">IF(C372="","",IFERROR(INDEX('DANH MỤC'!$B$5:$B$200,MATCH(C372,'DANH MỤC'!$A$5:$A$200,0)),"⚠ Mã chưa có trong DANH MỤC"))</f>
        <v/>
      </c>
      <c r="H372" s="52"/>
      <c r="I372" s="52"/>
    </row>
    <row r="373" customFormat="false" ht="15" hidden="false" customHeight="false" outlineLevel="0" collapsed="false">
      <c r="A373" s="50"/>
      <c r="B373" s="51" t="str">
        <f aca="false">IF(A373="","",MONTH(A373))</f>
        <v/>
      </c>
      <c r="C373" s="52"/>
      <c r="D373" s="52"/>
      <c r="E373" s="52"/>
      <c r="F373" s="52"/>
      <c r="G373" s="55" t="str">
        <f aca="false">IF(C373="","",IFERROR(INDEX('DANH MỤC'!$B$5:$B$200,MATCH(C373,'DANH MỤC'!$A$5:$A$200,0)),"⚠ Mã chưa có trong DANH MỤC"))</f>
        <v/>
      </c>
      <c r="H373" s="52"/>
      <c r="I373" s="52"/>
    </row>
    <row r="374" customFormat="false" ht="15" hidden="false" customHeight="false" outlineLevel="0" collapsed="false">
      <c r="A374" s="50"/>
      <c r="B374" s="51" t="str">
        <f aca="false">IF(A374="","",MONTH(A374))</f>
        <v/>
      </c>
      <c r="C374" s="52"/>
      <c r="D374" s="52"/>
      <c r="E374" s="52"/>
      <c r="F374" s="52"/>
      <c r="G374" s="55" t="str">
        <f aca="false">IF(C374="","",IFERROR(INDEX('DANH MỤC'!$B$5:$B$200,MATCH(C374,'DANH MỤC'!$A$5:$A$200,0)),"⚠ Mã chưa có trong DANH MỤC"))</f>
        <v/>
      </c>
      <c r="H374" s="52"/>
      <c r="I374" s="52"/>
    </row>
    <row r="375" customFormat="false" ht="15" hidden="false" customHeight="false" outlineLevel="0" collapsed="false">
      <c r="A375" s="50"/>
      <c r="B375" s="51" t="str">
        <f aca="false">IF(A375="","",MONTH(A375))</f>
        <v/>
      </c>
      <c r="C375" s="52"/>
      <c r="D375" s="52"/>
      <c r="E375" s="52"/>
      <c r="F375" s="52"/>
      <c r="G375" s="55" t="str">
        <f aca="false">IF(C375="","",IFERROR(INDEX('DANH MỤC'!$B$5:$B$200,MATCH(C375,'DANH MỤC'!$A$5:$A$200,0)),"⚠ Mã chưa có trong DANH MỤC"))</f>
        <v/>
      </c>
      <c r="H375" s="52"/>
      <c r="I375" s="52"/>
    </row>
    <row r="376" customFormat="false" ht="15" hidden="false" customHeight="false" outlineLevel="0" collapsed="false">
      <c r="A376" s="50"/>
      <c r="B376" s="51" t="str">
        <f aca="false">IF(A376="","",MONTH(A376))</f>
        <v/>
      </c>
      <c r="C376" s="52"/>
      <c r="D376" s="52"/>
      <c r="E376" s="52"/>
      <c r="F376" s="52"/>
      <c r="G376" s="55" t="str">
        <f aca="false">IF(C376="","",IFERROR(INDEX('DANH MỤC'!$B$5:$B$200,MATCH(C376,'DANH MỤC'!$A$5:$A$200,0)),"⚠ Mã chưa có trong DANH MỤC"))</f>
        <v/>
      </c>
      <c r="H376" s="52"/>
      <c r="I376" s="52"/>
    </row>
    <row r="377" customFormat="false" ht="15" hidden="false" customHeight="false" outlineLevel="0" collapsed="false">
      <c r="A377" s="50"/>
      <c r="B377" s="51" t="str">
        <f aca="false">IF(A377="","",MONTH(A377))</f>
        <v/>
      </c>
      <c r="C377" s="52"/>
      <c r="D377" s="52"/>
      <c r="E377" s="52"/>
      <c r="F377" s="52"/>
      <c r="G377" s="55" t="str">
        <f aca="false">IF(C377="","",IFERROR(INDEX('DANH MỤC'!$B$5:$B$200,MATCH(C377,'DANH MỤC'!$A$5:$A$200,0)),"⚠ Mã chưa có trong DANH MỤC"))</f>
        <v/>
      </c>
      <c r="H377" s="52"/>
      <c r="I377" s="52"/>
    </row>
    <row r="378" customFormat="false" ht="15" hidden="false" customHeight="false" outlineLevel="0" collapsed="false">
      <c r="A378" s="50"/>
      <c r="B378" s="51" t="str">
        <f aca="false">IF(A378="","",MONTH(A378))</f>
        <v/>
      </c>
      <c r="C378" s="52"/>
      <c r="D378" s="52"/>
      <c r="E378" s="52"/>
      <c r="F378" s="52"/>
      <c r="G378" s="55" t="str">
        <f aca="false">IF(C378="","",IFERROR(INDEX('DANH MỤC'!$B$5:$B$200,MATCH(C378,'DANH MỤC'!$A$5:$A$200,0)),"⚠ Mã chưa có trong DANH MỤC"))</f>
        <v/>
      </c>
      <c r="H378" s="52"/>
      <c r="I378" s="52"/>
    </row>
    <row r="379" customFormat="false" ht="15" hidden="false" customHeight="false" outlineLevel="0" collapsed="false">
      <c r="A379" s="50"/>
      <c r="B379" s="51" t="str">
        <f aca="false">IF(A379="","",MONTH(A379))</f>
        <v/>
      </c>
      <c r="C379" s="52"/>
      <c r="D379" s="52"/>
      <c r="E379" s="52"/>
      <c r="F379" s="52"/>
      <c r="G379" s="55" t="str">
        <f aca="false">IF(C379="","",IFERROR(INDEX('DANH MỤC'!$B$5:$B$200,MATCH(C379,'DANH MỤC'!$A$5:$A$200,0)),"⚠ Mã chưa có trong DANH MỤC"))</f>
        <v/>
      </c>
      <c r="H379" s="52"/>
      <c r="I379" s="52"/>
    </row>
    <row r="380" customFormat="false" ht="15" hidden="false" customHeight="false" outlineLevel="0" collapsed="false">
      <c r="A380" s="50"/>
      <c r="B380" s="51" t="str">
        <f aca="false">IF(A380="","",MONTH(A380))</f>
        <v/>
      </c>
      <c r="C380" s="52"/>
      <c r="D380" s="52"/>
      <c r="E380" s="52"/>
      <c r="F380" s="52"/>
      <c r="G380" s="55" t="str">
        <f aca="false">IF(C380="","",IFERROR(INDEX('DANH MỤC'!$B$5:$B$200,MATCH(C380,'DANH MỤC'!$A$5:$A$200,0)),"⚠ Mã chưa có trong DANH MỤC"))</f>
        <v/>
      </c>
      <c r="H380" s="52"/>
      <c r="I380" s="52"/>
    </row>
    <row r="381" customFormat="false" ht="15" hidden="false" customHeight="false" outlineLevel="0" collapsed="false">
      <c r="A381" s="50"/>
      <c r="B381" s="51" t="str">
        <f aca="false">IF(A381="","",MONTH(A381))</f>
        <v/>
      </c>
      <c r="C381" s="52"/>
      <c r="D381" s="52"/>
      <c r="E381" s="52"/>
      <c r="F381" s="52"/>
      <c r="G381" s="55" t="str">
        <f aca="false">IF(C381="","",IFERROR(INDEX('DANH MỤC'!$B$5:$B$200,MATCH(C381,'DANH MỤC'!$A$5:$A$200,0)),"⚠ Mã chưa có trong DANH MỤC"))</f>
        <v/>
      </c>
      <c r="H381" s="52"/>
      <c r="I381" s="52"/>
    </row>
    <row r="382" customFormat="false" ht="15" hidden="false" customHeight="false" outlineLevel="0" collapsed="false">
      <c r="A382" s="50"/>
      <c r="B382" s="51" t="str">
        <f aca="false">IF(A382="","",MONTH(A382))</f>
        <v/>
      </c>
      <c r="C382" s="52"/>
      <c r="D382" s="52"/>
      <c r="E382" s="52"/>
      <c r="F382" s="52"/>
      <c r="G382" s="55" t="str">
        <f aca="false">IF(C382="","",IFERROR(INDEX('DANH MỤC'!$B$5:$B$200,MATCH(C382,'DANH MỤC'!$A$5:$A$200,0)),"⚠ Mã chưa có trong DANH MỤC"))</f>
        <v/>
      </c>
      <c r="H382" s="52"/>
      <c r="I382" s="52"/>
    </row>
    <row r="383" customFormat="false" ht="15" hidden="false" customHeight="false" outlineLevel="0" collapsed="false">
      <c r="A383" s="50"/>
      <c r="B383" s="51" t="str">
        <f aca="false">IF(A383="","",MONTH(A383))</f>
        <v/>
      </c>
      <c r="C383" s="52"/>
      <c r="D383" s="52"/>
      <c r="E383" s="52"/>
      <c r="F383" s="52"/>
      <c r="G383" s="55" t="str">
        <f aca="false">IF(C383="","",IFERROR(INDEX('DANH MỤC'!$B$5:$B$200,MATCH(C383,'DANH MỤC'!$A$5:$A$200,0)),"⚠ Mã chưa có trong DANH MỤC"))</f>
        <v/>
      </c>
      <c r="H383" s="52"/>
      <c r="I383" s="52"/>
    </row>
    <row r="384" customFormat="false" ht="15" hidden="false" customHeight="false" outlineLevel="0" collapsed="false">
      <c r="A384" s="50"/>
      <c r="B384" s="51" t="str">
        <f aca="false">IF(A384="","",MONTH(A384))</f>
        <v/>
      </c>
      <c r="C384" s="52"/>
      <c r="D384" s="52"/>
      <c r="E384" s="52"/>
      <c r="F384" s="52"/>
      <c r="G384" s="55" t="str">
        <f aca="false">IF(C384="","",IFERROR(INDEX('DANH MỤC'!$B$5:$B$200,MATCH(C384,'DANH MỤC'!$A$5:$A$200,0)),"⚠ Mã chưa có trong DANH MỤC"))</f>
        <v/>
      </c>
      <c r="H384" s="52"/>
      <c r="I384" s="52"/>
    </row>
    <row r="385" customFormat="false" ht="15" hidden="false" customHeight="false" outlineLevel="0" collapsed="false">
      <c r="A385" s="50"/>
      <c r="B385" s="51" t="str">
        <f aca="false">IF(A385="","",MONTH(A385))</f>
        <v/>
      </c>
      <c r="C385" s="52"/>
      <c r="D385" s="52"/>
      <c r="E385" s="52"/>
      <c r="F385" s="52"/>
      <c r="G385" s="55" t="str">
        <f aca="false">IF(C385="","",IFERROR(INDEX('DANH MỤC'!$B$5:$B$200,MATCH(C385,'DANH MỤC'!$A$5:$A$200,0)),"⚠ Mã chưa có trong DANH MỤC"))</f>
        <v/>
      </c>
      <c r="H385" s="52"/>
      <c r="I385" s="52"/>
    </row>
    <row r="386" customFormat="false" ht="15" hidden="false" customHeight="false" outlineLevel="0" collapsed="false">
      <c r="A386" s="50"/>
      <c r="B386" s="51" t="str">
        <f aca="false">IF(A386="","",MONTH(A386))</f>
        <v/>
      </c>
      <c r="C386" s="52"/>
      <c r="D386" s="52"/>
      <c r="E386" s="52"/>
      <c r="F386" s="52"/>
      <c r="G386" s="55" t="str">
        <f aca="false">IF(C386="","",IFERROR(INDEX('DANH MỤC'!$B$5:$B$200,MATCH(C386,'DANH MỤC'!$A$5:$A$200,0)),"⚠ Mã chưa có trong DANH MỤC"))</f>
        <v/>
      </c>
      <c r="H386" s="52"/>
      <c r="I386" s="52"/>
    </row>
    <row r="387" customFormat="false" ht="15" hidden="false" customHeight="false" outlineLevel="0" collapsed="false">
      <c r="A387" s="50"/>
      <c r="B387" s="51" t="str">
        <f aca="false">IF(A387="","",MONTH(A387))</f>
        <v/>
      </c>
      <c r="C387" s="52"/>
      <c r="D387" s="52"/>
      <c r="E387" s="52"/>
      <c r="F387" s="52"/>
      <c r="G387" s="55" t="str">
        <f aca="false">IF(C387="","",IFERROR(INDEX('DANH MỤC'!$B$5:$B$200,MATCH(C387,'DANH MỤC'!$A$5:$A$200,0)),"⚠ Mã chưa có trong DANH MỤC"))</f>
        <v/>
      </c>
      <c r="H387" s="52"/>
      <c r="I387" s="52"/>
    </row>
    <row r="388" customFormat="false" ht="15" hidden="false" customHeight="false" outlineLevel="0" collapsed="false">
      <c r="A388" s="50"/>
      <c r="B388" s="51" t="str">
        <f aca="false">IF(A388="","",MONTH(A388))</f>
        <v/>
      </c>
      <c r="C388" s="52"/>
      <c r="D388" s="52"/>
      <c r="E388" s="52"/>
      <c r="F388" s="52"/>
      <c r="G388" s="55" t="str">
        <f aca="false">IF(C388="","",IFERROR(INDEX('DANH MỤC'!$B$5:$B$200,MATCH(C388,'DANH MỤC'!$A$5:$A$200,0)),"⚠ Mã chưa có trong DANH MỤC"))</f>
        <v/>
      </c>
      <c r="H388" s="52"/>
      <c r="I388" s="52"/>
    </row>
    <row r="389" customFormat="false" ht="15" hidden="false" customHeight="false" outlineLevel="0" collapsed="false">
      <c r="A389" s="50"/>
      <c r="B389" s="51" t="str">
        <f aca="false">IF(A389="","",MONTH(A389))</f>
        <v/>
      </c>
      <c r="C389" s="52"/>
      <c r="D389" s="52"/>
      <c r="E389" s="52"/>
      <c r="F389" s="52"/>
      <c r="G389" s="55" t="str">
        <f aca="false">IF(C389="","",IFERROR(INDEX('DANH MỤC'!$B$5:$B$200,MATCH(C389,'DANH MỤC'!$A$5:$A$200,0)),"⚠ Mã chưa có trong DANH MỤC"))</f>
        <v/>
      </c>
      <c r="H389" s="52"/>
      <c r="I389" s="52"/>
    </row>
    <row r="390" customFormat="false" ht="15" hidden="false" customHeight="false" outlineLevel="0" collapsed="false">
      <c r="A390" s="50"/>
      <c r="B390" s="51" t="str">
        <f aca="false">IF(A390="","",MONTH(A390))</f>
        <v/>
      </c>
      <c r="C390" s="52"/>
      <c r="D390" s="52"/>
      <c r="E390" s="52"/>
      <c r="F390" s="52"/>
      <c r="G390" s="55" t="str">
        <f aca="false">IF(C390="","",IFERROR(INDEX('DANH MỤC'!$B$5:$B$200,MATCH(C390,'DANH MỤC'!$A$5:$A$200,0)),"⚠ Mã chưa có trong DANH MỤC"))</f>
        <v/>
      </c>
      <c r="H390" s="52"/>
      <c r="I390" s="52"/>
    </row>
    <row r="391" customFormat="false" ht="15" hidden="false" customHeight="false" outlineLevel="0" collapsed="false">
      <c r="A391" s="50"/>
      <c r="B391" s="51" t="str">
        <f aca="false">IF(A391="","",MONTH(A391))</f>
        <v/>
      </c>
      <c r="C391" s="52"/>
      <c r="D391" s="52"/>
      <c r="E391" s="52"/>
      <c r="F391" s="52"/>
      <c r="G391" s="55" t="str">
        <f aca="false">IF(C391="","",IFERROR(INDEX('DANH MỤC'!$B$5:$B$200,MATCH(C391,'DANH MỤC'!$A$5:$A$200,0)),"⚠ Mã chưa có trong DANH MỤC"))</f>
        <v/>
      </c>
      <c r="H391" s="52"/>
      <c r="I391" s="52"/>
    </row>
    <row r="392" customFormat="false" ht="15" hidden="false" customHeight="false" outlineLevel="0" collapsed="false">
      <c r="A392" s="50"/>
      <c r="B392" s="51" t="str">
        <f aca="false">IF(A392="","",MONTH(A392))</f>
        <v/>
      </c>
      <c r="C392" s="52"/>
      <c r="D392" s="52"/>
      <c r="E392" s="52"/>
      <c r="F392" s="52"/>
      <c r="G392" s="55" t="str">
        <f aca="false">IF(C392="","",IFERROR(INDEX('DANH MỤC'!$B$5:$B$200,MATCH(C392,'DANH MỤC'!$A$5:$A$200,0)),"⚠ Mã chưa có trong DANH MỤC"))</f>
        <v/>
      </c>
      <c r="H392" s="52"/>
      <c r="I392" s="52"/>
    </row>
    <row r="393" customFormat="false" ht="15" hidden="false" customHeight="false" outlineLevel="0" collapsed="false">
      <c r="A393" s="50"/>
      <c r="B393" s="51" t="str">
        <f aca="false">IF(A393="","",MONTH(A393))</f>
        <v/>
      </c>
      <c r="C393" s="52"/>
      <c r="D393" s="52"/>
      <c r="E393" s="52"/>
      <c r="F393" s="52"/>
      <c r="G393" s="55" t="str">
        <f aca="false">IF(C393="","",IFERROR(INDEX('DANH MỤC'!$B$5:$B$200,MATCH(C393,'DANH MỤC'!$A$5:$A$200,0)),"⚠ Mã chưa có trong DANH MỤC"))</f>
        <v/>
      </c>
      <c r="H393" s="52"/>
      <c r="I393" s="52"/>
    </row>
    <row r="394" customFormat="false" ht="15" hidden="false" customHeight="false" outlineLevel="0" collapsed="false">
      <c r="A394" s="50"/>
      <c r="B394" s="51" t="str">
        <f aca="false">IF(A394="","",MONTH(A394))</f>
        <v/>
      </c>
      <c r="C394" s="52"/>
      <c r="D394" s="52"/>
      <c r="E394" s="52"/>
      <c r="F394" s="52"/>
      <c r="G394" s="55" t="str">
        <f aca="false">IF(C394="","",IFERROR(INDEX('DANH MỤC'!$B$5:$B$200,MATCH(C394,'DANH MỤC'!$A$5:$A$200,0)),"⚠ Mã chưa có trong DANH MỤC"))</f>
        <v/>
      </c>
      <c r="H394" s="52"/>
      <c r="I394" s="52"/>
    </row>
    <row r="395" customFormat="false" ht="15" hidden="false" customHeight="false" outlineLevel="0" collapsed="false">
      <c r="A395" s="50"/>
      <c r="B395" s="51" t="str">
        <f aca="false">IF(A395="","",MONTH(A395))</f>
        <v/>
      </c>
      <c r="C395" s="52"/>
      <c r="D395" s="52"/>
      <c r="E395" s="52"/>
      <c r="F395" s="52"/>
      <c r="G395" s="55" t="str">
        <f aca="false">IF(C395="","",IFERROR(INDEX('DANH MỤC'!$B$5:$B$200,MATCH(C395,'DANH MỤC'!$A$5:$A$200,0)),"⚠ Mã chưa có trong DANH MỤC"))</f>
        <v/>
      </c>
      <c r="H395" s="52"/>
      <c r="I395" s="52"/>
    </row>
    <row r="396" customFormat="false" ht="15" hidden="false" customHeight="false" outlineLevel="0" collapsed="false">
      <c r="A396" s="50"/>
      <c r="B396" s="51" t="str">
        <f aca="false">IF(A396="","",MONTH(A396))</f>
        <v/>
      </c>
      <c r="C396" s="52"/>
      <c r="D396" s="52"/>
      <c r="E396" s="52"/>
      <c r="F396" s="52"/>
      <c r="G396" s="55" t="str">
        <f aca="false">IF(C396="","",IFERROR(INDEX('DANH MỤC'!$B$5:$B$200,MATCH(C396,'DANH MỤC'!$A$5:$A$200,0)),"⚠ Mã chưa có trong DANH MỤC"))</f>
        <v/>
      </c>
      <c r="H396" s="52"/>
      <c r="I396" s="52"/>
    </row>
    <row r="397" customFormat="false" ht="15" hidden="false" customHeight="false" outlineLevel="0" collapsed="false">
      <c r="A397" s="50"/>
      <c r="B397" s="51" t="str">
        <f aca="false">IF(A397="","",MONTH(A397))</f>
        <v/>
      </c>
      <c r="C397" s="52"/>
      <c r="D397" s="52"/>
      <c r="E397" s="52"/>
      <c r="F397" s="52"/>
      <c r="G397" s="55" t="str">
        <f aca="false">IF(C397="","",IFERROR(INDEX('DANH MỤC'!$B$5:$B$200,MATCH(C397,'DANH MỤC'!$A$5:$A$200,0)),"⚠ Mã chưa có trong DANH MỤC"))</f>
        <v/>
      </c>
      <c r="H397" s="52"/>
      <c r="I397" s="52"/>
    </row>
    <row r="398" customFormat="false" ht="15" hidden="false" customHeight="false" outlineLevel="0" collapsed="false">
      <c r="A398" s="50"/>
      <c r="B398" s="51" t="str">
        <f aca="false">IF(A398="","",MONTH(A398))</f>
        <v/>
      </c>
      <c r="C398" s="52"/>
      <c r="D398" s="52"/>
      <c r="E398" s="52"/>
      <c r="F398" s="52"/>
      <c r="G398" s="55" t="str">
        <f aca="false">IF(C398="","",IFERROR(INDEX('DANH MỤC'!$B$5:$B$200,MATCH(C398,'DANH MỤC'!$A$5:$A$200,0)),"⚠ Mã chưa có trong DANH MỤC"))</f>
        <v/>
      </c>
      <c r="H398" s="52"/>
      <c r="I398" s="52"/>
    </row>
    <row r="399" customFormat="false" ht="15" hidden="false" customHeight="false" outlineLevel="0" collapsed="false">
      <c r="A399" s="50"/>
      <c r="B399" s="51" t="str">
        <f aca="false">IF(A399="","",MONTH(A399))</f>
        <v/>
      </c>
      <c r="C399" s="52"/>
      <c r="D399" s="52"/>
      <c r="E399" s="52"/>
      <c r="F399" s="52"/>
      <c r="G399" s="55" t="str">
        <f aca="false">IF(C399="","",IFERROR(INDEX('DANH MỤC'!$B$5:$B$200,MATCH(C399,'DANH MỤC'!$A$5:$A$200,0)),"⚠ Mã chưa có trong DANH MỤC"))</f>
        <v/>
      </c>
      <c r="H399" s="52"/>
      <c r="I399" s="52"/>
    </row>
    <row r="400" customFormat="false" ht="15" hidden="false" customHeight="false" outlineLevel="0" collapsed="false">
      <c r="A400" s="50"/>
      <c r="B400" s="51" t="str">
        <f aca="false">IF(A400="","",MONTH(A400))</f>
        <v/>
      </c>
      <c r="C400" s="52"/>
      <c r="D400" s="52"/>
      <c r="E400" s="52"/>
      <c r="F400" s="52"/>
      <c r="G400" s="55" t="str">
        <f aca="false">IF(C400="","",IFERROR(INDEX('DANH MỤC'!$B$5:$B$200,MATCH(C400,'DANH MỤC'!$A$5:$A$200,0)),"⚠ Mã chưa có trong DANH MỤC"))</f>
        <v/>
      </c>
      <c r="H400" s="52"/>
      <c r="I400" s="52"/>
    </row>
    <row r="401" customFormat="false" ht="15" hidden="false" customHeight="false" outlineLevel="0" collapsed="false">
      <c r="A401" s="50"/>
      <c r="B401" s="51" t="str">
        <f aca="false">IF(A401="","",MONTH(A401))</f>
        <v/>
      </c>
      <c r="C401" s="52"/>
      <c r="D401" s="52"/>
      <c r="E401" s="52"/>
      <c r="F401" s="52"/>
      <c r="G401" s="55" t="str">
        <f aca="false">IF(C401="","",IFERROR(INDEX('DANH MỤC'!$B$5:$B$200,MATCH(C401,'DANH MỤC'!$A$5:$A$200,0)),"⚠ Mã chưa có trong DANH MỤC"))</f>
        <v/>
      </c>
      <c r="H401" s="52"/>
      <c r="I401" s="52"/>
    </row>
    <row r="402" customFormat="false" ht="15" hidden="false" customHeight="false" outlineLevel="0" collapsed="false">
      <c r="A402" s="50"/>
      <c r="B402" s="51" t="str">
        <f aca="false">IF(A402="","",MONTH(A402))</f>
        <v/>
      </c>
      <c r="C402" s="52"/>
      <c r="D402" s="52"/>
      <c r="E402" s="52"/>
      <c r="F402" s="52"/>
      <c r="G402" s="55" t="str">
        <f aca="false">IF(C402="","",IFERROR(INDEX('DANH MỤC'!$B$5:$B$200,MATCH(C402,'DANH MỤC'!$A$5:$A$200,0)),"⚠ Mã chưa có trong DANH MỤC"))</f>
        <v/>
      </c>
      <c r="H402" s="52"/>
      <c r="I402" s="52"/>
    </row>
    <row r="403" customFormat="false" ht="15" hidden="false" customHeight="false" outlineLevel="0" collapsed="false">
      <c r="A403" s="50"/>
      <c r="B403" s="51" t="str">
        <f aca="false">IF(A403="","",MONTH(A403))</f>
        <v/>
      </c>
      <c r="C403" s="52"/>
      <c r="D403" s="52"/>
      <c r="E403" s="52"/>
      <c r="F403" s="52"/>
      <c r="G403" s="55" t="str">
        <f aca="false">IF(C403="","",IFERROR(INDEX('DANH MỤC'!$B$5:$B$200,MATCH(C403,'DANH MỤC'!$A$5:$A$200,0)),"⚠ Mã chưa có trong DANH MỤC"))</f>
        <v/>
      </c>
      <c r="H403" s="52"/>
      <c r="I403" s="52"/>
    </row>
    <row r="404" customFormat="false" ht="15" hidden="false" customHeight="false" outlineLevel="0" collapsed="false">
      <c r="A404" s="50"/>
      <c r="B404" s="51" t="str">
        <f aca="false">IF(A404="","",MONTH(A404))</f>
        <v/>
      </c>
      <c r="C404" s="52"/>
      <c r="D404" s="52"/>
      <c r="E404" s="52"/>
      <c r="F404" s="52"/>
      <c r="G404" s="55" t="str">
        <f aca="false">IF(C404="","",IFERROR(INDEX('DANH MỤC'!$B$5:$B$200,MATCH(C404,'DANH MỤC'!$A$5:$A$200,0)),"⚠ Mã chưa có trong DANH MỤC"))</f>
        <v/>
      </c>
      <c r="H404" s="52"/>
      <c r="I404" s="52"/>
    </row>
    <row r="405" customFormat="false" ht="15" hidden="false" customHeight="false" outlineLevel="0" collapsed="false">
      <c r="A405" s="50"/>
      <c r="B405" s="51" t="str">
        <f aca="false">IF(A405="","",MONTH(A405))</f>
        <v/>
      </c>
      <c r="C405" s="52"/>
      <c r="D405" s="52"/>
      <c r="E405" s="52"/>
      <c r="F405" s="52"/>
      <c r="G405" s="55" t="str">
        <f aca="false">IF(C405="","",IFERROR(INDEX('DANH MỤC'!$B$5:$B$200,MATCH(C405,'DANH MỤC'!$A$5:$A$200,0)),"⚠ Mã chưa có trong DANH MỤC"))</f>
        <v/>
      </c>
      <c r="H405" s="52"/>
      <c r="I405" s="52"/>
    </row>
    <row r="406" customFormat="false" ht="15" hidden="false" customHeight="false" outlineLevel="0" collapsed="false">
      <c r="A406" s="50"/>
      <c r="B406" s="51" t="str">
        <f aca="false">IF(A406="","",MONTH(A406))</f>
        <v/>
      </c>
      <c r="C406" s="52"/>
      <c r="D406" s="52"/>
      <c r="E406" s="52"/>
      <c r="F406" s="52"/>
      <c r="G406" s="55" t="str">
        <f aca="false">IF(C406="","",IFERROR(INDEX('DANH MỤC'!$B$5:$B$200,MATCH(C406,'DANH MỤC'!$A$5:$A$200,0)),"⚠ Mã chưa có trong DANH MỤC"))</f>
        <v/>
      </c>
      <c r="H406" s="52"/>
      <c r="I406" s="52"/>
    </row>
    <row r="407" customFormat="false" ht="15" hidden="false" customHeight="false" outlineLevel="0" collapsed="false">
      <c r="A407" s="50"/>
      <c r="B407" s="51" t="str">
        <f aca="false">IF(A407="","",MONTH(A407))</f>
        <v/>
      </c>
      <c r="C407" s="52"/>
      <c r="D407" s="52"/>
      <c r="E407" s="52"/>
      <c r="F407" s="52"/>
      <c r="G407" s="55" t="str">
        <f aca="false">IF(C407="","",IFERROR(INDEX('DANH MỤC'!$B$5:$B$200,MATCH(C407,'DANH MỤC'!$A$5:$A$200,0)),"⚠ Mã chưa có trong DANH MỤC"))</f>
        <v/>
      </c>
      <c r="H407" s="52"/>
      <c r="I407" s="52"/>
    </row>
    <row r="408" customFormat="false" ht="15" hidden="false" customHeight="false" outlineLevel="0" collapsed="false">
      <c r="A408" s="50"/>
      <c r="B408" s="51" t="str">
        <f aca="false">IF(A408="","",MONTH(A408))</f>
        <v/>
      </c>
      <c r="C408" s="52"/>
      <c r="D408" s="52"/>
      <c r="E408" s="52"/>
      <c r="F408" s="52"/>
      <c r="G408" s="55" t="str">
        <f aca="false">IF(C408="","",IFERROR(INDEX('DANH MỤC'!$B$5:$B$200,MATCH(C408,'DANH MỤC'!$A$5:$A$200,0)),"⚠ Mã chưa có trong DANH MỤC"))</f>
        <v/>
      </c>
      <c r="H408" s="52"/>
      <c r="I408" s="52"/>
    </row>
    <row r="409" customFormat="false" ht="15" hidden="false" customHeight="false" outlineLevel="0" collapsed="false">
      <c r="A409" s="50"/>
      <c r="B409" s="51" t="str">
        <f aca="false">IF(A409="","",MONTH(A409))</f>
        <v/>
      </c>
      <c r="C409" s="52"/>
      <c r="D409" s="52"/>
      <c r="E409" s="52"/>
      <c r="F409" s="52"/>
      <c r="G409" s="55" t="str">
        <f aca="false">IF(C409="","",IFERROR(INDEX('DANH MỤC'!$B$5:$B$200,MATCH(C409,'DANH MỤC'!$A$5:$A$200,0)),"⚠ Mã chưa có trong DANH MỤC"))</f>
        <v/>
      </c>
      <c r="H409" s="52"/>
      <c r="I409" s="52"/>
    </row>
    <row r="410" customFormat="false" ht="15" hidden="false" customHeight="false" outlineLevel="0" collapsed="false">
      <c r="A410" s="50"/>
      <c r="B410" s="51" t="str">
        <f aca="false">IF(A410="","",MONTH(A410))</f>
        <v/>
      </c>
      <c r="C410" s="52"/>
      <c r="D410" s="52"/>
      <c r="E410" s="52"/>
      <c r="F410" s="52"/>
      <c r="G410" s="55" t="str">
        <f aca="false">IF(C410="","",IFERROR(INDEX('DANH MỤC'!$B$5:$B$200,MATCH(C410,'DANH MỤC'!$A$5:$A$200,0)),"⚠ Mã chưa có trong DANH MỤC"))</f>
        <v/>
      </c>
      <c r="H410" s="52"/>
      <c r="I410" s="52"/>
    </row>
    <row r="411" customFormat="false" ht="15" hidden="false" customHeight="false" outlineLevel="0" collapsed="false">
      <c r="A411" s="50"/>
      <c r="B411" s="51" t="str">
        <f aca="false">IF(A411="","",MONTH(A411))</f>
        <v/>
      </c>
      <c r="C411" s="52"/>
      <c r="D411" s="52"/>
      <c r="E411" s="52"/>
      <c r="F411" s="52"/>
      <c r="G411" s="55" t="str">
        <f aca="false">IF(C411="","",IFERROR(INDEX('DANH MỤC'!$B$5:$B$200,MATCH(C411,'DANH MỤC'!$A$5:$A$200,0)),"⚠ Mã chưa có trong DANH MỤC"))</f>
        <v/>
      </c>
      <c r="H411" s="52"/>
      <c r="I411" s="52"/>
    </row>
    <row r="412" customFormat="false" ht="15" hidden="false" customHeight="false" outlineLevel="0" collapsed="false">
      <c r="A412" s="50"/>
      <c r="B412" s="51" t="str">
        <f aca="false">IF(A412="","",MONTH(A412))</f>
        <v/>
      </c>
      <c r="C412" s="52"/>
      <c r="D412" s="52"/>
      <c r="E412" s="52"/>
      <c r="F412" s="52"/>
      <c r="G412" s="55" t="str">
        <f aca="false">IF(C412="","",IFERROR(INDEX('DANH MỤC'!$B$5:$B$200,MATCH(C412,'DANH MỤC'!$A$5:$A$200,0)),"⚠ Mã chưa có trong DANH MỤC"))</f>
        <v/>
      </c>
      <c r="H412" s="52"/>
      <c r="I412" s="52"/>
    </row>
    <row r="413" customFormat="false" ht="15" hidden="false" customHeight="false" outlineLevel="0" collapsed="false">
      <c r="A413" s="50"/>
      <c r="B413" s="51" t="str">
        <f aca="false">IF(A413="","",MONTH(A413))</f>
        <v/>
      </c>
      <c r="C413" s="52"/>
      <c r="D413" s="52"/>
      <c r="E413" s="52"/>
      <c r="F413" s="52"/>
      <c r="G413" s="55" t="str">
        <f aca="false">IF(C413="","",IFERROR(INDEX('DANH MỤC'!$B$5:$B$200,MATCH(C413,'DANH MỤC'!$A$5:$A$200,0)),"⚠ Mã chưa có trong DANH MỤC"))</f>
        <v/>
      </c>
      <c r="H413" s="52"/>
      <c r="I413" s="52"/>
    </row>
    <row r="414" customFormat="false" ht="15" hidden="false" customHeight="false" outlineLevel="0" collapsed="false">
      <c r="A414" s="50"/>
      <c r="B414" s="51" t="str">
        <f aca="false">IF(A414="","",MONTH(A414))</f>
        <v/>
      </c>
      <c r="C414" s="52"/>
      <c r="D414" s="52"/>
      <c r="E414" s="52"/>
      <c r="F414" s="52"/>
      <c r="G414" s="55" t="str">
        <f aca="false">IF(C414="","",IFERROR(INDEX('DANH MỤC'!$B$5:$B$200,MATCH(C414,'DANH MỤC'!$A$5:$A$200,0)),"⚠ Mã chưa có trong DANH MỤC"))</f>
        <v/>
      </c>
      <c r="H414" s="52"/>
      <c r="I414" s="52"/>
    </row>
    <row r="415" customFormat="false" ht="15" hidden="false" customHeight="false" outlineLevel="0" collapsed="false">
      <c r="A415" s="50"/>
      <c r="B415" s="51" t="str">
        <f aca="false">IF(A415="","",MONTH(A415))</f>
        <v/>
      </c>
      <c r="C415" s="52"/>
      <c r="D415" s="52"/>
      <c r="E415" s="52"/>
      <c r="F415" s="52"/>
      <c r="G415" s="55" t="str">
        <f aca="false">IF(C415="","",IFERROR(INDEX('DANH MỤC'!$B$5:$B$200,MATCH(C415,'DANH MỤC'!$A$5:$A$200,0)),"⚠ Mã chưa có trong DANH MỤC"))</f>
        <v/>
      </c>
      <c r="H415" s="52"/>
      <c r="I415" s="52"/>
    </row>
    <row r="416" customFormat="false" ht="15" hidden="false" customHeight="false" outlineLevel="0" collapsed="false">
      <c r="A416" s="50"/>
      <c r="B416" s="51" t="str">
        <f aca="false">IF(A416="","",MONTH(A416))</f>
        <v/>
      </c>
      <c r="C416" s="52"/>
      <c r="D416" s="52"/>
      <c r="E416" s="52"/>
      <c r="F416" s="52"/>
      <c r="G416" s="55" t="str">
        <f aca="false">IF(C416="","",IFERROR(INDEX('DANH MỤC'!$B$5:$B$200,MATCH(C416,'DANH MỤC'!$A$5:$A$200,0)),"⚠ Mã chưa có trong DANH MỤC"))</f>
        <v/>
      </c>
      <c r="H416" s="52"/>
      <c r="I416" s="52"/>
    </row>
    <row r="417" customFormat="false" ht="15" hidden="false" customHeight="false" outlineLevel="0" collapsed="false">
      <c r="A417" s="50"/>
      <c r="B417" s="51" t="str">
        <f aca="false">IF(A417="","",MONTH(A417))</f>
        <v/>
      </c>
      <c r="C417" s="52"/>
      <c r="D417" s="52"/>
      <c r="E417" s="52"/>
      <c r="F417" s="52"/>
      <c r="G417" s="55" t="str">
        <f aca="false">IF(C417="","",IFERROR(INDEX('DANH MỤC'!$B$5:$B$200,MATCH(C417,'DANH MỤC'!$A$5:$A$200,0)),"⚠ Mã chưa có trong DANH MỤC"))</f>
        <v/>
      </c>
      <c r="H417" s="52"/>
      <c r="I417" s="52"/>
    </row>
    <row r="418" customFormat="false" ht="15" hidden="false" customHeight="false" outlineLevel="0" collapsed="false">
      <c r="A418" s="50"/>
      <c r="B418" s="51" t="str">
        <f aca="false">IF(A418="","",MONTH(A418))</f>
        <v/>
      </c>
      <c r="C418" s="52"/>
      <c r="D418" s="52"/>
      <c r="E418" s="52"/>
      <c r="F418" s="52"/>
      <c r="G418" s="55" t="str">
        <f aca="false">IF(C418="","",IFERROR(INDEX('DANH MỤC'!$B$5:$B$200,MATCH(C418,'DANH MỤC'!$A$5:$A$200,0)),"⚠ Mã chưa có trong DANH MỤC"))</f>
        <v/>
      </c>
      <c r="H418" s="52"/>
      <c r="I418" s="52"/>
    </row>
    <row r="419" customFormat="false" ht="15" hidden="false" customHeight="false" outlineLevel="0" collapsed="false">
      <c r="A419" s="50"/>
      <c r="B419" s="51" t="str">
        <f aca="false">IF(A419="","",MONTH(A419))</f>
        <v/>
      </c>
      <c r="C419" s="52"/>
      <c r="D419" s="52"/>
      <c r="E419" s="52"/>
      <c r="F419" s="52"/>
      <c r="G419" s="55" t="str">
        <f aca="false">IF(C419="","",IFERROR(INDEX('DANH MỤC'!$B$5:$B$200,MATCH(C419,'DANH MỤC'!$A$5:$A$200,0)),"⚠ Mã chưa có trong DANH MỤC"))</f>
        <v/>
      </c>
      <c r="H419" s="52"/>
      <c r="I419" s="52"/>
    </row>
    <row r="420" customFormat="false" ht="15" hidden="false" customHeight="false" outlineLevel="0" collapsed="false">
      <c r="A420" s="50"/>
      <c r="B420" s="51" t="str">
        <f aca="false">IF(A420="","",MONTH(A420))</f>
        <v/>
      </c>
      <c r="C420" s="52"/>
      <c r="D420" s="52"/>
      <c r="E420" s="52"/>
      <c r="F420" s="52"/>
      <c r="G420" s="55" t="str">
        <f aca="false">IF(C420="","",IFERROR(INDEX('DANH MỤC'!$B$5:$B$200,MATCH(C420,'DANH MỤC'!$A$5:$A$200,0)),"⚠ Mã chưa có trong DANH MỤC"))</f>
        <v/>
      </c>
      <c r="H420" s="52"/>
      <c r="I420" s="52"/>
    </row>
    <row r="421" customFormat="false" ht="15" hidden="false" customHeight="false" outlineLevel="0" collapsed="false">
      <c r="A421" s="50"/>
      <c r="B421" s="51" t="str">
        <f aca="false">IF(A421="","",MONTH(A421))</f>
        <v/>
      </c>
      <c r="C421" s="52"/>
      <c r="D421" s="52"/>
      <c r="E421" s="52"/>
      <c r="F421" s="52"/>
      <c r="G421" s="55" t="str">
        <f aca="false">IF(C421="","",IFERROR(INDEX('DANH MỤC'!$B$5:$B$200,MATCH(C421,'DANH MỤC'!$A$5:$A$200,0)),"⚠ Mã chưa có trong DANH MỤC"))</f>
        <v/>
      </c>
      <c r="H421" s="52"/>
      <c r="I421" s="52"/>
    </row>
    <row r="422" customFormat="false" ht="15" hidden="false" customHeight="false" outlineLevel="0" collapsed="false">
      <c r="A422" s="50"/>
      <c r="B422" s="51" t="str">
        <f aca="false">IF(A422="","",MONTH(A422))</f>
        <v/>
      </c>
      <c r="C422" s="52"/>
      <c r="D422" s="52"/>
      <c r="E422" s="52"/>
      <c r="F422" s="52"/>
      <c r="G422" s="55" t="str">
        <f aca="false">IF(C422="","",IFERROR(INDEX('DANH MỤC'!$B$5:$B$200,MATCH(C422,'DANH MỤC'!$A$5:$A$200,0)),"⚠ Mã chưa có trong DANH MỤC"))</f>
        <v/>
      </c>
      <c r="H422" s="52"/>
      <c r="I422" s="52"/>
    </row>
    <row r="423" customFormat="false" ht="15" hidden="false" customHeight="false" outlineLevel="0" collapsed="false">
      <c r="A423" s="50"/>
      <c r="B423" s="51" t="str">
        <f aca="false">IF(A423="","",MONTH(A423))</f>
        <v/>
      </c>
      <c r="C423" s="52"/>
      <c r="D423" s="52"/>
      <c r="E423" s="52"/>
      <c r="F423" s="52"/>
      <c r="G423" s="55" t="str">
        <f aca="false">IF(C423="","",IFERROR(INDEX('DANH MỤC'!$B$5:$B$200,MATCH(C423,'DANH MỤC'!$A$5:$A$200,0)),"⚠ Mã chưa có trong DANH MỤC"))</f>
        <v/>
      </c>
      <c r="H423" s="52"/>
      <c r="I423" s="52"/>
    </row>
    <row r="424" customFormat="false" ht="15" hidden="false" customHeight="false" outlineLevel="0" collapsed="false">
      <c r="A424" s="50"/>
      <c r="B424" s="51" t="str">
        <f aca="false">IF(A424="","",MONTH(A424))</f>
        <v/>
      </c>
      <c r="C424" s="52"/>
      <c r="D424" s="52"/>
      <c r="E424" s="52"/>
      <c r="F424" s="52"/>
      <c r="G424" s="55" t="str">
        <f aca="false">IF(C424="","",IFERROR(INDEX('DANH MỤC'!$B$5:$B$200,MATCH(C424,'DANH MỤC'!$A$5:$A$200,0)),"⚠ Mã chưa có trong DANH MỤC"))</f>
        <v/>
      </c>
      <c r="H424" s="52"/>
      <c r="I424" s="52"/>
    </row>
    <row r="425" customFormat="false" ht="15" hidden="false" customHeight="false" outlineLevel="0" collapsed="false">
      <c r="A425" s="50"/>
      <c r="B425" s="51" t="str">
        <f aca="false">IF(A425="","",MONTH(A425))</f>
        <v/>
      </c>
      <c r="C425" s="52"/>
      <c r="D425" s="52"/>
      <c r="E425" s="52"/>
      <c r="F425" s="52"/>
      <c r="G425" s="55" t="str">
        <f aca="false">IF(C425="","",IFERROR(INDEX('DANH MỤC'!$B$5:$B$200,MATCH(C425,'DANH MỤC'!$A$5:$A$200,0)),"⚠ Mã chưa có trong DANH MỤC"))</f>
        <v/>
      </c>
      <c r="H425" s="52"/>
      <c r="I425" s="52"/>
    </row>
    <row r="426" customFormat="false" ht="15" hidden="false" customHeight="false" outlineLevel="0" collapsed="false">
      <c r="A426" s="50"/>
      <c r="B426" s="51" t="str">
        <f aca="false">IF(A426="","",MONTH(A426))</f>
        <v/>
      </c>
      <c r="C426" s="52"/>
      <c r="D426" s="52"/>
      <c r="E426" s="52"/>
      <c r="F426" s="52"/>
      <c r="G426" s="55" t="str">
        <f aca="false">IF(C426="","",IFERROR(INDEX('DANH MỤC'!$B$5:$B$200,MATCH(C426,'DANH MỤC'!$A$5:$A$200,0)),"⚠ Mã chưa có trong DANH MỤC"))</f>
        <v/>
      </c>
      <c r="H426" s="52"/>
      <c r="I426" s="52"/>
    </row>
    <row r="427" customFormat="false" ht="15" hidden="false" customHeight="false" outlineLevel="0" collapsed="false">
      <c r="A427" s="50"/>
      <c r="B427" s="51" t="str">
        <f aca="false">IF(A427="","",MONTH(A427))</f>
        <v/>
      </c>
      <c r="C427" s="52"/>
      <c r="D427" s="52"/>
      <c r="E427" s="52"/>
      <c r="F427" s="52"/>
      <c r="G427" s="55" t="str">
        <f aca="false">IF(C427="","",IFERROR(INDEX('DANH MỤC'!$B$5:$B$200,MATCH(C427,'DANH MỤC'!$A$5:$A$200,0)),"⚠ Mã chưa có trong DANH MỤC"))</f>
        <v/>
      </c>
      <c r="H427" s="52"/>
      <c r="I427" s="52"/>
    </row>
    <row r="428" customFormat="false" ht="15" hidden="false" customHeight="false" outlineLevel="0" collapsed="false">
      <c r="A428" s="50"/>
      <c r="B428" s="51" t="str">
        <f aca="false">IF(A428="","",MONTH(A428))</f>
        <v/>
      </c>
      <c r="C428" s="52"/>
      <c r="D428" s="52"/>
      <c r="E428" s="52"/>
      <c r="F428" s="52"/>
      <c r="G428" s="55" t="str">
        <f aca="false">IF(C428="","",IFERROR(INDEX('DANH MỤC'!$B$5:$B$200,MATCH(C428,'DANH MỤC'!$A$5:$A$200,0)),"⚠ Mã chưa có trong DANH MỤC"))</f>
        <v/>
      </c>
      <c r="H428" s="52"/>
      <c r="I428" s="52"/>
    </row>
    <row r="429" customFormat="false" ht="15" hidden="false" customHeight="false" outlineLevel="0" collapsed="false">
      <c r="A429" s="50"/>
      <c r="B429" s="51" t="str">
        <f aca="false">IF(A429="","",MONTH(A429))</f>
        <v/>
      </c>
      <c r="C429" s="52"/>
      <c r="D429" s="52"/>
      <c r="E429" s="52"/>
      <c r="F429" s="52"/>
      <c r="G429" s="55" t="str">
        <f aca="false">IF(C429="","",IFERROR(INDEX('DANH MỤC'!$B$5:$B$200,MATCH(C429,'DANH MỤC'!$A$5:$A$200,0)),"⚠ Mã chưa có trong DANH MỤC"))</f>
        <v/>
      </c>
      <c r="H429" s="52"/>
      <c r="I429" s="52"/>
    </row>
    <row r="430" customFormat="false" ht="15" hidden="false" customHeight="false" outlineLevel="0" collapsed="false">
      <c r="A430" s="50"/>
      <c r="B430" s="51" t="str">
        <f aca="false">IF(A430="","",MONTH(A430))</f>
        <v/>
      </c>
      <c r="C430" s="52"/>
      <c r="D430" s="52"/>
      <c r="E430" s="52"/>
      <c r="F430" s="52"/>
      <c r="G430" s="55" t="str">
        <f aca="false">IF(C430="","",IFERROR(INDEX('DANH MỤC'!$B$5:$B$200,MATCH(C430,'DANH MỤC'!$A$5:$A$200,0)),"⚠ Mã chưa có trong DANH MỤC"))</f>
        <v/>
      </c>
      <c r="H430" s="52"/>
      <c r="I430" s="52"/>
    </row>
    <row r="431" customFormat="false" ht="15" hidden="false" customHeight="false" outlineLevel="0" collapsed="false">
      <c r="A431" s="50"/>
      <c r="B431" s="51" t="str">
        <f aca="false">IF(A431="","",MONTH(A431))</f>
        <v/>
      </c>
      <c r="C431" s="52"/>
      <c r="D431" s="52"/>
      <c r="E431" s="52"/>
      <c r="F431" s="52"/>
      <c r="G431" s="55" t="str">
        <f aca="false">IF(C431="","",IFERROR(INDEX('DANH MỤC'!$B$5:$B$200,MATCH(C431,'DANH MỤC'!$A$5:$A$200,0)),"⚠ Mã chưa có trong DANH MỤC"))</f>
        <v/>
      </c>
      <c r="H431" s="52"/>
      <c r="I431" s="52"/>
    </row>
    <row r="432" customFormat="false" ht="15" hidden="false" customHeight="false" outlineLevel="0" collapsed="false">
      <c r="A432" s="50"/>
      <c r="B432" s="51" t="str">
        <f aca="false">IF(A432="","",MONTH(A432))</f>
        <v/>
      </c>
      <c r="C432" s="52"/>
      <c r="D432" s="52"/>
      <c r="E432" s="52"/>
      <c r="F432" s="52"/>
      <c r="G432" s="55" t="str">
        <f aca="false">IF(C432="","",IFERROR(INDEX('DANH MỤC'!$B$5:$B$200,MATCH(C432,'DANH MỤC'!$A$5:$A$200,0)),"⚠ Mã chưa có trong DANH MỤC"))</f>
        <v/>
      </c>
      <c r="H432" s="52"/>
      <c r="I432" s="52"/>
    </row>
    <row r="433" customFormat="false" ht="15" hidden="false" customHeight="false" outlineLevel="0" collapsed="false">
      <c r="A433" s="50"/>
      <c r="B433" s="51" t="str">
        <f aca="false">IF(A433="","",MONTH(A433))</f>
        <v/>
      </c>
      <c r="C433" s="52"/>
      <c r="D433" s="52"/>
      <c r="E433" s="52"/>
      <c r="F433" s="52"/>
      <c r="G433" s="55" t="str">
        <f aca="false">IF(C433="","",IFERROR(INDEX('DANH MỤC'!$B$5:$B$200,MATCH(C433,'DANH MỤC'!$A$5:$A$200,0)),"⚠ Mã chưa có trong DANH MỤC"))</f>
        <v/>
      </c>
      <c r="H433" s="52"/>
      <c r="I433" s="52"/>
    </row>
    <row r="434" customFormat="false" ht="15" hidden="false" customHeight="false" outlineLevel="0" collapsed="false">
      <c r="A434" s="50"/>
      <c r="B434" s="51" t="str">
        <f aca="false">IF(A434="","",MONTH(A434))</f>
        <v/>
      </c>
      <c r="C434" s="52"/>
      <c r="D434" s="52"/>
      <c r="E434" s="52"/>
      <c r="F434" s="52"/>
      <c r="G434" s="55" t="str">
        <f aca="false">IF(C434="","",IFERROR(INDEX('DANH MỤC'!$B$5:$B$200,MATCH(C434,'DANH MỤC'!$A$5:$A$200,0)),"⚠ Mã chưa có trong DANH MỤC"))</f>
        <v/>
      </c>
      <c r="H434" s="52"/>
      <c r="I434" s="52"/>
    </row>
    <row r="435" customFormat="false" ht="15" hidden="false" customHeight="false" outlineLevel="0" collapsed="false">
      <c r="A435" s="50"/>
      <c r="B435" s="51" t="str">
        <f aca="false">IF(A435="","",MONTH(A435))</f>
        <v/>
      </c>
      <c r="C435" s="52"/>
      <c r="D435" s="52"/>
      <c r="E435" s="52"/>
      <c r="F435" s="52"/>
      <c r="G435" s="55" t="str">
        <f aca="false">IF(C435="","",IFERROR(INDEX('DANH MỤC'!$B$5:$B$200,MATCH(C435,'DANH MỤC'!$A$5:$A$200,0)),"⚠ Mã chưa có trong DANH MỤC"))</f>
        <v/>
      </c>
      <c r="H435" s="52"/>
      <c r="I435" s="52"/>
    </row>
    <row r="436" customFormat="false" ht="15" hidden="false" customHeight="false" outlineLevel="0" collapsed="false">
      <c r="A436" s="50"/>
      <c r="B436" s="51" t="str">
        <f aca="false">IF(A436="","",MONTH(A436))</f>
        <v/>
      </c>
      <c r="C436" s="52"/>
      <c r="D436" s="52"/>
      <c r="E436" s="52"/>
      <c r="F436" s="52"/>
      <c r="G436" s="55" t="str">
        <f aca="false">IF(C436="","",IFERROR(INDEX('DANH MỤC'!$B$5:$B$200,MATCH(C436,'DANH MỤC'!$A$5:$A$200,0)),"⚠ Mã chưa có trong DANH MỤC"))</f>
        <v/>
      </c>
      <c r="H436" s="52"/>
      <c r="I436" s="52"/>
    </row>
    <row r="437" customFormat="false" ht="15" hidden="false" customHeight="false" outlineLevel="0" collapsed="false">
      <c r="A437" s="50"/>
      <c r="B437" s="51" t="str">
        <f aca="false">IF(A437="","",MONTH(A437))</f>
        <v/>
      </c>
      <c r="C437" s="52"/>
      <c r="D437" s="52"/>
      <c r="E437" s="52"/>
      <c r="F437" s="52"/>
      <c r="G437" s="55" t="str">
        <f aca="false">IF(C437="","",IFERROR(INDEX('DANH MỤC'!$B$5:$B$200,MATCH(C437,'DANH MỤC'!$A$5:$A$200,0)),"⚠ Mã chưa có trong DANH MỤC"))</f>
        <v/>
      </c>
      <c r="H437" s="52"/>
      <c r="I437" s="52"/>
    </row>
    <row r="438" customFormat="false" ht="15" hidden="false" customHeight="false" outlineLevel="0" collapsed="false">
      <c r="A438" s="50"/>
      <c r="B438" s="51" t="str">
        <f aca="false">IF(A438="","",MONTH(A438))</f>
        <v/>
      </c>
      <c r="C438" s="52"/>
      <c r="D438" s="52"/>
      <c r="E438" s="52"/>
      <c r="F438" s="52"/>
      <c r="G438" s="55" t="str">
        <f aca="false">IF(C438="","",IFERROR(INDEX('DANH MỤC'!$B$5:$B$200,MATCH(C438,'DANH MỤC'!$A$5:$A$200,0)),"⚠ Mã chưa có trong DANH MỤC"))</f>
        <v/>
      </c>
      <c r="H438" s="52"/>
      <c r="I438" s="52"/>
    </row>
    <row r="439" customFormat="false" ht="15" hidden="false" customHeight="false" outlineLevel="0" collapsed="false">
      <c r="A439" s="50"/>
      <c r="B439" s="51" t="str">
        <f aca="false">IF(A439="","",MONTH(A439))</f>
        <v/>
      </c>
      <c r="C439" s="52"/>
      <c r="D439" s="52"/>
      <c r="E439" s="52"/>
      <c r="F439" s="52"/>
      <c r="G439" s="55" t="str">
        <f aca="false">IF(C439="","",IFERROR(INDEX('DANH MỤC'!$B$5:$B$200,MATCH(C439,'DANH MỤC'!$A$5:$A$200,0)),"⚠ Mã chưa có trong DANH MỤC"))</f>
        <v/>
      </c>
      <c r="H439" s="52"/>
      <c r="I439" s="52"/>
    </row>
    <row r="440" customFormat="false" ht="15" hidden="false" customHeight="false" outlineLevel="0" collapsed="false">
      <c r="A440" s="50"/>
      <c r="B440" s="51" t="str">
        <f aca="false">IF(A440="","",MONTH(A440))</f>
        <v/>
      </c>
      <c r="C440" s="52"/>
      <c r="D440" s="52"/>
      <c r="E440" s="52"/>
      <c r="F440" s="52"/>
      <c r="G440" s="55" t="str">
        <f aca="false">IF(C440="","",IFERROR(INDEX('DANH MỤC'!$B$5:$B$200,MATCH(C440,'DANH MỤC'!$A$5:$A$200,0)),"⚠ Mã chưa có trong DANH MỤC"))</f>
        <v/>
      </c>
      <c r="H440" s="52"/>
      <c r="I440" s="52"/>
    </row>
    <row r="441" customFormat="false" ht="15" hidden="false" customHeight="false" outlineLevel="0" collapsed="false">
      <c r="A441" s="50"/>
      <c r="B441" s="51" t="str">
        <f aca="false">IF(A441="","",MONTH(A441))</f>
        <v/>
      </c>
      <c r="C441" s="52"/>
      <c r="D441" s="52"/>
      <c r="E441" s="52"/>
      <c r="F441" s="52"/>
      <c r="G441" s="55" t="str">
        <f aca="false">IF(C441="","",IFERROR(INDEX('DANH MỤC'!$B$5:$B$200,MATCH(C441,'DANH MỤC'!$A$5:$A$200,0)),"⚠ Mã chưa có trong DANH MỤC"))</f>
        <v/>
      </c>
      <c r="H441" s="52"/>
      <c r="I441" s="52"/>
    </row>
    <row r="442" customFormat="false" ht="15" hidden="false" customHeight="false" outlineLevel="0" collapsed="false">
      <c r="A442" s="50"/>
      <c r="B442" s="51" t="str">
        <f aca="false">IF(A442="","",MONTH(A442))</f>
        <v/>
      </c>
      <c r="C442" s="52"/>
      <c r="D442" s="52"/>
      <c r="E442" s="52"/>
      <c r="F442" s="52"/>
      <c r="G442" s="55" t="str">
        <f aca="false">IF(C442="","",IFERROR(INDEX('DANH MỤC'!$B$5:$B$200,MATCH(C442,'DANH MỤC'!$A$5:$A$200,0)),"⚠ Mã chưa có trong DANH MỤC"))</f>
        <v/>
      </c>
      <c r="H442" s="52"/>
      <c r="I442" s="52"/>
    </row>
    <row r="443" customFormat="false" ht="15" hidden="false" customHeight="false" outlineLevel="0" collapsed="false">
      <c r="A443" s="50"/>
      <c r="B443" s="51" t="str">
        <f aca="false">IF(A443="","",MONTH(A443))</f>
        <v/>
      </c>
      <c r="C443" s="52"/>
      <c r="D443" s="52"/>
      <c r="E443" s="52"/>
      <c r="F443" s="52"/>
      <c r="G443" s="55" t="str">
        <f aca="false">IF(C443="","",IFERROR(INDEX('DANH MỤC'!$B$5:$B$200,MATCH(C443,'DANH MỤC'!$A$5:$A$200,0)),"⚠ Mã chưa có trong DANH MỤC"))</f>
        <v/>
      </c>
      <c r="H443" s="52"/>
      <c r="I443" s="52"/>
    </row>
    <row r="444" customFormat="false" ht="15" hidden="false" customHeight="false" outlineLevel="0" collapsed="false">
      <c r="A444" s="50"/>
      <c r="B444" s="51" t="str">
        <f aca="false">IF(A444="","",MONTH(A444))</f>
        <v/>
      </c>
      <c r="C444" s="52"/>
      <c r="D444" s="52"/>
      <c r="E444" s="52"/>
      <c r="F444" s="52"/>
      <c r="G444" s="55" t="str">
        <f aca="false">IF(C444="","",IFERROR(INDEX('DANH MỤC'!$B$5:$B$200,MATCH(C444,'DANH MỤC'!$A$5:$A$200,0)),"⚠ Mã chưa có trong DANH MỤC"))</f>
        <v/>
      </c>
      <c r="H444" s="52"/>
      <c r="I444" s="52"/>
    </row>
    <row r="445" customFormat="false" ht="15" hidden="false" customHeight="false" outlineLevel="0" collapsed="false">
      <c r="A445" s="50"/>
      <c r="B445" s="51" t="str">
        <f aca="false">IF(A445="","",MONTH(A445))</f>
        <v/>
      </c>
      <c r="C445" s="52"/>
      <c r="D445" s="52"/>
      <c r="E445" s="52"/>
      <c r="F445" s="52"/>
      <c r="G445" s="55" t="str">
        <f aca="false">IF(C445="","",IFERROR(INDEX('DANH MỤC'!$B$5:$B$200,MATCH(C445,'DANH MỤC'!$A$5:$A$200,0)),"⚠ Mã chưa có trong DANH MỤC"))</f>
        <v/>
      </c>
      <c r="H445" s="52"/>
      <c r="I445" s="52"/>
    </row>
    <row r="446" customFormat="false" ht="15" hidden="false" customHeight="false" outlineLevel="0" collapsed="false">
      <c r="A446" s="50"/>
      <c r="B446" s="51" t="str">
        <f aca="false">IF(A446="","",MONTH(A446))</f>
        <v/>
      </c>
      <c r="C446" s="52"/>
      <c r="D446" s="52"/>
      <c r="E446" s="52"/>
      <c r="F446" s="52"/>
      <c r="G446" s="55" t="str">
        <f aca="false">IF(C446="","",IFERROR(INDEX('DANH MỤC'!$B$5:$B$200,MATCH(C446,'DANH MỤC'!$A$5:$A$200,0)),"⚠ Mã chưa có trong DANH MỤC"))</f>
        <v/>
      </c>
      <c r="H446" s="52"/>
      <c r="I446" s="52"/>
    </row>
    <row r="447" customFormat="false" ht="15" hidden="false" customHeight="false" outlineLevel="0" collapsed="false">
      <c r="A447" s="50"/>
      <c r="B447" s="51" t="str">
        <f aca="false">IF(A447="","",MONTH(A447))</f>
        <v/>
      </c>
      <c r="C447" s="52"/>
      <c r="D447" s="52"/>
      <c r="E447" s="52"/>
      <c r="F447" s="52"/>
      <c r="G447" s="55" t="str">
        <f aca="false">IF(C447="","",IFERROR(INDEX('DANH MỤC'!$B$5:$B$200,MATCH(C447,'DANH MỤC'!$A$5:$A$200,0)),"⚠ Mã chưa có trong DANH MỤC"))</f>
        <v/>
      </c>
      <c r="H447" s="52"/>
      <c r="I447" s="52"/>
    </row>
    <row r="448" customFormat="false" ht="15" hidden="false" customHeight="false" outlineLevel="0" collapsed="false">
      <c r="A448" s="50"/>
      <c r="B448" s="51" t="str">
        <f aca="false">IF(A448="","",MONTH(A448))</f>
        <v/>
      </c>
      <c r="C448" s="52"/>
      <c r="D448" s="52"/>
      <c r="E448" s="52"/>
      <c r="F448" s="52"/>
      <c r="G448" s="55" t="str">
        <f aca="false">IF(C448="","",IFERROR(INDEX('DANH MỤC'!$B$5:$B$200,MATCH(C448,'DANH MỤC'!$A$5:$A$200,0)),"⚠ Mã chưa có trong DANH MỤC"))</f>
        <v/>
      </c>
      <c r="H448" s="52"/>
      <c r="I448" s="52"/>
    </row>
    <row r="449" customFormat="false" ht="15" hidden="false" customHeight="false" outlineLevel="0" collapsed="false">
      <c r="A449" s="50"/>
      <c r="B449" s="51" t="str">
        <f aca="false">IF(A449="","",MONTH(A449))</f>
        <v/>
      </c>
      <c r="C449" s="52"/>
      <c r="D449" s="52"/>
      <c r="E449" s="52"/>
      <c r="F449" s="52"/>
      <c r="G449" s="55" t="str">
        <f aca="false">IF(C449="","",IFERROR(INDEX('DANH MỤC'!$B$5:$B$200,MATCH(C449,'DANH MỤC'!$A$5:$A$200,0)),"⚠ Mã chưa có trong DANH MỤC"))</f>
        <v/>
      </c>
      <c r="H449" s="52"/>
      <c r="I449" s="52"/>
    </row>
    <row r="450" customFormat="false" ht="15" hidden="false" customHeight="false" outlineLevel="0" collapsed="false">
      <c r="A450" s="50"/>
      <c r="B450" s="51" t="str">
        <f aca="false">IF(A450="","",MONTH(A450))</f>
        <v/>
      </c>
      <c r="C450" s="52"/>
      <c r="D450" s="52"/>
      <c r="E450" s="52"/>
      <c r="F450" s="52"/>
      <c r="G450" s="55" t="str">
        <f aca="false">IF(C450="","",IFERROR(INDEX('DANH MỤC'!$B$5:$B$200,MATCH(C450,'DANH MỤC'!$A$5:$A$200,0)),"⚠ Mã chưa có trong DANH MỤC"))</f>
        <v/>
      </c>
      <c r="H450" s="52"/>
      <c r="I450" s="52"/>
    </row>
    <row r="451" customFormat="false" ht="15" hidden="false" customHeight="false" outlineLevel="0" collapsed="false">
      <c r="A451" s="50"/>
      <c r="B451" s="51" t="str">
        <f aca="false">IF(A451="","",MONTH(A451))</f>
        <v/>
      </c>
      <c r="C451" s="52"/>
      <c r="D451" s="52"/>
      <c r="E451" s="52"/>
      <c r="F451" s="52"/>
      <c r="G451" s="55" t="str">
        <f aca="false">IF(C451="","",IFERROR(INDEX('DANH MỤC'!$B$5:$B$200,MATCH(C451,'DANH MỤC'!$A$5:$A$200,0)),"⚠ Mã chưa có trong DANH MỤC"))</f>
        <v/>
      </c>
      <c r="H451" s="52"/>
      <c r="I451" s="52"/>
    </row>
    <row r="452" customFormat="false" ht="15" hidden="false" customHeight="false" outlineLevel="0" collapsed="false">
      <c r="A452" s="50"/>
      <c r="B452" s="51" t="str">
        <f aca="false">IF(A452="","",MONTH(A452))</f>
        <v/>
      </c>
      <c r="C452" s="52"/>
      <c r="D452" s="52"/>
      <c r="E452" s="52"/>
      <c r="F452" s="52"/>
      <c r="G452" s="55" t="str">
        <f aca="false">IF(C452="","",IFERROR(INDEX('DANH MỤC'!$B$5:$B$200,MATCH(C452,'DANH MỤC'!$A$5:$A$200,0)),"⚠ Mã chưa có trong DANH MỤC"))</f>
        <v/>
      </c>
      <c r="H452" s="52"/>
      <c r="I452" s="52"/>
    </row>
    <row r="453" customFormat="false" ht="15" hidden="false" customHeight="false" outlineLevel="0" collapsed="false">
      <c r="A453" s="50"/>
      <c r="B453" s="51" t="str">
        <f aca="false">IF(A453="","",MONTH(A453))</f>
        <v/>
      </c>
      <c r="C453" s="52"/>
      <c r="D453" s="52"/>
      <c r="E453" s="52"/>
      <c r="F453" s="52"/>
      <c r="G453" s="55" t="str">
        <f aca="false">IF(C453="","",IFERROR(INDEX('DANH MỤC'!$B$5:$B$200,MATCH(C453,'DANH MỤC'!$A$5:$A$200,0)),"⚠ Mã chưa có trong DANH MỤC"))</f>
        <v/>
      </c>
      <c r="H453" s="52"/>
      <c r="I453" s="52"/>
    </row>
    <row r="454" customFormat="false" ht="15" hidden="false" customHeight="false" outlineLevel="0" collapsed="false">
      <c r="A454" s="50"/>
      <c r="B454" s="51" t="str">
        <f aca="false">IF(A454="","",MONTH(A454))</f>
        <v/>
      </c>
      <c r="C454" s="52"/>
      <c r="D454" s="52"/>
      <c r="E454" s="52"/>
      <c r="F454" s="52"/>
      <c r="G454" s="55" t="str">
        <f aca="false">IF(C454="","",IFERROR(INDEX('DANH MỤC'!$B$5:$B$200,MATCH(C454,'DANH MỤC'!$A$5:$A$200,0)),"⚠ Mã chưa có trong DANH MỤC"))</f>
        <v/>
      </c>
      <c r="H454" s="52"/>
      <c r="I454" s="52"/>
    </row>
    <row r="455" customFormat="false" ht="15" hidden="false" customHeight="false" outlineLevel="0" collapsed="false">
      <c r="A455" s="50"/>
      <c r="B455" s="51" t="str">
        <f aca="false">IF(A455="","",MONTH(A455))</f>
        <v/>
      </c>
      <c r="C455" s="52"/>
      <c r="D455" s="52"/>
      <c r="E455" s="52"/>
      <c r="F455" s="52"/>
      <c r="G455" s="55" t="str">
        <f aca="false">IF(C455="","",IFERROR(INDEX('DANH MỤC'!$B$5:$B$200,MATCH(C455,'DANH MỤC'!$A$5:$A$200,0)),"⚠ Mã chưa có trong DANH MỤC"))</f>
        <v/>
      </c>
      <c r="H455" s="52"/>
      <c r="I455" s="52"/>
    </row>
    <row r="456" customFormat="false" ht="15" hidden="false" customHeight="false" outlineLevel="0" collapsed="false">
      <c r="A456" s="50"/>
      <c r="B456" s="51" t="str">
        <f aca="false">IF(A456="","",MONTH(A456))</f>
        <v/>
      </c>
      <c r="C456" s="52"/>
      <c r="D456" s="52"/>
      <c r="E456" s="52"/>
      <c r="F456" s="52"/>
      <c r="G456" s="55" t="str">
        <f aca="false">IF(C456="","",IFERROR(INDEX('DANH MỤC'!$B$5:$B$200,MATCH(C456,'DANH MỤC'!$A$5:$A$200,0)),"⚠ Mã chưa có trong DANH MỤC"))</f>
        <v/>
      </c>
      <c r="H456" s="52"/>
      <c r="I456" s="52"/>
    </row>
    <row r="457" customFormat="false" ht="15" hidden="false" customHeight="false" outlineLevel="0" collapsed="false">
      <c r="A457" s="50"/>
      <c r="B457" s="51" t="str">
        <f aca="false">IF(A457="","",MONTH(A457))</f>
        <v/>
      </c>
      <c r="C457" s="52"/>
      <c r="D457" s="52"/>
      <c r="E457" s="52"/>
      <c r="F457" s="52"/>
      <c r="G457" s="55" t="str">
        <f aca="false">IF(C457="","",IFERROR(INDEX('DANH MỤC'!$B$5:$B$200,MATCH(C457,'DANH MỤC'!$A$5:$A$200,0)),"⚠ Mã chưa có trong DANH MỤC"))</f>
        <v/>
      </c>
      <c r="H457" s="52"/>
      <c r="I457" s="52"/>
    </row>
    <row r="458" customFormat="false" ht="15" hidden="false" customHeight="false" outlineLevel="0" collapsed="false">
      <c r="A458" s="50"/>
      <c r="B458" s="51" t="str">
        <f aca="false">IF(A458="","",MONTH(A458))</f>
        <v/>
      </c>
      <c r="C458" s="52"/>
      <c r="D458" s="52"/>
      <c r="E458" s="52"/>
      <c r="F458" s="52"/>
      <c r="G458" s="55" t="str">
        <f aca="false">IF(C458="","",IFERROR(INDEX('DANH MỤC'!$B$5:$B$200,MATCH(C458,'DANH MỤC'!$A$5:$A$200,0)),"⚠ Mã chưa có trong DANH MỤC"))</f>
        <v/>
      </c>
      <c r="H458" s="52"/>
      <c r="I458" s="52"/>
    </row>
    <row r="459" customFormat="false" ht="15" hidden="false" customHeight="false" outlineLevel="0" collapsed="false">
      <c r="A459" s="50"/>
      <c r="B459" s="51" t="str">
        <f aca="false">IF(A459="","",MONTH(A459))</f>
        <v/>
      </c>
      <c r="C459" s="52"/>
      <c r="D459" s="52"/>
      <c r="E459" s="52"/>
      <c r="F459" s="52"/>
      <c r="G459" s="55" t="str">
        <f aca="false">IF(C459="","",IFERROR(INDEX('DANH MỤC'!$B$5:$B$200,MATCH(C459,'DANH MỤC'!$A$5:$A$200,0)),"⚠ Mã chưa có trong DANH MỤC"))</f>
        <v/>
      </c>
      <c r="H459" s="52"/>
      <c r="I459" s="52"/>
    </row>
    <row r="460" customFormat="false" ht="15" hidden="false" customHeight="false" outlineLevel="0" collapsed="false">
      <c r="A460" s="50"/>
      <c r="B460" s="51" t="str">
        <f aca="false">IF(A460="","",MONTH(A460))</f>
        <v/>
      </c>
      <c r="C460" s="52"/>
      <c r="D460" s="52"/>
      <c r="E460" s="52"/>
      <c r="F460" s="52"/>
      <c r="G460" s="55" t="str">
        <f aca="false">IF(C460="","",IFERROR(INDEX('DANH MỤC'!$B$5:$B$200,MATCH(C460,'DANH MỤC'!$A$5:$A$200,0)),"⚠ Mã chưa có trong DANH MỤC"))</f>
        <v/>
      </c>
      <c r="H460" s="52"/>
      <c r="I460" s="52"/>
    </row>
    <row r="461" customFormat="false" ht="15" hidden="false" customHeight="false" outlineLevel="0" collapsed="false">
      <c r="A461" s="50"/>
      <c r="B461" s="51" t="str">
        <f aca="false">IF(A461="","",MONTH(A461))</f>
        <v/>
      </c>
      <c r="C461" s="52"/>
      <c r="D461" s="52"/>
      <c r="E461" s="52"/>
      <c r="F461" s="52"/>
      <c r="G461" s="55" t="str">
        <f aca="false">IF(C461="","",IFERROR(INDEX('DANH MỤC'!$B$5:$B$200,MATCH(C461,'DANH MỤC'!$A$5:$A$200,0)),"⚠ Mã chưa có trong DANH MỤC"))</f>
        <v/>
      </c>
      <c r="H461" s="52"/>
      <c r="I461" s="52"/>
    </row>
    <row r="462" customFormat="false" ht="15" hidden="false" customHeight="false" outlineLevel="0" collapsed="false">
      <c r="A462" s="50"/>
      <c r="B462" s="51" t="str">
        <f aca="false">IF(A462="","",MONTH(A462))</f>
        <v/>
      </c>
      <c r="C462" s="52"/>
      <c r="D462" s="52"/>
      <c r="E462" s="52"/>
      <c r="F462" s="52"/>
      <c r="G462" s="55" t="str">
        <f aca="false">IF(C462="","",IFERROR(INDEX('DANH MỤC'!$B$5:$B$200,MATCH(C462,'DANH MỤC'!$A$5:$A$200,0)),"⚠ Mã chưa có trong DANH MỤC"))</f>
        <v/>
      </c>
      <c r="H462" s="52"/>
      <c r="I462" s="52"/>
    </row>
    <row r="463" customFormat="false" ht="15" hidden="false" customHeight="false" outlineLevel="0" collapsed="false">
      <c r="A463" s="50"/>
      <c r="B463" s="51" t="str">
        <f aca="false">IF(A463="","",MONTH(A463))</f>
        <v/>
      </c>
      <c r="C463" s="52"/>
      <c r="D463" s="52"/>
      <c r="E463" s="52"/>
      <c r="F463" s="52"/>
      <c r="G463" s="55" t="str">
        <f aca="false">IF(C463="","",IFERROR(INDEX('DANH MỤC'!$B$5:$B$200,MATCH(C463,'DANH MỤC'!$A$5:$A$200,0)),"⚠ Mã chưa có trong DANH MỤC"))</f>
        <v/>
      </c>
      <c r="H463" s="52"/>
      <c r="I463" s="52"/>
    </row>
    <row r="464" customFormat="false" ht="15" hidden="false" customHeight="false" outlineLevel="0" collapsed="false">
      <c r="A464" s="50"/>
      <c r="B464" s="51" t="str">
        <f aca="false">IF(A464="","",MONTH(A464))</f>
        <v/>
      </c>
      <c r="C464" s="52"/>
      <c r="D464" s="52"/>
      <c r="E464" s="52"/>
      <c r="F464" s="52"/>
      <c r="G464" s="55" t="str">
        <f aca="false">IF(C464="","",IFERROR(INDEX('DANH MỤC'!$B$5:$B$200,MATCH(C464,'DANH MỤC'!$A$5:$A$200,0)),"⚠ Mã chưa có trong DANH MỤC"))</f>
        <v/>
      </c>
      <c r="H464" s="52"/>
      <c r="I464" s="52"/>
    </row>
    <row r="465" customFormat="false" ht="15" hidden="false" customHeight="false" outlineLevel="0" collapsed="false">
      <c r="A465" s="50"/>
      <c r="B465" s="51" t="str">
        <f aca="false">IF(A465="","",MONTH(A465))</f>
        <v/>
      </c>
      <c r="C465" s="52"/>
      <c r="D465" s="52"/>
      <c r="E465" s="52"/>
      <c r="F465" s="52"/>
      <c r="G465" s="55" t="str">
        <f aca="false">IF(C465="","",IFERROR(INDEX('DANH MỤC'!$B$5:$B$200,MATCH(C465,'DANH MỤC'!$A$5:$A$200,0)),"⚠ Mã chưa có trong DANH MỤC"))</f>
        <v/>
      </c>
      <c r="H465" s="52"/>
      <c r="I465" s="52"/>
    </row>
    <row r="466" customFormat="false" ht="15" hidden="false" customHeight="false" outlineLevel="0" collapsed="false">
      <c r="A466" s="50"/>
      <c r="B466" s="51" t="str">
        <f aca="false">IF(A466="","",MONTH(A466))</f>
        <v/>
      </c>
      <c r="C466" s="52"/>
      <c r="D466" s="52"/>
      <c r="E466" s="52"/>
      <c r="F466" s="52"/>
      <c r="G466" s="55" t="str">
        <f aca="false">IF(C466="","",IFERROR(INDEX('DANH MỤC'!$B$5:$B$200,MATCH(C466,'DANH MỤC'!$A$5:$A$200,0)),"⚠ Mã chưa có trong DANH MỤC"))</f>
        <v/>
      </c>
      <c r="H466" s="52"/>
      <c r="I466" s="52"/>
    </row>
    <row r="467" customFormat="false" ht="15" hidden="false" customHeight="false" outlineLevel="0" collapsed="false">
      <c r="A467" s="50"/>
      <c r="B467" s="51" t="str">
        <f aca="false">IF(A467="","",MONTH(A467))</f>
        <v/>
      </c>
      <c r="C467" s="52"/>
      <c r="D467" s="52"/>
      <c r="E467" s="52"/>
      <c r="F467" s="52"/>
      <c r="G467" s="55" t="str">
        <f aca="false">IF(C467="","",IFERROR(INDEX('DANH MỤC'!$B$5:$B$200,MATCH(C467,'DANH MỤC'!$A$5:$A$200,0)),"⚠ Mã chưa có trong DANH MỤC"))</f>
        <v/>
      </c>
      <c r="H467" s="52"/>
      <c r="I467" s="52"/>
    </row>
    <row r="468" customFormat="false" ht="15" hidden="false" customHeight="false" outlineLevel="0" collapsed="false">
      <c r="A468" s="50"/>
      <c r="B468" s="51" t="str">
        <f aca="false">IF(A468="","",MONTH(A468))</f>
        <v/>
      </c>
      <c r="C468" s="52"/>
      <c r="D468" s="52"/>
      <c r="E468" s="52"/>
      <c r="F468" s="52"/>
      <c r="G468" s="55" t="str">
        <f aca="false">IF(C468="","",IFERROR(INDEX('DANH MỤC'!$B$5:$B$200,MATCH(C468,'DANH MỤC'!$A$5:$A$200,0)),"⚠ Mã chưa có trong DANH MỤC"))</f>
        <v/>
      </c>
      <c r="H468" s="52"/>
      <c r="I468" s="52"/>
    </row>
    <row r="469" customFormat="false" ht="15" hidden="false" customHeight="false" outlineLevel="0" collapsed="false">
      <c r="A469" s="50"/>
      <c r="B469" s="51" t="str">
        <f aca="false">IF(A469="","",MONTH(A469))</f>
        <v/>
      </c>
      <c r="C469" s="52"/>
      <c r="D469" s="52"/>
      <c r="E469" s="52"/>
      <c r="F469" s="52"/>
      <c r="G469" s="55" t="str">
        <f aca="false">IF(C469="","",IFERROR(INDEX('DANH MỤC'!$B$5:$B$200,MATCH(C469,'DANH MỤC'!$A$5:$A$200,0)),"⚠ Mã chưa có trong DANH MỤC"))</f>
        <v/>
      </c>
      <c r="H469" s="52"/>
      <c r="I469" s="52"/>
    </row>
    <row r="470" customFormat="false" ht="15" hidden="false" customHeight="false" outlineLevel="0" collapsed="false">
      <c r="A470" s="50"/>
      <c r="B470" s="51" t="str">
        <f aca="false">IF(A470="","",MONTH(A470))</f>
        <v/>
      </c>
      <c r="C470" s="52"/>
      <c r="D470" s="52"/>
      <c r="E470" s="52"/>
      <c r="F470" s="52"/>
      <c r="G470" s="55" t="str">
        <f aca="false">IF(C470="","",IFERROR(INDEX('DANH MỤC'!$B$5:$B$200,MATCH(C470,'DANH MỤC'!$A$5:$A$200,0)),"⚠ Mã chưa có trong DANH MỤC"))</f>
        <v/>
      </c>
      <c r="H470" s="52"/>
      <c r="I470" s="52"/>
    </row>
    <row r="471" customFormat="false" ht="15" hidden="false" customHeight="false" outlineLevel="0" collapsed="false">
      <c r="A471" s="50"/>
      <c r="B471" s="51" t="str">
        <f aca="false">IF(A471="","",MONTH(A471))</f>
        <v/>
      </c>
      <c r="C471" s="52"/>
      <c r="D471" s="52"/>
      <c r="E471" s="52"/>
      <c r="F471" s="52"/>
      <c r="G471" s="55" t="str">
        <f aca="false">IF(C471="","",IFERROR(INDEX('DANH MỤC'!$B$5:$B$200,MATCH(C471,'DANH MỤC'!$A$5:$A$200,0)),"⚠ Mã chưa có trong DANH MỤC"))</f>
        <v/>
      </c>
      <c r="H471" s="52"/>
      <c r="I471" s="52"/>
    </row>
    <row r="472" customFormat="false" ht="15" hidden="false" customHeight="false" outlineLevel="0" collapsed="false">
      <c r="A472" s="50"/>
      <c r="B472" s="51" t="str">
        <f aca="false">IF(A472="","",MONTH(A472))</f>
        <v/>
      </c>
      <c r="C472" s="52"/>
      <c r="D472" s="52"/>
      <c r="E472" s="52"/>
      <c r="F472" s="52"/>
      <c r="G472" s="55" t="str">
        <f aca="false">IF(C472="","",IFERROR(INDEX('DANH MỤC'!$B$5:$B$200,MATCH(C472,'DANH MỤC'!$A$5:$A$200,0)),"⚠ Mã chưa có trong DANH MỤC"))</f>
        <v/>
      </c>
      <c r="H472" s="52"/>
      <c r="I472" s="52"/>
    </row>
    <row r="473" customFormat="false" ht="15" hidden="false" customHeight="false" outlineLevel="0" collapsed="false">
      <c r="A473" s="50"/>
      <c r="B473" s="51" t="str">
        <f aca="false">IF(A473="","",MONTH(A473))</f>
        <v/>
      </c>
      <c r="C473" s="52"/>
      <c r="D473" s="52"/>
      <c r="E473" s="52"/>
      <c r="F473" s="52"/>
      <c r="G473" s="55" t="str">
        <f aca="false">IF(C473="","",IFERROR(INDEX('DANH MỤC'!$B$5:$B$200,MATCH(C473,'DANH MỤC'!$A$5:$A$200,0)),"⚠ Mã chưa có trong DANH MỤC"))</f>
        <v/>
      </c>
      <c r="H473" s="52"/>
      <c r="I473" s="52"/>
    </row>
    <row r="474" customFormat="false" ht="15" hidden="false" customHeight="false" outlineLevel="0" collapsed="false">
      <c r="A474" s="50"/>
      <c r="B474" s="51" t="str">
        <f aca="false">IF(A474="","",MONTH(A474))</f>
        <v/>
      </c>
      <c r="C474" s="52"/>
      <c r="D474" s="52"/>
      <c r="E474" s="52"/>
      <c r="F474" s="52"/>
      <c r="G474" s="55" t="str">
        <f aca="false">IF(C474="","",IFERROR(INDEX('DANH MỤC'!$B$5:$B$200,MATCH(C474,'DANH MỤC'!$A$5:$A$200,0)),"⚠ Mã chưa có trong DANH MỤC"))</f>
        <v/>
      </c>
      <c r="H474" s="52"/>
      <c r="I474" s="52"/>
    </row>
    <row r="475" customFormat="false" ht="15" hidden="false" customHeight="false" outlineLevel="0" collapsed="false">
      <c r="A475" s="50"/>
      <c r="B475" s="51" t="str">
        <f aca="false">IF(A475="","",MONTH(A475))</f>
        <v/>
      </c>
      <c r="C475" s="52"/>
      <c r="D475" s="52"/>
      <c r="E475" s="52"/>
      <c r="F475" s="52"/>
      <c r="G475" s="55" t="str">
        <f aca="false">IF(C475="","",IFERROR(INDEX('DANH MỤC'!$B$5:$B$200,MATCH(C475,'DANH MỤC'!$A$5:$A$200,0)),"⚠ Mã chưa có trong DANH MỤC"))</f>
        <v/>
      </c>
      <c r="H475" s="52"/>
      <c r="I475" s="52"/>
    </row>
    <row r="476" customFormat="false" ht="15" hidden="false" customHeight="false" outlineLevel="0" collapsed="false">
      <c r="A476" s="50"/>
      <c r="B476" s="51" t="str">
        <f aca="false">IF(A476="","",MONTH(A476))</f>
        <v/>
      </c>
      <c r="C476" s="52"/>
      <c r="D476" s="52"/>
      <c r="E476" s="52"/>
      <c r="F476" s="52"/>
      <c r="G476" s="55" t="str">
        <f aca="false">IF(C476="","",IFERROR(INDEX('DANH MỤC'!$B$5:$B$200,MATCH(C476,'DANH MỤC'!$A$5:$A$200,0)),"⚠ Mã chưa có trong DANH MỤC"))</f>
        <v/>
      </c>
      <c r="H476" s="52"/>
      <c r="I476" s="52"/>
    </row>
    <row r="477" customFormat="false" ht="15" hidden="false" customHeight="false" outlineLevel="0" collapsed="false">
      <c r="A477" s="50"/>
      <c r="B477" s="51" t="str">
        <f aca="false">IF(A477="","",MONTH(A477))</f>
        <v/>
      </c>
      <c r="C477" s="52"/>
      <c r="D477" s="52"/>
      <c r="E477" s="52"/>
      <c r="F477" s="52"/>
      <c r="G477" s="55" t="str">
        <f aca="false">IF(C477="","",IFERROR(INDEX('DANH MỤC'!$B$5:$B$200,MATCH(C477,'DANH MỤC'!$A$5:$A$200,0)),"⚠ Mã chưa có trong DANH MỤC"))</f>
        <v/>
      </c>
      <c r="H477" s="52"/>
      <c r="I477" s="52"/>
    </row>
    <row r="478" customFormat="false" ht="15" hidden="false" customHeight="false" outlineLevel="0" collapsed="false">
      <c r="A478" s="50"/>
      <c r="B478" s="51" t="str">
        <f aca="false">IF(A478="","",MONTH(A478))</f>
        <v/>
      </c>
      <c r="C478" s="52"/>
      <c r="D478" s="52"/>
      <c r="E478" s="52"/>
      <c r="F478" s="52"/>
      <c r="G478" s="55" t="str">
        <f aca="false">IF(C478="","",IFERROR(INDEX('DANH MỤC'!$B$5:$B$200,MATCH(C478,'DANH MỤC'!$A$5:$A$200,0)),"⚠ Mã chưa có trong DANH MỤC"))</f>
        <v/>
      </c>
      <c r="H478" s="52"/>
      <c r="I478" s="52"/>
    </row>
    <row r="479" customFormat="false" ht="15" hidden="false" customHeight="false" outlineLevel="0" collapsed="false">
      <c r="A479" s="50"/>
      <c r="B479" s="51" t="str">
        <f aca="false">IF(A479="","",MONTH(A479))</f>
        <v/>
      </c>
      <c r="C479" s="52"/>
      <c r="D479" s="52"/>
      <c r="E479" s="52"/>
      <c r="F479" s="52"/>
      <c r="G479" s="55" t="str">
        <f aca="false">IF(C479="","",IFERROR(INDEX('DANH MỤC'!$B$5:$B$200,MATCH(C479,'DANH MỤC'!$A$5:$A$200,0)),"⚠ Mã chưa có trong DANH MỤC"))</f>
        <v/>
      </c>
      <c r="H479" s="52"/>
      <c r="I479" s="52"/>
    </row>
    <row r="480" customFormat="false" ht="15" hidden="false" customHeight="false" outlineLevel="0" collapsed="false">
      <c r="A480" s="50"/>
      <c r="B480" s="51" t="str">
        <f aca="false">IF(A480="","",MONTH(A480))</f>
        <v/>
      </c>
      <c r="C480" s="52"/>
      <c r="D480" s="52"/>
      <c r="E480" s="52"/>
      <c r="F480" s="52"/>
      <c r="G480" s="55" t="str">
        <f aca="false">IF(C480="","",IFERROR(INDEX('DANH MỤC'!$B$5:$B$200,MATCH(C480,'DANH MỤC'!$A$5:$A$200,0)),"⚠ Mã chưa có trong DANH MỤC"))</f>
        <v/>
      </c>
      <c r="H480" s="52"/>
      <c r="I480" s="52"/>
    </row>
    <row r="481" customFormat="false" ht="15" hidden="false" customHeight="false" outlineLevel="0" collapsed="false">
      <c r="A481" s="50"/>
      <c r="B481" s="51" t="str">
        <f aca="false">IF(A481="","",MONTH(A481))</f>
        <v/>
      </c>
      <c r="C481" s="52"/>
      <c r="D481" s="52"/>
      <c r="E481" s="52"/>
      <c r="F481" s="52"/>
      <c r="G481" s="55" t="str">
        <f aca="false">IF(C481="","",IFERROR(INDEX('DANH MỤC'!$B$5:$B$200,MATCH(C481,'DANH MỤC'!$A$5:$A$200,0)),"⚠ Mã chưa có trong DANH MỤC"))</f>
        <v/>
      </c>
      <c r="H481" s="52"/>
      <c r="I481" s="52"/>
    </row>
    <row r="482" customFormat="false" ht="15" hidden="false" customHeight="false" outlineLevel="0" collapsed="false">
      <c r="A482" s="50"/>
      <c r="B482" s="51" t="str">
        <f aca="false">IF(A482="","",MONTH(A482))</f>
        <v/>
      </c>
      <c r="C482" s="52"/>
      <c r="D482" s="52"/>
      <c r="E482" s="52"/>
      <c r="F482" s="52"/>
      <c r="G482" s="55" t="str">
        <f aca="false">IF(C482="","",IFERROR(INDEX('DANH MỤC'!$B$5:$B$200,MATCH(C482,'DANH MỤC'!$A$5:$A$200,0)),"⚠ Mã chưa có trong DANH MỤC"))</f>
        <v/>
      </c>
      <c r="H482" s="52"/>
      <c r="I482" s="52"/>
    </row>
    <row r="483" customFormat="false" ht="15" hidden="false" customHeight="false" outlineLevel="0" collapsed="false">
      <c r="A483" s="50"/>
      <c r="B483" s="51" t="str">
        <f aca="false">IF(A483="","",MONTH(A483))</f>
        <v/>
      </c>
      <c r="C483" s="52"/>
      <c r="D483" s="52"/>
      <c r="E483" s="52"/>
      <c r="F483" s="52"/>
      <c r="G483" s="55" t="str">
        <f aca="false">IF(C483="","",IFERROR(INDEX('DANH MỤC'!$B$5:$B$200,MATCH(C483,'DANH MỤC'!$A$5:$A$200,0)),"⚠ Mã chưa có trong DANH MỤC"))</f>
        <v/>
      </c>
      <c r="H483" s="52"/>
      <c r="I483" s="52"/>
    </row>
    <row r="484" customFormat="false" ht="15" hidden="false" customHeight="false" outlineLevel="0" collapsed="false">
      <c r="A484" s="50"/>
      <c r="B484" s="51" t="str">
        <f aca="false">IF(A484="","",MONTH(A484))</f>
        <v/>
      </c>
      <c r="C484" s="52"/>
      <c r="D484" s="52"/>
      <c r="E484" s="52"/>
      <c r="F484" s="52"/>
      <c r="G484" s="55" t="str">
        <f aca="false">IF(C484="","",IFERROR(INDEX('DANH MỤC'!$B$5:$B$200,MATCH(C484,'DANH MỤC'!$A$5:$A$200,0)),"⚠ Mã chưa có trong DANH MỤC"))</f>
        <v/>
      </c>
      <c r="H484" s="52"/>
      <c r="I484" s="52"/>
    </row>
    <row r="485" customFormat="false" ht="15" hidden="false" customHeight="false" outlineLevel="0" collapsed="false">
      <c r="A485" s="50"/>
      <c r="B485" s="51" t="str">
        <f aca="false">IF(A485="","",MONTH(A485))</f>
        <v/>
      </c>
      <c r="C485" s="52"/>
      <c r="D485" s="52"/>
      <c r="E485" s="52"/>
      <c r="F485" s="52"/>
      <c r="G485" s="55" t="str">
        <f aca="false">IF(C485="","",IFERROR(INDEX('DANH MỤC'!$B$5:$B$200,MATCH(C485,'DANH MỤC'!$A$5:$A$200,0)),"⚠ Mã chưa có trong DANH MỤC"))</f>
        <v/>
      </c>
      <c r="H485" s="52"/>
      <c r="I485" s="52"/>
    </row>
    <row r="486" customFormat="false" ht="15" hidden="false" customHeight="false" outlineLevel="0" collapsed="false">
      <c r="A486" s="50"/>
      <c r="B486" s="51" t="str">
        <f aca="false">IF(A486="","",MONTH(A486))</f>
        <v/>
      </c>
      <c r="C486" s="52"/>
      <c r="D486" s="52"/>
      <c r="E486" s="52"/>
      <c r="F486" s="52"/>
      <c r="G486" s="55" t="str">
        <f aca="false">IF(C486="","",IFERROR(INDEX('DANH MỤC'!$B$5:$B$200,MATCH(C486,'DANH MỤC'!$A$5:$A$200,0)),"⚠ Mã chưa có trong DANH MỤC"))</f>
        <v/>
      </c>
      <c r="H486" s="52"/>
      <c r="I486" s="52"/>
    </row>
    <row r="487" customFormat="false" ht="15" hidden="false" customHeight="false" outlineLevel="0" collapsed="false">
      <c r="A487" s="50"/>
      <c r="B487" s="51" t="str">
        <f aca="false">IF(A487="","",MONTH(A487))</f>
        <v/>
      </c>
      <c r="C487" s="52"/>
      <c r="D487" s="52"/>
      <c r="E487" s="52"/>
      <c r="F487" s="52"/>
      <c r="G487" s="55" t="str">
        <f aca="false">IF(C487="","",IFERROR(INDEX('DANH MỤC'!$B$5:$B$200,MATCH(C487,'DANH MỤC'!$A$5:$A$200,0)),"⚠ Mã chưa có trong DANH MỤC"))</f>
        <v/>
      </c>
      <c r="H487" s="52"/>
      <c r="I487" s="52"/>
    </row>
    <row r="488" customFormat="false" ht="15" hidden="false" customHeight="false" outlineLevel="0" collapsed="false">
      <c r="A488" s="50"/>
      <c r="B488" s="51" t="str">
        <f aca="false">IF(A488="","",MONTH(A488))</f>
        <v/>
      </c>
      <c r="C488" s="52"/>
      <c r="D488" s="52"/>
      <c r="E488" s="52"/>
      <c r="F488" s="52"/>
      <c r="G488" s="55" t="str">
        <f aca="false">IF(C488="","",IFERROR(INDEX('DANH MỤC'!$B$5:$B$200,MATCH(C488,'DANH MỤC'!$A$5:$A$200,0)),"⚠ Mã chưa có trong DANH MỤC"))</f>
        <v/>
      </c>
      <c r="H488" s="52"/>
      <c r="I488" s="52"/>
    </row>
    <row r="489" customFormat="false" ht="15" hidden="false" customHeight="false" outlineLevel="0" collapsed="false">
      <c r="A489" s="50"/>
      <c r="B489" s="51" t="str">
        <f aca="false">IF(A489="","",MONTH(A489))</f>
        <v/>
      </c>
      <c r="C489" s="52"/>
      <c r="D489" s="52"/>
      <c r="E489" s="52"/>
      <c r="F489" s="52"/>
      <c r="G489" s="55" t="str">
        <f aca="false">IF(C489="","",IFERROR(INDEX('DANH MỤC'!$B$5:$B$200,MATCH(C489,'DANH MỤC'!$A$5:$A$200,0)),"⚠ Mã chưa có trong DANH MỤC"))</f>
        <v/>
      </c>
      <c r="H489" s="52"/>
      <c r="I489" s="52"/>
    </row>
    <row r="490" customFormat="false" ht="15" hidden="false" customHeight="false" outlineLevel="0" collapsed="false">
      <c r="A490" s="50"/>
      <c r="B490" s="51" t="str">
        <f aca="false">IF(A490="","",MONTH(A490))</f>
        <v/>
      </c>
      <c r="C490" s="52"/>
      <c r="D490" s="52"/>
      <c r="E490" s="52"/>
      <c r="F490" s="52"/>
      <c r="G490" s="55" t="str">
        <f aca="false">IF(C490="","",IFERROR(INDEX('DANH MỤC'!$B$5:$B$200,MATCH(C490,'DANH MỤC'!$A$5:$A$200,0)),"⚠ Mã chưa có trong DANH MỤC"))</f>
        <v/>
      </c>
      <c r="H490" s="52"/>
      <c r="I490" s="52"/>
    </row>
    <row r="491" customFormat="false" ht="15" hidden="false" customHeight="false" outlineLevel="0" collapsed="false">
      <c r="A491" s="50"/>
      <c r="B491" s="51" t="str">
        <f aca="false">IF(A491="","",MONTH(A491))</f>
        <v/>
      </c>
      <c r="C491" s="52"/>
      <c r="D491" s="52"/>
      <c r="E491" s="52"/>
      <c r="F491" s="52"/>
      <c r="G491" s="55" t="str">
        <f aca="false">IF(C491="","",IFERROR(INDEX('DANH MỤC'!$B$5:$B$200,MATCH(C491,'DANH MỤC'!$A$5:$A$200,0)),"⚠ Mã chưa có trong DANH MỤC"))</f>
        <v/>
      </c>
      <c r="H491" s="52"/>
      <c r="I491" s="52"/>
    </row>
    <row r="492" customFormat="false" ht="15" hidden="false" customHeight="false" outlineLevel="0" collapsed="false">
      <c r="A492" s="50"/>
      <c r="B492" s="51" t="str">
        <f aca="false">IF(A492="","",MONTH(A492))</f>
        <v/>
      </c>
      <c r="C492" s="52"/>
      <c r="D492" s="52"/>
      <c r="E492" s="52"/>
      <c r="F492" s="52"/>
      <c r="G492" s="55" t="str">
        <f aca="false">IF(C492="","",IFERROR(INDEX('DANH MỤC'!$B$5:$B$200,MATCH(C492,'DANH MỤC'!$A$5:$A$200,0)),"⚠ Mã chưa có trong DANH MỤC"))</f>
        <v/>
      </c>
      <c r="H492" s="52"/>
      <c r="I492" s="52"/>
    </row>
    <row r="493" customFormat="false" ht="15" hidden="false" customHeight="false" outlineLevel="0" collapsed="false">
      <c r="A493" s="50"/>
      <c r="B493" s="51" t="str">
        <f aca="false">IF(A493="","",MONTH(A493))</f>
        <v/>
      </c>
      <c r="C493" s="52"/>
      <c r="D493" s="52"/>
      <c r="E493" s="52"/>
      <c r="F493" s="52"/>
      <c r="G493" s="55" t="str">
        <f aca="false">IF(C493="","",IFERROR(INDEX('DANH MỤC'!$B$5:$B$200,MATCH(C493,'DANH MỤC'!$A$5:$A$200,0)),"⚠ Mã chưa có trong DANH MỤC"))</f>
        <v/>
      </c>
      <c r="H493" s="52"/>
      <c r="I493" s="52"/>
    </row>
    <row r="494" customFormat="false" ht="15" hidden="false" customHeight="false" outlineLevel="0" collapsed="false">
      <c r="A494" s="50"/>
      <c r="B494" s="51" t="str">
        <f aca="false">IF(A494="","",MONTH(A494))</f>
        <v/>
      </c>
      <c r="C494" s="52"/>
      <c r="D494" s="52"/>
      <c r="E494" s="52"/>
      <c r="F494" s="52"/>
      <c r="G494" s="55" t="str">
        <f aca="false">IF(C494="","",IFERROR(INDEX('DANH MỤC'!$B$5:$B$200,MATCH(C494,'DANH MỤC'!$A$5:$A$200,0)),"⚠ Mã chưa có trong DANH MỤC"))</f>
        <v/>
      </c>
      <c r="H494" s="52"/>
      <c r="I494" s="52"/>
    </row>
    <row r="495" customFormat="false" ht="15" hidden="false" customHeight="false" outlineLevel="0" collapsed="false">
      <c r="A495" s="50"/>
      <c r="B495" s="51" t="str">
        <f aca="false">IF(A495="","",MONTH(A495))</f>
        <v/>
      </c>
      <c r="C495" s="52"/>
      <c r="D495" s="52"/>
      <c r="E495" s="52"/>
      <c r="F495" s="52"/>
      <c r="G495" s="55" t="str">
        <f aca="false">IF(C495="","",IFERROR(INDEX('DANH MỤC'!$B$5:$B$200,MATCH(C495,'DANH MỤC'!$A$5:$A$200,0)),"⚠ Mã chưa có trong DANH MỤC"))</f>
        <v/>
      </c>
      <c r="H495" s="52"/>
      <c r="I495" s="52"/>
    </row>
    <row r="496" customFormat="false" ht="15" hidden="false" customHeight="false" outlineLevel="0" collapsed="false">
      <c r="A496" s="50"/>
      <c r="B496" s="51" t="str">
        <f aca="false">IF(A496="","",MONTH(A496))</f>
        <v/>
      </c>
      <c r="C496" s="52"/>
      <c r="D496" s="52"/>
      <c r="E496" s="52"/>
      <c r="F496" s="52"/>
      <c r="G496" s="55" t="str">
        <f aca="false">IF(C496="","",IFERROR(INDEX('DANH MỤC'!$B$5:$B$200,MATCH(C496,'DANH MỤC'!$A$5:$A$200,0)),"⚠ Mã chưa có trong DANH MỤC"))</f>
        <v/>
      </c>
      <c r="H496" s="52"/>
      <c r="I496" s="52"/>
    </row>
    <row r="497" customFormat="false" ht="15" hidden="false" customHeight="false" outlineLevel="0" collapsed="false">
      <c r="A497" s="50"/>
      <c r="B497" s="51" t="str">
        <f aca="false">IF(A497="","",MONTH(A497))</f>
        <v/>
      </c>
      <c r="C497" s="52"/>
      <c r="D497" s="52"/>
      <c r="E497" s="52"/>
      <c r="F497" s="52"/>
      <c r="G497" s="55" t="str">
        <f aca="false">IF(C497="","",IFERROR(INDEX('DANH MỤC'!$B$5:$B$200,MATCH(C497,'DANH MỤC'!$A$5:$A$200,0)),"⚠ Mã chưa có trong DANH MỤC"))</f>
        <v/>
      </c>
      <c r="H497" s="52"/>
      <c r="I497" s="52"/>
    </row>
    <row r="498" customFormat="false" ht="15" hidden="false" customHeight="false" outlineLevel="0" collapsed="false">
      <c r="A498" s="50"/>
      <c r="B498" s="51" t="str">
        <f aca="false">IF(A498="","",MONTH(A498))</f>
        <v/>
      </c>
      <c r="C498" s="52"/>
      <c r="D498" s="52"/>
      <c r="E498" s="52"/>
      <c r="F498" s="52"/>
      <c r="G498" s="55" t="str">
        <f aca="false">IF(C498="","",IFERROR(INDEX('DANH MỤC'!$B$5:$B$200,MATCH(C498,'DANH MỤC'!$A$5:$A$200,0)),"⚠ Mã chưa có trong DANH MỤC"))</f>
        <v/>
      </c>
      <c r="H498" s="52"/>
      <c r="I498" s="52"/>
    </row>
    <row r="499" customFormat="false" ht="15" hidden="false" customHeight="false" outlineLevel="0" collapsed="false">
      <c r="A499" s="50"/>
      <c r="B499" s="51" t="str">
        <f aca="false">IF(A499="","",MONTH(A499))</f>
        <v/>
      </c>
      <c r="C499" s="52"/>
      <c r="D499" s="52"/>
      <c r="E499" s="52"/>
      <c r="F499" s="52"/>
      <c r="G499" s="55" t="str">
        <f aca="false">IF(C499="","",IFERROR(INDEX('DANH MỤC'!$B$5:$B$200,MATCH(C499,'DANH MỤC'!$A$5:$A$200,0)),"⚠ Mã chưa có trong DANH MỤC"))</f>
        <v/>
      </c>
      <c r="H499" s="52"/>
      <c r="I499" s="52"/>
    </row>
    <row r="500" customFormat="false" ht="15" hidden="false" customHeight="false" outlineLevel="0" collapsed="false">
      <c r="A500" s="50"/>
      <c r="B500" s="51" t="str">
        <f aca="false">IF(A500="","",MONTH(A500))</f>
        <v/>
      </c>
      <c r="C500" s="52"/>
      <c r="D500" s="52"/>
      <c r="E500" s="52"/>
      <c r="F500" s="52"/>
      <c r="G500" s="55" t="str">
        <f aca="false">IF(C500="","",IFERROR(INDEX('DANH MỤC'!$B$5:$B$200,MATCH(C500,'DANH MỤC'!$A$5:$A$200,0)),"⚠ Mã chưa có trong DANH MỤC"))</f>
        <v/>
      </c>
      <c r="H500" s="52"/>
      <c r="I500" s="52"/>
    </row>
    <row r="501" customFormat="false" ht="15" hidden="false" customHeight="false" outlineLevel="0" collapsed="false">
      <c r="A501" s="50"/>
      <c r="B501" s="51" t="str">
        <f aca="false">IF(A501="","",MONTH(A501))</f>
        <v/>
      </c>
      <c r="C501" s="52"/>
      <c r="D501" s="52"/>
      <c r="E501" s="52"/>
      <c r="F501" s="52"/>
      <c r="G501" s="55" t="str">
        <f aca="false">IF(C501="","",IFERROR(INDEX('DANH MỤC'!$B$5:$B$200,MATCH(C501,'DANH MỤC'!$A$5:$A$200,0)),"⚠ Mã chưa có trong DANH MỤC"))</f>
        <v/>
      </c>
      <c r="H501" s="52"/>
      <c r="I501" s="52"/>
    </row>
    <row r="502" customFormat="false" ht="15" hidden="false" customHeight="false" outlineLevel="0" collapsed="false">
      <c r="A502" s="50"/>
      <c r="B502" s="51" t="str">
        <f aca="false">IF(A502="","",MONTH(A502))</f>
        <v/>
      </c>
      <c r="C502" s="52"/>
      <c r="D502" s="52"/>
      <c r="E502" s="52"/>
      <c r="F502" s="52"/>
      <c r="G502" s="55" t="str">
        <f aca="false">IF(C502="","",IFERROR(INDEX('DANH MỤC'!$B$5:$B$200,MATCH(C502,'DANH MỤC'!$A$5:$A$200,0)),"⚠ Mã chưa có trong DANH MỤC"))</f>
        <v/>
      </c>
      <c r="H502" s="52"/>
      <c r="I502" s="52"/>
    </row>
    <row r="503" customFormat="false" ht="15" hidden="false" customHeight="false" outlineLevel="0" collapsed="false">
      <c r="A503" s="50"/>
      <c r="B503" s="51" t="str">
        <f aca="false">IF(A503="","",MONTH(A503))</f>
        <v/>
      </c>
      <c r="C503" s="52"/>
      <c r="D503" s="52"/>
      <c r="E503" s="52"/>
      <c r="F503" s="52"/>
      <c r="G503" s="55" t="str">
        <f aca="false">IF(C503="","",IFERROR(INDEX('DANH MỤC'!$B$5:$B$200,MATCH(C503,'DANH MỤC'!$A$5:$A$200,0)),"⚠ Mã chưa có trong DANH MỤC"))</f>
        <v/>
      </c>
      <c r="H503" s="52"/>
      <c r="I503" s="52"/>
    </row>
    <row r="504" customFormat="false" ht="15" hidden="false" customHeight="false" outlineLevel="0" collapsed="false">
      <c r="A504" s="50"/>
      <c r="B504" s="51" t="str">
        <f aca="false">IF(A504="","",MONTH(A504))</f>
        <v/>
      </c>
      <c r="C504" s="52"/>
      <c r="D504" s="52"/>
      <c r="E504" s="52"/>
      <c r="F504" s="52"/>
      <c r="G504" s="55" t="str">
        <f aca="false">IF(C504="","",IFERROR(INDEX('DANH MỤC'!$B$5:$B$200,MATCH(C504,'DANH MỤC'!$A$5:$A$200,0)),"⚠ Mã chưa có trong DANH MỤC"))</f>
        <v/>
      </c>
      <c r="H504" s="52"/>
      <c r="I504" s="52"/>
    </row>
    <row r="505" customFormat="false" ht="15" hidden="false" customHeight="false" outlineLevel="0" collapsed="false">
      <c r="A505" s="50"/>
      <c r="B505" s="51" t="str">
        <f aca="false">IF(A505="","",MONTH(A505))</f>
        <v/>
      </c>
      <c r="C505" s="52"/>
      <c r="D505" s="52"/>
      <c r="E505" s="52"/>
      <c r="F505" s="52"/>
      <c r="G505" s="55" t="str">
        <f aca="false">IF(C505="","",IFERROR(INDEX('DANH MỤC'!$B$5:$B$200,MATCH(C505,'DANH MỤC'!$A$5:$A$200,0)),"⚠ Mã chưa có trong DANH MỤC"))</f>
        <v/>
      </c>
      <c r="H505" s="52"/>
      <c r="I505" s="52"/>
    </row>
    <row r="506" customFormat="false" ht="15" hidden="false" customHeight="false" outlineLevel="0" collapsed="false">
      <c r="A506" s="50"/>
      <c r="B506" s="51" t="str">
        <f aca="false">IF(A506="","",MONTH(A506))</f>
        <v/>
      </c>
      <c r="C506" s="52"/>
      <c r="D506" s="52"/>
      <c r="E506" s="52"/>
      <c r="F506" s="52"/>
      <c r="G506" s="55" t="str">
        <f aca="false">IF(C506="","",IFERROR(INDEX('DANH MỤC'!$B$5:$B$200,MATCH(C506,'DANH MỤC'!$A$5:$A$200,0)),"⚠ Mã chưa có trong DANH MỤC"))</f>
        <v/>
      </c>
      <c r="H506" s="52"/>
      <c r="I506" s="52"/>
    </row>
    <row r="507" customFormat="false" ht="15" hidden="false" customHeight="false" outlineLevel="0" collapsed="false">
      <c r="A507" s="50"/>
      <c r="B507" s="51" t="str">
        <f aca="false">IF(A507="","",MONTH(A507))</f>
        <v/>
      </c>
      <c r="C507" s="52"/>
      <c r="D507" s="52"/>
      <c r="E507" s="52"/>
      <c r="F507" s="52"/>
      <c r="G507" s="55" t="str">
        <f aca="false">IF(C507="","",IFERROR(INDEX('DANH MỤC'!$B$5:$B$200,MATCH(C507,'DANH MỤC'!$A$5:$A$200,0)),"⚠ Mã chưa có trong DANH MỤC"))</f>
        <v/>
      </c>
      <c r="H507" s="52"/>
      <c r="I507" s="52"/>
    </row>
    <row r="508" customFormat="false" ht="15" hidden="false" customHeight="false" outlineLevel="0" collapsed="false">
      <c r="A508" s="50"/>
      <c r="B508" s="51" t="str">
        <f aca="false">IF(A508="","",MONTH(A508))</f>
        <v/>
      </c>
      <c r="C508" s="52"/>
      <c r="D508" s="52"/>
      <c r="E508" s="52"/>
      <c r="F508" s="52"/>
      <c r="G508" s="55" t="str">
        <f aca="false">IF(C508="","",IFERROR(INDEX('DANH MỤC'!$B$5:$B$200,MATCH(C508,'DANH MỤC'!$A$5:$A$200,0)),"⚠ Mã chưa có trong DANH MỤC"))</f>
        <v/>
      </c>
      <c r="H508" s="52"/>
      <c r="I508" s="52"/>
    </row>
    <row r="509" customFormat="false" ht="15" hidden="false" customHeight="false" outlineLevel="0" collapsed="false">
      <c r="A509" s="50"/>
      <c r="B509" s="51" t="str">
        <f aca="false">IF(A509="","",MONTH(A509))</f>
        <v/>
      </c>
      <c r="C509" s="52"/>
      <c r="D509" s="52"/>
      <c r="E509" s="52"/>
      <c r="F509" s="52"/>
      <c r="G509" s="55" t="str">
        <f aca="false">IF(C509="","",IFERROR(INDEX('DANH MỤC'!$B$5:$B$200,MATCH(C509,'DANH MỤC'!$A$5:$A$200,0)),"⚠ Mã chưa có trong DANH MỤC"))</f>
        <v/>
      </c>
      <c r="H509" s="52"/>
      <c r="I509" s="52"/>
    </row>
    <row r="510" customFormat="false" ht="15" hidden="false" customHeight="false" outlineLevel="0" collapsed="false">
      <c r="A510" s="50"/>
      <c r="B510" s="51" t="str">
        <f aca="false">IF(A510="","",MONTH(A510))</f>
        <v/>
      </c>
      <c r="C510" s="52"/>
      <c r="D510" s="52"/>
      <c r="E510" s="52"/>
      <c r="F510" s="52"/>
      <c r="G510" s="55" t="str">
        <f aca="false">IF(C510="","",IFERROR(INDEX('DANH MỤC'!$B$5:$B$200,MATCH(C510,'DANH MỤC'!$A$5:$A$200,0)),"⚠ Mã chưa có trong DANH MỤC"))</f>
        <v/>
      </c>
      <c r="H510" s="52"/>
      <c r="I510" s="52"/>
    </row>
    <row r="511" customFormat="false" ht="15" hidden="false" customHeight="false" outlineLevel="0" collapsed="false">
      <c r="A511" s="50"/>
      <c r="B511" s="51" t="str">
        <f aca="false">IF(A511="","",MONTH(A511))</f>
        <v/>
      </c>
      <c r="C511" s="52"/>
      <c r="D511" s="52"/>
      <c r="E511" s="52"/>
      <c r="F511" s="52"/>
      <c r="G511" s="55" t="str">
        <f aca="false">IF(C511="","",IFERROR(INDEX('DANH MỤC'!$B$5:$B$200,MATCH(C511,'DANH MỤC'!$A$5:$A$200,0)),"⚠ Mã chưa có trong DANH MỤC"))</f>
        <v/>
      </c>
      <c r="H511" s="52"/>
      <c r="I511" s="52"/>
    </row>
    <row r="512" customFormat="false" ht="15" hidden="false" customHeight="false" outlineLevel="0" collapsed="false">
      <c r="A512" s="50"/>
      <c r="B512" s="51" t="str">
        <f aca="false">IF(A512="","",MONTH(A512))</f>
        <v/>
      </c>
      <c r="C512" s="52"/>
      <c r="D512" s="52"/>
      <c r="E512" s="52"/>
      <c r="F512" s="52"/>
      <c r="G512" s="55" t="str">
        <f aca="false">IF(C512="","",IFERROR(INDEX('DANH MỤC'!$B$5:$B$200,MATCH(C512,'DANH MỤC'!$A$5:$A$200,0)),"⚠ Mã chưa có trong DANH MỤC"))</f>
        <v/>
      </c>
      <c r="H512" s="52"/>
      <c r="I512" s="52"/>
    </row>
    <row r="513" customFormat="false" ht="15" hidden="false" customHeight="false" outlineLevel="0" collapsed="false">
      <c r="A513" s="50"/>
      <c r="B513" s="51" t="str">
        <f aca="false">IF(A513="","",MONTH(A513))</f>
        <v/>
      </c>
      <c r="C513" s="52"/>
      <c r="D513" s="52"/>
      <c r="E513" s="52"/>
      <c r="F513" s="52"/>
      <c r="G513" s="55" t="str">
        <f aca="false">IF(C513="","",IFERROR(INDEX('DANH MỤC'!$B$5:$B$200,MATCH(C513,'DANH MỤC'!$A$5:$A$200,0)),"⚠ Mã chưa có trong DANH MỤC"))</f>
        <v/>
      </c>
      <c r="H513" s="52"/>
      <c r="I513" s="52"/>
    </row>
    <row r="514" customFormat="false" ht="15" hidden="false" customHeight="false" outlineLevel="0" collapsed="false">
      <c r="A514" s="50"/>
      <c r="B514" s="51" t="str">
        <f aca="false">IF(A514="","",MONTH(A514))</f>
        <v/>
      </c>
      <c r="C514" s="52"/>
      <c r="D514" s="52"/>
      <c r="E514" s="52"/>
      <c r="F514" s="52"/>
      <c r="G514" s="55" t="str">
        <f aca="false">IF(C514="","",IFERROR(INDEX('DANH MỤC'!$B$5:$B$200,MATCH(C514,'DANH MỤC'!$A$5:$A$200,0)),"⚠ Mã chưa có trong DANH MỤC"))</f>
        <v/>
      </c>
      <c r="H514" s="52"/>
      <c r="I514" s="52"/>
    </row>
    <row r="515" customFormat="false" ht="15" hidden="false" customHeight="false" outlineLevel="0" collapsed="false">
      <c r="A515" s="50"/>
      <c r="B515" s="51" t="str">
        <f aca="false">IF(A515="","",MONTH(A515))</f>
        <v/>
      </c>
      <c r="C515" s="52"/>
      <c r="D515" s="52"/>
      <c r="E515" s="52"/>
      <c r="F515" s="52"/>
      <c r="G515" s="55" t="str">
        <f aca="false">IF(C515="","",IFERROR(INDEX('DANH MỤC'!$B$5:$B$200,MATCH(C515,'DANH MỤC'!$A$5:$A$200,0)),"⚠ Mã chưa có trong DANH MỤC"))</f>
        <v/>
      </c>
      <c r="H515" s="52"/>
      <c r="I515" s="52"/>
    </row>
    <row r="516" customFormat="false" ht="15" hidden="false" customHeight="false" outlineLevel="0" collapsed="false">
      <c r="A516" s="50"/>
      <c r="B516" s="51" t="str">
        <f aca="false">IF(A516="","",MONTH(A516))</f>
        <v/>
      </c>
      <c r="C516" s="52"/>
      <c r="D516" s="52"/>
      <c r="E516" s="52"/>
      <c r="F516" s="52"/>
      <c r="G516" s="55" t="str">
        <f aca="false">IF(C516="","",IFERROR(INDEX('DANH MỤC'!$B$5:$B$200,MATCH(C516,'DANH MỤC'!$A$5:$A$200,0)),"⚠ Mã chưa có trong DANH MỤC"))</f>
        <v/>
      </c>
      <c r="H516" s="52"/>
      <c r="I516" s="52"/>
    </row>
    <row r="517" customFormat="false" ht="15" hidden="false" customHeight="false" outlineLevel="0" collapsed="false">
      <c r="A517" s="50"/>
      <c r="B517" s="51" t="str">
        <f aca="false">IF(A517="","",MONTH(A517))</f>
        <v/>
      </c>
      <c r="C517" s="52"/>
      <c r="D517" s="52"/>
      <c r="E517" s="52"/>
      <c r="F517" s="52"/>
      <c r="G517" s="55" t="str">
        <f aca="false">IF(C517="","",IFERROR(INDEX('DANH MỤC'!$B$5:$B$200,MATCH(C517,'DANH MỤC'!$A$5:$A$200,0)),"⚠ Mã chưa có trong DANH MỤC"))</f>
        <v/>
      </c>
      <c r="H517" s="52"/>
      <c r="I517" s="52"/>
    </row>
    <row r="518" customFormat="false" ht="15" hidden="false" customHeight="false" outlineLevel="0" collapsed="false">
      <c r="A518" s="50"/>
      <c r="B518" s="51" t="str">
        <f aca="false">IF(A518="","",MONTH(A518))</f>
        <v/>
      </c>
      <c r="C518" s="52"/>
      <c r="D518" s="52"/>
      <c r="E518" s="52"/>
      <c r="F518" s="52"/>
      <c r="G518" s="55" t="str">
        <f aca="false">IF(C518="","",IFERROR(INDEX('DANH MỤC'!$B$5:$B$200,MATCH(C518,'DANH MỤC'!$A$5:$A$200,0)),"⚠ Mã chưa có trong DANH MỤC"))</f>
        <v/>
      </c>
      <c r="H518" s="52"/>
      <c r="I518" s="52"/>
    </row>
    <row r="519" customFormat="false" ht="15" hidden="false" customHeight="false" outlineLevel="0" collapsed="false">
      <c r="A519" s="50"/>
      <c r="B519" s="51" t="str">
        <f aca="false">IF(A519="","",MONTH(A519))</f>
        <v/>
      </c>
      <c r="C519" s="52"/>
      <c r="D519" s="52"/>
      <c r="E519" s="52"/>
      <c r="F519" s="52"/>
      <c r="G519" s="55" t="str">
        <f aca="false">IF(C519="","",IFERROR(INDEX('DANH MỤC'!$B$5:$B$200,MATCH(C519,'DANH MỤC'!$A$5:$A$200,0)),"⚠ Mã chưa có trong DANH MỤC"))</f>
        <v/>
      </c>
      <c r="H519" s="52"/>
      <c r="I519" s="52"/>
    </row>
    <row r="520" customFormat="false" ht="15" hidden="false" customHeight="false" outlineLevel="0" collapsed="false">
      <c r="A520" s="50"/>
      <c r="B520" s="51" t="str">
        <f aca="false">IF(A520="","",MONTH(A520))</f>
        <v/>
      </c>
      <c r="C520" s="52"/>
      <c r="D520" s="52"/>
      <c r="E520" s="52"/>
      <c r="F520" s="52"/>
      <c r="G520" s="55" t="str">
        <f aca="false">IF(C520="","",IFERROR(INDEX('DANH MỤC'!$B$5:$B$200,MATCH(C520,'DANH MỤC'!$A$5:$A$200,0)),"⚠ Mã chưa có trong DANH MỤC"))</f>
        <v/>
      </c>
      <c r="H520" s="52"/>
      <c r="I520" s="52"/>
    </row>
    <row r="521" customFormat="false" ht="15" hidden="false" customHeight="false" outlineLevel="0" collapsed="false">
      <c r="A521" s="50"/>
      <c r="B521" s="51" t="str">
        <f aca="false">IF(A521="","",MONTH(A521))</f>
        <v/>
      </c>
      <c r="C521" s="52"/>
      <c r="D521" s="52"/>
      <c r="E521" s="52"/>
      <c r="F521" s="52"/>
      <c r="G521" s="55" t="str">
        <f aca="false">IF(C521="","",IFERROR(INDEX('DANH MỤC'!$B$5:$B$200,MATCH(C521,'DANH MỤC'!$A$5:$A$200,0)),"⚠ Mã chưa có trong DANH MỤC"))</f>
        <v/>
      </c>
      <c r="H521" s="52"/>
      <c r="I521" s="52"/>
    </row>
    <row r="522" customFormat="false" ht="15" hidden="false" customHeight="false" outlineLevel="0" collapsed="false">
      <c r="A522" s="50"/>
      <c r="B522" s="51" t="str">
        <f aca="false">IF(A522="","",MONTH(A522))</f>
        <v/>
      </c>
      <c r="C522" s="52"/>
      <c r="D522" s="52"/>
      <c r="E522" s="52"/>
      <c r="F522" s="52"/>
      <c r="G522" s="55" t="str">
        <f aca="false">IF(C522="","",IFERROR(INDEX('DANH MỤC'!$B$5:$B$200,MATCH(C522,'DANH MỤC'!$A$5:$A$200,0)),"⚠ Mã chưa có trong DANH MỤC"))</f>
        <v/>
      </c>
      <c r="H522" s="52"/>
      <c r="I522" s="52"/>
    </row>
    <row r="523" customFormat="false" ht="15" hidden="false" customHeight="false" outlineLevel="0" collapsed="false">
      <c r="A523" s="50"/>
      <c r="B523" s="51" t="str">
        <f aca="false">IF(A523="","",MONTH(A523))</f>
        <v/>
      </c>
      <c r="C523" s="52"/>
      <c r="D523" s="52"/>
      <c r="E523" s="52"/>
      <c r="F523" s="52"/>
      <c r="G523" s="55" t="str">
        <f aca="false">IF(C523="","",IFERROR(INDEX('DANH MỤC'!$B$5:$B$200,MATCH(C523,'DANH MỤC'!$A$5:$A$200,0)),"⚠ Mã chưa có trong DANH MỤC"))</f>
        <v/>
      </c>
      <c r="H523" s="52"/>
      <c r="I523" s="52"/>
    </row>
    <row r="524" customFormat="false" ht="15" hidden="false" customHeight="false" outlineLevel="0" collapsed="false">
      <c r="A524" s="50"/>
      <c r="B524" s="51" t="str">
        <f aca="false">IF(A524="","",MONTH(A524))</f>
        <v/>
      </c>
      <c r="C524" s="52"/>
      <c r="D524" s="52"/>
      <c r="E524" s="52"/>
      <c r="F524" s="52"/>
      <c r="G524" s="55" t="str">
        <f aca="false">IF(C524="","",IFERROR(INDEX('DANH MỤC'!$B$5:$B$200,MATCH(C524,'DANH MỤC'!$A$5:$A$200,0)),"⚠ Mã chưa có trong DANH MỤC"))</f>
        <v/>
      </c>
      <c r="H524" s="52"/>
      <c r="I524" s="52"/>
    </row>
    <row r="525" customFormat="false" ht="15" hidden="false" customHeight="false" outlineLevel="0" collapsed="false">
      <c r="A525" s="50"/>
      <c r="B525" s="51" t="str">
        <f aca="false">IF(A525="","",MONTH(A525))</f>
        <v/>
      </c>
      <c r="C525" s="52"/>
      <c r="D525" s="52"/>
      <c r="E525" s="52"/>
      <c r="F525" s="52"/>
      <c r="G525" s="55" t="str">
        <f aca="false">IF(C525="","",IFERROR(INDEX('DANH MỤC'!$B$5:$B$200,MATCH(C525,'DANH MỤC'!$A$5:$A$200,0)),"⚠ Mã chưa có trong DANH MỤC"))</f>
        <v/>
      </c>
      <c r="H525" s="52"/>
      <c r="I525" s="52"/>
    </row>
    <row r="526" customFormat="false" ht="15" hidden="false" customHeight="false" outlineLevel="0" collapsed="false">
      <c r="A526" s="50"/>
      <c r="B526" s="51" t="str">
        <f aca="false">IF(A526="","",MONTH(A526))</f>
        <v/>
      </c>
      <c r="C526" s="52"/>
      <c r="D526" s="52"/>
      <c r="E526" s="52"/>
      <c r="F526" s="52"/>
      <c r="G526" s="55" t="str">
        <f aca="false">IF(C526="","",IFERROR(INDEX('DANH MỤC'!$B$5:$B$200,MATCH(C526,'DANH MỤC'!$A$5:$A$200,0)),"⚠ Mã chưa có trong DANH MỤC"))</f>
        <v/>
      </c>
      <c r="H526" s="52"/>
      <c r="I526" s="52"/>
    </row>
    <row r="527" customFormat="false" ht="15" hidden="false" customHeight="false" outlineLevel="0" collapsed="false">
      <c r="A527" s="50"/>
      <c r="B527" s="51" t="str">
        <f aca="false">IF(A527="","",MONTH(A527))</f>
        <v/>
      </c>
      <c r="C527" s="52"/>
      <c r="D527" s="52"/>
      <c r="E527" s="52"/>
      <c r="F527" s="52"/>
      <c r="G527" s="55" t="str">
        <f aca="false">IF(C527="","",IFERROR(INDEX('DANH MỤC'!$B$5:$B$200,MATCH(C527,'DANH MỤC'!$A$5:$A$200,0)),"⚠ Mã chưa có trong DANH MỤC"))</f>
        <v/>
      </c>
      <c r="H527" s="52"/>
      <c r="I527" s="52"/>
    </row>
    <row r="528" customFormat="false" ht="15" hidden="false" customHeight="false" outlineLevel="0" collapsed="false">
      <c r="A528" s="50"/>
      <c r="B528" s="51" t="str">
        <f aca="false">IF(A528="","",MONTH(A528))</f>
        <v/>
      </c>
      <c r="C528" s="52"/>
      <c r="D528" s="52"/>
      <c r="E528" s="52"/>
      <c r="F528" s="52"/>
      <c r="G528" s="55" t="str">
        <f aca="false">IF(C528="","",IFERROR(INDEX('DANH MỤC'!$B$5:$B$200,MATCH(C528,'DANH MỤC'!$A$5:$A$200,0)),"⚠ Mã chưa có trong DANH MỤC"))</f>
        <v/>
      </c>
      <c r="H528" s="52"/>
      <c r="I528" s="52"/>
    </row>
    <row r="529" customFormat="false" ht="15" hidden="false" customHeight="false" outlineLevel="0" collapsed="false">
      <c r="A529" s="50"/>
      <c r="B529" s="51" t="str">
        <f aca="false">IF(A529="","",MONTH(A529))</f>
        <v/>
      </c>
      <c r="C529" s="52"/>
      <c r="D529" s="52"/>
      <c r="E529" s="52"/>
      <c r="F529" s="52"/>
      <c r="G529" s="55" t="str">
        <f aca="false">IF(C529="","",IFERROR(INDEX('DANH MỤC'!$B$5:$B$200,MATCH(C529,'DANH MỤC'!$A$5:$A$200,0)),"⚠ Mã chưa có trong DANH MỤC"))</f>
        <v/>
      </c>
      <c r="H529" s="52"/>
      <c r="I529" s="52"/>
    </row>
    <row r="530" customFormat="false" ht="15" hidden="false" customHeight="false" outlineLevel="0" collapsed="false">
      <c r="A530" s="50"/>
      <c r="B530" s="51" t="str">
        <f aca="false">IF(A530="","",MONTH(A530))</f>
        <v/>
      </c>
      <c r="C530" s="52"/>
      <c r="D530" s="52"/>
      <c r="E530" s="52"/>
      <c r="F530" s="52"/>
      <c r="G530" s="55" t="str">
        <f aca="false">IF(C530="","",IFERROR(INDEX('DANH MỤC'!$B$5:$B$200,MATCH(C530,'DANH MỤC'!$A$5:$A$200,0)),"⚠ Mã chưa có trong DANH MỤC"))</f>
        <v/>
      </c>
      <c r="H530" s="52"/>
      <c r="I530" s="52"/>
    </row>
    <row r="531" customFormat="false" ht="15" hidden="false" customHeight="false" outlineLevel="0" collapsed="false">
      <c r="A531" s="50"/>
      <c r="B531" s="51" t="str">
        <f aca="false">IF(A531="","",MONTH(A531))</f>
        <v/>
      </c>
      <c r="C531" s="52"/>
      <c r="D531" s="52"/>
      <c r="E531" s="52"/>
      <c r="F531" s="52"/>
      <c r="G531" s="55" t="str">
        <f aca="false">IF(C531="","",IFERROR(INDEX('DANH MỤC'!$B$5:$B$200,MATCH(C531,'DANH MỤC'!$A$5:$A$200,0)),"⚠ Mã chưa có trong DANH MỤC"))</f>
        <v/>
      </c>
      <c r="H531" s="52"/>
      <c r="I531" s="52"/>
    </row>
    <row r="532" customFormat="false" ht="15" hidden="false" customHeight="false" outlineLevel="0" collapsed="false">
      <c r="A532" s="50"/>
      <c r="B532" s="51" t="str">
        <f aca="false">IF(A532="","",MONTH(A532))</f>
        <v/>
      </c>
      <c r="C532" s="52"/>
      <c r="D532" s="52"/>
      <c r="E532" s="52"/>
      <c r="F532" s="52"/>
      <c r="G532" s="55" t="str">
        <f aca="false">IF(C532="","",IFERROR(INDEX('DANH MỤC'!$B$5:$B$200,MATCH(C532,'DANH MỤC'!$A$5:$A$200,0)),"⚠ Mã chưa có trong DANH MỤC"))</f>
        <v/>
      </c>
      <c r="H532" s="52"/>
      <c r="I532" s="52"/>
    </row>
    <row r="533" customFormat="false" ht="15" hidden="false" customHeight="false" outlineLevel="0" collapsed="false">
      <c r="A533" s="50"/>
      <c r="B533" s="51" t="str">
        <f aca="false">IF(A533="","",MONTH(A533))</f>
        <v/>
      </c>
      <c r="C533" s="52"/>
      <c r="D533" s="52"/>
      <c r="E533" s="52"/>
      <c r="F533" s="52"/>
      <c r="G533" s="55" t="str">
        <f aca="false">IF(C533="","",IFERROR(INDEX('DANH MỤC'!$B$5:$B$200,MATCH(C533,'DANH MỤC'!$A$5:$A$200,0)),"⚠ Mã chưa có trong DANH MỤC"))</f>
        <v/>
      </c>
      <c r="H533" s="52"/>
      <c r="I533" s="52"/>
    </row>
    <row r="534" customFormat="false" ht="15" hidden="false" customHeight="false" outlineLevel="0" collapsed="false">
      <c r="A534" s="50"/>
      <c r="B534" s="51" t="str">
        <f aca="false">IF(A534="","",MONTH(A534))</f>
        <v/>
      </c>
      <c r="C534" s="52"/>
      <c r="D534" s="52"/>
      <c r="E534" s="52"/>
      <c r="F534" s="52"/>
      <c r="G534" s="55" t="str">
        <f aca="false">IF(C534="","",IFERROR(INDEX('DANH MỤC'!$B$5:$B$200,MATCH(C534,'DANH MỤC'!$A$5:$A$200,0)),"⚠ Mã chưa có trong DANH MỤC"))</f>
        <v/>
      </c>
      <c r="H534" s="52"/>
      <c r="I534" s="52"/>
    </row>
    <row r="535" customFormat="false" ht="15" hidden="false" customHeight="false" outlineLevel="0" collapsed="false">
      <c r="A535" s="50"/>
      <c r="B535" s="51" t="str">
        <f aca="false">IF(A535="","",MONTH(A535))</f>
        <v/>
      </c>
      <c r="C535" s="52"/>
      <c r="D535" s="52"/>
      <c r="E535" s="52"/>
      <c r="F535" s="52"/>
      <c r="G535" s="55" t="str">
        <f aca="false">IF(C535="","",IFERROR(INDEX('DANH MỤC'!$B$5:$B$200,MATCH(C535,'DANH MỤC'!$A$5:$A$200,0)),"⚠ Mã chưa có trong DANH MỤC"))</f>
        <v/>
      </c>
      <c r="H535" s="52"/>
      <c r="I535" s="52"/>
    </row>
    <row r="536" customFormat="false" ht="15" hidden="false" customHeight="false" outlineLevel="0" collapsed="false">
      <c r="A536" s="50"/>
      <c r="B536" s="51" t="str">
        <f aca="false">IF(A536="","",MONTH(A536))</f>
        <v/>
      </c>
      <c r="C536" s="52"/>
      <c r="D536" s="52"/>
      <c r="E536" s="52"/>
      <c r="F536" s="52"/>
      <c r="G536" s="55" t="str">
        <f aca="false">IF(C536="","",IFERROR(INDEX('DANH MỤC'!$B$5:$B$200,MATCH(C536,'DANH MỤC'!$A$5:$A$200,0)),"⚠ Mã chưa có trong DANH MỤC"))</f>
        <v/>
      </c>
      <c r="H536" s="52"/>
      <c r="I536" s="52"/>
    </row>
    <row r="537" customFormat="false" ht="15" hidden="false" customHeight="false" outlineLevel="0" collapsed="false">
      <c r="A537" s="50"/>
      <c r="B537" s="51" t="str">
        <f aca="false">IF(A537="","",MONTH(A537))</f>
        <v/>
      </c>
      <c r="C537" s="52"/>
      <c r="D537" s="52"/>
      <c r="E537" s="52"/>
      <c r="F537" s="52"/>
      <c r="G537" s="55" t="str">
        <f aca="false">IF(C537="","",IFERROR(INDEX('DANH MỤC'!$B$5:$B$200,MATCH(C537,'DANH MỤC'!$A$5:$A$200,0)),"⚠ Mã chưa có trong DANH MỤC"))</f>
        <v/>
      </c>
      <c r="H537" s="52"/>
      <c r="I537" s="52"/>
    </row>
    <row r="538" customFormat="false" ht="15" hidden="false" customHeight="false" outlineLevel="0" collapsed="false">
      <c r="A538" s="50"/>
      <c r="B538" s="51" t="str">
        <f aca="false">IF(A538="","",MONTH(A538))</f>
        <v/>
      </c>
      <c r="C538" s="52"/>
      <c r="D538" s="52"/>
      <c r="E538" s="52"/>
      <c r="F538" s="52"/>
      <c r="G538" s="55" t="str">
        <f aca="false">IF(C538="","",IFERROR(INDEX('DANH MỤC'!$B$5:$B$200,MATCH(C538,'DANH MỤC'!$A$5:$A$200,0)),"⚠ Mã chưa có trong DANH MỤC"))</f>
        <v/>
      </c>
      <c r="H538" s="52"/>
      <c r="I538" s="52"/>
    </row>
    <row r="539" customFormat="false" ht="15" hidden="false" customHeight="false" outlineLevel="0" collapsed="false">
      <c r="A539" s="50"/>
      <c r="B539" s="51" t="str">
        <f aca="false">IF(A539="","",MONTH(A539))</f>
        <v/>
      </c>
      <c r="C539" s="52"/>
      <c r="D539" s="52"/>
      <c r="E539" s="52"/>
      <c r="F539" s="52"/>
      <c r="G539" s="55" t="str">
        <f aca="false">IF(C539="","",IFERROR(INDEX('DANH MỤC'!$B$5:$B$200,MATCH(C539,'DANH MỤC'!$A$5:$A$200,0)),"⚠ Mã chưa có trong DANH MỤC"))</f>
        <v/>
      </c>
      <c r="H539" s="52"/>
      <c r="I539" s="52"/>
    </row>
    <row r="540" customFormat="false" ht="15" hidden="false" customHeight="false" outlineLevel="0" collapsed="false">
      <c r="A540" s="50"/>
      <c r="B540" s="51" t="str">
        <f aca="false">IF(A540="","",MONTH(A540))</f>
        <v/>
      </c>
      <c r="C540" s="52"/>
      <c r="D540" s="52"/>
      <c r="E540" s="52"/>
      <c r="F540" s="52"/>
      <c r="G540" s="55" t="str">
        <f aca="false">IF(C540="","",IFERROR(INDEX('DANH MỤC'!$B$5:$B$200,MATCH(C540,'DANH MỤC'!$A$5:$A$200,0)),"⚠ Mã chưa có trong DANH MỤC"))</f>
        <v/>
      </c>
      <c r="H540" s="52"/>
      <c r="I540" s="52"/>
    </row>
    <row r="541" customFormat="false" ht="15" hidden="false" customHeight="false" outlineLevel="0" collapsed="false">
      <c r="A541" s="50"/>
      <c r="B541" s="51" t="str">
        <f aca="false">IF(A541="","",MONTH(A541))</f>
        <v/>
      </c>
      <c r="C541" s="52"/>
      <c r="D541" s="52"/>
      <c r="E541" s="52"/>
      <c r="F541" s="52"/>
      <c r="G541" s="55" t="str">
        <f aca="false">IF(C541="","",IFERROR(INDEX('DANH MỤC'!$B$5:$B$200,MATCH(C541,'DANH MỤC'!$A$5:$A$200,0)),"⚠ Mã chưa có trong DANH MỤC"))</f>
        <v/>
      </c>
      <c r="H541" s="52"/>
      <c r="I541" s="52"/>
    </row>
    <row r="542" customFormat="false" ht="15" hidden="false" customHeight="false" outlineLevel="0" collapsed="false">
      <c r="A542" s="50"/>
      <c r="B542" s="51" t="str">
        <f aca="false">IF(A542="","",MONTH(A542))</f>
        <v/>
      </c>
      <c r="C542" s="52"/>
      <c r="D542" s="52"/>
      <c r="E542" s="52"/>
      <c r="F542" s="52"/>
      <c r="G542" s="55" t="str">
        <f aca="false">IF(C542="","",IFERROR(INDEX('DANH MỤC'!$B$5:$B$200,MATCH(C542,'DANH MỤC'!$A$5:$A$200,0)),"⚠ Mã chưa có trong DANH MỤC"))</f>
        <v/>
      </c>
      <c r="H542" s="52"/>
      <c r="I542" s="52"/>
    </row>
    <row r="543" customFormat="false" ht="15" hidden="false" customHeight="false" outlineLevel="0" collapsed="false">
      <c r="A543" s="50"/>
      <c r="B543" s="51" t="str">
        <f aca="false">IF(A543="","",MONTH(A543))</f>
        <v/>
      </c>
      <c r="C543" s="52"/>
      <c r="D543" s="52"/>
      <c r="E543" s="52"/>
      <c r="F543" s="52"/>
      <c r="G543" s="55" t="str">
        <f aca="false">IF(C543="","",IFERROR(INDEX('DANH MỤC'!$B$5:$B$200,MATCH(C543,'DANH MỤC'!$A$5:$A$200,0)),"⚠ Mã chưa có trong DANH MỤC"))</f>
        <v/>
      </c>
      <c r="H543" s="52"/>
      <c r="I543" s="52"/>
    </row>
    <row r="544" customFormat="false" ht="15" hidden="false" customHeight="false" outlineLevel="0" collapsed="false">
      <c r="A544" s="50"/>
      <c r="B544" s="51" t="str">
        <f aca="false">IF(A544="","",MONTH(A544))</f>
        <v/>
      </c>
      <c r="C544" s="52"/>
      <c r="D544" s="52"/>
      <c r="E544" s="52"/>
      <c r="F544" s="52"/>
      <c r="G544" s="55" t="str">
        <f aca="false">IF(C544="","",IFERROR(INDEX('DANH MỤC'!$B$5:$B$200,MATCH(C544,'DANH MỤC'!$A$5:$A$200,0)),"⚠ Mã chưa có trong DANH MỤC"))</f>
        <v/>
      </c>
      <c r="H544" s="52"/>
      <c r="I544" s="52"/>
    </row>
    <row r="545" customFormat="false" ht="15" hidden="false" customHeight="false" outlineLevel="0" collapsed="false">
      <c r="A545" s="50"/>
      <c r="B545" s="51" t="str">
        <f aca="false">IF(A545="","",MONTH(A545))</f>
        <v/>
      </c>
      <c r="C545" s="52"/>
      <c r="D545" s="52"/>
      <c r="E545" s="52"/>
      <c r="F545" s="52"/>
      <c r="G545" s="55" t="str">
        <f aca="false">IF(C545="","",IFERROR(INDEX('DANH MỤC'!$B$5:$B$200,MATCH(C545,'DANH MỤC'!$A$5:$A$200,0)),"⚠ Mã chưa có trong DANH MỤC"))</f>
        <v/>
      </c>
      <c r="H545" s="52"/>
      <c r="I545" s="52"/>
    </row>
    <row r="546" customFormat="false" ht="15" hidden="false" customHeight="false" outlineLevel="0" collapsed="false">
      <c r="A546" s="50"/>
      <c r="B546" s="51" t="str">
        <f aca="false">IF(A546="","",MONTH(A546))</f>
        <v/>
      </c>
      <c r="C546" s="52"/>
      <c r="D546" s="52"/>
      <c r="E546" s="52"/>
      <c r="F546" s="52"/>
      <c r="G546" s="55" t="str">
        <f aca="false">IF(C546="","",IFERROR(INDEX('DANH MỤC'!$B$5:$B$200,MATCH(C546,'DANH MỤC'!$A$5:$A$200,0)),"⚠ Mã chưa có trong DANH MỤC"))</f>
        <v/>
      </c>
      <c r="H546" s="52"/>
      <c r="I546" s="52"/>
    </row>
    <row r="547" customFormat="false" ht="15" hidden="false" customHeight="false" outlineLevel="0" collapsed="false">
      <c r="A547" s="50"/>
      <c r="B547" s="51" t="str">
        <f aca="false">IF(A547="","",MONTH(A547))</f>
        <v/>
      </c>
      <c r="C547" s="52"/>
      <c r="D547" s="52"/>
      <c r="E547" s="52"/>
      <c r="F547" s="52"/>
      <c r="G547" s="55" t="str">
        <f aca="false">IF(C547="","",IFERROR(INDEX('DANH MỤC'!$B$5:$B$200,MATCH(C547,'DANH MỤC'!$A$5:$A$200,0)),"⚠ Mã chưa có trong DANH MỤC"))</f>
        <v/>
      </c>
      <c r="H547" s="52"/>
      <c r="I547" s="52"/>
    </row>
    <row r="548" customFormat="false" ht="15" hidden="false" customHeight="false" outlineLevel="0" collapsed="false">
      <c r="A548" s="50"/>
      <c r="B548" s="51" t="str">
        <f aca="false">IF(A548="","",MONTH(A548))</f>
        <v/>
      </c>
      <c r="C548" s="52"/>
      <c r="D548" s="52"/>
      <c r="E548" s="52"/>
      <c r="F548" s="52"/>
      <c r="G548" s="55" t="str">
        <f aca="false">IF(C548="","",IFERROR(INDEX('DANH MỤC'!$B$5:$B$200,MATCH(C548,'DANH MỤC'!$A$5:$A$200,0)),"⚠ Mã chưa có trong DANH MỤC"))</f>
        <v/>
      </c>
      <c r="H548" s="52"/>
      <c r="I548" s="52"/>
    </row>
    <row r="549" customFormat="false" ht="15" hidden="false" customHeight="false" outlineLevel="0" collapsed="false">
      <c r="A549" s="50"/>
      <c r="B549" s="51" t="str">
        <f aca="false">IF(A549="","",MONTH(A549))</f>
        <v/>
      </c>
      <c r="C549" s="52"/>
      <c r="D549" s="52"/>
      <c r="E549" s="52"/>
      <c r="F549" s="52"/>
      <c r="G549" s="55" t="str">
        <f aca="false">IF(C549="","",IFERROR(INDEX('DANH MỤC'!$B$5:$B$200,MATCH(C549,'DANH MỤC'!$A$5:$A$200,0)),"⚠ Mã chưa có trong DANH MỤC"))</f>
        <v/>
      </c>
      <c r="H549" s="52"/>
      <c r="I549" s="52"/>
    </row>
    <row r="550" customFormat="false" ht="15" hidden="false" customHeight="false" outlineLevel="0" collapsed="false">
      <c r="A550" s="50"/>
      <c r="B550" s="51" t="str">
        <f aca="false">IF(A550="","",MONTH(A550))</f>
        <v/>
      </c>
      <c r="C550" s="52"/>
      <c r="D550" s="52"/>
      <c r="E550" s="52"/>
      <c r="F550" s="52"/>
      <c r="G550" s="55" t="str">
        <f aca="false">IF(C550="","",IFERROR(INDEX('DANH MỤC'!$B$5:$B$200,MATCH(C550,'DANH MỤC'!$A$5:$A$200,0)),"⚠ Mã chưa có trong DANH MỤC"))</f>
        <v/>
      </c>
      <c r="H550" s="52"/>
      <c r="I550" s="52"/>
    </row>
    <row r="551" customFormat="false" ht="15" hidden="false" customHeight="false" outlineLevel="0" collapsed="false">
      <c r="A551" s="50"/>
      <c r="B551" s="51" t="str">
        <f aca="false">IF(A551="","",MONTH(A551))</f>
        <v/>
      </c>
      <c r="C551" s="52"/>
      <c r="D551" s="52"/>
      <c r="E551" s="52"/>
      <c r="F551" s="52"/>
      <c r="G551" s="55" t="str">
        <f aca="false">IF(C551="","",IFERROR(INDEX('DANH MỤC'!$B$5:$B$200,MATCH(C551,'DANH MỤC'!$A$5:$A$200,0)),"⚠ Mã chưa có trong DANH MỤC"))</f>
        <v/>
      </c>
      <c r="H551" s="52"/>
      <c r="I551" s="52"/>
    </row>
    <row r="552" customFormat="false" ht="15" hidden="false" customHeight="false" outlineLevel="0" collapsed="false">
      <c r="A552" s="50"/>
      <c r="B552" s="51" t="str">
        <f aca="false">IF(A552="","",MONTH(A552))</f>
        <v/>
      </c>
      <c r="C552" s="52"/>
      <c r="D552" s="52"/>
      <c r="E552" s="52"/>
      <c r="F552" s="52"/>
      <c r="G552" s="55" t="str">
        <f aca="false">IF(C552="","",IFERROR(INDEX('DANH MỤC'!$B$5:$B$200,MATCH(C552,'DANH MỤC'!$A$5:$A$200,0)),"⚠ Mã chưa có trong DANH MỤC"))</f>
        <v/>
      </c>
      <c r="H552" s="52"/>
      <c r="I552" s="52"/>
    </row>
    <row r="553" customFormat="false" ht="15" hidden="false" customHeight="false" outlineLevel="0" collapsed="false">
      <c r="A553" s="50"/>
      <c r="B553" s="51" t="str">
        <f aca="false">IF(A553="","",MONTH(A553))</f>
        <v/>
      </c>
      <c r="C553" s="52"/>
      <c r="D553" s="52"/>
      <c r="E553" s="52"/>
      <c r="F553" s="52"/>
      <c r="G553" s="55" t="str">
        <f aca="false">IF(C553="","",IFERROR(INDEX('DANH MỤC'!$B$5:$B$200,MATCH(C553,'DANH MỤC'!$A$5:$A$200,0)),"⚠ Mã chưa có trong DANH MỤC"))</f>
        <v/>
      </c>
      <c r="H553" s="52"/>
      <c r="I553" s="52"/>
    </row>
    <row r="554" customFormat="false" ht="15" hidden="false" customHeight="false" outlineLevel="0" collapsed="false">
      <c r="A554" s="50"/>
      <c r="B554" s="51" t="str">
        <f aca="false">IF(A554="","",MONTH(A554))</f>
        <v/>
      </c>
      <c r="C554" s="52"/>
      <c r="D554" s="52"/>
      <c r="E554" s="52"/>
      <c r="F554" s="52"/>
      <c r="G554" s="55" t="str">
        <f aca="false">IF(C554="","",IFERROR(INDEX('DANH MỤC'!$B$5:$B$200,MATCH(C554,'DANH MỤC'!$A$5:$A$200,0)),"⚠ Mã chưa có trong DANH MỤC"))</f>
        <v/>
      </c>
      <c r="H554" s="52"/>
      <c r="I554" s="52"/>
    </row>
    <row r="555" customFormat="false" ht="15" hidden="false" customHeight="false" outlineLevel="0" collapsed="false">
      <c r="A555" s="50"/>
      <c r="B555" s="51" t="str">
        <f aca="false">IF(A555="","",MONTH(A555))</f>
        <v/>
      </c>
      <c r="C555" s="52"/>
      <c r="D555" s="52"/>
      <c r="E555" s="52"/>
      <c r="F555" s="52"/>
      <c r="G555" s="55" t="str">
        <f aca="false">IF(C555="","",IFERROR(INDEX('DANH MỤC'!$B$5:$B$200,MATCH(C555,'DANH MỤC'!$A$5:$A$200,0)),"⚠ Mã chưa có trong DANH MỤC"))</f>
        <v/>
      </c>
      <c r="H555" s="52"/>
      <c r="I555" s="52"/>
    </row>
    <row r="556" customFormat="false" ht="15" hidden="false" customHeight="false" outlineLevel="0" collapsed="false">
      <c r="A556" s="50"/>
      <c r="B556" s="51" t="str">
        <f aca="false">IF(A556="","",MONTH(A556))</f>
        <v/>
      </c>
      <c r="C556" s="52"/>
      <c r="D556" s="52"/>
      <c r="E556" s="52"/>
      <c r="F556" s="52"/>
      <c r="G556" s="55" t="str">
        <f aca="false">IF(C556="","",IFERROR(INDEX('DANH MỤC'!$B$5:$B$200,MATCH(C556,'DANH MỤC'!$A$5:$A$200,0)),"⚠ Mã chưa có trong DANH MỤC"))</f>
        <v/>
      </c>
      <c r="H556" s="52"/>
      <c r="I556" s="52"/>
    </row>
    <row r="557" customFormat="false" ht="15" hidden="false" customHeight="false" outlineLevel="0" collapsed="false">
      <c r="A557" s="50"/>
      <c r="B557" s="51" t="str">
        <f aca="false">IF(A557="","",MONTH(A557))</f>
        <v/>
      </c>
      <c r="C557" s="52"/>
      <c r="D557" s="52"/>
      <c r="E557" s="52"/>
      <c r="F557" s="52"/>
      <c r="G557" s="55" t="str">
        <f aca="false">IF(C557="","",IFERROR(INDEX('DANH MỤC'!$B$5:$B$200,MATCH(C557,'DANH MỤC'!$A$5:$A$200,0)),"⚠ Mã chưa có trong DANH MỤC"))</f>
        <v/>
      </c>
      <c r="H557" s="52"/>
      <c r="I557" s="52"/>
    </row>
    <row r="558" customFormat="false" ht="15" hidden="false" customHeight="false" outlineLevel="0" collapsed="false">
      <c r="A558" s="50"/>
      <c r="B558" s="51" t="str">
        <f aca="false">IF(A558="","",MONTH(A558))</f>
        <v/>
      </c>
      <c r="C558" s="52"/>
      <c r="D558" s="52"/>
      <c r="E558" s="52"/>
      <c r="F558" s="52"/>
      <c r="G558" s="55" t="str">
        <f aca="false">IF(C558="","",IFERROR(INDEX('DANH MỤC'!$B$5:$B$200,MATCH(C558,'DANH MỤC'!$A$5:$A$200,0)),"⚠ Mã chưa có trong DANH MỤC"))</f>
        <v/>
      </c>
      <c r="H558" s="52"/>
      <c r="I558" s="52"/>
    </row>
    <row r="559" customFormat="false" ht="15" hidden="false" customHeight="false" outlineLevel="0" collapsed="false">
      <c r="A559" s="50"/>
      <c r="B559" s="51" t="str">
        <f aca="false">IF(A559="","",MONTH(A559))</f>
        <v/>
      </c>
      <c r="C559" s="52"/>
      <c r="D559" s="52"/>
      <c r="E559" s="52"/>
      <c r="F559" s="52"/>
      <c r="G559" s="55" t="str">
        <f aca="false">IF(C559="","",IFERROR(INDEX('DANH MỤC'!$B$5:$B$200,MATCH(C559,'DANH MỤC'!$A$5:$A$200,0)),"⚠ Mã chưa có trong DANH MỤC"))</f>
        <v/>
      </c>
      <c r="H559" s="52"/>
      <c r="I559" s="52"/>
    </row>
    <row r="560" customFormat="false" ht="15" hidden="false" customHeight="false" outlineLevel="0" collapsed="false">
      <c r="A560" s="50"/>
      <c r="B560" s="51" t="str">
        <f aca="false">IF(A560="","",MONTH(A560))</f>
        <v/>
      </c>
      <c r="C560" s="52"/>
      <c r="D560" s="52"/>
      <c r="E560" s="52"/>
      <c r="F560" s="52"/>
      <c r="G560" s="55" t="str">
        <f aca="false">IF(C560="","",IFERROR(INDEX('DANH MỤC'!$B$5:$B$200,MATCH(C560,'DANH MỤC'!$A$5:$A$200,0)),"⚠ Mã chưa có trong DANH MỤC"))</f>
        <v/>
      </c>
      <c r="H560" s="52"/>
      <c r="I560" s="52"/>
    </row>
    <row r="561" customFormat="false" ht="15" hidden="false" customHeight="false" outlineLevel="0" collapsed="false">
      <c r="A561" s="50"/>
      <c r="B561" s="51" t="str">
        <f aca="false">IF(A561="","",MONTH(A561))</f>
        <v/>
      </c>
      <c r="C561" s="52"/>
      <c r="D561" s="52"/>
      <c r="E561" s="52"/>
      <c r="F561" s="52"/>
      <c r="G561" s="55" t="str">
        <f aca="false">IF(C561="","",IFERROR(INDEX('DANH MỤC'!$B$5:$B$200,MATCH(C561,'DANH MỤC'!$A$5:$A$200,0)),"⚠ Mã chưa có trong DANH MỤC"))</f>
        <v/>
      </c>
      <c r="H561" s="52"/>
      <c r="I561" s="52"/>
    </row>
    <row r="562" customFormat="false" ht="15" hidden="false" customHeight="false" outlineLevel="0" collapsed="false">
      <c r="A562" s="50"/>
      <c r="B562" s="51" t="str">
        <f aca="false">IF(A562="","",MONTH(A562))</f>
        <v/>
      </c>
      <c r="C562" s="52"/>
      <c r="D562" s="52"/>
      <c r="E562" s="52"/>
      <c r="F562" s="52"/>
      <c r="G562" s="55" t="str">
        <f aca="false">IF(C562="","",IFERROR(INDEX('DANH MỤC'!$B$5:$B$200,MATCH(C562,'DANH MỤC'!$A$5:$A$200,0)),"⚠ Mã chưa có trong DANH MỤC"))</f>
        <v/>
      </c>
      <c r="H562" s="52"/>
      <c r="I562" s="52"/>
    </row>
    <row r="563" customFormat="false" ht="15" hidden="false" customHeight="false" outlineLevel="0" collapsed="false">
      <c r="A563" s="50"/>
      <c r="B563" s="51" t="str">
        <f aca="false">IF(A563="","",MONTH(A563))</f>
        <v/>
      </c>
      <c r="C563" s="52"/>
      <c r="D563" s="52"/>
      <c r="E563" s="52"/>
      <c r="F563" s="52"/>
      <c r="G563" s="55" t="str">
        <f aca="false">IF(C563="","",IFERROR(INDEX('DANH MỤC'!$B$5:$B$200,MATCH(C563,'DANH MỤC'!$A$5:$A$200,0)),"⚠ Mã chưa có trong DANH MỤC"))</f>
        <v/>
      </c>
      <c r="H563" s="52"/>
      <c r="I563" s="52"/>
    </row>
    <row r="564" customFormat="false" ht="15" hidden="false" customHeight="false" outlineLevel="0" collapsed="false">
      <c r="A564" s="50"/>
      <c r="B564" s="51" t="str">
        <f aca="false">IF(A564="","",MONTH(A564))</f>
        <v/>
      </c>
      <c r="C564" s="52"/>
      <c r="D564" s="52"/>
      <c r="E564" s="52"/>
      <c r="F564" s="52"/>
      <c r="G564" s="55" t="str">
        <f aca="false">IF(C564="","",IFERROR(INDEX('DANH MỤC'!$B$5:$B$200,MATCH(C564,'DANH MỤC'!$A$5:$A$200,0)),"⚠ Mã chưa có trong DANH MỤC"))</f>
        <v/>
      </c>
      <c r="H564" s="52"/>
      <c r="I564" s="52"/>
    </row>
    <row r="565" customFormat="false" ht="15" hidden="false" customHeight="false" outlineLevel="0" collapsed="false">
      <c r="A565" s="50"/>
      <c r="B565" s="51" t="str">
        <f aca="false">IF(A565="","",MONTH(A565))</f>
        <v/>
      </c>
      <c r="C565" s="52"/>
      <c r="D565" s="52"/>
      <c r="E565" s="52"/>
      <c r="F565" s="52"/>
      <c r="G565" s="55" t="str">
        <f aca="false">IF(C565="","",IFERROR(INDEX('DANH MỤC'!$B$5:$B$200,MATCH(C565,'DANH MỤC'!$A$5:$A$200,0)),"⚠ Mã chưa có trong DANH MỤC"))</f>
        <v/>
      </c>
      <c r="H565" s="52"/>
      <c r="I565" s="52"/>
    </row>
    <row r="566" customFormat="false" ht="15" hidden="false" customHeight="false" outlineLevel="0" collapsed="false">
      <c r="A566" s="50"/>
      <c r="B566" s="51" t="str">
        <f aca="false">IF(A566="","",MONTH(A566))</f>
        <v/>
      </c>
      <c r="C566" s="52"/>
      <c r="D566" s="52"/>
      <c r="E566" s="52"/>
      <c r="F566" s="52"/>
      <c r="G566" s="55" t="str">
        <f aca="false">IF(C566="","",IFERROR(INDEX('DANH MỤC'!$B$5:$B$200,MATCH(C566,'DANH MỤC'!$A$5:$A$200,0)),"⚠ Mã chưa có trong DANH MỤC"))</f>
        <v/>
      </c>
      <c r="H566" s="52"/>
      <c r="I566" s="52"/>
    </row>
    <row r="567" customFormat="false" ht="15" hidden="false" customHeight="false" outlineLevel="0" collapsed="false">
      <c r="A567" s="50"/>
      <c r="B567" s="51" t="str">
        <f aca="false">IF(A567="","",MONTH(A567))</f>
        <v/>
      </c>
      <c r="C567" s="52"/>
      <c r="D567" s="52"/>
      <c r="E567" s="52"/>
      <c r="F567" s="52"/>
      <c r="G567" s="55" t="str">
        <f aca="false">IF(C567="","",IFERROR(INDEX('DANH MỤC'!$B$5:$B$200,MATCH(C567,'DANH MỤC'!$A$5:$A$200,0)),"⚠ Mã chưa có trong DANH MỤC"))</f>
        <v/>
      </c>
      <c r="H567" s="52"/>
      <c r="I567" s="52"/>
    </row>
    <row r="568" customFormat="false" ht="15" hidden="false" customHeight="false" outlineLevel="0" collapsed="false">
      <c r="A568" s="50"/>
      <c r="B568" s="51" t="str">
        <f aca="false">IF(A568="","",MONTH(A568))</f>
        <v/>
      </c>
      <c r="C568" s="52"/>
      <c r="D568" s="52"/>
      <c r="E568" s="52"/>
      <c r="F568" s="52"/>
      <c r="G568" s="55" t="str">
        <f aca="false">IF(C568="","",IFERROR(INDEX('DANH MỤC'!$B$5:$B$200,MATCH(C568,'DANH MỤC'!$A$5:$A$200,0)),"⚠ Mã chưa có trong DANH MỤC"))</f>
        <v/>
      </c>
      <c r="H568" s="52"/>
      <c r="I568" s="52"/>
    </row>
    <row r="569" customFormat="false" ht="15" hidden="false" customHeight="false" outlineLevel="0" collapsed="false">
      <c r="A569" s="50"/>
      <c r="B569" s="51" t="str">
        <f aca="false">IF(A569="","",MONTH(A569))</f>
        <v/>
      </c>
      <c r="C569" s="52"/>
      <c r="D569" s="52"/>
      <c r="E569" s="52"/>
      <c r="F569" s="52"/>
      <c r="G569" s="55" t="str">
        <f aca="false">IF(C569="","",IFERROR(INDEX('DANH MỤC'!$B$5:$B$200,MATCH(C569,'DANH MỤC'!$A$5:$A$200,0)),"⚠ Mã chưa có trong DANH MỤC"))</f>
        <v/>
      </c>
      <c r="H569" s="52"/>
      <c r="I569" s="52"/>
    </row>
    <row r="570" customFormat="false" ht="15" hidden="false" customHeight="false" outlineLevel="0" collapsed="false">
      <c r="A570" s="50"/>
      <c r="B570" s="51" t="str">
        <f aca="false">IF(A570="","",MONTH(A570))</f>
        <v/>
      </c>
      <c r="C570" s="52"/>
      <c r="D570" s="52"/>
      <c r="E570" s="52"/>
      <c r="F570" s="52"/>
      <c r="G570" s="55" t="str">
        <f aca="false">IF(C570="","",IFERROR(INDEX('DANH MỤC'!$B$5:$B$200,MATCH(C570,'DANH MỤC'!$A$5:$A$200,0)),"⚠ Mã chưa có trong DANH MỤC"))</f>
        <v/>
      </c>
      <c r="H570" s="52"/>
      <c r="I570" s="52"/>
    </row>
    <row r="571" customFormat="false" ht="15" hidden="false" customHeight="false" outlineLevel="0" collapsed="false">
      <c r="A571" s="50"/>
      <c r="B571" s="51" t="str">
        <f aca="false">IF(A571="","",MONTH(A571))</f>
        <v/>
      </c>
      <c r="C571" s="52"/>
      <c r="D571" s="52"/>
      <c r="E571" s="52"/>
      <c r="F571" s="52"/>
      <c r="G571" s="55" t="str">
        <f aca="false">IF(C571="","",IFERROR(INDEX('DANH MỤC'!$B$5:$B$200,MATCH(C571,'DANH MỤC'!$A$5:$A$200,0)),"⚠ Mã chưa có trong DANH MỤC"))</f>
        <v/>
      </c>
      <c r="H571" s="52"/>
      <c r="I571" s="52"/>
    </row>
    <row r="572" customFormat="false" ht="15" hidden="false" customHeight="false" outlineLevel="0" collapsed="false">
      <c r="A572" s="50"/>
      <c r="B572" s="51" t="str">
        <f aca="false">IF(A572="","",MONTH(A572))</f>
        <v/>
      </c>
      <c r="C572" s="52"/>
      <c r="D572" s="52"/>
      <c r="E572" s="52"/>
      <c r="F572" s="52"/>
      <c r="G572" s="55" t="str">
        <f aca="false">IF(C572="","",IFERROR(INDEX('DANH MỤC'!$B$5:$B$200,MATCH(C572,'DANH MỤC'!$A$5:$A$200,0)),"⚠ Mã chưa có trong DANH MỤC"))</f>
        <v/>
      </c>
      <c r="H572" s="52"/>
      <c r="I572" s="52"/>
    </row>
    <row r="573" customFormat="false" ht="15" hidden="false" customHeight="false" outlineLevel="0" collapsed="false">
      <c r="A573" s="50"/>
      <c r="B573" s="51" t="str">
        <f aca="false">IF(A573="","",MONTH(A573))</f>
        <v/>
      </c>
      <c r="C573" s="52"/>
      <c r="D573" s="52"/>
      <c r="E573" s="52"/>
      <c r="F573" s="52"/>
      <c r="G573" s="55" t="str">
        <f aca="false">IF(C573="","",IFERROR(INDEX('DANH MỤC'!$B$5:$B$200,MATCH(C573,'DANH MỤC'!$A$5:$A$200,0)),"⚠ Mã chưa có trong DANH MỤC"))</f>
        <v/>
      </c>
      <c r="H573" s="52"/>
      <c r="I573" s="52"/>
    </row>
    <row r="574" customFormat="false" ht="15" hidden="false" customHeight="false" outlineLevel="0" collapsed="false">
      <c r="A574" s="50"/>
      <c r="B574" s="51" t="str">
        <f aca="false">IF(A574="","",MONTH(A574))</f>
        <v/>
      </c>
      <c r="C574" s="52"/>
      <c r="D574" s="52"/>
      <c r="E574" s="52"/>
      <c r="F574" s="52"/>
      <c r="G574" s="55" t="str">
        <f aca="false">IF(C574="","",IFERROR(INDEX('DANH MỤC'!$B$5:$B$200,MATCH(C574,'DANH MỤC'!$A$5:$A$200,0)),"⚠ Mã chưa có trong DANH MỤC"))</f>
        <v/>
      </c>
      <c r="H574" s="52"/>
      <c r="I574" s="52"/>
    </row>
    <row r="575" customFormat="false" ht="15" hidden="false" customHeight="false" outlineLevel="0" collapsed="false">
      <c r="A575" s="50"/>
      <c r="B575" s="51" t="str">
        <f aca="false">IF(A575="","",MONTH(A575))</f>
        <v/>
      </c>
      <c r="C575" s="52"/>
      <c r="D575" s="52"/>
      <c r="E575" s="52"/>
      <c r="F575" s="52"/>
      <c r="G575" s="55" t="str">
        <f aca="false">IF(C575="","",IFERROR(INDEX('DANH MỤC'!$B$5:$B$200,MATCH(C575,'DANH MỤC'!$A$5:$A$200,0)),"⚠ Mã chưa có trong DANH MỤC"))</f>
        <v/>
      </c>
      <c r="H575" s="52"/>
      <c r="I575" s="52"/>
    </row>
    <row r="576" customFormat="false" ht="15" hidden="false" customHeight="false" outlineLevel="0" collapsed="false">
      <c r="A576" s="50"/>
      <c r="B576" s="51" t="str">
        <f aca="false">IF(A576="","",MONTH(A576))</f>
        <v/>
      </c>
      <c r="C576" s="52"/>
      <c r="D576" s="52"/>
      <c r="E576" s="52"/>
      <c r="F576" s="52"/>
      <c r="G576" s="55" t="str">
        <f aca="false">IF(C576="","",IFERROR(INDEX('DANH MỤC'!$B$5:$B$200,MATCH(C576,'DANH MỤC'!$A$5:$A$200,0)),"⚠ Mã chưa có trong DANH MỤC"))</f>
        <v/>
      </c>
      <c r="H576" s="52"/>
      <c r="I576" s="52"/>
    </row>
    <row r="577" customFormat="false" ht="15" hidden="false" customHeight="false" outlineLevel="0" collapsed="false">
      <c r="A577" s="50"/>
      <c r="B577" s="51" t="str">
        <f aca="false">IF(A577="","",MONTH(A577))</f>
        <v/>
      </c>
      <c r="C577" s="52"/>
      <c r="D577" s="52"/>
      <c r="E577" s="52"/>
      <c r="F577" s="52"/>
      <c r="G577" s="55" t="str">
        <f aca="false">IF(C577="","",IFERROR(INDEX('DANH MỤC'!$B$5:$B$200,MATCH(C577,'DANH MỤC'!$A$5:$A$200,0)),"⚠ Mã chưa có trong DANH MỤC"))</f>
        <v/>
      </c>
      <c r="H577" s="52"/>
      <c r="I577" s="52"/>
    </row>
    <row r="578" customFormat="false" ht="15" hidden="false" customHeight="false" outlineLevel="0" collapsed="false">
      <c r="A578" s="50"/>
      <c r="B578" s="51" t="str">
        <f aca="false">IF(A578="","",MONTH(A578))</f>
        <v/>
      </c>
      <c r="C578" s="52"/>
      <c r="D578" s="52"/>
      <c r="E578" s="52"/>
      <c r="F578" s="52"/>
      <c r="G578" s="55" t="str">
        <f aca="false">IF(C578="","",IFERROR(INDEX('DANH MỤC'!$B$5:$B$200,MATCH(C578,'DANH MỤC'!$A$5:$A$200,0)),"⚠ Mã chưa có trong DANH MỤC"))</f>
        <v/>
      </c>
      <c r="H578" s="52"/>
      <c r="I578" s="52"/>
    </row>
    <row r="579" customFormat="false" ht="15" hidden="false" customHeight="false" outlineLevel="0" collapsed="false">
      <c r="A579" s="50"/>
      <c r="B579" s="51" t="str">
        <f aca="false">IF(A579="","",MONTH(A579))</f>
        <v/>
      </c>
      <c r="C579" s="52"/>
      <c r="D579" s="52"/>
      <c r="E579" s="52"/>
      <c r="F579" s="52"/>
      <c r="G579" s="55" t="str">
        <f aca="false">IF(C579="","",IFERROR(INDEX('DANH MỤC'!$B$5:$B$200,MATCH(C579,'DANH MỤC'!$A$5:$A$200,0)),"⚠ Mã chưa có trong DANH MỤC"))</f>
        <v/>
      </c>
      <c r="H579" s="52"/>
      <c r="I579" s="52"/>
    </row>
    <row r="580" customFormat="false" ht="15" hidden="false" customHeight="false" outlineLevel="0" collapsed="false">
      <c r="A580" s="50"/>
      <c r="B580" s="51" t="str">
        <f aca="false">IF(A580="","",MONTH(A580))</f>
        <v/>
      </c>
      <c r="C580" s="52"/>
      <c r="D580" s="52"/>
      <c r="E580" s="52"/>
      <c r="F580" s="52"/>
      <c r="G580" s="55" t="str">
        <f aca="false">IF(C580="","",IFERROR(INDEX('DANH MỤC'!$B$5:$B$200,MATCH(C580,'DANH MỤC'!$A$5:$A$200,0)),"⚠ Mã chưa có trong DANH MỤC"))</f>
        <v/>
      </c>
      <c r="H580" s="52"/>
      <c r="I580" s="52"/>
    </row>
    <row r="581" customFormat="false" ht="15" hidden="false" customHeight="false" outlineLevel="0" collapsed="false">
      <c r="A581" s="50"/>
      <c r="B581" s="51" t="str">
        <f aca="false">IF(A581="","",MONTH(A581))</f>
        <v/>
      </c>
      <c r="C581" s="52"/>
      <c r="D581" s="52"/>
      <c r="E581" s="52"/>
      <c r="F581" s="52"/>
      <c r="G581" s="55" t="str">
        <f aca="false">IF(C581="","",IFERROR(INDEX('DANH MỤC'!$B$5:$B$200,MATCH(C581,'DANH MỤC'!$A$5:$A$200,0)),"⚠ Mã chưa có trong DANH MỤC"))</f>
        <v/>
      </c>
      <c r="H581" s="52"/>
      <c r="I581" s="52"/>
    </row>
    <row r="582" customFormat="false" ht="15" hidden="false" customHeight="false" outlineLevel="0" collapsed="false">
      <c r="A582" s="50"/>
      <c r="B582" s="51" t="str">
        <f aca="false">IF(A582="","",MONTH(A582))</f>
        <v/>
      </c>
      <c r="C582" s="52"/>
      <c r="D582" s="52"/>
      <c r="E582" s="52"/>
      <c r="F582" s="52"/>
      <c r="G582" s="55" t="str">
        <f aca="false">IF(C582="","",IFERROR(INDEX('DANH MỤC'!$B$5:$B$200,MATCH(C582,'DANH MỤC'!$A$5:$A$200,0)),"⚠ Mã chưa có trong DANH MỤC"))</f>
        <v/>
      </c>
      <c r="H582" s="52"/>
      <c r="I582" s="52"/>
    </row>
    <row r="583" customFormat="false" ht="15" hidden="false" customHeight="false" outlineLevel="0" collapsed="false">
      <c r="A583" s="50"/>
      <c r="B583" s="51" t="str">
        <f aca="false">IF(A583="","",MONTH(A583))</f>
        <v/>
      </c>
      <c r="C583" s="52"/>
      <c r="D583" s="52"/>
      <c r="E583" s="52"/>
      <c r="F583" s="52"/>
      <c r="G583" s="55" t="str">
        <f aca="false">IF(C583="","",IFERROR(INDEX('DANH MỤC'!$B$5:$B$200,MATCH(C583,'DANH MỤC'!$A$5:$A$200,0)),"⚠ Mã chưa có trong DANH MỤC"))</f>
        <v/>
      </c>
      <c r="H583" s="52"/>
      <c r="I583" s="52"/>
    </row>
    <row r="584" customFormat="false" ht="15" hidden="false" customHeight="false" outlineLevel="0" collapsed="false">
      <c r="A584" s="50"/>
      <c r="B584" s="51" t="str">
        <f aca="false">IF(A584="","",MONTH(A584))</f>
        <v/>
      </c>
      <c r="C584" s="52"/>
      <c r="D584" s="52"/>
      <c r="E584" s="52"/>
      <c r="F584" s="52"/>
      <c r="G584" s="55" t="str">
        <f aca="false">IF(C584="","",IFERROR(INDEX('DANH MỤC'!$B$5:$B$200,MATCH(C584,'DANH MỤC'!$A$5:$A$200,0)),"⚠ Mã chưa có trong DANH MỤC"))</f>
        <v/>
      </c>
      <c r="H584" s="52"/>
      <c r="I584" s="52"/>
    </row>
    <row r="585" customFormat="false" ht="15" hidden="false" customHeight="false" outlineLevel="0" collapsed="false">
      <c r="A585" s="50"/>
      <c r="B585" s="51" t="str">
        <f aca="false">IF(A585="","",MONTH(A585))</f>
        <v/>
      </c>
      <c r="C585" s="52"/>
      <c r="D585" s="52"/>
      <c r="E585" s="52"/>
      <c r="F585" s="52"/>
      <c r="G585" s="55" t="str">
        <f aca="false">IF(C585="","",IFERROR(INDEX('DANH MỤC'!$B$5:$B$200,MATCH(C585,'DANH MỤC'!$A$5:$A$200,0)),"⚠ Mã chưa có trong DANH MỤC"))</f>
        <v/>
      </c>
      <c r="H585" s="52"/>
      <c r="I585" s="52"/>
    </row>
    <row r="586" customFormat="false" ht="15" hidden="false" customHeight="false" outlineLevel="0" collapsed="false">
      <c r="A586" s="50"/>
      <c r="B586" s="51" t="str">
        <f aca="false">IF(A586="","",MONTH(A586))</f>
        <v/>
      </c>
      <c r="C586" s="52"/>
      <c r="D586" s="52"/>
      <c r="E586" s="52"/>
      <c r="F586" s="52"/>
      <c r="G586" s="55" t="str">
        <f aca="false">IF(C586="","",IFERROR(INDEX('DANH MỤC'!$B$5:$B$200,MATCH(C586,'DANH MỤC'!$A$5:$A$200,0)),"⚠ Mã chưa có trong DANH MỤC"))</f>
        <v/>
      </c>
      <c r="H586" s="52"/>
      <c r="I586" s="52"/>
    </row>
    <row r="587" customFormat="false" ht="15" hidden="false" customHeight="false" outlineLevel="0" collapsed="false">
      <c r="A587" s="50"/>
      <c r="B587" s="51" t="str">
        <f aca="false">IF(A587="","",MONTH(A587))</f>
        <v/>
      </c>
      <c r="C587" s="52"/>
      <c r="D587" s="52"/>
      <c r="E587" s="52"/>
      <c r="F587" s="52"/>
      <c r="G587" s="55" t="str">
        <f aca="false">IF(C587="","",IFERROR(INDEX('DANH MỤC'!$B$5:$B$200,MATCH(C587,'DANH MỤC'!$A$5:$A$200,0)),"⚠ Mã chưa có trong DANH MỤC"))</f>
        <v/>
      </c>
      <c r="H587" s="52"/>
      <c r="I587" s="52"/>
    </row>
    <row r="588" customFormat="false" ht="15" hidden="false" customHeight="false" outlineLevel="0" collapsed="false">
      <c r="A588" s="50"/>
      <c r="B588" s="51" t="str">
        <f aca="false">IF(A588="","",MONTH(A588))</f>
        <v/>
      </c>
      <c r="C588" s="52"/>
      <c r="D588" s="52"/>
      <c r="E588" s="52"/>
      <c r="F588" s="52"/>
      <c r="G588" s="55" t="str">
        <f aca="false">IF(C588="","",IFERROR(INDEX('DANH MỤC'!$B$5:$B$200,MATCH(C588,'DANH MỤC'!$A$5:$A$200,0)),"⚠ Mã chưa có trong DANH MỤC"))</f>
        <v/>
      </c>
      <c r="H588" s="52"/>
      <c r="I588" s="52"/>
    </row>
    <row r="589" customFormat="false" ht="15" hidden="false" customHeight="false" outlineLevel="0" collapsed="false">
      <c r="A589" s="50"/>
      <c r="B589" s="51" t="str">
        <f aca="false">IF(A589="","",MONTH(A589))</f>
        <v/>
      </c>
      <c r="C589" s="52"/>
      <c r="D589" s="52"/>
      <c r="E589" s="52"/>
      <c r="F589" s="52"/>
      <c r="G589" s="55" t="str">
        <f aca="false">IF(C589="","",IFERROR(INDEX('DANH MỤC'!$B$5:$B$200,MATCH(C589,'DANH MỤC'!$A$5:$A$200,0)),"⚠ Mã chưa có trong DANH MỤC"))</f>
        <v/>
      </c>
      <c r="H589" s="52"/>
      <c r="I589" s="52"/>
    </row>
    <row r="590" customFormat="false" ht="15" hidden="false" customHeight="false" outlineLevel="0" collapsed="false">
      <c r="A590" s="50"/>
      <c r="B590" s="51" t="str">
        <f aca="false">IF(A590="","",MONTH(A590))</f>
        <v/>
      </c>
      <c r="C590" s="52"/>
      <c r="D590" s="52"/>
      <c r="E590" s="52"/>
      <c r="F590" s="52"/>
      <c r="G590" s="55" t="str">
        <f aca="false">IF(C590="","",IFERROR(INDEX('DANH MỤC'!$B$5:$B$200,MATCH(C590,'DANH MỤC'!$A$5:$A$200,0)),"⚠ Mã chưa có trong DANH MỤC"))</f>
        <v/>
      </c>
      <c r="H590" s="52"/>
      <c r="I590" s="52"/>
    </row>
    <row r="591" customFormat="false" ht="15" hidden="false" customHeight="false" outlineLevel="0" collapsed="false">
      <c r="A591" s="50"/>
      <c r="B591" s="51" t="str">
        <f aca="false">IF(A591="","",MONTH(A591))</f>
        <v/>
      </c>
      <c r="C591" s="52"/>
      <c r="D591" s="52"/>
      <c r="E591" s="52"/>
      <c r="F591" s="52"/>
      <c r="G591" s="55" t="str">
        <f aca="false">IF(C591="","",IFERROR(INDEX('DANH MỤC'!$B$5:$B$200,MATCH(C591,'DANH MỤC'!$A$5:$A$200,0)),"⚠ Mã chưa có trong DANH MỤC"))</f>
        <v/>
      </c>
      <c r="H591" s="52"/>
      <c r="I591" s="52"/>
    </row>
    <row r="592" customFormat="false" ht="15" hidden="false" customHeight="false" outlineLevel="0" collapsed="false">
      <c r="A592" s="50"/>
      <c r="B592" s="51" t="str">
        <f aca="false">IF(A592="","",MONTH(A592))</f>
        <v/>
      </c>
      <c r="C592" s="52"/>
      <c r="D592" s="52"/>
      <c r="E592" s="52"/>
      <c r="F592" s="52"/>
      <c r="G592" s="55" t="str">
        <f aca="false">IF(C592="","",IFERROR(INDEX('DANH MỤC'!$B$5:$B$200,MATCH(C592,'DANH MỤC'!$A$5:$A$200,0)),"⚠ Mã chưa có trong DANH MỤC"))</f>
        <v/>
      </c>
      <c r="H592" s="52"/>
      <c r="I592" s="52"/>
    </row>
    <row r="593" customFormat="false" ht="15" hidden="false" customHeight="false" outlineLevel="0" collapsed="false">
      <c r="A593" s="50"/>
      <c r="B593" s="51" t="str">
        <f aca="false">IF(A593="","",MONTH(A593))</f>
        <v/>
      </c>
      <c r="C593" s="52"/>
      <c r="D593" s="52"/>
      <c r="E593" s="52"/>
      <c r="F593" s="52"/>
      <c r="G593" s="55" t="str">
        <f aca="false">IF(C593="","",IFERROR(INDEX('DANH MỤC'!$B$5:$B$200,MATCH(C593,'DANH MỤC'!$A$5:$A$200,0)),"⚠ Mã chưa có trong DANH MỤC"))</f>
        <v/>
      </c>
      <c r="H593" s="52"/>
      <c r="I593" s="52"/>
    </row>
    <row r="594" customFormat="false" ht="15" hidden="false" customHeight="false" outlineLevel="0" collapsed="false">
      <c r="A594" s="50"/>
      <c r="B594" s="51" t="str">
        <f aca="false">IF(A594="","",MONTH(A594))</f>
        <v/>
      </c>
      <c r="C594" s="52"/>
      <c r="D594" s="52"/>
      <c r="E594" s="52"/>
      <c r="F594" s="52"/>
      <c r="G594" s="55" t="str">
        <f aca="false">IF(C594="","",IFERROR(INDEX('DANH MỤC'!$B$5:$B$200,MATCH(C594,'DANH MỤC'!$A$5:$A$200,0)),"⚠ Mã chưa có trong DANH MỤC"))</f>
        <v/>
      </c>
      <c r="H594" s="52"/>
      <c r="I594" s="52"/>
    </row>
    <row r="595" customFormat="false" ht="15" hidden="false" customHeight="false" outlineLevel="0" collapsed="false">
      <c r="A595" s="50"/>
      <c r="B595" s="51" t="str">
        <f aca="false">IF(A595="","",MONTH(A595))</f>
        <v/>
      </c>
      <c r="C595" s="52"/>
      <c r="D595" s="52"/>
      <c r="E595" s="52"/>
      <c r="F595" s="52"/>
      <c r="G595" s="55" t="str">
        <f aca="false">IF(C595="","",IFERROR(INDEX('DANH MỤC'!$B$5:$B$200,MATCH(C595,'DANH MỤC'!$A$5:$A$200,0)),"⚠ Mã chưa có trong DANH MỤC"))</f>
        <v/>
      </c>
      <c r="H595" s="52"/>
      <c r="I595" s="52"/>
    </row>
    <row r="596" customFormat="false" ht="15" hidden="false" customHeight="false" outlineLevel="0" collapsed="false">
      <c r="A596" s="50"/>
      <c r="B596" s="51" t="str">
        <f aca="false">IF(A596="","",MONTH(A596))</f>
        <v/>
      </c>
      <c r="C596" s="52"/>
      <c r="D596" s="52"/>
      <c r="E596" s="52"/>
      <c r="F596" s="52"/>
      <c r="G596" s="55" t="str">
        <f aca="false">IF(C596="","",IFERROR(INDEX('DANH MỤC'!$B$5:$B$200,MATCH(C596,'DANH MỤC'!$A$5:$A$200,0)),"⚠ Mã chưa có trong DANH MỤC"))</f>
        <v/>
      </c>
      <c r="H596" s="52"/>
      <c r="I596" s="52"/>
    </row>
    <row r="597" customFormat="false" ht="15" hidden="false" customHeight="false" outlineLevel="0" collapsed="false">
      <c r="A597" s="50"/>
      <c r="B597" s="51" t="str">
        <f aca="false">IF(A597="","",MONTH(A597))</f>
        <v/>
      </c>
      <c r="C597" s="52"/>
      <c r="D597" s="52"/>
      <c r="E597" s="52"/>
      <c r="F597" s="52"/>
      <c r="G597" s="55" t="str">
        <f aca="false">IF(C597="","",IFERROR(INDEX('DANH MỤC'!$B$5:$B$200,MATCH(C597,'DANH MỤC'!$A$5:$A$200,0)),"⚠ Mã chưa có trong DANH MỤC"))</f>
        <v/>
      </c>
      <c r="H597" s="52"/>
      <c r="I597" s="52"/>
    </row>
    <row r="598" customFormat="false" ht="15" hidden="false" customHeight="false" outlineLevel="0" collapsed="false">
      <c r="A598" s="50"/>
      <c r="B598" s="51" t="str">
        <f aca="false">IF(A598="","",MONTH(A598))</f>
        <v/>
      </c>
      <c r="C598" s="52"/>
      <c r="D598" s="52"/>
      <c r="E598" s="52"/>
      <c r="F598" s="52"/>
      <c r="G598" s="55" t="str">
        <f aca="false">IF(C598="","",IFERROR(INDEX('DANH MỤC'!$B$5:$B$200,MATCH(C598,'DANH MỤC'!$A$5:$A$200,0)),"⚠ Mã chưa có trong DANH MỤC"))</f>
        <v/>
      </c>
      <c r="H598" s="52"/>
      <c r="I598" s="52"/>
    </row>
    <row r="599" customFormat="false" ht="15" hidden="false" customHeight="false" outlineLevel="0" collapsed="false">
      <c r="A599" s="50"/>
      <c r="B599" s="51" t="str">
        <f aca="false">IF(A599="","",MONTH(A599))</f>
        <v/>
      </c>
      <c r="C599" s="52"/>
      <c r="D599" s="52"/>
      <c r="E599" s="52"/>
      <c r="F599" s="52"/>
      <c r="G599" s="55" t="str">
        <f aca="false">IF(C599="","",IFERROR(INDEX('DANH MỤC'!$B$5:$B$200,MATCH(C599,'DANH MỤC'!$A$5:$A$200,0)),"⚠ Mã chưa có trong DANH MỤC"))</f>
        <v/>
      </c>
      <c r="H599" s="52"/>
      <c r="I599" s="52"/>
    </row>
    <row r="600" customFormat="false" ht="15" hidden="false" customHeight="false" outlineLevel="0" collapsed="false">
      <c r="A600" s="50"/>
      <c r="B600" s="51" t="str">
        <f aca="false">IF(A600="","",MONTH(A600))</f>
        <v/>
      </c>
      <c r="C600" s="52"/>
      <c r="D600" s="52"/>
      <c r="E600" s="52"/>
      <c r="F600" s="52"/>
      <c r="G600" s="55" t="str">
        <f aca="false">IF(C600="","",IFERROR(INDEX('DANH MỤC'!$B$5:$B$200,MATCH(C600,'DANH MỤC'!$A$5:$A$200,0)),"⚠ Mã chưa có trong DANH MỤC"))</f>
        <v/>
      </c>
      <c r="H600" s="52"/>
      <c r="I600" s="52"/>
    </row>
    <row r="601" customFormat="false" ht="15" hidden="false" customHeight="false" outlineLevel="0" collapsed="false">
      <c r="A601" s="50"/>
      <c r="B601" s="51" t="str">
        <f aca="false">IF(A601="","",MONTH(A601))</f>
        <v/>
      </c>
      <c r="C601" s="52"/>
      <c r="D601" s="52"/>
      <c r="E601" s="52"/>
      <c r="F601" s="52"/>
      <c r="G601" s="55" t="str">
        <f aca="false">IF(C601="","",IFERROR(INDEX('DANH MỤC'!$B$5:$B$200,MATCH(C601,'DANH MỤC'!$A$5:$A$200,0)),"⚠ Mã chưa có trong DANH MỤC"))</f>
        <v/>
      </c>
      <c r="H601" s="52"/>
      <c r="I601" s="52"/>
    </row>
    <row r="602" customFormat="false" ht="15" hidden="false" customHeight="false" outlineLevel="0" collapsed="false">
      <c r="A602" s="50"/>
      <c r="B602" s="51" t="str">
        <f aca="false">IF(A602="","",MONTH(A602))</f>
        <v/>
      </c>
      <c r="C602" s="52"/>
      <c r="D602" s="52"/>
      <c r="E602" s="52"/>
      <c r="F602" s="52"/>
      <c r="G602" s="55" t="str">
        <f aca="false">IF(C602="","",IFERROR(INDEX('DANH MỤC'!$B$5:$B$200,MATCH(C602,'DANH MỤC'!$A$5:$A$200,0)),"⚠ Mã chưa có trong DANH MỤC"))</f>
        <v/>
      </c>
      <c r="H602" s="52"/>
      <c r="I602" s="52"/>
    </row>
    <row r="603" customFormat="false" ht="15" hidden="false" customHeight="false" outlineLevel="0" collapsed="false">
      <c r="A603" s="50"/>
      <c r="B603" s="51" t="str">
        <f aca="false">IF(A603="","",MONTH(A603))</f>
        <v/>
      </c>
      <c r="C603" s="52"/>
      <c r="D603" s="52"/>
      <c r="E603" s="52"/>
      <c r="F603" s="52"/>
      <c r="G603" s="55" t="str">
        <f aca="false">IF(C603="","",IFERROR(INDEX('DANH MỤC'!$B$5:$B$200,MATCH(C603,'DANH MỤC'!$A$5:$A$200,0)),"⚠ Mã chưa có trong DANH MỤC"))</f>
        <v/>
      </c>
      <c r="H603" s="52"/>
      <c r="I603" s="52"/>
    </row>
    <row r="604" customFormat="false" ht="15" hidden="false" customHeight="false" outlineLevel="0" collapsed="false">
      <c r="A604" s="50"/>
      <c r="B604" s="51" t="str">
        <f aca="false">IF(A604="","",MONTH(A604))</f>
        <v/>
      </c>
      <c r="C604" s="52"/>
      <c r="D604" s="52"/>
      <c r="E604" s="52"/>
      <c r="F604" s="52"/>
      <c r="G604" s="55" t="str">
        <f aca="false">IF(C604="","",IFERROR(INDEX('DANH MỤC'!$B$5:$B$200,MATCH(C604,'DANH MỤC'!$A$5:$A$200,0)),"⚠ Mã chưa có trong DANH MỤC"))</f>
        <v/>
      </c>
      <c r="H604" s="52"/>
      <c r="I604" s="52"/>
    </row>
    <row r="605" customFormat="false" ht="15" hidden="false" customHeight="false" outlineLevel="0" collapsed="false">
      <c r="A605" s="50"/>
      <c r="B605" s="51" t="str">
        <f aca="false">IF(A605="","",MONTH(A605))</f>
        <v/>
      </c>
      <c r="C605" s="52"/>
      <c r="D605" s="52"/>
      <c r="E605" s="52"/>
      <c r="F605" s="52"/>
      <c r="G605" s="55" t="str">
        <f aca="false">IF(C605="","",IFERROR(INDEX('DANH MỤC'!$B$5:$B$200,MATCH(C605,'DANH MỤC'!$A$5:$A$200,0)),"⚠ Mã chưa có trong DANH MỤC"))</f>
        <v/>
      </c>
      <c r="H605" s="52"/>
      <c r="I605" s="52"/>
    </row>
    <row r="606" customFormat="false" ht="15" hidden="false" customHeight="false" outlineLevel="0" collapsed="false">
      <c r="A606" s="50"/>
      <c r="B606" s="51" t="str">
        <f aca="false">IF(A606="","",MONTH(A606))</f>
        <v/>
      </c>
      <c r="C606" s="52"/>
      <c r="D606" s="52"/>
      <c r="E606" s="52"/>
      <c r="F606" s="52"/>
      <c r="G606" s="55" t="str">
        <f aca="false">IF(C606="","",IFERROR(INDEX('DANH MỤC'!$B$5:$B$200,MATCH(C606,'DANH MỤC'!$A$5:$A$200,0)),"⚠ Mã chưa có trong DANH MỤC"))</f>
        <v/>
      </c>
      <c r="H606" s="52"/>
      <c r="I606" s="52"/>
    </row>
    <row r="607" customFormat="false" ht="15" hidden="false" customHeight="false" outlineLevel="0" collapsed="false">
      <c r="A607" s="50"/>
      <c r="B607" s="51" t="str">
        <f aca="false">IF(A607="","",MONTH(A607))</f>
        <v/>
      </c>
      <c r="C607" s="52"/>
      <c r="D607" s="52"/>
      <c r="E607" s="52"/>
      <c r="F607" s="52"/>
      <c r="G607" s="55" t="str">
        <f aca="false">IF(C607="","",IFERROR(INDEX('DANH MỤC'!$B$5:$B$200,MATCH(C607,'DANH MỤC'!$A$5:$A$200,0)),"⚠ Mã chưa có trong DANH MỤC"))</f>
        <v/>
      </c>
      <c r="H607" s="52"/>
      <c r="I607" s="52"/>
    </row>
    <row r="608" customFormat="false" ht="15" hidden="false" customHeight="false" outlineLevel="0" collapsed="false">
      <c r="A608" s="50"/>
      <c r="B608" s="51" t="str">
        <f aca="false">IF(A608="","",MONTH(A608))</f>
        <v/>
      </c>
      <c r="C608" s="52"/>
      <c r="D608" s="52"/>
      <c r="E608" s="52"/>
      <c r="F608" s="52"/>
      <c r="G608" s="55" t="str">
        <f aca="false">IF(C608="","",IFERROR(INDEX('DANH MỤC'!$B$5:$B$200,MATCH(C608,'DANH MỤC'!$A$5:$A$200,0)),"⚠ Mã chưa có trong DANH MỤC"))</f>
        <v/>
      </c>
      <c r="H608" s="52"/>
      <c r="I608" s="52"/>
    </row>
    <row r="609" customFormat="false" ht="15" hidden="false" customHeight="false" outlineLevel="0" collapsed="false">
      <c r="A609" s="50"/>
      <c r="B609" s="51" t="str">
        <f aca="false">IF(A609="","",MONTH(A609))</f>
        <v/>
      </c>
      <c r="C609" s="52"/>
      <c r="D609" s="52"/>
      <c r="E609" s="52"/>
      <c r="F609" s="52"/>
      <c r="G609" s="55" t="str">
        <f aca="false">IF(C609="","",IFERROR(INDEX('DANH MỤC'!$B$5:$B$200,MATCH(C609,'DANH MỤC'!$A$5:$A$200,0)),"⚠ Mã chưa có trong DANH MỤC"))</f>
        <v/>
      </c>
      <c r="H609" s="52"/>
      <c r="I609" s="52"/>
    </row>
    <row r="610" customFormat="false" ht="15" hidden="false" customHeight="false" outlineLevel="0" collapsed="false">
      <c r="A610" s="50"/>
      <c r="B610" s="51" t="str">
        <f aca="false">IF(A610="","",MONTH(A610))</f>
        <v/>
      </c>
      <c r="C610" s="52"/>
      <c r="D610" s="52"/>
      <c r="E610" s="52"/>
      <c r="F610" s="52"/>
      <c r="G610" s="55" t="str">
        <f aca="false">IF(C610="","",IFERROR(INDEX('DANH MỤC'!$B$5:$B$200,MATCH(C610,'DANH MỤC'!$A$5:$A$200,0)),"⚠ Mã chưa có trong DANH MỤC"))</f>
        <v/>
      </c>
      <c r="H610" s="52"/>
      <c r="I610" s="52"/>
    </row>
    <row r="611" customFormat="false" ht="15" hidden="false" customHeight="false" outlineLevel="0" collapsed="false">
      <c r="A611" s="50"/>
      <c r="B611" s="51" t="str">
        <f aca="false">IF(A611="","",MONTH(A611))</f>
        <v/>
      </c>
      <c r="C611" s="52"/>
      <c r="D611" s="52"/>
      <c r="E611" s="52"/>
      <c r="F611" s="52"/>
      <c r="G611" s="55" t="str">
        <f aca="false">IF(C611="","",IFERROR(INDEX('DANH MỤC'!$B$5:$B$200,MATCH(C611,'DANH MỤC'!$A$5:$A$200,0)),"⚠ Mã chưa có trong DANH MỤC"))</f>
        <v/>
      </c>
      <c r="H611" s="52"/>
      <c r="I611" s="52"/>
    </row>
    <row r="612" customFormat="false" ht="15" hidden="false" customHeight="false" outlineLevel="0" collapsed="false">
      <c r="A612" s="50"/>
      <c r="B612" s="51" t="str">
        <f aca="false">IF(A612="","",MONTH(A612))</f>
        <v/>
      </c>
      <c r="C612" s="52"/>
      <c r="D612" s="52"/>
      <c r="E612" s="52"/>
      <c r="F612" s="52"/>
      <c r="G612" s="55" t="str">
        <f aca="false">IF(C612="","",IFERROR(INDEX('DANH MỤC'!$B$5:$B$200,MATCH(C612,'DANH MỤC'!$A$5:$A$200,0)),"⚠ Mã chưa có trong DANH MỤC"))</f>
        <v/>
      </c>
      <c r="H612" s="52"/>
      <c r="I612" s="52"/>
    </row>
    <row r="613" customFormat="false" ht="15" hidden="false" customHeight="false" outlineLevel="0" collapsed="false">
      <c r="A613" s="50"/>
      <c r="B613" s="51" t="str">
        <f aca="false">IF(A613="","",MONTH(A613))</f>
        <v/>
      </c>
      <c r="C613" s="52"/>
      <c r="D613" s="52"/>
      <c r="E613" s="52"/>
      <c r="F613" s="52"/>
      <c r="G613" s="55" t="str">
        <f aca="false">IF(C613="","",IFERROR(INDEX('DANH MỤC'!$B$5:$B$200,MATCH(C613,'DANH MỤC'!$A$5:$A$200,0)),"⚠ Mã chưa có trong DANH MỤC"))</f>
        <v/>
      </c>
      <c r="H613" s="52"/>
      <c r="I613" s="52"/>
    </row>
    <row r="614" customFormat="false" ht="15" hidden="false" customHeight="false" outlineLevel="0" collapsed="false">
      <c r="A614" s="50"/>
      <c r="B614" s="51" t="str">
        <f aca="false">IF(A614="","",MONTH(A614))</f>
        <v/>
      </c>
      <c r="C614" s="52"/>
      <c r="D614" s="52"/>
      <c r="E614" s="52"/>
      <c r="F614" s="52"/>
      <c r="G614" s="55" t="str">
        <f aca="false">IF(C614="","",IFERROR(INDEX('DANH MỤC'!$B$5:$B$200,MATCH(C614,'DANH MỤC'!$A$5:$A$200,0)),"⚠ Mã chưa có trong DANH MỤC"))</f>
        <v/>
      </c>
      <c r="H614" s="52"/>
      <c r="I614" s="52"/>
    </row>
    <row r="615" customFormat="false" ht="15" hidden="false" customHeight="false" outlineLevel="0" collapsed="false">
      <c r="A615" s="50"/>
      <c r="B615" s="51" t="str">
        <f aca="false">IF(A615="","",MONTH(A615))</f>
        <v/>
      </c>
      <c r="C615" s="52"/>
      <c r="D615" s="52"/>
      <c r="E615" s="52"/>
      <c r="F615" s="52"/>
      <c r="G615" s="55" t="str">
        <f aca="false">IF(C615="","",IFERROR(INDEX('DANH MỤC'!$B$5:$B$200,MATCH(C615,'DANH MỤC'!$A$5:$A$200,0)),"⚠ Mã chưa có trong DANH MỤC"))</f>
        <v/>
      </c>
      <c r="H615" s="52"/>
      <c r="I615" s="52"/>
    </row>
    <row r="616" customFormat="false" ht="15" hidden="false" customHeight="false" outlineLevel="0" collapsed="false">
      <c r="A616" s="50"/>
      <c r="B616" s="51" t="str">
        <f aca="false">IF(A616="","",MONTH(A616))</f>
        <v/>
      </c>
      <c r="C616" s="52"/>
      <c r="D616" s="52"/>
      <c r="E616" s="52"/>
      <c r="F616" s="52"/>
      <c r="G616" s="55" t="str">
        <f aca="false">IF(C616="","",IFERROR(INDEX('DANH MỤC'!$B$5:$B$200,MATCH(C616,'DANH MỤC'!$A$5:$A$200,0)),"⚠ Mã chưa có trong DANH MỤC"))</f>
        <v/>
      </c>
      <c r="H616" s="52"/>
      <c r="I616" s="52"/>
    </row>
    <row r="617" customFormat="false" ht="15" hidden="false" customHeight="false" outlineLevel="0" collapsed="false">
      <c r="A617" s="50"/>
      <c r="B617" s="51" t="str">
        <f aca="false">IF(A617="","",MONTH(A617))</f>
        <v/>
      </c>
      <c r="C617" s="52"/>
      <c r="D617" s="52"/>
      <c r="E617" s="52"/>
      <c r="F617" s="52"/>
      <c r="G617" s="55" t="str">
        <f aca="false">IF(C617="","",IFERROR(INDEX('DANH MỤC'!$B$5:$B$200,MATCH(C617,'DANH MỤC'!$A$5:$A$200,0)),"⚠ Mã chưa có trong DANH MỤC"))</f>
        <v/>
      </c>
      <c r="H617" s="52"/>
      <c r="I617" s="52"/>
    </row>
    <row r="618" customFormat="false" ht="15" hidden="false" customHeight="false" outlineLevel="0" collapsed="false">
      <c r="A618" s="50"/>
      <c r="B618" s="51" t="str">
        <f aca="false">IF(A618="","",MONTH(A618))</f>
        <v/>
      </c>
      <c r="C618" s="52"/>
      <c r="D618" s="52"/>
      <c r="E618" s="52"/>
      <c r="F618" s="52"/>
      <c r="G618" s="55" t="str">
        <f aca="false">IF(C618="","",IFERROR(INDEX('DANH MỤC'!$B$5:$B$200,MATCH(C618,'DANH MỤC'!$A$5:$A$200,0)),"⚠ Mã chưa có trong DANH MỤC"))</f>
        <v/>
      </c>
      <c r="H618" s="52"/>
      <c r="I618" s="52"/>
    </row>
    <row r="619" customFormat="false" ht="15" hidden="false" customHeight="false" outlineLevel="0" collapsed="false">
      <c r="A619" s="50"/>
      <c r="B619" s="51" t="str">
        <f aca="false">IF(A619="","",MONTH(A619))</f>
        <v/>
      </c>
      <c r="C619" s="52"/>
      <c r="D619" s="52"/>
      <c r="E619" s="52"/>
      <c r="F619" s="52"/>
      <c r="G619" s="55" t="str">
        <f aca="false">IF(C619="","",IFERROR(INDEX('DANH MỤC'!$B$5:$B$200,MATCH(C619,'DANH MỤC'!$A$5:$A$200,0)),"⚠ Mã chưa có trong DANH MỤC"))</f>
        <v/>
      </c>
      <c r="H619" s="52"/>
      <c r="I619" s="52"/>
    </row>
    <row r="620" customFormat="false" ht="15" hidden="false" customHeight="false" outlineLevel="0" collapsed="false">
      <c r="A620" s="50"/>
      <c r="B620" s="51" t="str">
        <f aca="false">IF(A620="","",MONTH(A620))</f>
        <v/>
      </c>
      <c r="C620" s="52"/>
      <c r="D620" s="52"/>
      <c r="E620" s="52"/>
      <c r="F620" s="52"/>
      <c r="G620" s="55" t="str">
        <f aca="false">IF(C620="","",IFERROR(INDEX('DANH MỤC'!$B$5:$B$200,MATCH(C620,'DANH MỤC'!$A$5:$A$200,0)),"⚠ Mã chưa có trong DANH MỤC"))</f>
        <v/>
      </c>
      <c r="H620" s="52"/>
      <c r="I620" s="52"/>
    </row>
    <row r="621" customFormat="false" ht="15" hidden="false" customHeight="false" outlineLevel="0" collapsed="false">
      <c r="A621" s="50"/>
      <c r="B621" s="51" t="str">
        <f aca="false">IF(A621="","",MONTH(A621))</f>
        <v/>
      </c>
      <c r="C621" s="52"/>
      <c r="D621" s="52"/>
      <c r="E621" s="52"/>
      <c r="F621" s="52"/>
      <c r="G621" s="55" t="str">
        <f aca="false">IF(C621="","",IFERROR(INDEX('DANH MỤC'!$B$5:$B$200,MATCH(C621,'DANH MỤC'!$A$5:$A$200,0)),"⚠ Mã chưa có trong DANH MỤC"))</f>
        <v/>
      </c>
      <c r="H621" s="52"/>
      <c r="I621" s="52"/>
    </row>
    <row r="622" customFormat="false" ht="15" hidden="false" customHeight="false" outlineLevel="0" collapsed="false">
      <c r="A622" s="50"/>
      <c r="B622" s="51" t="str">
        <f aca="false">IF(A622="","",MONTH(A622))</f>
        <v/>
      </c>
      <c r="C622" s="52"/>
      <c r="D622" s="52"/>
      <c r="E622" s="52"/>
      <c r="F622" s="52"/>
      <c r="G622" s="55" t="str">
        <f aca="false">IF(C622="","",IFERROR(INDEX('DANH MỤC'!$B$5:$B$200,MATCH(C622,'DANH MỤC'!$A$5:$A$200,0)),"⚠ Mã chưa có trong DANH MỤC"))</f>
        <v/>
      </c>
      <c r="H622" s="52"/>
      <c r="I622" s="52"/>
    </row>
    <row r="623" customFormat="false" ht="15" hidden="false" customHeight="false" outlineLevel="0" collapsed="false">
      <c r="A623" s="50"/>
      <c r="B623" s="51" t="str">
        <f aca="false">IF(A623="","",MONTH(A623))</f>
        <v/>
      </c>
      <c r="C623" s="52"/>
      <c r="D623" s="52"/>
      <c r="E623" s="52"/>
      <c r="F623" s="52"/>
      <c r="G623" s="55" t="str">
        <f aca="false">IF(C623="","",IFERROR(INDEX('DANH MỤC'!$B$5:$B$200,MATCH(C623,'DANH MỤC'!$A$5:$A$200,0)),"⚠ Mã chưa có trong DANH MỤC"))</f>
        <v/>
      </c>
      <c r="H623" s="52"/>
      <c r="I623" s="52"/>
    </row>
    <row r="624" customFormat="false" ht="15" hidden="false" customHeight="false" outlineLevel="0" collapsed="false">
      <c r="A624" s="50"/>
      <c r="B624" s="51" t="str">
        <f aca="false">IF(A624="","",MONTH(A624))</f>
        <v/>
      </c>
      <c r="C624" s="52"/>
      <c r="D624" s="52"/>
      <c r="E624" s="52"/>
      <c r="F624" s="52"/>
      <c r="G624" s="55" t="str">
        <f aca="false">IF(C624="","",IFERROR(INDEX('DANH MỤC'!$B$5:$B$200,MATCH(C624,'DANH MỤC'!$A$5:$A$200,0)),"⚠ Mã chưa có trong DANH MỤC"))</f>
        <v/>
      </c>
      <c r="H624" s="52"/>
      <c r="I624" s="52"/>
    </row>
    <row r="625" customFormat="false" ht="15" hidden="false" customHeight="false" outlineLevel="0" collapsed="false">
      <c r="A625" s="50"/>
      <c r="B625" s="51" t="str">
        <f aca="false">IF(A625="","",MONTH(A625))</f>
        <v/>
      </c>
      <c r="C625" s="52"/>
      <c r="D625" s="52"/>
      <c r="E625" s="52"/>
      <c r="F625" s="52"/>
      <c r="G625" s="55" t="str">
        <f aca="false">IF(C625="","",IFERROR(INDEX('DANH MỤC'!$B$5:$B$200,MATCH(C625,'DANH MỤC'!$A$5:$A$200,0)),"⚠ Mã chưa có trong DANH MỤC"))</f>
        <v/>
      </c>
      <c r="H625" s="52"/>
      <c r="I625" s="52"/>
    </row>
    <row r="626" customFormat="false" ht="15" hidden="false" customHeight="false" outlineLevel="0" collapsed="false">
      <c r="A626" s="50"/>
      <c r="B626" s="51" t="str">
        <f aca="false">IF(A626="","",MONTH(A626))</f>
        <v/>
      </c>
      <c r="C626" s="52"/>
      <c r="D626" s="52"/>
      <c r="E626" s="52"/>
      <c r="F626" s="52"/>
      <c r="G626" s="55" t="str">
        <f aca="false">IF(C626="","",IFERROR(INDEX('DANH MỤC'!$B$5:$B$200,MATCH(C626,'DANH MỤC'!$A$5:$A$200,0)),"⚠ Mã chưa có trong DANH MỤC"))</f>
        <v/>
      </c>
      <c r="H626" s="52"/>
      <c r="I626" s="52"/>
    </row>
    <row r="627" customFormat="false" ht="15" hidden="false" customHeight="false" outlineLevel="0" collapsed="false">
      <c r="A627" s="50"/>
      <c r="B627" s="51" t="str">
        <f aca="false">IF(A627="","",MONTH(A627))</f>
        <v/>
      </c>
      <c r="C627" s="52"/>
      <c r="D627" s="52"/>
      <c r="E627" s="52"/>
      <c r="F627" s="52"/>
      <c r="G627" s="55" t="str">
        <f aca="false">IF(C627="","",IFERROR(INDEX('DANH MỤC'!$B$5:$B$200,MATCH(C627,'DANH MỤC'!$A$5:$A$200,0)),"⚠ Mã chưa có trong DANH MỤC"))</f>
        <v/>
      </c>
      <c r="H627" s="52"/>
      <c r="I627" s="52"/>
    </row>
    <row r="628" customFormat="false" ht="15" hidden="false" customHeight="false" outlineLevel="0" collapsed="false">
      <c r="A628" s="50"/>
      <c r="B628" s="51" t="str">
        <f aca="false">IF(A628="","",MONTH(A628))</f>
        <v/>
      </c>
      <c r="C628" s="52"/>
      <c r="D628" s="52"/>
      <c r="E628" s="52"/>
      <c r="F628" s="52"/>
      <c r="G628" s="55" t="str">
        <f aca="false">IF(C628="","",IFERROR(INDEX('DANH MỤC'!$B$5:$B$200,MATCH(C628,'DANH MỤC'!$A$5:$A$200,0)),"⚠ Mã chưa có trong DANH MỤC"))</f>
        <v/>
      </c>
      <c r="H628" s="52"/>
      <c r="I628" s="52"/>
    </row>
    <row r="629" customFormat="false" ht="15" hidden="false" customHeight="false" outlineLevel="0" collapsed="false">
      <c r="A629" s="50"/>
      <c r="B629" s="51" t="str">
        <f aca="false">IF(A629="","",MONTH(A629))</f>
        <v/>
      </c>
      <c r="C629" s="52"/>
      <c r="D629" s="52"/>
      <c r="E629" s="52"/>
      <c r="F629" s="52"/>
      <c r="G629" s="55" t="str">
        <f aca="false">IF(C629="","",IFERROR(INDEX('DANH MỤC'!$B$5:$B$200,MATCH(C629,'DANH MỤC'!$A$5:$A$200,0)),"⚠ Mã chưa có trong DANH MỤC"))</f>
        <v/>
      </c>
      <c r="H629" s="52"/>
      <c r="I629" s="52"/>
    </row>
    <row r="630" customFormat="false" ht="15" hidden="false" customHeight="false" outlineLevel="0" collapsed="false">
      <c r="A630" s="50"/>
      <c r="B630" s="51" t="str">
        <f aca="false">IF(A630="","",MONTH(A630))</f>
        <v/>
      </c>
      <c r="C630" s="52"/>
      <c r="D630" s="52"/>
      <c r="E630" s="52"/>
      <c r="F630" s="52"/>
      <c r="G630" s="55" t="str">
        <f aca="false">IF(C630="","",IFERROR(INDEX('DANH MỤC'!$B$5:$B$200,MATCH(C630,'DANH MỤC'!$A$5:$A$200,0)),"⚠ Mã chưa có trong DANH MỤC"))</f>
        <v/>
      </c>
      <c r="H630" s="52"/>
      <c r="I630" s="52"/>
    </row>
    <row r="631" customFormat="false" ht="15" hidden="false" customHeight="false" outlineLevel="0" collapsed="false">
      <c r="A631" s="50"/>
      <c r="B631" s="51" t="str">
        <f aca="false">IF(A631="","",MONTH(A631))</f>
        <v/>
      </c>
      <c r="C631" s="52"/>
      <c r="D631" s="52"/>
      <c r="E631" s="52"/>
      <c r="F631" s="52"/>
      <c r="G631" s="55" t="str">
        <f aca="false">IF(C631="","",IFERROR(INDEX('DANH MỤC'!$B$5:$B$200,MATCH(C631,'DANH MỤC'!$A$5:$A$200,0)),"⚠ Mã chưa có trong DANH MỤC"))</f>
        <v/>
      </c>
      <c r="H631" s="52"/>
      <c r="I631" s="52"/>
    </row>
    <row r="632" customFormat="false" ht="15" hidden="false" customHeight="false" outlineLevel="0" collapsed="false">
      <c r="A632" s="50"/>
      <c r="B632" s="51" t="str">
        <f aca="false">IF(A632="","",MONTH(A632))</f>
        <v/>
      </c>
      <c r="C632" s="52"/>
      <c r="D632" s="52"/>
      <c r="E632" s="52"/>
      <c r="F632" s="52"/>
      <c r="G632" s="55" t="str">
        <f aca="false">IF(C632="","",IFERROR(INDEX('DANH MỤC'!$B$5:$B$200,MATCH(C632,'DANH MỤC'!$A$5:$A$200,0)),"⚠ Mã chưa có trong DANH MỤC"))</f>
        <v/>
      </c>
      <c r="H632" s="52"/>
      <c r="I632" s="52"/>
    </row>
    <row r="633" customFormat="false" ht="15" hidden="false" customHeight="false" outlineLevel="0" collapsed="false">
      <c r="A633" s="50"/>
      <c r="B633" s="51" t="str">
        <f aca="false">IF(A633="","",MONTH(A633))</f>
        <v/>
      </c>
      <c r="C633" s="52"/>
      <c r="D633" s="52"/>
      <c r="E633" s="52"/>
      <c r="F633" s="52"/>
      <c r="G633" s="55" t="str">
        <f aca="false">IF(C633="","",IFERROR(INDEX('DANH MỤC'!$B$5:$B$200,MATCH(C633,'DANH MỤC'!$A$5:$A$200,0)),"⚠ Mã chưa có trong DANH MỤC"))</f>
        <v/>
      </c>
      <c r="H633" s="52"/>
      <c r="I633" s="52"/>
    </row>
    <row r="634" customFormat="false" ht="15" hidden="false" customHeight="false" outlineLevel="0" collapsed="false">
      <c r="A634" s="50"/>
      <c r="B634" s="51" t="str">
        <f aca="false">IF(A634="","",MONTH(A634))</f>
        <v/>
      </c>
      <c r="C634" s="52"/>
      <c r="D634" s="52"/>
      <c r="E634" s="52"/>
      <c r="F634" s="52"/>
      <c r="G634" s="55" t="str">
        <f aca="false">IF(C634="","",IFERROR(INDEX('DANH MỤC'!$B$5:$B$200,MATCH(C634,'DANH MỤC'!$A$5:$A$200,0)),"⚠ Mã chưa có trong DANH MỤC"))</f>
        <v/>
      </c>
      <c r="H634" s="52"/>
      <c r="I634" s="52"/>
    </row>
    <row r="635" customFormat="false" ht="15" hidden="false" customHeight="false" outlineLevel="0" collapsed="false">
      <c r="A635" s="50"/>
      <c r="B635" s="51" t="str">
        <f aca="false">IF(A635="","",MONTH(A635))</f>
        <v/>
      </c>
      <c r="C635" s="52"/>
      <c r="D635" s="52"/>
      <c r="E635" s="52"/>
      <c r="F635" s="52"/>
      <c r="G635" s="55" t="str">
        <f aca="false">IF(C635="","",IFERROR(INDEX('DANH MỤC'!$B$5:$B$200,MATCH(C635,'DANH MỤC'!$A$5:$A$200,0)),"⚠ Mã chưa có trong DANH MỤC"))</f>
        <v/>
      </c>
      <c r="H635" s="52"/>
      <c r="I635" s="52"/>
    </row>
    <row r="636" customFormat="false" ht="15" hidden="false" customHeight="false" outlineLevel="0" collapsed="false">
      <c r="A636" s="50"/>
      <c r="B636" s="51" t="str">
        <f aca="false">IF(A636="","",MONTH(A636))</f>
        <v/>
      </c>
      <c r="C636" s="52"/>
      <c r="D636" s="52"/>
      <c r="E636" s="52"/>
      <c r="F636" s="52"/>
      <c r="G636" s="55" t="str">
        <f aca="false">IF(C636="","",IFERROR(INDEX('DANH MỤC'!$B$5:$B$200,MATCH(C636,'DANH MỤC'!$A$5:$A$200,0)),"⚠ Mã chưa có trong DANH MỤC"))</f>
        <v/>
      </c>
      <c r="H636" s="52"/>
      <c r="I636" s="52"/>
    </row>
    <row r="637" customFormat="false" ht="15" hidden="false" customHeight="false" outlineLevel="0" collapsed="false">
      <c r="A637" s="50"/>
      <c r="B637" s="51" t="str">
        <f aca="false">IF(A637="","",MONTH(A637))</f>
        <v/>
      </c>
      <c r="C637" s="52"/>
      <c r="D637" s="52"/>
      <c r="E637" s="52"/>
      <c r="F637" s="52"/>
      <c r="G637" s="55" t="str">
        <f aca="false">IF(C637="","",IFERROR(INDEX('DANH MỤC'!$B$5:$B$200,MATCH(C637,'DANH MỤC'!$A$5:$A$200,0)),"⚠ Mã chưa có trong DANH MỤC"))</f>
        <v/>
      </c>
      <c r="H637" s="52"/>
      <c r="I637" s="52"/>
    </row>
    <row r="638" customFormat="false" ht="15" hidden="false" customHeight="false" outlineLevel="0" collapsed="false">
      <c r="A638" s="50"/>
      <c r="B638" s="51" t="str">
        <f aca="false">IF(A638="","",MONTH(A638))</f>
        <v/>
      </c>
      <c r="C638" s="52"/>
      <c r="D638" s="52"/>
      <c r="E638" s="52"/>
      <c r="F638" s="52"/>
      <c r="G638" s="55" t="str">
        <f aca="false">IF(C638="","",IFERROR(INDEX('DANH MỤC'!$B$5:$B$200,MATCH(C638,'DANH MỤC'!$A$5:$A$200,0)),"⚠ Mã chưa có trong DANH MỤC"))</f>
        <v/>
      </c>
      <c r="H638" s="52"/>
      <c r="I638" s="52"/>
    </row>
    <row r="639" customFormat="false" ht="15" hidden="false" customHeight="false" outlineLevel="0" collapsed="false">
      <c r="A639" s="50"/>
      <c r="B639" s="51" t="str">
        <f aca="false">IF(A639="","",MONTH(A639))</f>
        <v/>
      </c>
      <c r="C639" s="52"/>
      <c r="D639" s="52"/>
      <c r="E639" s="52"/>
      <c r="F639" s="52"/>
      <c r="G639" s="55" t="str">
        <f aca="false">IF(C639="","",IFERROR(INDEX('DANH MỤC'!$B$5:$B$200,MATCH(C639,'DANH MỤC'!$A$5:$A$200,0)),"⚠ Mã chưa có trong DANH MỤC"))</f>
        <v/>
      </c>
      <c r="H639" s="52"/>
      <c r="I639" s="52"/>
    </row>
    <row r="640" customFormat="false" ht="15" hidden="false" customHeight="false" outlineLevel="0" collapsed="false">
      <c r="A640" s="50"/>
      <c r="B640" s="51" t="str">
        <f aca="false">IF(A640="","",MONTH(A640))</f>
        <v/>
      </c>
      <c r="C640" s="52"/>
      <c r="D640" s="52"/>
      <c r="E640" s="52"/>
      <c r="F640" s="52"/>
      <c r="G640" s="55" t="str">
        <f aca="false">IF(C640="","",IFERROR(INDEX('DANH MỤC'!$B$5:$B$200,MATCH(C640,'DANH MỤC'!$A$5:$A$200,0)),"⚠ Mã chưa có trong DANH MỤC"))</f>
        <v/>
      </c>
      <c r="H640" s="52"/>
      <c r="I640" s="52"/>
    </row>
    <row r="641" customFormat="false" ht="15" hidden="false" customHeight="false" outlineLevel="0" collapsed="false">
      <c r="A641" s="50"/>
      <c r="B641" s="51" t="str">
        <f aca="false">IF(A641="","",MONTH(A641))</f>
        <v/>
      </c>
      <c r="C641" s="52"/>
      <c r="D641" s="52"/>
      <c r="E641" s="52"/>
      <c r="F641" s="52"/>
      <c r="G641" s="55" t="str">
        <f aca="false">IF(C641="","",IFERROR(INDEX('DANH MỤC'!$B$5:$B$200,MATCH(C641,'DANH MỤC'!$A$5:$A$200,0)),"⚠ Mã chưa có trong DANH MỤC"))</f>
        <v/>
      </c>
      <c r="H641" s="52"/>
      <c r="I641" s="52"/>
    </row>
    <row r="642" customFormat="false" ht="15" hidden="false" customHeight="false" outlineLevel="0" collapsed="false">
      <c r="A642" s="50"/>
      <c r="B642" s="51" t="str">
        <f aca="false">IF(A642="","",MONTH(A642))</f>
        <v/>
      </c>
      <c r="C642" s="52"/>
      <c r="D642" s="52"/>
      <c r="E642" s="52"/>
      <c r="F642" s="52"/>
      <c r="G642" s="55" t="str">
        <f aca="false">IF(C642="","",IFERROR(INDEX('DANH MỤC'!$B$5:$B$200,MATCH(C642,'DANH MỤC'!$A$5:$A$200,0)),"⚠ Mã chưa có trong DANH MỤC"))</f>
        <v/>
      </c>
      <c r="H642" s="52"/>
      <c r="I642" s="52"/>
    </row>
    <row r="643" customFormat="false" ht="15" hidden="false" customHeight="false" outlineLevel="0" collapsed="false">
      <c r="A643" s="50"/>
      <c r="B643" s="51" t="str">
        <f aca="false">IF(A643="","",MONTH(A643))</f>
        <v/>
      </c>
      <c r="C643" s="52"/>
      <c r="D643" s="52"/>
      <c r="E643" s="52"/>
      <c r="F643" s="52"/>
      <c r="G643" s="55" t="str">
        <f aca="false">IF(C643="","",IFERROR(INDEX('DANH MỤC'!$B$5:$B$200,MATCH(C643,'DANH MỤC'!$A$5:$A$200,0)),"⚠ Mã chưa có trong DANH MỤC"))</f>
        <v/>
      </c>
      <c r="H643" s="52"/>
      <c r="I643" s="52"/>
    </row>
    <row r="644" customFormat="false" ht="15" hidden="false" customHeight="false" outlineLevel="0" collapsed="false">
      <c r="A644" s="50"/>
      <c r="B644" s="51" t="str">
        <f aca="false">IF(A644="","",MONTH(A644))</f>
        <v/>
      </c>
      <c r="C644" s="52"/>
      <c r="D644" s="52"/>
      <c r="E644" s="52"/>
      <c r="F644" s="52"/>
      <c r="G644" s="55" t="str">
        <f aca="false">IF(C644="","",IFERROR(INDEX('DANH MỤC'!$B$5:$B$200,MATCH(C644,'DANH MỤC'!$A$5:$A$200,0)),"⚠ Mã chưa có trong DANH MỤC"))</f>
        <v/>
      </c>
      <c r="H644" s="52"/>
      <c r="I644" s="52"/>
    </row>
    <row r="645" customFormat="false" ht="15" hidden="false" customHeight="false" outlineLevel="0" collapsed="false">
      <c r="A645" s="50"/>
      <c r="B645" s="51" t="str">
        <f aca="false">IF(A645="","",MONTH(A645))</f>
        <v/>
      </c>
      <c r="C645" s="52"/>
      <c r="D645" s="52"/>
      <c r="E645" s="52"/>
      <c r="F645" s="52"/>
      <c r="G645" s="55" t="str">
        <f aca="false">IF(C645="","",IFERROR(INDEX('DANH MỤC'!$B$5:$B$200,MATCH(C645,'DANH MỤC'!$A$5:$A$200,0)),"⚠ Mã chưa có trong DANH MỤC"))</f>
        <v/>
      </c>
      <c r="H645" s="52"/>
      <c r="I645" s="52"/>
    </row>
    <row r="646" customFormat="false" ht="15" hidden="false" customHeight="false" outlineLevel="0" collapsed="false">
      <c r="A646" s="50"/>
      <c r="B646" s="51" t="str">
        <f aca="false">IF(A646="","",MONTH(A646))</f>
        <v/>
      </c>
      <c r="C646" s="52"/>
      <c r="D646" s="52"/>
      <c r="E646" s="52"/>
      <c r="F646" s="52"/>
      <c r="G646" s="55" t="str">
        <f aca="false">IF(C646="","",IFERROR(INDEX('DANH MỤC'!$B$5:$B$200,MATCH(C646,'DANH MỤC'!$A$5:$A$200,0)),"⚠ Mã chưa có trong DANH MỤC"))</f>
        <v/>
      </c>
      <c r="H646" s="52"/>
      <c r="I646" s="52"/>
    </row>
    <row r="647" customFormat="false" ht="15" hidden="false" customHeight="false" outlineLevel="0" collapsed="false">
      <c r="A647" s="50"/>
      <c r="B647" s="51" t="str">
        <f aca="false">IF(A647="","",MONTH(A647))</f>
        <v/>
      </c>
      <c r="C647" s="52"/>
      <c r="D647" s="52"/>
      <c r="E647" s="52"/>
      <c r="F647" s="52"/>
      <c r="G647" s="55" t="str">
        <f aca="false">IF(C647="","",IFERROR(INDEX('DANH MỤC'!$B$5:$B$200,MATCH(C647,'DANH MỤC'!$A$5:$A$200,0)),"⚠ Mã chưa có trong DANH MỤC"))</f>
        <v/>
      </c>
      <c r="H647" s="52"/>
      <c r="I647" s="52"/>
    </row>
    <row r="648" customFormat="false" ht="15" hidden="false" customHeight="false" outlineLevel="0" collapsed="false">
      <c r="A648" s="50"/>
      <c r="B648" s="51" t="str">
        <f aca="false">IF(A648="","",MONTH(A648))</f>
        <v/>
      </c>
      <c r="C648" s="52"/>
      <c r="D648" s="52"/>
      <c r="E648" s="52"/>
      <c r="F648" s="52"/>
      <c r="G648" s="55" t="str">
        <f aca="false">IF(C648="","",IFERROR(INDEX('DANH MỤC'!$B$5:$B$200,MATCH(C648,'DANH MỤC'!$A$5:$A$200,0)),"⚠ Mã chưa có trong DANH MỤC"))</f>
        <v/>
      </c>
      <c r="H648" s="52"/>
      <c r="I648" s="52"/>
    </row>
    <row r="649" customFormat="false" ht="15" hidden="false" customHeight="false" outlineLevel="0" collapsed="false">
      <c r="A649" s="50"/>
      <c r="B649" s="51" t="str">
        <f aca="false">IF(A649="","",MONTH(A649))</f>
        <v/>
      </c>
      <c r="C649" s="52"/>
      <c r="D649" s="52"/>
      <c r="E649" s="52"/>
      <c r="F649" s="52"/>
      <c r="G649" s="55" t="str">
        <f aca="false">IF(C649="","",IFERROR(INDEX('DANH MỤC'!$B$5:$B$200,MATCH(C649,'DANH MỤC'!$A$5:$A$200,0)),"⚠ Mã chưa có trong DANH MỤC"))</f>
        <v/>
      </c>
      <c r="H649" s="52"/>
      <c r="I649" s="52"/>
    </row>
    <row r="650" customFormat="false" ht="15" hidden="false" customHeight="false" outlineLevel="0" collapsed="false">
      <c r="A650" s="50"/>
      <c r="B650" s="51" t="str">
        <f aca="false">IF(A650="","",MONTH(A650))</f>
        <v/>
      </c>
      <c r="C650" s="52"/>
      <c r="D650" s="52"/>
      <c r="E650" s="52"/>
      <c r="F650" s="52"/>
      <c r="G650" s="55" t="str">
        <f aca="false">IF(C650="","",IFERROR(INDEX('DANH MỤC'!$B$5:$B$200,MATCH(C650,'DANH MỤC'!$A$5:$A$200,0)),"⚠ Mã chưa có trong DANH MỤC"))</f>
        <v/>
      </c>
      <c r="H650" s="52"/>
      <c r="I650" s="52"/>
    </row>
    <row r="651" customFormat="false" ht="15" hidden="false" customHeight="false" outlineLevel="0" collapsed="false">
      <c r="A651" s="50"/>
      <c r="B651" s="51" t="str">
        <f aca="false">IF(A651="","",MONTH(A651))</f>
        <v/>
      </c>
      <c r="C651" s="52"/>
      <c r="D651" s="52"/>
      <c r="E651" s="52"/>
      <c r="F651" s="52"/>
      <c r="G651" s="55" t="str">
        <f aca="false">IF(C651="","",IFERROR(INDEX('DANH MỤC'!$B$5:$B$200,MATCH(C651,'DANH MỤC'!$A$5:$A$200,0)),"⚠ Mã chưa có trong DANH MỤC"))</f>
        <v/>
      </c>
      <c r="H651" s="52"/>
      <c r="I651" s="52"/>
    </row>
    <row r="652" customFormat="false" ht="15" hidden="false" customHeight="false" outlineLevel="0" collapsed="false">
      <c r="A652" s="50"/>
      <c r="B652" s="51" t="str">
        <f aca="false">IF(A652="","",MONTH(A652))</f>
        <v/>
      </c>
      <c r="C652" s="52"/>
      <c r="D652" s="52"/>
      <c r="E652" s="52"/>
      <c r="F652" s="52"/>
      <c r="G652" s="55" t="str">
        <f aca="false">IF(C652="","",IFERROR(INDEX('DANH MỤC'!$B$5:$B$200,MATCH(C652,'DANH MỤC'!$A$5:$A$200,0)),"⚠ Mã chưa có trong DANH MỤC"))</f>
        <v/>
      </c>
      <c r="H652" s="52"/>
      <c r="I652" s="52"/>
    </row>
    <row r="653" customFormat="false" ht="15" hidden="false" customHeight="false" outlineLevel="0" collapsed="false">
      <c r="A653" s="50"/>
      <c r="B653" s="51" t="str">
        <f aca="false">IF(A653="","",MONTH(A653))</f>
        <v/>
      </c>
      <c r="C653" s="52"/>
      <c r="D653" s="52"/>
      <c r="E653" s="52"/>
      <c r="F653" s="52"/>
      <c r="G653" s="55" t="str">
        <f aca="false">IF(C653="","",IFERROR(INDEX('DANH MỤC'!$B$5:$B$200,MATCH(C653,'DANH MỤC'!$A$5:$A$200,0)),"⚠ Mã chưa có trong DANH MỤC"))</f>
        <v/>
      </c>
      <c r="H653" s="52"/>
      <c r="I653" s="52"/>
    </row>
    <row r="654" customFormat="false" ht="15" hidden="false" customHeight="false" outlineLevel="0" collapsed="false">
      <c r="A654" s="50"/>
      <c r="B654" s="51" t="str">
        <f aca="false">IF(A654="","",MONTH(A654))</f>
        <v/>
      </c>
      <c r="C654" s="52"/>
      <c r="D654" s="52"/>
      <c r="E654" s="52"/>
      <c r="F654" s="52"/>
      <c r="G654" s="55" t="str">
        <f aca="false">IF(C654="","",IFERROR(INDEX('DANH MỤC'!$B$5:$B$200,MATCH(C654,'DANH MỤC'!$A$5:$A$200,0)),"⚠ Mã chưa có trong DANH MỤC"))</f>
        <v/>
      </c>
      <c r="H654" s="52"/>
      <c r="I654" s="52"/>
    </row>
    <row r="655" customFormat="false" ht="15" hidden="false" customHeight="false" outlineLevel="0" collapsed="false">
      <c r="A655" s="50"/>
      <c r="B655" s="51" t="str">
        <f aca="false">IF(A655="","",MONTH(A655))</f>
        <v/>
      </c>
      <c r="C655" s="52"/>
      <c r="D655" s="52"/>
      <c r="E655" s="52"/>
      <c r="F655" s="52"/>
      <c r="G655" s="55" t="str">
        <f aca="false">IF(C655="","",IFERROR(INDEX('DANH MỤC'!$B$5:$B$200,MATCH(C655,'DANH MỤC'!$A$5:$A$200,0)),"⚠ Mã chưa có trong DANH MỤC"))</f>
        <v/>
      </c>
      <c r="H655" s="52"/>
      <c r="I655" s="52"/>
    </row>
    <row r="656" customFormat="false" ht="15" hidden="false" customHeight="false" outlineLevel="0" collapsed="false">
      <c r="A656" s="50"/>
      <c r="B656" s="51" t="str">
        <f aca="false">IF(A656="","",MONTH(A656))</f>
        <v/>
      </c>
      <c r="C656" s="52"/>
      <c r="D656" s="52"/>
      <c r="E656" s="52"/>
      <c r="F656" s="52"/>
      <c r="G656" s="55" t="str">
        <f aca="false">IF(C656="","",IFERROR(INDEX('DANH MỤC'!$B$5:$B$200,MATCH(C656,'DANH MỤC'!$A$5:$A$200,0)),"⚠ Mã chưa có trong DANH MỤC"))</f>
        <v/>
      </c>
      <c r="H656" s="52"/>
      <c r="I656" s="52"/>
    </row>
    <row r="657" customFormat="false" ht="15" hidden="false" customHeight="false" outlineLevel="0" collapsed="false">
      <c r="A657" s="50"/>
      <c r="B657" s="51" t="str">
        <f aca="false">IF(A657="","",MONTH(A657))</f>
        <v/>
      </c>
      <c r="C657" s="52"/>
      <c r="D657" s="52"/>
      <c r="E657" s="52"/>
      <c r="F657" s="52"/>
      <c r="G657" s="55" t="str">
        <f aca="false">IF(C657="","",IFERROR(INDEX('DANH MỤC'!$B$5:$B$200,MATCH(C657,'DANH MỤC'!$A$5:$A$200,0)),"⚠ Mã chưa có trong DANH MỤC"))</f>
        <v/>
      </c>
      <c r="H657" s="52"/>
      <c r="I657" s="52"/>
    </row>
    <row r="658" customFormat="false" ht="15" hidden="false" customHeight="false" outlineLevel="0" collapsed="false">
      <c r="A658" s="50"/>
      <c r="B658" s="51" t="str">
        <f aca="false">IF(A658="","",MONTH(A658))</f>
        <v/>
      </c>
      <c r="C658" s="52"/>
      <c r="D658" s="52"/>
      <c r="E658" s="52"/>
      <c r="F658" s="52"/>
      <c r="G658" s="55" t="str">
        <f aca="false">IF(C658="","",IFERROR(INDEX('DANH MỤC'!$B$5:$B$200,MATCH(C658,'DANH MỤC'!$A$5:$A$200,0)),"⚠ Mã chưa có trong DANH MỤC"))</f>
        <v/>
      </c>
      <c r="H658" s="52"/>
      <c r="I658" s="52"/>
    </row>
    <row r="659" customFormat="false" ht="15" hidden="false" customHeight="false" outlineLevel="0" collapsed="false">
      <c r="A659" s="50"/>
      <c r="B659" s="51" t="str">
        <f aca="false">IF(A659="","",MONTH(A659))</f>
        <v/>
      </c>
      <c r="C659" s="52"/>
      <c r="D659" s="52"/>
      <c r="E659" s="52"/>
      <c r="F659" s="52"/>
      <c r="G659" s="55" t="str">
        <f aca="false">IF(C659="","",IFERROR(INDEX('DANH MỤC'!$B$5:$B$200,MATCH(C659,'DANH MỤC'!$A$5:$A$200,0)),"⚠ Mã chưa có trong DANH MỤC"))</f>
        <v/>
      </c>
      <c r="H659" s="52"/>
      <c r="I659" s="52"/>
    </row>
    <row r="660" customFormat="false" ht="15" hidden="false" customHeight="false" outlineLevel="0" collapsed="false">
      <c r="A660" s="50"/>
      <c r="B660" s="51" t="str">
        <f aca="false">IF(A660="","",MONTH(A660))</f>
        <v/>
      </c>
      <c r="C660" s="52"/>
      <c r="D660" s="52"/>
      <c r="E660" s="52"/>
      <c r="F660" s="52"/>
      <c r="G660" s="55" t="str">
        <f aca="false">IF(C660="","",IFERROR(INDEX('DANH MỤC'!$B$5:$B$200,MATCH(C660,'DANH MỤC'!$A$5:$A$200,0)),"⚠ Mã chưa có trong DANH MỤC"))</f>
        <v/>
      </c>
      <c r="H660" s="52"/>
      <c r="I660" s="52"/>
    </row>
    <row r="661" customFormat="false" ht="15" hidden="false" customHeight="false" outlineLevel="0" collapsed="false">
      <c r="A661" s="50"/>
      <c r="B661" s="51" t="str">
        <f aca="false">IF(A661="","",MONTH(A661))</f>
        <v/>
      </c>
      <c r="C661" s="52"/>
      <c r="D661" s="52"/>
      <c r="E661" s="52"/>
      <c r="F661" s="52"/>
      <c r="G661" s="55" t="str">
        <f aca="false">IF(C661="","",IFERROR(INDEX('DANH MỤC'!$B$5:$B$200,MATCH(C661,'DANH MỤC'!$A$5:$A$200,0)),"⚠ Mã chưa có trong DANH MỤC"))</f>
        <v/>
      </c>
      <c r="H661" s="52"/>
      <c r="I661" s="52"/>
    </row>
    <row r="662" customFormat="false" ht="15" hidden="false" customHeight="false" outlineLevel="0" collapsed="false">
      <c r="A662" s="50"/>
      <c r="B662" s="51" t="str">
        <f aca="false">IF(A662="","",MONTH(A662))</f>
        <v/>
      </c>
      <c r="C662" s="52"/>
      <c r="D662" s="52"/>
      <c r="E662" s="52"/>
      <c r="F662" s="52"/>
      <c r="G662" s="55" t="str">
        <f aca="false">IF(C662="","",IFERROR(INDEX('DANH MỤC'!$B$5:$B$200,MATCH(C662,'DANH MỤC'!$A$5:$A$200,0)),"⚠ Mã chưa có trong DANH MỤC"))</f>
        <v/>
      </c>
      <c r="H662" s="52"/>
      <c r="I662" s="52"/>
    </row>
    <row r="663" customFormat="false" ht="15" hidden="false" customHeight="false" outlineLevel="0" collapsed="false">
      <c r="A663" s="50"/>
      <c r="B663" s="51" t="str">
        <f aca="false">IF(A663="","",MONTH(A663))</f>
        <v/>
      </c>
      <c r="C663" s="52"/>
      <c r="D663" s="52"/>
      <c r="E663" s="52"/>
      <c r="F663" s="52"/>
      <c r="G663" s="55" t="str">
        <f aca="false">IF(C663="","",IFERROR(INDEX('DANH MỤC'!$B$5:$B$200,MATCH(C663,'DANH MỤC'!$A$5:$A$200,0)),"⚠ Mã chưa có trong DANH MỤC"))</f>
        <v/>
      </c>
      <c r="H663" s="52"/>
      <c r="I663" s="52"/>
    </row>
    <row r="664" customFormat="false" ht="15" hidden="false" customHeight="false" outlineLevel="0" collapsed="false">
      <c r="A664" s="50"/>
      <c r="B664" s="51" t="str">
        <f aca="false">IF(A664="","",MONTH(A664))</f>
        <v/>
      </c>
      <c r="C664" s="52"/>
      <c r="D664" s="52"/>
      <c r="E664" s="52"/>
      <c r="F664" s="52"/>
      <c r="G664" s="55" t="str">
        <f aca="false">IF(C664="","",IFERROR(INDEX('DANH MỤC'!$B$5:$B$200,MATCH(C664,'DANH MỤC'!$A$5:$A$200,0)),"⚠ Mã chưa có trong DANH MỤC"))</f>
        <v/>
      </c>
      <c r="H664" s="52"/>
      <c r="I664" s="52"/>
    </row>
    <row r="665" customFormat="false" ht="15" hidden="false" customHeight="false" outlineLevel="0" collapsed="false">
      <c r="A665" s="50"/>
      <c r="B665" s="51" t="str">
        <f aca="false">IF(A665="","",MONTH(A665))</f>
        <v/>
      </c>
      <c r="C665" s="52"/>
      <c r="D665" s="52"/>
      <c r="E665" s="52"/>
      <c r="F665" s="52"/>
      <c r="G665" s="55" t="str">
        <f aca="false">IF(C665="","",IFERROR(INDEX('DANH MỤC'!$B$5:$B$200,MATCH(C665,'DANH MỤC'!$A$5:$A$200,0)),"⚠ Mã chưa có trong DANH MỤC"))</f>
        <v/>
      </c>
      <c r="H665" s="52"/>
      <c r="I665" s="52"/>
    </row>
    <row r="666" customFormat="false" ht="15" hidden="false" customHeight="false" outlineLevel="0" collapsed="false">
      <c r="A666" s="50"/>
      <c r="B666" s="51" t="str">
        <f aca="false">IF(A666="","",MONTH(A666))</f>
        <v/>
      </c>
      <c r="C666" s="52"/>
      <c r="D666" s="52"/>
      <c r="E666" s="52"/>
      <c r="F666" s="52"/>
      <c r="G666" s="55" t="str">
        <f aca="false">IF(C666="","",IFERROR(INDEX('DANH MỤC'!$B$5:$B$200,MATCH(C666,'DANH MỤC'!$A$5:$A$200,0)),"⚠ Mã chưa có trong DANH MỤC"))</f>
        <v/>
      </c>
      <c r="H666" s="52"/>
      <c r="I666" s="52"/>
    </row>
    <row r="667" customFormat="false" ht="15" hidden="false" customHeight="false" outlineLevel="0" collapsed="false">
      <c r="A667" s="50"/>
      <c r="B667" s="51" t="str">
        <f aca="false">IF(A667="","",MONTH(A667))</f>
        <v/>
      </c>
      <c r="C667" s="52"/>
      <c r="D667" s="52"/>
      <c r="E667" s="52"/>
      <c r="F667" s="52"/>
      <c r="G667" s="55" t="str">
        <f aca="false">IF(C667="","",IFERROR(INDEX('DANH MỤC'!$B$5:$B$200,MATCH(C667,'DANH MỤC'!$A$5:$A$200,0)),"⚠ Mã chưa có trong DANH MỤC"))</f>
        <v/>
      </c>
      <c r="H667" s="52"/>
      <c r="I667" s="52"/>
    </row>
    <row r="668" customFormat="false" ht="15" hidden="false" customHeight="false" outlineLevel="0" collapsed="false">
      <c r="A668" s="50"/>
      <c r="B668" s="51" t="str">
        <f aca="false">IF(A668="","",MONTH(A668))</f>
        <v/>
      </c>
      <c r="C668" s="52"/>
      <c r="D668" s="52"/>
      <c r="E668" s="52"/>
      <c r="F668" s="52"/>
      <c r="G668" s="55" t="str">
        <f aca="false">IF(C668="","",IFERROR(INDEX('DANH MỤC'!$B$5:$B$200,MATCH(C668,'DANH MỤC'!$A$5:$A$200,0)),"⚠ Mã chưa có trong DANH MỤC"))</f>
        <v/>
      </c>
      <c r="H668" s="52"/>
      <c r="I668" s="52"/>
    </row>
    <row r="669" customFormat="false" ht="15" hidden="false" customHeight="false" outlineLevel="0" collapsed="false">
      <c r="A669" s="50"/>
      <c r="B669" s="51" t="str">
        <f aca="false">IF(A669="","",MONTH(A669))</f>
        <v/>
      </c>
      <c r="C669" s="52"/>
      <c r="D669" s="52"/>
      <c r="E669" s="52"/>
      <c r="F669" s="52"/>
      <c r="G669" s="55" t="str">
        <f aca="false">IF(C669="","",IFERROR(INDEX('DANH MỤC'!$B$5:$B$200,MATCH(C669,'DANH MỤC'!$A$5:$A$200,0)),"⚠ Mã chưa có trong DANH MỤC"))</f>
        <v/>
      </c>
      <c r="H669" s="52"/>
      <c r="I669" s="52"/>
    </row>
    <row r="670" customFormat="false" ht="15" hidden="false" customHeight="false" outlineLevel="0" collapsed="false">
      <c r="A670" s="50"/>
      <c r="B670" s="51" t="str">
        <f aca="false">IF(A670="","",MONTH(A670))</f>
        <v/>
      </c>
      <c r="C670" s="52"/>
      <c r="D670" s="52"/>
      <c r="E670" s="52"/>
      <c r="F670" s="52"/>
      <c r="G670" s="55" t="str">
        <f aca="false">IF(C670="","",IFERROR(INDEX('DANH MỤC'!$B$5:$B$200,MATCH(C670,'DANH MỤC'!$A$5:$A$200,0)),"⚠ Mã chưa có trong DANH MỤC"))</f>
        <v/>
      </c>
      <c r="H670" s="52"/>
      <c r="I670" s="52"/>
    </row>
    <row r="671" customFormat="false" ht="15" hidden="false" customHeight="false" outlineLevel="0" collapsed="false">
      <c r="A671" s="50"/>
      <c r="B671" s="51" t="str">
        <f aca="false">IF(A671="","",MONTH(A671))</f>
        <v/>
      </c>
      <c r="C671" s="52"/>
      <c r="D671" s="52"/>
      <c r="E671" s="52"/>
      <c r="F671" s="52"/>
      <c r="G671" s="55" t="str">
        <f aca="false">IF(C671="","",IFERROR(INDEX('DANH MỤC'!$B$5:$B$200,MATCH(C671,'DANH MỤC'!$A$5:$A$200,0)),"⚠ Mã chưa có trong DANH MỤC"))</f>
        <v/>
      </c>
      <c r="H671" s="52"/>
      <c r="I671" s="52"/>
    </row>
    <row r="672" customFormat="false" ht="15" hidden="false" customHeight="false" outlineLevel="0" collapsed="false">
      <c r="A672" s="50"/>
      <c r="B672" s="51" t="str">
        <f aca="false">IF(A672="","",MONTH(A672))</f>
        <v/>
      </c>
      <c r="C672" s="52"/>
      <c r="D672" s="52"/>
      <c r="E672" s="52"/>
      <c r="F672" s="52"/>
      <c r="G672" s="55" t="str">
        <f aca="false">IF(C672="","",IFERROR(INDEX('DANH MỤC'!$B$5:$B$200,MATCH(C672,'DANH MỤC'!$A$5:$A$200,0)),"⚠ Mã chưa có trong DANH MỤC"))</f>
        <v/>
      </c>
      <c r="H672" s="52"/>
      <c r="I672" s="52"/>
    </row>
    <row r="673" customFormat="false" ht="15" hidden="false" customHeight="false" outlineLevel="0" collapsed="false">
      <c r="A673" s="50"/>
      <c r="B673" s="51" t="str">
        <f aca="false">IF(A673="","",MONTH(A673))</f>
        <v/>
      </c>
      <c r="C673" s="52"/>
      <c r="D673" s="52"/>
      <c r="E673" s="52"/>
      <c r="F673" s="52"/>
      <c r="G673" s="55" t="str">
        <f aca="false">IF(C673="","",IFERROR(INDEX('DANH MỤC'!$B$5:$B$200,MATCH(C673,'DANH MỤC'!$A$5:$A$200,0)),"⚠ Mã chưa có trong DANH MỤC"))</f>
        <v/>
      </c>
      <c r="H673" s="52"/>
      <c r="I673" s="52"/>
    </row>
    <row r="674" customFormat="false" ht="15" hidden="false" customHeight="false" outlineLevel="0" collapsed="false">
      <c r="A674" s="50"/>
      <c r="B674" s="51" t="str">
        <f aca="false">IF(A674="","",MONTH(A674))</f>
        <v/>
      </c>
      <c r="C674" s="52"/>
      <c r="D674" s="52"/>
      <c r="E674" s="52"/>
      <c r="F674" s="52"/>
      <c r="G674" s="55" t="str">
        <f aca="false">IF(C674="","",IFERROR(INDEX('DANH MỤC'!$B$5:$B$200,MATCH(C674,'DANH MỤC'!$A$5:$A$200,0)),"⚠ Mã chưa có trong DANH MỤC"))</f>
        <v/>
      </c>
      <c r="H674" s="52"/>
      <c r="I674" s="52"/>
    </row>
    <row r="675" customFormat="false" ht="15" hidden="false" customHeight="false" outlineLevel="0" collapsed="false">
      <c r="A675" s="50"/>
      <c r="B675" s="51" t="str">
        <f aca="false">IF(A675="","",MONTH(A675))</f>
        <v/>
      </c>
      <c r="C675" s="52"/>
      <c r="D675" s="52"/>
      <c r="E675" s="52"/>
      <c r="F675" s="52"/>
      <c r="G675" s="55" t="str">
        <f aca="false">IF(C675="","",IFERROR(INDEX('DANH MỤC'!$B$5:$B$200,MATCH(C675,'DANH MỤC'!$A$5:$A$200,0)),"⚠ Mã chưa có trong DANH MỤC"))</f>
        <v/>
      </c>
      <c r="H675" s="52"/>
      <c r="I675" s="52"/>
    </row>
    <row r="676" customFormat="false" ht="15" hidden="false" customHeight="false" outlineLevel="0" collapsed="false">
      <c r="A676" s="50"/>
      <c r="B676" s="51" t="str">
        <f aca="false">IF(A676="","",MONTH(A676))</f>
        <v/>
      </c>
      <c r="C676" s="52"/>
      <c r="D676" s="52"/>
      <c r="E676" s="52"/>
      <c r="F676" s="52"/>
      <c r="G676" s="55" t="str">
        <f aca="false">IF(C676="","",IFERROR(INDEX('DANH MỤC'!$B$5:$B$200,MATCH(C676,'DANH MỤC'!$A$5:$A$200,0)),"⚠ Mã chưa có trong DANH MỤC"))</f>
        <v/>
      </c>
      <c r="H676" s="52"/>
      <c r="I676" s="52"/>
    </row>
    <row r="677" customFormat="false" ht="15" hidden="false" customHeight="false" outlineLevel="0" collapsed="false">
      <c r="A677" s="50"/>
      <c r="B677" s="51" t="str">
        <f aca="false">IF(A677="","",MONTH(A677))</f>
        <v/>
      </c>
      <c r="C677" s="52"/>
      <c r="D677" s="52"/>
      <c r="E677" s="52"/>
      <c r="F677" s="52"/>
      <c r="G677" s="55" t="str">
        <f aca="false">IF(C677="","",IFERROR(INDEX('DANH MỤC'!$B$5:$B$200,MATCH(C677,'DANH MỤC'!$A$5:$A$200,0)),"⚠ Mã chưa có trong DANH MỤC"))</f>
        <v/>
      </c>
      <c r="H677" s="52"/>
      <c r="I677" s="52"/>
    </row>
    <row r="678" customFormat="false" ht="15" hidden="false" customHeight="false" outlineLevel="0" collapsed="false">
      <c r="A678" s="50"/>
      <c r="B678" s="51" t="str">
        <f aca="false">IF(A678="","",MONTH(A678))</f>
        <v/>
      </c>
      <c r="C678" s="52"/>
      <c r="D678" s="52"/>
      <c r="E678" s="52"/>
      <c r="F678" s="52"/>
      <c r="G678" s="55" t="str">
        <f aca="false">IF(C678="","",IFERROR(INDEX('DANH MỤC'!$B$5:$B$200,MATCH(C678,'DANH MỤC'!$A$5:$A$200,0)),"⚠ Mã chưa có trong DANH MỤC"))</f>
        <v/>
      </c>
      <c r="H678" s="52"/>
      <c r="I678" s="52"/>
    </row>
    <row r="679" customFormat="false" ht="15" hidden="false" customHeight="false" outlineLevel="0" collapsed="false">
      <c r="A679" s="50"/>
      <c r="B679" s="51" t="str">
        <f aca="false">IF(A679="","",MONTH(A679))</f>
        <v/>
      </c>
      <c r="C679" s="52"/>
      <c r="D679" s="52"/>
      <c r="E679" s="52"/>
      <c r="F679" s="52"/>
      <c r="G679" s="55" t="str">
        <f aca="false">IF(C679="","",IFERROR(INDEX('DANH MỤC'!$B$5:$B$200,MATCH(C679,'DANH MỤC'!$A$5:$A$200,0)),"⚠ Mã chưa có trong DANH MỤC"))</f>
        <v/>
      </c>
      <c r="H679" s="52"/>
      <c r="I679" s="52"/>
    </row>
    <row r="680" customFormat="false" ht="15" hidden="false" customHeight="false" outlineLevel="0" collapsed="false">
      <c r="A680" s="50"/>
      <c r="B680" s="51" t="str">
        <f aca="false">IF(A680="","",MONTH(A680))</f>
        <v/>
      </c>
      <c r="C680" s="52"/>
      <c r="D680" s="52"/>
      <c r="E680" s="52"/>
      <c r="F680" s="52"/>
      <c r="G680" s="55" t="str">
        <f aca="false">IF(C680="","",IFERROR(INDEX('DANH MỤC'!$B$5:$B$200,MATCH(C680,'DANH MỤC'!$A$5:$A$200,0)),"⚠ Mã chưa có trong DANH MỤC"))</f>
        <v/>
      </c>
      <c r="H680" s="52"/>
      <c r="I680" s="52"/>
    </row>
    <row r="681" customFormat="false" ht="15" hidden="false" customHeight="false" outlineLevel="0" collapsed="false">
      <c r="A681" s="50"/>
      <c r="B681" s="51" t="str">
        <f aca="false">IF(A681="","",MONTH(A681))</f>
        <v/>
      </c>
      <c r="C681" s="52"/>
      <c r="D681" s="52"/>
      <c r="E681" s="52"/>
      <c r="F681" s="52"/>
      <c r="G681" s="55" t="str">
        <f aca="false">IF(C681="","",IFERROR(INDEX('DANH MỤC'!$B$5:$B$200,MATCH(C681,'DANH MỤC'!$A$5:$A$200,0)),"⚠ Mã chưa có trong DANH MỤC"))</f>
        <v/>
      </c>
      <c r="H681" s="52"/>
      <c r="I681" s="52"/>
    </row>
    <row r="682" customFormat="false" ht="15" hidden="false" customHeight="false" outlineLevel="0" collapsed="false">
      <c r="A682" s="50"/>
      <c r="B682" s="51" t="str">
        <f aca="false">IF(A682="","",MONTH(A682))</f>
        <v/>
      </c>
      <c r="C682" s="52"/>
      <c r="D682" s="52"/>
      <c r="E682" s="52"/>
      <c r="F682" s="52"/>
      <c r="G682" s="55" t="str">
        <f aca="false">IF(C682="","",IFERROR(INDEX('DANH MỤC'!$B$5:$B$200,MATCH(C682,'DANH MỤC'!$A$5:$A$200,0)),"⚠ Mã chưa có trong DANH MỤC"))</f>
        <v/>
      </c>
      <c r="H682" s="52"/>
      <c r="I682" s="52"/>
    </row>
    <row r="683" customFormat="false" ht="15" hidden="false" customHeight="false" outlineLevel="0" collapsed="false">
      <c r="A683" s="50"/>
      <c r="B683" s="51" t="str">
        <f aca="false">IF(A683="","",MONTH(A683))</f>
        <v/>
      </c>
      <c r="C683" s="52"/>
      <c r="D683" s="52"/>
      <c r="E683" s="52"/>
      <c r="F683" s="52"/>
      <c r="G683" s="55" t="str">
        <f aca="false">IF(C683="","",IFERROR(INDEX('DANH MỤC'!$B$5:$B$200,MATCH(C683,'DANH MỤC'!$A$5:$A$200,0)),"⚠ Mã chưa có trong DANH MỤC"))</f>
        <v/>
      </c>
      <c r="H683" s="52"/>
      <c r="I683" s="52"/>
    </row>
    <row r="684" customFormat="false" ht="15" hidden="false" customHeight="false" outlineLevel="0" collapsed="false">
      <c r="A684" s="50"/>
      <c r="B684" s="51" t="str">
        <f aca="false">IF(A684="","",MONTH(A684))</f>
        <v/>
      </c>
      <c r="C684" s="52"/>
      <c r="D684" s="52"/>
      <c r="E684" s="52"/>
      <c r="F684" s="52"/>
      <c r="G684" s="55" t="str">
        <f aca="false">IF(C684="","",IFERROR(INDEX('DANH MỤC'!$B$5:$B$200,MATCH(C684,'DANH MỤC'!$A$5:$A$200,0)),"⚠ Mã chưa có trong DANH MỤC"))</f>
        <v/>
      </c>
      <c r="H684" s="52"/>
      <c r="I684" s="52"/>
    </row>
    <row r="685" customFormat="false" ht="15" hidden="false" customHeight="false" outlineLevel="0" collapsed="false">
      <c r="A685" s="50"/>
      <c r="B685" s="51" t="str">
        <f aca="false">IF(A685="","",MONTH(A685))</f>
        <v/>
      </c>
      <c r="C685" s="52"/>
      <c r="D685" s="52"/>
      <c r="E685" s="52"/>
      <c r="F685" s="52"/>
      <c r="G685" s="55" t="str">
        <f aca="false">IF(C685="","",IFERROR(INDEX('DANH MỤC'!$B$5:$B$200,MATCH(C685,'DANH MỤC'!$A$5:$A$200,0)),"⚠ Mã chưa có trong DANH MỤC"))</f>
        <v/>
      </c>
      <c r="H685" s="52"/>
      <c r="I685" s="52"/>
    </row>
    <row r="686" customFormat="false" ht="15" hidden="false" customHeight="false" outlineLevel="0" collapsed="false">
      <c r="A686" s="50"/>
      <c r="B686" s="51" t="str">
        <f aca="false">IF(A686="","",MONTH(A686))</f>
        <v/>
      </c>
      <c r="C686" s="52"/>
      <c r="D686" s="52"/>
      <c r="E686" s="52"/>
      <c r="F686" s="52"/>
      <c r="G686" s="55" t="str">
        <f aca="false">IF(C686="","",IFERROR(INDEX('DANH MỤC'!$B$5:$B$200,MATCH(C686,'DANH MỤC'!$A$5:$A$200,0)),"⚠ Mã chưa có trong DANH MỤC"))</f>
        <v/>
      </c>
      <c r="H686" s="52"/>
      <c r="I686" s="52"/>
    </row>
    <row r="687" customFormat="false" ht="15" hidden="false" customHeight="false" outlineLevel="0" collapsed="false">
      <c r="A687" s="50"/>
      <c r="B687" s="51" t="str">
        <f aca="false">IF(A687="","",MONTH(A687))</f>
        <v/>
      </c>
      <c r="C687" s="52"/>
      <c r="D687" s="52"/>
      <c r="E687" s="52"/>
      <c r="F687" s="52"/>
      <c r="G687" s="55" t="str">
        <f aca="false">IF(C687="","",IFERROR(INDEX('DANH MỤC'!$B$5:$B$200,MATCH(C687,'DANH MỤC'!$A$5:$A$200,0)),"⚠ Mã chưa có trong DANH MỤC"))</f>
        <v/>
      </c>
      <c r="H687" s="52"/>
      <c r="I687" s="52"/>
    </row>
    <row r="688" customFormat="false" ht="15" hidden="false" customHeight="false" outlineLevel="0" collapsed="false">
      <c r="A688" s="50"/>
      <c r="B688" s="51" t="str">
        <f aca="false">IF(A688="","",MONTH(A688))</f>
        <v/>
      </c>
      <c r="C688" s="52"/>
      <c r="D688" s="52"/>
      <c r="E688" s="52"/>
      <c r="F688" s="52"/>
      <c r="G688" s="55" t="str">
        <f aca="false">IF(C688="","",IFERROR(INDEX('DANH MỤC'!$B$5:$B$200,MATCH(C688,'DANH MỤC'!$A$5:$A$200,0)),"⚠ Mã chưa có trong DANH MỤC"))</f>
        <v/>
      </c>
      <c r="H688" s="52"/>
      <c r="I688" s="52"/>
    </row>
    <row r="689" customFormat="false" ht="15" hidden="false" customHeight="false" outlineLevel="0" collapsed="false">
      <c r="A689" s="50"/>
      <c r="B689" s="51" t="str">
        <f aca="false">IF(A689="","",MONTH(A689))</f>
        <v/>
      </c>
      <c r="C689" s="52"/>
      <c r="D689" s="52"/>
      <c r="E689" s="52"/>
      <c r="F689" s="52"/>
      <c r="G689" s="55" t="str">
        <f aca="false">IF(C689="","",IFERROR(INDEX('DANH MỤC'!$B$5:$B$200,MATCH(C689,'DANH MỤC'!$A$5:$A$200,0)),"⚠ Mã chưa có trong DANH MỤC"))</f>
        <v/>
      </c>
      <c r="H689" s="52"/>
      <c r="I689" s="52"/>
    </row>
    <row r="690" customFormat="false" ht="15" hidden="false" customHeight="false" outlineLevel="0" collapsed="false">
      <c r="A690" s="50"/>
      <c r="B690" s="51" t="str">
        <f aca="false">IF(A690="","",MONTH(A690))</f>
        <v/>
      </c>
      <c r="C690" s="52"/>
      <c r="D690" s="52"/>
      <c r="E690" s="52"/>
      <c r="F690" s="52"/>
      <c r="G690" s="55" t="str">
        <f aca="false">IF(C690="","",IFERROR(INDEX('DANH MỤC'!$B$5:$B$200,MATCH(C690,'DANH MỤC'!$A$5:$A$200,0)),"⚠ Mã chưa có trong DANH MỤC"))</f>
        <v/>
      </c>
      <c r="H690" s="52"/>
      <c r="I690" s="52"/>
    </row>
    <row r="691" customFormat="false" ht="15" hidden="false" customHeight="false" outlineLevel="0" collapsed="false">
      <c r="A691" s="50"/>
      <c r="B691" s="51" t="str">
        <f aca="false">IF(A691="","",MONTH(A691))</f>
        <v/>
      </c>
      <c r="C691" s="52"/>
      <c r="D691" s="52"/>
      <c r="E691" s="52"/>
      <c r="F691" s="52"/>
      <c r="G691" s="55" t="str">
        <f aca="false">IF(C691="","",IFERROR(INDEX('DANH MỤC'!$B$5:$B$200,MATCH(C691,'DANH MỤC'!$A$5:$A$200,0)),"⚠ Mã chưa có trong DANH MỤC"))</f>
        <v/>
      </c>
      <c r="H691" s="52"/>
      <c r="I691" s="52"/>
    </row>
    <row r="692" customFormat="false" ht="15" hidden="false" customHeight="false" outlineLevel="0" collapsed="false">
      <c r="A692" s="50"/>
      <c r="B692" s="51" t="str">
        <f aca="false">IF(A692="","",MONTH(A692))</f>
        <v/>
      </c>
      <c r="C692" s="52"/>
      <c r="D692" s="52"/>
      <c r="E692" s="52"/>
      <c r="F692" s="52"/>
      <c r="G692" s="55" t="str">
        <f aca="false">IF(C692="","",IFERROR(INDEX('DANH MỤC'!$B$5:$B$200,MATCH(C692,'DANH MỤC'!$A$5:$A$200,0)),"⚠ Mã chưa có trong DANH MỤC"))</f>
        <v/>
      </c>
      <c r="H692" s="52"/>
      <c r="I692" s="52"/>
    </row>
    <row r="693" customFormat="false" ht="15" hidden="false" customHeight="false" outlineLevel="0" collapsed="false">
      <c r="A693" s="50"/>
      <c r="B693" s="51" t="str">
        <f aca="false">IF(A693="","",MONTH(A693))</f>
        <v/>
      </c>
      <c r="C693" s="52"/>
      <c r="D693" s="52"/>
      <c r="E693" s="52"/>
      <c r="F693" s="52"/>
      <c r="G693" s="55" t="str">
        <f aca="false">IF(C693="","",IFERROR(INDEX('DANH MỤC'!$B$5:$B$200,MATCH(C693,'DANH MỤC'!$A$5:$A$200,0)),"⚠ Mã chưa có trong DANH MỤC"))</f>
        <v/>
      </c>
      <c r="H693" s="52"/>
      <c r="I693" s="52"/>
    </row>
    <row r="694" customFormat="false" ht="15" hidden="false" customHeight="false" outlineLevel="0" collapsed="false">
      <c r="A694" s="50"/>
      <c r="B694" s="51" t="str">
        <f aca="false">IF(A694="","",MONTH(A694))</f>
        <v/>
      </c>
      <c r="C694" s="52"/>
      <c r="D694" s="52"/>
      <c r="E694" s="52"/>
      <c r="F694" s="52"/>
      <c r="G694" s="55" t="str">
        <f aca="false">IF(C694="","",IFERROR(INDEX('DANH MỤC'!$B$5:$B$200,MATCH(C694,'DANH MỤC'!$A$5:$A$200,0)),"⚠ Mã chưa có trong DANH MỤC"))</f>
        <v/>
      </c>
      <c r="H694" s="52"/>
      <c r="I694" s="52"/>
    </row>
    <row r="695" customFormat="false" ht="15" hidden="false" customHeight="false" outlineLevel="0" collapsed="false">
      <c r="A695" s="50"/>
      <c r="B695" s="51" t="str">
        <f aca="false">IF(A695="","",MONTH(A695))</f>
        <v/>
      </c>
      <c r="C695" s="52"/>
      <c r="D695" s="52"/>
      <c r="E695" s="52"/>
      <c r="F695" s="52"/>
      <c r="G695" s="55" t="str">
        <f aca="false">IF(C695="","",IFERROR(INDEX('DANH MỤC'!$B$5:$B$200,MATCH(C695,'DANH MỤC'!$A$5:$A$200,0)),"⚠ Mã chưa có trong DANH MỤC"))</f>
        <v/>
      </c>
      <c r="H695" s="52"/>
      <c r="I695" s="52"/>
    </row>
    <row r="696" customFormat="false" ht="15" hidden="false" customHeight="false" outlineLevel="0" collapsed="false">
      <c r="A696" s="50"/>
      <c r="B696" s="51" t="str">
        <f aca="false">IF(A696="","",MONTH(A696))</f>
        <v/>
      </c>
      <c r="C696" s="52"/>
      <c r="D696" s="52"/>
      <c r="E696" s="52"/>
      <c r="F696" s="52"/>
      <c r="G696" s="55" t="str">
        <f aca="false">IF(C696="","",IFERROR(INDEX('DANH MỤC'!$B$5:$B$200,MATCH(C696,'DANH MỤC'!$A$5:$A$200,0)),"⚠ Mã chưa có trong DANH MỤC"))</f>
        <v/>
      </c>
      <c r="H696" s="52"/>
      <c r="I696" s="52"/>
    </row>
    <row r="697" customFormat="false" ht="15" hidden="false" customHeight="false" outlineLevel="0" collapsed="false">
      <c r="A697" s="50"/>
      <c r="B697" s="51" t="str">
        <f aca="false">IF(A697="","",MONTH(A697))</f>
        <v/>
      </c>
      <c r="C697" s="52"/>
      <c r="D697" s="52"/>
      <c r="E697" s="52"/>
      <c r="F697" s="52"/>
      <c r="G697" s="55" t="str">
        <f aca="false">IF(C697="","",IFERROR(INDEX('DANH MỤC'!$B$5:$B$200,MATCH(C697,'DANH MỤC'!$A$5:$A$200,0)),"⚠ Mã chưa có trong DANH MỤC"))</f>
        <v/>
      </c>
      <c r="H697" s="52"/>
      <c r="I697" s="52"/>
    </row>
    <row r="698" customFormat="false" ht="15" hidden="false" customHeight="false" outlineLevel="0" collapsed="false">
      <c r="A698" s="50"/>
      <c r="B698" s="51" t="str">
        <f aca="false">IF(A698="","",MONTH(A698))</f>
        <v/>
      </c>
      <c r="C698" s="52"/>
      <c r="D698" s="52"/>
      <c r="E698" s="52"/>
      <c r="F698" s="52"/>
      <c r="G698" s="55" t="str">
        <f aca="false">IF(C698="","",IFERROR(INDEX('DANH MỤC'!$B$5:$B$200,MATCH(C698,'DANH MỤC'!$A$5:$A$200,0)),"⚠ Mã chưa có trong DANH MỤC"))</f>
        <v/>
      </c>
      <c r="H698" s="52"/>
      <c r="I698" s="52"/>
    </row>
    <row r="699" customFormat="false" ht="15" hidden="false" customHeight="false" outlineLevel="0" collapsed="false">
      <c r="A699" s="50"/>
      <c r="B699" s="51" t="str">
        <f aca="false">IF(A699="","",MONTH(A699))</f>
        <v/>
      </c>
      <c r="C699" s="52"/>
      <c r="D699" s="52"/>
      <c r="E699" s="52"/>
      <c r="F699" s="52"/>
      <c r="G699" s="55" t="str">
        <f aca="false">IF(C699="","",IFERROR(INDEX('DANH MỤC'!$B$5:$B$200,MATCH(C699,'DANH MỤC'!$A$5:$A$200,0)),"⚠ Mã chưa có trong DANH MỤC"))</f>
        <v/>
      </c>
      <c r="H699" s="52"/>
      <c r="I699" s="52"/>
    </row>
    <row r="700" customFormat="false" ht="15" hidden="false" customHeight="false" outlineLevel="0" collapsed="false">
      <c r="A700" s="50"/>
      <c r="B700" s="51" t="str">
        <f aca="false">IF(A700="","",MONTH(A700))</f>
        <v/>
      </c>
      <c r="C700" s="52"/>
      <c r="D700" s="52"/>
      <c r="E700" s="52"/>
      <c r="F700" s="52"/>
      <c r="G700" s="55" t="str">
        <f aca="false">IF(C700="","",IFERROR(INDEX('DANH MỤC'!$B$5:$B$200,MATCH(C700,'DANH MỤC'!$A$5:$A$200,0)),"⚠ Mã chưa có trong DANH MỤC"))</f>
        <v/>
      </c>
      <c r="H700" s="52"/>
      <c r="I700" s="52"/>
    </row>
    <row r="701" customFormat="false" ht="15" hidden="false" customHeight="false" outlineLevel="0" collapsed="false">
      <c r="A701" s="50"/>
      <c r="B701" s="51" t="str">
        <f aca="false">IF(A701="","",MONTH(A701))</f>
        <v/>
      </c>
      <c r="C701" s="52"/>
      <c r="D701" s="52"/>
      <c r="E701" s="52"/>
      <c r="F701" s="52"/>
      <c r="G701" s="55" t="str">
        <f aca="false">IF(C701="","",IFERROR(INDEX('DANH MỤC'!$B$5:$B$200,MATCH(C701,'DANH MỤC'!$A$5:$A$200,0)),"⚠ Mã chưa có trong DANH MỤC"))</f>
        <v/>
      </c>
      <c r="H701" s="52"/>
      <c r="I701" s="52"/>
    </row>
    <row r="702" customFormat="false" ht="15" hidden="false" customHeight="false" outlineLevel="0" collapsed="false">
      <c r="A702" s="50"/>
      <c r="B702" s="51" t="str">
        <f aca="false">IF(A702="","",MONTH(A702))</f>
        <v/>
      </c>
      <c r="C702" s="52"/>
      <c r="D702" s="52"/>
      <c r="E702" s="52"/>
      <c r="F702" s="52"/>
      <c r="G702" s="55" t="str">
        <f aca="false">IF(C702="","",IFERROR(INDEX('DANH MỤC'!$B$5:$B$200,MATCH(C702,'DANH MỤC'!$A$5:$A$200,0)),"⚠ Mã chưa có trong DANH MỤC"))</f>
        <v/>
      </c>
      <c r="H702" s="52"/>
      <c r="I702" s="52"/>
    </row>
    <row r="703" customFormat="false" ht="15" hidden="false" customHeight="false" outlineLevel="0" collapsed="false">
      <c r="A703" s="50"/>
      <c r="B703" s="51" t="str">
        <f aca="false">IF(A703="","",MONTH(A703))</f>
        <v/>
      </c>
      <c r="C703" s="52"/>
      <c r="D703" s="52"/>
      <c r="E703" s="52"/>
      <c r="F703" s="52"/>
      <c r="G703" s="55" t="str">
        <f aca="false">IF(C703="","",IFERROR(INDEX('DANH MỤC'!$B$5:$B$200,MATCH(C703,'DANH MỤC'!$A$5:$A$200,0)),"⚠ Mã chưa có trong DANH MỤC"))</f>
        <v/>
      </c>
      <c r="H703" s="52"/>
      <c r="I703" s="52"/>
    </row>
    <row r="704" customFormat="false" ht="15" hidden="false" customHeight="false" outlineLevel="0" collapsed="false">
      <c r="A704" s="50"/>
      <c r="B704" s="51" t="str">
        <f aca="false">IF(A704="","",MONTH(A704))</f>
        <v/>
      </c>
      <c r="C704" s="52"/>
      <c r="D704" s="52"/>
      <c r="E704" s="52"/>
      <c r="F704" s="52"/>
      <c r="G704" s="55" t="str">
        <f aca="false">IF(C704="","",IFERROR(INDEX('DANH MỤC'!$B$5:$B$200,MATCH(C704,'DANH MỤC'!$A$5:$A$200,0)),"⚠ Mã chưa có trong DANH MỤC"))</f>
        <v/>
      </c>
      <c r="H704" s="52"/>
      <c r="I704" s="52"/>
    </row>
    <row r="705" customFormat="false" ht="15" hidden="false" customHeight="false" outlineLevel="0" collapsed="false">
      <c r="A705" s="50"/>
      <c r="B705" s="51" t="str">
        <f aca="false">IF(A705="","",MONTH(A705))</f>
        <v/>
      </c>
      <c r="C705" s="52"/>
      <c r="D705" s="52"/>
      <c r="E705" s="52"/>
      <c r="F705" s="52"/>
      <c r="G705" s="55" t="str">
        <f aca="false">IF(C705="","",IFERROR(INDEX('DANH MỤC'!$B$5:$B$200,MATCH(C705,'DANH MỤC'!$A$5:$A$200,0)),"⚠ Mã chưa có trong DANH MỤC"))</f>
        <v/>
      </c>
      <c r="H705" s="52"/>
      <c r="I705" s="52"/>
    </row>
    <row r="706" customFormat="false" ht="15" hidden="false" customHeight="false" outlineLevel="0" collapsed="false">
      <c r="A706" s="50"/>
      <c r="B706" s="51" t="str">
        <f aca="false">IF(A706="","",MONTH(A706))</f>
        <v/>
      </c>
      <c r="C706" s="52"/>
      <c r="D706" s="52"/>
      <c r="E706" s="52"/>
      <c r="F706" s="52"/>
      <c r="G706" s="55" t="str">
        <f aca="false">IF(C706="","",IFERROR(INDEX('DANH MỤC'!$B$5:$B$200,MATCH(C706,'DANH MỤC'!$A$5:$A$200,0)),"⚠ Mã chưa có trong DANH MỤC"))</f>
        <v/>
      </c>
      <c r="H706" s="52"/>
      <c r="I706" s="52"/>
    </row>
    <row r="707" customFormat="false" ht="15" hidden="false" customHeight="false" outlineLevel="0" collapsed="false">
      <c r="A707" s="50"/>
      <c r="B707" s="51" t="str">
        <f aca="false">IF(A707="","",MONTH(A707))</f>
        <v/>
      </c>
      <c r="C707" s="52"/>
      <c r="D707" s="52"/>
      <c r="E707" s="52"/>
      <c r="F707" s="52"/>
      <c r="G707" s="55" t="str">
        <f aca="false">IF(C707="","",IFERROR(INDEX('DANH MỤC'!$B$5:$B$200,MATCH(C707,'DANH MỤC'!$A$5:$A$200,0)),"⚠ Mã chưa có trong DANH MỤC"))</f>
        <v/>
      </c>
      <c r="H707" s="52"/>
      <c r="I707" s="52"/>
    </row>
    <row r="708" customFormat="false" ht="15" hidden="false" customHeight="false" outlineLevel="0" collapsed="false">
      <c r="A708" s="50"/>
      <c r="B708" s="51" t="str">
        <f aca="false">IF(A708="","",MONTH(A708))</f>
        <v/>
      </c>
      <c r="C708" s="52"/>
      <c r="D708" s="52"/>
      <c r="E708" s="52"/>
      <c r="F708" s="52"/>
      <c r="G708" s="55" t="str">
        <f aca="false">IF(C708="","",IFERROR(INDEX('DANH MỤC'!$B$5:$B$200,MATCH(C708,'DANH MỤC'!$A$5:$A$200,0)),"⚠ Mã chưa có trong DANH MỤC"))</f>
        <v/>
      </c>
      <c r="H708" s="52"/>
      <c r="I708" s="52"/>
    </row>
    <row r="709" customFormat="false" ht="15" hidden="false" customHeight="false" outlineLevel="0" collapsed="false">
      <c r="A709" s="50"/>
      <c r="B709" s="51" t="str">
        <f aca="false">IF(A709="","",MONTH(A709))</f>
        <v/>
      </c>
      <c r="C709" s="52"/>
      <c r="D709" s="52"/>
      <c r="E709" s="52"/>
      <c r="F709" s="52"/>
      <c r="G709" s="55" t="str">
        <f aca="false">IF(C709="","",IFERROR(INDEX('DANH MỤC'!$B$5:$B$200,MATCH(C709,'DANH MỤC'!$A$5:$A$200,0)),"⚠ Mã chưa có trong DANH MỤC"))</f>
        <v/>
      </c>
      <c r="H709" s="52"/>
      <c r="I709" s="52"/>
    </row>
    <row r="710" customFormat="false" ht="15" hidden="false" customHeight="false" outlineLevel="0" collapsed="false">
      <c r="A710" s="50"/>
      <c r="B710" s="51" t="str">
        <f aca="false">IF(A710="","",MONTH(A710))</f>
        <v/>
      </c>
      <c r="C710" s="52"/>
      <c r="D710" s="52"/>
      <c r="E710" s="52"/>
      <c r="F710" s="52"/>
      <c r="G710" s="55" t="str">
        <f aca="false">IF(C710="","",IFERROR(INDEX('DANH MỤC'!$B$5:$B$200,MATCH(C710,'DANH MỤC'!$A$5:$A$200,0)),"⚠ Mã chưa có trong DANH MỤC"))</f>
        <v/>
      </c>
      <c r="H710" s="52"/>
      <c r="I710" s="52"/>
    </row>
    <row r="711" customFormat="false" ht="15" hidden="false" customHeight="false" outlineLevel="0" collapsed="false">
      <c r="A711" s="50"/>
      <c r="B711" s="51" t="str">
        <f aca="false">IF(A711="","",MONTH(A711))</f>
        <v/>
      </c>
      <c r="C711" s="52"/>
      <c r="D711" s="52"/>
      <c r="E711" s="52"/>
      <c r="F711" s="52"/>
      <c r="G711" s="55" t="str">
        <f aca="false">IF(C711="","",IFERROR(INDEX('DANH MỤC'!$B$5:$B$200,MATCH(C711,'DANH MỤC'!$A$5:$A$200,0)),"⚠ Mã chưa có trong DANH MỤC"))</f>
        <v/>
      </c>
      <c r="H711" s="52"/>
      <c r="I711" s="52"/>
    </row>
    <row r="712" customFormat="false" ht="15" hidden="false" customHeight="false" outlineLevel="0" collapsed="false">
      <c r="A712" s="50"/>
      <c r="B712" s="51" t="str">
        <f aca="false">IF(A712="","",MONTH(A712))</f>
        <v/>
      </c>
      <c r="C712" s="52"/>
      <c r="D712" s="52"/>
      <c r="E712" s="52"/>
      <c r="F712" s="52"/>
      <c r="G712" s="55" t="str">
        <f aca="false">IF(C712="","",IFERROR(INDEX('DANH MỤC'!$B$5:$B$200,MATCH(C712,'DANH MỤC'!$A$5:$A$200,0)),"⚠ Mã chưa có trong DANH MỤC"))</f>
        <v/>
      </c>
      <c r="H712" s="52"/>
      <c r="I712" s="52"/>
    </row>
    <row r="713" customFormat="false" ht="15" hidden="false" customHeight="false" outlineLevel="0" collapsed="false">
      <c r="A713" s="50"/>
      <c r="B713" s="51" t="str">
        <f aca="false">IF(A713="","",MONTH(A713))</f>
        <v/>
      </c>
      <c r="C713" s="52"/>
      <c r="D713" s="52"/>
      <c r="E713" s="52"/>
      <c r="F713" s="52"/>
      <c r="G713" s="55" t="str">
        <f aca="false">IF(C713="","",IFERROR(INDEX('DANH MỤC'!$B$5:$B$200,MATCH(C713,'DANH MỤC'!$A$5:$A$200,0)),"⚠ Mã chưa có trong DANH MỤC"))</f>
        <v/>
      </c>
      <c r="H713" s="52"/>
      <c r="I713" s="52"/>
    </row>
    <row r="714" customFormat="false" ht="15" hidden="false" customHeight="false" outlineLevel="0" collapsed="false">
      <c r="A714" s="50"/>
      <c r="B714" s="51" t="str">
        <f aca="false">IF(A714="","",MONTH(A714))</f>
        <v/>
      </c>
      <c r="C714" s="52"/>
      <c r="D714" s="52"/>
      <c r="E714" s="52"/>
      <c r="F714" s="52"/>
      <c r="G714" s="55" t="str">
        <f aca="false">IF(C714="","",IFERROR(INDEX('DANH MỤC'!$B$5:$B$200,MATCH(C714,'DANH MỤC'!$A$5:$A$200,0)),"⚠ Mã chưa có trong DANH MỤC"))</f>
        <v/>
      </c>
      <c r="H714" s="52"/>
      <c r="I714" s="52"/>
    </row>
    <row r="715" customFormat="false" ht="15" hidden="false" customHeight="false" outlineLevel="0" collapsed="false">
      <c r="A715" s="50"/>
      <c r="B715" s="51" t="str">
        <f aca="false">IF(A715="","",MONTH(A715))</f>
        <v/>
      </c>
      <c r="C715" s="52"/>
      <c r="D715" s="52"/>
      <c r="E715" s="52"/>
      <c r="F715" s="52"/>
      <c r="G715" s="55" t="str">
        <f aca="false">IF(C715="","",IFERROR(INDEX('DANH MỤC'!$B$5:$B$200,MATCH(C715,'DANH MỤC'!$A$5:$A$200,0)),"⚠ Mã chưa có trong DANH MỤC"))</f>
        <v/>
      </c>
      <c r="H715" s="52"/>
      <c r="I715" s="52"/>
    </row>
    <row r="716" customFormat="false" ht="15" hidden="false" customHeight="false" outlineLevel="0" collapsed="false">
      <c r="A716" s="50"/>
      <c r="B716" s="51" t="str">
        <f aca="false">IF(A716="","",MONTH(A716))</f>
        <v/>
      </c>
      <c r="C716" s="52"/>
      <c r="D716" s="52"/>
      <c r="E716" s="52"/>
      <c r="F716" s="52"/>
      <c r="G716" s="55" t="str">
        <f aca="false">IF(C716="","",IFERROR(INDEX('DANH MỤC'!$B$5:$B$200,MATCH(C716,'DANH MỤC'!$A$5:$A$200,0)),"⚠ Mã chưa có trong DANH MỤC"))</f>
        <v/>
      </c>
      <c r="H716" s="52"/>
      <c r="I716" s="52"/>
    </row>
    <row r="717" customFormat="false" ht="15" hidden="false" customHeight="false" outlineLevel="0" collapsed="false">
      <c r="A717" s="50"/>
      <c r="B717" s="51" t="str">
        <f aca="false">IF(A717="","",MONTH(A717))</f>
        <v/>
      </c>
      <c r="C717" s="52"/>
      <c r="D717" s="52"/>
      <c r="E717" s="52"/>
      <c r="F717" s="52"/>
      <c r="G717" s="55" t="str">
        <f aca="false">IF(C717="","",IFERROR(INDEX('DANH MỤC'!$B$5:$B$200,MATCH(C717,'DANH MỤC'!$A$5:$A$200,0)),"⚠ Mã chưa có trong DANH MỤC"))</f>
        <v/>
      </c>
      <c r="H717" s="52"/>
      <c r="I717" s="52"/>
    </row>
    <row r="718" customFormat="false" ht="15" hidden="false" customHeight="false" outlineLevel="0" collapsed="false">
      <c r="A718" s="50"/>
      <c r="B718" s="51" t="str">
        <f aca="false">IF(A718="","",MONTH(A718))</f>
        <v/>
      </c>
      <c r="C718" s="52"/>
      <c r="D718" s="52"/>
      <c r="E718" s="52"/>
      <c r="F718" s="52"/>
      <c r="G718" s="55" t="str">
        <f aca="false">IF(C718="","",IFERROR(INDEX('DANH MỤC'!$B$5:$B$200,MATCH(C718,'DANH MỤC'!$A$5:$A$200,0)),"⚠ Mã chưa có trong DANH MỤC"))</f>
        <v/>
      </c>
      <c r="H718" s="52"/>
      <c r="I718" s="52"/>
    </row>
    <row r="719" customFormat="false" ht="15" hidden="false" customHeight="false" outlineLevel="0" collapsed="false">
      <c r="A719" s="50"/>
      <c r="B719" s="51" t="str">
        <f aca="false">IF(A719="","",MONTH(A719))</f>
        <v/>
      </c>
      <c r="C719" s="52"/>
      <c r="D719" s="52"/>
      <c r="E719" s="52"/>
      <c r="F719" s="52"/>
      <c r="G719" s="55" t="str">
        <f aca="false">IF(C719="","",IFERROR(INDEX('DANH MỤC'!$B$5:$B$200,MATCH(C719,'DANH MỤC'!$A$5:$A$200,0)),"⚠ Mã chưa có trong DANH MỤC"))</f>
        <v/>
      </c>
      <c r="H719" s="52"/>
      <c r="I719" s="52"/>
    </row>
    <row r="720" customFormat="false" ht="15" hidden="false" customHeight="false" outlineLevel="0" collapsed="false">
      <c r="A720" s="50"/>
      <c r="B720" s="51" t="str">
        <f aca="false">IF(A720="","",MONTH(A720))</f>
        <v/>
      </c>
      <c r="C720" s="52"/>
      <c r="D720" s="52"/>
      <c r="E720" s="52"/>
      <c r="F720" s="52"/>
      <c r="G720" s="55" t="str">
        <f aca="false">IF(C720="","",IFERROR(INDEX('DANH MỤC'!$B$5:$B$200,MATCH(C720,'DANH MỤC'!$A$5:$A$200,0)),"⚠ Mã chưa có trong DANH MỤC"))</f>
        <v/>
      </c>
      <c r="H720" s="52"/>
      <c r="I720" s="52"/>
    </row>
    <row r="721" customFormat="false" ht="15" hidden="false" customHeight="false" outlineLevel="0" collapsed="false">
      <c r="A721" s="50"/>
      <c r="B721" s="51" t="str">
        <f aca="false">IF(A721="","",MONTH(A721))</f>
        <v/>
      </c>
      <c r="C721" s="52"/>
      <c r="D721" s="52"/>
      <c r="E721" s="52"/>
      <c r="F721" s="52"/>
      <c r="G721" s="55" t="str">
        <f aca="false">IF(C721="","",IFERROR(INDEX('DANH MỤC'!$B$5:$B$200,MATCH(C721,'DANH MỤC'!$A$5:$A$200,0)),"⚠ Mã chưa có trong DANH MỤC"))</f>
        <v/>
      </c>
      <c r="H721" s="52"/>
      <c r="I721" s="52"/>
    </row>
    <row r="722" customFormat="false" ht="15" hidden="false" customHeight="false" outlineLevel="0" collapsed="false">
      <c r="A722" s="50"/>
      <c r="B722" s="51" t="str">
        <f aca="false">IF(A722="","",MONTH(A722))</f>
        <v/>
      </c>
      <c r="C722" s="52"/>
      <c r="D722" s="52"/>
      <c r="E722" s="52"/>
      <c r="F722" s="52"/>
      <c r="G722" s="55" t="str">
        <f aca="false">IF(C722="","",IFERROR(INDEX('DANH MỤC'!$B$5:$B$200,MATCH(C722,'DANH MỤC'!$A$5:$A$200,0)),"⚠ Mã chưa có trong DANH MỤC"))</f>
        <v/>
      </c>
      <c r="H722" s="52"/>
      <c r="I722" s="52"/>
    </row>
    <row r="723" customFormat="false" ht="15" hidden="false" customHeight="false" outlineLevel="0" collapsed="false">
      <c r="A723" s="50"/>
      <c r="B723" s="51" t="str">
        <f aca="false">IF(A723="","",MONTH(A723))</f>
        <v/>
      </c>
      <c r="C723" s="52"/>
      <c r="D723" s="52"/>
      <c r="E723" s="52"/>
      <c r="F723" s="52"/>
      <c r="G723" s="55" t="str">
        <f aca="false">IF(C723="","",IFERROR(INDEX('DANH MỤC'!$B$5:$B$200,MATCH(C723,'DANH MỤC'!$A$5:$A$200,0)),"⚠ Mã chưa có trong DANH MỤC"))</f>
        <v/>
      </c>
      <c r="H723" s="52"/>
      <c r="I723" s="52"/>
    </row>
    <row r="724" customFormat="false" ht="15" hidden="false" customHeight="false" outlineLevel="0" collapsed="false">
      <c r="A724" s="50"/>
      <c r="B724" s="51" t="str">
        <f aca="false">IF(A724="","",MONTH(A724))</f>
        <v/>
      </c>
      <c r="C724" s="52"/>
      <c r="D724" s="52"/>
      <c r="E724" s="52"/>
      <c r="F724" s="52"/>
      <c r="G724" s="55" t="str">
        <f aca="false">IF(C724="","",IFERROR(INDEX('DANH MỤC'!$B$5:$B$200,MATCH(C724,'DANH MỤC'!$A$5:$A$200,0)),"⚠ Mã chưa có trong DANH MỤC"))</f>
        <v/>
      </c>
      <c r="H724" s="52"/>
      <c r="I724" s="52"/>
    </row>
    <row r="725" customFormat="false" ht="15" hidden="false" customHeight="false" outlineLevel="0" collapsed="false">
      <c r="A725" s="50"/>
      <c r="B725" s="51" t="str">
        <f aca="false">IF(A725="","",MONTH(A725))</f>
        <v/>
      </c>
      <c r="C725" s="52"/>
      <c r="D725" s="52"/>
      <c r="E725" s="52"/>
      <c r="F725" s="52"/>
      <c r="G725" s="55" t="str">
        <f aca="false">IF(C725="","",IFERROR(INDEX('DANH MỤC'!$B$5:$B$200,MATCH(C725,'DANH MỤC'!$A$5:$A$200,0)),"⚠ Mã chưa có trong DANH MỤC"))</f>
        <v/>
      </c>
      <c r="H725" s="52"/>
      <c r="I725" s="52"/>
    </row>
    <row r="726" customFormat="false" ht="15" hidden="false" customHeight="false" outlineLevel="0" collapsed="false">
      <c r="A726" s="50"/>
      <c r="B726" s="51" t="str">
        <f aca="false">IF(A726="","",MONTH(A726))</f>
        <v/>
      </c>
      <c r="C726" s="52"/>
      <c r="D726" s="52"/>
      <c r="E726" s="52"/>
      <c r="F726" s="52"/>
      <c r="G726" s="55" t="str">
        <f aca="false">IF(C726="","",IFERROR(INDEX('DANH MỤC'!$B$5:$B$200,MATCH(C726,'DANH MỤC'!$A$5:$A$200,0)),"⚠ Mã chưa có trong DANH MỤC"))</f>
        <v/>
      </c>
      <c r="H726" s="52"/>
      <c r="I726" s="52"/>
    </row>
    <row r="727" customFormat="false" ht="15" hidden="false" customHeight="false" outlineLevel="0" collapsed="false">
      <c r="A727" s="50"/>
      <c r="B727" s="51" t="str">
        <f aca="false">IF(A727="","",MONTH(A727))</f>
        <v/>
      </c>
      <c r="C727" s="52"/>
      <c r="D727" s="52"/>
      <c r="E727" s="52"/>
      <c r="F727" s="52"/>
      <c r="G727" s="55" t="str">
        <f aca="false">IF(C727="","",IFERROR(INDEX('DANH MỤC'!$B$5:$B$200,MATCH(C727,'DANH MỤC'!$A$5:$A$200,0)),"⚠ Mã chưa có trong DANH MỤC"))</f>
        <v/>
      </c>
      <c r="H727" s="52"/>
      <c r="I727" s="52"/>
    </row>
    <row r="728" customFormat="false" ht="15" hidden="false" customHeight="false" outlineLevel="0" collapsed="false">
      <c r="A728" s="50"/>
      <c r="B728" s="51" t="str">
        <f aca="false">IF(A728="","",MONTH(A728))</f>
        <v/>
      </c>
      <c r="C728" s="52"/>
      <c r="D728" s="52"/>
      <c r="E728" s="52"/>
      <c r="F728" s="52"/>
      <c r="G728" s="55" t="str">
        <f aca="false">IF(C728="","",IFERROR(INDEX('DANH MỤC'!$B$5:$B$200,MATCH(C728,'DANH MỤC'!$A$5:$A$200,0)),"⚠ Mã chưa có trong DANH MỤC"))</f>
        <v/>
      </c>
      <c r="H728" s="52"/>
      <c r="I728" s="52"/>
    </row>
    <row r="729" customFormat="false" ht="15" hidden="false" customHeight="false" outlineLevel="0" collapsed="false">
      <c r="A729" s="50"/>
      <c r="B729" s="51" t="str">
        <f aca="false">IF(A729="","",MONTH(A729))</f>
        <v/>
      </c>
      <c r="C729" s="52"/>
      <c r="D729" s="52"/>
      <c r="E729" s="52"/>
      <c r="F729" s="52"/>
      <c r="G729" s="55" t="str">
        <f aca="false">IF(C729="","",IFERROR(INDEX('DANH MỤC'!$B$5:$B$200,MATCH(C729,'DANH MỤC'!$A$5:$A$200,0)),"⚠ Mã chưa có trong DANH MỤC"))</f>
        <v/>
      </c>
      <c r="H729" s="52"/>
      <c r="I729" s="52"/>
    </row>
    <row r="730" customFormat="false" ht="15" hidden="false" customHeight="false" outlineLevel="0" collapsed="false">
      <c r="A730" s="50"/>
      <c r="B730" s="51" t="str">
        <f aca="false">IF(A730="","",MONTH(A730))</f>
        <v/>
      </c>
      <c r="C730" s="52"/>
      <c r="D730" s="52"/>
      <c r="E730" s="52"/>
      <c r="F730" s="52"/>
      <c r="G730" s="55" t="str">
        <f aca="false">IF(C730="","",IFERROR(INDEX('DANH MỤC'!$B$5:$B$200,MATCH(C730,'DANH MỤC'!$A$5:$A$200,0)),"⚠ Mã chưa có trong DANH MỤC"))</f>
        <v/>
      </c>
      <c r="H730" s="52"/>
      <c r="I730" s="52"/>
    </row>
    <row r="731" customFormat="false" ht="15" hidden="false" customHeight="false" outlineLevel="0" collapsed="false">
      <c r="A731" s="50"/>
      <c r="B731" s="51" t="str">
        <f aca="false">IF(A731="","",MONTH(A731))</f>
        <v/>
      </c>
      <c r="C731" s="52"/>
      <c r="D731" s="52"/>
      <c r="E731" s="52"/>
      <c r="F731" s="52"/>
      <c r="G731" s="55" t="str">
        <f aca="false">IF(C731="","",IFERROR(INDEX('DANH MỤC'!$B$5:$B$200,MATCH(C731,'DANH MỤC'!$A$5:$A$200,0)),"⚠ Mã chưa có trong DANH MỤC"))</f>
        <v/>
      </c>
      <c r="H731" s="52"/>
      <c r="I731" s="52"/>
    </row>
    <row r="732" customFormat="false" ht="15" hidden="false" customHeight="false" outlineLevel="0" collapsed="false">
      <c r="A732" s="50"/>
      <c r="B732" s="51" t="str">
        <f aca="false">IF(A732="","",MONTH(A732))</f>
        <v/>
      </c>
      <c r="C732" s="52"/>
      <c r="D732" s="52"/>
      <c r="E732" s="52"/>
      <c r="F732" s="52"/>
      <c r="G732" s="55" t="str">
        <f aca="false">IF(C732="","",IFERROR(INDEX('DANH MỤC'!$B$5:$B$200,MATCH(C732,'DANH MỤC'!$A$5:$A$200,0)),"⚠ Mã chưa có trong DANH MỤC"))</f>
        <v/>
      </c>
      <c r="H732" s="52"/>
      <c r="I732" s="52"/>
    </row>
    <row r="733" customFormat="false" ht="15" hidden="false" customHeight="false" outlineLevel="0" collapsed="false">
      <c r="A733" s="50"/>
      <c r="B733" s="51" t="str">
        <f aca="false">IF(A733="","",MONTH(A733))</f>
        <v/>
      </c>
      <c r="C733" s="52"/>
      <c r="D733" s="52"/>
      <c r="E733" s="52"/>
      <c r="F733" s="52"/>
      <c r="G733" s="55" t="str">
        <f aca="false">IF(C733="","",IFERROR(INDEX('DANH MỤC'!$B$5:$B$200,MATCH(C733,'DANH MỤC'!$A$5:$A$200,0)),"⚠ Mã chưa có trong DANH MỤC"))</f>
        <v/>
      </c>
      <c r="H733" s="52"/>
      <c r="I733" s="52"/>
    </row>
    <row r="734" customFormat="false" ht="15" hidden="false" customHeight="false" outlineLevel="0" collapsed="false">
      <c r="A734" s="50"/>
      <c r="B734" s="51" t="str">
        <f aca="false">IF(A734="","",MONTH(A734))</f>
        <v/>
      </c>
      <c r="C734" s="52"/>
      <c r="D734" s="52"/>
      <c r="E734" s="52"/>
      <c r="F734" s="52"/>
      <c r="G734" s="55" t="str">
        <f aca="false">IF(C734="","",IFERROR(INDEX('DANH MỤC'!$B$5:$B$200,MATCH(C734,'DANH MỤC'!$A$5:$A$200,0)),"⚠ Mã chưa có trong DANH MỤC"))</f>
        <v/>
      </c>
      <c r="H734" s="52"/>
      <c r="I734" s="52"/>
    </row>
    <row r="735" customFormat="false" ht="15" hidden="false" customHeight="false" outlineLevel="0" collapsed="false">
      <c r="A735" s="50"/>
      <c r="B735" s="51" t="str">
        <f aca="false">IF(A735="","",MONTH(A735))</f>
        <v/>
      </c>
      <c r="C735" s="52"/>
      <c r="D735" s="52"/>
      <c r="E735" s="52"/>
      <c r="F735" s="52"/>
      <c r="G735" s="55" t="str">
        <f aca="false">IF(C735="","",IFERROR(INDEX('DANH MỤC'!$B$5:$B$200,MATCH(C735,'DANH MỤC'!$A$5:$A$200,0)),"⚠ Mã chưa có trong DANH MỤC"))</f>
        <v/>
      </c>
      <c r="H735" s="52"/>
      <c r="I735" s="52"/>
    </row>
    <row r="736" customFormat="false" ht="15" hidden="false" customHeight="false" outlineLevel="0" collapsed="false">
      <c r="A736" s="50"/>
      <c r="B736" s="51" t="str">
        <f aca="false">IF(A736="","",MONTH(A736))</f>
        <v/>
      </c>
      <c r="C736" s="52"/>
      <c r="D736" s="52"/>
      <c r="E736" s="52"/>
      <c r="F736" s="52"/>
      <c r="G736" s="55" t="str">
        <f aca="false">IF(C736="","",IFERROR(INDEX('DANH MỤC'!$B$5:$B$200,MATCH(C736,'DANH MỤC'!$A$5:$A$200,0)),"⚠ Mã chưa có trong DANH MỤC"))</f>
        <v/>
      </c>
      <c r="H736" s="52"/>
      <c r="I736" s="52"/>
    </row>
    <row r="737" customFormat="false" ht="15" hidden="false" customHeight="false" outlineLevel="0" collapsed="false">
      <c r="A737" s="50"/>
      <c r="B737" s="51" t="str">
        <f aca="false">IF(A737="","",MONTH(A737))</f>
        <v/>
      </c>
      <c r="C737" s="52"/>
      <c r="D737" s="52"/>
      <c r="E737" s="52"/>
      <c r="F737" s="52"/>
      <c r="G737" s="55" t="str">
        <f aca="false">IF(C737="","",IFERROR(INDEX('DANH MỤC'!$B$5:$B$200,MATCH(C737,'DANH MỤC'!$A$5:$A$200,0)),"⚠ Mã chưa có trong DANH MỤC"))</f>
        <v/>
      </c>
      <c r="H737" s="52"/>
      <c r="I737" s="52"/>
    </row>
    <row r="738" customFormat="false" ht="15" hidden="false" customHeight="false" outlineLevel="0" collapsed="false">
      <c r="A738" s="50"/>
      <c r="B738" s="51" t="str">
        <f aca="false">IF(A738="","",MONTH(A738))</f>
        <v/>
      </c>
      <c r="C738" s="52"/>
      <c r="D738" s="52"/>
      <c r="E738" s="52"/>
      <c r="F738" s="52"/>
      <c r="G738" s="55" t="str">
        <f aca="false">IF(C738="","",IFERROR(INDEX('DANH MỤC'!$B$5:$B$200,MATCH(C738,'DANH MỤC'!$A$5:$A$200,0)),"⚠ Mã chưa có trong DANH MỤC"))</f>
        <v/>
      </c>
      <c r="H738" s="52"/>
      <c r="I738" s="52"/>
    </row>
    <row r="739" customFormat="false" ht="15" hidden="false" customHeight="false" outlineLevel="0" collapsed="false">
      <c r="A739" s="50"/>
      <c r="B739" s="51" t="str">
        <f aca="false">IF(A739="","",MONTH(A739))</f>
        <v/>
      </c>
      <c r="C739" s="52"/>
      <c r="D739" s="52"/>
      <c r="E739" s="52"/>
      <c r="F739" s="52"/>
      <c r="G739" s="55" t="str">
        <f aca="false">IF(C739="","",IFERROR(INDEX('DANH MỤC'!$B$5:$B$200,MATCH(C739,'DANH MỤC'!$A$5:$A$200,0)),"⚠ Mã chưa có trong DANH MỤC"))</f>
        <v/>
      </c>
      <c r="H739" s="52"/>
      <c r="I739" s="52"/>
    </row>
    <row r="740" customFormat="false" ht="15" hidden="false" customHeight="false" outlineLevel="0" collapsed="false">
      <c r="A740" s="50"/>
      <c r="B740" s="51" t="str">
        <f aca="false">IF(A740="","",MONTH(A740))</f>
        <v/>
      </c>
      <c r="C740" s="52"/>
      <c r="D740" s="52"/>
      <c r="E740" s="52"/>
      <c r="F740" s="52"/>
      <c r="G740" s="55" t="str">
        <f aca="false">IF(C740="","",IFERROR(INDEX('DANH MỤC'!$B$5:$B$200,MATCH(C740,'DANH MỤC'!$A$5:$A$200,0)),"⚠ Mã chưa có trong DANH MỤC"))</f>
        <v/>
      </c>
      <c r="H740" s="52"/>
      <c r="I740" s="52"/>
    </row>
    <row r="741" customFormat="false" ht="15" hidden="false" customHeight="false" outlineLevel="0" collapsed="false">
      <c r="A741" s="50"/>
      <c r="B741" s="51" t="str">
        <f aca="false">IF(A741="","",MONTH(A741))</f>
        <v/>
      </c>
      <c r="C741" s="52"/>
      <c r="D741" s="52"/>
      <c r="E741" s="52"/>
      <c r="F741" s="52"/>
      <c r="G741" s="55" t="str">
        <f aca="false">IF(C741="","",IFERROR(INDEX('DANH MỤC'!$B$5:$B$200,MATCH(C741,'DANH MỤC'!$A$5:$A$200,0)),"⚠ Mã chưa có trong DANH MỤC"))</f>
        <v/>
      </c>
      <c r="H741" s="52"/>
      <c r="I741" s="52"/>
    </row>
    <row r="742" customFormat="false" ht="15" hidden="false" customHeight="false" outlineLevel="0" collapsed="false">
      <c r="A742" s="50"/>
      <c r="B742" s="51" t="str">
        <f aca="false">IF(A742="","",MONTH(A742))</f>
        <v/>
      </c>
      <c r="C742" s="52"/>
      <c r="D742" s="52"/>
      <c r="E742" s="52"/>
      <c r="F742" s="52"/>
      <c r="G742" s="55" t="str">
        <f aca="false">IF(C742="","",IFERROR(INDEX('DANH MỤC'!$B$5:$B$200,MATCH(C742,'DANH MỤC'!$A$5:$A$200,0)),"⚠ Mã chưa có trong DANH MỤC"))</f>
        <v/>
      </c>
      <c r="H742" s="52"/>
      <c r="I742" s="52"/>
    </row>
    <row r="743" customFormat="false" ht="15" hidden="false" customHeight="false" outlineLevel="0" collapsed="false">
      <c r="A743" s="50"/>
      <c r="B743" s="51" t="str">
        <f aca="false">IF(A743="","",MONTH(A743))</f>
        <v/>
      </c>
      <c r="C743" s="52"/>
      <c r="D743" s="52"/>
      <c r="E743" s="52"/>
      <c r="F743" s="52"/>
      <c r="G743" s="55" t="str">
        <f aca="false">IF(C743="","",IFERROR(INDEX('DANH MỤC'!$B$5:$B$200,MATCH(C743,'DANH MỤC'!$A$5:$A$200,0)),"⚠ Mã chưa có trong DANH MỤC"))</f>
        <v/>
      </c>
      <c r="H743" s="52"/>
      <c r="I743" s="52"/>
    </row>
    <row r="744" customFormat="false" ht="15" hidden="false" customHeight="false" outlineLevel="0" collapsed="false">
      <c r="A744" s="50"/>
      <c r="B744" s="51" t="str">
        <f aca="false">IF(A744="","",MONTH(A744))</f>
        <v/>
      </c>
      <c r="C744" s="52"/>
      <c r="D744" s="52"/>
      <c r="E744" s="52"/>
      <c r="F744" s="52"/>
      <c r="G744" s="55" t="str">
        <f aca="false">IF(C744="","",IFERROR(INDEX('DANH MỤC'!$B$5:$B$200,MATCH(C744,'DANH MỤC'!$A$5:$A$200,0)),"⚠ Mã chưa có trong DANH MỤC"))</f>
        <v/>
      </c>
      <c r="H744" s="52"/>
      <c r="I744" s="52"/>
    </row>
    <row r="745" customFormat="false" ht="15" hidden="false" customHeight="false" outlineLevel="0" collapsed="false">
      <c r="A745" s="50"/>
      <c r="B745" s="51" t="str">
        <f aca="false">IF(A745="","",MONTH(A745))</f>
        <v/>
      </c>
      <c r="C745" s="52"/>
      <c r="D745" s="52"/>
      <c r="E745" s="52"/>
      <c r="F745" s="52"/>
      <c r="G745" s="55" t="str">
        <f aca="false">IF(C745="","",IFERROR(INDEX('DANH MỤC'!$B$5:$B$200,MATCH(C745,'DANH MỤC'!$A$5:$A$200,0)),"⚠ Mã chưa có trong DANH MỤC"))</f>
        <v/>
      </c>
      <c r="H745" s="52"/>
      <c r="I745" s="52"/>
    </row>
    <row r="746" customFormat="false" ht="15" hidden="false" customHeight="false" outlineLevel="0" collapsed="false">
      <c r="A746" s="50"/>
      <c r="B746" s="51" t="str">
        <f aca="false">IF(A746="","",MONTH(A746))</f>
        <v/>
      </c>
      <c r="C746" s="52"/>
      <c r="D746" s="52"/>
      <c r="E746" s="52"/>
      <c r="F746" s="52"/>
      <c r="G746" s="55" t="str">
        <f aca="false">IF(C746="","",IFERROR(INDEX('DANH MỤC'!$B$5:$B$200,MATCH(C746,'DANH MỤC'!$A$5:$A$200,0)),"⚠ Mã chưa có trong DANH MỤC"))</f>
        <v/>
      </c>
      <c r="H746" s="52"/>
      <c r="I746" s="52"/>
    </row>
    <row r="747" customFormat="false" ht="15" hidden="false" customHeight="false" outlineLevel="0" collapsed="false">
      <c r="A747" s="50"/>
      <c r="B747" s="51" t="str">
        <f aca="false">IF(A747="","",MONTH(A747))</f>
        <v/>
      </c>
      <c r="C747" s="52"/>
      <c r="D747" s="52"/>
      <c r="E747" s="52"/>
      <c r="F747" s="52"/>
      <c r="G747" s="55" t="str">
        <f aca="false">IF(C747="","",IFERROR(INDEX('DANH MỤC'!$B$5:$B$200,MATCH(C747,'DANH MỤC'!$A$5:$A$200,0)),"⚠ Mã chưa có trong DANH MỤC"))</f>
        <v/>
      </c>
      <c r="H747" s="52"/>
      <c r="I747" s="52"/>
    </row>
    <row r="748" customFormat="false" ht="15" hidden="false" customHeight="false" outlineLevel="0" collapsed="false">
      <c r="A748" s="50"/>
      <c r="B748" s="51" t="str">
        <f aca="false">IF(A748="","",MONTH(A748))</f>
        <v/>
      </c>
      <c r="C748" s="52"/>
      <c r="D748" s="52"/>
      <c r="E748" s="52"/>
      <c r="F748" s="52"/>
      <c r="G748" s="55" t="str">
        <f aca="false">IF(C748="","",IFERROR(INDEX('DANH MỤC'!$B$5:$B$200,MATCH(C748,'DANH MỤC'!$A$5:$A$200,0)),"⚠ Mã chưa có trong DANH MỤC"))</f>
        <v/>
      </c>
      <c r="H748" s="52"/>
      <c r="I748" s="52"/>
    </row>
    <row r="749" customFormat="false" ht="15" hidden="false" customHeight="false" outlineLevel="0" collapsed="false">
      <c r="A749" s="50"/>
      <c r="B749" s="51" t="str">
        <f aca="false">IF(A749="","",MONTH(A749))</f>
        <v/>
      </c>
      <c r="C749" s="52"/>
      <c r="D749" s="52"/>
      <c r="E749" s="52"/>
      <c r="F749" s="52"/>
      <c r="G749" s="55" t="str">
        <f aca="false">IF(C749="","",IFERROR(INDEX('DANH MỤC'!$B$5:$B$200,MATCH(C749,'DANH MỤC'!$A$5:$A$200,0)),"⚠ Mã chưa có trong DANH MỤC"))</f>
        <v/>
      </c>
      <c r="H749" s="52"/>
      <c r="I749" s="52"/>
    </row>
    <row r="750" customFormat="false" ht="15" hidden="false" customHeight="false" outlineLevel="0" collapsed="false">
      <c r="A750" s="50"/>
      <c r="B750" s="51" t="str">
        <f aca="false">IF(A750="","",MONTH(A750))</f>
        <v/>
      </c>
      <c r="C750" s="52"/>
      <c r="D750" s="52"/>
      <c r="E750" s="52"/>
      <c r="F750" s="52"/>
      <c r="G750" s="55" t="str">
        <f aca="false">IF(C750="","",IFERROR(INDEX('DANH MỤC'!$B$5:$B$200,MATCH(C750,'DANH MỤC'!$A$5:$A$200,0)),"⚠ Mã chưa có trong DANH MỤC"))</f>
        <v/>
      </c>
      <c r="H750" s="52"/>
      <c r="I750" s="52"/>
    </row>
    <row r="751" customFormat="false" ht="15" hidden="false" customHeight="false" outlineLevel="0" collapsed="false">
      <c r="A751" s="50"/>
      <c r="B751" s="51" t="str">
        <f aca="false">IF(A751="","",MONTH(A751))</f>
        <v/>
      </c>
      <c r="C751" s="52"/>
      <c r="D751" s="52"/>
      <c r="E751" s="52"/>
      <c r="F751" s="52"/>
      <c r="G751" s="55" t="str">
        <f aca="false">IF(C751="","",IFERROR(INDEX('DANH MỤC'!$B$5:$B$200,MATCH(C751,'DANH MỤC'!$A$5:$A$200,0)),"⚠ Mã chưa có trong DANH MỤC"))</f>
        <v/>
      </c>
      <c r="H751" s="52"/>
      <c r="I751" s="52"/>
    </row>
    <row r="752" customFormat="false" ht="15" hidden="false" customHeight="false" outlineLevel="0" collapsed="false">
      <c r="A752" s="50"/>
      <c r="B752" s="51" t="str">
        <f aca="false">IF(A752="","",MONTH(A752))</f>
        <v/>
      </c>
      <c r="C752" s="52"/>
      <c r="D752" s="52"/>
      <c r="E752" s="52"/>
      <c r="F752" s="52"/>
      <c r="G752" s="55" t="str">
        <f aca="false">IF(C752="","",IFERROR(INDEX('DANH MỤC'!$B$5:$B$200,MATCH(C752,'DANH MỤC'!$A$5:$A$200,0)),"⚠ Mã chưa có trong DANH MỤC"))</f>
        <v/>
      </c>
      <c r="H752" s="52"/>
      <c r="I752" s="52"/>
    </row>
    <row r="753" customFormat="false" ht="15" hidden="false" customHeight="false" outlineLevel="0" collapsed="false">
      <c r="A753" s="50"/>
      <c r="B753" s="51" t="str">
        <f aca="false">IF(A753="","",MONTH(A753))</f>
        <v/>
      </c>
      <c r="C753" s="52"/>
      <c r="D753" s="52"/>
      <c r="E753" s="52"/>
      <c r="F753" s="52"/>
      <c r="G753" s="55" t="str">
        <f aca="false">IF(C753="","",IFERROR(INDEX('DANH MỤC'!$B$5:$B$200,MATCH(C753,'DANH MỤC'!$A$5:$A$200,0)),"⚠ Mã chưa có trong DANH MỤC"))</f>
        <v/>
      </c>
      <c r="H753" s="52"/>
      <c r="I753" s="52"/>
    </row>
    <row r="754" customFormat="false" ht="15" hidden="false" customHeight="false" outlineLevel="0" collapsed="false">
      <c r="A754" s="50"/>
      <c r="B754" s="51" t="str">
        <f aca="false">IF(A754="","",MONTH(A754))</f>
        <v/>
      </c>
      <c r="C754" s="52"/>
      <c r="D754" s="52"/>
      <c r="E754" s="52"/>
      <c r="F754" s="52"/>
      <c r="G754" s="55" t="str">
        <f aca="false">IF(C754="","",IFERROR(INDEX('DANH MỤC'!$B$5:$B$200,MATCH(C754,'DANH MỤC'!$A$5:$A$200,0)),"⚠ Mã chưa có trong DANH MỤC"))</f>
        <v/>
      </c>
      <c r="H754" s="52"/>
      <c r="I754" s="52"/>
    </row>
    <row r="755" customFormat="false" ht="15" hidden="false" customHeight="false" outlineLevel="0" collapsed="false">
      <c r="A755" s="50"/>
      <c r="B755" s="51" t="str">
        <f aca="false">IF(A755="","",MONTH(A755))</f>
        <v/>
      </c>
      <c r="C755" s="52"/>
      <c r="D755" s="52"/>
      <c r="E755" s="52"/>
      <c r="F755" s="52"/>
      <c r="G755" s="55" t="str">
        <f aca="false">IF(C755="","",IFERROR(INDEX('DANH MỤC'!$B$5:$B$200,MATCH(C755,'DANH MỤC'!$A$5:$A$200,0)),"⚠ Mã chưa có trong DANH MỤC"))</f>
        <v/>
      </c>
      <c r="H755" s="52"/>
      <c r="I755" s="52"/>
    </row>
    <row r="756" customFormat="false" ht="15" hidden="false" customHeight="false" outlineLevel="0" collapsed="false">
      <c r="A756" s="50"/>
      <c r="B756" s="51" t="str">
        <f aca="false">IF(A756="","",MONTH(A756))</f>
        <v/>
      </c>
      <c r="C756" s="52"/>
      <c r="D756" s="52"/>
      <c r="E756" s="52"/>
      <c r="F756" s="52"/>
      <c r="G756" s="55" t="str">
        <f aca="false">IF(C756="","",IFERROR(INDEX('DANH MỤC'!$B$5:$B$200,MATCH(C756,'DANH MỤC'!$A$5:$A$200,0)),"⚠ Mã chưa có trong DANH MỤC"))</f>
        <v/>
      </c>
      <c r="H756" s="52"/>
      <c r="I756" s="52"/>
    </row>
    <row r="757" customFormat="false" ht="15" hidden="false" customHeight="false" outlineLevel="0" collapsed="false">
      <c r="A757" s="50"/>
      <c r="B757" s="51" t="str">
        <f aca="false">IF(A757="","",MONTH(A757))</f>
        <v/>
      </c>
      <c r="C757" s="52"/>
      <c r="D757" s="52"/>
      <c r="E757" s="52"/>
      <c r="F757" s="52"/>
      <c r="G757" s="55" t="str">
        <f aca="false">IF(C757="","",IFERROR(INDEX('DANH MỤC'!$B$5:$B$200,MATCH(C757,'DANH MỤC'!$A$5:$A$200,0)),"⚠ Mã chưa có trong DANH MỤC"))</f>
        <v/>
      </c>
      <c r="H757" s="52"/>
      <c r="I757" s="52"/>
    </row>
    <row r="758" customFormat="false" ht="15" hidden="false" customHeight="false" outlineLevel="0" collapsed="false">
      <c r="A758" s="50"/>
      <c r="B758" s="51" t="str">
        <f aca="false">IF(A758="","",MONTH(A758))</f>
        <v/>
      </c>
      <c r="C758" s="52"/>
      <c r="D758" s="52"/>
      <c r="E758" s="52"/>
      <c r="F758" s="52"/>
      <c r="G758" s="55" t="str">
        <f aca="false">IF(C758="","",IFERROR(INDEX('DANH MỤC'!$B$5:$B$200,MATCH(C758,'DANH MỤC'!$A$5:$A$200,0)),"⚠ Mã chưa có trong DANH MỤC"))</f>
        <v/>
      </c>
      <c r="H758" s="52"/>
      <c r="I758" s="52"/>
    </row>
    <row r="759" customFormat="false" ht="15" hidden="false" customHeight="false" outlineLevel="0" collapsed="false">
      <c r="A759" s="50"/>
      <c r="B759" s="51" t="str">
        <f aca="false">IF(A759="","",MONTH(A759))</f>
        <v/>
      </c>
      <c r="C759" s="52"/>
      <c r="D759" s="52"/>
      <c r="E759" s="52"/>
      <c r="F759" s="52"/>
      <c r="G759" s="55" t="str">
        <f aca="false">IF(C759="","",IFERROR(INDEX('DANH MỤC'!$B$5:$B$200,MATCH(C759,'DANH MỤC'!$A$5:$A$200,0)),"⚠ Mã chưa có trong DANH MỤC"))</f>
        <v/>
      </c>
      <c r="H759" s="52"/>
      <c r="I759" s="52"/>
    </row>
    <row r="760" customFormat="false" ht="15" hidden="false" customHeight="false" outlineLevel="0" collapsed="false">
      <c r="A760" s="50"/>
      <c r="B760" s="51" t="str">
        <f aca="false">IF(A760="","",MONTH(A760))</f>
        <v/>
      </c>
      <c r="C760" s="52"/>
      <c r="D760" s="52"/>
      <c r="E760" s="52"/>
      <c r="F760" s="52"/>
      <c r="G760" s="55" t="str">
        <f aca="false">IF(C760="","",IFERROR(INDEX('DANH MỤC'!$B$5:$B$200,MATCH(C760,'DANH MỤC'!$A$5:$A$200,0)),"⚠ Mã chưa có trong DANH MỤC"))</f>
        <v/>
      </c>
      <c r="H760" s="52"/>
      <c r="I760" s="52"/>
    </row>
    <row r="761" customFormat="false" ht="15" hidden="false" customHeight="false" outlineLevel="0" collapsed="false">
      <c r="A761" s="50"/>
      <c r="B761" s="51" t="str">
        <f aca="false">IF(A761="","",MONTH(A761))</f>
        <v/>
      </c>
      <c r="C761" s="52"/>
      <c r="D761" s="52"/>
      <c r="E761" s="52"/>
      <c r="F761" s="52"/>
      <c r="G761" s="55" t="str">
        <f aca="false">IF(C761="","",IFERROR(INDEX('DANH MỤC'!$B$5:$B$200,MATCH(C761,'DANH MỤC'!$A$5:$A$200,0)),"⚠ Mã chưa có trong DANH MỤC"))</f>
        <v/>
      </c>
      <c r="H761" s="52"/>
      <c r="I761" s="52"/>
    </row>
    <row r="762" customFormat="false" ht="15" hidden="false" customHeight="false" outlineLevel="0" collapsed="false">
      <c r="A762" s="50"/>
      <c r="B762" s="51" t="str">
        <f aca="false">IF(A762="","",MONTH(A762))</f>
        <v/>
      </c>
      <c r="C762" s="52"/>
      <c r="D762" s="52"/>
      <c r="E762" s="52"/>
      <c r="F762" s="52"/>
      <c r="G762" s="55" t="str">
        <f aca="false">IF(C762="","",IFERROR(INDEX('DANH MỤC'!$B$5:$B$200,MATCH(C762,'DANH MỤC'!$A$5:$A$200,0)),"⚠ Mã chưa có trong DANH MỤC"))</f>
        <v/>
      </c>
      <c r="H762" s="52"/>
      <c r="I762" s="52"/>
    </row>
    <row r="763" customFormat="false" ht="15" hidden="false" customHeight="false" outlineLevel="0" collapsed="false">
      <c r="A763" s="50"/>
      <c r="B763" s="51" t="str">
        <f aca="false">IF(A763="","",MONTH(A763))</f>
        <v/>
      </c>
      <c r="C763" s="52"/>
      <c r="D763" s="52"/>
      <c r="E763" s="52"/>
      <c r="F763" s="52"/>
      <c r="G763" s="55" t="str">
        <f aca="false">IF(C763="","",IFERROR(INDEX('DANH MỤC'!$B$5:$B$200,MATCH(C763,'DANH MỤC'!$A$5:$A$200,0)),"⚠ Mã chưa có trong DANH MỤC"))</f>
        <v/>
      </c>
      <c r="H763" s="52"/>
      <c r="I763" s="52"/>
    </row>
    <row r="764" customFormat="false" ht="15" hidden="false" customHeight="false" outlineLevel="0" collapsed="false">
      <c r="A764" s="50"/>
      <c r="B764" s="51" t="str">
        <f aca="false">IF(A764="","",MONTH(A764))</f>
        <v/>
      </c>
      <c r="C764" s="52"/>
      <c r="D764" s="52"/>
      <c r="E764" s="52"/>
      <c r="F764" s="52"/>
      <c r="G764" s="55" t="str">
        <f aca="false">IF(C764="","",IFERROR(INDEX('DANH MỤC'!$B$5:$B$200,MATCH(C764,'DANH MỤC'!$A$5:$A$200,0)),"⚠ Mã chưa có trong DANH MỤC"))</f>
        <v/>
      </c>
      <c r="H764" s="52"/>
      <c r="I764" s="52"/>
    </row>
    <row r="765" customFormat="false" ht="15" hidden="false" customHeight="false" outlineLevel="0" collapsed="false">
      <c r="A765" s="50"/>
      <c r="B765" s="51" t="str">
        <f aca="false">IF(A765="","",MONTH(A765))</f>
        <v/>
      </c>
      <c r="C765" s="52"/>
      <c r="D765" s="52"/>
      <c r="E765" s="52"/>
      <c r="F765" s="52"/>
      <c r="G765" s="55" t="str">
        <f aca="false">IF(C765="","",IFERROR(INDEX('DANH MỤC'!$B$5:$B$200,MATCH(C765,'DANH MỤC'!$A$5:$A$200,0)),"⚠ Mã chưa có trong DANH MỤC"))</f>
        <v/>
      </c>
      <c r="H765" s="52"/>
      <c r="I765" s="52"/>
    </row>
    <row r="766" customFormat="false" ht="15" hidden="false" customHeight="false" outlineLevel="0" collapsed="false">
      <c r="A766" s="50"/>
      <c r="B766" s="51" t="str">
        <f aca="false">IF(A766="","",MONTH(A766))</f>
        <v/>
      </c>
      <c r="C766" s="52"/>
      <c r="D766" s="52"/>
      <c r="E766" s="52"/>
      <c r="F766" s="52"/>
      <c r="G766" s="55" t="str">
        <f aca="false">IF(C766="","",IFERROR(INDEX('DANH MỤC'!$B$5:$B$200,MATCH(C766,'DANH MỤC'!$A$5:$A$200,0)),"⚠ Mã chưa có trong DANH MỤC"))</f>
        <v/>
      </c>
      <c r="H766" s="52"/>
      <c r="I766" s="52"/>
    </row>
    <row r="767" customFormat="false" ht="15" hidden="false" customHeight="false" outlineLevel="0" collapsed="false">
      <c r="A767" s="50"/>
      <c r="B767" s="51" t="str">
        <f aca="false">IF(A767="","",MONTH(A767))</f>
        <v/>
      </c>
      <c r="C767" s="52"/>
      <c r="D767" s="52"/>
      <c r="E767" s="52"/>
      <c r="F767" s="52"/>
      <c r="G767" s="55" t="str">
        <f aca="false">IF(C767="","",IFERROR(INDEX('DANH MỤC'!$B$5:$B$200,MATCH(C767,'DANH MỤC'!$A$5:$A$200,0)),"⚠ Mã chưa có trong DANH MỤC"))</f>
        <v/>
      </c>
      <c r="H767" s="52"/>
      <c r="I767" s="52"/>
    </row>
    <row r="768" customFormat="false" ht="15" hidden="false" customHeight="false" outlineLevel="0" collapsed="false">
      <c r="A768" s="50"/>
      <c r="B768" s="51" t="str">
        <f aca="false">IF(A768="","",MONTH(A768))</f>
        <v/>
      </c>
      <c r="C768" s="52"/>
      <c r="D768" s="52"/>
      <c r="E768" s="52"/>
      <c r="F768" s="52"/>
      <c r="G768" s="55" t="str">
        <f aca="false">IF(C768="","",IFERROR(INDEX('DANH MỤC'!$B$5:$B$200,MATCH(C768,'DANH MỤC'!$A$5:$A$200,0)),"⚠ Mã chưa có trong DANH MỤC"))</f>
        <v/>
      </c>
      <c r="H768" s="52"/>
      <c r="I768" s="52"/>
    </row>
    <row r="769" customFormat="false" ht="15" hidden="false" customHeight="false" outlineLevel="0" collapsed="false">
      <c r="A769" s="50"/>
      <c r="B769" s="51" t="str">
        <f aca="false">IF(A769="","",MONTH(A769))</f>
        <v/>
      </c>
      <c r="C769" s="52"/>
      <c r="D769" s="52"/>
      <c r="E769" s="52"/>
      <c r="F769" s="52"/>
      <c r="G769" s="55" t="str">
        <f aca="false">IF(C769="","",IFERROR(INDEX('DANH MỤC'!$B$5:$B$200,MATCH(C769,'DANH MỤC'!$A$5:$A$200,0)),"⚠ Mã chưa có trong DANH MỤC"))</f>
        <v/>
      </c>
      <c r="H769" s="52"/>
      <c r="I769" s="52"/>
    </row>
    <row r="770" customFormat="false" ht="15" hidden="false" customHeight="false" outlineLevel="0" collapsed="false">
      <c r="A770" s="50"/>
      <c r="B770" s="51" t="str">
        <f aca="false">IF(A770="","",MONTH(A770))</f>
        <v/>
      </c>
      <c r="C770" s="52"/>
      <c r="D770" s="52"/>
      <c r="E770" s="52"/>
      <c r="F770" s="52"/>
      <c r="G770" s="55" t="str">
        <f aca="false">IF(C770="","",IFERROR(INDEX('DANH MỤC'!$B$5:$B$200,MATCH(C770,'DANH MỤC'!$A$5:$A$200,0)),"⚠ Mã chưa có trong DANH MỤC"))</f>
        <v/>
      </c>
      <c r="H770" s="52"/>
      <c r="I770" s="52"/>
    </row>
    <row r="771" customFormat="false" ht="15" hidden="false" customHeight="false" outlineLevel="0" collapsed="false">
      <c r="A771" s="50"/>
      <c r="B771" s="51" t="str">
        <f aca="false">IF(A771="","",MONTH(A771))</f>
        <v/>
      </c>
      <c r="C771" s="52"/>
      <c r="D771" s="52"/>
      <c r="E771" s="52"/>
      <c r="F771" s="52"/>
      <c r="G771" s="55" t="str">
        <f aca="false">IF(C771="","",IFERROR(INDEX('DANH MỤC'!$B$5:$B$200,MATCH(C771,'DANH MỤC'!$A$5:$A$200,0)),"⚠ Mã chưa có trong DANH MỤC"))</f>
        <v/>
      </c>
      <c r="H771" s="52"/>
      <c r="I771" s="52"/>
    </row>
    <row r="772" customFormat="false" ht="15" hidden="false" customHeight="false" outlineLevel="0" collapsed="false">
      <c r="A772" s="50"/>
      <c r="B772" s="51" t="str">
        <f aca="false">IF(A772="","",MONTH(A772))</f>
        <v/>
      </c>
      <c r="C772" s="52"/>
      <c r="D772" s="52"/>
      <c r="E772" s="52"/>
      <c r="F772" s="52"/>
      <c r="G772" s="55" t="str">
        <f aca="false">IF(C772="","",IFERROR(INDEX('DANH MỤC'!$B$5:$B$200,MATCH(C772,'DANH MỤC'!$A$5:$A$200,0)),"⚠ Mã chưa có trong DANH MỤC"))</f>
        <v/>
      </c>
      <c r="H772" s="52"/>
      <c r="I772" s="52"/>
    </row>
    <row r="773" customFormat="false" ht="15" hidden="false" customHeight="false" outlineLevel="0" collapsed="false">
      <c r="A773" s="50"/>
      <c r="B773" s="51" t="str">
        <f aca="false">IF(A773="","",MONTH(A773))</f>
        <v/>
      </c>
      <c r="C773" s="52"/>
      <c r="D773" s="52"/>
      <c r="E773" s="52"/>
      <c r="F773" s="52"/>
      <c r="G773" s="55" t="str">
        <f aca="false">IF(C773="","",IFERROR(INDEX('DANH MỤC'!$B$5:$B$200,MATCH(C773,'DANH MỤC'!$A$5:$A$200,0)),"⚠ Mã chưa có trong DANH MỤC"))</f>
        <v/>
      </c>
      <c r="H773" s="52"/>
      <c r="I773" s="52"/>
    </row>
    <row r="774" customFormat="false" ht="15" hidden="false" customHeight="false" outlineLevel="0" collapsed="false">
      <c r="A774" s="50"/>
      <c r="B774" s="51" t="str">
        <f aca="false">IF(A774="","",MONTH(A774))</f>
        <v/>
      </c>
      <c r="C774" s="52"/>
      <c r="D774" s="52"/>
      <c r="E774" s="52"/>
      <c r="F774" s="52"/>
      <c r="G774" s="55" t="str">
        <f aca="false">IF(C774="","",IFERROR(INDEX('DANH MỤC'!$B$5:$B$200,MATCH(C774,'DANH MỤC'!$A$5:$A$200,0)),"⚠ Mã chưa có trong DANH MỤC"))</f>
        <v/>
      </c>
      <c r="H774" s="52"/>
      <c r="I774" s="52"/>
    </row>
    <row r="775" customFormat="false" ht="15" hidden="false" customHeight="false" outlineLevel="0" collapsed="false">
      <c r="A775" s="50"/>
      <c r="B775" s="51" t="str">
        <f aca="false">IF(A775="","",MONTH(A775))</f>
        <v/>
      </c>
      <c r="C775" s="52"/>
      <c r="D775" s="52"/>
      <c r="E775" s="52"/>
      <c r="F775" s="52"/>
      <c r="G775" s="55" t="str">
        <f aca="false">IF(C775="","",IFERROR(INDEX('DANH MỤC'!$B$5:$B$200,MATCH(C775,'DANH MỤC'!$A$5:$A$200,0)),"⚠ Mã chưa có trong DANH MỤC"))</f>
        <v/>
      </c>
      <c r="H775" s="52"/>
      <c r="I775" s="52"/>
    </row>
    <row r="776" customFormat="false" ht="15" hidden="false" customHeight="false" outlineLevel="0" collapsed="false">
      <c r="A776" s="50"/>
      <c r="B776" s="51" t="str">
        <f aca="false">IF(A776="","",MONTH(A776))</f>
        <v/>
      </c>
      <c r="C776" s="52"/>
      <c r="D776" s="52"/>
      <c r="E776" s="52"/>
      <c r="F776" s="52"/>
      <c r="G776" s="55" t="str">
        <f aca="false">IF(C776="","",IFERROR(INDEX('DANH MỤC'!$B$5:$B$200,MATCH(C776,'DANH MỤC'!$A$5:$A$200,0)),"⚠ Mã chưa có trong DANH MỤC"))</f>
        <v/>
      </c>
      <c r="H776" s="52"/>
      <c r="I776" s="52"/>
    </row>
    <row r="777" customFormat="false" ht="15" hidden="false" customHeight="false" outlineLevel="0" collapsed="false">
      <c r="A777" s="50"/>
      <c r="B777" s="51" t="str">
        <f aca="false">IF(A777="","",MONTH(A777))</f>
        <v/>
      </c>
      <c r="C777" s="52"/>
      <c r="D777" s="52"/>
      <c r="E777" s="52"/>
      <c r="F777" s="52"/>
      <c r="G777" s="55" t="str">
        <f aca="false">IF(C777="","",IFERROR(INDEX('DANH MỤC'!$B$5:$B$200,MATCH(C777,'DANH MỤC'!$A$5:$A$200,0)),"⚠ Mã chưa có trong DANH MỤC"))</f>
        <v/>
      </c>
      <c r="H777" s="52"/>
      <c r="I777" s="52"/>
    </row>
    <row r="778" customFormat="false" ht="15" hidden="false" customHeight="false" outlineLevel="0" collapsed="false">
      <c r="A778" s="50"/>
      <c r="B778" s="51" t="str">
        <f aca="false">IF(A778="","",MONTH(A778))</f>
        <v/>
      </c>
      <c r="C778" s="52"/>
      <c r="D778" s="52"/>
      <c r="E778" s="52"/>
      <c r="F778" s="52"/>
      <c r="G778" s="55" t="str">
        <f aca="false">IF(C778="","",IFERROR(INDEX('DANH MỤC'!$B$5:$B$200,MATCH(C778,'DANH MỤC'!$A$5:$A$200,0)),"⚠ Mã chưa có trong DANH MỤC"))</f>
        <v/>
      </c>
      <c r="H778" s="52"/>
      <c r="I778" s="52"/>
    </row>
    <row r="779" customFormat="false" ht="15" hidden="false" customHeight="false" outlineLevel="0" collapsed="false">
      <c r="A779" s="50"/>
      <c r="B779" s="51" t="str">
        <f aca="false">IF(A779="","",MONTH(A779))</f>
        <v/>
      </c>
      <c r="C779" s="52"/>
      <c r="D779" s="52"/>
      <c r="E779" s="52"/>
      <c r="F779" s="52"/>
      <c r="G779" s="55" t="str">
        <f aca="false">IF(C779="","",IFERROR(INDEX('DANH MỤC'!$B$5:$B$200,MATCH(C779,'DANH MỤC'!$A$5:$A$200,0)),"⚠ Mã chưa có trong DANH MỤC"))</f>
        <v/>
      </c>
      <c r="H779" s="52"/>
      <c r="I779" s="52"/>
    </row>
    <row r="780" customFormat="false" ht="15" hidden="false" customHeight="false" outlineLevel="0" collapsed="false">
      <c r="A780" s="50"/>
      <c r="B780" s="51" t="str">
        <f aca="false">IF(A780="","",MONTH(A780))</f>
        <v/>
      </c>
      <c r="C780" s="52"/>
      <c r="D780" s="52"/>
      <c r="E780" s="52"/>
      <c r="F780" s="52"/>
      <c r="G780" s="55" t="str">
        <f aca="false">IF(C780="","",IFERROR(INDEX('DANH MỤC'!$B$5:$B$200,MATCH(C780,'DANH MỤC'!$A$5:$A$200,0)),"⚠ Mã chưa có trong DANH MỤC"))</f>
        <v/>
      </c>
      <c r="H780" s="52"/>
      <c r="I780" s="52"/>
    </row>
    <row r="781" customFormat="false" ht="15" hidden="false" customHeight="false" outlineLevel="0" collapsed="false">
      <c r="A781" s="50"/>
      <c r="B781" s="51" t="str">
        <f aca="false">IF(A781="","",MONTH(A781))</f>
        <v/>
      </c>
      <c r="C781" s="52"/>
      <c r="D781" s="52"/>
      <c r="E781" s="52"/>
      <c r="F781" s="52"/>
      <c r="G781" s="55" t="str">
        <f aca="false">IF(C781="","",IFERROR(INDEX('DANH MỤC'!$B$5:$B$200,MATCH(C781,'DANH MỤC'!$A$5:$A$200,0)),"⚠ Mã chưa có trong DANH MỤC"))</f>
        <v/>
      </c>
      <c r="H781" s="52"/>
      <c r="I781" s="52"/>
    </row>
    <row r="782" customFormat="false" ht="15" hidden="false" customHeight="false" outlineLevel="0" collapsed="false">
      <c r="A782" s="50"/>
      <c r="B782" s="51" t="str">
        <f aca="false">IF(A782="","",MONTH(A782))</f>
        <v/>
      </c>
      <c r="C782" s="52"/>
      <c r="D782" s="52"/>
      <c r="E782" s="52"/>
      <c r="F782" s="52"/>
      <c r="G782" s="55" t="str">
        <f aca="false">IF(C782="","",IFERROR(INDEX('DANH MỤC'!$B$5:$B$200,MATCH(C782,'DANH MỤC'!$A$5:$A$200,0)),"⚠ Mã chưa có trong DANH MỤC"))</f>
        <v/>
      </c>
      <c r="H782" s="52"/>
      <c r="I782" s="52"/>
    </row>
    <row r="783" customFormat="false" ht="15" hidden="false" customHeight="false" outlineLevel="0" collapsed="false">
      <c r="A783" s="50"/>
      <c r="B783" s="51" t="str">
        <f aca="false">IF(A783="","",MONTH(A783))</f>
        <v/>
      </c>
      <c r="C783" s="52"/>
      <c r="D783" s="52"/>
      <c r="E783" s="52"/>
      <c r="F783" s="52"/>
      <c r="G783" s="55" t="str">
        <f aca="false">IF(C783="","",IFERROR(INDEX('DANH MỤC'!$B$5:$B$200,MATCH(C783,'DANH MỤC'!$A$5:$A$200,0)),"⚠ Mã chưa có trong DANH MỤC"))</f>
        <v/>
      </c>
      <c r="H783" s="52"/>
      <c r="I783" s="52"/>
    </row>
    <row r="784" customFormat="false" ht="15" hidden="false" customHeight="false" outlineLevel="0" collapsed="false">
      <c r="A784" s="50"/>
      <c r="B784" s="51" t="str">
        <f aca="false">IF(A784="","",MONTH(A784))</f>
        <v/>
      </c>
      <c r="C784" s="52"/>
      <c r="D784" s="52"/>
      <c r="E784" s="52"/>
      <c r="F784" s="52"/>
      <c r="G784" s="55" t="str">
        <f aca="false">IF(C784="","",IFERROR(INDEX('DANH MỤC'!$B$5:$B$200,MATCH(C784,'DANH MỤC'!$A$5:$A$200,0)),"⚠ Mã chưa có trong DANH MỤC"))</f>
        <v/>
      </c>
      <c r="H784" s="52"/>
      <c r="I784" s="52"/>
    </row>
    <row r="785" customFormat="false" ht="15" hidden="false" customHeight="false" outlineLevel="0" collapsed="false">
      <c r="A785" s="50"/>
      <c r="B785" s="51" t="str">
        <f aca="false">IF(A785="","",MONTH(A785))</f>
        <v/>
      </c>
      <c r="C785" s="52"/>
      <c r="D785" s="52"/>
      <c r="E785" s="52"/>
      <c r="F785" s="52"/>
      <c r="G785" s="55" t="str">
        <f aca="false">IF(C785="","",IFERROR(INDEX('DANH MỤC'!$B$5:$B$200,MATCH(C785,'DANH MỤC'!$A$5:$A$200,0)),"⚠ Mã chưa có trong DANH MỤC"))</f>
        <v/>
      </c>
      <c r="H785" s="52"/>
      <c r="I785" s="52"/>
    </row>
    <row r="786" customFormat="false" ht="15" hidden="false" customHeight="false" outlineLevel="0" collapsed="false">
      <c r="A786" s="50"/>
      <c r="B786" s="51" t="str">
        <f aca="false">IF(A786="","",MONTH(A786))</f>
        <v/>
      </c>
      <c r="C786" s="52"/>
      <c r="D786" s="52"/>
      <c r="E786" s="52"/>
      <c r="F786" s="52"/>
      <c r="G786" s="55" t="str">
        <f aca="false">IF(C786="","",IFERROR(INDEX('DANH MỤC'!$B$5:$B$200,MATCH(C786,'DANH MỤC'!$A$5:$A$200,0)),"⚠ Mã chưa có trong DANH MỤC"))</f>
        <v/>
      </c>
      <c r="H786" s="52"/>
      <c r="I786" s="52"/>
    </row>
    <row r="787" customFormat="false" ht="15" hidden="false" customHeight="false" outlineLevel="0" collapsed="false">
      <c r="A787" s="50"/>
      <c r="B787" s="51" t="str">
        <f aca="false">IF(A787="","",MONTH(A787))</f>
        <v/>
      </c>
      <c r="C787" s="52"/>
      <c r="D787" s="52"/>
      <c r="E787" s="52"/>
      <c r="F787" s="52"/>
      <c r="G787" s="55" t="str">
        <f aca="false">IF(C787="","",IFERROR(INDEX('DANH MỤC'!$B$5:$B$200,MATCH(C787,'DANH MỤC'!$A$5:$A$200,0)),"⚠ Mã chưa có trong DANH MỤC"))</f>
        <v/>
      </c>
      <c r="H787" s="52"/>
      <c r="I787" s="52"/>
    </row>
    <row r="788" customFormat="false" ht="15" hidden="false" customHeight="false" outlineLevel="0" collapsed="false">
      <c r="A788" s="50"/>
      <c r="B788" s="51" t="str">
        <f aca="false">IF(A788="","",MONTH(A788))</f>
        <v/>
      </c>
      <c r="C788" s="52"/>
      <c r="D788" s="52"/>
      <c r="E788" s="52"/>
      <c r="F788" s="52"/>
      <c r="G788" s="55" t="str">
        <f aca="false">IF(C788="","",IFERROR(INDEX('DANH MỤC'!$B$5:$B$200,MATCH(C788,'DANH MỤC'!$A$5:$A$200,0)),"⚠ Mã chưa có trong DANH MỤC"))</f>
        <v/>
      </c>
      <c r="H788" s="52"/>
      <c r="I788" s="52"/>
    </row>
    <row r="789" customFormat="false" ht="15" hidden="false" customHeight="false" outlineLevel="0" collapsed="false">
      <c r="A789" s="50"/>
      <c r="B789" s="51" t="str">
        <f aca="false">IF(A789="","",MONTH(A789))</f>
        <v/>
      </c>
      <c r="C789" s="52"/>
      <c r="D789" s="52"/>
      <c r="E789" s="52"/>
      <c r="F789" s="52"/>
      <c r="G789" s="55" t="str">
        <f aca="false">IF(C789="","",IFERROR(INDEX('DANH MỤC'!$B$5:$B$200,MATCH(C789,'DANH MỤC'!$A$5:$A$200,0)),"⚠ Mã chưa có trong DANH MỤC"))</f>
        <v/>
      </c>
      <c r="H789" s="52"/>
      <c r="I789" s="52"/>
    </row>
    <row r="790" customFormat="false" ht="15" hidden="false" customHeight="false" outlineLevel="0" collapsed="false">
      <c r="A790" s="50"/>
      <c r="B790" s="51" t="str">
        <f aca="false">IF(A790="","",MONTH(A790))</f>
        <v/>
      </c>
      <c r="C790" s="52"/>
      <c r="D790" s="52"/>
      <c r="E790" s="52"/>
      <c r="F790" s="52"/>
      <c r="G790" s="55" t="str">
        <f aca="false">IF(C790="","",IFERROR(INDEX('DANH MỤC'!$B$5:$B$200,MATCH(C790,'DANH MỤC'!$A$5:$A$200,0)),"⚠ Mã chưa có trong DANH MỤC"))</f>
        <v/>
      </c>
      <c r="H790" s="52"/>
      <c r="I790" s="52"/>
    </row>
    <row r="791" customFormat="false" ht="15" hidden="false" customHeight="false" outlineLevel="0" collapsed="false">
      <c r="A791" s="50"/>
      <c r="B791" s="51" t="str">
        <f aca="false">IF(A791="","",MONTH(A791))</f>
        <v/>
      </c>
      <c r="C791" s="52"/>
      <c r="D791" s="52"/>
      <c r="E791" s="52"/>
      <c r="F791" s="52"/>
      <c r="G791" s="55" t="str">
        <f aca="false">IF(C791="","",IFERROR(INDEX('DANH MỤC'!$B$5:$B$200,MATCH(C791,'DANH MỤC'!$A$5:$A$200,0)),"⚠ Mã chưa có trong DANH MỤC"))</f>
        <v/>
      </c>
      <c r="H791" s="52"/>
      <c r="I791" s="52"/>
    </row>
    <row r="792" customFormat="false" ht="15" hidden="false" customHeight="false" outlineLevel="0" collapsed="false">
      <c r="A792" s="50"/>
      <c r="B792" s="51" t="str">
        <f aca="false">IF(A792="","",MONTH(A792))</f>
        <v/>
      </c>
      <c r="C792" s="52"/>
      <c r="D792" s="52"/>
      <c r="E792" s="52"/>
      <c r="F792" s="52"/>
      <c r="G792" s="55" t="str">
        <f aca="false">IF(C792="","",IFERROR(INDEX('DANH MỤC'!$B$5:$B$200,MATCH(C792,'DANH MỤC'!$A$5:$A$200,0)),"⚠ Mã chưa có trong DANH MỤC"))</f>
        <v/>
      </c>
      <c r="H792" s="52"/>
      <c r="I792" s="52"/>
    </row>
    <row r="793" customFormat="false" ht="15" hidden="false" customHeight="false" outlineLevel="0" collapsed="false">
      <c r="A793" s="50"/>
      <c r="B793" s="51" t="str">
        <f aca="false">IF(A793="","",MONTH(A793))</f>
        <v/>
      </c>
      <c r="C793" s="52"/>
      <c r="D793" s="52"/>
      <c r="E793" s="52"/>
      <c r="F793" s="52"/>
      <c r="G793" s="55" t="str">
        <f aca="false">IF(C793="","",IFERROR(INDEX('DANH MỤC'!$B$5:$B$200,MATCH(C793,'DANH MỤC'!$A$5:$A$200,0)),"⚠ Mã chưa có trong DANH MỤC"))</f>
        <v/>
      </c>
      <c r="H793" s="52"/>
      <c r="I793" s="52"/>
    </row>
    <row r="794" customFormat="false" ht="15" hidden="false" customHeight="false" outlineLevel="0" collapsed="false">
      <c r="A794" s="50"/>
      <c r="B794" s="51" t="str">
        <f aca="false">IF(A794="","",MONTH(A794))</f>
        <v/>
      </c>
      <c r="C794" s="52"/>
      <c r="D794" s="52"/>
      <c r="E794" s="52"/>
      <c r="F794" s="52"/>
      <c r="G794" s="55" t="str">
        <f aca="false">IF(C794="","",IFERROR(INDEX('DANH MỤC'!$B$5:$B$200,MATCH(C794,'DANH MỤC'!$A$5:$A$200,0)),"⚠ Mã chưa có trong DANH MỤC"))</f>
        <v/>
      </c>
      <c r="H794" s="52"/>
      <c r="I794" s="52"/>
    </row>
    <row r="795" customFormat="false" ht="15" hidden="false" customHeight="false" outlineLevel="0" collapsed="false">
      <c r="A795" s="50"/>
      <c r="B795" s="51" t="str">
        <f aca="false">IF(A795="","",MONTH(A795))</f>
        <v/>
      </c>
      <c r="C795" s="52"/>
      <c r="D795" s="52"/>
      <c r="E795" s="52"/>
      <c r="F795" s="52"/>
      <c r="G795" s="55" t="str">
        <f aca="false">IF(C795="","",IFERROR(INDEX('DANH MỤC'!$B$5:$B$200,MATCH(C795,'DANH MỤC'!$A$5:$A$200,0)),"⚠ Mã chưa có trong DANH MỤC"))</f>
        <v/>
      </c>
      <c r="H795" s="52"/>
      <c r="I795" s="52"/>
    </row>
    <row r="796" customFormat="false" ht="15" hidden="false" customHeight="false" outlineLevel="0" collapsed="false">
      <c r="A796" s="50"/>
      <c r="B796" s="51" t="str">
        <f aca="false">IF(A796="","",MONTH(A796))</f>
        <v/>
      </c>
      <c r="C796" s="52"/>
      <c r="D796" s="52"/>
      <c r="E796" s="52"/>
      <c r="F796" s="52"/>
      <c r="G796" s="55" t="str">
        <f aca="false">IF(C796="","",IFERROR(INDEX('DANH MỤC'!$B$5:$B$200,MATCH(C796,'DANH MỤC'!$A$5:$A$200,0)),"⚠ Mã chưa có trong DANH MỤC"))</f>
        <v/>
      </c>
      <c r="H796" s="52"/>
      <c r="I796" s="52"/>
    </row>
    <row r="797" customFormat="false" ht="15" hidden="false" customHeight="false" outlineLevel="0" collapsed="false">
      <c r="A797" s="50"/>
      <c r="B797" s="51" t="str">
        <f aca="false">IF(A797="","",MONTH(A797))</f>
        <v/>
      </c>
      <c r="C797" s="52"/>
      <c r="D797" s="52"/>
      <c r="E797" s="52"/>
      <c r="F797" s="52"/>
      <c r="G797" s="55" t="str">
        <f aca="false">IF(C797="","",IFERROR(INDEX('DANH MỤC'!$B$5:$B$200,MATCH(C797,'DANH MỤC'!$A$5:$A$200,0)),"⚠ Mã chưa có trong DANH MỤC"))</f>
        <v/>
      </c>
      <c r="H797" s="52"/>
      <c r="I797" s="52"/>
    </row>
    <row r="798" customFormat="false" ht="15" hidden="false" customHeight="false" outlineLevel="0" collapsed="false">
      <c r="A798" s="50"/>
      <c r="B798" s="51" t="str">
        <f aca="false">IF(A798="","",MONTH(A798))</f>
        <v/>
      </c>
      <c r="C798" s="52"/>
      <c r="D798" s="52"/>
      <c r="E798" s="52"/>
      <c r="F798" s="52"/>
      <c r="G798" s="55" t="str">
        <f aca="false">IF(C798="","",IFERROR(INDEX('DANH MỤC'!$B$5:$B$200,MATCH(C798,'DANH MỤC'!$A$5:$A$200,0)),"⚠ Mã chưa có trong DANH MỤC"))</f>
        <v/>
      </c>
      <c r="H798" s="52"/>
      <c r="I798" s="52"/>
    </row>
    <row r="799" customFormat="false" ht="15" hidden="false" customHeight="false" outlineLevel="0" collapsed="false">
      <c r="A799" s="50"/>
      <c r="B799" s="51" t="str">
        <f aca="false">IF(A799="","",MONTH(A799))</f>
        <v/>
      </c>
      <c r="C799" s="52"/>
      <c r="D799" s="52"/>
      <c r="E799" s="52"/>
      <c r="F799" s="52"/>
      <c r="G799" s="55" t="str">
        <f aca="false">IF(C799="","",IFERROR(INDEX('DANH MỤC'!$B$5:$B$200,MATCH(C799,'DANH MỤC'!$A$5:$A$200,0)),"⚠ Mã chưa có trong DANH MỤC"))</f>
        <v/>
      </c>
      <c r="H799" s="52"/>
      <c r="I799" s="52"/>
    </row>
    <row r="800" customFormat="false" ht="15" hidden="false" customHeight="false" outlineLevel="0" collapsed="false">
      <c r="A800" s="50"/>
      <c r="B800" s="51" t="str">
        <f aca="false">IF(A800="","",MONTH(A800))</f>
        <v/>
      </c>
      <c r="C800" s="52"/>
      <c r="D800" s="52"/>
      <c r="E800" s="52"/>
      <c r="F800" s="52"/>
      <c r="G800" s="55" t="str">
        <f aca="false">IF(C800="","",IFERROR(INDEX('DANH MỤC'!$B$5:$B$200,MATCH(C800,'DANH MỤC'!$A$5:$A$200,0)),"⚠ Mã chưa có trong DANH MỤC"))</f>
        <v/>
      </c>
      <c r="H800" s="52"/>
      <c r="I800" s="52"/>
    </row>
    <row r="801" customFormat="false" ht="15" hidden="false" customHeight="false" outlineLevel="0" collapsed="false">
      <c r="A801" s="50"/>
      <c r="B801" s="51" t="str">
        <f aca="false">IF(A801="","",MONTH(A801))</f>
        <v/>
      </c>
      <c r="C801" s="52"/>
      <c r="D801" s="52"/>
      <c r="E801" s="52"/>
      <c r="F801" s="52"/>
      <c r="G801" s="55" t="str">
        <f aca="false">IF(C801="","",IFERROR(INDEX('DANH MỤC'!$B$5:$B$200,MATCH(C801,'DANH MỤC'!$A$5:$A$200,0)),"⚠ Mã chưa có trong DANH MỤC"))</f>
        <v/>
      </c>
      <c r="H801" s="52"/>
      <c r="I801" s="52"/>
    </row>
    <row r="802" customFormat="false" ht="15" hidden="false" customHeight="false" outlineLevel="0" collapsed="false">
      <c r="A802" s="50"/>
      <c r="B802" s="51" t="str">
        <f aca="false">IF(A802="","",MONTH(A802))</f>
        <v/>
      </c>
      <c r="C802" s="52"/>
      <c r="D802" s="52"/>
      <c r="E802" s="52"/>
      <c r="F802" s="52"/>
      <c r="G802" s="55" t="str">
        <f aca="false">IF(C802="","",IFERROR(INDEX('DANH MỤC'!$B$5:$B$200,MATCH(C802,'DANH MỤC'!$A$5:$A$200,0)),"⚠ Mã chưa có trong DANH MỤC"))</f>
        <v/>
      </c>
      <c r="H802" s="52"/>
      <c r="I802" s="52"/>
    </row>
    <row r="803" customFormat="false" ht="15" hidden="false" customHeight="false" outlineLevel="0" collapsed="false">
      <c r="A803" s="50"/>
      <c r="B803" s="51" t="str">
        <f aca="false">IF(A803="","",MONTH(A803))</f>
        <v/>
      </c>
      <c r="C803" s="52"/>
      <c r="D803" s="52"/>
      <c r="E803" s="52"/>
      <c r="F803" s="52"/>
      <c r="G803" s="55" t="str">
        <f aca="false">IF(C803="","",IFERROR(INDEX('DANH MỤC'!$B$5:$B$200,MATCH(C803,'DANH MỤC'!$A$5:$A$200,0)),"⚠ Mã chưa có trong DANH MỤC"))</f>
        <v/>
      </c>
      <c r="H803" s="52"/>
      <c r="I803" s="52"/>
    </row>
    <row r="804" customFormat="false" ht="15" hidden="false" customHeight="false" outlineLevel="0" collapsed="false">
      <c r="A804" s="50"/>
      <c r="B804" s="51" t="str">
        <f aca="false">IF(A804="","",MONTH(A804))</f>
        <v/>
      </c>
      <c r="C804" s="52"/>
      <c r="D804" s="52"/>
      <c r="E804" s="52"/>
      <c r="F804" s="52"/>
      <c r="G804" s="55" t="str">
        <f aca="false">IF(C804="","",IFERROR(INDEX('DANH MỤC'!$B$5:$B$200,MATCH(C804,'DANH MỤC'!$A$5:$A$200,0)),"⚠ Mã chưa có trong DANH MỤC"))</f>
        <v/>
      </c>
      <c r="H804" s="52"/>
      <c r="I804" s="52"/>
    </row>
    <row r="805" customFormat="false" ht="15" hidden="false" customHeight="false" outlineLevel="0" collapsed="false">
      <c r="A805" s="50"/>
      <c r="B805" s="51" t="str">
        <f aca="false">IF(A805="","",MONTH(A805))</f>
        <v/>
      </c>
      <c r="C805" s="52"/>
      <c r="D805" s="52"/>
      <c r="E805" s="52"/>
      <c r="F805" s="52"/>
      <c r="G805" s="55" t="str">
        <f aca="false">IF(C805="","",IFERROR(INDEX('DANH MỤC'!$B$5:$B$200,MATCH(C805,'DANH MỤC'!$A$5:$A$200,0)),"⚠ Mã chưa có trong DANH MỤC"))</f>
        <v/>
      </c>
      <c r="H805" s="52"/>
      <c r="I805" s="52"/>
    </row>
    <row r="806" customFormat="false" ht="15" hidden="false" customHeight="false" outlineLevel="0" collapsed="false">
      <c r="A806" s="50"/>
      <c r="B806" s="51" t="str">
        <f aca="false">IF(A806="","",MONTH(A806))</f>
        <v/>
      </c>
      <c r="C806" s="52"/>
      <c r="D806" s="52"/>
      <c r="E806" s="52"/>
      <c r="F806" s="52"/>
      <c r="G806" s="55" t="str">
        <f aca="false">IF(C806="","",IFERROR(INDEX('DANH MỤC'!$B$5:$B$200,MATCH(C806,'DANH MỤC'!$A$5:$A$200,0)),"⚠ Mã chưa có trong DANH MỤC"))</f>
        <v/>
      </c>
      <c r="H806" s="52"/>
      <c r="I806" s="52"/>
    </row>
    <row r="807" customFormat="false" ht="15" hidden="false" customHeight="false" outlineLevel="0" collapsed="false">
      <c r="A807" s="50"/>
      <c r="B807" s="51" t="str">
        <f aca="false">IF(A807="","",MONTH(A807))</f>
        <v/>
      </c>
      <c r="C807" s="52"/>
      <c r="D807" s="52"/>
      <c r="E807" s="52"/>
      <c r="F807" s="52"/>
      <c r="G807" s="55" t="str">
        <f aca="false">IF(C807="","",IFERROR(INDEX('DANH MỤC'!$B$5:$B$200,MATCH(C807,'DANH MỤC'!$A$5:$A$200,0)),"⚠ Mã chưa có trong DANH MỤC"))</f>
        <v/>
      </c>
      <c r="H807" s="52"/>
      <c r="I807" s="52"/>
    </row>
    <row r="808" customFormat="false" ht="15" hidden="false" customHeight="false" outlineLevel="0" collapsed="false">
      <c r="A808" s="50"/>
      <c r="B808" s="51" t="str">
        <f aca="false">IF(A808="","",MONTH(A808))</f>
        <v/>
      </c>
      <c r="C808" s="52"/>
      <c r="D808" s="52"/>
      <c r="E808" s="52"/>
      <c r="F808" s="52"/>
      <c r="G808" s="55" t="str">
        <f aca="false">IF(C808="","",IFERROR(INDEX('DANH MỤC'!$B$5:$B$200,MATCH(C808,'DANH MỤC'!$A$5:$A$200,0)),"⚠ Mã chưa có trong DANH MỤC"))</f>
        <v/>
      </c>
      <c r="H808" s="52"/>
      <c r="I808" s="52"/>
    </row>
    <row r="809" customFormat="false" ht="15" hidden="false" customHeight="false" outlineLevel="0" collapsed="false">
      <c r="A809" s="50"/>
      <c r="B809" s="51" t="str">
        <f aca="false">IF(A809="","",MONTH(A809))</f>
        <v/>
      </c>
      <c r="C809" s="52"/>
      <c r="D809" s="52"/>
      <c r="E809" s="52"/>
      <c r="F809" s="52"/>
      <c r="G809" s="55" t="str">
        <f aca="false">IF(C809="","",IFERROR(INDEX('DANH MỤC'!$B$5:$B$200,MATCH(C809,'DANH MỤC'!$A$5:$A$200,0)),"⚠ Mã chưa có trong DANH MỤC"))</f>
        <v/>
      </c>
      <c r="H809" s="52"/>
      <c r="I809" s="52"/>
    </row>
    <row r="810" customFormat="false" ht="15" hidden="false" customHeight="false" outlineLevel="0" collapsed="false">
      <c r="A810" s="50"/>
      <c r="B810" s="51" t="str">
        <f aca="false">IF(A810="","",MONTH(A810))</f>
        <v/>
      </c>
      <c r="C810" s="52"/>
      <c r="D810" s="52"/>
      <c r="E810" s="52"/>
      <c r="F810" s="52"/>
      <c r="G810" s="55" t="str">
        <f aca="false">IF(C810="","",IFERROR(INDEX('DANH MỤC'!$B$5:$B$200,MATCH(C810,'DANH MỤC'!$A$5:$A$200,0)),"⚠ Mã chưa có trong DANH MỤC"))</f>
        <v/>
      </c>
      <c r="H810" s="52"/>
      <c r="I810" s="52"/>
    </row>
    <row r="811" customFormat="false" ht="15" hidden="false" customHeight="false" outlineLevel="0" collapsed="false">
      <c r="A811" s="50"/>
      <c r="B811" s="51" t="str">
        <f aca="false">IF(A811="","",MONTH(A811))</f>
        <v/>
      </c>
      <c r="C811" s="52"/>
      <c r="D811" s="52"/>
      <c r="E811" s="52"/>
      <c r="F811" s="52"/>
      <c r="G811" s="55" t="str">
        <f aca="false">IF(C811="","",IFERROR(INDEX('DANH MỤC'!$B$5:$B$200,MATCH(C811,'DANH MỤC'!$A$5:$A$200,0)),"⚠ Mã chưa có trong DANH MỤC"))</f>
        <v/>
      </c>
      <c r="H811" s="52"/>
      <c r="I811" s="52"/>
    </row>
    <row r="812" customFormat="false" ht="15" hidden="false" customHeight="false" outlineLevel="0" collapsed="false">
      <c r="A812" s="50"/>
      <c r="B812" s="51" t="str">
        <f aca="false">IF(A812="","",MONTH(A812))</f>
        <v/>
      </c>
      <c r="C812" s="52"/>
      <c r="D812" s="52"/>
      <c r="E812" s="52"/>
      <c r="F812" s="52"/>
      <c r="G812" s="55" t="str">
        <f aca="false">IF(C812="","",IFERROR(INDEX('DANH MỤC'!$B$5:$B$200,MATCH(C812,'DANH MỤC'!$A$5:$A$200,0)),"⚠ Mã chưa có trong DANH MỤC"))</f>
        <v/>
      </c>
      <c r="H812" s="52"/>
      <c r="I812" s="52"/>
    </row>
    <row r="813" customFormat="false" ht="15" hidden="false" customHeight="false" outlineLevel="0" collapsed="false">
      <c r="A813" s="50"/>
      <c r="B813" s="51" t="str">
        <f aca="false">IF(A813="","",MONTH(A813))</f>
        <v/>
      </c>
      <c r="C813" s="52"/>
      <c r="D813" s="52"/>
      <c r="E813" s="52"/>
      <c r="F813" s="52"/>
      <c r="G813" s="55" t="str">
        <f aca="false">IF(C813="","",IFERROR(INDEX('DANH MỤC'!$B$5:$B$200,MATCH(C813,'DANH MỤC'!$A$5:$A$200,0)),"⚠ Mã chưa có trong DANH MỤC"))</f>
        <v/>
      </c>
      <c r="H813" s="52"/>
      <c r="I813" s="52"/>
    </row>
    <row r="814" customFormat="false" ht="15" hidden="false" customHeight="false" outlineLevel="0" collapsed="false">
      <c r="A814" s="50"/>
      <c r="B814" s="51" t="str">
        <f aca="false">IF(A814="","",MONTH(A814))</f>
        <v/>
      </c>
      <c r="C814" s="52"/>
      <c r="D814" s="52"/>
      <c r="E814" s="52"/>
      <c r="F814" s="52"/>
      <c r="G814" s="55" t="str">
        <f aca="false">IF(C814="","",IFERROR(INDEX('DANH MỤC'!$B$5:$B$200,MATCH(C814,'DANH MỤC'!$A$5:$A$200,0)),"⚠ Mã chưa có trong DANH MỤC"))</f>
        <v/>
      </c>
      <c r="H814" s="52"/>
      <c r="I814" s="52"/>
    </row>
    <row r="815" customFormat="false" ht="15" hidden="false" customHeight="false" outlineLevel="0" collapsed="false">
      <c r="A815" s="50"/>
      <c r="B815" s="51" t="str">
        <f aca="false">IF(A815="","",MONTH(A815))</f>
        <v/>
      </c>
      <c r="C815" s="52"/>
      <c r="D815" s="52"/>
      <c r="E815" s="52"/>
      <c r="F815" s="52"/>
      <c r="G815" s="55" t="str">
        <f aca="false">IF(C815="","",IFERROR(INDEX('DANH MỤC'!$B$5:$B$200,MATCH(C815,'DANH MỤC'!$A$5:$A$200,0)),"⚠ Mã chưa có trong DANH MỤC"))</f>
        <v/>
      </c>
      <c r="H815" s="52"/>
      <c r="I815" s="52"/>
    </row>
    <row r="816" customFormat="false" ht="15" hidden="false" customHeight="false" outlineLevel="0" collapsed="false">
      <c r="A816" s="50"/>
      <c r="B816" s="51" t="str">
        <f aca="false">IF(A816="","",MONTH(A816))</f>
        <v/>
      </c>
      <c r="C816" s="52"/>
      <c r="D816" s="52"/>
      <c r="E816" s="52"/>
      <c r="F816" s="52"/>
      <c r="G816" s="55" t="str">
        <f aca="false">IF(C816="","",IFERROR(INDEX('DANH MỤC'!$B$5:$B$200,MATCH(C816,'DANH MỤC'!$A$5:$A$200,0)),"⚠ Mã chưa có trong DANH MỤC"))</f>
        <v/>
      </c>
      <c r="H816" s="52"/>
      <c r="I816" s="52"/>
    </row>
    <row r="817" customFormat="false" ht="15" hidden="false" customHeight="false" outlineLevel="0" collapsed="false">
      <c r="A817" s="50"/>
      <c r="B817" s="51" t="str">
        <f aca="false">IF(A817="","",MONTH(A817))</f>
        <v/>
      </c>
      <c r="C817" s="52"/>
      <c r="D817" s="52"/>
      <c r="E817" s="52"/>
      <c r="F817" s="52"/>
      <c r="G817" s="55" t="str">
        <f aca="false">IF(C817="","",IFERROR(INDEX('DANH MỤC'!$B$5:$B$200,MATCH(C817,'DANH MỤC'!$A$5:$A$200,0)),"⚠ Mã chưa có trong DANH MỤC"))</f>
        <v/>
      </c>
      <c r="H817" s="52"/>
      <c r="I817" s="52"/>
    </row>
    <row r="818" customFormat="false" ht="15" hidden="false" customHeight="false" outlineLevel="0" collapsed="false">
      <c r="A818" s="50"/>
      <c r="B818" s="51" t="str">
        <f aca="false">IF(A818="","",MONTH(A818))</f>
        <v/>
      </c>
      <c r="C818" s="52"/>
      <c r="D818" s="52"/>
      <c r="E818" s="52"/>
      <c r="F818" s="52"/>
      <c r="G818" s="55" t="str">
        <f aca="false">IF(C818="","",IFERROR(INDEX('DANH MỤC'!$B$5:$B$200,MATCH(C818,'DANH MỤC'!$A$5:$A$200,0)),"⚠ Mã chưa có trong DANH MỤC"))</f>
        <v/>
      </c>
      <c r="H818" s="52"/>
      <c r="I818" s="52"/>
    </row>
    <row r="819" customFormat="false" ht="15" hidden="false" customHeight="false" outlineLevel="0" collapsed="false">
      <c r="A819" s="50"/>
      <c r="B819" s="51" t="str">
        <f aca="false">IF(A819="","",MONTH(A819))</f>
        <v/>
      </c>
      <c r="C819" s="52"/>
      <c r="D819" s="52"/>
      <c r="E819" s="52"/>
      <c r="F819" s="52"/>
      <c r="G819" s="55" t="str">
        <f aca="false">IF(C819="","",IFERROR(INDEX('DANH MỤC'!$B$5:$B$200,MATCH(C819,'DANH MỤC'!$A$5:$A$200,0)),"⚠ Mã chưa có trong DANH MỤC"))</f>
        <v/>
      </c>
      <c r="H819" s="52"/>
      <c r="I819" s="52"/>
    </row>
    <row r="820" customFormat="false" ht="15" hidden="false" customHeight="false" outlineLevel="0" collapsed="false">
      <c r="A820" s="50"/>
      <c r="B820" s="51" t="str">
        <f aca="false">IF(A820="","",MONTH(A820))</f>
        <v/>
      </c>
      <c r="C820" s="52"/>
      <c r="D820" s="52"/>
      <c r="E820" s="52"/>
      <c r="F820" s="52"/>
      <c r="G820" s="55" t="str">
        <f aca="false">IF(C820="","",IFERROR(INDEX('DANH MỤC'!$B$5:$B$200,MATCH(C820,'DANH MỤC'!$A$5:$A$200,0)),"⚠ Mã chưa có trong DANH MỤC"))</f>
        <v/>
      </c>
      <c r="H820" s="52"/>
      <c r="I820" s="52"/>
    </row>
    <row r="821" customFormat="false" ht="15" hidden="false" customHeight="false" outlineLevel="0" collapsed="false">
      <c r="A821" s="50"/>
      <c r="B821" s="51" t="str">
        <f aca="false">IF(A821="","",MONTH(A821))</f>
        <v/>
      </c>
      <c r="C821" s="52"/>
      <c r="D821" s="52"/>
      <c r="E821" s="52"/>
      <c r="F821" s="52"/>
      <c r="G821" s="55" t="str">
        <f aca="false">IF(C821="","",IFERROR(INDEX('DANH MỤC'!$B$5:$B$200,MATCH(C821,'DANH MỤC'!$A$5:$A$200,0)),"⚠ Mã chưa có trong DANH MỤC"))</f>
        <v/>
      </c>
      <c r="H821" s="52"/>
      <c r="I821" s="52"/>
    </row>
    <row r="822" customFormat="false" ht="15" hidden="false" customHeight="false" outlineLevel="0" collapsed="false">
      <c r="A822" s="50"/>
      <c r="B822" s="51" t="str">
        <f aca="false">IF(A822="","",MONTH(A822))</f>
        <v/>
      </c>
      <c r="C822" s="52"/>
      <c r="D822" s="52"/>
      <c r="E822" s="52"/>
      <c r="F822" s="52"/>
      <c r="G822" s="55" t="str">
        <f aca="false">IF(C822="","",IFERROR(INDEX('DANH MỤC'!$B$5:$B$200,MATCH(C822,'DANH MỤC'!$A$5:$A$200,0)),"⚠ Mã chưa có trong DANH MỤC"))</f>
        <v/>
      </c>
      <c r="H822" s="52"/>
      <c r="I822" s="52"/>
    </row>
    <row r="823" customFormat="false" ht="15" hidden="false" customHeight="false" outlineLevel="0" collapsed="false">
      <c r="A823" s="50"/>
      <c r="B823" s="51" t="str">
        <f aca="false">IF(A823="","",MONTH(A823))</f>
        <v/>
      </c>
      <c r="C823" s="52"/>
      <c r="D823" s="52"/>
      <c r="E823" s="52"/>
      <c r="F823" s="52"/>
      <c r="G823" s="55" t="str">
        <f aca="false">IF(C823="","",IFERROR(INDEX('DANH MỤC'!$B$5:$B$200,MATCH(C823,'DANH MỤC'!$A$5:$A$200,0)),"⚠ Mã chưa có trong DANH MỤC"))</f>
        <v/>
      </c>
      <c r="H823" s="52"/>
      <c r="I823" s="52"/>
    </row>
    <row r="824" customFormat="false" ht="15" hidden="false" customHeight="false" outlineLevel="0" collapsed="false">
      <c r="A824" s="50"/>
      <c r="B824" s="51" t="str">
        <f aca="false">IF(A824="","",MONTH(A824))</f>
        <v/>
      </c>
      <c r="C824" s="52"/>
      <c r="D824" s="52"/>
      <c r="E824" s="52"/>
      <c r="F824" s="52"/>
      <c r="G824" s="55" t="str">
        <f aca="false">IF(C824="","",IFERROR(INDEX('DANH MỤC'!$B$5:$B$200,MATCH(C824,'DANH MỤC'!$A$5:$A$200,0)),"⚠ Mã chưa có trong DANH MỤC"))</f>
        <v/>
      </c>
      <c r="H824" s="52"/>
      <c r="I824" s="52"/>
    </row>
    <row r="825" customFormat="false" ht="15" hidden="false" customHeight="false" outlineLevel="0" collapsed="false">
      <c r="A825" s="50"/>
      <c r="B825" s="51" t="str">
        <f aca="false">IF(A825="","",MONTH(A825))</f>
        <v/>
      </c>
      <c r="C825" s="52"/>
      <c r="D825" s="52"/>
      <c r="E825" s="52"/>
      <c r="F825" s="52"/>
      <c r="G825" s="55" t="str">
        <f aca="false">IF(C825="","",IFERROR(INDEX('DANH MỤC'!$B$5:$B$200,MATCH(C825,'DANH MỤC'!$A$5:$A$200,0)),"⚠ Mã chưa có trong DANH MỤC"))</f>
        <v/>
      </c>
      <c r="H825" s="52"/>
      <c r="I825" s="52"/>
    </row>
    <row r="826" customFormat="false" ht="15" hidden="false" customHeight="false" outlineLevel="0" collapsed="false">
      <c r="A826" s="50"/>
      <c r="B826" s="51" t="str">
        <f aca="false">IF(A826="","",MONTH(A826))</f>
        <v/>
      </c>
      <c r="C826" s="52"/>
      <c r="D826" s="52"/>
      <c r="E826" s="52"/>
      <c r="F826" s="52"/>
      <c r="G826" s="55" t="str">
        <f aca="false">IF(C826="","",IFERROR(INDEX('DANH MỤC'!$B$5:$B$200,MATCH(C826,'DANH MỤC'!$A$5:$A$200,0)),"⚠ Mã chưa có trong DANH MỤC"))</f>
        <v/>
      </c>
      <c r="H826" s="52"/>
      <c r="I826" s="52"/>
    </row>
    <row r="827" customFormat="false" ht="15" hidden="false" customHeight="false" outlineLevel="0" collapsed="false">
      <c r="A827" s="50"/>
      <c r="B827" s="51" t="str">
        <f aca="false">IF(A827="","",MONTH(A827))</f>
        <v/>
      </c>
      <c r="C827" s="52"/>
      <c r="D827" s="52"/>
      <c r="E827" s="52"/>
      <c r="F827" s="52"/>
      <c r="G827" s="55" t="str">
        <f aca="false">IF(C827="","",IFERROR(INDEX('DANH MỤC'!$B$5:$B$200,MATCH(C827,'DANH MỤC'!$A$5:$A$200,0)),"⚠ Mã chưa có trong DANH MỤC"))</f>
        <v/>
      </c>
      <c r="H827" s="52"/>
      <c r="I827" s="52"/>
    </row>
    <row r="828" customFormat="false" ht="15" hidden="false" customHeight="false" outlineLevel="0" collapsed="false">
      <c r="A828" s="50"/>
      <c r="B828" s="51" t="str">
        <f aca="false">IF(A828="","",MONTH(A828))</f>
        <v/>
      </c>
      <c r="C828" s="52"/>
      <c r="D828" s="52"/>
      <c r="E828" s="52"/>
      <c r="F828" s="52"/>
      <c r="G828" s="55" t="str">
        <f aca="false">IF(C828="","",IFERROR(INDEX('DANH MỤC'!$B$5:$B$200,MATCH(C828,'DANH MỤC'!$A$5:$A$200,0)),"⚠ Mã chưa có trong DANH MỤC"))</f>
        <v/>
      </c>
      <c r="H828" s="52"/>
      <c r="I828" s="52"/>
    </row>
    <row r="829" customFormat="false" ht="15" hidden="false" customHeight="false" outlineLevel="0" collapsed="false">
      <c r="A829" s="50"/>
      <c r="B829" s="51" t="str">
        <f aca="false">IF(A829="","",MONTH(A829))</f>
        <v/>
      </c>
      <c r="C829" s="52"/>
      <c r="D829" s="52"/>
      <c r="E829" s="52"/>
      <c r="F829" s="52"/>
      <c r="G829" s="55" t="str">
        <f aca="false">IF(C829="","",IFERROR(INDEX('DANH MỤC'!$B$5:$B$200,MATCH(C829,'DANH MỤC'!$A$5:$A$200,0)),"⚠ Mã chưa có trong DANH MỤC"))</f>
        <v/>
      </c>
      <c r="H829" s="52"/>
      <c r="I829" s="52"/>
    </row>
    <row r="830" customFormat="false" ht="15" hidden="false" customHeight="false" outlineLevel="0" collapsed="false">
      <c r="A830" s="50"/>
      <c r="B830" s="51" t="str">
        <f aca="false">IF(A830="","",MONTH(A830))</f>
        <v/>
      </c>
      <c r="C830" s="52"/>
      <c r="D830" s="52"/>
      <c r="E830" s="52"/>
      <c r="F830" s="52"/>
      <c r="G830" s="55" t="str">
        <f aca="false">IF(C830="","",IFERROR(INDEX('DANH MỤC'!$B$5:$B$200,MATCH(C830,'DANH MỤC'!$A$5:$A$200,0)),"⚠ Mã chưa có trong DANH MỤC"))</f>
        <v/>
      </c>
      <c r="H830" s="52"/>
      <c r="I830" s="52"/>
    </row>
    <row r="831" customFormat="false" ht="15" hidden="false" customHeight="false" outlineLevel="0" collapsed="false">
      <c r="A831" s="50"/>
      <c r="B831" s="51" t="str">
        <f aca="false">IF(A831="","",MONTH(A831))</f>
        <v/>
      </c>
      <c r="C831" s="52"/>
      <c r="D831" s="52"/>
      <c r="E831" s="52"/>
      <c r="F831" s="52"/>
      <c r="G831" s="55" t="str">
        <f aca="false">IF(C831="","",IFERROR(INDEX('DANH MỤC'!$B$5:$B$200,MATCH(C831,'DANH MỤC'!$A$5:$A$200,0)),"⚠ Mã chưa có trong DANH MỤC"))</f>
        <v/>
      </c>
      <c r="H831" s="52"/>
      <c r="I831" s="52"/>
    </row>
    <row r="832" customFormat="false" ht="15" hidden="false" customHeight="false" outlineLevel="0" collapsed="false">
      <c r="A832" s="50"/>
      <c r="B832" s="51" t="str">
        <f aca="false">IF(A832="","",MONTH(A832))</f>
        <v/>
      </c>
      <c r="C832" s="52"/>
      <c r="D832" s="52"/>
      <c r="E832" s="52"/>
      <c r="F832" s="52"/>
      <c r="G832" s="55" t="str">
        <f aca="false">IF(C832="","",IFERROR(INDEX('DANH MỤC'!$B$5:$B$200,MATCH(C832,'DANH MỤC'!$A$5:$A$200,0)),"⚠ Mã chưa có trong DANH MỤC"))</f>
        <v/>
      </c>
      <c r="H832" s="52"/>
      <c r="I832" s="52"/>
    </row>
    <row r="833" customFormat="false" ht="15" hidden="false" customHeight="false" outlineLevel="0" collapsed="false">
      <c r="A833" s="50"/>
      <c r="B833" s="51" t="str">
        <f aca="false">IF(A833="","",MONTH(A833))</f>
        <v/>
      </c>
      <c r="C833" s="52"/>
      <c r="D833" s="52"/>
      <c r="E833" s="52"/>
      <c r="F833" s="52"/>
      <c r="G833" s="55" t="str">
        <f aca="false">IF(C833="","",IFERROR(INDEX('DANH MỤC'!$B$5:$B$200,MATCH(C833,'DANH MỤC'!$A$5:$A$200,0)),"⚠ Mã chưa có trong DANH MỤC"))</f>
        <v/>
      </c>
      <c r="H833" s="52"/>
      <c r="I833" s="52"/>
    </row>
    <row r="834" customFormat="false" ht="15" hidden="false" customHeight="false" outlineLevel="0" collapsed="false">
      <c r="A834" s="50"/>
      <c r="B834" s="51" t="str">
        <f aca="false">IF(A834="","",MONTH(A834))</f>
        <v/>
      </c>
      <c r="C834" s="52"/>
      <c r="D834" s="52"/>
      <c r="E834" s="52"/>
      <c r="F834" s="52"/>
      <c r="G834" s="55" t="str">
        <f aca="false">IF(C834="","",IFERROR(INDEX('DANH MỤC'!$B$5:$B$200,MATCH(C834,'DANH MỤC'!$A$5:$A$200,0)),"⚠ Mã chưa có trong DANH MỤC"))</f>
        <v/>
      </c>
      <c r="H834" s="52"/>
      <c r="I834" s="52"/>
    </row>
    <row r="835" customFormat="false" ht="15" hidden="false" customHeight="false" outlineLevel="0" collapsed="false">
      <c r="A835" s="50"/>
      <c r="B835" s="51" t="str">
        <f aca="false">IF(A835="","",MONTH(A835))</f>
        <v/>
      </c>
      <c r="C835" s="52"/>
      <c r="D835" s="52"/>
      <c r="E835" s="52"/>
      <c r="F835" s="52"/>
      <c r="G835" s="55" t="str">
        <f aca="false">IF(C835="","",IFERROR(INDEX('DANH MỤC'!$B$5:$B$200,MATCH(C835,'DANH MỤC'!$A$5:$A$200,0)),"⚠ Mã chưa có trong DANH MỤC"))</f>
        <v/>
      </c>
      <c r="H835" s="52"/>
      <c r="I835" s="52"/>
    </row>
    <row r="836" customFormat="false" ht="15" hidden="false" customHeight="false" outlineLevel="0" collapsed="false">
      <c r="A836" s="50"/>
      <c r="B836" s="51" t="str">
        <f aca="false">IF(A836="","",MONTH(A836))</f>
        <v/>
      </c>
      <c r="C836" s="52"/>
      <c r="D836" s="52"/>
      <c r="E836" s="52"/>
      <c r="F836" s="52"/>
      <c r="G836" s="55" t="str">
        <f aca="false">IF(C836="","",IFERROR(INDEX('DANH MỤC'!$B$5:$B$200,MATCH(C836,'DANH MỤC'!$A$5:$A$200,0)),"⚠ Mã chưa có trong DANH MỤC"))</f>
        <v/>
      </c>
      <c r="H836" s="52"/>
      <c r="I836" s="52"/>
    </row>
    <row r="837" customFormat="false" ht="15" hidden="false" customHeight="false" outlineLevel="0" collapsed="false">
      <c r="A837" s="50"/>
      <c r="B837" s="51" t="str">
        <f aca="false">IF(A837="","",MONTH(A837))</f>
        <v/>
      </c>
      <c r="C837" s="52"/>
      <c r="D837" s="52"/>
      <c r="E837" s="52"/>
      <c r="F837" s="52"/>
      <c r="G837" s="55" t="str">
        <f aca="false">IF(C837="","",IFERROR(INDEX('DANH MỤC'!$B$5:$B$200,MATCH(C837,'DANH MỤC'!$A$5:$A$200,0)),"⚠ Mã chưa có trong DANH MỤC"))</f>
        <v/>
      </c>
      <c r="H837" s="52"/>
      <c r="I837" s="52"/>
    </row>
    <row r="838" customFormat="false" ht="15" hidden="false" customHeight="false" outlineLevel="0" collapsed="false">
      <c r="A838" s="50"/>
      <c r="B838" s="51" t="str">
        <f aca="false">IF(A838="","",MONTH(A838))</f>
        <v/>
      </c>
      <c r="C838" s="52"/>
      <c r="D838" s="52"/>
      <c r="E838" s="52"/>
      <c r="F838" s="52"/>
      <c r="G838" s="55" t="str">
        <f aca="false">IF(C838="","",IFERROR(INDEX('DANH MỤC'!$B$5:$B$200,MATCH(C838,'DANH MỤC'!$A$5:$A$200,0)),"⚠ Mã chưa có trong DANH MỤC"))</f>
        <v/>
      </c>
      <c r="H838" s="52"/>
      <c r="I838" s="52"/>
    </row>
    <row r="839" customFormat="false" ht="15" hidden="false" customHeight="false" outlineLevel="0" collapsed="false">
      <c r="A839" s="50"/>
      <c r="B839" s="51" t="str">
        <f aca="false">IF(A839="","",MONTH(A839))</f>
        <v/>
      </c>
      <c r="C839" s="52"/>
      <c r="D839" s="52"/>
      <c r="E839" s="52"/>
      <c r="F839" s="52"/>
      <c r="G839" s="55" t="str">
        <f aca="false">IF(C839="","",IFERROR(INDEX('DANH MỤC'!$B$5:$B$200,MATCH(C839,'DANH MỤC'!$A$5:$A$200,0)),"⚠ Mã chưa có trong DANH MỤC"))</f>
        <v/>
      </c>
      <c r="H839" s="52"/>
      <c r="I839" s="52"/>
    </row>
    <row r="840" customFormat="false" ht="15" hidden="false" customHeight="false" outlineLevel="0" collapsed="false">
      <c r="A840" s="50"/>
      <c r="B840" s="51" t="str">
        <f aca="false">IF(A840="","",MONTH(A840))</f>
        <v/>
      </c>
      <c r="C840" s="52"/>
      <c r="D840" s="52"/>
      <c r="E840" s="52"/>
      <c r="F840" s="52"/>
      <c r="G840" s="55" t="str">
        <f aca="false">IF(C840="","",IFERROR(INDEX('DANH MỤC'!$B$5:$B$200,MATCH(C840,'DANH MỤC'!$A$5:$A$200,0)),"⚠ Mã chưa có trong DANH MỤC"))</f>
        <v/>
      </c>
      <c r="H840" s="52"/>
      <c r="I840" s="52"/>
    </row>
    <row r="841" customFormat="false" ht="15" hidden="false" customHeight="false" outlineLevel="0" collapsed="false">
      <c r="A841" s="50"/>
      <c r="B841" s="51" t="str">
        <f aca="false">IF(A841="","",MONTH(A841))</f>
        <v/>
      </c>
      <c r="C841" s="52"/>
      <c r="D841" s="52"/>
      <c r="E841" s="52"/>
      <c r="F841" s="52"/>
      <c r="G841" s="55" t="str">
        <f aca="false">IF(C841="","",IFERROR(INDEX('DANH MỤC'!$B$5:$B$200,MATCH(C841,'DANH MỤC'!$A$5:$A$200,0)),"⚠ Mã chưa có trong DANH MỤC"))</f>
        <v/>
      </c>
      <c r="H841" s="52"/>
      <c r="I841" s="52"/>
    </row>
    <row r="842" customFormat="false" ht="15" hidden="false" customHeight="false" outlineLevel="0" collapsed="false">
      <c r="A842" s="50"/>
      <c r="B842" s="51" t="str">
        <f aca="false">IF(A842="","",MONTH(A842))</f>
        <v/>
      </c>
      <c r="C842" s="52"/>
      <c r="D842" s="52"/>
      <c r="E842" s="52"/>
      <c r="F842" s="52"/>
      <c r="G842" s="55" t="str">
        <f aca="false">IF(C842="","",IFERROR(INDEX('DANH MỤC'!$B$5:$B$200,MATCH(C842,'DANH MỤC'!$A$5:$A$200,0)),"⚠ Mã chưa có trong DANH MỤC"))</f>
        <v/>
      </c>
      <c r="H842" s="52"/>
      <c r="I842" s="52"/>
    </row>
    <row r="843" customFormat="false" ht="15" hidden="false" customHeight="false" outlineLevel="0" collapsed="false">
      <c r="A843" s="50"/>
      <c r="B843" s="51" t="str">
        <f aca="false">IF(A843="","",MONTH(A843))</f>
        <v/>
      </c>
      <c r="C843" s="52"/>
      <c r="D843" s="52"/>
      <c r="E843" s="52"/>
      <c r="F843" s="52"/>
      <c r="G843" s="55" t="str">
        <f aca="false">IF(C843="","",IFERROR(INDEX('DANH MỤC'!$B$5:$B$200,MATCH(C843,'DANH MỤC'!$A$5:$A$200,0)),"⚠ Mã chưa có trong DANH MỤC"))</f>
        <v/>
      </c>
      <c r="H843" s="52"/>
      <c r="I843" s="52"/>
    </row>
    <row r="844" customFormat="false" ht="15" hidden="false" customHeight="false" outlineLevel="0" collapsed="false">
      <c r="A844" s="50"/>
      <c r="B844" s="51" t="str">
        <f aca="false">IF(A844="","",MONTH(A844))</f>
        <v/>
      </c>
      <c r="C844" s="52"/>
      <c r="D844" s="52"/>
      <c r="E844" s="52"/>
      <c r="F844" s="52"/>
      <c r="G844" s="55" t="str">
        <f aca="false">IF(C844="","",IFERROR(INDEX('DANH MỤC'!$B$5:$B$200,MATCH(C844,'DANH MỤC'!$A$5:$A$200,0)),"⚠ Mã chưa có trong DANH MỤC"))</f>
        <v/>
      </c>
      <c r="H844" s="52"/>
      <c r="I844" s="52"/>
    </row>
    <row r="845" customFormat="false" ht="15" hidden="false" customHeight="false" outlineLevel="0" collapsed="false">
      <c r="A845" s="50"/>
      <c r="B845" s="51" t="str">
        <f aca="false">IF(A845="","",MONTH(A845))</f>
        <v/>
      </c>
      <c r="C845" s="52"/>
      <c r="D845" s="52"/>
      <c r="E845" s="52"/>
      <c r="F845" s="52"/>
      <c r="G845" s="55" t="str">
        <f aca="false">IF(C845="","",IFERROR(INDEX('DANH MỤC'!$B$5:$B$200,MATCH(C845,'DANH MỤC'!$A$5:$A$200,0)),"⚠ Mã chưa có trong DANH MỤC"))</f>
        <v/>
      </c>
      <c r="H845" s="52"/>
      <c r="I845" s="52"/>
    </row>
    <row r="846" customFormat="false" ht="15" hidden="false" customHeight="false" outlineLevel="0" collapsed="false">
      <c r="A846" s="50"/>
      <c r="B846" s="51" t="str">
        <f aca="false">IF(A846="","",MONTH(A846))</f>
        <v/>
      </c>
      <c r="C846" s="52"/>
      <c r="D846" s="52"/>
      <c r="E846" s="52"/>
      <c r="F846" s="52"/>
      <c r="G846" s="55" t="str">
        <f aca="false">IF(C846="","",IFERROR(INDEX('DANH MỤC'!$B$5:$B$200,MATCH(C846,'DANH MỤC'!$A$5:$A$200,0)),"⚠ Mã chưa có trong DANH MỤC"))</f>
        <v/>
      </c>
      <c r="H846" s="52"/>
      <c r="I846" s="52"/>
    </row>
    <row r="847" customFormat="false" ht="15" hidden="false" customHeight="false" outlineLevel="0" collapsed="false">
      <c r="A847" s="50"/>
      <c r="B847" s="51" t="str">
        <f aca="false">IF(A847="","",MONTH(A847))</f>
        <v/>
      </c>
      <c r="C847" s="52"/>
      <c r="D847" s="52"/>
      <c r="E847" s="52"/>
      <c r="F847" s="52"/>
      <c r="G847" s="55" t="str">
        <f aca="false">IF(C847="","",IFERROR(INDEX('DANH MỤC'!$B$5:$B$200,MATCH(C847,'DANH MỤC'!$A$5:$A$200,0)),"⚠ Mã chưa có trong DANH MỤC"))</f>
        <v/>
      </c>
      <c r="H847" s="52"/>
      <c r="I847" s="52"/>
    </row>
    <row r="848" customFormat="false" ht="15" hidden="false" customHeight="false" outlineLevel="0" collapsed="false">
      <c r="A848" s="50"/>
      <c r="B848" s="51" t="str">
        <f aca="false">IF(A848="","",MONTH(A848))</f>
        <v/>
      </c>
      <c r="C848" s="52"/>
      <c r="D848" s="52"/>
      <c r="E848" s="52"/>
      <c r="F848" s="52"/>
      <c r="G848" s="55" t="str">
        <f aca="false">IF(C848="","",IFERROR(INDEX('DANH MỤC'!$B$5:$B$200,MATCH(C848,'DANH MỤC'!$A$5:$A$200,0)),"⚠ Mã chưa có trong DANH MỤC"))</f>
        <v/>
      </c>
      <c r="H848" s="52"/>
      <c r="I848" s="52"/>
    </row>
    <row r="849" customFormat="false" ht="15" hidden="false" customHeight="false" outlineLevel="0" collapsed="false">
      <c r="A849" s="50"/>
      <c r="B849" s="51" t="str">
        <f aca="false">IF(A849="","",MONTH(A849))</f>
        <v/>
      </c>
      <c r="C849" s="52"/>
      <c r="D849" s="52"/>
      <c r="E849" s="52"/>
      <c r="F849" s="52"/>
      <c r="G849" s="55" t="str">
        <f aca="false">IF(C849="","",IFERROR(INDEX('DANH MỤC'!$B$5:$B$200,MATCH(C849,'DANH MỤC'!$A$5:$A$200,0)),"⚠ Mã chưa có trong DANH MỤC"))</f>
        <v/>
      </c>
      <c r="H849" s="52"/>
      <c r="I849" s="52"/>
    </row>
    <row r="850" customFormat="false" ht="15" hidden="false" customHeight="false" outlineLevel="0" collapsed="false">
      <c r="A850" s="50"/>
      <c r="B850" s="51" t="str">
        <f aca="false">IF(A850="","",MONTH(A850))</f>
        <v/>
      </c>
      <c r="C850" s="52"/>
      <c r="D850" s="52"/>
      <c r="E850" s="52"/>
      <c r="F850" s="52"/>
      <c r="G850" s="55" t="str">
        <f aca="false">IF(C850="","",IFERROR(INDEX('DANH MỤC'!$B$5:$B$200,MATCH(C850,'DANH MỤC'!$A$5:$A$200,0)),"⚠ Mã chưa có trong DANH MỤC"))</f>
        <v/>
      </c>
      <c r="H850" s="52"/>
      <c r="I850" s="52"/>
    </row>
    <row r="851" customFormat="false" ht="15" hidden="false" customHeight="false" outlineLevel="0" collapsed="false">
      <c r="A851" s="50"/>
      <c r="B851" s="51" t="str">
        <f aca="false">IF(A851="","",MONTH(A851))</f>
        <v/>
      </c>
      <c r="C851" s="52"/>
      <c r="D851" s="52"/>
      <c r="E851" s="52"/>
      <c r="F851" s="52"/>
      <c r="G851" s="55" t="str">
        <f aca="false">IF(C851="","",IFERROR(INDEX('DANH MỤC'!$B$5:$B$200,MATCH(C851,'DANH MỤC'!$A$5:$A$200,0)),"⚠ Mã chưa có trong DANH MỤC"))</f>
        <v/>
      </c>
      <c r="H851" s="52"/>
      <c r="I851" s="52"/>
    </row>
    <row r="852" customFormat="false" ht="15" hidden="false" customHeight="false" outlineLevel="0" collapsed="false">
      <c r="A852" s="50"/>
      <c r="B852" s="51" t="str">
        <f aca="false">IF(A852="","",MONTH(A852))</f>
        <v/>
      </c>
      <c r="C852" s="52"/>
      <c r="D852" s="52"/>
      <c r="E852" s="52"/>
      <c r="F852" s="52"/>
      <c r="G852" s="55" t="str">
        <f aca="false">IF(C852="","",IFERROR(INDEX('DANH MỤC'!$B$5:$B$200,MATCH(C852,'DANH MỤC'!$A$5:$A$200,0)),"⚠ Mã chưa có trong DANH MỤC"))</f>
        <v/>
      </c>
      <c r="H852" s="52"/>
      <c r="I852" s="52"/>
    </row>
    <row r="853" customFormat="false" ht="15" hidden="false" customHeight="false" outlineLevel="0" collapsed="false">
      <c r="A853" s="50"/>
      <c r="B853" s="51" t="str">
        <f aca="false">IF(A853="","",MONTH(A853))</f>
        <v/>
      </c>
      <c r="C853" s="52"/>
      <c r="D853" s="52"/>
      <c r="E853" s="52"/>
      <c r="F853" s="52"/>
      <c r="G853" s="55" t="str">
        <f aca="false">IF(C853="","",IFERROR(INDEX('DANH MỤC'!$B$5:$B$200,MATCH(C853,'DANH MỤC'!$A$5:$A$200,0)),"⚠ Mã chưa có trong DANH MỤC"))</f>
        <v/>
      </c>
      <c r="H853" s="52"/>
      <c r="I853" s="52"/>
    </row>
    <row r="854" customFormat="false" ht="15" hidden="false" customHeight="false" outlineLevel="0" collapsed="false">
      <c r="A854" s="50"/>
      <c r="B854" s="51" t="str">
        <f aca="false">IF(A854="","",MONTH(A854))</f>
        <v/>
      </c>
      <c r="C854" s="52"/>
      <c r="D854" s="52"/>
      <c r="E854" s="52"/>
      <c r="F854" s="52"/>
      <c r="G854" s="55" t="str">
        <f aca="false">IF(C854="","",IFERROR(INDEX('DANH MỤC'!$B$5:$B$200,MATCH(C854,'DANH MỤC'!$A$5:$A$200,0)),"⚠ Mã chưa có trong DANH MỤC"))</f>
        <v/>
      </c>
      <c r="H854" s="52"/>
      <c r="I854" s="52"/>
    </row>
    <row r="855" customFormat="false" ht="15" hidden="false" customHeight="false" outlineLevel="0" collapsed="false">
      <c r="A855" s="50"/>
      <c r="B855" s="51" t="str">
        <f aca="false">IF(A855="","",MONTH(A855))</f>
        <v/>
      </c>
      <c r="C855" s="52"/>
      <c r="D855" s="52"/>
      <c r="E855" s="52"/>
      <c r="F855" s="52"/>
      <c r="G855" s="55" t="str">
        <f aca="false">IF(C855="","",IFERROR(INDEX('DANH MỤC'!$B$5:$B$200,MATCH(C855,'DANH MỤC'!$A$5:$A$200,0)),"⚠ Mã chưa có trong DANH MỤC"))</f>
        <v/>
      </c>
      <c r="H855" s="52"/>
      <c r="I855" s="52"/>
    </row>
    <row r="856" customFormat="false" ht="15" hidden="false" customHeight="false" outlineLevel="0" collapsed="false">
      <c r="A856" s="50"/>
      <c r="B856" s="51" t="str">
        <f aca="false">IF(A856="","",MONTH(A856))</f>
        <v/>
      </c>
      <c r="C856" s="52"/>
      <c r="D856" s="52"/>
      <c r="E856" s="52"/>
      <c r="F856" s="52"/>
      <c r="G856" s="55" t="str">
        <f aca="false">IF(C856="","",IFERROR(INDEX('DANH MỤC'!$B$5:$B$200,MATCH(C856,'DANH MỤC'!$A$5:$A$200,0)),"⚠ Mã chưa có trong DANH MỤC"))</f>
        <v/>
      </c>
      <c r="H856" s="52"/>
      <c r="I856" s="52"/>
    </row>
    <row r="857" customFormat="false" ht="15" hidden="false" customHeight="false" outlineLevel="0" collapsed="false">
      <c r="A857" s="50"/>
      <c r="B857" s="51" t="str">
        <f aca="false">IF(A857="","",MONTH(A857))</f>
        <v/>
      </c>
      <c r="C857" s="52"/>
      <c r="D857" s="52"/>
      <c r="E857" s="52"/>
      <c r="F857" s="52"/>
      <c r="G857" s="55" t="str">
        <f aca="false">IF(C857="","",IFERROR(INDEX('DANH MỤC'!$B$5:$B$200,MATCH(C857,'DANH MỤC'!$A$5:$A$200,0)),"⚠ Mã chưa có trong DANH MỤC"))</f>
        <v/>
      </c>
      <c r="H857" s="52"/>
      <c r="I857" s="52"/>
    </row>
    <row r="858" customFormat="false" ht="15" hidden="false" customHeight="false" outlineLevel="0" collapsed="false">
      <c r="A858" s="50"/>
      <c r="B858" s="51" t="str">
        <f aca="false">IF(A858="","",MONTH(A858))</f>
        <v/>
      </c>
      <c r="C858" s="52"/>
      <c r="D858" s="52"/>
      <c r="E858" s="52"/>
      <c r="F858" s="52"/>
      <c r="G858" s="55" t="str">
        <f aca="false">IF(C858="","",IFERROR(INDEX('DANH MỤC'!$B$5:$B$200,MATCH(C858,'DANH MỤC'!$A$5:$A$200,0)),"⚠ Mã chưa có trong DANH MỤC"))</f>
        <v/>
      </c>
      <c r="H858" s="52"/>
      <c r="I858" s="52"/>
    </row>
    <row r="859" customFormat="false" ht="15" hidden="false" customHeight="false" outlineLevel="0" collapsed="false">
      <c r="A859" s="50"/>
      <c r="B859" s="51" t="str">
        <f aca="false">IF(A859="","",MONTH(A859))</f>
        <v/>
      </c>
      <c r="C859" s="52"/>
      <c r="D859" s="52"/>
      <c r="E859" s="52"/>
      <c r="F859" s="52"/>
      <c r="G859" s="55" t="str">
        <f aca="false">IF(C859="","",IFERROR(INDEX('DANH MỤC'!$B$5:$B$200,MATCH(C859,'DANH MỤC'!$A$5:$A$200,0)),"⚠ Mã chưa có trong DANH MỤC"))</f>
        <v/>
      </c>
      <c r="H859" s="52"/>
      <c r="I859" s="52"/>
    </row>
    <row r="860" customFormat="false" ht="15" hidden="false" customHeight="false" outlineLevel="0" collapsed="false">
      <c r="A860" s="50"/>
      <c r="B860" s="51" t="str">
        <f aca="false">IF(A860="","",MONTH(A860))</f>
        <v/>
      </c>
      <c r="C860" s="52"/>
      <c r="D860" s="52"/>
      <c r="E860" s="52"/>
      <c r="F860" s="52"/>
      <c r="G860" s="55" t="str">
        <f aca="false">IF(C860="","",IFERROR(INDEX('DANH MỤC'!$B$5:$B$200,MATCH(C860,'DANH MỤC'!$A$5:$A$200,0)),"⚠ Mã chưa có trong DANH MỤC"))</f>
        <v/>
      </c>
      <c r="H860" s="52"/>
      <c r="I860" s="52"/>
    </row>
    <row r="861" customFormat="false" ht="15" hidden="false" customHeight="false" outlineLevel="0" collapsed="false">
      <c r="A861" s="50"/>
      <c r="B861" s="51" t="str">
        <f aca="false">IF(A861="","",MONTH(A861))</f>
        <v/>
      </c>
      <c r="C861" s="52"/>
      <c r="D861" s="52"/>
      <c r="E861" s="52"/>
      <c r="F861" s="52"/>
      <c r="G861" s="55" t="str">
        <f aca="false">IF(C861="","",IFERROR(INDEX('DANH MỤC'!$B$5:$B$200,MATCH(C861,'DANH MỤC'!$A$5:$A$200,0)),"⚠ Mã chưa có trong DANH MỤC"))</f>
        <v/>
      </c>
      <c r="H861" s="52"/>
      <c r="I861" s="52"/>
    </row>
    <row r="862" customFormat="false" ht="15" hidden="false" customHeight="false" outlineLevel="0" collapsed="false">
      <c r="A862" s="50"/>
      <c r="B862" s="51" t="str">
        <f aca="false">IF(A862="","",MONTH(A862))</f>
        <v/>
      </c>
      <c r="C862" s="52"/>
      <c r="D862" s="52"/>
      <c r="E862" s="52"/>
      <c r="F862" s="52"/>
      <c r="G862" s="55" t="str">
        <f aca="false">IF(C862="","",IFERROR(INDEX('DANH MỤC'!$B$5:$B$200,MATCH(C862,'DANH MỤC'!$A$5:$A$200,0)),"⚠ Mã chưa có trong DANH MỤC"))</f>
        <v/>
      </c>
      <c r="H862" s="52"/>
      <c r="I862" s="52"/>
    </row>
    <row r="863" customFormat="false" ht="15" hidden="false" customHeight="false" outlineLevel="0" collapsed="false">
      <c r="A863" s="50"/>
      <c r="B863" s="51" t="str">
        <f aca="false">IF(A863="","",MONTH(A863))</f>
        <v/>
      </c>
      <c r="C863" s="52"/>
      <c r="D863" s="52"/>
      <c r="E863" s="52"/>
      <c r="F863" s="52"/>
      <c r="G863" s="55" t="str">
        <f aca="false">IF(C863="","",IFERROR(INDEX('DANH MỤC'!$B$5:$B$200,MATCH(C863,'DANH MỤC'!$A$5:$A$200,0)),"⚠ Mã chưa có trong DANH MỤC"))</f>
        <v/>
      </c>
      <c r="H863" s="52"/>
      <c r="I863" s="52"/>
    </row>
    <row r="864" customFormat="false" ht="15" hidden="false" customHeight="false" outlineLevel="0" collapsed="false">
      <c r="A864" s="50"/>
      <c r="B864" s="51" t="str">
        <f aca="false">IF(A864="","",MONTH(A864))</f>
        <v/>
      </c>
      <c r="C864" s="52"/>
      <c r="D864" s="52"/>
      <c r="E864" s="52"/>
      <c r="F864" s="52"/>
      <c r="G864" s="55" t="str">
        <f aca="false">IF(C864="","",IFERROR(INDEX('DANH MỤC'!$B$5:$B$200,MATCH(C864,'DANH MỤC'!$A$5:$A$200,0)),"⚠ Mã chưa có trong DANH MỤC"))</f>
        <v/>
      </c>
      <c r="H864" s="52"/>
      <c r="I864" s="52"/>
    </row>
    <row r="865" customFormat="false" ht="15" hidden="false" customHeight="false" outlineLevel="0" collapsed="false">
      <c r="A865" s="50"/>
      <c r="B865" s="51" t="str">
        <f aca="false">IF(A865="","",MONTH(A865))</f>
        <v/>
      </c>
      <c r="C865" s="52"/>
      <c r="D865" s="52"/>
      <c r="E865" s="52"/>
      <c r="F865" s="52"/>
      <c r="G865" s="55" t="str">
        <f aca="false">IF(C865="","",IFERROR(INDEX('DANH MỤC'!$B$5:$B$200,MATCH(C865,'DANH MỤC'!$A$5:$A$200,0)),"⚠ Mã chưa có trong DANH MỤC"))</f>
        <v/>
      </c>
      <c r="H865" s="52"/>
      <c r="I865" s="52"/>
    </row>
    <row r="866" customFormat="false" ht="15" hidden="false" customHeight="false" outlineLevel="0" collapsed="false">
      <c r="A866" s="50"/>
      <c r="B866" s="51" t="str">
        <f aca="false">IF(A866="","",MONTH(A866))</f>
        <v/>
      </c>
      <c r="C866" s="52"/>
      <c r="D866" s="52"/>
      <c r="E866" s="52"/>
      <c r="F866" s="52"/>
      <c r="G866" s="55" t="str">
        <f aca="false">IF(C866="","",IFERROR(INDEX('DANH MỤC'!$B$5:$B$200,MATCH(C866,'DANH MỤC'!$A$5:$A$200,0)),"⚠ Mã chưa có trong DANH MỤC"))</f>
        <v/>
      </c>
      <c r="H866" s="52"/>
      <c r="I866" s="52"/>
    </row>
    <row r="867" customFormat="false" ht="15" hidden="false" customHeight="false" outlineLevel="0" collapsed="false">
      <c r="A867" s="50"/>
      <c r="B867" s="51" t="str">
        <f aca="false">IF(A867="","",MONTH(A867))</f>
        <v/>
      </c>
      <c r="C867" s="52"/>
      <c r="D867" s="52"/>
      <c r="E867" s="52"/>
      <c r="F867" s="52"/>
      <c r="G867" s="55" t="str">
        <f aca="false">IF(C867="","",IFERROR(INDEX('DANH MỤC'!$B$5:$B$200,MATCH(C867,'DANH MỤC'!$A$5:$A$200,0)),"⚠ Mã chưa có trong DANH MỤC"))</f>
        <v/>
      </c>
      <c r="H867" s="52"/>
      <c r="I867" s="52"/>
    </row>
    <row r="868" customFormat="false" ht="15" hidden="false" customHeight="false" outlineLevel="0" collapsed="false">
      <c r="A868" s="50"/>
      <c r="B868" s="51" t="str">
        <f aca="false">IF(A868="","",MONTH(A868))</f>
        <v/>
      </c>
      <c r="C868" s="52"/>
      <c r="D868" s="52"/>
      <c r="E868" s="52"/>
      <c r="F868" s="52"/>
      <c r="G868" s="55" t="str">
        <f aca="false">IF(C868="","",IFERROR(INDEX('DANH MỤC'!$B$5:$B$200,MATCH(C868,'DANH MỤC'!$A$5:$A$200,0)),"⚠ Mã chưa có trong DANH MỤC"))</f>
        <v/>
      </c>
      <c r="H868" s="52"/>
      <c r="I868" s="52"/>
    </row>
    <row r="869" customFormat="false" ht="15" hidden="false" customHeight="false" outlineLevel="0" collapsed="false">
      <c r="A869" s="50"/>
      <c r="B869" s="51" t="str">
        <f aca="false">IF(A869="","",MONTH(A869))</f>
        <v/>
      </c>
      <c r="C869" s="52"/>
      <c r="D869" s="52"/>
      <c r="E869" s="52"/>
      <c r="F869" s="52"/>
      <c r="G869" s="55" t="str">
        <f aca="false">IF(C869="","",IFERROR(INDEX('DANH MỤC'!$B$5:$B$200,MATCH(C869,'DANH MỤC'!$A$5:$A$200,0)),"⚠ Mã chưa có trong DANH MỤC"))</f>
        <v/>
      </c>
      <c r="H869" s="52"/>
      <c r="I869" s="52"/>
    </row>
    <row r="870" customFormat="false" ht="15" hidden="false" customHeight="false" outlineLevel="0" collapsed="false">
      <c r="A870" s="50"/>
      <c r="B870" s="51" t="str">
        <f aca="false">IF(A870="","",MONTH(A870))</f>
        <v/>
      </c>
      <c r="C870" s="52"/>
      <c r="D870" s="52"/>
      <c r="E870" s="52"/>
      <c r="F870" s="52"/>
      <c r="G870" s="55" t="str">
        <f aca="false">IF(C870="","",IFERROR(INDEX('DANH MỤC'!$B$5:$B$200,MATCH(C870,'DANH MỤC'!$A$5:$A$200,0)),"⚠ Mã chưa có trong DANH MỤC"))</f>
        <v/>
      </c>
      <c r="H870" s="52"/>
      <c r="I870" s="52"/>
    </row>
    <row r="871" customFormat="false" ht="15" hidden="false" customHeight="false" outlineLevel="0" collapsed="false">
      <c r="A871" s="50"/>
      <c r="B871" s="51" t="str">
        <f aca="false">IF(A871="","",MONTH(A871))</f>
        <v/>
      </c>
      <c r="C871" s="52"/>
      <c r="D871" s="52"/>
      <c r="E871" s="52"/>
      <c r="F871" s="52"/>
      <c r="G871" s="55" t="str">
        <f aca="false">IF(C871="","",IFERROR(INDEX('DANH MỤC'!$B$5:$B$200,MATCH(C871,'DANH MỤC'!$A$5:$A$200,0)),"⚠ Mã chưa có trong DANH MỤC"))</f>
        <v/>
      </c>
      <c r="H871" s="52"/>
      <c r="I871" s="52"/>
    </row>
    <row r="872" customFormat="false" ht="15" hidden="false" customHeight="false" outlineLevel="0" collapsed="false">
      <c r="A872" s="50"/>
      <c r="B872" s="51" t="str">
        <f aca="false">IF(A872="","",MONTH(A872))</f>
        <v/>
      </c>
      <c r="C872" s="52"/>
      <c r="D872" s="52"/>
      <c r="E872" s="52"/>
      <c r="F872" s="52"/>
      <c r="G872" s="55" t="str">
        <f aca="false">IF(C872="","",IFERROR(INDEX('DANH MỤC'!$B$5:$B$200,MATCH(C872,'DANH MỤC'!$A$5:$A$200,0)),"⚠ Mã chưa có trong DANH MỤC"))</f>
        <v/>
      </c>
      <c r="H872" s="52"/>
      <c r="I872" s="52"/>
    </row>
    <row r="873" customFormat="false" ht="15" hidden="false" customHeight="false" outlineLevel="0" collapsed="false">
      <c r="A873" s="50"/>
      <c r="B873" s="51" t="str">
        <f aca="false">IF(A873="","",MONTH(A873))</f>
        <v/>
      </c>
      <c r="C873" s="52"/>
      <c r="D873" s="52"/>
      <c r="E873" s="52"/>
      <c r="F873" s="52"/>
      <c r="G873" s="55" t="str">
        <f aca="false">IF(C873="","",IFERROR(INDEX('DANH MỤC'!$B$5:$B$200,MATCH(C873,'DANH MỤC'!$A$5:$A$200,0)),"⚠ Mã chưa có trong DANH MỤC"))</f>
        <v/>
      </c>
      <c r="H873" s="52"/>
      <c r="I873" s="52"/>
    </row>
    <row r="874" customFormat="false" ht="15" hidden="false" customHeight="false" outlineLevel="0" collapsed="false">
      <c r="A874" s="50"/>
      <c r="B874" s="51" t="str">
        <f aca="false">IF(A874="","",MONTH(A874))</f>
        <v/>
      </c>
      <c r="C874" s="52"/>
      <c r="D874" s="52"/>
      <c r="E874" s="52"/>
      <c r="F874" s="52"/>
      <c r="G874" s="55" t="str">
        <f aca="false">IF(C874="","",IFERROR(INDEX('DANH MỤC'!$B$5:$B$200,MATCH(C874,'DANH MỤC'!$A$5:$A$200,0)),"⚠ Mã chưa có trong DANH MỤC"))</f>
        <v/>
      </c>
      <c r="H874" s="52"/>
      <c r="I874" s="52"/>
    </row>
    <row r="875" customFormat="false" ht="15" hidden="false" customHeight="false" outlineLevel="0" collapsed="false">
      <c r="A875" s="50"/>
      <c r="B875" s="51" t="str">
        <f aca="false">IF(A875="","",MONTH(A875))</f>
        <v/>
      </c>
      <c r="C875" s="52"/>
      <c r="D875" s="52"/>
      <c r="E875" s="52"/>
      <c r="F875" s="52"/>
      <c r="G875" s="55" t="str">
        <f aca="false">IF(C875="","",IFERROR(INDEX('DANH MỤC'!$B$5:$B$200,MATCH(C875,'DANH MỤC'!$A$5:$A$200,0)),"⚠ Mã chưa có trong DANH MỤC"))</f>
        <v/>
      </c>
      <c r="H875" s="52"/>
      <c r="I875" s="52"/>
    </row>
    <row r="876" customFormat="false" ht="15" hidden="false" customHeight="false" outlineLevel="0" collapsed="false">
      <c r="A876" s="50"/>
      <c r="B876" s="51" t="str">
        <f aca="false">IF(A876="","",MONTH(A876))</f>
        <v/>
      </c>
      <c r="C876" s="52"/>
      <c r="D876" s="52"/>
      <c r="E876" s="52"/>
      <c r="F876" s="52"/>
      <c r="G876" s="55" t="str">
        <f aca="false">IF(C876="","",IFERROR(INDEX('DANH MỤC'!$B$5:$B$200,MATCH(C876,'DANH MỤC'!$A$5:$A$200,0)),"⚠ Mã chưa có trong DANH MỤC"))</f>
        <v/>
      </c>
      <c r="H876" s="52"/>
      <c r="I876" s="52"/>
    </row>
    <row r="877" customFormat="false" ht="15" hidden="false" customHeight="false" outlineLevel="0" collapsed="false">
      <c r="A877" s="50"/>
      <c r="B877" s="51" t="str">
        <f aca="false">IF(A877="","",MONTH(A877))</f>
        <v/>
      </c>
      <c r="C877" s="52"/>
      <c r="D877" s="52"/>
      <c r="E877" s="52"/>
      <c r="F877" s="52"/>
      <c r="G877" s="55" t="str">
        <f aca="false">IF(C877="","",IFERROR(INDEX('DANH MỤC'!$B$5:$B$200,MATCH(C877,'DANH MỤC'!$A$5:$A$200,0)),"⚠ Mã chưa có trong DANH MỤC"))</f>
        <v/>
      </c>
      <c r="H877" s="52"/>
      <c r="I877" s="52"/>
    </row>
    <row r="878" customFormat="false" ht="15" hidden="false" customHeight="false" outlineLevel="0" collapsed="false">
      <c r="A878" s="50"/>
      <c r="B878" s="51" t="str">
        <f aca="false">IF(A878="","",MONTH(A878))</f>
        <v/>
      </c>
      <c r="C878" s="52"/>
      <c r="D878" s="52"/>
      <c r="E878" s="52"/>
      <c r="F878" s="52"/>
      <c r="G878" s="55" t="str">
        <f aca="false">IF(C878="","",IFERROR(INDEX('DANH MỤC'!$B$5:$B$200,MATCH(C878,'DANH MỤC'!$A$5:$A$200,0)),"⚠ Mã chưa có trong DANH MỤC"))</f>
        <v/>
      </c>
      <c r="H878" s="52"/>
      <c r="I878" s="52"/>
    </row>
    <row r="879" customFormat="false" ht="15" hidden="false" customHeight="false" outlineLevel="0" collapsed="false">
      <c r="A879" s="50"/>
      <c r="B879" s="51" t="str">
        <f aca="false">IF(A879="","",MONTH(A879))</f>
        <v/>
      </c>
      <c r="C879" s="52"/>
      <c r="D879" s="52"/>
      <c r="E879" s="52"/>
      <c r="F879" s="52"/>
      <c r="G879" s="55" t="str">
        <f aca="false">IF(C879="","",IFERROR(INDEX('DANH MỤC'!$B$5:$B$200,MATCH(C879,'DANH MỤC'!$A$5:$A$200,0)),"⚠ Mã chưa có trong DANH MỤC"))</f>
        <v/>
      </c>
      <c r="H879" s="52"/>
      <c r="I879" s="52"/>
    </row>
    <row r="880" customFormat="false" ht="15" hidden="false" customHeight="false" outlineLevel="0" collapsed="false">
      <c r="A880" s="50"/>
      <c r="B880" s="51" t="str">
        <f aca="false">IF(A880="","",MONTH(A880))</f>
        <v/>
      </c>
      <c r="C880" s="52"/>
      <c r="D880" s="52"/>
      <c r="E880" s="52"/>
      <c r="F880" s="52"/>
      <c r="G880" s="55" t="str">
        <f aca="false">IF(C880="","",IFERROR(INDEX('DANH MỤC'!$B$5:$B$200,MATCH(C880,'DANH MỤC'!$A$5:$A$200,0)),"⚠ Mã chưa có trong DANH MỤC"))</f>
        <v/>
      </c>
      <c r="H880" s="52"/>
      <c r="I880" s="52"/>
    </row>
    <row r="881" customFormat="false" ht="15" hidden="false" customHeight="false" outlineLevel="0" collapsed="false">
      <c r="A881" s="50"/>
      <c r="B881" s="51" t="str">
        <f aca="false">IF(A881="","",MONTH(A881))</f>
        <v/>
      </c>
      <c r="C881" s="52"/>
      <c r="D881" s="52"/>
      <c r="E881" s="52"/>
      <c r="F881" s="52"/>
      <c r="G881" s="55" t="str">
        <f aca="false">IF(C881="","",IFERROR(INDEX('DANH MỤC'!$B$5:$B$200,MATCH(C881,'DANH MỤC'!$A$5:$A$200,0)),"⚠ Mã chưa có trong DANH MỤC"))</f>
        <v/>
      </c>
      <c r="H881" s="52"/>
      <c r="I881" s="52"/>
    </row>
    <row r="882" customFormat="false" ht="15" hidden="false" customHeight="false" outlineLevel="0" collapsed="false">
      <c r="A882" s="50"/>
      <c r="B882" s="51" t="str">
        <f aca="false">IF(A882="","",MONTH(A882))</f>
        <v/>
      </c>
      <c r="C882" s="52"/>
      <c r="D882" s="52"/>
      <c r="E882" s="52"/>
      <c r="F882" s="52"/>
      <c r="G882" s="55" t="str">
        <f aca="false">IF(C882="","",IFERROR(INDEX('DANH MỤC'!$B$5:$B$200,MATCH(C882,'DANH MỤC'!$A$5:$A$200,0)),"⚠ Mã chưa có trong DANH MỤC"))</f>
        <v/>
      </c>
      <c r="H882" s="52"/>
      <c r="I882" s="52"/>
    </row>
    <row r="883" customFormat="false" ht="15" hidden="false" customHeight="false" outlineLevel="0" collapsed="false">
      <c r="A883" s="50"/>
      <c r="B883" s="51" t="str">
        <f aca="false">IF(A883="","",MONTH(A883))</f>
        <v/>
      </c>
      <c r="C883" s="52"/>
      <c r="D883" s="52"/>
      <c r="E883" s="52"/>
      <c r="F883" s="52"/>
      <c r="G883" s="55" t="str">
        <f aca="false">IF(C883="","",IFERROR(INDEX('DANH MỤC'!$B$5:$B$200,MATCH(C883,'DANH MỤC'!$A$5:$A$200,0)),"⚠ Mã chưa có trong DANH MỤC"))</f>
        <v/>
      </c>
      <c r="H883" s="52"/>
      <c r="I883" s="52"/>
    </row>
    <row r="884" customFormat="false" ht="15" hidden="false" customHeight="false" outlineLevel="0" collapsed="false">
      <c r="A884" s="50"/>
      <c r="B884" s="51" t="str">
        <f aca="false">IF(A884="","",MONTH(A884))</f>
        <v/>
      </c>
      <c r="C884" s="52"/>
      <c r="D884" s="52"/>
      <c r="E884" s="52"/>
      <c r="F884" s="52"/>
      <c r="G884" s="55" t="str">
        <f aca="false">IF(C884="","",IFERROR(INDEX('DANH MỤC'!$B$5:$B$200,MATCH(C884,'DANH MỤC'!$A$5:$A$200,0)),"⚠ Mã chưa có trong DANH MỤC"))</f>
        <v/>
      </c>
      <c r="H884" s="52"/>
      <c r="I884" s="52"/>
    </row>
    <row r="885" customFormat="false" ht="15" hidden="false" customHeight="false" outlineLevel="0" collapsed="false">
      <c r="A885" s="50"/>
      <c r="B885" s="51" t="str">
        <f aca="false">IF(A885="","",MONTH(A885))</f>
        <v/>
      </c>
      <c r="C885" s="52"/>
      <c r="D885" s="52"/>
      <c r="E885" s="52"/>
      <c r="F885" s="52"/>
      <c r="G885" s="55" t="str">
        <f aca="false">IF(C885="","",IFERROR(INDEX('DANH MỤC'!$B$5:$B$200,MATCH(C885,'DANH MỤC'!$A$5:$A$200,0)),"⚠ Mã chưa có trong DANH MỤC"))</f>
        <v/>
      </c>
      <c r="H885" s="52"/>
      <c r="I885" s="52"/>
    </row>
    <row r="886" customFormat="false" ht="15" hidden="false" customHeight="false" outlineLevel="0" collapsed="false">
      <c r="A886" s="50"/>
      <c r="B886" s="51" t="str">
        <f aca="false">IF(A886="","",MONTH(A886))</f>
        <v/>
      </c>
      <c r="C886" s="52"/>
      <c r="D886" s="52"/>
      <c r="E886" s="52"/>
      <c r="F886" s="52"/>
      <c r="G886" s="55" t="str">
        <f aca="false">IF(C886="","",IFERROR(INDEX('DANH MỤC'!$B$5:$B$200,MATCH(C886,'DANH MỤC'!$A$5:$A$200,0)),"⚠ Mã chưa có trong DANH MỤC"))</f>
        <v/>
      </c>
      <c r="H886" s="52"/>
      <c r="I886" s="52"/>
    </row>
    <row r="887" customFormat="false" ht="15" hidden="false" customHeight="false" outlineLevel="0" collapsed="false">
      <c r="A887" s="50"/>
      <c r="B887" s="51" t="str">
        <f aca="false">IF(A887="","",MONTH(A887))</f>
        <v/>
      </c>
      <c r="C887" s="52"/>
      <c r="D887" s="52"/>
      <c r="E887" s="52"/>
      <c r="F887" s="52"/>
      <c r="G887" s="55" t="str">
        <f aca="false">IF(C887="","",IFERROR(INDEX('DANH MỤC'!$B$5:$B$200,MATCH(C887,'DANH MỤC'!$A$5:$A$200,0)),"⚠ Mã chưa có trong DANH MỤC"))</f>
        <v/>
      </c>
      <c r="H887" s="52"/>
      <c r="I887" s="52"/>
    </row>
    <row r="888" customFormat="false" ht="15" hidden="false" customHeight="false" outlineLevel="0" collapsed="false">
      <c r="A888" s="50"/>
      <c r="B888" s="51" t="str">
        <f aca="false">IF(A888="","",MONTH(A888))</f>
        <v/>
      </c>
      <c r="C888" s="52"/>
      <c r="D888" s="52"/>
      <c r="E888" s="52"/>
      <c r="F888" s="52"/>
      <c r="G888" s="55" t="str">
        <f aca="false">IF(C888="","",IFERROR(INDEX('DANH MỤC'!$B$5:$B$200,MATCH(C888,'DANH MỤC'!$A$5:$A$200,0)),"⚠ Mã chưa có trong DANH MỤC"))</f>
        <v/>
      </c>
      <c r="H888" s="52"/>
      <c r="I888" s="52"/>
    </row>
    <row r="889" customFormat="false" ht="15" hidden="false" customHeight="false" outlineLevel="0" collapsed="false">
      <c r="A889" s="50"/>
      <c r="B889" s="51" t="str">
        <f aca="false">IF(A889="","",MONTH(A889))</f>
        <v/>
      </c>
      <c r="C889" s="52"/>
      <c r="D889" s="52"/>
      <c r="E889" s="52"/>
      <c r="F889" s="52"/>
      <c r="G889" s="55" t="str">
        <f aca="false">IF(C889="","",IFERROR(INDEX('DANH MỤC'!$B$5:$B$200,MATCH(C889,'DANH MỤC'!$A$5:$A$200,0)),"⚠ Mã chưa có trong DANH MỤC"))</f>
        <v/>
      </c>
      <c r="H889" s="52"/>
      <c r="I889" s="52"/>
    </row>
    <row r="890" customFormat="false" ht="15" hidden="false" customHeight="false" outlineLevel="0" collapsed="false">
      <c r="A890" s="50"/>
      <c r="B890" s="51" t="str">
        <f aca="false">IF(A890="","",MONTH(A890))</f>
        <v/>
      </c>
      <c r="C890" s="52"/>
      <c r="D890" s="52"/>
      <c r="E890" s="52"/>
      <c r="F890" s="52"/>
      <c r="G890" s="55" t="str">
        <f aca="false">IF(C890="","",IFERROR(INDEX('DANH MỤC'!$B$5:$B$200,MATCH(C890,'DANH MỤC'!$A$5:$A$200,0)),"⚠ Mã chưa có trong DANH MỤC"))</f>
        <v/>
      </c>
      <c r="H890" s="52"/>
      <c r="I890" s="52"/>
    </row>
    <row r="891" customFormat="false" ht="15" hidden="false" customHeight="false" outlineLevel="0" collapsed="false">
      <c r="A891" s="50"/>
      <c r="B891" s="51" t="str">
        <f aca="false">IF(A891="","",MONTH(A891))</f>
        <v/>
      </c>
      <c r="C891" s="52"/>
      <c r="D891" s="52"/>
      <c r="E891" s="52"/>
      <c r="F891" s="52"/>
      <c r="G891" s="55" t="str">
        <f aca="false">IF(C891="","",IFERROR(INDEX('DANH MỤC'!$B$5:$B$200,MATCH(C891,'DANH MỤC'!$A$5:$A$200,0)),"⚠ Mã chưa có trong DANH MỤC"))</f>
        <v/>
      </c>
      <c r="H891" s="52"/>
      <c r="I891" s="52"/>
    </row>
    <row r="892" customFormat="false" ht="15" hidden="false" customHeight="false" outlineLevel="0" collapsed="false">
      <c r="A892" s="50"/>
      <c r="B892" s="51" t="str">
        <f aca="false">IF(A892="","",MONTH(A892))</f>
        <v/>
      </c>
      <c r="C892" s="52"/>
      <c r="D892" s="52"/>
      <c r="E892" s="52"/>
      <c r="F892" s="52"/>
      <c r="G892" s="55" t="str">
        <f aca="false">IF(C892="","",IFERROR(INDEX('DANH MỤC'!$B$5:$B$200,MATCH(C892,'DANH MỤC'!$A$5:$A$200,0)),"⚠ Mã chưa có trong DANH MỤC"))</f>
        <v/>
      </c>
      <c r="H892" s="52"/>
      <c r="I892" s="52"/>
    </row>
    <row r="893" customFormat="false" ht="15" hidden="false" customHeight="false" outlineLevel="0" collapsed="false">
      <c r="A893" s="50"/>
      <c r="B893" s="51" t="str">
        <f aca="false">IF(A893="","",MONTH(A893))</f>
        <v/>
      </c>
      <c r="C893" s="52"/>
      <c r="D893" s="52"/>
      <c r="E893" s="52"/>
      <c r="F893" s="52"/>
      <c r="G893" s="55" t="str">
        <f aca="false">IF(C893="","",IFERROR(INDEX('DANH MỤC'!$B$5:$B$200,MATCH(C893,'DANH MỤC'!$A$5:$A$200,0)),"⚠ Mã chưa có trong DANH MỤC"))</f>
        <v/>
      </c>
      <c r="H893" s="52"/>
      <c r="I893" s="52"/>
    </row>
    <row r="894" customFormat="false" ht="15" hidden="false" customHeight="false" outlineLevel="0" collapsed="false">
      <c r="A894" s="50"/>
      <c r="B894" s="51" t="str">
        <f aca="false">IF(A894="","",MONTH(A894))</f>
        <v/>
      </c>
      <c r="C894" s="52"/>
      <c r="D894" s="52"/>
      <c r="E894" s="52"/>
      <c r="F894" s="52"/>
      <c r="G894" s="55" t="str">
        <f aca="false">IF(C894="","",IFERROR(INDEX('DANH MỤC'!$B$5:$B$200,MATCH(C894,'DANH MỤC'!$A$5:$A$200,0)),"⚠ Mã chưa có trong DANH MỤC"))</f>
        <v/>
      </c>
      <c r="H894" s="52"/>
      <c r="I894" s="52"/>
    </row>
    <row r="895" customFormat="false" ht="15" hidden="false" customHeight="false" outlineLevel="0" collapsed="false">
      <c r="A895" s="50"/>
      <c r="B895" s="51" t="str">
        <f aca="false">IF(A895="","",MONTH(A895))</f>
        <v/>
      </c>
      <c r="C895" s="52"/>
      <c r="D895" s="52"/>
      <c r="E895" s="52"/>
      <c r="F895" s="52"/>
      <c r="G895" s="55" t="str">
        <f aca="false">IF(C895="","",IFERROR(INDEX('DANH MỤC'!$B$5:$B$200,MATCH(C895,'DANH MỤC'!$A$5:$A$200,0)),"⚠ Mã chưa có trong DANH MỤC"))</f>
        <v/>
      </c>
      <c r="H895" s="52"/>
      <c r="I895" s="52"/>
    </row>
    <row r="896" customFormat="false" ht="15" hidden="false" customHeight="false" outlineLevel="0" collapsed="false">
      <c r="A896" s="50"/>
      <c r="B896" s="51" t="str">
        <f aca="false">IF(A896="","",MONTH(A896))</f>
        <v/>
      </c>
      <c r="C896" s="52"/>
      <c r="D896" s="52"/>
      <c r="E896" s="52"/>
      <c r="F896" s="52"/>
      <c r="G896" s="55" t="str">
        <f aca="false">IF(C896="","",IFERROR(INDEX('DANH MỤC'!$B$5:$B$200,MATCH(C896,'DANH MỤC'!$A$5:$A$200,0)),"⚠ Mã chưa có trong DANH MỤC"))</f>
        <v/>
      </c>
      <c r="H896" s="52"/>
      <c r="I896" s="52"/>
    </row>
    <row r="897" customFormat="false" ht="15" hidden="false" customHeight="false" outlineLevel="0" collapsed="false">
      <c r="A897" s="50"/>
      <c r="B897" s="51" t="str">
        <f aca="false">IF(A897="","",MONTH(A897))</f>
        <v/>
      </c>
      <c r="C897" s="52"/>
      <c r="D897" s="52"/>
      <c r="E897" s="52"/>
      <c r="F897" s="52"/>
      <c r="G897" s="55" t="str">
        <f aca="false">IF(C897="","",IFERROR(INDEX('DANH MỤC'!$B$5:$B$200,MATCH(C897,'DANH MỤC'!$A$5:$A$200,0)),"⚠ Mã chưa có trong DANH MỤC"))</f>
        <v/>
      </c>
      <c r="H897" s="52"/>
      <c r="I897" s="52"/>
    </row>
    <row r="898" customFormat="false" ht="15" hidden="false" customHeight="false" outlineLevel="0" collapsed="false">
      <c r="A898" s="50"/>
      <c r="B898" s="51" t="str">
        <f aca="false">IF(A898="","",MONTH(A898))</f>
        <v/>
      </c>
      <c r="C898" s="52"/>
      <c r="D898" s="52"/>
      <c r="E898" s="52"/>
      <c r="F898" s="52"/>
      <c r="G898" s="55" t="str">
        <f aca="false">IF(C898="","",IFERROR(INDEX('DANH MỤC'!$B$5:$B$200,MATCH(C898,'DANH MỤC'!$A$5:$A$200,0)),"⚠ Mã chưa có trong DANH MỤC"))</f>
        <v/>
      </c>
      <c r="H898" s="52"/>
      <c r="I898" s="52"/>
    </row>
    <row r="899" customFormat="false" ht="15" hidden="false" customHeight="false" outlineLevel="0" collapsed="false">
      <c r="A899" s="50"/>
      <c r="B899" s="51" t="str">
        <f aca="false">IF(A899="","",MONTH(A899))</f>
        <v/>
      </c>
      <c r="C899" s="52"/>
      <c r="D899" s="52"/>
      <c r="E899" s="52"/>
      <c r="F899" s="52"/>
      <c r="G899" s="55" t="str">
        <f aca="false">IF(C899="","",IFERROR(INDEX('DANH MỤC'!$B$5:$B$200,MATCH(C899,'DANH MỤC'!$A$5:$A$200,0)),"⚠ Mã chưa có trong DANH MỤC"))</f>
        <v/>
      </c>
      <c r="H899" s="52"/>
      <c r="I899" s="52"/>
    </row>
    <row r="900" customFormat="false" ht="15" hidden="false" customHeight="false" outlineLevel="0" collapsed="false">
      <c r="A900" s="50"/>
      <c r="B900" s="51" t="str">
        <f aca="false">IF(A900="","",MONTH(A900))</f>
        <v/>
      </c>
      <c r="C900" s="52"/>
      <c r="D900" s="52"/>
      <c r="E900" s="52"/>
      <c r="F900" s="52"/>
      <c r="G900" s="55" t="str">
        <f aca="false">IF(C900="","",IFERROR(INDEX('DANH MỤC'!$B$5:$B$200,MATCH(C900,'DANH MỤC'!$A$5:$A$200,0)),"⚠ Mã chưa có trong DANH MỤC"))</f>
        <v/>
      </c>
      <c r="H900" s="52"/>
      <c r="I900" s="52"/>
    </row>
    <row r="901" customFormat="false" ht="15" hidden="false" customHeight="false" outlineLevel="0" collapsed="false">
      <c r="A901" s="50"/>
      <c r="B901" s="51" t="str">
        <f aca="false">IF(A901="","",MONTH(A901))</f>
        <v/>
      </c>
      <c r="C901" s="52"/>
      <c r="D901" s="52"/>
      <c r="E901" s="52"/>
      <c r="F901" s="52"/>
      <c r="G901" s="55" t="str">
        <f aca="false">IF(C901="","",IFERROR(INDEX('DANH MỤC'!$B$5:$B$200,MATCH(C901,'DANH MỤC'!$A$5:$A$200,0)),"⚠ Mã chưa có trong DANH MỤC"))</f>
        <v/>
      </c>
      <c r="H901" s="52"/>
      <c r="I901" s="52"/>
    </row>
    <row r="902" customFormat="false" ht="15" hidden="false" customHeight="false" outlineLevel="0" collapsed="false">
      <c r="A902" s="50"/>
      <c r="B902" s="51" t="str">
        <f aca="false">IF(A902="","",MONTH(A902))</f>
        <v/>
      </c>
      <c r="C902" s="52"/>
      <c r="D902" s="52"/>
      <c r="E902" s="52"/>
      <c r="F902" s="52"/>
      <c r="G902" s="55" t="str">
        <f aca="false">IF(C902="","",IFERROR(INDEX('DANH MỤC'!$B$5:$B$200,MATCH(C902,'DANH MỤC'!$A$5:$A$200,0)),"⚠ Mã chưa có trong DANH MỤC"))</f>
        <v/>
      </c>
      <c r="H902" s="52"/>
      <c r="I902" s="52"/>
    </row>
    <row r="903" customFormat="false" ht="15" hidden="false" customHeight="false" outlineLevel="0" collapsed="false">
      <c r="A903" s="50"/>
      <c r="B903" s="51" t="str">
        <f aca="false">IF(A903="","",MONTH(A903))</f>
        <v/>
      </c>
      <c r="C903" s="52"/>
      <c r="D903" s="52"/>
      <c r="E903" s="52"/>
      <c r="F903" s="52"/>
      <c r="G903" s="55" t="str">
        <f aca="false">IF(C903="","",IFERROR(INDEX('DANH MỤC'!$B$5:$B$200,MATCH(C903,'DANH MỤC'!$A$5:$A$200,0)),"⚠ Mã chưa có trong DANH MỤC"))</f>
        <v/>
      </c>
      <c r="H903" s="52"/>
      <c r="I903" s="52"/>
    </row>
    <row r="904" customFormat="false" ht="15" hidden="false" customHeight="false" outlineLevel="0" collapsed="false">
      <c r="A904" s="50"/>
      <c r="B904" s="51" t="str">
        <f aca="false">IF(A904="","",MONTH(A904))</f>
        <v/>
      </c>
      <c r="C904" s="52"/>
      <c r="D904" s="52"/>
      <c r="E904" s="52"/>
      <c r="F904" s="52"/>
      <c r="G904" s="55" t="str">
        <f aca="false">IF(C904="","",IFERROR(INDEX('DANH MỤC'!$B$5:$B$200,MATCH(C904,'DANH MỤC'!$A$5:$A$200,0)),"⚠ Mã chưa có trong DANH MỤC"))</f>
        <v/>
      </c>
      <c r="H904" s="52"/>
      <c r="I904" s="52"/>
    </row>
    <row r="905" customFormat="false" ht="15" hidden="false" customHeight="false" outlineLevel="0" collapsed="false">
      <c r="A905" s="50"/>
      <c r="B905" s="51" t="str">
        <f aca="false">IF(A905="","",MONTH(A905))</f>
        <v/>
      </c>
      <c r="C905" s="52"/>
      <c r="D905" s="52"/>
      <c r="E905" s="52"/>
      <c r="F905" s="52"/>
      <c r="G905" s="55" t="str">
        <f aca="false">IF(C905="","",IFERROR(INDEX('DANH MỤC'!$B$5:$B$200,MATCH(C905,'DANH MỤC'!$A$5:$A$200,0)),"⚠ Mã chưa có trong DANH MỤC"))</f>
        <v/>
      </c>
      <c r="H905" s="52"/>
      <c r="I905" s="52"/>
    </row>
    <row r="906" customFormat="false" ht="15" hidden="false" customHeight="false" outlineLevel="0" collapsed="false">
      <c r="A906" s="50"/>
      <c r="B906" s="51" t="str">
        <f aca="false">IF(A906="","",MONTH(A906))</f>
        <v/>
      </c>
      <c r="C906" s="52"/>
      <c r="D906" s="52"/>
      <c r="E906" s="52"/>
      <c r="F906" s="52"/>
      <c r="G906" s="55" t="str">
        <f aca="false">IF(C906="","",IFERROR(INDEX('DANH MỤC'!$B$5:$B$200,MATCH(C906,'DANH MỤC'!$A$5:$A$200,0)),"⚠ Mã chưa có trong DANH MỤC"))</f>
        <v/>
      </c>
      <c r="H906" s="52"/>
      <c r="I906" s="52"/>
    </row>
    <row r="907" customFormat="false" ht="15" hidden="false" customHeight="false" outlineLevel="0" collapsed="false">
      <c r="A907" s="50"/>
      <c r="B907" s="51" t="str">
        <f aca="false">IF(A907="","",MONTH(A907))</f>
        <v/>
      </c>
      <c r="C907" s="52"/>
      <c r="D907" s="52"/>
      <c r="E907" s="52"/>
      <c r="F907" s="52"/>
      <c r="G907" s="55" t="str">
        <f aca="false">IF(C907="","",IFERROR(INDEX('DANH MỤC'!$B$5:$B$200,MATCH(C907,'DANH MỤC'!$A$5:$A$200,0)),"⚠ Mã chưa có trong DANH MỤC"))</f>
        <v/>
      </c>
      <c r="H907" s="52"/>
      <c r="I907" s="52"/>
    </row>
    <row r="908" customFormat="false" ht="15" hidden="false" customHeight="false" outlineLevel="0" collapsed="false">
      <c r="A908" s="50"/>
      <c r="B908" s="51" t="str">
        <f aca="false">IF(A908="","",MONTH(A908))</f>
        <v/>
      </c>
      <c r="C908" s="52"/>
      <c r="D908" s="52"/>
      <c r="E908" s="52"/>
      <c r="F908" s="52"/>
      <c r="G908" s="55" t="str">
        <f aca="false">IF(C908="","",IFERROR(INDEX('DANH MỤC'!$B$5:$B$200,MATCH(C908,'DANH MỤC'!$A$5:$A$200,0)),"⚠ Mã chưa có trong DANH MỤC"))</f>
        <v/>
      </c>
      <c r="H908" s="52"/>
      <c r="I908" s="52"/>
    </row>
    <row r="909" customFormat="false" ht="15" hidden="false" customHeight="false" outlineLevel="0" collapsed="false">
      <c r="A909" s="50"/>
      <c r="B909" s="51" t="str">
        <f aca="false">IF(A909="","",MONTH(A909))</f>
        <v/>
      </c>
      <c r="C909" s="52"/>
      <c r="D909" s="52"/>
      <c r="E909" s="52"/>
      <c r="F909" s="52"/>
      <c r="G909" s="55" t="str">
        <f aca="false">IF(C909="","",IFERROR(INDEX('DANH MỤC'!$B$5:$B$200,MATCH(C909,'DANH MỤC'!$A$5:$A$200,0)),"⚠ Mã chưa có trong DANH MỤC"))</f>
        <v/>
      </c>
      <c r="H909" s="52"/>
      <c r="I909" s="52"/>
    </row>
    <row r="910" customFormat="false" ht="15" hidden="false" customHeight="false" outlineLevel="0" collapsed="false">
      <c r="A910" s="50"/>
      <c r="B910" s="51" t="str">
        <f aca="false">IF(A910="","",MONTH(A910))</f>
        <v/>
      </c>
      <c r="C910" s="52"/>
      <c r="D910" s="52"/>
      <c r="E910" s="52"/>
      <c r="F910" s="52"/>
      <c r="G910" s="55" t="str">
        <f aca="false">IF(C910="","",IFERROR(INDEX('DANH MỤC'!$B$5:$B$200,MATCH(C910,'DANH MỤC'!$A$5:$A$200,0)),"⚠ Mã chưa có trong DANH MỤC"))</f>
        <v/>
      </c>
      <c r="H910" s="52"/>
      <c r="I910" s="52"/>
    </row>
    <row r="911" customFormat="false" ht="15" hidden="false" customHeight="false" outlineLevel="0" collapsed="false">
      <c r="A911" s="50"/>
      <c r="B911" s="51" t="str">
        <f aca="false">IF(A911="","",MONTH(A911))</f>
        <v/>
      </c>
      <c r="C911" s="52"/>
      <c r="D911" s="52"/>
      <c r="E911" s="52"/>
      <c r="F911" s="52"/>
      <c r="G911" s="55" t="str">
        <f aca="false">IF(C911="","",IFERROR(INDEX('DANH MỤC'!$B$5:$B$200,MATCH(C911,'DANH MỤC'!$A$5:$A$200,0)),"⚠ Mã chưa có trong DANH MỤC"))</f>
        <v/>
      </c>
      <c r="H911" s="52"/>
      <c r="I911" s="52"/>
    </row>
    <row r="912" customFormat="false" ht="15" hidden="false" customHeight="false" outlineLevel="0" collapsed="false">
      <c r="A912" s="50"/>
      <c r="B912" s="51" t="str">
        <f aca="false">IF(A912="","",MONTH(A912))</f>
        <v/>
      </c>
      <c r="C912" s="52"/>
      <c r="D912" s="52"/>
      <c r="E912" s="52"/>
      <c r="F912" s="52"/>
      <c r="G912" s="55" t="str">
        <f aca="false">IF(C912="","",IFERROR(INDEX('DANH MỤC'!$B$5:$B$200,MATCH(C912,'DANH MỤC'!$A$5:$A$200,0)),"⚠ Mã chưa có trong DANH MỤC"))</f>
        <v/>
      </c>
      <c r="H912" s="52"/>
      <c r="I912" s="52"/>
    </row>
    <row r="913" customFormat="false" ht="15" hidden="false" customHeight="false" outlineLevel="0" collapsed="false">
      <c r="A913" s="50"/>
      <c r="B913" s="51" t="str">
        <f aca="false">IF(A913="","",MONTH(A913))</f>
        <v/>
      </c>
      <c r="C913" s="52"/>
      <c r="D913" s="52"/>
      <c r="E913" s="52"/>
      <c r="F913" s="52"/>
      <c r="G913" s="55" t="str">
        <f aca="false">IF(C913="","",IFERROR(INDEX('DANH MỤC'!$B$5:$B$200,MATCH(C913,'DANH MỤC'!$A$5:$A$200,0)),"⚠ Mã chưa có trong DANH MỤC"))</f>
        <v/>
      </c>
      <c r="H913" s="52"/>
      <c r="I913" s="52"/>
    </row>
    <row r="914" customFormat="false" ht="15" hidden="false" customHeight="false" outlineLevel="0" collapsed="false">
      <c r="A914" s="50"/>
      <c r="B914" s="51" t="str">
        <f aca="false">IF(A914="","",MONTH(A914))</f>
        <v/>
      </c>
      <c r="C914" s="52"/>
      <c r="D914" s="52"/>
      <c r="E914" s="52"/>
      <c r="F914" s="52"/>
      <c r="G914" s="55" t="str">
        <f aca="false">IF(C914="","",IFERROR(INDEX('DANH MỤC'!$B$5:$B$200,MATCH(C914,'DANH MỤC'!$A$5:$A$200,0)),"⚠ Mã chưa có trong DANH MỤC"))</f>
        <v/>
      </c>
      <c r="H914" s="52"/>
      <c r="I914" s="52"/>
    </row>
    <row r="915" customFormat="false" ht="15" hidden="false" customHeight="false" outlineLevel="0" collapsed="false">
      <c r="A915" s="50"/>
      <c r="B915" s="51" t="str">
        <f aca="false">IF(A915="","",MONTH(A915))</f>
        <v/>
      </c>
      <c r="C915" s="52"/>
      <c r="D915" s="52"/>
      <c r="E915" s="52"/>
      <c r="F915" s="52"/>
      <c r="G915" s="55" t="str">
        <f aca="false">IF(C915="","",IFERROR(INDEX('DANH MỤC'!$B$5:$B$200,MATCH(C915,'DANH MỤC'!$A$5:$A$200,0)),"⚠ Mã chưa có trong DANH MỤC"))</f>
        <v/>
      </c>
      <c r="H915" s="52"/>
      <c r="I915" s="52"/>
    </row>
    <row r="916" customFormat="false" ht="15" hidden="false" customHeight="false" outlineLevel="0" collapsed="false">
      <c r="A916" s="50"/>
      <c r="B916" s="51" t="str">
        <f aca="false">IF(A916="","",MONTH(A916))</f>
        <v/>
      </c>
      <c r="C916" s="52"/>
      <c r="D916" s="52"/>
      <c r="E916" s="52"/>
      <c r="F916" s="52"/>
      <c r="G916" s="55" t="str">
        <f aca="false">IF(C916="","",IFERROR(INDEX('DANH MỤC'!$B$5:$B$200,MATCH(C916,'DANH MỤC'!$A$5:$A$200,0)),"⚠ Mã chưa có trong DANH MỤC"))</f>
        <v/>
      </c>
      <c r="H916" s="52"/>
      <c r="I916" s="52"/>
    </row>
    <row r="917" customFormat="false" ht="15" hidden="false" customHeight="false" outlineLevel="0" collapsed="false">
      <c r="A917" s="50"/>
      <c r="B917" s="51" t="str">
        <f aca="false">IF(A917="","",MONTH(A917))</f>
        <v/>
      </c>
      <c r="C917" s="52"/>
      <c r="D917" s="52"/>
      <c r="E917" s="52"/>
      <c r="F917" s="52"/>
      <c r="G917" s="55" t="str">
        <f aca="false">IF(C917="","",IFERROR(INDEX('DANH MỤC'!$B$5:$B$200,MATCH(C917,'DANH MỤC'!$A$5:$A$200,0)),"⚠ Mã chưa có trong DANH MỤC"))</f>
        <v/>
      </c>
      <c r="H917" s="52"/>
      <c r="I917" s="52"/>
    </row>
    <row r="918" customFormat="false" ht="15" hidden="false" customHeight="false" outlineLevel="0" collapsed="false">
      <c r="A918" s="50"/>
      <c r="B918" s="51" t="str">
        <f aca="false">IF(A918="","",MONTH(A918))</f>
        <v/>
      </c>
      <c r="C918" s="52"/>
      <c r="D918" s="52"/>
      <c r="E918" s="52"/>
      <c r="F918" s="52"/>
      <c r="G918" s="55" t="str">
        <f aca="false">IF(C918="","",IFERROR(INDEX('DANH MỤC'!$B$5:$B$200,MATCH(C918,'DANH MỤC'!$A$5:$A$200,0)),"⚠ Mã chưa có trong DANH MỤC"))</f>
        <v/>
      </c>
      <c r="H918" s="52"/>
      <c r="I918" s="52"/>
    </row>
    <row r="919" customFormat="false" ht="15" hidden="false" customHeight="false" outlineLevel="0" collapsed="false">
      <c r="A919" s="50"/>
      <c r="B919" s="51" t="str">
        <f aca="false">IF(A919="","",MONTH(A919))</f>
        <v/>
      </c>
      <c r="C919" s="52"/>
      <c r="D919" s="52"/>
      <c r="E919" s="52"/>
      <c r="F919" s="52"/>
      <c r="G919" s="55" t="str">
        <f aca="false">IF(C919="","",IFERROR(INDEX('DANH MỤC'!$B$5:$B$200,MATCH(C919,'DANH MỤC'!$A$5:$A$200,0)),"⚠ Mã chưa có trong DANH MỤC"))</f>
        <v/>
      </c>
      <c r="H919" s="52"/>
      <c r="I919" s="52"/>
    </row>
    <row r="920" customFormat="false" ht="15" hidden="false" customHeight="false" outlineLevel="0" collapsed="false">
      <c r="A920" s="50"/>
      <c r="B920" s="51" t="str">
        <f aca="false">IF(A920="","",MONTH(A920))</f>
        <v/>
      </c>
      <c r="C920" s="52"/>
      <c r="D920" s="52"/>
      <c r="E920" s="52"/>
      <c r="F920" s="52"/>
      <c r="G920" s="55" t="str">
        <f aca="false">IF(C920="","",IFERROR(INDEX('DANH MỤC'!$B$5:$B$200,MATCH(C920,'DANH MỤC'!$A$5:$A$200,0)),"⚠ Mã chưa có trong DANH MỤC"))</f>
        <v/>
      </c>
      <c r="H920" s="52"/>
      <c r="I920" s="52"/>
    </row>
    <row r="921" customFormat="false" ht="15" hidden="false" customHeight="false" outlineLevel="0" collapsed="false">
      <c r="A921" s="50"/>
      <c r="B921" s="51" t="str">
        <f aca="false">IF(A921="","",MONTH(A921))</f>
        <v/>
      </c>
      <c r="C921" s="52"/>
      <c r="D921" s="52"/>
      <c r="E921" s="52"/>
      <c r="F921" s="52"/>
      <c r="G921" s="55" t="str">
        <f aca="false">IF(C921="","",IFERROR(INDEX('DANH MỤC'!$B$5:$B$200,MATCH(C921,'DANH MỤC'!$A$5:$A$200,0)),"⚠ Mã chưa có trong DANH MỤC"))</f>
        <v/>
      </c>
      <c r="H921" s="52"/>
      <c r="I921" s="52"/>
    </row>
    <row r="922" customFormat="false" ht="15" hidden="false" customHeight="false" outlineLevel="0" collapsed="false">
      <c r="A922" s="50"/>
      <c r="B922" s="51" t="str">
        <f aca="false">IF(A922="","",MONTH(A922))</f>
        <v/>
      </c>
      <c r="C922" s="52"/>
      <c r="D922" s="52"/>
      <c r="E922" s="52"/>
      <c r="F922" s="52"/>
      <c r="G922" s="55" t="str">
        <f aca="false">IF(C922="","",IFERROR(INDEX('DANH MỤC'!$B$5:$B$200,MATCH(C922,'DANH MỤC'!$A$5:$A$200,0)),"⚠ Mã chưa có trong DANH MỤC"))</f>
        <v/>
      </c>
      <c r="H922" s="52"/>
      <c r="I922" s="52"/>
    </row>
    <row r="923" customFormat="false" ht="15" hidden="false" customHeight="false" outlineLevel="0" collapsed="false">
      <c r="A923" s="50"/>
      <c r="B923" s="51" t="str">
        <f aca="false">IF(A923="","",MONTH(A923))</f>
        <v/>
      </c>
      <c r="C923" s="52"/>
      <c r="D923" s="52"/>
      <c r="E923" s="52"/>
      <c r="F923" s="52"/>
      <c r="G923" s="55" t="str">
        <f aca="false">IF(C923="","",IFERROR(INDEX('DANH MỤC'!$B$5:$B$200,MATCH(C923,'DANH MỤC'!$A$5:$A$200,0)),"⚠ Mã chưa có trong DANH MỤC"))</f>
        <v/>
      </c>
      <c r="H923" s="52"/>
      <c r="I923" s="52"/>
    </row>
    <row r="924" customFormat="false" ht="15" hidden="false" customHeight="false" outlineLevel="0" collapsed="false">
      <c r="A924" s="50"/>
      <c r="B924" s="51" t="str">
        <f aca="false">IF(A924="","",MONTH(A924))</f>
        <v/>
      </c>
      <c r="C924" s="52"/>
      <c r="D924" s="52"/>
      <c r="E924" s="52"/>
      <c r="F924" s="52"/>
      <c r="G924" s="55" t="str">
        <f aca="false">IF(C924="","",IFERROR(INDEX('DANH MỤC'!$B$5:$B$200,MATCH(C924,'DANH MỤC'!$A$5:$A$200,0)),"⚠ Mã chưa có trong DANH MỤC"))</f>
        <v/>
      </c>
      <c r="H924" s="52"/>
      <c r="I924" s="52"/>
    </row>
    <row r="925" customFormat="false" ht="15" hidden="false" customHeight="false" outlineLevel="0" collapsed="false">
      <c r="A925" s="50"/>
      <c r="B925" s="51" t="str">
        <f aca="false">IF(A925="","",MONTH(A925))</f>
        <v/>
      </c>
      <c r="C925" s="52"/>
      <c r="D925" s="52"/>
      <c r="E925" s="52"/>
      <c r="F925" s="52"/>
      <c r="G925" s="55" t="str">
        <f aca="false">IF(C925="","",IFERROR(INDEX('DANH MỤC'!$B$5:$B$200,MATCH(C925,'DANH MỤC'!$A$5:$A$200,0)),"⚠ Mã chưa có trong DANH MỤC"))</f>
        <v/>
      </c>
      <c r="H925" s="52"/>
      <c r="I925" s="52"/>
    </row>
    <row r="926" customFormat="false" ht="15" hidden="false" customHeight="false" outlineLevel="0" collapsed="false">
      <c r="A926" s="50"/>
      <c r="B926" s="51" t="str">
        <f aca="false">IF(A926="","",MONTH(A926))</f>
        <v/>
      </c>
      <c r="C926" s="52"/>
      <c r="D926" s="52"/>
      <c r="E926" s="52"/>
      <c r="F926" s="52"/>
      <c r="G926" s="55" t="str">
        <f aca="false">IF(C926="","",IFERROR(INDEX('DANH MỤC'!$B$5:$B$200,MATCH(C926,'DANH MỤC'!$A$5:$A$200,0)),"⚠ Mã chưa có trong DANH MỤC"))</f>
        <v/>
      </c>
      <c r="H926" s="52"/>
      <c r="I926" s="52"/>
    </row>
    <row r="927" customFormat="false" ht="15" hidden="false" customHeight="false" outlineLevel="0" collapsed="false">
      <c r="A927" s="50"/>
      <c r="B927" s="51" t="str">
        <f aca="false">IF(A927="","",MONTH(A927))</f>
        <v/>
      </c>
      <c r="C927" s="52"/>
      <c r="D927" s="52"/>
      <c r="E927" s="52"/>
      <c r="F927" s="52"/>
      <c r="G927" s="55" t="str">
        <f aca="false">IF(C927="","",IFERROR(INDEX('DANH MỤC'!$B$5:$B$200,MATCH(C927,'DANH MỤC'!$A$5:$A$200,0)),"⚠ Mã chưa có trong DANH MỤC"))</f>
        <v/>
      </c>
      <c r="H927" s="52"/>
      <c r="I927" s="52"/>
    </row>
    <row r="928" customFormat="false" ht="15" hidden="false" customHeight="false" outlineLevel="0" collapsed="false">
      <c r="A928" s="50"/>
      <c r="B928" s="51" t="str">
        <f aca="false">IF(A928="","",MONTH(A928))</f>
        <v/>
      </c>
      <c r="C928" s="52"/>
      <c r="D928" s="52"/>
      <c r="E928" s="52"/>
      <c r="F928" s="52"/>
      <c r="G928" s="55" t="str">
        <f aca="false">IF(C928="","",IFERROR(INDEX('DANH MỤC'!$B$5:$B$200,MATCH(C928,'DANH MỤC'!$A$5:$A$200,0)),"⚠ Mã chưa có trong DANH MỤC"))</f>
        <v/>
      </c>
      <c r="H928" s="52"/>
      <c r="I928" s="52"/>
    </row>
    <row r="929" customFormat="false" ht="15" hidden="false" customHeight="false" outlineLevel="0" collapsed="false">
      <c r="A929" s="50"/>
      <c r="B929" s="51" t="str">
        <f aca="false">IF(A929="","",MONTH(A929))</f>
        <v/>
      </c>
      <c r="C929" s="52"/>
      <c r="D929" s="52"/>
      <c r="E929" s="52"/>
      <c r="F929" s="52"/>
      <c r="G929" s="55" t="str">
        <f aca="false">IF(C929="","",IFERROR(INDEX('DANH MỤC'!$B$5:$B$200,MATCH(C929,'DANH MỤC'!$A$5:$A$200,0)),"⚠ Mã chưa có trong DANH MỤC"))</f>
        <v/>
      </c>
      <c r="H929" s="52"/>
      <c r="I929" s="52"/>
    </row>
    <row r="930" customFormat="false" ht="15" hidden="false" customHeight="false" outlineLevel="0" collapsed="false">
      <c r="A930" s="50"/>
      <c r="B930" s="51" t="str">
        <f aca="false">IF(A930="","",MONTH(A930))</f>
        <v/>
      </c>
      <c r="C930" s="52"/>
      <c r="D930" s="52"/>
      <c r="E930" s="52"/>
      <c r="F930" s="52"/>
      <c r="G930" s="55" t="str">
        <f aca="false">IF(C930="","",IFERROR(INDEX('DANH MỤC'!$B$5:$B$200,MATCH(C930,'DANH MỤC'!$A$5:$A$200,0)),"⚠ Mã chưa có trong DANH MỤC"))</f>
        <v/>
      </c>
      <c r="H930" s="52"/>
      <c r="I930" s="52"/>
    </row>
    <row r="931" customFormat="false" ht="15" hidden="false" customHeight="false" outlineLevel="0" collapsed="false">
      <c r="A931" s="50"/>
      <c r="B931" s="51" t="str">
        <f aca="false">IF(A931="","",MONTH(A931))</f>
        <v/>
      </c>
      <c r="C931" s="52"/>
      <c r="D931" s="52"/>
      <c r="E931" s="52"/>
      <c r="F931" s="52"/>
      <c r="G931" s="55" t="str">
        <f aca="false">IF(C931="","",IFERROR(INDEX('DANH MỤC'!$B$5:$B$200,MATCH(C931,'DANH MỤC'!$A$5:$A$200,0)),"⚠ Mã chưa có trong DANH MỤC"))</f>
        <v/>
      </c>
      <c r="H931" s="52"/>
      <c r="I931" s="52"/>
    </row>
    <row r="932" customFormat="false" ht="15" hidden="false" customHeight="false" outlineLevel="0" collapsed="false">
      <c r="A932" s="50"/>
      <c r="B932" s="51" t="str">
        <f aca="false">IF(A932="","",MONTH(A932))</f>
        <v/>
      </c>
      <c r="C932" s="52"/>
      <c r="D932" s="52"/>
      <c r="E932" s="52"/>
      <c r="F932" s="52"/>
      <c r="G932" s="55" t="str">
        <f aca="false">IF(C932="","",IFERROR(INDEX('DANH MỤC'!$B$5:$B$200,MATCH(C932,'DANH MỤC'!$A$5:$A$200,0)),"⚠ Mã chưa có trong DANH MỤC"))</f>
        <v/>
      </c>
      <c r="H932" s="52"/>
      <c r="I932" s="52"/>
    </row>
    <row r="933" customFormat="false" ht="15" hidden="false" customHeight="false" outlineLevel="0" collapsed="false">
      <c r="A933" s="50"/>
      <c r="B933" s="51" t="str">
        <f aca="false">IF(A933="","",MONTH(A933))</f>
        <v/>
      </c>
      <c r="C933" s="52"/>
      <c r="D933" s="52"/>
      <c r="E933" s="52"/>
      <c r="F933" s="52"/>
      <c r="G933" s="55" t="str">
        <f aca="false">IF(C933="","",IFERROR(INDEX('DANH MỤC'!$B$5:$B$200,MATCH(C933,'DANH MỤC'!$A$5:$A$200,0)),"⚠ Mã chưa có trong DANH MỤC"))</f>
        <v/>
      </c>
      <c r="H933" s="52"/>
      <c r="I933" s="52"/>
    </row>
    <row r="934" customFormat="false" ht="15" hidden="false" customHeight="false" outlineLevel="0" collapsed="false">
      <c r="A934" s="50"/>
      <c r="B934" s="51" t="str">
        <f aca="false">IF(A934="","",MONTH(A934))</f>
        <v/>
      </c>
      <c r="C934" s="52"/>
      <c r="D934" s="52"/>
      <c r="E934" s="52"/>
      <c r="F934" s="52"/>
      <c r="G934" s="55" t="str">
        <f aca="false">IF(C934="","",IFERROR(INDEX('DANH MỤC'!$B$5:$B$200,MATCH(C934,'DANH MỤC'!$A$5:$A$200,0)),"⚠ Mã chưa có trong DANH MỤC"))</f>
        <v/>
      </c>
      <c r="H934" s="52"/>
      <c r="I934" s="52"/>
    </row>
    <row r="935" customFormat="false" ht="15" hidden="false" customHeight="false" outlineLevel="0" collapsed="false">
      <c r="A935" s="50"/>
      <c r="B935" s="51" t="str">
        <f aca="false">IF(A935="","",MONTH(A935))</f>
        <v/>
      </c>
      <c r="C935" s="52"/>
      <c r="D935" s="52"/>
      <c r="E935" s="52"/>
      <c r="F935" s="52"/>
      <c r="G935" s="55" t="str">
        <f aca="false">IF(C935="","",IFERROR(INDEX('DANH MỤC'!$B$5:$B$200,MATCH(C935,'DANH MỤC'!$A$5:$A$200,0)),"⚠ Mã chưa có trong DANH MỤC"))</f>
        <v/>
      </c>
      <c r="H935" s="52"/>
      <c r="I935" s="52"/>
    </row>
    <row r="936" customFormat="false" ht="15" hidden="false" customHeight="false" outlineLevel="0" collapsed="false">
      <c r="A936" s="50"/>
      <c r="B936" s="51" t="str">
        <f aca="false">IF(A936="","",MONTH(A936))</f>
        <v/>
      </c>
      <c r="C936" s="52"/>
      <c r="D936" s="52"/>
      <c r="E936" s="52"/>
      <c r="F936" s="52"/>
      <c r="G936" s="55" t="str">
        <f aca="false">IF(C936="","",IFERROR(INDEX('DANH MỤC'!$B$5:$B$200,MATCH(C936,'DANH MỤC'!$A$5:$A$200,0)),"⚠ Mã chưa có trong DANH MỤC"))</f>
        <v/>
      </c>
      <c r="H936" s="52"/>
      <c r="I936" s="52"/>
    </row>
    <row r="937" customFormat="false" ht="15" hidden="false" customHeight="false" outlineLevel="0" collapsed="false">
      <c r="A937" s="50"/>
      <c r="B937" s="51" t="str">
        <f aca="false">IF(A937="","",MONTH(A937))</f>
        <v/>
      </c>
      <c r="C937" s="52"/>
      <c r="D937" s="52"/>
      <c r="E937" s="52"/>
      <c r="F937" s="52"/>
      <c r="G937" s="55" t="str">
        <f aca="false">IF(C937="","",IFERROR(INDEX('DANH MỤC'!$B$5:$B$200,MATCH(C937,'DANH MỤC'!$A$5:$A$200,0)),"⚠ Mã chưa có trong DANH MỤC"))</f>
        <v/>
      </c>
      <c r="H937" s="52"/>
      <c r="I937" s="52"/>
    </row>
    <row r="938" customFormat="false" ht="15" hidden="false" customHeight="false" outlineLevel="0" collapsed="false">
      <c r="A938" s="50"/>
      <c r="B938" s="51" t="str">
        <f aca="false">IF(A938="","",MONTH(A938))</f>
        <v/>
      </c>
      <c r="C938" s="52"/>
      <c r="D938" s="52"/>
      <c r="E938" s="52"/>
      <c r="F938" s="52"/>
      <c r="G938" s="55" t="str">
        <f aca="false">IF(C938="","",IFERROR(INDEX('DANH MỤC'!$B$5:$B$200,MATCH(C938,'DANH MỤC'!$A$5:$A$200,0)),"⚠ Mã chưa có trong DANH MỤC"))</f>
        <v/>
      </c>
      <c r="H938" s="52"/>
      <c r="I938" s="52"/>
    </row>
    <row r="939" customFormat="false" ht="15" hidden="false" customHeight="false" outlineLevel="0" collapsed="false">
      <c r="A939" s="50"/>
      <c r="B939" s="51" t="str">
        <f aca="false">IF(A939="","",MONTH(A939))</f>
        <v/>
      </c>
      <c r="C939" s="52"/>
      <c r="D939" s="52"/>
      <c r="E939" s="52"/>
      <c r="F939" s="52"/>
      <c r="G939" s="55" t="str">
        <f aca="false">IF(C939="","",IFERROR(INDEX('DANH MỤC'!$B$5:$B$200,MATCH(C939,'DANH MỤC'!$A$5:$A$200,0)),"⚠ Mã chưa có trong DANH MỤC"))</f>
        <v/>
      </c>
      <c r="H939" s="52"/>
      <c r="I939" s="52"/>
    </row>
    <row r="940" customFormat="false" ht="15" hidden="false" customHeight="false" outlineLevel="0" collapsed="false">
      <c r="A940" s="50"/>
      <c r="B940" s="51" t="str">
        <f aca="false">IF(A940="","",MONTH(A940))</f>
        <v/>
      </c>
      <c r="C940" s="52"/>
      <c r="D940" s="52"/>
      <c r="E940" s="52"/>
      <c r="F940" s="52"/>
      <c r="G940" s="55" t="str">
        <f aca="false">IF(C940="","",IFERROR(INDEX('DANH MỤC'!$B$5:$B$200,MATCH(C940,'DANH MỤC'!$A$5:$A$200,0)),"⚠ Mã chưa có trong DANH MỤC"))</f>
        <v/>
      </c>
      <c r="H940" s="52"/>
      <c r="I940" s="52"/>
    </row>
    <row r="941" customFormat="false" ht="15" hidden="false" customHeight="false" outlineLevel="0" collapsed="false">
      <c r="A941" s="50"/>
      <c r="B941" s="51" t="str">
        <f aca="false">IF(A941="","",MONTH(A941))</f>
        <v/>
      </c>
      <c r="C941" s="52"/>
      <c r="D941" s="52"/>
      <c r="E941" s="52"/>
      <c r="F941" s="52"/>
      <c r="G941" s="55" t="str">
        <f aca="false">IF(C941="","",IFERROR(INDEX('DANH MỤC'!$B$5:$B$200,MATCH(C941,'DANH MỤC'!$A$5:$A$200,0)),"⚠ Mã chưa có trong DANH MỤC"))</f>
        <v/>
      </c>
      <c r="H941" s="52"/>
      <c r="I941" s="52"/>
    </row>
    <row r="942" customFormat="false" ht="15" hidden="false" customHeight="false" outlineLevel="0" collapsed="false">
      <c r="A942" s="50"/>
      <c r="B942" s="51" t="str">
        <f aca="false">IF(A942="","",MONTH(A942))</f>
        <v/>
      </c>
      <c r="C942" s="52"/>
      <c r="D942" s="52"/>
      <c r="E942" s="52"/>
      <c r="F942" s="52"/>
      <c r="G942" s="55" t="str">
        <f aca="false">IF(C942="","",IFERROR(INDEX('DANH MỤC'!$B$5:$B$200,MATCH(C942,'DANH MỤC'!$A$5:$A$200,0)),"⚠ Mã chưa có trong DANH MỤC"))</f>
        <v/>
      </c>
      <c r="H942" s="52"/>
      <c r="I942" s="52"/>
    </row>
    <row r="943" customFormat="false" ht="15" hidden="false" customHeight="false" outlineLevel="0" collapsed="false">
      <c r="A943" s="50"/>
      <c r="B943" s="51" t="str">
        <f aca="false">IF(A943="","",MONTH(A943))</f>
        <v/>
      </c>
      <c r="C943" s="52"/>
      <c r="D943" s="52"/>
      <c r="E943" s="52"/>
      <c r="F943" s="52"/>
      <c r="G943" s="55" t="str">
        <f aca="false">IF(C943="","",IFERROR(INDEX('DANH MỤC'!$B$5:$B$200,MATCH(C943,'DANH MỤC'!$A$5:$A$200,0)),"⚠ Mã chưa có trong DANH MỤC"))</f>
        <v/>
      </c>
      <c r="H943" s="52"/>
      <c r="I943" s="52"/>
    </row>
    <row r="944" customFormat="false" ht="15" hidden="false" customHeight="false" outlineLevel="0" collapsed="false">
      <c r="A944" s="50"/>
      <c r="B944" s="51" t="str">
        <f aca="false">IF(A944="","",MONTH(A944))</f>
        <v/>
      </c>
      <c r="C944" s="52"/>
      <c r="D944" s="52"/>
      <c r="E944" s="52"/>
      <c r="F944" s="52"/>
      <c r="G944" s="55" t="str">
        <f aca="false">IF(C944="","",IFERROR(INDEX('DANH MỤC'!$B$5:$B$200,MATCH(C944,'DANH MỤC'!$A$5:$A$200,0)),"⚠ Mã chưa có trong DANH MỤC"))</f>
        <v/>
      </c>
      <c r="H944" s="52"/>
      <c r="I944" s="52"/>
    </row>
    <row r="945" customFormat="false" ht="15" hidden="false" customHeight="false" outlineLevel="0" collapsed="false">
      <c r="A945" s="50"/>
      <c r="B945" s="51" t="str">
        <f aca="false">IF(A945="","",MONTH(A945))</f>
        <v/>
      </c>
      <c r="C945" s="52"/>
      <c r="D945" s="52"/>
      <c r="E945" s="52"/>
      <c r="F945" s="52"/>
      <c r="G945" s="55" t="str">
        <f aca="false">IF(C945="","",IFERROR(INDEX('DANH MỤC'!$B$5:$B$200,MATCH(C945,'DANH MỤC'!$A$5:$A$200,0)),"⚠ Mã chưa có trong DANH MỤC"))</f>
        <v/>
      </c>
      <c r="H945" s="52"/>
      <c r="I945" s="52"/>
    </row>
    <row r="946" customFormat="false" ht="15" hidden="false" customHeight="false" outlineLevel="0" collapsed="false">
      <c r="A946" s="50"/>
      <c r="B946" s="51" t="str">
        <f aca="false">IF(A946="","",MONTH(A946))</f>
        <v/>
      </c>
      <c r="C946" s="52"/>
      <c r="D946" s="52"/>
      <c r="E946" s="52"/>
      <c r="F946" s="52"/>
      <c r="G946" s="55" t="str">
        <f aca="false">IF(C946="","",IFERROR(INDEX('DANH MỤC'!$B$5:$B$200,MATCH(C946,'DANH MỤC'!$A$5:$A$200,0)),"⚠ Mã chưa có trong DANH MỤC"))</f>
        <v/>
      </c>
      <c r="H946" s="52"/>
      <c r="I946" s="52"/>
    </row>
    <row r="947" customFormat="false" ht="15" hidden="false" customHeight="false" outlineLevel="0" collapsed="false">
      <c r="A947" s="50"/>
      <c r="B947" s="51" t="str">
        <f aca="false">IF(A947="","",MONTH(A947))</f>
        <v/>
      </c>
      <c r="C947" s="52"/>
      <c r="D947" s="52"/>
      <c r="E947" s="52"/>
      <c r="F947" s="52"/>
      <c r="G947" s="55" t="str">
        <f aca="false">IF(C947="","",IFERROR(INDEX('DANH MỤC'!$B$5:$B$200,MATCH(C947,'DANH MỤC'!$A$5:$A$200,0)),"⚠ Mã chưa có trong DANH MỤC"))</f>
        <v/>
      </c>
      <c r="H947" s="52"/>
      <c r="I947" s="52"/>
    </row>
    <row r="948" customFormat="false" ht="15" hidden="false" customHeight="false" outlineLevel="0" collapsed="false">
      <c r="A948" s="50"/>
      <c r="B948" s="51" t="str">
        <f aca="false">IF(A948="","",MONTH(A948))</f>
        <v/>
      </c>
      <c r="C948" s="52"/>
      <c r="D948" s="52"/>
      <c r="E948" s="52"/>
      <c r="F948" s="52"/>
      <c r="G948" s="55" t="str">
        <f aca="false">IF(C948="","",IFERROR(INDEX('DANH MỤC'!$B$5:$B$200,MATCH(C948,'DANH MỤC'!$A$5:$A$200,0)),"⚠ Mã chưa có trong DANH MỤC"))</f>
        <v/>
      </c>
      <c r="H948" s="52"/>
      <c r="I948" s="52"/>
    </row>
    <row r="949" customFormat="false" ht="15" hidden="false" customHeight="false" outlineLevel="0" collapsed="false">
      <c r="A949" s="50"/>
      <c r="B949" s="51" t="str">
        <f aca="false">IF(A949="","",MONTH(A949))</f>
        <v/>
      </c>
      <c r="C949" s="52"/>
      <c r="D949" s="52"/>
      <c r="E949" s="52"/>
      <c r="F949" s="52"/>
      <c r="G949" s="55" t="str">
        <f aca="false">IF(C949="","",IFERROR(INDEX('DANH MỤC'!$B$5:$B$200,MATCH(C949,'DANH MỤC'!$A$5:$A$200,0)),"⚠ Mã chưa có trong DANH MỤC"))</f>
        <v/>
      </c>
      <c r="H949" s="52"/>
      <c r="I949" s="52"/>
    </row>
    <row r="950" customFormat="false" ht="15" hidden="false" customHeight="false" outlineLevel="0" collapsed="false">
      <c r="A950" s="50"/>
      <c r="B950" s="51" t="str">
        <f aca="false">IF(A950="","",MONTH(A950))</f>
        <v/>
      </c>
      <c r="C950" s="52"/>
      <c r="D950" s="52"/>
      <c r="E950" s="52"/>
      <c r="F950" s="52"/>
      <c r="G950" s="55" t="str">
        <f aca="false">IF(C950="","",IFERROR(INDEX('DANH MỤC'!$B$5:$B$200,MATCH(C950,'DANH MỤC'!$A$5:$A$200,0)),"⚠ Mã chưa có trong DANH MỤC"))</f>
        <v/>
      </c>
      <c r="H950" s="52"/>
      <c r="I950" s="52"/>
    </row>
    <row r="951" customFormat="false" ht="15" hidden="false" customHeight="false" outlineLevel="0" collapsed="false">
      <c r="A951" s="50"/>
      <c r="B951" s="51" t="str">
        <f aca="false">IF(A951="","",MONTH(A951))</f>
        <v/>
      </c>
      <c r="C951" s="52"/>
      <c r="D951" s="52"/>
      <c r="E951" s="52"/>
      <c r="F951" s="52"/>
      <c r="G951" s="55" t="str">
        <f aca="false">IF(C951="","",IFERROR(INDEX('DANH MỤC'!$B$5:$B$200,MATCH(C951,'DANH MỤC'!$A$5:$A$200,0)),"⚠ Mã chưa có trong DANH MỤC"))</f>
        <v/>
      </c>
      <c r="H951" s="52"/>
      <c r="I951" s="52"/>
    </row>
    <row r="952" customFormat="false" ht="15" hidden="false" customHeight="false" outlineLevel="0" collapsed="false">
      <c r="A952" s="50"/>
      <c r="B952" s="51" t="str">
        <f aca="false">IF(A952="","",MONTH(A952))</f>
        <v/>
      </c>
      <c r="C952" s="52"/>
      <c r="D952" s="52"/>
      <c r="E952" s="52"/>
      <c r="F952" s="52"/>
      <c r="G952" s="55" t="str">
        <f aca="false">IF(C952="","",IFERROR(INDEX('DANH MỤC'!$B$5:$B$200,MATCH(C952,'DANH MỤC'!$A$5:$A$200,0)),"⚠ Mã chưa có trong DANH MỤC"))</f>
        <v/>
      </c>
      <c r="H952" s="52"/>
      <c r="I952" s="52"/>
    </row>
    <row r="953" customFormat="false" ht="15" hidden="false" customHeight="false" outlineLevel="0" collapsed="false">
      <c r="A953" s="50"/>
      <c r="B953" s="51" t="str">
        <f aca="false">IF(A953="","",MONTH(A953))</f>
        <v/>
      </c>
      <c r="C953" s="52"/>
      <c r="D953" s="52"/>
      <c r="E953" s="52"/>
      <c r="F953" s="52"/>
      <c r="G953" s="55" t="str">
        <f aca="false">IF(C953="","",IFERROR(INDEX('DANH MỤC'!$B$5:$B$200,MATCH(C953,'DANH MỤC'!$A$5:$A$200,0)),"⚠ Mã chưa có trong DANH MỤC"))</f>
        <v/>
      </c>
      <c r="H953" s="52"/>
      <c r="I953" s="52"/>
    </row>
    <row r="954" customFormat="false" ht="15" hidden="false" customHeight="false" outlineLevel="0" collapsed="false">
      <c r="A954" s="50"/>
      <c r="B954" s="51" t="str">
        <f aca="false">IF(A954="","",MONTH(A954))</f>
        <v/>
      </c>
      <c r="C954" s="52"/>
      <c r="D954" s="52"/>
      <c r="E954" s="52"/>
      <c r="F954" s="52"/>
      <c r="G954" s="55" t="str">
        <f aca="false">IF(C954="","",IFERROR(INDEX('DANH MỤC'!$B$5:$B$200,MATCH(C954,'DANH MỤC'!$A$5:$A$200,0)),"⚠ Mã chưa có trong DANH MỤC"))</f>
        <v/>
      </c>
      <c r="H954" s="52"/>
      <c r="I954" s="52"/>
    </row>
    <row r="955" customFormat="false" ht="15" hidden="false" customHeight="false" outlineLevel="0" collapsed="false">
      <c r="A955" s="50"/>
      <c r="B955" s="51" t="str">
        <f aca="false">IF(A955="","",MONTH(A955))</f>
        <v/>
      </c>
      <c r="C955" s="52"/>
      <c r="D955" s="52"/>
      <c r="E955" s="52"/>
      <c r="F955" s="52"/>
      <c r="G955" s="55" t="str">
        <f aca="false">IF(C955="","",IFERROR(INDEX('DANH MỤC'!$B$5:$B$200,MATCH(C955,'DANH MỤC'!$A$5:$A$200,0)),"⚠ Mã chưa có trong DANH MỤC"))</f>
        <v/>
      </c>
      <c r="H955" s="52"/>
      <c r="I955" s="52"/>
    </row>
    <row r="956" customFormat="false" ht="15" hidden="false" customHeight="false" outlineLevel="0" collapsed="false">
      <c r="A956" s="50"/>
      <c r="B956" s="51" t="str">
        <f aca="false">IF(A956="","",MONTH(A956))</f>
        <v/>
      </c>
      <c r="C956" s="52"/>
      <c r="D956" s="52"/>
      <c r="E956" s="52"/>
      <c r="F956" s="52"/>
      <c r="G956" s="55" t="str">
        <f aca="false">IF(C956="","",IFERROR(INDEX('DANH MỤC'!$B$5:$B$200,MATCH(C956,'DANH MỤC'!$A$5:$A$200,0)),"⚠ Mã chưa có trong DANH MỤC"))</f>
        <v/>
      </c>
      <c r="H956" s="52"/>
      <c r="I956" s="52"/>
    </row>
    <row r="957" customFormat="false" ht="15" hidden="false" customHeight="false" outlineLevel="0" collapsed="false">
      <c r="A957" s="50"/>
      <c r="B957" s="51" t="str">
        <f aca="false">IF(A957="","",MONTH(A957))</f>
        <v/>
      </c>
      <c r="C957" s="52"/>
      <c r="D957" s="52"/>
      <c r="E957" s="52"/>
      <c r="F957" s="52"/>
      <c r="G957" s="55" t="str">
        <f aca="false">IF(C957="","",IFERROR(INDEX('DANH MỤC'!$B$5:$B$200,MATCH(C957,'DANH MỤC'!$A$5:$A$200,0)),"⚠ Mã chưa có trong DANH MỤC"))</f>
        <v/>
      </c>
      <c r="H957" s="52"/>
      <c r="I957" s="52"/>
    </row>
    <row r="958" customFormat="false" ht="15" hidden="false" customHeight="false" outlineLevel="0" collapsed="false">
      <c r="A958" s="50"/>
      <c r="B958" s="51" t="str">
        <f aca="false">IF(A958="","",MONTH(A958))</f>
        <v/>
      </c>
      <c r="C958" s="52"/>
      <c r="D958" s="52"/>
      <c r="E958" s="52"/>
      <c r="F958" s="52"/>
      <c r="G958" s="55" t="str">
        <f aca="false">IF(C958="","",IFERROR(INDEX('DANH MỤC'!$B$5:$B$200,MATCH(C958,'DANH MỤC'!$A$5:$A$200,0)),"⚠ Mã chưa có trong DANH MỤC"))</f>
        <v/>
      </c>
      <c r="H958" s="52"/>
      <c r="I958" s="52"/>
    </row>
    <row r="959" customFormat="false" ht="15" hidden="false" customHeight="false" outlineLevel="0" collapsed="false">
      <c r="A959" s="50"/>
      <c r="B959" s="51" t="str">
        <f aca="false">IF(A959="","",MONTH(A959))</f>
        <v/>
      </c>
      <c r="C959" s="52"/>
      <c r="D959" s="52"/>
      <c r="E959" s="52"/>
      <c r="F959" s="52"/>
      <c r="G959" s="55" t="str">
        <f aca="false">IF(C959="","",IFERROR(INDEX('DANH MỤC'!$B$5:$B$200,MATCH(C959,'DANH MỤC'!$A$5:$A$200,0)),"⚠ Mã chưa có trong DANH MỤC"))</f>
        <v/>
      </c>
      <c r="H959" s="52"/>
      <c r="I959" s="52"/>
    </row>
    <row r="960" customFormat="false" ht="15" hidden="false" customHeight="false" outlineLevel="0" collapsed="false">
      <c r="A960" s="50"/>
      <c r="B960" s="51" t="str">
        <f aca="false">IF(A960="","",MONTH(A960))</f>
        <v/>
      </c>
      <c r="C960" s="52"/>
      <c r="D960" s="52"/>
      <c r="E960" s="52"/>
      <c r="F960" s="52"/>
      <c r="G960" s="55" t="str">
        <f aca="false">IF(C960="","",IFERROR(INDEX('DANH MỤC'!$B$5:$B$200,MATCH(C960,'DANH MỤC'!$A$5:$A$200,0)),"⚠ Mã chưa có trong DANH MỤC"))</f>
        <v/>
      </c>
      <c r="H960" s="52"/>
      <c r="I960" s="52"/>
    </row>
    <row r="961" customFormat="false" ht="15" hidden="false" customHeight="false" outlineLevel="0" collapsed="false">
      <c r="A961" s="50"/>
      <c r="B961" s="51" t="str">
        <f aca="false">IF(A961="","",MONTH(A961))</f>
        <v/>
      </c>
      <c r="C961" s="52"/>
      <c r="D961" s="52"/>
      <c r="E961" s="52"/>
      <c r="F961" s="52"/>
      <c r="G961" s="55" t="str">
        <f aca="false">IF(C961="","",IFERROR(INDEX('DANH MỤC'!$B$5:$B$200,MATCH(C961,'DANH MỤC'!$A$5:$A$200,0)),"⚠ Mã chưa có trong DANH MỤC"))</f>
        <v/>
      </c>
      <c r="H961" s="52"/>
      <c r="I961" s="52"/>
    </row>
    <row r="962" customFormat="false" ht="15" hidden="false" customHeight="false" outlineLevel="0" collapsed="false">
      <c r="A962" s="50"/>
      <c r="B962" s="51" t="str">
        <f aca="false">IF(A962="","",MONTH(A962))</f>
        <v/>
      </c>
      <c r="C962" s="52"/>
      <c r="D962" s="52"/>
      <c r="E962" s="52"/>
      <c r="F962" s="52"/>
      <c r="G962" s="55" t="str">
        <f aca="false">IF(C962="","",IFERROR(INDEX('DANH MỤC'!$B$5:$B$200,MATCH(C962,'DANH MỤC'!$A$5:$A$200,0)),"⚠ Mã chưa có trong DANH MỤC"))</f>
        <v/>
      </c>
      <c r="H962" s="52"/>
      <c r="I962" s="52"/>
    </row>
    <row r="963" customFormat="false" ht="15" hidden="false" customHeight="false" outlineLevel="0" collapsed="false">
      <c r="A963" s="50"/>
      <c r="B963" s="51" t="str">
        <f aca="false">IF(A963="","",MONTH(A963))</f>
        <v/>
      </c>
      <c r="C963" s="52"/>
      <c r="D963" s="52"/>
      <c r="E963" s="52"/>
      <c r="F963" s="52"/>
      <c r="G963" s="55" t="str">
        <f aca="false">IF(C963="","",IFERROR(INDEX('DANH MỤC'!$B$5:$B$200,MATCH(C963,'DANH MỤC'!$A$5:$A$200,0)),"⚠ Mã chưa có trong DANH MỤC"))</f>
        <v/>
      </c>
      <c r="H963" s="52"/>
      <c r="I963" s="52"/>
    </row>
    <row r="964" customFormat="false" ht="15" hidden="false" customHeight="false" outlineLevel="0" collapsed="false">
      <c r="A964" s="50"/>
      <c r="B964" s="51" t="str">
        <f aca="false">IF(A964="","",MONTH(A964))</f>
        <v/>
      </c>
      <c r="C964" s="52"/>
      <c r="D964" s="52"/>
      <c r="E964" s="52"/>
      <c r="F964" s="52"/>
      <c r="G964" s="55" t="str">
        <f aca="false">IF(C964="","",IFERROR(INDEX('DANH MỤC'!$B$5:$B$200,MATCH(C964,'DANH MỤC'!$A$5:$A$200,0)),"⚠ Mã chưa có trong DANH MỤC"))</f>
        <v/>
      </c>
      <c r="H964" s="52"/>
      <c r="I964" s="52"/>
    </row>
    <row r="965" customFormat="false" ht="15" hidden="false" customHeight="false" outlineLevel="0" collapsed="false">
      <c r="A965" s="50"/>
      <c r="B965" s="51" t="str">
        <f aca="false">IF(A965="","",MONTH(A965))</f>
        <v/>
      </c>
      <c r="C965" s="52"/>
      <c r="D965" s="52"/>
      <c r="E965" s="52"/>
      <c r="F965" s="52"/>
      <c r="G965" s="55" t="str">
        <f aca="false">IF(C965="","",IFERROR(INDEX('DANH MỤC'!$B$5:$B$200,MATCH(C965,'DANH MỤC'!$A$5:$A$200,0)),"⚠ Mã chưa có trong DANH MỤC"))</f>
        <v/>
      </c>
      <c r="H965" s="52"/>
      <c r="I965" s="52"/>
    </row>
    <row r="966" customFormat="false" ht="15" hidden="false" customHeight="false" outlineLevel="0" collapsed="false">
      <c r="A966" s="50"/>
      <c r="B966" s="51" t="str">
        <f aca="false">IF(A966="","",MONTH(A966))</f>
        <v/>
      </c>
      <c r="C966" s="52"/>
      <c r="D966" s="52"/>
      <c r="E966" s="52"/>
      <c r="F966" s="52"/>
      <c r="G966" s="55" t="str">
        <f aca="false">IF(C966="","",IFERROR(INDEX('DANH MỤC'!$B$5:$B$200,MATCH(C966,'DANH MỤC'!$A$5:$A$200,0)),"⚠ Mã chưa có trong DANH MỤC"))</f>
        <v/>
      </c>
      <c r="H966" s="52"/>
      <c r="I966" s="52"/>
    </row>
    <row r="967" customFormat="false" ht="15" hidden="false" customHeight="false" outlineLevel="0" collapsed="false">
      <c r="A967" s="50"/>
      <c r="B967" s="51" t="str">
        <f aca="false">IF(A967="","",MONTH(A967))</f>
        <v/>
      </c>
      <c r="C967" s="52"/>
      <c r="D967" s="52"/>
      <c r="E967" s="52"/>
      <c r="F967" s="52"/>
      <c r="G967" s="55" t="str">
        <f aca="false">IF(C967="","",IFERROR(INDEX('DANH MỤC'!$B$5:$B$200,MATCH(C967,'DANH MỤC'!$A$5:$A$200,0)),"⚠ Mã chưa có trong DANH MỤC"))</f>
        <v/>
      </c>
      <c r="H967" s="52"/>
      <c r="I967" s="52"/>
    </row>
    <row r="968" customFormat="false" ht="15" hidden="false" customHeight="false" outlineLevel="0" collapsed="false">
      <c r="A968" s="50"/>
      <c r="B968" s="51" t="str">
        <f aca="false">IF(A968="","",MONTH(A968))</f>
        <v/>
      </c>
      <c r="C968" s="52"/>
      <c r="D968" s="52"/>
      <c r="E968" s="52"/>
      <c r="F968" s="52"/>
      <c r="G968" s="55" t="str">
        <f aca="false">IF(C968="","",IFERROR(INDEX('DANH MỤC'!$B$5:$B$200,MATCH(C968,'DANH MỤC'!$A$5:$A$200,0)),"⚠ Mã chưa có trong DANH MỤC"))</f>
        <v/>
      </c>
      <c r="H968" s="52"/>
      <c r="I968" s="52"/>
    </row>
    <row r="969" customFormat="false" ht="15" hidden="false" customHeight="false" outlineLevel="0" collapsed="false">
      <c r="A969" s="50"/>
      <c r="B969" s="51" t="str">
        <f aca="false">IF(A969="","",MONTH(A969))</f>
        <v/>
      </c>
      <c r="C969" s="52"/>
      <c r="D969" s="52"/>
      <c r="E969" s="52"/>
      <c r="F969" s="52"/>
      <c r="G969" s="55" t="str">
        <f aca="false">IF(C969="","",IFERROR(INDEX('DANH MỤC'!$B$5:$B$200,MATCH(C969,'DANH MỤC'!$A$5:$A$200,0)),"⚠ Mã chưa có trong DANH MỤC"))</f>
        <v/>
      </c>
      <c r="H969" s="52"/>
      <c r="I969" s="52"/>
    </row>
    <row r="970" customFormat="false" ht="15" hidden="false" customHeight="false" outlineLevel="0" collapsed="false">
      <c r="A970" s="50"/>
      <c r="B970" s="51" t="str">
        <f aca="false">IF(A970="","",MONTH(A970))</f>
        <v/>
      </c>
      <c r="C970" s="52"/>
      <c r="D970" s="52"/>
      <c r="E970" s="52"/>
      <c r="F970" s="52"/>
      <c r="G970" s="55" t="str">
        <f aca="false">IF(C970="","",IFERROR(INDEX('DANH MỤC'!$B$5:$B$200,MATCH(C970,'DANH MỤC'!$A$5:$A$200,0)),"⚠ Mã chưa có trong DANH MỤC"))</f>
        <v/>
      </c>
      <c r="H970" s="52"/>
      <c r="I970" s="52"/>
    </row>
    <row r="971" customFormat="false" ht="15" hidden="false" customHeight="false" outlineLevel="0" collapsed="false">
      <c r="A971" s="50"/>
      <c r="B971" s="51" t="str">
        <f aca="false">IF(A971="","",MONTH(A971))</f>
        <v/>
      </c>
      <c r="C971" s="52"/>
      <c r="D971" s="52"/>
      <c r="E971" s="52"/>
      <c r="F971" s="52"/>
      <c r="G971" s="55" t="str">
        <f aca="false">IF(C971="","",IFERROR(INDEX('DANH MỤC'!$B$5:$B$200,MATCH(C971,'DANH MỤC'!$A$5:$A$200,0)),"⚠ Mã chưa có trong DANH MỤC"))</f>
        <v/>
      </c>
      <c r="H971" s="52"/>
      <c r="I971" s="52"/>
    </row>
    <row r="972" customFormat="false" ht="15" hidden="false" customHeight="false" outlineLevel="0" collapsed="false">
      <c r="A972" s="50"/>
      <c r="B972" s="51" t="str">
        <f aca="false">IF(A972="","",MONTH(A972))</f>
        <v/>
      </c>
      <c r="C972" s="52"/>
      <c r="D972" s="52"/>
      <c r="E972" s="52"/>
      <c r="F972" s="52"/>
      <c r="G972" s="55" t="str">
        <f aca="false">IF(C972="","",IFERROR(INDEX('DANH MỤC'!$B$5:$B$200,MATCH(C972,'DANH MỤC'!$A$5:$A$200,0)),"⚠ Mã chưa có trong DANH MỤC"))</f>
        <v/>
      </c>
      <c r="H972" s="52"/>
      <c r="I972" s="52"/>
    </row>
    <row r="973" customFormat="false" ht="15" hidden="false" customHeight="false" outlineLevel="0" collapsed="false">
      <c r="A973" s="50"/>
      <c r="B973" s="51" t="str">
        <f aca="false">IF(A973="","",MONTH(A973))</f>
        <v/>
      </c>
      <c r="C973" s="52"/>
      <c r="D973" s="52"/>
      <c r="E973" s="52"/>
      <c r="F973" s="52"/>
      <c r="G973" s="55" t="str">
        <f aca="false">IF(C973="","",IFERROR(INDEX('DANH MỤC'!$B$5:$B$200,MATCH(C973,'DANH MỤC'!$A$5:$A$200,0)),"⚠ Mã chưa có trong DANH MỤC"))</f>
        <v/>
      </c>
      <c r="H973" s="52"/>
      <c r="I973" s="52"/>
    </row>
    <row r="974" customFormat="false" ht="15" hidden="false" customHeight="false" outlineLevel="0" collapsed="false">
      <c r="A974" s="50"/>
      <c r="B974" s="51" t="str">
        <f aca="false">IF(A974="","",MONTH(A974))</f>
        <v/>
      </c>
      <c r="C974" s="52"/>
      <c r="D974" s="52"/>
      <c r="E974" s="52"/>
      <c r="F974" s="52"/>
      <c r="G974" s="55" t="str">
        <f aca="false">IF(C974="","",IFERROR(INDEX('DANH MỤC'!$B$5:$B$200,MATCH(C974,'DANH MỤC'!$A$5:$A$200,0)),"⚠ Mã chưa có trong DANH MỤC"))</f>
        <v/>
      </c>
      <c r="H974" s="52"/>
      <c r="I974" s="52"/>
    </row>
    <row r="975" customFormat="false" ht="15" hidden="false" customHeight="false" outlineLevel="0" collapsed="false">
      <c r="A975" s="50"/>
      <c r="B975" s="51" t="str">
        <f aca="false">IF(A975="","",MONTH(A975))</f>
        <v/>
      </c>
      <c r="C975" s="52"/>
      <c r="D975" s="52"/>
      <c r="E975" s="52"/>
      <c r="F975" s="52"/>
      <c r="G975" s="55" t="str">
        <f aca="false">IF(C975="","",IFERROR(INDEX('DANH MỤC'!$B$5:$B$200,MATCH(C975,'DANH MỤC'!$A$5:$A$200,0)),"⚠ Mã chưa có trong DANH MỤC"))</f>
        <v/>
      </c>
      <c r="H975" s="52"/>
      <c r="I975" s="52"/>
    </row>
    <row r="976" customFormat="false" ht="15" hidden="false" customHeight="false" outlineLevel="0" collapsed="false">
      <c r="A976" s="50"/>
      <c r="B976" s="51" t="str">
        <f aca="false">IF(A976="","",MONTH(A976))</f>
        <v/>
      </c>
      <c r="C976" s="52"/>
      <c r="D976" s="52"/>
      <c r="E976" s="52"/>
      <c r="F976" s="52"/>
      <c r="G976" s="55" t="str">
        <f aca="false">IF(C976="","",IFERROR(INDEX('DANH MỤC'!$B$5:$B$200,MATCH(C976,'DANH MỤC'!$A$5:$A$200,0)),"⚠ Mã chưa có trong DANH MỤC"))</f>
        <v/>
      </c>
      <c r="H976" s="52"/>
      <c r="I976" s="52"/>
    </row>
    <row r="977" customFormat="false" ht="15" hidden="false" customHeight="false" outlineLevel="0" collapsed="false">
      <c r="A977" s="50"/>
      <c r="B977" s="51" t="str">
        <f aca="false">IF(A977="","",MONTH(A977))</f>
        <v/>
      </c>
      <c r="C977" s="52"/>
      <c r="D977" s="52"/>
      <c r="E977" s="52"/>
      <c r="F977" s="52"/>
      <c r="G977" s="55" t="str">
        <f aca="false">IF(C977="","",IFERROR(INDEX('DANH MỤC'!$B$5:$B$200,MATCH(C977,'DANH MỤC'!$A$5:$A$200,0)),"⚠ Mã chưa có trong DANH MỤC"))</f>
        <v/>
      </c>
      <c r="H977" s="52"/>
      <c r="I977" s="52"/>
    </row>
    <row r="978" customFormat="false" ht="15" hidden="false" customHeight="false" outlineLevel="0" collapsed="false">
      <c r="A978" s="50"/>
      <c r="B978" s="51" t="str">
        <f aca="false">IF(A978="","",MONTH(A978))</f>
        <v/>
      </c>
      <c r="C978" s="52"/>
      <c r="D978" s="52"/>
      <c r="E978" s="52"/>
      <c r="F978" s="52"/>
      <c r="G978" s="55" t="str">
        <f aca="false">IF(C978="","",IFERROR(INDEX('DANH MỤC'!$B$5:$B$200,MATCH(C978,'DANH MỤC'!$A$5:$A$200,0)),"⚠ Mã chưa có trong DANH MỤC"))</f>
        <v/>
      </c>
      <c r="H978" s="52"/>
      <c r="I978" s="52"/>
    </row>
    <row r="979" customFormat="false" ht="15" hidden="false" customHeight="false" outlineLevel="0" collapsed="false">
      <c r="A979" s="50"/>
      <c r="B979" s="51" t="str">
        <f aca="false">IF(A979="","",MONTH(A979))</f>
        <v/>
      </c>
      <c r="C979" s="52"/>
      <c r="D979" s="52"/>
      <c r="E979" s="52"/>
      <c r="F979" s="52"/>
      <c r="G979" s="55" t="str">
        <f aca="false">IF(C979="","",IFERROR(INDEX('DANH MỤC'!$B$5:$B$200,MATCH(C979,'DANH MỤC'!$A$5:$A$200,0)),"⚠ Mã chưa có trong DANH MỤC"))</f>
        <v/>
      </c>
      <c r="H979" s="52"/>
      <c r="I979" s="52"/>
    </row>
    <row r="980" customFormat="false" ht="15" hidden="false" customHeight="false" outlineLevel="0" collapsed="false">
      <c r="A980" s="50"/>
      <c r="B980" s="51" t="str">
        <f aca="false">IF(A980="","",MONTH(A980))</f>
        <v/>
      </c>
      <c r="C980" s="52"/>
      <c r="D980" s="52"/>
      <c r="E980" s="52"/>
      <c r="F980" s="52"/>
      <c r="G980" s="55" t="str">
        <f aca="false">IF(C980="","",IFERROR(INDEX('DANH MỤC'!$B$5:$B$200,MATCH(C980,'DANH MỤC'!$A$5:$A$200,0)),"⚠ Mã chưa có trong DANH MỤC"))</f>
        <v/>
      </c>
      <c r="H980" s="52"/>
      <c r="I980" s="52"/>
    </row>
    <row r="981" customFormat="false" ht="15" hidden="false" customHeight="false" outlineLevel="0" collapsed="false">
      <c r="A981" s="50"/>
      <c r="B981" s="51" t="str">
        <f aca="false">IF(A981="","",MONTH(A981))</f>
        <v/>
      </c>
      <c r="C981" s="52"/>
      <c r="D981" s="52"/>
      <c r="E981" s="52"/>
      <c r="F981" s="52"/>
      <c r="G981" s="55" t="str">
        <f aca="false">IF(C981="","",IFERROR(INDEX('DANH MỤC'!$B$5:$B$200,MATCH(C981,'DANH MỤC'!$A$5:$A$200,0)),"⚠ Mã chưa có trong DANH MỤC"))</f>
        <v/>
      </c>
      <c r="H981" s="52"/>
      <c r="I981" s="52"/>
    </row>
    <row r="982" customFormat="false" ht="15" hidden="false" customHeight="false" outlineLevel="0" collapsed="false">
      <c r="A982" s="50"/>
      <c r="B982" s="51" t="str">
        <f aca="false">IF(A982="","",MONTH(A982))</f>
        <v/>
      </c>
      <c r="C982" s="52"/>
      <c r="D982" s="52"/>
      <c r="E982" s="52"/>
      <c r="F982" s="52"/>
      <c r="G982" s="55" t="str">
        <f aca="false">IF(C982="","",IFERROR(INDEX('DANH MỤC'!$B$5:$B$200,MATCH(C982,'DANH MỤC'!$A$5:$A$200,0)),"⚠ Mã chưa có trong DANH MỤC"))</f>
        <v/>
      </c>
      <c r="H982" s="52"/>
      <c r="I982" s="52"/>
    </row>
    <row r="983" customFormat="false" ht="15" hidden="false" customHeight="false" outlineLevel="0" collapsed="false">
      <c r="A983" s="50"/>
      <c r="B983" s="51" t="str">
        <f aca="false">IF(A983="","",MONTH(A983))</f>
        <v/>
      </c>
      <c r="C983" s="52"/>
      <c r="D983" s="52"/>
      <c r="E983" s="52"/>
      <c r="F983" s="52"/>
      <c r="G983" s="55" t="str">
        <f aca="false">IF(C983="","",IFERROR(INDEX('DANH MỤC'!$B$5:$B$200,MATCH(C983,'DANH MỤC'!$A$5:$A$200,0)),"⚠ Mã chưa có trong DANH MỤC"))</f>
        <v/>
      </c>
      <c r="H983" s="52"/>
      <c r="I983" s="52"/>
    </row>
    <row r="984" customFormat="false" ht="15" hidden="false" customHeight="false" outlineLevel="0" collapsed="false">
      <c r="A984" s="50"/>
      <c r="B984" s="51" t="str">
        <f aca="false">IF(A984="","",MONTH(A984))</f>
        <v/>
      </c>
      <c r="C984" s="52"/>
      <c r="D984" s="52"/>
      <c r="E984" s="52"/>
      <c r="F984" s="52"/>
      <c r="G984" s="55" t="str">
        <f aca="false">IF(C984="","",IFERROR(INDEX('DANH MỤC'!$B$5:$B$200,MATCH(C984,'DANH MỤC'!$A$5:$A$200,0)),"⚠ Mã chưa có trong DANH MỤC"))</f>
        <v/>
      </c>
      <c r="H984" s="52"/>
      <c r="I984" s="52"/>
    </row>
    <row r="985" customFormat="false" ht="15" hidden="false" customHeight="false" outlineLevel="0" collapsed="false">
      <c r="A985" s="50"/>
      <c r="B985" s="51" t="str">
        <f aca="false">IF(A985="","",MONTH(A985))</f>
        <v/>
      </c>
      <c r="C985" s="52"/>
      <c r="D985" s="52"/>
      <c r="E985" s="52"/>
      <c r="F985" s="52"/>
      <c r="G985" s="55" t="str">
        <f aca="false">IF(C985="","",IFERROR(INDEX('DANH MỤC'!$B$5:$B$200,MATCH(C985,'DANH MỤC'!$A$5:$A$200,0)),"⚠ Mã chưa có trong DANH MỤC"))</f>
        <v/>
      </c>
      <c r="H985" s="52"/>
      <c r="I985" s="52"/>
    </row>
    <row r="986" customFormat="false" ht="15" hidden="false" customHeight="false" outlineLevel="0" collapsed="false">
      <c r="A986" s="50"/>
      <c r="B986" s="51" t="str">
        <f aca="false">IF(A986="","",MONTH(A986))</f>
        <v/>
      </c>
      <c r="C986" s="52"/>
      <c r="D986" s="52"/>
      <c r="E986" s="52"/>
      <c r="F986" s="52"/>
      <c r="G986" s="55" t="str">
        <f aca="false">IF(C986="","",IFERROR(INDEX('DANH MỤC'!$B$5:$B$200,MATCH(C986,'DANH MỤC'!$A$5:$A$200,0)),"⚠ Mã chưa có trong DANH MỤC"))</f>
        <v/>
      </c>
      <c r="H986" s="52"/>
      <c r="I986" s="52"/>
    </row>
    <row r="987" customFormat="false" ht="15" hidden="false" customHeight="false" outlineLevel="0" collapsed="false">
      <c r="A987" s="50"/>
      <c r="B987" s="51" t="str">
        <f aca="false">IF(A987="","",MONTH(A987))</f>
        <v/>
      </c>
      <c r="C987" s="52"/>
      <c r="D987" s="52"/>
      <c r="E987" s="52"/>
      <c r="F987" s="52"/>
      <c r="G987" s="55" t="str">
        <f aca="false">IF(C987="","",IFERROR(INDEX('DANH MỤC'!$B$5:$B$200,MATCH(C987,'DANH MỤC'!$A$5:$A$200,0)),"⚠ Mã chưa có trong DANH MỤC"))</f>
        <v/>
      </c>
      <c r="H987" s="52"/>
      <c r="I987" s="52"/>
    </row>
    <row r="988" customFormat="false" ht="15" hidden="false" customHeight="false" outlineLevel="0" collapsed="false">
      <c r="A988" s="50"/>
      <c r="B988" s="51" t="str">
        <f aca="false">IF(A988="","",MONTH(A988))</f>
        <v/>
      </c>
      <c r="C988" s="52"/>
      <c r="D988" s="52"/>
      <c r="E988" s="52"/>
      <c r="F988" s="52"/>
      <c r="G988" s="55" t="str">
        <f aca="false">IF(C988="","",IFERROR(INDEX('DANH MỤC'!$B$5:$B$200,MATCH(C988,'DANH MỤC'!$A$5:$A$200,0)),"⚠ Mã chưa có trong DANH MỤC"))</f>
        <v/>
      </c>
      <c r="H988" s="52"/>
      <c r="I988" s="52"/>
    </row>
    <row r="989" customFormat="false" ht="15" hidden="false" customHeight="false" outlineLevel="0" collapsed="false">
      <c r="A989" s="50"/>
      <c r="B989" s="51" t="str">
        <f aca="false">IF(A989="","",MONTH(A989))</f>
        <v/>
      </c>
      <c r="C989" s="52"/>
      <c r="D989" s="52"/>
      <c r="E989" s="52"/>
      <c r="F989" s="52"/>
      <c r="G989" s="55" t="str">
        <f aca="false">IF(C989="","",IFERROR(INDEX('DANH MỤC'!$B$5:$B$200,MATCH(C989,'DANH MỤC'!$A$5:$A$200,0)),"⚠ Mã chưa có trong DANH MỤC"))</f>
        <v/>
      </c>
      <c r="H989" s="52"/>
      <c r="I989" s="52"/>
    </row>
    <row r="990" customFormat="false" ht="15" hidden="false" customHeight="false" outlineLevel="0" collapsed="false">
      <c r="A990" s="50"/>
      <c r="B990" s="51" t="str">
        <f aca="false">IF(A990="","",MONTH(A990))</f>
        <v/>
      </c>
      <c r="C990" s="52"/>
      <c r="D990" s="52"/>
      <c r="E990" s="52"/>
      <c r="F990" s="52"/>
      <c r="G990" s="55" t="str">
        <f aca="false">IF(C990="","",IFERROR(INDEX('DANH MỤC'!$B$5:$B$200,MATCH(C990,'DANH MỤC'!$A$5:$A$200,0)),"⚠ Mã chưa có trong DANH MỤC"))</f>
        <v/>
      </c>
      <c r="H990" s="52"/>
      <c r="I990" s="52"/>
    </row>
    <row r="991" customFormat="false" ht="15" hidden="false" customHeight="false" outlineLevel="0" collapsed="false">
      <c r="A991" s="50"/>
      <c r="B991" s="51" t="str">
        <f aca="false">IF(A991="","",MONTH(A991))</f>
        <v/>
      </c>
      <c r="C991" s="52"/>
      <c r="D991" s="52"/>
      <c r="E991" s="52"/>
      <c r="F991" s="52"/>
      <c r="G991" s="55" t="str">
        <f aca="false">IF(C991="","",IFERROR(INDEX('DANH MỤC'!$B$5:$B$200,MATCH(C991,'DANH MỤC'!$A$5:$A$200,0)),"⚠ Mã chưa có trong DANH MỤC"))</f>
        <v/>
      </c>
      <c r="H991" s="52"/>
      <c r="I991" s="52"/>
    </row>
    <row r="992" customFormat="false" ht="15" hidden="false" customHeight="false" outlineLevel="0" collapsed="false">
      <c r="A992" s="50"/>
      <c r="B992" s="51" t="str">
        <f aca="false">IF(A992="","",MONTH(A992))</f>
        <v/>
      </c>
      <c r="C992" s="52"/>
      <c r="D992" s="52"/>
      <c r="E992" s="52"/>
      <c r="F992" s="52"/>
      <c r="G992" s="55" t="str">
        <f aca="false">IF(C992="","",IFERROR(INDEX('DANH MỤC'!$B$5:$B$200,MATCH(C992,'DANH MỤC'!$A$5:$A$200,0)),"⚠ Mã chưa có trong DANH MỤC"))</f>
        <v/>
      </c>
      <c r="H992" s="52"/>
      <c r="I992" s="52"/>
    </row>
    <row r="993" customFormat="false" ht="15" hidden="false" customHeight="false" outlineLevel="0" collapsed="false">
      <c r="A993" s="50"/>
      <c r="B993" s="51" t="str">
        <f aca="false">IF(A993="","",MONTH(A993))</f>
        <v/>
      </c>
      <c r="C993" s="52"/>
      <c r="D993" s="52"/>
      <c r="E993" s="52"/>
      <c r="F993" s="52"/>
      <c r="G993" s="55" t="str">
        <f aca="false">IF(C993="","",IFERROR(INDEX('DANH MỤC'!$B$5:$B$200,MATCH(C993,'DANH MỤC'!$A$5:$A$200,0)),"⚠ Mã chưa có trong DANH MỤC"))</f>
        <v/>
      </c>
      <c r="H993" s="52"/>
      <c r="I993" s="52"/>
    </row>
    <row r="994" customFormat="false" ht="15" hidden="false" customHeight="false" outlineLevel="0" collapsed="false">
      <c r="A994" s="50"/>
      <c r="B994" s="51" t="str">
        <f aca="false">IF(A994="","",MONTH(A994))</f>
        <v/>
      </c>
      <c r="C994" s="52"/>
      <c r="D994" s="52"/>
      <c r="E994" s="52"/>
      <c r="F994" s="52"/>
      <c r="G994" s="55" t="str">
        <f aca="false">IF(C994="","",IFERROR(INDEX('DANH MỤC'!$B$5:$B$200,MATCH(C994,'DANH MỤC'!$A$5:$A$200,0)),"⚠ Mã chưa có trong DANH MỤC"))</f>
        <v/>
      </c>
      <c r="H994" s="52"/>
      <c r="I994" s="52"/>
    </row>
    <row r="995" customFormat="false" ht="15" hidden="false" customHeight="false" outlineLevel="0" collapsed="false">
      <c r="A995" s="50"/>
      <c r="B995" s="51" t="str">
        <f aca="false">IF(A995="","",MONTH(A995))</f>
        <v/>
      </c>
      <c r="C995" s="52"/>
      <c r="D995" s="52"/>
      <c r="E995" s="52"/>
      <c r="F995" s="52"/>
      <c r="G995" s="55" t="str">
        <f aca="false">IF(C995="","",IFERROR(INDEX('DANH MỤC'!$B$5:$B$200,MATCH(C995,'DANH MỤC'!$A$5:$A$200,0)),"⚠ Mã chưa có trong DANH MỤC"))</f>
        <v/>
      </c>
      <c r="H995" s="52"/>
      <c r="I995" s="52"/>
    </row>
    <row r="996" customFormat="false" ht="15" hidden="false" customHeight="false" outlineLevel="0" collapsed="false">
      <c r="A996" s="50"/>
      <c r="B996" s="51" t="str">
        <f aca="false">IF(A996="","",MONTH(A996))</f>
        <v/>
      </c>
      <c r="C996" s="52"/>
      <c r="D996" s="52"/>
      <c r="E996" s="52"/>
      <c r="F996" s="52"/>
      <c r="G996" s="55" t="str">
        <f aca="false">IF(C996="","",IFERROR(INDEX('DANH MỤC'!$B$5:$B$200,MATCH(C996,'DANH MỤC'!$A$5:$A$200,0)),"⚠ Mã chưa có trong DANH MỤC"))</f>
        <v/>
      </c>
      <c r="H996" s="52"/>
      <c r="I996" s="52"/>
    </row>
    <row r="997" customFormat="false" ht="15" hidden="false" customHeight="false" outlineLevel="0" collapsed="false">
      <c r="A997" s="50"/>
      <c r="B997" s="51" t="str">
        <f aca="false">IF(A997="","",MONTH(A997))</f>
        <v/>
      </c>
      <c r="C997" s="52"/>
      <c r="D997" s="52"/>
      <c r="E997" s="52"/>
      <c r="F997" s="52"/>
      <c r="G997" s="55" t="str">
        <f aca="false">IF(C997="","",IFERROR(INDEX('DANH MỤC'!$B$5:$B$200,MATCH(C997,'DANH MỤC'!$A$5:$A$200,0)),"⚠ Mã chưa có trong DANH MỤC"))</f>
        <v/>
      </c>
      <c r="H997" s="52"/>
      <c r="I997" s="52"/>
    </row>
    <row r="998" customFormat="false" ht="15" hidden="false" customHeight="false" outlineLevel="0" collapsed="false">
      <c r="A998" s="50"/>
      <c r="B998" s="51" t="str">
        <f aca="false">IF(A998="","",MONTH(A998))</f>
        <v/>
      </c>
      <c r="C998" s="52"/>
      <c r="D998" s="52"/>
      <c r="E998" s="52"/>
      <c r="F998" s="52"/>
      <c r="G998" s="55" t="str">
        <f aca="false">IF(C998="","",IFERROR(INDEX('DANH MỤC'!$B$5:$B$200,MATCH(C998,'DANH MỤC'!$A$5:$A$200,0)),"⚠ Mã chưa có trong DANH MỤC"))</f>
        <v/>
      </c>
      <c r="H998" s="52"/>
      <c r="I998" s="52"/>
    </row>
    <row r="999" customFormat="false" ht="15" hidden="false" customHeight="false" outlineLevel="0" collapsed="false">
      <c r="A999" s="50"/>
      <c r="B999" s="51" t="str">
        <f aca="false">IF(A999="","",MONTH(A999))</f>
        <v/>
      </c>
      <c r="C999" s="52"/>
      <c r="D999" s="52"/>
      <c r="E999" s="52"/>
      <c r="F999" s="52"/>
      <c r="G999" s="55" t="str">
        <f aca="false">IF(C999="","",IFERROR(INDEX('DANH MỤC'!$B$5:$B$200,MATCH(C999,'DANH MỤC'!$A$5:$A$200,0)),"⚠ Mã chưa có trong DANH MỤC"))</f>
        <v/>
      </c>
      <c r="H999" s="52"/>
      <c r="I999" s="52"/>
    </row>
    <row r="1000" customFormat="false" ht="15" hidden="false" customHeight="false" outlineLevel="0" collapsed="false">
      <c r="A1000" s="50"/>
      <c r="B1000" s="51" t="str">
        <f aca="false">IF(A1000="","",MONTH(A1000))</f>
        <v/>
      </c>
      <c r="C1000" s="52"/>
      <c r="D1000" s="52"/>
      <c r="E1000" s="52"/>
      <c r="F1000" s="52"/>
      <c r="G1000" s="55" t="str">
        <f aca="false">IF(C1000="","",IFERROR(INDEX('DANH MỤC'!$B$5:$B$200,MATCH(C1000,'DANH MỤC'!$A$5:$A$200,0)),"⚠ Mã chưa có trong DANH MỤC"))</f>
        <v/>
      </c>
      <c r="H1000" s="52"/>
      <c r="I1000" s="52"/>
    </row>
    <row r="1001" customFormat="false" ht="15" hidden="false" customHeight="false" outlineLevel="0" collapsed="false">
      <c r="A1001" s="50"/>
      <c r="B1001" s="51" t="str">
        <f aca="false">IF(A1001="","",MONTH(A1001))</f>
        <v/>
      </c>
      <c r="C1001" s="52"/>
      <c r="D1001" s="52"/>
      <c r="E1001" s="52"/>
      <c r="F1001" s="52"/>
      <c r="G1001" s="55" t="str">
        <f aca="false">IF(C1001="","",IFERROR(INDEX('DANH MỤC'!$B$5:$B$200,MATCH(C1001,'DANH MỤC'!$A$5:$A$200,0)),"⚠ Mã chưa có trong DANH MỤC"))</f>
        <v/>
      </c>
      <c r="H1001" s="52"/>
      <c r="I1001" s="52"/>
    </row>
    <row r="1002" customFormat="false" ht="15" hidden="false" customHeight="false" outlineLevel="0" collapsed="false">
      <c r="A1002" s="50"/>
      <c r="B1002" s="51" t="str">
        <f aca="false">IF(A1002="","",MONTH(A1002))</f>
        <v/>
      </c>
      <c r="C1002" s="52"/>
      <c r="D1002" s="52"/>
      <c r="E1002" s="52"/>
      <c r="F1002" s="52"/>
      <c r="G1002" s="55" t="str">
        <f aca="false">IF(C1002="","",IFERROR(INDEX('DANH MỤC'!$B$5:$B$200,MATCH(C1002,'DANH MỤC'!$A$5:$A$200,0)),"⚠ Mã chưa có trong DANH MỤC"))</f>
        <v/>
      </c>
      <c r="H1002" s="52"/>
      <c r="I1002" s="52"/>
    </row>
    <row r="1003" customFormat="false" ht="15" hidden="false" customHeight="false" outlineLevel="0" collapsed="false">
      <c r="A1003" s="50"/>
      <c r="B1003" s="51" t="str">
        <f aca="false">IF(A1003="","",MONTH(A1003))</f>
        <v/>
      </c>
      <c r="C1003" s="52"/>
      <c r="D1003" s="52"/>
      <c r="E1003" s="52"/>
      <c r="F1003" s="52"/>
      <c r="G1003" s="55" t="str">
        <f aca="false">IF(C1003="","",IFERROR(INDEX('DANH MỤC'!$B$5:$B$200,MATCH(C1003,'DANH MỤC'!$A$5:$A$200,0)),"⚠ Mã chưa có trong DANH MỤC"))</f>
        <v/>
      </c>
      <c r="H1003" s="52"/>
      <c r="I1003" s="52"/>
    </row>
    <row r="1004" customFormat="false" ht="15" hidden="false" customHeight="false" outlineLevel="0" collapsed="false">
      <c r="A1004" s="50"/>
      <c r="B1004" s="51" t="str">
        <f aca="false">IF(A1004="","",MONTH(A1004))</f>
        <v/>
      </c>
      <c r="C1004" s="52"/>
      <c r="D1004" s="52"/>
      <c r="E1004" s="52"/>
      <c r="F1004" s="52"/>
      <c r="G1004" s="55" t="str">
        <f aca="false">IF(C1004="","",IFERROR(INDEX('DANH MỤC'!$B$5:$B$200,MATCH(C1004,'DANH MỤC'!$A$5:$A$200,0)),"⚠ Mã chưa có trong DANH MỤC"))</f>
        <v/>
      </c>
      <c r="H1004" s="52"/>
      <c r="I1004" s="52"/>
    </row>
    <row r="1005" customFormat="false" ht="15" hidden="false" customHeight="false" outlineLevel="0" collapsed="false">
      <c r="A1005" s="50"/>
      <c r="B1005" s="51" t="str">
        <f aca="false">IF(A1005="","",MONTH(A1005))</f>
        <v/>
      </c>
      <c r="C1005" s="52"/>
      <c r="D1005" s="52"/>
      <c r="E1005" s="52"/>
      <c r="F1005" s="52"/>
      <c r="G1005" s="55" t="str">
        <f aca="false">IF(C1005="","",IFERROR(INDEX('DANH MỤC'!$B$5:$B$200,MATCH(C1005,'DANH MỤC'!$A$5:$A$200,0)),"⚠ Mã chưa có trong DANH MỤC"))</f>
        <v/>
      </c>
      <c r="H1005" s="52"/>
      <c r="I1005" s="52"/>
    </row>
    <row r="1006" customFormat="false" ht="15" hidden="false" customHeight="false" outlineLevel="0" collapsed="false">
      <c r="A1006" s="50"/>
      <c r="B1006" s="51" t="str">
        <f aca="false">IF(A1006="","",MONTH(A1006))</f>
        <v/>
      </c>
      <c r="C1006" s="52"/>
      <c r="D1006" s="52"/>
      <c r="E1006" s="52"/>
      <c r="F1006" s="52"/>
      <c r="G1006" s="55" t="str">
        <f aca="false">IF(C1006="","",IFERROR(INDEX('DANH MỤC'!$B$5:$B$200,MATCH(C1006,'DANH MỤC'!$A$5:$A$200,0)),"⚠ Mã chưa có trong DANH MỤC"))</f>
        <v/>
      </c>
      <c r="H1006" s="52"/>
      <c r="I1006" s="52"/>
    </row>
    <row r="1007" customFormat="false" ht="15" hidden="false" customHeight="false" outlineLevel="0" collapsed="false">
      <c r="A1007" s="50"/>
      <c r="B1007" s="51" t="str">
        <f aca="false">IF(A1007="","",MONTH(A1007))</f>
        <v/>
      </c>
      <c r="C1007" s="52"/>
      <c r="D1007" s="52"/>
      <c r="E1007" s="52"/>
      <c r="F1007" s="52"/>
      <c r="G1007" s="55" t="str">
        <f aca="false">IF(C1007="","",IFERROR(INDEX('DANH MỤC'!$B$5:$B$200,MATCH(C1007,'DANH MỤC'!$A$5:$A$200,0)),"⚠ Mã chưa có trong DANH MỤC"))</f>
        <v/>
      </c>
      <c r="H1007" s="52"/>
      <c r="I1007" s="52"/>
    </row>
    <row r="1008" customFormat="false" ht="15" hidden="false" customHeight="false" outlineLevel="0" collapsed="false">
      <c r="A1008" s="50"/>
      <c r="B1008" s="51" t="str">
        <f aca="false">IF(A1008="","",MONTH(A1008))</f>
        <v/>
      </c>
      <c r="C1008" s="52"/>
      <c r="D1008" s="52"/>
      <c r="E1008" s="52"/>
      <c r="F1008" s="52"/>
      <c r="G1008" s="55" t="str">
        <f aca="false">IF(C1008="","",IFERROR(INDEX('DANH MỤC'!$B$5:$B$200,MATCH(C1008,'DANH MỤC'!$A$5:$A$200,0)),"⚠ Mã chưa có trong DANH MỤC"))</f>
        <v/>
      </c>
      <c r="H1008" s="52"/>
      <c r="I1008" s="52"/>
    </row>
    <row r="1009" customFormat="false" ht="15" hidden="false" customHeight="false" outlineLevel="0" collapsed="false">
      <c r="A1009" s="50"/>
      <c r="B1009" s="51" t="str">
        <f aca="false">IF(A1009="","",MONTH(A1009))</f>
        <v/>
      </c>
      <c r="C1009" s="52"/>
      <c r="D1009" s="52"/>
      <c r="E1009" s="52"/>
      <c r="F1009" s="52"/>
      <c r="G1009" s="55" t="str">
        <f aca="false">IF(C1009="","",IFERROR(INDEX('DANH MỤC'!$B$5:$B$200,MATCH(C1009,'DANH MỤC'!$A$5:$A$200,0)),"⚠ Mã chưa có trong DANH MỤC"))</f>
        <v/>
      </c>
      <c r="H1009" s="52"/>
      <c r="I1009" s="52"/>
    </row>
    <row r="1010" customFormat="false" ht="15" hidden="false" customHeight="false" outlineLevel="0" collapsed="false">
      <c r="A1010" s="50"/>
      <c r="B1010" s="51" t="str">
        <f aca="false">IF(A1010="","",MONTH(A1010))</f>
        <v/>
      </c>
      <c r="C1010" s="52"/>
      <c r="D1010" s="52"/>
      <c r="E1010" s="52"/>
      <c r="F1010" s="52"/>
      <c r="G1010" s="55" t="str">
        <f aca="false">IF(C1010="","",IFERROR(INDEX('DANH MỤC'!$B$5:$B$200,MATCH(C1010,'DANH MỤC'!$A$5:$A$200,0)),"⚠ Mã chưa có trong DANH MỤC"))</f>
        <v/>
      </c>
      <c r="H1010" s="52"/>
      <c r="I1010" s="52"/>
    </row>
    <row r="1011" customFormat="false" ht="15" hidden="false" customHeight="false" outlineLevel="0" collapsed="false">
      <c r="A1011" s="50"/>
      <c r="B1011" s="51" t="str">
        <f aca="false">IF(A1011="","",MONTH(A1011))</f>
        <v/>
      </c>
      <c r="C1011" s="52"/>
      <c r="D1011" s="52"/>
      <c r="E1011" s="52"/>
      <c r="F1011" s="52"/>
      <c r="G1011" s="55" t="str">
        <f aca="false">IF(C1011="","",IFERROR(INDEX('DANH MỤC'!$B$5:$B$200,MATCH(C1011,'DANH MỤC'!$A$5:$A$200,0)),"⚠ Mã chưa có trong DANH MỤC"))</f>
        <v/>
      </c>
      <c r="H1011" s="52"/>
      <c r="I1011" s="52"/>
    </row>
    <row r="1012" customFormat="false" ht="15" hidden="false" customHeight="false" outlineLevel="0" collapsed="false">
      <c r="A1012" s="50"/>
      <c r="B1012" s="51" t="str">
        <f aca="false">IF(A1012="","",MONTH(A1012))</f>
        <v/>
      </c>
      <c r="C1012" s="52"/>
      <c r="D1012" s="52"/>
      <c r="E1012" s="52"/>
      <c r="F1012" s="52"/>
      <c r="G1012" s="55" t="str">
        <f aca="false">IF(C1012="","",IFERROR(INDEX('DANH MỤC'!$B$5:$B$200,MATCH(C1012,'DANH MỤC'!$A$5:$A$200,0)),"⚠ Mã chưa có trong DANH MỤC"))</f>
        <v/>
      </c>
      <c r="H1012" s="52"/>
      <c r="I1012" s="52"/>
    </row>
    <row r="1013" customFormat="false" ht="15" hidden="false" customHeight="false" outlineLevel="0" collapsed="false">
      <c r="A1013" s="50"/>
      <c r="B1013" s="51" t="str">
        <f aca="false">IF(A1013="","",MONTH(A1013))</f>
        <v/>
      </c>
      <c r="C1013" s="52"/>
      <c r="D1013" s="52"/>
      <c r="E1013" s="52"/>
      <c r="F1013" s="52"/>
      <c r="G1013" s="55" t="str">
        <f aca="false">IF(C1013="","",IFERROR(INDEX('DANH MỤC'!$B$5:$B$200,MATCH(C1013,'DANH MỤC'!$A$5:$A$200,0)),"⚠ Mã chưa có trong DANH MỤC"))</f>
        <v/>
      </c>
      <c r="H1013" s="52"/>
      <c r="I1013" s="52"/>
    </row>
    <row r="1014" customFormat="false" ht="15" hidden="false" customHeight="false" outlineLevel="0" collapsed="false">
      <c r="A1014" s="50"/>
      <c r="B1014" s="51" t="str">
        <f aca="false">IF(A1014="","",MONTH(A1014))</f>
        <v/>
      </c>
      <c r="C1014" s="52"/>
      <c r="D1014" s="52"/>
      <c r="E1014" s="52"/>
      <c r="F1014" s="52"/>
      <c r="G1014" s="55" t="str">
        <f aca="false">IF(C1014="","",IFERROR(INDEX('DANH MỤC'!$B$5:$B$200,MATCH(C1014,'DANH MỤC'!$A$5:$A$200,0)),"⚠ Mã chưa có trong DANH MỤC"))</f>
        <v/>
      </c>
      <c r="H1014" s="52"/>
      <c r="I1014" s="52"/>
    </row>
    <row r="1015" customFormat="false" ht="15" hidden="false" customHeight="false" outlineLevel="0" collapsed="false">
      <c r="A1015" s="50"/>
      <c r="B1015" s="51" t="str">
        <f aca="false">IF(A1015="","",MONTH(A1015))</f>
        <v/>
      </c>
      <c r="C1015" s="52"/>
      <c r="D1015" s="52"/>
      <c r="E1015" s="52"/>
      <c r="F1015" s="52"/>
      <c r="G1015" s="55" t="str">
        <f aca="false">IF(C1015="","",IFERROR(INDEX('DANH MỤC'!$B$5:$B$200,MATCH(C1015,'DANH MỤC'!$A$5:$A$200,0)),"⚠ Mã chưa có trong DANH MỤC"))</f>
        <v/>
      </c>
      <c r="H1015" s="52"/>
      <c r="I1015" s="52"/>
    </row>
    <row r="1016" customFormat="false" ht="15" hidden="false" customHeight="false" outlineLevel="0" collapsed="false">
      <c r="A1016" s="50"/>
      <c r="B1016" s="51" t="str">
        <f aca="false">IF(A1016="","",MONTH(A1016))</f>
        <v/>
      </c>
      <c r="C1016" s="52"/>
      <c r="D1016" s="52"/>
      <c r="E1016" s="52"/>
      <c r="F1016" s="52"/>
      <c r="G1016" s="55" t="str">
        <f aca="false">IF(C1016="","",IFERROR(INDEX('DANH MỤC'!$B$5:$B$200,MATCH(C1016,'DANH MỤC'!$A$5:$A$200,0)),"⚠ Mã chưa có trong DANH MỤC"))</f>
        <v/>
      </c>
      <c r="H1016" s="52"/>
      <c r="I1016" s="52"/>
    </row>
    <row r="1017" customFormat="false" ht="15" hidden="false" customHeight="false" outlineLevel="0" collapsed="false">
      <c r="A1017" s="50"/>
      <c r="B1017" s="51" t="str">
        <f aca="false">IF(A1017="","",MONTH(A1017))</f>
        <v/>
      </c>
      <c r="C1017" s="52"/>
      <c r="D1017" s="52"/>
      <c r="E1017" s="52"/>
      <c r="F1017" s="52"/>
      <c r="G1017" s="55" t="str">
        <f aca="false">IF(C1017="","",IFERROR(INDEX('DANH MỤC'!$B$5:$B$200,MATCH(C1017,'DANH MỤC'!$A$5:$A$200,0)),"⚠ Mã chưa có trong DANH MỤC"))</f>
        <v/>
      </c>
      <c r="H1017" s="52"/>
      <c r="I1017" s="52"/>
    </row>
    <row r="1018" customFormat="false" ht="15" hidden="false" customHeight="false" outlineLevel="0" collapsed="false">
      <c r="A1018" s="50"/>
      <c r="B1018" s="51" t="str">
        <f aca="false">IF(A1018="","",MONTH(A1018))</f>
        <v/>
      </c>
      <c r="C1018" s="52"/>
      <c r="D1018" s="52"/>
      <c r="E1018" s="52"/>
      <c r="F1018" s="52"/>
      <c r="G1018" s="55" t="str">
        <f aca="false">IF(C1018="","",IFERROR(INDEX('DANH MỤC'!$B$5:$B$200,MATCH(C1018,'DANH MỤC'!$A$5:$A$200,0)),"⚠ Mã chưa có trong DANH MỤC"))</f>
        <v/>
      </c>
      <c r="H1018" s="52"/>
      <c r="I1018" s="52"/>
    </row>
    <row r="1019" customFormat="false" ht="15" hidden="false" customHeight="false" outlineLevel="0" collapsed="false">
      <c r="A1019" s="50"/>
      <c r="B1019" s="51" t="str">
        <f aca="false">IF(A1019="","",MONTH(A1019))</f>
        <v/>
      </c>
      <c r="C1019" s="52"/>
      <c r="D1019" s="52"/>
      <c r="E1019" s="52"/>
      <c r="F1019" s="52"/>
      <c r="G1019" s="55" t="str">
        <f aca="false">IF(C1019="","",IFERROR(INDEX('DANH MỤC'!$B$5:$B$200,MATCH(C1019,'DANH MỤC'!$A$5:$A$200,0)),"⚠ Mã chưa có trong DANH MỤC"))</f>
        <v/>
      </c>
      <c r="H1019" s="52"/>
      <c r="I1019" s="52"/>
    </row>
    <row r="1020" customFormat="false" ht="15" hidden="false" customHeight="false" outlineLevel="0" collapsed="false">
      <c r="A1020" s="50"/>
      <c r="B1020" s="51" t="str">
        <f aca="false">IF(A1020="","",MONTH(A1020))</f>
        <v/>
      </c>
      <c r="C1020" s="52"/>
      <c r="D1020" s="52"/>
      <c r="E1020" s="52"/>
      <c r="F1020" s="52"/>
      <c r="G1020" s="55" t="str">
        <f aca="false">IF(C1020="","",IFERROR(INDEX('DANH MỤC'!$B$5:$B$200,MATCH(C1020,'DANH MỤC'!$A$5:$A$200,0)),"⚠ Mã chưa có trong DANH MỤC"))</f>
        <v/>
      </c>
      <c r="H1020" s="52"/>
      <c r="I1020" s="52"/>
    </row>
    <row r="1021" customFormat="false" ht="15" hidden="false" customHeight="false" outlineLevel="0" collapsed="false">
      <c r="A1021" s="50"/>
      <c r="B1021" s="51" t="str">
        <f aca="false">IF(A1021="","",MONTH(A1021))</f>
        <v/>
      </c>
      <c r="C1021" s="52"/>
      <c r="D1021" s="52"/>
      <c r="E1021" s="52"/>
      <c r="F1021" s="52"/>
      <c r="G1021" s="55" t="str">
        <f aca="false">IF(C1021="","",IFERROR(INDEX('DANH MỤC'!$B$5:$B$200,MATCH(C1021,'DANH MỤC'!$A$5:$A$200,0)),"⚠ Mã chưa có trong DANH MỤC"))</f>
        <v/>
      </c>
      <c r="H1021" s="52"/>
      <c r="I1021" s="52"/>
    </row>
    <row r="1022" customFormat="false" ht="15" hidden="false" customHeight="false" outlineLevel="0" collapsed="false">
      <c r="A1022" s="50"/>
      <c r="B1022" s="51" t="str">
        <f aca="false">IF(A1022="","",MONTH(A1022))</f>
        <v/>
      </c>
      <c r="C1022" s="52"/>
      <c r="D1022" s="52"/>
      <c r="E1022" s="52"/>
      <c r="F1022" s="52"/>
      <c r="G1022" s="55" t="str">
        <f aca="false">IF(C1022="","",IFERROR(INDEX('DANH MỤC'!$B$5:$B$200,MATCH(C1022,'DANH MỤC'!$A$5:$A$200,0)),"⚠ Mã chưa có trong DANH MỤC"))</f>
        <v/>
      </c>
      <c r="H1022" s="52"/>
      <c r="I1022" s="52"/>
    </row>
    <row r="1023" customFormat="false" ht="15" hidden="false" customHeight="false" outlineLevel="0" collapsed="false">
      <c r="A1023" s="50"/>
      <c r="B1023" s="51" t="str">
        <f aca="false">IF(A1023="","",MONTH(A1023))</f>
        <v/>
      </c>
      <c r="C1023" s="52"/>
      <c r="D1023" s="52"/>
      <c r="E1023" s="52"/>
      <c r="F1023" s="52"/>
      <c r="G1023" s="55" t="str">
        <f aca="false">IF(C1023="","",IFERROR(INDEX('DANH MỤC'!$B$5:$B$200,MATCH(C1023,'DANH MỤC'!$A$5:$A$200,0)),"⚠ Mã chưa có trong DANH MỤC"))</f>
        <v/>
      </c>
      <c r="H1023" s="52"/>
      <c r="I1023" s="52"/>
    </row>
    <row r="1024" customFormat="false" ht="15" hidden="false" customHeight="false" outlineLevel="0" collapsed="false">
      <c r="A1024" s="50"/>
      <c r="B1024" s="51" t="str">
        <f aca="false">IF(A1024="","",MONTH(A1024))</f>
        <v/>
      </c>
      <c r="C1024" s="52"/>
      <c r="D1024" s="52"/>
      <c r="E1024" s="52"/>
      <c r="F1024" s="52"/>
      <c r="G1024" s="55" t="str">
        <f aca="false">IF(C1024="","",IFERROR(INDEX('DANH MỤC'!$B$5:$B$200,MATCH(C1024,'DANH MỤC'!$A$5:$A$200,0)),"⚠ Mã chưa có trong DANH MỤC"))</f>
        <v/>
      </c>
      <c r="H1024" s="52"/>
      <c r="I1024" s="52"/>
    </row>
    <row r="1025" customFormat="false" ht="15" hidden="false" customHeight="false" outlineLevel="0" collapsed="false">
      <c r="A1025" s="50"/>
      <c r="B1025" s="51" t="str">
        <f aca="false">IF(A1025="","",MONTH(A1025))</f>
        <v/>
      </c>
      <c r="C1025" s="52"/>
      <c r="D1025" s="52"/>
      <c r="E1025" s="52"/>
      <c r="F1025" s="52"/>
      <c r="G1025" s="55" t="str">
        <f aca="false">IF(C1025="","",IFERROR(INDEX('DANH MỤC'!$B$5:$B$200,MATCH(C1025,'DANH MỤC'!$A$5:$A$200,0)),"⚠ Mã chưa có trong DANH MỤC"))</f>
        <v/>
      </c>
      <c r="H1025" s="52"/>
      <c r="I1025" s="52"/>
    </row>
    <row r="1026" customFormat="false" ht="15" hidden="false" customHeight="false" outlineLevel="0" collapsed="false">
      <c r="A1026" s="50"/>
      <c r="B1026" s="51" t="str">
        <f aca="false">IF(A1026="","",MONTH(A1026))</f>
        <v/>
      </c>
      <c r="C1026" s="52"/>
      <c r="D1026" s="52"/>
      <c r="E1026" s="52"/>
      <c r="F1026" s="52"/>
      <c r="G1026" s="55" t="str">
        <f aca="false">IF(C1026="","",IFERROR(INDEX('DANH MỤC'!$B$5:$B$200,MATCH(C1026,'DANH MỤC'!$A$5:$A$200,0)),"⚠ Mã chưa có trong DANH MỤC"))</f>
        <v/>
      </c>
      <c r="H1026" s="52"/>
      <c r="I1026" s="52"/>
    </row>
    <row r="1027" customFormat="false" ht="15" hidden="false" customHeight="false" outlineLevel="0" collapsed="false">
      <c r="A1027" s="50"/>
      <c r="B1027" s="51" t="str">
        <f aca="false">IF(A1027="","",MONTH(A1027))</f>
        <v/>
      </c>
      <c r="C1027" s="52"/>
      <c r="D1027" s="52"/>
      <c r="E1027" s="52"/>
      <c r="F1027" s="52"/>
      <c r="G1027" s="55" t="str">
        <f aca="false">IF(C1027="","",IFERROR(INDEX('DANH MỤC'!$B$5:$B$200,MATCH(C1027,'DANH MỤC'!$A$5:$A$200,0)),"⚠ Mã chưa có trong DANH MỤC"))</f>
        <v/>
      </c>
      <c r="H1027" s="52"/>
      <c r="I1027" s="52"/>
    </row>
    <row r="1028" customFormat="false" ht="15" hidden="false" customHeight="false" outlineLevel="0" collapsed="false">
      <c r="A1028" s="50"/>
      <c r="B1028" s="51" t="str">
        <f aca="false">IF(A1028="","",MONTH(A1028))</f>
        <v/>
      </c>
      <c r="C1028" s="52"/>
      <c r="D1028" s="52"/>
      <c r="E1028" s="52"/>
      <c r="F1028" s="52"/>
      <c r="G1028" s="55" t="str">
        <f aca="false">IF(C1028="","",IFERROR(INDEX('DANH MỤC'!$B$5:$B$200,MATCH(C1028,'DANH MỤC'!$A$5:$A$200,0)),"⚠ Mã chưa có trong DANH MỤC"))</f>
        <v/>
      </c>
      <c r="H1028" s="52"/>
      <c r="I1028" s="52"/>
    </row>
    <row r="1029" customFormat="false" ht="15" hidden="false" customHeight="false" outlineLevel="0" collapsed="false">
      <c r="A1029" s="50"/>
      <c r="B1029" s="51" t="str">
        <f aca="false">IF(A1029="","",MONTH(A1029))</f>
        <v/>
      </c>
      <c r="C1029" s="52"/>
      <c r="D1029" s="52"/>
      <c r="E1029" s="52"/>
      <c r="F1029" s="52"/>
      <c r="G1029" s="55" t="str">
        <f aca="false">IF(C1029="","",IFERROR(INDEX('DANH MỤC'!$B$5:$B$200,MATCH(C1029,'DANH MỤC'!$A$5:$A$200,0)),"⚠ Mã chưa có trong DANH MỤC"))</f>
        <v/>
      </c>
      <c r="H1029" s="52"/>
      <c r="I1029" s="52"/>
    </row>
    <row r="1030" customFormat="false" ht="15" hidden="false" customHeight="false" outlineLevel="0" collapsed="false">
      <c r="A1030" s="50"/>
      <c r="B1030" s="51" t="str">
        <f aca="false">IF(A1030="","",MONTH(A1030))</f>
        <v/>
      </c>
      <c r="C1030" s="52"/>
      <c r="D1030" s="52"/>
      <c r="E1030" s="52"/>
      <c r="F1030" s="52"/>
      <c r="G1030" s="55" t="str">
        <f aca="false">IF(C1030="","",IFERROR(INDEX('DANH MỤC'!$B$5:$B$200,MATCH(C1030,'DANH MỤC'!$A$5:$A$200,0)),"⚠ Mã chưa có trong DANH MỤC"))</f>
        <v/>
      </c>
      <c r="H1030" s="52"/>
      <c r="I1030" s="52"/>
    </row>
    <row r="1031" customFormat="false" ht="15" hidden="false" customHeight="false" outlineLevel="0" collapsed="false">
      <c r="A1031" s="50"/>
      <c r="B1031" s="51" t="str">
        <f aca="false">IF(A1031="","",MONTH(A1031))</f>
        <v/>
      </c>
      <c r="C1031" s="52"/>
      <c r="D1031" s="52"/>
      <c r="E1031" s="52"/>
      <c r="F1031" s="52"/>
      <c r="G1031" s="55" t="str">
        <f aca="false">IF(C1031="","",IFERROR(INDEX('DANH MỤC'!$B$5:$B$200,MATCH(C1031,'DANH MỤC'!$A$5:$A$200,0)),"⚠ Mã chưa có trong DANH MỤC"))</f>
        <v/>
      </c>
      <c r="H1031" s="52"/>
      <c r="I1031" s="52"/>
    </row>
    <row r="1032" customFormat="false" ht="15" hidden="false" customHeight="false" outlineLevel="0" collapsed="false">
      <c r="A1032" s="50"/>
      <c r="B1032" s="51" t="str">
        <f aca="false">IF(A1032="","",MONTH(A1032))</f>
        <v/>
      </c>
      <c r="C1032" s="52"/>
      <c r="D1032" s="52"/>
      <c r="E1032" s="52"/>
      <c r="F1032" s="52"/>
      <c r="G1032" s="55" t="str">
        <f aca="false">IF(C1032="","",IFERROR(INDEX('DANH MỤC'!$B$5:$B$200,MATCH(C1032,'DANH MỤC'!$A$5:$A$200,0)),"⚠ Mã chưa có trong DANH MỤC"))</f>
        <v/>
      </c>
      <c r="H1032" s="52"/>
      <c r="I1032" s="52"/>
    </row>
    <row r="1033" customFormat="false" ht="15" hidden="false" customHeight="false" outlineLevel="0" collapsed="false">
      <c r="A1033" s="50"/>
      <c r="B1033" s="51" t="str">
        <f aca="false">IF(A1033="","",MONTH(A1033))</f>
        <v/>
      </c>
      <c r="C1033" s="52"/>
      <c r="D1033" s="52"/>
      <c r="E1033" s="52"/>
      <c r="F1033" s="52"/>
      <c r="G1033" s="55" t="str">
        <f aca="false">IF(C1033="","",IFERROR(INDEX('DANH MỤC'!$B$5:$B$200,MATCH(C1033,'DANH MỤC'!$A$5:$A$200,0)),"⚠ Mã chưa có trong DANH MỤC"))</f>
        <v/>
      </c>
      <c r="H1033" s="52"/>
      <c r="I1033" s="52"/>
    </row>
    <row r="1034" customFormat="false" ht="15" hidden="false" customHeight="false" outlineLevel="0" collapsed="false">
      <c r="A1034" s="50"/>
      <c r="B1034" s="51" t="str">
        <f aca="false">IF(A1034="","",MONTH(A1034))</f>
        <v/>
      </c>
      <c r="C1034" s="52"/>
      <c r="D1034" s="52"/>
      <c r="E1034" s="52"/>
      <c r="F1034" s="52"/>
      <c r="G1034" s="55" t="str">
        <f aca="false">IF(C1034="","",IFERROR(INDEX('DANH MỤC'!$B$5:$B$200,MATCH(C1034,'DANH MỤC'!$A$5:$A$200,0)),"⚠ Mã chưa có trong DANH MỤC"))</f>
        <v/>
      </c>
      <c r="H1034" s="52"/>
      <c r="I1034" s="52"/>
    </row>
    <row r="1035" customFormat="false" ht="15" hidden="false" customHeight="false" outlineLevel="0" collapsed="false">
      <c r="A1035" s="50"/>
      <c r="B1035" s="51" t="str">
        <f aca="false">IF(A1035="","",MONTH(A1035))</f>
        <v/>
      </c>
      <c r="C1035" s="52"/>
      <c r="D1035" s="52"/>
      <c r="E1035" s="52"/>
      <c r="F1035" s="52"/>
      <c r="G1035" s="55" t="str">
        <f aca="false">IF(C1035="","",IFERROR(INDEX('DANH MỤC'!$B$5:$B$200,MATCH(C1035,'DANH MỤC'!$A$5:$A$200,0)),"⚠ Mã chưa có trong DANH MỤC"))</f>
        <v/>
      </c>
      <c r="H1035" s="52"/>
      <c r="I1035" s="52"/>
    </row>
    <row r="1036" customFormat="false" ht="15" hidden="false" customHeight="false" outlineLevel="0" collapsed="false">
      <c r="A1036" s="50"/>
      <c r="B1036" s="51" t="str">
        <f aca="false">IF(A1036="","",MONTH(A1036))</f>
        <v/>
      </c>
      <c r="C1036" s="52"/>
      <c r="D1036" s="52"/>
      <c r="E1036" s="52"/>
      <c r="F1036" s="52"/>
      <c r="G1036" s="55" t="str">
        <f aca="false">IF(C1036="","",IFERROR(INDEX('DANH MỤC'!$B$5:$B$200,MATCH(C1036,'DANH MỤC'!$A$5:$A$200,0)),"⚠ Mã chưa có trong DANH MỤC"))</f>
        <v/>
      </c>
      <c r="H1036" s="52"/>
      <c r="I1036" s="52"/>
    </row>
    <row r="1037" customFormat="false" ht="15" hidden="false" customHeight="false" outlineLevel="0" collapsed="false">
      <c r="A1037" s="50"/>
      <c r="B1037" s="51" t="str">
        <f aca="false">IF(A1037="","",MONTH(A1037))</f>
        <v/>
      </c>
      <c r="C1037" s="52"/>
      <c r="D1037" s="52"/>
      <c r="E1037" s="52"/>
      <c r="F1037" s="52"/>
      <c r="G1037" s="55" t="str">
        <f aca="false">IF(C1037="","",IFERROR(INDEX('DANH MỤC'!$B$5:$B$200,MATCH(C1037,'DANH MỤC'!$A$5:$A$200,0)),"⚠ Mã chưa có trong DANH MỤC"))</f>
        <v/>
      </c>
      <c r="H1037" s="52"/>
      <c r="I1037" s="52"/>
    </row>
    <row r="1038" customFormat="false" ht="15" hidden="false" customHeight="false" outlineLevel="0" collapsed="false">
      <c r="A1038" s="50"/>
      <c r="B1038" s="51" t="str">
        <f aca="false">IF(A1038="","",MONTH(A1038))</f>
        <v/>
      </c>
      <c r="C1038" s="52"/>
      <c r="D1038" s="52"/>
      <c r="E1038" s="52"/>
      <c r="F1038" s="52"/>
      <c r="G1038" s="55" t="str">
        <f aca="false">IF(C1038="","",IFERROR(INDEX('DANH MỤC'!$B$5:$B$200,MATCH(C1038,'DANH MỤC'!$A$5:$A$200,0)),"⚠ Mã chưa có trong DANH MỤC"))</f>
        <v/>
      </c>
      <c r="H1038" s="52"/>
      <c r="I1038" s="52"/>
    </row>
    <row r="1039" customFormat="false" ht="15" hidden="false" customHeight="false" outlineLevel="0" collapsed="false">
      <c r="A1039" s="50"/>
      <c r="B1039" s="51" t="str">
        <f aca="false">IF(A1039="","",MONTH(A1039))</f>
        <v/>
      </c>
      <c r="C1039" s="52"/>
      <c r="D1039" s="52"/>
      <c r="E1039" s="52"/>
      <c r="F1039" s="52"/>
      <c r="G1039" s="55" t="str">
        <f aca="false">IF(C1039="","",IFERROR(INDEX('DANH MỤC'!$B$5:$B$200,MATCH(C1039,'DANH MỤC'!$A$5:$A$200,0)),"⚠ Mã chưa có trong DANH MỤC"))</f>
        <v/>
      </c>
      <c r="H1039" s="52"/>
      <c r="I1039" s="52"/>
    </row>
    <row r="1040" customFormat="false" ht="15" hidden="false" customHeight="false" outlineLevel="0" collapsed="false">
      <c r="A1040" s="50"/>
      <c r="B1040" s="51" t="str">
        <f aca="false">IF(A1040="","",MONTH(A1040))</f>
        <v/>
      </c>
      <c r="C1040" s="52"/>
      <c r="D1040" s="52"/>
      <c r="E1040" s="52"/>
      <c r="F1040" s="52"/>
      <c r="G1040" s="55" t="str">
        <f aca="false">IF(C1040="","",IFERROR(INDEX('DANH MỤC'!$B$5:$B$200,MATCH(C1040,'DANH MỤC'!$A$5:$A$200,0)),"⚠ Mã chưa có trong DANH MỤC"))</f>
        <v/>
      </c>
      <c r="H1040" s="52"/>
      <c r="I1040" s="52"/>
    </row>
    <row r="1041" customFormat="false" ht="15" hidden="false" customHeight="false" outlineLevel="0" collapsed="false">
      <c r="A1041" s="50"/>
      <c r="B1041" s="51" t="str">
        <f aca="false">IF(A1041="","",MONTH(A1041))</f>
        <v/>
      </c>
      <c r="C1041" s="52"/>
      <c r="D1041" s="52"/>
      <c r="E1041" s="52"/>
      <c r="F1041" s="52"/>
      <c r="G1041" s="55" t="str">
        <f aca="false">IF(C1041="","",IFERROR(INDEX('DANH MỤC'!$B$5:$B$200,MATCH(C1041,'DANH MỤC'!$A$5:$A$200,0)),"⚠ Mã chưa có trong DANH MỤC"))</f>
        <v/>
      </c>
      <c r="H1041" s="52"/>
      <c r="I1041" s="52"/>
    </row>
    <row r="1042" customFormat="false" ht="15" hidden="false" customHeight="false" outlineLevel="0" collapsed="false">
      <c r="A1042" s="50"/>
      <c r="B1042" s="51" t="str">
        <f aca="false">IF(A1042="","",MONTH(A1042))</f>
        <v/>
      </c>
      <c r="C1042" s="52"/>
      <c r="D1042" s="52"/>
      <c r="E1042" s="52"/>
      <c r="F1042" s="52"/>
      <c r="G1042" s="55" t="str">
        <f aca="false">IF(C1042="","",IFERROR(INDEX('DANH MỤC'!$B$5:$B$200,MATCH(C1042,'DANH MỤC'!$A$5:$A$200,0)),"⚠ Mã chưa có trong DANH MỤC"))</f>
        <v/>
      </c>
      <c r="H1042" s="52"/>
      <c r="I1042" s="52"/>
    </row>
    <row r="1043" customFormat="false" ht="15" hidden="false" customHeight="false" outlineLevel="0" collapsed="false">
      <c r="A1043" s="50"/>
      <c r="B1043" s="51" t="str">
        <f aca="false">IF(A1043="","",MONTH(A1043))</f>
        <v/>
      </c>
      <c r="C1043" s="52"/>
      <c r="D1043" s="52"/>
      <c r="E1043" s="52"/>
      <c r="F1043" s="52"/>
      <c r="G1043" s="55" t="str">
        <f aca="false">IF(C1043="","",IFERROR(INDEX('DANH MỤC'!$B$5:$B$200,MATCH(C1043,'DANH MỤC'!$A$5:$A$200,0)),"⚠ Mã chưa có trong DANH MỤC"))</f>
        <v/>
      </c>
      <c r="H1043" s="52"/>
      <c r="I1043" s="52"/>
    </row>
    <row r="1044" customFormat="false" ht="15" hidden="false" customHeight="false" outlineLevel="0" collapsed="false">
      <c r="A1044" s="50"/>
      <c r="B1044" s="51" t="str">
        <f aca="false">IF(A1044="","",MONTH(A1044))</f>
        <v/>
      </c>
      <c r="C1044" s="52"/>
      <c r="D1044" s="52"/>
      <c r="E1044" s="52"/>
      <c r="F1044" s="52"/>
      <c r="G1044" s="55" t="str">
        <f aca="false">IF(C1044="","",IFERROR(INDEX('DANH MỤC'!$B$5:$B$200,MATCH(C1044,'DANH MỤC'!$A$5:$A$200,0)),"⚠ Mã chưa có trong DANH MỤC"))</f>
        <v/>
      </c>
      <c r="H1044" s="52"/>
      <c r="I1044" s="52"/>
    </row>
    <row r="1045" customFormat="false" ht="15" hidden="false" customHeight="false" outlineLevel="0" collapsed="false">
      <c r="A1045" s="50"/>
      <c r="B1045" s="51" t="str">
        <f aca="false">IF(A1045="","",MONTH(A1045))</f>
        <v/>
      </c>
      <c r="C1045" s="52"/>
      <c r="D1045" s="52"/>
      <c r="E1045" s="52"/>
      <c r="F1045" s="52"/>
      <c r="G1045" s="55" t="str">
        <f aca="false">IF(C1045="","",IFERROR(INDEX('DANH MỤC'!$B$5:$B$200,MATCH(C1045,'DANH MỤC'!$A$5:$A$200,0)),"⚠ Mã chưa có trong DANH MỤC"))</f>
        <v/>
      </c>
      <c r="H1045" s="52"/>
      <c r="I1045" s="52"/>
    </row>
    <row r="1046" customFormat="false" ht="15" hidden="false" customHeight="false" outlineLevel="0" collapsed="false">
      <c r="A1046" s="50"/>
      <c r="B1046" s="51" t="str">
        <f aca="false">IF(A1046="","",MONTH(A1046))</f>
        <v/>
      </c>
      <c r="C1046" s="52"/>
      <c r="D1046" s="52"/>
      <c r="E1046" s="52"/>
      <c r="F1046" s="52"/>
      <c r="G1046" s="55" t="str">
        <f aca="false">IF(C1046="","",IFERROR(INDEX('DANH MỤC'!$B$5:$B$200,MATCH(C1046,'DANH MỤC'!$A$5:$A$200,0)),"⚠ Mã chưa có trong DANH MỤC"))</f>
        <v/>
      </c>
      <c r="H1046" s="52"/>
      <c r="I1046" s="52"/>
    </row>
    <row r="1047" customFormat="false" ht="15" hidden="false" customHeight="false" outlineLevel="0" collapsed="false">
      <c r="A1047" s="50"/>
      <c r="B1047" s="51" t="str">
        <f aca="false">IF(A1047="","",MONTH(A1047))</f>
        <v/>
      </c>
      <c r="C1047" s="52"/>
      <c r="D1047" s="52"/>
      <c r="E1047" s="52"/>
      <c r="F1047" s="52"/>
      <c r="G1047" s="55" t="str">
        <f aca="false">IF(C1047="","",IFERROR(INDEX('DANH MỤC'!$B$5:$B$200,MATCH(C1047,'DANH MỤC'!$A$5:$A$200,0)),"⚠ Mã chưa có trong DANH MỤC"))</f>
        <v/>
      </c>
      <c r="H1047" s="52"/>
      <c r="I1047" s="52"/>
    </row>
    <row r="1048" customFormat="false" ht="15" hidden="false" customHeight="false" outlineLevel="0" collapsed="false">
      <c r="A1048" s="50"/>
      <c r="B1048" s="51" t="str">
        <f aca="false">IF(A1048="","",MONTH(A1048))</f>
        <v/>
      </c>
      <c r="C1048" s="52"/>
      <c r="D1048" s="52"/>
      <c r="E1048" s="52"/>
      <c r="F1048" s="52"/>
      <c r="G1048" s="55" t="str">
        <f aca="false">IF(C1048="","",IFERROR(INDEX('DANH MỤC'!$B$5:$B$200,MATCH(C1048,'DANH MỤC'!$A$5:$A$200,0)),"⚠ Mã chưa có trong DANH MỤC"))</f>
        <v/>
      </c>
      <c r="H1048" s="52"/>
      <c r="I1048" s="52"/>
    </row>
    <row r="1049" customFormat="false" ht="15" hidden="false" customHeight="false" outlineLevel="0" collapsed="false">
      <c r="A1049" s="50"/>
      <c r="B1049" s="51" t="str">
        <f aca="false">IF(A1049="","",MONTH(A1049))</f>
        <v/>
      </c>
      <c r="C1049" s="52"/>
      <c r="D1049" s="52"/>
      <c r="E1049" s="52"/>
      <c r="F1049" s="52"/>
      <c r="G1049" s="55" t="str">
        <f aca="false">IF(C1049="","",IFERROR(INDEX('DANH MỤC'!$B$5:$B$200,MATCH(C1049,'DANH MỤC'!$A$5:$A$200,0)),"⚠ Mã chưa có trong DANH MỤC"))</f>
        <v/>
      </c>
      <c r="H1049" s="52"/>
      <c r="I1049" s="52"/>
    </row>
    <row r="1050" customFormat="false" ht="15" hidden="false" customHeight="false" outlineLevel="0" collapsed="false">
      <c r="A1050" s="50"/>
      <c r="B1050" s="51" t="str">
        <f aca="false">IF(A1050="","",MONTH(A1050))</f>
        <v/>
      </c>
      <c r="C1050" s="52"/>
      <c r="D1050" s="52"/>
      <c r="E1050" s="52"/>
      <c r="F1050" s="52"/>
      <c r="G1050" s="55" t="str">
        <f aca="false">IF(C1050="","",IFERROR(INDEX('DANH MỤC'!$B$5:$B$200,MATCH(C1050,'DANH MỤC'!$A$5:$A$200,0)),"⚠ Mã chưa có trong DANH MỤC"))</f>
        <v/>
      </c>
      <c r="H1050" s="52"/>
      <c r="I1050" s="52"/>
    </row>
    <row r="1051" customFormat="false" ht="15" hidden="false" customHeight="false" outlineLevel="0" collapsed="false">
      <c r="A1051" s="50"/>
      <c r="B1051" s="51" t="str">
        <f aca="false">IF(A1051="","",MONTH(A1051))</f>
        <v/>
      </c>
      <c r="C1051" s="52"/>
      <c r="D1051" s="52"/>
      <c r="E1051" s="52"/>
      <c r="F1051" s="52"/>
      <c r="G1051" s="55" t="str">
        <f aca="false">IF(C1051="","",IFERROR(INDEX('DANH MỤC'!$B$5:$B$200,MATCH(C1051,'DANH MỤC'!$A$5:$A$200,0)),"⚠ Mã chưa có trong DANH MỤC"))</f>
        <v/>
      </c>
      <c r="H1051" s="52"/>
      <c r="I1051" s="52"/>
    </row>
    <row r="1052" customFormat="false" ht="15" hidden="false" customHeight="false" outlineLevel="0" collapsed="false">
      <c r="A1052" s="50"/>
      <c r="B1052" s="51" t="str">
        <f aca="false">IF(A1052="","",MONTH(A1052))</f>
        <v/>
      </c>
      <c r="C1052" s="52"/>
      <c r="D1052" s="52"/>
      <c r="E1052" s="52"/>
      <c r="F1052" s="52"/>
      <c r="G1052" s="55" t="str">
        <f aca="false">IF(C1052="","",IFERROR(INDEX('DANH MỤC'!$B$5:$B$200,MATCH(C1052,'DANH MỤC'!$A$5:$A$200,0)),"⚠ Mã chưa có trong DANH MỤC"))</f>
        <v/>
      </c>
      <c r="H1052" s="52"/>
      <c r="I1052" s="52"/>
    </row>
    <row r="1053" customFormat="false" ht="15" hidden="false" customHeight="false" outlineLevel="0" collapsed="false">
      <c r="A1053" s="50"/>
      <c r="B1053" s="51" t="str">
        <f aca="false">IF(A1053="","",MONTH(A1053))</f>
        <v/>
      </c>
      <c r="C1053" s="52"/>
      <c r="D1053" s="52"/>
      <c r="E1053" s="52"/>
      <c r="F1053" s="52"/>
      <c r="G1053" s="55" t="str">
        <f aca="false">IF(C1053="","",IFERROR(INDEX('DANH MỤC'!$B$5:$B$200,MATCH(C1053,'DANH MỤC'!$A$5:$A$200,0)),"⚠ Mã chưa có trong DANH MỤC"))</f>
        <v/>
      </c>
      <c r="H1053" s="52"/>
      <c r="I1053" s="52"/>
    </row>
    <row r="1054" customFormat="false" ht="15" hidden="false" customHeight="false" outlineLevel="0" collapsed="false">
      <c r="A1054" s="50"/>
      <c r="B1054" s="51" t="str">
        <f aca="false">IF(A1054="","",MONTH(A1054))</f>
        <v/>
      </c>
      <c r="C1054" s="52"/>
      <c r="D1054" s="52"/>
      <c r="E1054" s="52"/>
      <c r="F1054" s="52"/>
      <c r="G1054" s="55" t="str">
        <f aca="false">IF(C1054="","",IFERROR(INDEX('DANH MỤC'!$B$5:$B$200,MATCH(C1054,'DANH MỤC'!$A$5:$A$200,0)),"⚠ Mã chưa có trong DANH MỤC"))</f>
        <v/>
      </c>
      <c r="H1054" s="52"/>
      <c r="I1054" s="52"/>
    </row>
    <row r="1055" customFormat="false" ht="15" hidden="false" customHeight="false" outlineLevel="0" collapsed="false">
      <c r="A1055" s="50"/>
      <c r="B1055" s="51" t="str">
        <f aca="false">IF(A1055="","",MONTH(A1055))</f>
        <v/>
      </c>
      <c r="C1055" s="52"/>
      <c r="D1055" s="52"/>
      <c r="E1055" s="52"/>
      <c r="F1055" s="52"/>
      <c r="G1055" s="55" t="str">
        <f aca="false">IF(C1055="","",IFERROR(INDEX('DANH MỤC'!$B$5:$B$200,MATCH(C1055,'DANH MỤC'!$A$5:$A$200,0)),"⚠ Mã chưa có trong DANH MỤC"))</f>
        <v/>
      </c>
      <c r="H1055" s="52"/>
      <c r="I1055" s="52"/>
    </row>
    <row r="1056" customFormat="false" ht="15" hidden="false" customHeight="false" outlineLevel="0" collapsed="false">
      <c r="A1056" s="50"/>
      <c r="B1056" s="51" t="str">
        <f aca="false">IF(A1056="","",MONTH(A1056))</f>
        <v/>
      </c>
      <c r="C1056" s="52"/>
      <c r="D1056" s="52"/>
      <c r="E1056" s="52"/>
      <c r="F1056" s="52"/>
      <c r="G1056" s="55" t="str">
        <f aca="false">IF(C1056="","",IFERROR(INDEX('DANH MỤC'!$B$5:$B$200,MATCH(C1056,'DANH MỤC'!$A$5:$A$200,0)),"⚠ Mã chưa có trong DANH MỤC"))</f>
        <v/>
      </c>
      <c r="H1056" s="52"/>
      <c r="I1056" s="52"/>
    </row>
    <row r="1057" customFormat="false" ht="15" hidden="false" customHeight="false" outlineLevel="0" collapsed="false">
      <c r="A1057" s="50"/>
      <c r="B1057" s="51" t="str">
        <f aca="false">IF(A1057="","",MONTH(A1057))</f>
        <v/>
      </c>
      <c r="C1057" s="52"/>
      <c r="D1057" s="52"/>
      <c r="E1057" s="52"/>
      <c r="F1057" s="52"/>
      <c r="G1057" s="55" t="str">
        <f aca="false">IF(C1057="","",IFERROR(INDEX('DANH MỤC'!$B$5:$B$200,MATCH(C1057,'DANH MỤC'!$A$5:$A$200,0)),"⚠ Mã chưa có trong DANH MỤC"))</f>
        <v/>
      </c>
      <c r="H1057" s="52"/>
      <c r="I1057" s="52"/>
    </row>
    <row r="1058" customFormat="false" ht="15" hidden="false" customHeight="false" outlineLevel="0" collapsed="false">
      <c r="A1058" s="50"/>
      <c r="B1058" s="51" t="str">
        <f aca="false">IF(A1058="","",MONTH(A1058))</f>
        <v/>
      </c>
      <c r="C1058" s="52"/>
      <c r="D1058" s="52"/>
      <c r="E1058" s="52"/>
      <c r="F1058" s="52"/>
      <c r="G1058" s="55" t="str">
        <f aca="false">IF(C1058="","",IFERROR(INDEX('DANH MỤC'!$B$5:$B$200,MATCH(C1058,'DANH MỤC'!$A$5:$A$200,0)),"⚠ Mã chưa có trong DANH MỤC"))</f>
        <v/>
      </c>
      <c r="H1058" s="52"/>
      <c r="I1058" s="52"/>
    </row>
    <row r="1059" customFormat="false" ht="15" hidden="false" customHeight="false" outlineLevel="0" collapsed="false">
      <c r="A1059" s="50"/>
      <c r="B1059" s="51" t="str">
        <f aca="false">IF(A1059="","",MONTH(A1059))</f>
        <v/>
      </c>
      <c r="C1059" s="52"/>
      <c r="D1059" s="52"/>
      <c r="E1059" s="52"/>
      <c r="F1059" s="52"/>
      <c r="G1059" s="55" t="str">
        <f aca="false">IF(C1059="","",IFERROR(INDEX('DANH MỤC'!$B$5:$B$200,MATCH(C1059,'DANH MỤC'!$A$5:$A$200,0)),"⚠ Mã chưa có trong DANH MỤC"))</f>
        <v/>
      </c>
      <c r="H1059" s="52"/>
      <c r="I1059" s="52"/>
    </row>
    <row r="1060" customFormat="false" ht="15" hidden="false" customHeight="false" outlineLevel="0" collapsed="false">
      <c r="A1060" s="50"/>
      <c r="B1060" s="51" t="str">
        <f aca="false">IF(A1060="","",MONTH(A1060))</f>
        <v/>
      </c>
      <c r="C1060" s="52"/>
      <c r="D1060" s="52"/>
      <c r="E1060" s="52"/>
      <c r="F1060" s="52"/>
      <c r="G1060" s="55" t="str">
        <f aca="false">IF(C1060="","",IFERROR(INDEX('DANH MỤC'!$B$5:$B$200,MATCH(C1060,'DANH MỤC'!$A$5:$A$200,0)),"⚠ Mã chưa có trong DANH MỤC"))</f>
        <v/>
      </c>
      <c r="H1060" s="52"/>
      <c r="I1060" s="52"/>
    </row>
    <row r="1061" customFormat="false" ht="15" hidden="false" customHeight="false" outlineLevel="0" collapsed="false">
      <c r="A1061" s="50"/>
      <c r="B1061" s="51" t="str">
        <f aca="false">IF(A1061="","",MONTH(A1061))</f>
        <v/>
      </c>
      <c r="C1061" s="52"/>
      <c r="D1061" s="52"/>
      <c r="E1061" s="52"/>
      <c r="F1061" s="52"/>
      <c r="G1061" s="55" t="str">
        <f aca="false">IF(C1061="","",IFERROR(INDEX('DANH MỤC'!$B$5:$B$200,MATCH(C1061,'DANH MỤC'!$A$5:$A$200,0)),"⚠ Mã chưa có trong DANH MỤC"))</f>
        <v/>
      </c>
      <c r="H1061" s="52"/>
      <c r="I1061" s="52"/>
    </row>
    <row r="1062" customFormat="false" ht="15" hidden="false" customHeight="false" outlineLevel="0" collapsed="false">
      <c r="A1062" s="50"/>
      <c r="B1062" s="51" t="str">
        <f aca="false">IF(A1062="","",MONTH(A1062))</f>
        <v/>
      </c>
      <c r="C1062" s="52"/>
      <c r="D1062" s="52"/>
      <c r="E1062" s="52"/>
      <c r="F1062" s="52"/>
      <c r="G1062" s="55" t="str">
        <f aca="false">IF(C1062="","",IFERROR(INDEX('DANH MỤC'!$B$5:$B$200,MATCH(C1062,'DANH MỤC'!$A$5:$A$200,0)),"⚠ Mã chưa có trong DANH MỤC"))</f>
        <v/>
      </c>
      <c r="H1062" s="52"/>
      <c r="I1062" s="52"/>
    </row>
    <row r="1063" customFormat="false" ht="15" hidden="false" customHeight="false" outlineLevel="0" collapsed="false">
      <c r="A1063" s="50"/>
      <c r="B1063" s="51" t="str">
        <f aca="false">IF(A1063="","",MONTH(A1063))</f>
        <v/>
      </c>
      <c r="C1063" s="52"/>
      <c r="D1063" s="52"/>
      <c r="E1063" s="52"/>
      <c r="F1063" s="52"/>
      <c r="G1063" s="55" t="str">
        <f aca="false">IF(C1063="","",IFERROR(INDEX('DANH MỤC'!$B$5:$B$200,MATCH(C1063,'DANH MỤC'!$A$5:$A$200,0)),"⚠ Mã chưa có trong DANH MỤC"))</f>
        <v/>
      </c>
      <c r="H1063" s="52"/>
      <c r="I1063" s="52"/>
    </row>
    <row r="1064" customFormat="false" ht="15" hidden="false" customHeight="false" outlineLevel="0" collapsed="false">
      <c r="A1064" s="50"/>
      <c r="B1064" s="51" t="str">
        <f aca="false">IF(A1064="","",MONTH(A1064))</f>
        <v/>
      </c>
      <c r="C1064" s="52"/>
      <c r="D1064" s="52"/>
      <c r="E1064" s="52"/>
      <c r="F1064" s="52"/>
      <c r="G1064" s="55" t="str">
        <f aca="false">IF(C1064="","",IFERROR(INDEX('DANH MỤC'!$B$5:$B$200,MATCH(C1064,'DANH MỤC'!$A$5:$A$200,0)),"⚠ Mã chưa có trong DANH MỤC"))</f>
        <v/>
      </c>
      <c r="H1064" s="52"/>
      <c r="I1064" s="52"/>
    </row>
    <row r="1065" customFormat="false" ht="15" hidden="false" customHeight="false" outlineLevel="0" collapsed="false">
      <c r="A1065" s="50"/>
      <c r="B1065" s="51" t="str">
        <f aca="false">IF(A1065="","",MONTH(A1065))</f>
        <v/>
      </c>
      <c r="C1065" s="52"/>
      <c r="D1065" s="52"/>
      <c r="E1065" s="52"/>
      <c r="F1065" s="52"/>
      <c r="G1065" s="55" t="str">
        <f aca="false">IF(C1065="","",IFERROR(INDEX('DANH MỤC'!$B$5:$B$200,MATCH(C1065,'DANH MỤC'!$A$5:$A$200,0)),"⚠ Mã chưa có trong DANH MỤC"))</f>
        <v/>
      </c>
      <c r="H1065" s="52"/>
      <c r="I1065" s="52"/>
    </row>
    <row r="1066" customFormat="false" ht="15" hidden="false" customHeight="false" outlineLevel="0" collapsed="false">
      <c r="A1066" s="50"/>
      <c r="B1066" s="51" t="str">
        <f aca="false">IF(A1066="","",MONTH(A1066))</f>
        <v/>
      </c>
      <c r="C1066" s="52"/>
      <c r="D1066" s="52"/>
      <c r="E1066" s="52"/>
      <c r="F1066" s="52"/>
      <c r="G1066" s="55" t="str">
        <f aca="false">IF(C1066="","",IFERROR(INDEX('DANH MỤC'!$B$5:$B$200,MATCH(C1066,'DANH MỤC'!$A$5:$A$200,0)),"⚠ Mã chưa có trong DANH MỤC"))</f>
        <v/>
      </c>
      <c r="H1066" s="52"/>
      <c r="I1066" s="52"/>
    </row>
    <row r="1067" customFormat="false" ht="15" hidden="false" customHeight="false" outlineLevel="0" collapsed="false">
      <c r="A1067" s="50"/>
      <c r="B1067" s="51" t="str">
        <f aca="false">IF(A1067="","",MONTH(A1067))</f>
        <v/>
      </c>
      <c r="C1067" s="52"/>
      <c r="D1067" s="52"/>
      <c r="E1067" s="52"/>
      <c r="F1067" s="52"/>
      <c r="G1067" s="55" t="str">
        <f aca="false">IF(C1067="","",IFERROR(INDEX('DANH MỤC'!$B$5:$B$200,MATCH(C1067,'DANH MỤC'!$A$5:$A$200,0)),"⚠ Mã chưa có trong DANH MỤC"))</f>
        <v/>
      </c>
      <c r="H1067" s="52"/>
      <c r="I1067" s="52"/>
    </row>
    <row r="1068" customFormat="false" ht="15" hidden="false" customHeight="false" outlineLevel="0" collapsed="false">
      <c r="A1068" s="50"/>
      <c r="B1068" s="51" t="str">
        <f aca="false">IF(A1068="","",MONTH(A1068))</f>
        <v/>
      </c>
      <c r="C1068" s="52"/>
      <c r="D1068" s="52"/>
      <c r="E1068" s="52"/>
      <c r="F1068" s="52"/>
      <c r="G1068" s="55" t="str">
        <f aca="false">IF(C1068="","",IFERROR(INDEX('DANH MỤC'!$B$5:$B$200,MATCH(C1068,'DANH MỤC'!$A$5:$A$200,0)),"⚠ Mã chưa có trong DANH MỤC"))</f>
        <v/>
      </c>
      <c r="H1068" s="52"/>
      <c r="I1068" s="52"/>
    </row>
    <row r="1069" customFormat="false" ht="15" hidden="false" customHeight="false" outlineLevel="0" collapsed="false">
      <c r="A1069" s="50"/>
      <c r="B1069" s="51" t="str">
        <f aca="false">IF(A1069="","",MONTH(A1069))</f>
        <v/>
      </c>
      <c r="C1069" s="52"/>
      <c r="D1069" s="52"/>
      <c r="E1069" s="52"/>
      <c r="F1069" s="52"/>
      <c r="G1069" s="55" t="str">
        <f aca="false">IF(C1069="","",IFERROR(INDEX('DANH MỤC'!$B$5:$B$200,MATCH(C1069,'DANH MỤC'!$A$5:$A$200,0)),"⚠ Mã chưa có trong DANH MỤC"))</f>
        <v/>
      </c>
      <c r="H1069" s="52"/>
      <c r="I1069" s="52"/>
    </row>
    <row r="1070" customFormat="false" ht="15" hidden="false" customHeight="false" outlineLevel="0" collapsed="false">
      <c r="A1070" s="50"/>
      <c r="B1070" s="51" t="str">
        <f aca="false">IF(A1070="","",MONTH(A1070))</f>
        <v/>
      </c>
      <c r="C1070" s="52"/>
      <c r="D1070" s="52"/>
      <c r="E1070" s="52"/>
      <c r="F1070" s="52"/>
      <c r="G1070" s="55" t="str">
        <f aca="false">IF(C1070="","",IFERROR(INDEX('DANH MỤC'!$B$5:$B$200,MATCH(C1070,'DANH MỤC'!$A$5:$A$200,0)),"⚠ Mã chưa có trong DANH MỤC"))</f>
        <v/>
      </c>
      <c r="H1070" s="52"/>
      <c r="I1070" s="52"/>
    </row>
    <row r="1071" customFormat="false" ht="15" hidden="false" customHeight="false" outlineLevel="0" collapsed="false">
      <c r="A1071" s="50"/>
      <c r="B1071" s="51" t="str">
        <f aca="false">IF(A1071="","",MONTH(A1071))</f>
        <v/>
      </c>
      <c r="C1071" s="52"/>
      <c r="D1071" s="52"/>
      <c r="E1071" s="52"/>
      <c r="F1071" s="52"/>
      <c r="G1071" s="55" t="str">
        <f aca="false">IF(C1071="","",IFERROR(INDEX('DANH MỤC'!$B$5:$B$200,MATCH(C1071,'DANH MỤC'!$A$5:$A$200,0)),"⚠ Mã chưa có trong DANH MỤC"))</f>
        <v/>
      </c>
      <c r="H1071" s="52"/>
      <c r="I1071" s="52"/>
    </row>
    <row r="1072" customFormat="false" ht="15" hidden="false" customHeight="false" outlineLevel="0" collapsed="false">
      <c r="A1072" s="50"/>
      <c r="B1072" s="51" t="str">
        <f aca="false">IF(A1072="","",MONTH(A1072))</f>
        <v/>
      </c>
      <c r="C1072" s="52"/>
      <c r="D1072" s="52"/>
      <c r="E1072" s="52"/>
      <c r="F1072" s="52"/>
      <c r="G1072" s="55" t="str">
        <f aca="false">IF(C1072="","",IFERROR(INDEX('DANH MỤC'!$B$5:$B$200,MATCH(C1072,'DANH MỤC'!$A$5:$A$200,0)),"⚠ Mã chưa có trong DANH MỤC"))</f>
        <v/>
      </c>
      <c r="H1072" s="52"/>
      <c r="I1072" s="52"/>
    </row>
    <row r="1073" customFormat="false" ht="15" hidden="false" customHeight="false" outlineLevel="0" collapsed="false">
      <c r="A1073" s="50"/>
      <c r="B1073" s="51" t="str">
        <f aca="false">IF(A1073="","",MONTH(A1073))</f>
        <v/>
      </c>
      <c r="C1073" s="52"/>
      <c r="D1073" s="52"/>
      <c r="E1073" s="52"/>
      <c r="F1073" s="52"/>
      <c r="G1073" s="55" t="str">
        <f aca="false">IF(C1073="","",IFERROR(INDEX('DANH MỤC'!$B$5:$B$200,MATCH(C1073,'DANH MỤC'!$A$5:$A$200,0)),"⚠ Mã chưa có trong DANH MỤC"))</f>
        <v/>
      </c>
      <c r="H1073" s="52"/>
      <c r="I1073" s="52"/>
    </row>
    <row r="1074" customFormat="false" ht="15" hidden="false" customHeight="false" outlineLevel="0" collapsed="false">
      <c r="A1074" s="50"/>
      <c r="B1074" s="51" t="str">
        <f aca="false">IF(A1074="","",MONTH(A1074))</f>
        <v/>
      </c>
      <c r="C1074" s="52"/>
      <c r="D1074" s="52"/>
      <c r="E1074" s="52"/>
      <c r="F1074" s="52"/>
      <c r="G1074" s="55" t="str">
        <f aca="false">IF(C1074="","",IFERROR(INDEX('DANH MỤC'!$B$5:$B$200,MATCH(C1074,'DANH MỤC'!$A$5:$A$200,0)),"⚠ Mã chưa có trong DANH MỤC"))</f>
        <v/>
      </c>
      <c r="H1074" s="52"/>
      <c r="I1074" s="52"/>
    </row>
    <row r="1075" customFormat="false" ht="15" hidden="false" customHeight="false" outlineLevel="0" collapsed="false">
      <c r="A1075" s="50"/>
      <c r="B1075" s="51" t="str">
        <f aca="false">IF(A1075="","",MONTH(A1075))</f>
        <v/>
      </c>
      <c r="C1075" s="52"/>
      <c r="D1075" s="52"/>
      <c r="E1075" s="52"/>
      <c r="F1075" s="52"/>
      <c r="G1075" s="55" t="str">
        <f aca="false">IF(C1075="","",IFERROR(INDEX('DANH MỤC'!$B$5:$B$200,MATCH(C1075,'DANH MỤC'!$A$5:$A$200,0)),"⚠ Mã chưa có trong DANH MỤC"))</f>
        <v/>
      </c>
      <c r="H1075" s="52"/>
      <c r="I1075" s="52"/>
    </row>
    <row r="1076" customFormat="false" ht="15" hidden="false" customHeight="false" outlineLevel="0" collapsed="false">
      <c r="A1076" s="50"/>
      <c r="B1076" s="51" t="str">
        <f aca="false">IF(A1076="","",MONTH(A1076))</f>
        <v/>
      </c>
      <c r="C1076" s="52"/>
      <c r="D1076" s="52"/>
      <c r="E1076" s="52"/>
      <c r="F1076" s="52"/>
      <c r="G1076" s="55" t="str">
        <f aca="false">IF(C1076="","",IFERROR(INDEX('DANH MỤC'!$B$5:$B$200,MATCH(C1076,'DANH MỤC'!$A$5:$A$200,0)),"⚠ Mã chưa có trong DANH MỤC"))</f>
        <v/>
      </c>
      <c r="H1076" s="52"/>
      <c r="I1076" s="52"/>
    </row>
    <row r="1077" customFormat="false" ht="15" hidden="false" customHeight="false" outlineLevel="0" collapsed="false">
      <c r="A1077" s="50"/>
      <c r="B1077" s="51" t="str">
        <f aca="false">IF(A1077="","",MONTH(A1077))</f>
        <v/>
      </c>
      <c r="C1077" s="52"/>
      <c r="D1077" s="52"/>
      <c r="E1077" s="52"/>
      <c r="F1077" s="52"/>
      <c r="G1077" s="55" t="str">
        <f aca="false">IF(C1077="","",IFERROR(INDEX('DANH MỤC'!$B$5:$B$200,MATCH(C1077,'DANH MỤC'!$A$5:$A$200,0)),"⚠ Mã chưa có trong DANH MỤC"))</f>
        <v/>
      </c>
      <c r="H1077" s="52"/>
      <c r="I1077" s="52"/>
    </row>
    <row r="1078" customFormat="false" ht="15" hidden="false" customHeight="false" outlineLevel="0" collapsed="false">
      <c r="A1078" s="50"/>
      <c r="B1078" s="51" t="str">
        <f aca="false">IF(A1078="","",MONTH(A1078))</f>
        <v/>
      </c>
      <c r="C1078" s="52"/>
      <c r="D1078" s="52"/>
      <c r="E1078" s="52"/>
      <c r="F1078" s="52"/>
      <c r="G1078" s="55" t="str">
        <f aca="false">IF(C1078="","",IFERROR(INDEX('DANH MỤC'!$B$5:$B$200,MATCH(C1078,'DANH MỤC'!$A$5:$A$200,0)),"⚠ Mã chưa có trong DANH MỤC"))</f>
        <v/>
      </c>
      <c r="H1078" s="52"/>
      <c r="I1078" s="52"/>
    </row>
    <row r="1079" customFormat="false" ht="15" hidden="false" customHeight="false" outlineLevel="0" collapsed="false">
      <c r="A1079" s="50"/>
      <c r="B1079" s="51" t="str">
        <f aca="false">IF(A1079="","",MONTH(A1079))</f>
        <v/>
      </c>
      <c r="C1079" s="52"/>
      <c r="D1079" s="52"/>
      <c r="E1079" s="52"/>
      <c r="F1079" s="52"/>
      <c r="G1079" s="55" t="str">
        <f aca="false">IF(C1079="","",IFERROR(INDEX('DANH MỤC'!$B$5:$B$200,MATCH(C1079,'DANH MỤC'!$A$5:$A$200,0)),"⚠ Mã chưa có trong DANH MỤC"))</f>
        <v/>
      </c>
      <c r="H1079" s="52"/>
      <c r="I1079" s="52"/>
    </row>
    <row r="1080" customFormat="false" ht="15" hidden="false" customHeight="false" outlineLevel="0" collapsed="false">
      <c r="A1080" s="50"/>
      <c r="B1080" s="51" t="str">
        <f aca="false">IF(A1080="","",MONTH(A1080))</f>
        <v/>
      </c>
      <c r="C1080" s="52"/>
      <c r="D1080" s="52"/>
      <c r="E1080" s="52"/>
      <c r="F1080" s="52"/>
      <c r="G1080" s="55" t="str">
        <f aca="false">IF(C1080="","",IFERROR(INDEX('DANH MỤC'!$B$5:$B$200,MATCH(C1080,'DANH MỤC'!$A$5:$A$200,0)),"⚠ Mã chưa có trong DANH MỤC"))</f>
        <v/>
      </c>
      <c r="H1080" s="52"/>
      <c r="I1080" s="52"/>
    </row>
    <row r="1081" customFormat="false" ht="15" hidden="false" customHeight="false" outlineLevel="0" collapsed="false">
      <c r="A1081" s="50"/>
      <c r="B1081" s="51" t="str">
        <f aca="false">IF(A1081="","",MONTH(A1081))</f>
        <v/>
      </c>
      <c r="C1081" s="52"/>
      <c r="D1081" s="52"/>
      <c r="E1081" s="52"/>
      <c r="F1081" s="52"/>
      <c r="G1081" s="55" t="str">
        <f aca="false">IF(C1081="","",IFERROR(INDEX('DANH MỤC'!$B$5:$B$200,MATCH(C1081,'DANH MỤC'!$A$5:$A$200,0)),"⚠ Mã chưa có trong DANH MỤC"))</f>
        <v/>
      </c>
      <c r="H1081" s="52"/>
      <c r="I1081" s="52"/>
    </row>
    <row r="1082" customFormat="false" ht="15" hidden="false" customHeight="false" outlineLevel="0" collapsed="false">
      <c r="A1082" s="50"/>
      <c r="B1082" s="51" t="str">
        <f aca="false">IF(A1082="","",MONTH(A1082))</f>
        <v/>
      </c>
      <c r="C1082" s="52"/>
      <c r="D1082" s="52"/>
      <c r="E1082" s="52"/>
      <c r="F1082" s="52"/>
      <c r="G1082" s="55" t="str">
        <f aca="false">IF(C1082="","",IFERROR(INDEX('DANH MỤC'!$B$5:$B$200,MATCH(C1082,'DANH MỤC'!$A$5:$A$200,0)),"⚠ Mã chưa có trong DANH MỤC"))</f>
        <v/>
      </c>
      <c r="H1082" s="52"/>
      <c r="I1082" s="52"/>
    </row>
    <row r="1083" customFormat="false" ht="15" hidden="false" customHeight="false" outlineLevel="0" collapsed="false">
      <c r="A1083" s="50"/>
      <c r="B1083" s="51" t="str">
        <f aca="false">IF(A1083="","",MONTH(A1083))</f>
        <v/>
      </c>
      <c r="C1083" s="52"/>
      <c r="D1083" s="52"/>
      <c r="E1083" s="52"/>
      <c r="F1083" s="52"/>
      <c r="G1083" s="55" t="str">
        <f aca="false">IF(C1083="","",IFERROR(INDEX('DANH MỤC'!$B$5:$B$200,MATCH(C1083,'DANH MỤC'!$A$5:$A$200,0)),"⚠ Mã chưa có trong DANH MỤC"))</f>
        <v/>
      </c>
      <c r="H1083" s="52"/>
      <c r="I1083" s="52"/>
    </row>
    <row r="1084" customFormat="false" ht="15" hidden="false" customHeight="false" outlineLevel="0" collapsed="false">
      <c r="A1084" s="50"/>
      <c r="B1084" s="51" t="str">
        <f aca="false">IF(A1084="","",MONTH(A1084))</f>
        <v/>
      </c>
      <c r="C1084" s="52"/>
      <c r="D1084" s="52"/>
      <c r="E1084" s="52"/>
      <c r="F1084" s="52"/>
      <c r="G1084" s="55" t="str">
        <f aca="false">IF(C1084="","",IFERROR(INDEX('DANH MỤC'!$B$5:$B$200,MATCH(C1084,'DANH MỤC'!$A$5:$A$200,0)),"⚠ Mã chưa có trong DANH MỤC"))</f>
        <v/>
      </c>
      <c r="H1084" s="52"/>
      <c r="I1084" s="52"/>
    </row>
    <row r="1085" customFormat="false" ht="15" hidden="false" customHeight="false" outlineLevel="0" collapsed="false">
      <c r="A1085" s="50"/>
      <c r="B1085" s="51" t="str">
        <f aca="false">IF(A1085="","",MONTH(A1085))</f>
        <v/>
      </c>
      <c r="C1085" s="52"/>
      <c r="D1085" s="52"/>
      <c r="E1085" s="52"/>
      <c r="F1085" s="52"/>
      <c r="G1085" s="55" t="str">
        <f aca="false">IF(C1085="","",IFERROR(INDEX('DANH MỤC'!$B$5:$B$200,MATCH(C1085,'DANH MỤC'!$A$5:$A$200,0)),"⚠ Mã chưa có trong DANH MỤC"))</f>
        <v/>
      </c>
      <c r="H1085" s="52"/>
      <c r="I1085" s="52"/>
    </row>
    <row r="1086" customFormat="false" ht="15" hidden="false" customHeight="false" outlineLevel="0" collapsed="false">
      <c r="A1086" s="50"/>
      <c r="B1086" s="51" t="str">
        <f aca="false">IF(A1086="","",MONTH(A1086))</f>
        <v/>
      </c>
      <c r="C1086" s="52"/>
      <c r="D1086" s="52"/>
      <c r="E1086" s="52"/>
      <c r="F1086" s="52"/>
      <c r="G1086" s="55" t="str">
        <f aca="false">IF(C1086="","",IFERROR(INDEX('DANH MỤC'!$B$5:$B$200,MATCH(C1086,'DANH MỤC'!$A$5:$A$200,0)),"⚠ Mã chưa có trong DANH MỤC"))</f>
        <v/>
      </c>
      <c r="H1086" s="52"/>
      <c r="I1086" s="52"/>
    </row>
    <row r="1087" customFormat="false" ht="15" hidden="false" customHeight="false" outlineLevel="0" collapsed="false">
      <c r="A1087" s="50"/>
      <c r="B1087" s="51" t="str">
        <f aca="false">IF(A1087="","",MONTH(A1087))</f>
        <v/>
      </c>
      <c r="C1087" s="52"/>
      <c r="D1087" s="52"/>
      <c r="E1087" s="52"/>
      <c r="F1087" s="52"/>
      <c r="G1087" s="55" t="str">
        <f aca="false">IF(C1087="","",IFERROR(INDEX('DANH MỤC'!$B$5:$B$200,MATCH(C1087,'DANH MỤC'!$A$5:$A$200,0)),"⚠ Mã chưa có trong DANH MỤC"))</f>
        <v/>
      </c>
      <c r="H1087" s="52"/>
      <c r="I1087" s="52"/>
    </row>
    <row r="1088" customFormat="false" ht="15" hidden="false" customHeight="false" outlineLevel="0" collapsed="false">
      <c r="A1088" s="50"/>
      <c r="B1088" s="51" t="str">
        <f aca="false">IF(A1088="","",MONTH(A1088))</f>
        <v/>
      </c>
      <c r="C1088" s="52"/>
      <c r="D1088" s="52"/>
      <c r="E1088" s="52"/>
      <c r="F1088" s="52"/>
      <c r="G1088" s="55" t="str">
        <f aca="false">IF(C1088="","",IFERROR(INDEX('DANH MỤC'!$B$5:$B$200,MATCH(C1088,'DANH MỤC'!$A$5:$A$200,0)),"⚠ Mã chưa có trong DANH MỤC"))</f>
        <v/>
      </c>
      <c r="H1088" s="52"/>
      <c r="I1088" s="52"/>
    </row>
    <row r="1089" customFormat="false" ht="15" hidden="false" customHeight="false" outlineLevel="0" collapsed="false">
      <c r="A1089" s="50"/>
      <c r="B1089" s="51" t="str">
        <f aca="false">IF(A1089="","",MONTH(A1089))</f>
        <v/>
      </c>
      <c r="C1089" s="52"/>
      <c r="D1089" s="52"/>
      <c r="E1089" s="52"/>
      <c r="F1089" s="52"/>
      <c r="G1089" s="55" t="str">
        <f aca="false">IF(C1089="","",IFERROR(INDEX('DANH MỤC'!$B$5:$B$200,MATCH(C1089,'DANH MỤC'!$A$5:$A$200,0)),"⚠ Mã chưa có trong DANH MỤC"))</f>
        <v/>
      </c>
      <c r="H1089" s="52"/>
      <c r="I1089" s="52"/>
    </row>
    <row r="1090" customFormat="false" ht="15" hidden="false" customHeight="false" outlineLevel="0" collapsed="false">
      <c r="A1090" s="50"/>
      <c r="B1090" s="51" t="str">
        <f aca="false">IF(A1090="","",MONTH(A1090))</f>
        <v/>
      </c>
      <c r="C1090" s="52"/>
      <c r="D1090" s="52"/>
      <c r="E1090" s="52"/>
      <c r="F1090" s="52"/>
      <c r="G1090" s="55" t="str">
        <f aca="false">IF(C1090="","",IFERROR(INDEX('DANH MỤC'!$B$5:$B$200,MATCH(C1090,'DANH MỤC'!$A$5:$A$200,0)),"⚠ Mã chưa có trong DANH MỤC"))</f>
        <v/>
      </c>
      <c r="H1090" s="52"/>
      <c r="I1090" s="52"/>
    </row>
    <row r="1091" customFormat="false" ht="15" hidden="false" customHeight="false" outlineLevel="0" collapsed="false">
      <c r="A1091" s="50"/>
      <c r="B1091" s="51" t="str">
        <f aca="false">IF(A1091="","",MONTH(A1091))</f>
        <v/>
      </c>
      <c r="C1091" s="52"/>
      <c r="D1091" s="52"/>
      <c r="E1091" s="52"/>
      <c r="F1091" s="52"/>
      <c r="G1091" s="55" t="str">
        <f aca="false">IF(C1091="","",IFERROR(INDEX('DANH MỤC'!$B$5:$B$200,MATCH(C1091,'DANH MỤC'!$A$5:$A$200,0)),"⚠ Mã chưa có trong DANH MỤC"))</f>
        <v/>
      </c>
      <c r="H1091" s="52"/>
      <c r="I1091" s="52"/>
    </row>
    <row r="1092" customFormat="false" ht="15" hidden="false" customHeight="false" outlineLevel="0" collapsed="false">
      <c r="A1092" s="50"/>
      <c r="B1092" s="51" t="str">
        <f aca="false">IF(A1092="","",MONTH(A1092))</f>
        <v/>
      </c>
      <c r="C1092" s="52"/>
      <c r="D1092" s="52"/>
      <c r="E1092" s="52"/>
      <c r="F1092" s="52"/>
      <c r="G1092" s="55" t="str">
        <f aca="false">IF(C1092="","",IFERROR(INDEX('DANH MỤC'!$B$5:$B$200,MATCH(C1092,'DANH MỤC'!$A$5:$A$200,0)),"⚠ Mã chưa có trong DANH MỤC"))</f>
        <v/>
      </c>
      <c r="H1092" s="52"/>
      <c r="I1092" s="52"/>
    </row>
    <row r="1093" customFormat="false" ht="15" hidden="false" customHeight="false" outlineLevel="0" collapsed="false">
      <c r="A1093" s="50"/>
      <c r="B1093" s="51" t="str">
        <f aca="false">IF(A1093="","",MONTH(A1093))</f>
        <v/>
      </c>
      <c r="C1093" s="52"/>
      <c r="D1093" s="52"/>
      <c r="E1093" s="52"/>
      <c r="F1093" s="52"/>
      <c r="G1093" s="55" t="str">
        <f aca="false">IF(C1093="","",IFERROR(INDEX('DANH MỤC'!$B$5:$B$200,MATCH(C1093,'DANH MỤC'!$A$5:$A$200,0)),"⚠ Mã chưa có trong DANH MỤC"))</f>
        <v/>
      </c>
      <c r="H1093" s="52"/>
      <c r="I1093" s="52"/>
    </row>
    <row r="1094" customFormat="false" ht="15" hidden="false" customHeight="false" outlineLevel="0" collapsed="false">
      <c r="A1094" s="50"/>
      <c r="B1094" s="51" t="str">
        <f aca="false">IF(A1094="","",MONTH(A1094))</f>
        <v/>
      </c>
      <c r="C1094" s="52"/>
      <c r="D1094" s="52"/>
      <c r="E1094" s="52"/>
      <c r="F1094" s="52"/>
      <c r="G1094" s="55" t="str">
        <f aca="false">IF(C1094="","",IFERROR(INDEX('DANH MỤC'!$B$5:$B$200,MATCH(C1094,'DANH MỤC'!$A$5:$A$200,0)),"⚠ Mã chưa có trong DANH MỤC"))</f>
        <v/>
      </c>
      <c r="H1094" s="52"/>
      <c r="I1094" s="52"/>
    </row>
    <row r="1095" customFormat="false" ht="15" hidden="false" customHeight="false" outlineLevel="0" collapsed="false">
      <c r="A1095" s="50"/>
      <c r="B1095" s="51" t="str">
        <f aca="false">IF(A1095="","",MONTH(A1095))</f>
        <v/>
      </c>
      <c r="C1095" s="52"/>
      <c r="D1095" s="52"/>
      <c r="E1095" s="52"/>
      <c r="F1095" s="52"/>
      <c r="G1095" s="55" t="str">
        <f aca="false">IF(C1095="","",IFERROR(INDEX('DANH MỤC'!$B$5:$B$200,MATCH(C1095,'DANH MỤC'!$A$5:$A$200,0)),"⚠ Mã chưa có trong DANH MỤC"))</f>
        <v/>
      </c>
      <c r="H1095" s="52"/>
      <c r="I1095" s="52"/>
    </row>
    <row r="1096" customFormat="false" ht="15" hidden="false" customHeight="false" outlineLevel="0" collapsed="false">
      <c r="A1096" s="50"/>
      <c r="B1096" s="51" t="str">
        <f aca="false">IF(A1096="","",MONTH(A1096))</f>
        <v/>
      </c>
      <c r="C1096" s="52"/>
      <c r="D1096" s="52"/>
      <c r="E1096" s="52"/>
      <c r="F1096" s="52"/>
      <c r="G1096" s="55" t="str">
        <f aca="false">IF(C1096="","",IFERROR(INDEX('DANH MỤC'!$B$5:$B$200,MATCH(C1096,'DANH MỤC'!$A$5:$A$200,0)),"⚠ Mã chưa có trong DANH MỤC"))</f>
        <v/>
      </c>
      <c r="H1096" s="52"/>
      <c r="I1096" s="52"/>
    </row>
    <row r="1097" customFormat="false" ht="15" hidden="false" customHeight="false" outlineLevel="0" collapsed="false">
      <c r="A1097" s="50"/>
      <c r="B1097" s="51" t="str">
        <f aca="false">IF(A1097="","",MONTH(A1097))</f>
        <v/>
      </c>
      <c r="C1097" s="52"/>
      <c r="D1097" s="52"/>
      <c r="E1097" s="52"/>
      <c r="F1097" s="52"/>
      <c r="G1097" s="55" t="str">
        <f aca="false">IF(C1097="","",IFERROR(INDEX('DANH MỤC'!$B$5:$B$200,MATCH(C1097,'DANH MỤC'!$A$5:$A$200,0)),"⚠ Mã chưa có trong DANH MỤC"))</f>
        <v/>
      </c>
      <c r="H1097" s="52"/>
      <c r="I1097" s="52"/>
    </row>
    <row r="1098" customFormat="false" ht="15" hidden="false" customHeight="false" outlineLevel="0" collapsed="false">
      <c r="A1098" s="50"/>
      <c r="B1098" s="51" t="str">
        <f aca="false">IF(A1098="","",MONTH(A1098))</f>
        <v/>
      </c>
      <c r="C1098" s="52"/>
      <c r="D1098" s="52"/>
      <c r="E1098" s="52"/>
      <c r="F1098" s="52"/>
      <c r="G1098" s="55" t="str">
        <f aca="false">IF(C1098="","",IFERROR(INDEX('DANH MỤC'!$B$5:$B$200,MATCH(C1098,'DANH MỤC'!$A$5:$A$200,0)),"⚠ Mã chưa có trong DANH MỤC"))</f>
        <v/>
      </c>
      <c r="H1098" s="52"/>
      <c r="I1098" s="52"/>
    </row>
    <row r="1099" customFormat="false" ht="15" hidden="false" customHeight="false" outlineLevel="0" collapsed="false">
      <c r="A1099" s="50"/>
      <c r="B1099" s="51" t="str">
        <f aca="false">IF(A1099="","",MONTH(A1099))</f>
        <v/>
      </c>
      <c r="C1099" s="52"/>
      <c r="D1099" s="52"/>
      <c r="E1099" s="52"/>
      <c r="F1099" s="52"/>
      <c r="G1099" s="55" t="str">
        <f aca="false">IF(C1099="","",IFERROR(INDEX('DANH MỤC'!$B$5:$B$200,MATCH(C1099,'DANH MỤC'!$A$5:$A$200,0)),"⚠ Mã chưa có trong DANH MỤC"))</f>
        <v/>
      </c>
      <c r="H1099" s="52"/>
      <c r="I1099" s="52"/>
    </row>
    <row r="1100" customFormat="false" ht="15" hidden="false" customHeight="false" outlineLevel="0" collapsed="false">
      <c r="A1100" s="50"/>
      <c r="B1100" s="51" t="str">
        <f aca="false">IF(A1100="","",MONTH(A1100))</f>
        <v/>
      </c>
      <c r="C1100" s="52"/>
      <c r="D1100" s="52"/>
      <c r="E1100" s="52"/>
      <c r="F1100" s="52"/>
      <c r="G1100" s="55" t="str">
        <f aca="false">IF(C1100="","",IFERROR(INDEX('DANH MỤC'!$B$5:$B$200,MATCH(C1100,'DANH MỤC'!$A$5:$A$200,0)),"⚠ Mã chưa có trong DANH MỤC"))</f>
        <v/>
      </c>
      <c r="H1100" s="52"/>
      <c r="I1100" s="52"/>
    </row>
    <row r="1101" customFormat="false" ht="15" hidden="false" customHeight="false" outlineLevel="0" collapsed="false">
      <c r="A1101" s="50"/>
      <c r="B1101" s="51" t="str">
        <f aca="false">IF(A1101="","",MONTH(A1101))</f>
        <v/>
      </c>
      <c r="C1101" s="52"/>
      <c r="D1101" s="52"/>
      <c r="E1101" s="52"/>
      <c r="F1101" s="52"/>
      <c r="G1101" s="55" t="str">
        <f aca="false">IF(C1101="","",IFERROR(INDEX('DANH MỤC'!$B$5:$B$200,MATCH(C1101,'DANH MỤC'!$A$5:$A$200,0)),"⚠ Mã chưa có trong DANH MỤC"))</f>
        <v/>
      </c>
      <c r="H1101" s="52"/>
      <c r="I1101" s="52"/>
    </row>
    <row r="1102" customFormat="false" ht="15" hidden="false" customHeight="false" outlineLevel="0" collapsed="false">
      <c r="A1102" s="50"/>
      <c r="B1102" s="51" t="str">
        <f aca="false">IF(A1102="","",MONTH(A1102))</f>
        <v/>
      </c>
      <c r="C1102" s="52"/>
      <c r="D1102" s="52"/>
      <c r="E1102" s="52"/>
      <c r="F1102" s="52"/>
      <c r="G1102" s="55" t="str">
        <f aca="false">IF(C1102="","",IFERROR(INDEX('DANH MỤC'!$B$5:$B$200,MATCH(C1102,'DANH MỤC'!$A$5:$A$200,0)),"⚠ Mã chưa có trong DANH MỤC"))</f>
        <v/>
      </c>
      <c r="H1102" s="52"/>
      <c r="I1102" s="52"/>
    </row>
    <row r="1103" customFormat="false" ht="15" hidden="false" customHeight="false" outlineLevel="0" collapsed="false">
      <c r="A1103" s="50"/>
      <c r="B1103" s="51" t="str">
        <f aca="false">IF(A1103="","",MONTH(A1103))</f>
        <v/>
      </c>
      <c r="C1103" s="52"/>
      <c r="D1103" s="52"/>
      <c r="E1103" s="52"/>
      <c r="F1103" s="52"/>
      <c r="G1103" s="55" t="str">
        <f aca="false">IF(C1103="","",IFERROR(INDEX('DANH MỤC'!$B$5:$B$200,MATCH(C1103,'DANH MỤC'!$A$5:$A$200,0)),"⚠ Mã chưa có trong DANH MỤC"))</f>
        <v/>
      </c>
      <c r="H1103" s="52"/>
      <c r="I1103" s="52"/>
    </row>
    <row r="1104" customFormat="false" ht="15" hidden="false" customHeight="false" outlineLevel="0" collapsed="false">
      <c r="A1104" s="50"/>
      <c r="B1104" s="51" t="str">
        <f aca="false">IF(A1104="","",MONTH(A1104))</f>
        <v/>
      </c>
      <c r="C1104" s="52"/>
      <c r="D1104" s="52"/>
      <c r="E1104" s="52"/>
      <c r="F1104" s="52"/>
      <c r="G1104" s="55" t="str">
        <f aca="false">IF(C1104="","",IFERROR(INDEX('DANH MỤC'!$B$5:$B$200,MATCH(C1104,'DANH MỤC'!$A$5:$A$200,0)),"⚠ Mã chưa có trong DANH MỤC"))</f>
        <v/>
      </c>
      <c r="H1104" s="52"/>
      <c r="I1104" s="52"/>
    </row>
    <row r="1105" customFormat="false" ht="15" hidden="false" customHeight="false" outlineLevel="0" collapsed="false">
      <c r="A1105" s="50"/>
      <c r="B1105" s="51" t="str">
        <f aca="false">IF(A1105="","",MONTH(A1105))</f>
        <v/>
      </c>
      <c r="C1105" s="52"/>
      <c r="D1105" s="52"/>
      <c r="E1105" s="52"/>
      <c r="F1105" s="52"/>
      <c r="G1105" s="55" t="str">
        <f aca="false">IF(C1105="","",IFERROR(INDEX('DANH MỤC'!$B$5:$B$200,MATCH(C1105,'DANH MỤC'!$A$5:$A$200,0)),"⚠ Mã chưa có trong DANH MỤC"))</f>
        <v/>
      </c>
      <c r="H1105" s="52"/>
      <c r="I1105" s="52"/>
    </row>
    <row r="1106" customFormat="false" ht="15" hidden="false" customHeight="false" outlineLevel="0" collapsed="false">
      <c r="A1106" s="50"/>
      <c r="B1106" s="51" t="str">
        <f aca="false">IF(A1106="","",MONTH(A1106))</f>
        <v/>
      </c>
      <c r="C1106" s="52"/>
      <c r="D1106" s="52"/>
      <c r="E1106" s="52"/>
      <c r="F1106" s="52"/>
      <c r="G1106" s="55" t="str">
        <f aca="false">IF(C1106="","",IFERROR(INDEX('DANH MỤC'!$B$5:$B$200,MATCH(C1106,'DANH MỤC'!$A$5:$A$200,0)),"⚠ Mã chưa có trong DANH MỤC"))</f>
        <v/>
      </c>
      <c r="H1106" s="52"/>
      <c r="I1106" s="52"/>
    </row>
    <row r="1107" customFormat="false" ht="15" hidden="false" customHeight="false" outlineLevel="0" collapsed="false">
      <c r="A1107" s="50"/>
      <c r="B1107" s="51" t="str">
        <f aca="false">IF(A1107="","",MONTH(A1107))</f>
        <v/>
      </c>
      <c r="C1107" s="52"/>
      <c r="D1107" s="52"/>
      <c r="E1107" s="52"/>
      <c r="F1107" s="52"/>
      <c r="G1107" s="55" t="str">
        <f aca="false">IF(C1107="","",IFERROR(INDEX('DANH MỤC'!$B$5:$B$200,MATCH(C1107,'DANH MỤC'!$A$5:$A$200,0)),"⚠ Mã chưa có trong DANH MỤC"))</f>
        <v/>
      </c>
      <c r="H1107" s="52"/>
      <c r="I1107" s="52"/>
    </row>
    <row r="1108" customFormat="false" ht="15" hidden="false" customHeight="false" outlineLevel="0" collapsed="false">
      <c r="A1108" s="50"/>
      <c r="B1108" s="51" t="str">
        <f aca="false">IF(A1108="","",MONTH(A1108))</f>
        <v/>
      </c>
      <c r="C1108" s="52"/>
      <c r="D1108" s="52"/>
      <c r="E1108" s="52"/>
      <c r="F1108" s="52"/>
      <c r="G1108" s="55" t="str">
        <f aca="false">IF(C1108="","",IFERROR(INDEX('DANH MỤC'!$B$5:$B$200,MATCH(C1108,'DANH MỤC'!$A$5:$A$200,0)),"⚠ Mã chưa có trong DANH MỤC"))</f>
        <v/>
      </c>
      <c r="H1108" s="52"/>
      <c r="I1108" s="52"/>
    </row>
    <row r="1109" customFormat="false" ht="15" hidden="false" customHeight="false" outlineLevel="0" collapsed="false">
      <c r="A1109" s="50"/>
      <c r="B1109" s="51" t="str">
        <f aca="false">IF(A1109="","",MONTH(A1109))</f>
        <v/>
      </c>
      <c r="C1109" s="52"/>
      <c r="D1109" s="52"/>
      <c r="E1109" s="52"/>
      <c r="F1109" s="52"/>
      <c r="G1109" s="55" t="str">
        <f aca="false">IF(C1109="","",IFERROR(INDEX('DANH MỤC'!$B$5:$B$200,MATCH(C1109,'DANH MỤC'!$A$5:$A$200,0)),"⚠ Mã chưa có trong DANH MỤC"))</f>
        <v/>
      </c>
      <c r="H1109" s="52"/>
      <c r="I1109" s="52"/>
    </row>
    <row r="1110" customFormat="false" ht="15" hidden="false" customHeight="false" outlineLevel="0" collapsed="false">
      <c r="A1110" s="50"/>
      <c r="B1110" s="51" t="str">
        <f aca="false">IF(A1110="","",MONTH(A1110))</f>
        <v/>
      </c>
      <c r="C1110" s="52"/>
      <c r="D1110" s="52"/>
      <c r="E1110" s="52"/>
      <c r="F1110" s="52"/>
      <c r="G1110" s="55" t="str">
        <f aca="false">IF(C1110="","",IFERROR(INDEX('DANH MỤC'!$B$5:$B$200,MATCH(C1110,'DANH MỤC'!$A$5:$A$200,0)),"⚠ Mã chưa có trong DANH MỤC"))</f>
        <v/>
      </c>
      <c r="H1110" s="52"/>
      <c r="I1110" s="52"/>
    </row>
    <row r="1111" customFormat="false" ht="15" hidden="false" customHeight="false" outlineLevel="0" collapsed="false">
      <c r="A1111" s="50"/>
      <c r="B1111" s="51" t="str">
        <f aca="false">IF(A1111="","",MONTH(A1111))</f>
        <v/>
      </c>
      <c r="C1111" s="52"/>
      <c r="D1111" s="52"/>
      <c r="E1111" s="52"/>
      <c r="F1111" s="52"/>
      <c r="G1111" s="55" t="str">
        <f aca="false">IF(C1111="","",IFERROR(INDEX('DANH MỤC'!$B$5:$B$200,MATCH(C1111,'DANH MỤC'!$A$5:$A$200,0)),"⚠ Mã chưa có trong DANH MỤC"))</f>
        <v/>
      </c>
      <c r="H1111" s="52"/>
      <c r="I1111" s="52"/>
    </row>
    <row r="1112" customFormat="false" ht="15" hidden="false" customHeight="false" outlineLevel="0" collapsed="false">
      <c r="A1112" s="50"/>
      <c r="B1112" s="51" t="str">
        <f aca="false">IF(A1112="","",MONTH(A1112))</f>
        <v/>
      </c>
      <c r="C1112" s="52"/>
      <c r="D1112" s="52"/>
      <c r="E1112" s="52"/>
      <c r="F1112" s="52"/>
      <c r="G1112" s="55" t="str">
        <f aca="false">IF(C1112="","",IFERROR(INDEX('DANH MỤC'!$B$5:$B$200,MATCH(C1112,'DANH MỤC'!$A$5:$A$200,0)),"⚠ Mã chưa có trong DANH MỤC"))</f>
        <v/>
      </c>
      <c r="H1112" s="52"/>
      <c r="I1112" s="52"/>
    </row>
    <row r="1113" customFormat="false" ht="15" hidden="false" customHeight="false" outlineLevel="0" collapsed="false">
      <c r="A1113" s="50"/>
      <c r="B1113" s="51" t="str">
        <f aca="false">IF(A1113="","",MONTH(A1113))</f>
        <v/>
      </c>
      <c r="C1113" s="52"/>
      <c r="D1113" s="52"/>
      <c r="E1113" s="52"/>
      <c r="F1113" s="52"/>
      <c r="G1113" s="55" t="str">
        <f aca="false">IF(C1113="","",IFERROR(INDEX('DANH MỤC'!$B$5:$B$200,MATCH(C1113,'DANH MỤC'!$A$5:$A$200,0)),"⚠ Mã chưa có trong DANH MỤC"))</f>
        <v/>
      </c>
      <c r="H1113" s="52"/>
      <c r="I1113" s="52"/>
    </row>
    <row r="1114" customFormat="false" ht="15" hidden="false" customHeight="false" outlineLevel="0" collapsed="false">
      <c r="A1114" s="50"/>
      <c r="B1114" s="51" t="str">
        <f aca="false">IF(A1114="","",MONTH(A1114))</f>
        <v/>
      </c>
      <c r="C1114" s="52"/>
      <c r="D1114" s="52"/>
      <c r="E1114" s="52"/>
      <c r="F1114" s="52"/>
      <c r="G1114" s="55" t="str">
        <f aca="false">IF(C1114="","",IFERROR(INDEX('DANH MỤC'!$B$5:$B$200,MATCH(C1114,'DANH MỤC'!$A$5:$A$200,0)),"⚠ Mã chưa có trong DANH MỤC"))</f>
        <v/>
      </c>
      <c r="H1114" s="52"/>
      <c r="I1114" s="52"/>
    </row>
    <row r="1115" customFormat="false" ht="15" hidden="false" customHeight="false" outlineLevel="0" collapsed="false">
      <c r="A1115" s="50"/>
      <c r="B1115" s="51" t="str">
        <f aca="false">IF(A1115="","",MONTH(A1115))</f>
        <v/>
      </c>
      <c r="C1115" s="52"/>
      <c r="D1115" s="52"/>
      <c r="E1115" s="52"/>
      <c r="F1115" s="52"/>
      <c r="G1115" s="55" t="str">
        <f aca="false">IF(C1115="","",IFERROR(INDEX('DANH MỤC'!$B$5:$B$200,MATCH(C1115,'DANH MỤC'!$A$5:$A$200,0)),"⚠ Mã chưa có trong DANH MỤC"))</f>
        <v/>
      </c>
      <c r="H1115" s="52"/>
      <c r="I1115" s="52"/>
    </row>
    <row r="1116" customFormat="false" ht="15" hidden="false" customHeight="false" outlineLevel="0" collapsed="false">
      <c r="A1116" s="50"/>
      <c r="B1116" s="51" t="str">
        <f aca="false">IF(A1116="","",MONTH(A1116))</f>
        <v/>
      </c>
      <c r="C1116" s="52"/>
      <c r="D1116" s="52"/>
      <c r="E1116" s="52"/>
      <c r="F1116" s="52"/>
      <c r="G1116" s="55" t="str">
        <f aca="false">IF(C1116="","",IFERROR(INDEX('DANH MỤC'!$B$5:$B$200,MATCH(C1116,'DANH MỤC'!$A$5:$A$200,0)),"⚠ Mã chưa có trong DANH MỤC"))</f>
        <v/>
      </c>
      <c r="H1116" s="52"/>
      <c r="I1116" s="52"/>
    </row>
    <row r="1117" customFormat="false" ht="15" hidden="false" customHeight="false" outlineLevel="0" collapsed="false">
      <c r="A1117" s="50"/>
      <c r="B1117" s="51" t="str">
        <f aca="false">IF(A1117="","",MONTH(A1117))</f>
        <v/>
      </c>
      <c r="C1117" s="52"/>
      <c r="D1117" s="52"/>
      <c r="E1117" s="52"/>
      <c r="F1117" s="52"/>
      <c r="G1117" s="55" t="str">
        <f aca="false">IF(C1117="","",IFERROR(INDEX('DANH MỤC'!$B$5:$B$200,MATCH(C1117,'DANH MỤC'!$A$5:$A$200,0)),"⚠ Mã chưa có trong DANH MỤC"))</f>
        <v/>
      </c>
      <c r="H1117" s="52"/>
      <c r="I1117" s="52"/>
    </row>
    <row r="1118" customFormat="false" ht="15" hidden="false" customHeight="false" outlineLevel="0" collapsed="false">
      <c r="A1118" s="50"/>
      <c r="B1118" s="51" t="str">
        <f aca="false">IF(A1118="","",MONTH(A1118))</f>
        <v/>
      </c>
      <c r="C1118" s="52"/>
      <c r="D1118" s="52"/>
      <c r="E1118" s="52"/>
      <c r="F1118" s="52"/>
      <c r="G1118" s="55" t="str">
        <f aca="false">IF(C1118="","",IFERROR(INDEX('DANH MỤC'!$B$5:$B$200,MATCH(C1118,'DANH MỤC'!$A$5:$A$200,0)),"⚠ Mã chưa có trong DANH MỤC"))</f>
        <v/>
      </c>
      <c r="H1118" s="52"/>
      <c r="I1118" s="52"/>
    </row>
    <row r="1119" customFormat="false" ht="15" hidden="false" customHeight="false" outlineLevel="0" collapsed="false">
      <c r="A1119" s="50"/>
      <c r="B1119" s="51" t="str">
        <f aca="false">IF(A1119="","",MONTH(A1119))</f>
        <v/>
      </c>
      <c r="C1119" s="52"/>
      <c r="D1119" s="52"/>
      <c r="E1119" s="52"/>
      <c r="F1119" s="52"/>
      <c r="G1119" s="55" t="str">
        <f aca="false">IF(C1119="","",IFERROR(INDEX('DANH MỤC'!$B$5:$B$200,MATCH(C1119,'DANH MỤC'!$A$5:$A$200,0)),"⚠ Mã chưa có trong DANH MỤC"))</f>
        <v/>
      </c>
      <c r="H1119" s="52"/>
      <c r="I1119" s="52"/>
    </row>
    <row r="1120" customFormat="false" ht="15" hidden="false" customHeight="false" outlineLevel="0" collapsed="false">
      <c r="A1120" s="50"/>
      <c r="B1120" s="51" t="str">
        <f aca="false">IF(A1120="","",MONTH(A1120))</f>
        <v/>
      </c>
      <c r="C1120" s="52"/>
      <c r="D1120" s="52"/>
      <c r="E1120" s="52"/>
      <c r="F1120" s="52"/>
      <c r="G1120" s="55" t="str">
        <f aca="false">IF(C1120="","",IFERROR(INDEX('DANH MỤC'!$B$5:$B$200,MATCH(C1120,'DANH MỤC'!$A$5:$A$200,0)),"⚠ Mã chưa có trong DANH MỤC"))</f>
        <v/>
      </c>
      <c r="H1120" s="52"/>
      <c r="I1120" s="52"/>
    </row>
    <row r="1121" customFormat="false" ht="15" hidden="false" customHeight="false" outlineLevel="0" collapsed="false">
      <c r="A1121" s="50"/>
      <c r="B1121" s="51" t="str">
        <f aca="false">IF(A1121="","",MONTH(A1121))</f>
        <v/>
      </c>
      <c r="C1121" s="52"/>
      <c r="D1121" s="52"/>
      <c r="E1121" s="52"/>
      <c r="F1121" s="52"/>
      <c r="G1121" s="55" t="str">
        <f aca="false">IF(C1121="","",IFERROR(INDEX('DANH MỤC'!$B$5:$B$200,MATCH(C1121,'DANH MỤC'!$A$5:$A$200,0)),"⚠ Mã chưa có trong DANH MỤC"))</f>
        <v/>
      </c>
      <c r="H1121" s="52"/>
      <c r="I1121" s="52"/>
    </row>
    <row r="1122" customFormat="false" ht="15" hidden="false" customHeight="false" outlineLevel="0" collapsed="false">
      <c r="A1122" s="50"/>
      <c r="B1122" s="51" t="str">
        <f aca="false">IF(A1122="","",MONTH(A1122))</f>
        <v/>
      </c>
      <c r="C1122" s="52"/>
      <c r="D1122" s="52"/>
      <c r="E1122" s="52"/>
      <c r="F1122" s="52"/>
      <c r="G1122" s="55" t="str">
        <f aca="false">IF(C1122="","",IFERROR(INDEX('DANH MỤC'!$B$5:$B$200,MATCH(C1122,'DANH MỤC'!$A$5:$A$200,0)),"⚠ Mã chưa có trong DANH MỤC"))</f>
        <v/>
      </c>
      <c r="H1122" s="52"/>
      <c r="I1122" s="52"/>
    </row>
    <row r="1123" customFormat="false" ht="15" hidden="false" customHeight="false" outlineLevel="0" collapsed="false">
      <c r="A1123" s="50"/>
      <c r="B1123" s="51" t="str">
        <f aca="false">IF(A1123="","",MONTH(A1123))</f>
        <v/>
      </c>
      <c r="C1123" s="52"/>
      <c r="D1123" s="52"/>
      <c r="E1123" s="52"/>
      <c r="F1123" s="52"/>
      <c r="G1123" s="55" t="str">
        <f aca="false">IF(C1123="","",IFERROR(INDEX('DANH MỤC'!$B$5:$B$200,MATCH(C1123,'DANH MỤC'!$A$5:$A$200,0)),"⚠ Mã chưa có trong DANH MỤC"))</f>
        <v/>
      </c>
      <c r="H1123" s="52"/>
      <c r="I1123" s="52"/>
    </row>
    <row r="1124" customFormat="false" ht="15" hidden="false" customHeight="false" outlineLevel="0" collapsed="false">
      <c r="A1124" s="50"/>
      <c r="B1124" s="51" t="str">
        <f aca="false">IF(A1124="","",MONTH(A1124))</f>
        <v/>
      </c>
      <c r="C1124" s="52"/>
      <c r="D1124" s="52"/>
      <c r="E1124" s="52"/>
      <c r="F1124" s="52"/>
      <c r="G1124" s="55" t="str">
        <f aca="false">IF(C1124="","",IFERROR(INDEX('DANH MỤC'!$B$5:$B$200,MATCH(C1124,'DANH MỤC'!$A$5:$A$200,0)),"⚠ Mã chưa có trong DANH MỤC"))</f>
        <v/>
      </c>
      <c r="H1124" s="52"/>
      <c r="I1124" s="52"/>
    </row>
    <row r="1125" customFormat="false" ht="15" hidden="false" customHeight="false" outlineLevel="0" collapsed="false">
      <c r="A1125" s="50"/>
      <c r="B1125" s="51" t="str">
        <f aca="false">IF(A1125="","",MONTH(A1125))</f>
        <v/>
      </c>
      <c r="C1125" s="52"/>
      <c r="D1125" s="52"/>
      <c r="E1125" s="52"/>
      <c r="F1125" s="52"/>
      <c r="G1125" s="55" t="str">
        <f aca="false">IF(C1125="","",IFERROR(INDEX('DANH MỤC'!$B$5:$B$200,MATCH(C1125,'DANH MỤC'!$A$5:$A$200,0)),"⚠ Mã chưa có trong DANH MỤC"))</f>
        <v/>
      </c>
      <c r="H1125" s="52"/>
      <c r="I1125" s="52"/>
    </row>
    <row r="1126" customFormat="false" ht="15" hidden="false" customHeight="false" outlineLevel="0" collapsed="false">
      <c r="A1126" s="50"/>
      <c r="B1126" s="51" t="str">
        <f aca="false">IF(A1126="","",MONTH(A1126))</f>
        <v/>
      </c>
      <c r="C1126" s="52"/>
      <c r="D1126" s="52"/>
      <c r="E1126" s="52"/>
      <c r="F1126" s="52"/>
      <c r="G1126" s="55" t="str">
        <f aca="false">IF(C1126="","",IFERROR(INDEX('DANH MỤC'!$B$5:$B$200,MATCH(C1126,'DANH MỤC'!$A$5:$A$200,0)),"⚠ Mã chưa có trong DANH MỤC"))</f>
        <v/>
      </c>
      <c r="H1126" s="52"/>
      <c r="I1126" s="52"/>
    </row>
    <row r="1127" customFormat="false" ht="15" hidden="false" customHeight="false" outlineLevel="0" collapsed="false">
      <c r="A1127" s="50"/>
      <c r="B1127" s="51" t="str">
        <f aca="false">IF(A1127="","",MONTH(A1127))</f>
        <v/>
      </c>
      <c r="C1127" s="52"/>
      <c r="D1127" s="52"/>
      <c r="E1127" s="52"/>
      <c r="F1127" s="52"/>
      <c r="G1127" s="55" t="str">
        <f aca="false">IF(C1127="","",IFERROR(INDEX('DANH MỤC'!$B$5:$B$200,MATCH(C1127,'DANH MỤC'!$A$5:$A$200,0)),"⚠ Mã chưa có trong DANH MỤC"))</f>
        <v/>
      </c>
      <c r="H1127" s="52"/>
      <c r="I1127" s="52"/>
    </row>
    <row r="1128" customFormat="false" ht="15" hidden="false" customHeight="false" outlineLevel="0" collapsed="false">
      <c r="A1128" s="50"/>
      <c r="B1128" s="51" t="str">
        <f aca="false">IF(A1128="","",MONTH(A1128))</f>
        <v/>
      </c>
      <c r="C1128" s="52"/>
      <c r="D1128" s="52"/>
      <c r="E1128" s="52"/>
      <c r="F1128" s="52"/>
      <c r="G1128" s="55" t="str">
        <f aca="false">IF(C1128="","",IFERROR(INDEX('DANH MỤC'!$B$5:$B$200,MATCH(C1128,'DANH MỤC'!$A$5:$A$200,0)),"⚠ Mã chưa có trong DANH MỤC"))</f>
        <v/>
      </c>
      <c r="H1128" s="52"/>
      <c r="I1128" s="52"/>
    </row>
    <row r="1129" customFormat="false" ht="15" hidden="false" customHeight="false" outlineLevel="0" collapsed="false">
      <c r="A1129" s="50"/>
      <c r="B1129" s="51" t="str">
        <f aca="false">IF(A1129="","",MONTH(A1129))</f>
        <v/>
      </c>
      <c r="C1129" s="52"/>
      <c r="D1129" s="52"/>
      <c r="E1129" s="52"/>
      <c r="F1129" s="52"/>
      <c r="G1129" s="55" t="str">
        <f aca="false">IF(C1129="","",IFERROR(INDEX('DANH MỤC'!$B$5:$B$200,MATCH(C1129,'DANH MỤC'!$A$5:$A$200,0)),"⚠ Mã chưa có trong DANH MỤC"))</f>
        <v/>
      </c>
      <c r="H1129" s="52"/>
      <c r="I1129" s="52"/>
    </row>
    <row r="1130" customFormat="false" ht="15" hidden="false" customHeight="false" outlineLevel="0" collapsed="false">
      <c r="A1130" s="50"/>
      <c r="B1130" s="51" t="str">
        <f aca="false">IF(A1130="","",MONTH(A1130))</f>
        <v/>
      </c>
      <c r="C1130" s="52"/>
      <c r="D1130" s="52"/>
      <c r="E1130" s="52"/>
      <c r="F1130" s="52"/>
      <c r="G1130" s="55" t="str">
        <f aca="false">IF(C1130="","",IFERROR(INDEX('DANH MỤC'!$B$5:$B$200,MATCH(C1130,'DANH MỤC'!$A$5:$A$200,0)),"⚠ Mã chưa có trong DANH MỤC"))</f>
        <v/>
      </c>
      <c r="H1130" s="52"/>
      <c r="I1130" s="52"/>
    </row>
    <row r="1131" customFormat="false" ht="15" hidden="false" customHeight="false" outlineLevel="0" collapsed="false">
      <c r="A1131" s="50"/>
      <c r="B1131" s="51" t="str">
        <f aca="false">IF(A1131="","",MONTH(A1131))</f>
        <v/>
      </c>
      <c r="C1131" s="52"/>
      <c r="D1131" s="52"/>
      <c r="E1131" s="52"/>
      <c r="F1131" s="52"/>
      <c r="G1131" s="55" t="str">
        <f aca="false">IF(C1131="","",IFERROR(INDEX('DANH MỤC'!$B$5:$B$200,MATCH(C1131,'DANH MỤC'!$A$5:$A$200,0)),"⚠ Mã chưa có trong DANH MỤC"))</f>
        <v/>
      </c>
      <c r="H1131" s="52"/>
      <c r="I1131" s="52"/>
    </row>
    <row r="1132" customFormat="false" ht="15" hidden="false" customHeight="false" outlineLevel="0" collapsed="false">
      <c r="A1132" s="50"/>
      <c r="B1132" s="51" t="str">
        <f aca="false">IF(A1132="","",MONTH(A1132))</f>
        <v/>
      </c>
      <c r="C1132" s="52"/>
      <c r="D1132" s="52"/>
      <c r="E1132" s="52"/>
      <c r="F1132" s="52"/>
      <c r="G1132" s="55" t="str">
        <f aca="false">IF(C1132="","",IFERROR(INDEX('DANH MỤC'!$B$5:$B$200,MATCH(C1132,'DANH MỤC'!$A$5:$A$200,0)),"⚠ Mã chưa có trong DANH MỤC"))</f>
        <v/>
      </c>
      <c r="H1132" s="52"/>
      <c r="I1132" s="52"/>
    </row>
    <row r="1133" customFormat="false" ht="15" hidden="false" customHeight="false" outlineLevel="0" collapsed="false">
      <c r="A1133" s="50"/>
      <c r="B1133" s="51" t="str">
        <f aca="false">IF(A1133="","",MONTH(A1133))</f>
        <v/>
      </c>
      <c r="C1133" s="52"/>
      <c r="D1133" s="52"/>
      <c r="E1133" s="52"/>
      <c r="F1133" s="52"/>
      <c r="G1133" s="55" t="str">
        <f aca="false">IF(C1133="","",IFERROR(INDEX('DANH MỤC'!$B$5:$B$200,MATCH(C1133,'DANH MỤC'!$A$5:$A$200,0)),"⚠ Mã chưa có trong DANH MỤC"))</f>
        <v/>
      </c>
      <c r="H1133" s="52"/>
      <c r="I1133" s="52"/>
    </row>
    <row r="1134" customFormat="false" ht="15" hidden="false" customHeight="false" outlineLevel="0" collapsed="false">
      <c r="A1134" s="50"/>
      <c r="B1134" s="51" t="str">
        <f aca="false">IF(A1134="","",MONTH(A1134))</f>
        <v/>
      </c>
      <c r="C1134" s="52"/>
      <c r="D1134" s="52"/>
      <c r="E1134" s="52"/>
      <c r="F1134" s="52"/>
      <c r="G1134" s="55" t="str">
        <f aca="false">IF(C1134="","",IFERROR(INDEX('DANH MỤC'!$B$5:$B$200,MATCH(C1134,'DANH MỤC'!$A$5:$A$200,0)),"⚠ Mã chưa có trong DANH MỤC"))</f>
        <v/>
      </c>
      <c r="H1134" s="52"/>
      <c r="I1134" s="52"/>
    </row>
    <row r="1135" customFormat="false" ht="15" hidden="false" customHeight="false" outlineLevel="0" collapsed="false">
      <c r="A1135" s="50"/>
      <c r="B1135" s="51" t="str">
        <f aca="false">IF(A1135="","",MONTH(A1135))</f>
        <v/>
      </c>
      <c r="C1135" s="52"/>
      <c r="D1135" s="52"/>
      <c r="E1135" s="52"/>
      <c r="F1135" s="52"/>
      <c r="G1135" s="55" t="str">
        <f aca="false">IF(C1135="","",IFERROR(INDEX('DANH MỤC'!$B$5:$B$200,MATCH(C1135,'DANH MỤC'!$A$5:$A$200,0)),"⚠ Mã chưa có trong DANH MỤC"))</f>
        <v/>
      </c>
      <c r="H1135" s="52"/>
      <c r="I1135" s="52"/>
    </row>
    <row r="1136" customFormat="false" ht="15" hidden="false" customHeight="false" outlineLevel="0" collapsed="false">
      <c r="A1136" s="50"/>
      <c r="B1136" s="51" t="str">
        <f aca="false">IF(A1136="","",MONTH(A1136))</f>
        <v/>
      </c>
      <c r="C1136" s="52"/>
      <c r="D1136" s="52"/>
      <c r="E1136" s="52"/>
      <c r="F1136" s="52"/>
      <c r="G1136" s="55" t="str">
        <f aca="false">IF(C1136="","",IFERROR(INDEX('DANH MỤC'!$B$5:$B$200,MATCH(C1136,'DANH MỤC'!$A$5:$A$200,0)),"⚠ Mã chưa có trong DANH MỤC"))</f>
        <v/>
      </c>
      <c r="H1136" s="52"/>
      <c r="I1136" s="52"/>
    </row>
    <row r="1137" customFormat="false" ht="15" hidden="false" customHeight="false" outlineLevel="0" collapsed="false">
      <c r="A1137" s="50"/>
      <c r="B1137" s="51" t="str">
        <f aca="false">IF(A1137="","",MONTH(A1137))</f>
        <v/>
      </c>
      <c r="C1137" s="52"/>
      <c r="D1137" s="52"/>
      <c r="E1137" s="52"/>
      <c r="F1137" s="52"/>
      <c r="G1137" s="55" t="str">
        <f aca="false">IF(C1137="","",IFERROR(INDEX('DANH MỤC'!$B$5:$B$200,MATCH(C1137,'DANH MỤC'!$A$5:$A$200,0)),"⚠ Mã chưa có trong DANH MỤC"))</f>
        <v/>
      </c>
      <c r="H1137" s="52"/>
      <c r="I1137" s="52"/>
    </row>
    <row r="1138" customFormat="false" ht="15" hidden="false" customHeight="false" outlineLevel="0" collapsed="false">
      <c r="A1138" s="50"/>
      <c r="B1138" s="51" t="str">
        <f aca="false">IF(A1138="","",MONTH(A1138))</f>
        <v/>
      </c>
      <c r="C1138" s="52"/>
      <c r="D1138" s="52"/>
      <c r="E1138" s="52"/>
      <c r="F1138" s="52"/>
      <c r="G1138" s="55" t="str">
        <f aca="false">IF(C1138="","",IFERROR(INDEX('DANH MỤC'!$B$5:$B$200,MATCH(C1138,'DANH MỤC'!$A$5:$A$200,0)),"⚠ Mã chưa có trong DANH MỤC"))</f>
        <v/>
      </c>
      <c r="H1138" s="52"/>
      <c r="I1138" s="52"/>
    </row>
    <row r="1139" customFormat="false" ht="15" hidden="false" customHeight="false" outlineLevel="0" collapsed="false">
      <c r="A1139" s="50"/>
      <c r="B1139" s="51" t="str">
        <f aca="false">IF(A1139="","",MONTH(A1139))</f>
        <v/>
      </c>
      <c r="C1139" s="52"/>
      <c r="D1139" s="52"/>
      <c r="E1139" s="52"/>
      <c r="F1139" s="52"/>
      <c r="G1139" s="55" t="str">
        <f aca="false">IF(C1139="","",IFERROR(INDEX('DANH MỤC'!$B$5:$B$200,MATCH(C1139,'DANH MỤC'!$A$5:$A$200,0)),"⚠ Mã chưa có trong DANH MỤC"))</f>
        <v/>
      </c>
      <c r="H1139" s="52"/>
      <c r="I1139" s="52"/>
    </row>
    <row r="1140" customFormat="false" ht="15" hidden="false" customHeight="false" outlineLevel="0" collapsed="false">
      <c r="A1140" s="50"/>
      <c r="B1140" s="51" t="str">
        <f aca="false">IF(A1140="","",MONTH(A1140))</f>
        <v/>
      </c>
      <c r="C1140" s="52"/>
      <c r="D1140" s="52"/>
      <c r="E1140" s="52"/>
      <c r="F1140" s="52"/>
      <c r="G1140" s="55" t="str">
        <f aca="false">IF(C1140="","",IFERROR(INDEX('DANH MỤC'!$B$5:$B$200,MATCH(C1140,'DANH MỤC'!$A$5:$A$200,0)),"⚠ Mã chưa có trong DANH MỤC"))</f>
        <v/>
      </c>
      <c r="H1140" s="52"/>
      <c r="I1140" s="52"/>
    </row>
    <row r="1141" customFormat="false" ht="15" hidden="false" customHeight="false" outlineLevel="0" collapsed="false">
      <c r="A1141" s="50"/>
      <c r="B1141" s="51" t="str">
        <f aca="false">IF(A1141="","",MONTH(A1141))</f>
        <v/>
      </c>
      <c r="C1141" s="52"/>
      <c r="D1141" s="52"/>
      <c r="E1141" s="52"/>
      <c r="F1141" s="52"/>
      <c r="G1141" s="55" t="str">
        <f aca="false">IF(C1141="","",IFERROR(INDEX('DANH MỤC'!$B$5:$B$200,MATCH(C1141,'DANH MỤC'!$A$5:$A$200,0)),"⚠ Mã chưa có trong DANH MỤC"))</f>
        <v/>
      </c>
      <c r="H1141" s="52"/>
      <c r="I1141" s="52"/>
    </row>
    <row r="1142" customFormat="false" ht="15" hidden="false" customHeight="false" outlineLevel="0" collapsed="false">
      <c r="A1142" s="50"/>
      <c r="B1142" s="51" t="str">
        <f aca="false">IF(A1142="","",MONTH(A1142))</f>
        <v/>
      </c>
      <c r="C1142" s="52"/>
      <c r="D1142" s="52"/>
      <c r="E1142" s="52"/>
      <c r="F1142" s="52"/>
      <c r="G1142" s="55" t="str">
        <f aca="false">IF(C1142="","",IFERROR(INDEX('DANH MỤC'!$B$5:$B$200,MATCH(C1142,'DANH MỤC'!$A$5:$A$200,0)),"⚠ Mã chưa có trong DANH MỤC"))</f>
        <v/>
      </c>
      <c r="H1142" s="52"/>
      <c r="I1142" s="52"/>
    </row>
    <row r="1143" customFormat="false" ht="15" hidden="false" customHeight="false" outlineLevel="0" collapsed="false">
      <c r="A1143" s="50"/>
      <c r="B1143" s="51" t="str">
        <f aca="false">IF(A1143="","",MONTH(A1143))</f>
        <v/>
      </c>
      <c r="C1143" s="52"/>
      <c r="D1143" s="52"/>
      <c r="E1143" s="52"/>
      <c r="F1143" s="52"/>
      <c r="G1143" s="55" t="str">
        <f aca="false">IF(C1143="","",IFERROR(INDEX('DANH MỤC'!$B$5:$B$200,MATCH(C1143,'DANH MỤC'!$A$5:$A$200,0)),"⚠ Mã chưa có trong DANH MỤC"))</f>
        <v/>
      </c>
      <c r="H1143" s="52"/>
      <c r="I1143" s="52"/>
    </row>
    <row r="1144" customFormat="false" ht="15" hidden="false" customHeight="false" outlineLevel="0" collapsed="false">
      <c r="A1144" s="50"/>
      <c r="B1144" s="51" t="str">
        <f aca="false">IF(A1144="","",MONTH(A1144))</f>
        <v/>
      </c>
      <c r="C1144" s="52"/>
      <c r="D1144" s="52"/>
      <c r="E1144" s="52"/>
      <c r="F1144" s="52"/>
      <c r="G1144" s="55" t="str">
        <f aca="false">IF(C1144="","",IFERROR(INDEX('DANH MỤC'!$B$5:$B$200,MATCH(C1144,'DANH MỤC'!$A$5:$A$200,0)),"⚠ Mã chưa có trong DANH MỤC"))</f>
        <v/>
      </c>
      <c r="H1144" s="52"/>
      <c r="I1144" s="52"/>
    </row>
    <row r="1145" customFormat="false" ht="15" hidden="false" customHeight="false" outlineLevel="0" collapsed="false">
      <c r="A1145" s="50"/>
      <c r="B1145" s="51" t="str">
        <f aca="false">IF(A1145="","",MONTH(A1145))</f>
        <v/>
      </c>
      <c r="C1145" s="52"/>
      <c r="D1145" s="52"/>
      <c r="E1145" s="52"/>
      <c r="F1145" s="52"/>
      <c r="G1145" s="55" t="str">
        <f aca="false">IF(C1145="","",IFERROR(INDEX('DANH MỤC'!$B$5:$B$200,MATCH(C1145,'DANH MỤC'!$A$5:$A$200,0)),"⚠ Mã chưa có trong DANH MỤC"))</f>
        <v/>
      </c>
      <c r="H1145" s="52"/>
      <c r="I1145" s="52"/>
    </row>
    <row r="1146" customFormat="false" ht="15" hidden="false" customHeight="false" outlineLevel="0" collapsed="false">
      <c r="A1146" s="50"/>
      <c r="B1146" s="51" t="str">
        <f aca="false">IF(A1146="","",MONTH(A1146))</f>
        <v/>
      </c>
      <c r="C1146" s="52"/>
      <c r="D1146" s="52"/>
      <c r="E1146" s="52"/>
      <c r="F1146" s="52"/>
      <c r="G1146" s="55" t="str">
        <f aca="false">IF(C1146="","",IFERROR(INDEX('DANH MỤC'!$B$5:$B$200,MATCH(C1146,'DANH MỤC'!$A$5:$A$200,0)),"⚠ Mã chưa có trong DANH MỤC"))</f>
        <v/>
      </c>
      <c r="H1146" s="52"/>
      <c r="I1146" s="52"/>
    </row>
    <row r="1147" customFormat="false" ht="15" hidden="false" customHeight="false" outlineLevel="0" collapsed="false">
      <c r="A1147" s="50"/>
      <c r="B1147" s="51" t="str">
        <f aca="false">IF(A1147="","",MONTH(A1147))</f>
        <v/>
      </c>
      <c r="C1147" s="52"/>
      <c r="D1147" s="52"/>
      <c r="E1147" s="52"/>
      <c r="F1147" s="52"/>
      <c r="G1147" s="55" t="str">
        <f aca="false">IF(C1147="","",IFERROR(INDEX('DANH MỤC'!$B$5:$B$200,MATCH(C1147,'DANH MỤC'!$A$5:$A$200,0)),"⚠ Mã chưa có trong DANH MỤC"))</f>
        <v/>
      </c>
      <c r="H1147" s="52"/>
      <c r="I1147" s="52"/>
    </row>
    <row r="1148" customFormat="false" ht="15" hidden="false" customHeight="false" outlineLevel="0" collapsed="false">
      <c r="A1148" s="50"/>
      <c r="B1148" s="51" t="str">
        <f aca="false">IF(A1148="","",MONTH(A1148))</f>
        <v/>
      </c>
      <c r="C1148" s="52"/>
      <c r="D1148" s="52"/>
      <c r="E1148" s="52"/>
      <c r="F1148" s="52"/>
      <c r="G1148" s="55" t="str">
        <f aca="false">IF(C1148="","",IFERROR(INDEX('DANH MỤC'!$B$5:$B$200,MATCH(C1148,'DANH MỤC'!$A$5:$A$200,0)),"⚠ Mã chưa có trong DANH MỤC"))</f>
        <v/>
      </c>
      <c r="H1148" s="52"/>
      <c r="I1148" s="52"/>
    </row>
    <row r="1149" customFormat="false" ht="15" hidden="false" customHeight="false" outlineLevel="0" collapsed="false">
      <c r="A1149" s="50"/>
      <c r="B1149" s="51" t="str">
        <f aca="false">IF(A1149="","",MONTH(A1149))</f>
        <v/>
      </c>
      <c r="C1149" s="52"/>
      <c r="D1149" s="52"/>
      <c r="E1149" s="52"/>
      <c r="F1149" s="52"/>
      <c r="G1149" s="55" t="str">
        <f aca="false">IF(C1149="","",IFERROR(INDEX('DANH MỤC'!$B$5:$B$200,MATCH(C1149,'DANH MỤC'!$A$5:$A$200,0)),"⚠ Mã chưa có trong DANH MỤC"))</f>
        <v/>
      </c>
      <c r="H1149" s="52"/>
      <c r="I1149" s="52"/>
    </row>
    <row r="1150" customFormat="false" ht="15" hidden="false" customHeight="false" outlineLevel="0" collapsed="false">
      <c r="A1150" s="50"/>
      <c r="B1150" s="51" t="str">
        <f aca="false">IF(A1150="","",MONTH(A1150))</f>
        <v/>
      </c>
      <c r="C1150" s="52"/>
      <c r="D1150" s="52"/>
      <c r="E1150" s="52"/>
      <c r="F1150" s="52"/>
      <c r="G1150" s="55" t="str">
        <f aca="false">IF(C1150="","",IFERROR(INDEX('DANH MỤC'!$B$5:$B$200,MATCH(C1150,'DANH MỤC'!$A$5:$A$200,0)),"⚠ Mã chưa có trong DANH MỤC"))</f>
        <v/>
      </c>
      <c r="H1150" s="52"/>
      <c r="I1150" s="52"/>
    </row>
    <row r="1151" customFormat="false" ht="15" hidden="false" customHeight="false" outlineLevel="0" collapsed="false">
      <c r="A1151" s="50"/>
      <c r="B1151" s="51" t="str">
        <f aca="false">IF(A1151="","",MONTH(A1151))</f>
        <v/>
      </c>
      <c r="C1151" s="52"/>
      <c r="D1151" s="52"/>
      <c r="E1151" s="52"/>
      <c r="F1151" s="52"/>
      <c r="G1151" s="55" t="str">
        <f aca="false">IF(C1151="","",IFERROR(INDEX('DANH MỤC'!$B$5:$B$200,MATCH(C1151,'DANH MỤC'!$A$5:$A$200,0)),"⚠ Mã chưa có trong DANH MỤC"))</f>
        <v/>
      </c>
      <c r="H1151" s="52"/>
      <c r="I1151" s="52"/>
    </row>
    <row r="1152" customFormat="false" ht="15" hidden="false" customHeight="false" outlineLevel="0" collapsed="false">
      <c r="A1152" s="50"/>
      <c r="B1152" s="51" t="str">
        <f aca="false">IF(A1152="","",MONTH(A1152))</f>
        <v/>
      </c>
      <c r="C1152" s="52"/>
      <c r="D1152" s="52"/>
      <c r="E1152" s="52"/>
      <c r="F1152" s="52"/>
      <c r="G1152" s="55" t="str">
        <f aca="false">IF(C1152="","",IFERROR(INDEX('DANH MỤC'!$B$5:$B$200,MATCH(C1152,'DANH MỤC'!$A$5:$A$200,0)),"⚠ Mã chưa có trong DANH MỤC"))</f>
        <v/>
      </c>
      <c r="H1152" s="52"/>
      <c r="I1152" s="52"/>
    </row>
    <row r="1153" customFormat="false" ht="15" hidden="false" customHeight="false" outlineLevel="0" collapsed="false">
      <c r="A1153" s="50"/>
      <c r="B1153" s="51" t="str">
        <f aca="false">IF(A1153="","",MONTH(A1153))</f>
        <v/>
      </c>
      <c r="C1153" s="52"/>
      <c r="D1153" s="52"/>
      <c r="E1153" s="52"/>
      <c r="F1153" s="52"/>
      <c r="G1153" s="55" t="str">
        <f aca="false">IF(C1153="","",IFERROR(INDEX('DANH MỤC'!$B$5:$B$200,MATCH(C1153,'DANH MỤC'!$A$5:$A$200,0)),"⚠ Mã chưa có trong DANH MỤC"))</f>
        <v/>
      </c>
      <c r="H1153" s="52"/>
      <c r="I1153" s="52"/>
    </row>
    <row r="1154" customFormat="false" ht="15" hidden="false" customHeight="false" outlineLevel="0" collapsed="false">
      <c r="A1154" s="50"/>
      <c r="B1154" s="51" t="str">
        <f aca="false">IF(A1154="","",MONTH(A1154))</f>
        <v/>
      </c>
      <c r="C1154" s="52"/>
      <c r="D1154" s="52"/>
      <c r="E1154" s="52"/>
      <c r="F1154" s="52"/>
      <c r="G1154" s="55" t="str">
        <f aca="false">IF(C1154="","",IFERROR(INDEX('DANH MỤC'!$B$5:$B$200,MATCH(C1154,'DANH MỤC'!$A$5:$A$200,0)),"⚠ Mã chưa có trong DANH MỤC"))</f>
        <v/>
      </c>
      <c r="H1154" s="52"/>
      <c r="I1154" s="52"/>
    </row>
    <row r="1155" customFormat="false" ht="15" hidden="false" customHeight="false" outlineLevel="0" collapsed="false">
      <c r="A1155" s="50"/>
      <c r="B1155" s="51" t="str">
        <f aca="false">IF(A1155="","",MONTH(A1155))</f>
        <v/>
      </c>
      <c r="C1155" s="52"/>
      <c r="D1155" s="52"/>
      <c r="E1155" s="52"/>
      <c r="F1155" s="52"/>
      <c r="G1155" s="55" t="str">
        <f aca="false">IF(C1155="","",IFERROR(INDEX('DANH MỤC'!$B$5:$B$200,MATCH(C1155,'DANH MỤC'!$A$5:$A$200,0)),"⚠ Mã chưa có trong DANH MỤC"))</f>
        <v/>
      </c>
      <c r="H1155" s="52"/>
      <c r="I1155" s="52"/>
    </row>
    <row r="1156" customFormat="false" ht="15" hidden="false" customHeight="false" outlineLevel="0" collapsed="false">
      <c r="A1156" s="50"/>
      <c r="B1156" s="51" t="str">
        <f aca="false">IF(A1156="","",MONTH(A1156))</f>
        <v/>
      </c>
      <c r="C1156" s="52"/>
      <c r="D1156" s="52"/>
      <c r="E1156" s="52"/>
      <c r="F1156" s="52"/>
      <c r="G1156" s="55" t="str">
        <f aca="false">IF(C1156="","",IFERROR(INDEX('DANH MỤC'!$B$5:$B$200,MATCH(C1156,'DANH MỤC'!$A$5:$A$200,0)),"⚠ Mã chưa có trong DANH MỤC"))</f>
        <v/>
      </c>
      <c r="H1156" s="52"/>
      <c r="I1156" s="52"/>
    </row>
    <row r="1157" customFormat="false" ht="15" hidden="false" customHeight="false" outlineLevel="0" collapsed="false">
      <c r="A1157" s="50"/>
      <c r="B1157" s="51" t="str">
        <f aca="false">IF(A1157="","",MONTH(A1157))</f>
        <v/>
      </c>
      <c r="C1157" s="52"/>
      <c r="D1157" s="52"/>
      <c r="E1157" s="52"/>
      <c r="F1157" s="52"/>
      <c r="G1157" s="55" t="str">
        <f aca="false">IF(C1157="","",IFERROR(INDEX('DANH MỤC'!$B$5:$B$200,MATCH(C1157,'DANH MỤC'!$A$5:$A$200,0)),"⚠ Mã chưa có trong DANH MỤC"))</f>
        <v/>
      </c>
      <c r="H1157" s="52"/>
      <c r="I1157" s="52"/>
    </row>
    <row r="1158" customFormat="false" ht="15" hidden="false" customHeight="false" outlineLevel="0" collapsed="false">
      <c r="A1158" s="50"/>
      <c r="B1158" s="51" t="str">
        <f aca="false">IF(A1158="","",MONTH(A1158))</f>
        <v/>
      </c>
      <c r="C1158" s="52"/>
      <c r="D1158" s="52"/>
      <c r="E1158" s="52"/>
      <c r="F1158" s="52"/>
      <c r="G1158" s="55" t="str">
        <f aca="false">IF(C1158="","",IFERROR(INDEX('DANH MỤC'!$B$5:$B$200,MATCH(C1158,'DANH MỤC'!$A$5:$A$200,0)),"⚠ Mã chưa có trong DANH MỤC"))</f>
        <v/>
      </c>
      <c r="H1158" s="52"/>
      <c r="I1158" s="52"/>
    </row>
    <row r="1159" customFormat="false" ht="15" hidden="false" customHeight="false" outlineLevel="0" collapsed="false">
      <c r="A1159" s="50"/>
      <c r="B1159" s="51" t="str">
        <f aca="false">IF(A1159="","",MONTH(A1159))</f>
        <v/>
      </c>
      <c r="C1159" s="52"/>
      <c r="D1159" s="52"/>
      <c r="E1159" s="52"/>
      <c r="F1159" s="52"/>
      <c r="G1159" s="55" t="str">
        <f aca="false">IF(C1159="","",IFERROR(INDEX('DANH MỤC'!$B$5:$B$200,MATCH(C1159,'DANH MỤC'!$A$5:$A$200,0)),"⚠ Mã chưa có trong DANH MỤC"))</f>
        <v/>
      </c>
      <c r="H1159" s="52"/>
      <c r="I1159" s="52"/>
    </row>
    <row r="1160" customFormat="false" ht="15" hidden="false" customHeight="false" outlineLevel="0" collapsed="false">
      <c r="A1160" s="50"/>
      <c r="B1160" s="51" t="str">
        <f aca="false">IF(A1160="","",MONTH(A1160))</f>
        <v/>
      </c>
      <c r="C1160" s="52"/>
      <c r="D1160" s="52"/>
      <c r="E1160" s="52"/>
      <c r="F1160" s="52"/>
      <c r="G1160" s="55" t="str">
        <f aca="false">IF(C1160="","",IFERROR(INDEX('DANH MỤC'!$B$5:$B$200,MATCH(C1160,'DANH MỤC'!$A$5:$A$200,0)),"⚠ Mã chưa có trong DANH MỤC"))</f>
        <v/>
      </c>
      <c r="H1160" s="52"/>
      <c r="I1160" s="52"/>
    </row>
    <row r="1161" customFormat="false" ht="15" hidden="false" customHeight="false" outlineLevel="0" collapsed="false">
      <c r="A1161" s="50"/>
      <c r="B1161" s="51" t="str">
        <f aca="false">IF(A1161="","",MONTH(A1161))</f>
        <v/>
      </c>
      <c r="C1161" s="52"/>
      <c r="D1161" s="52"/>
      <c r="E1161" s="52"/>
      <c r="F1161" s="52"/>
      <c r="G1161" s="55" t="str">
        <f aca="false">IF(C1161="","",IFERROR(INDEX('DANH MỤC'!$B$5:$B$200,MATCH(C1161,'DANH MỤC'!$A$5:$A$200,0)),"⚠ Mã chưa có trong DANH MỤC"))</f>
        <v/>
      </c>
      <c r="H1161" s="52"/>
      <c r="I1161" s="52"/>
    </row>
    <row r="1162" customFormat="false" ht="15" hidden="false" customHeight="false" outlineLevel="0" collapsed="false">
      <c r="A1162" s="50"/>
      <c r="B1162" s="51" t="str">
        <f aca="false">IF(A1162="","",MONTH(A1162))</f>
        <v/>
      </c>
      <c r="C1162" s="52"/>
      <c r="D1162" s="52"/>
      <c r="E1162" s="52"/>
      <c r="F1162" s="52"/>
      <c r="G1162" s="55" t="str">
        <f aca="false">IF(C1162="","",IFERROR(INDEX('DANH MỤC'!$B$5:$B$200,MATCH(C1162,'DANH MỤC'!$A$5:$A$200,0)),"⚠ Mã chưa có trong DANH MỤC"))</f>
        <v/>
      </c>
      <c r="H1162" s="52"/>
      <c r="I1162" s="52"/>
    </row>
    <row r="1163" customFormat="false" ht="15" hidden="false" customHeight="false" outlineLevel="0" collapsed="false">
      <c r="A1163" s="50"/>
      <c r="B1163" s="51" t="str">
        <f aca="false">IF(A1163="","",MONTH(A1163))</f>
        <v/>
      </c>
      <c r="C1163" s="52"/>
      <c r="D1163" s="52"/>
      <c r="E1163" s="52"/>
      <c r="F1163" s="52"/>
      <c r="G1163" s="55" t="str">
        <f aca="false">IF(C1163="","",IFERROR(INDEX('DANH MỤC'!$B$5:$B$200,MATCH(C1163,'DANH MỤC'!$A$5:$A$200,0)),"⚠ Mã chưa có trong DANH MỤC"))</f>
        <v/>
      </c>
      <c r="H1163" s="52"/>
      <c r="I1163" s="52"/>
    </row>
    <row r="1164" customFormat="false" ht="15" hidden="false" customHeight="false" outlineLevel="0" collapsed="false">
      <c r="A1164" s="50"/>
      <c r="B1164" s="51" t="str">
        <f aca="false">IF(A1164="","",MONTH(A1164))</f>
        <v/>
      </c>
      <c r="C1164" s="52"/>
      <c r="D1164" s="52"/>
      <c r="E1164" s="52"/>
      <c r="F1164" s="52"/>
      <c r="G1164" s="55" t="str">
        <f aca="false">IF(C1164="","",IFERROR(INDEX('DANH MỤC'!$B$5:$B$200,MATCH(C1164,'DANH MỤC'!$A$5:$A$200,0)),"⚠ Mã chưa có trong DANH MỤC"))</f>
        <v/>
      </c>
      <c r="H1164" s="52"/>
      <c r="I1164" s="52"/>
    </row>
    <row r="1165" customFormat="false" ht="15" hidden="false" customHeight="false" outlineLevel="0" collapsed="false">
      <c r="A1165" s="50"/>
      <c r="B1165" s="51" t="str">
        <f aca="false">IF(A1165="","",MONTH(A1165))</f>
        <v/>
      </c>
      <c r="C1165" s="52"/>
      <c r="D1165" s="52"/>
      <c r="E1165" s="52"/>
      <c r="F1165" s="52"/>
      <c r="G1165" s="55" t="str">
        <f aca="false">IF(C1165="","",IFERROR(INDEX('DANH MỤC'!$B$5:$B$200,MATCH(C1165,'DANH MỤC'!$A$5:$A$200,0)),"⚠ Mã chưa có trong DANH MỤC"))</f>
        <v/>
      </c>
      <c r="H1165" s="52"/>
      <c r="I1165" s="52"/>
    </row>
    <row r="1166" customFormat="false" ht="15" hidden="false" customHeight="false" outlineLevel="0" collapsed="false">
      <c r="A1166" s="50"/>
      <c r="B1166" s="51" t="str">
        <f aca="false">IF(A1166="","",MONTH(A1166))</f>
        <v/>
      </c>
      <c r="C1166" s="52"/>
      <c r="D1166" s="52"/>
      <c r="E1166" s="52"/>
      <c r="F1166" s="52"/>
      <c r="G1166" s="55" t="str">
        <f aca="false">IF(C1166="","",IFERROR(INDEX('DANH MỤC'!$B$5:$B$200,MATCH(C1166,'DANH MỤC'!$A$5:$A$200,0)),"⚠ Mã chưa có trong DANH MỤC"))</f>
        <v/>
      </c>
      <c r="H1166" s="52"/>
      <c r="I1166" s="52"/>
    </row>
    <row r="1167" customFormat="false" ht="15" hidden="false" customHeight="false" outlineLevel="0" collapsed="false">
      <c r="A1167" s="50"/>
      <c r="B1167" s="51" t="str">
        <f aca="false">IF(A1167="","",MONTH(A1167))</f>
        <v/>
      </c>
      <c r="C1167" s="52"/>
      <c r="D1167" s="52"/>
      <c r="E1167" s="52"/>
      <c r="F1167" s="52"/>
      <c r="G1167" s="55" t="str">
        <f aca="false">IF(C1167="","",IFERROR(INDEX('DANH MỤC'!$B$5:$B$200,MATCH(C1167,'DANH MỤC'!$A$5:$A$200,0)),"⚠ Mã chưa có trong DANH MỤC"))</f>
        <v/>
      </c>
      <c r="H1167" s="52"/>
      <c r="I1167" s="52"/>
    </row>
    <row r="1168" customFormat="false" ht="15" hidden="false" customHeight="false" outlineLevel="0" collapsed="false">
      <c r="A1168" s="50"/>
      <c r="B1168" s="51" t="str">
        <f aca="false">IF(A1168="","",MONTH(A1168))</f>
        <v/>
      </c>
      <c r="C1168" s="52"/>
      <c r="D1168" s="52"/>
      <c r="E1168" s="52"/>
      <c r="F1168" s="52"/>
      <c r="G1168" s="55" t="str">
        <f aca="false">IF(C1168="","",IFERROR(INDEX('DANH MỤC'!$B$5:$B$200,MATCH(C1168,'DANH MỤC'!$A$5:$A$200,0)),"⚠ Mã chưa có trong DANH MỤC"))</f>
        <v/>
      </c>
      <c r="H1168" s="52"/>
      <c r="I1168" s="52"/>
    </row>
    <row r="1169" customFormat="false" ht="15" hidden="false" customHeight="false" outlineLevel="0" collapsed="false">
      <c r="A1169" s="50"/>
      <c r="B1169" s="51" t="str">
        <f aca="false">IF(A1169="","",MONTH(A1169))</f>
        <v/>
      </c>
      <c r="C1169" s="52"/>
      <c r="D1169" s="52"/>
      <c r="E1169" s="52"/>
      <c r="F1169" s="52"/>
      <c r="G1169" s="55" t="str">
        <f aca="false">IF(C1169="","",IFERROR(INDEX('DANH MỤC'!$B$5:$B$200,MATCH(C1169,'DANH MỤC'!$A$5:$A$200,0)),"⚠ Mã chưa có trong DANH MỤC"))</f>
        <v/>
      </c>
      <c r="H1169" s="52"/>
      <c r="I1169" s="52"/>
    </row>
    <row r="1170" customFormat="false" ht="15" hidden="false" customHeight="false" outlineLevel="0" collapsed="false">
      <c r="A1170" s="50"/>
      <c r="B1170" s="51" t="str">
        <f aca="false">IF(A1170="","",MONTH(A1170))</f>
        <v/>
      </c>
      <c r="C1170" s="52"/>
      <c r="D1170" s="52"/>
      <c r="E1170" s="52"/>
      <c r="F1170" s="52"/>
      <c r="G1170" s="55" t="str">
        <f aca="false">IF(C1170="","",IFERROR(INDEX('DANH MỤC'!$B$5:$B$200,MATCH(C1170,'DANH MỤC'!$A$5:$A$200,0)),"⚠ Mã chưa có trong DANH MỤC"))</f>
        <v/>
      </c>
      <c r="H1170" s="52"/>
      <c r="I1170" s="52"/>
    </row>
    <row r="1171" customFormat="false" ht="15" hidden="false" customHeight="false" outlineLevel="0" collapsed="false">
      <c r="A1171" s="50"/>
      <c r="B1171" s="51" t="str">
        <f aca="false">IF(A1171="","",MONTH(A1171))</f>
        <v/>
      </c>
      <c r="C1171" s="52"/>
      <c r="D1171" s="52"/>
      <c r="E1171" s="52"/>
      <c r="F1171" s="52"/>
      <c r="G1171" s="55" t="str">
        <f aca="false">IF(C1171="","",IFERROR(INDEX('DANH MỤC'!$B$5:$B$200,MATCH(C1171,'DANH MỤC'!$A$5:$A$200,0)),"⚠ Mã chưa có trong DANH MỤC"))</f>
        <v/>
      </c>
      <c r="H1171" s="52"/>
      <c r="I1171" s="52"/>
    </row>
    <row r="1172" customFormat="false" ht="15" hidden="false" customHeight="false" outlineLevel="0" collapsed="false">
      <c r="A1172" s="50"/>
      <c r="B1172" s="51" t="str">
        <f aca="false">IF(A1172="","",MONTH(A1172))</f>
        <v/>
      </c>
      <c r="C1172" s="52"/>
      <c r="D1172" s="52"/>
      <c r="E1172" s="52"/>
      <c r="F1172" s="52"/>
      <c r="G1172" s="55" t="str">
        <f aca="false">IF(C1172="","",IFERROR(INDEX('DANH MỤC'!$B$5:$B$200,MATCH(C1172,'DANH MỤC'!$A$5:$A$200,0)),"⚠ Mã chưa có trong DANH MỤC"))</f>
        <v/>
      </c>
      <c r="H1172" s="52"/>
      <c r="I1172" s="52"/>
    </row>
    <row r="1173" customFormat="false" ht="15" hidden="false" customHeight="false" outlineLevel="0" collapsed="false">
      <c r="A1173" s="50"/>
      <c r="B1173" s="51" t="str">
        <f aca="false">IF(A1173="","",MONTH(A1173))</f>
        <v/>
      </c>
      <c r="C1173" s="52"/>
      <c r="D1173" s="52"/>
      <c r="E1173" s="52"/>
      <c r="F1173" s="52"/>
      <c r="G1173" s="55" t="str">
        <f aca="false">IF(C1173="","",IFERROR(INDEX('DANH MỤC'!$B$5:$B$200,MATCH(C1173,'DANH MỤC'!$A$5:$A$200,0)),"⚠ Mã chưa có trong DANH MỤC"))</f>
        <v/>
      </c>
      <c r="H1173" s="52"/>
      <c r="I1173" s="52"/>
    </row>
    <row r="1174" customFormat="false" ht="15" hidden="false" customHeight="false" outlineLevel="0" collapsed="false">
      <c r="A1174" s="50"/>
      <c r="B1174" s="51" t="str">
        <f aca="false">IF(A1174="","",MONTH(A1174))</f>
        <v/>
      </c>
      <c r="C1174" s="52"/>
      <c r="D1174" s="52"/>
      <c r="E1174" s="52"/>
      <c r="F1174" s="52"/>
      <c r="G1174" s="55" t="str">
        <f aca="false">IF(C1174="","",IFERROR(INDEX('DANH MỤC'!$B$5:$B$200,MATCH(C1174,'DANH MỤC'!$A$5:$A$200,0)),"⚠ Mã chưa có trong DANH MỤC"))</f>
        <v/>
      </c>
      <c r="H1174" s="52"/>
      <c r="I1174" s="52"/>
    </row>
    <row r="1175" customFormat="false" ht="15" hidden="false" customHeight="false" outlineLevel="0" collapsed="false">
      <c r="A1175" s="50"/>
      <c r="B1175" s="51" t="str">
        <f aca="false">IF(A1175="","",MONTH(A1175))</f>
        <v/>
      </c>
      <c r="C1175" s="52"/>
      <c r="D1175" s="52"/>
      <c r="E1175" s="52"/>
      <c r="F1175" s="52"/>
      <c r="G1175" s="55" t="str">
        <f aca="false">IF(C1175="","",IFERROR(INDEX('DANH MỤC'!$B$5:$B$200,MATCH(C1175,'DANH MỤC'!$A$5:$A$200,0)),"⚠ Mã chưa có trong DANH MỤC"))</f>
        <v/>
      </c>
      <c r="H1175" s="52"/>
      <c r="I1175" s="52"/>
    </row>
    <row r="1176" customFormat="false" ht="15" hidden="false" customHeight="false" outlineLevel="0" collapsed="false">
      <c r="A1176" s="50"/>
      <c r="B1176" s="51" t="str">
        <f aca="false">IF(A1176="","",MONTH(A1176))</f>
        <v/>
      </c>
      <c r="C1176" s="52"/>
      <c r="D1176" s="52"/>
      <c r="E1176" s="52"/>
      <c r="F1176" s="52"/>
      <c r="G1176" s="55" t="str">
        <f aca="false">IF(C1176="","",IFERROR(INDEX('DANH MỤC'!$B$5:$B$200,MATCH(C1176,'DANH MỤC'!$A$5:$A$200,0)),"⚠ Mã chưa có trong DANH MỤC"))</f>
        <v/>
      </c>
      <c r="H1176" s="52"/>
      <c r="I1176" s="52"/>
    </row>
    <row r="1177" customFormat="false" ht="15" hidden="false" customHeight="false" outlineLevel="0" collapsed="false">
      <c r="A1177" s="50"/>
      <c r="B1177" s="51" t="str">
        <f aca="false">IF(A1177="","",MONTH(A1177))</f>
        <v/>
      </c>
      <c r="C1177" s="52"/>
      <c r="D1177" s="52"/>
      <c r="E1177" s="52"/>
      <c r="F1177" s="52"/>
      <c r="G1177" s="55" t="str">
        <f aca="false">IF(C1177="","",IFERROR(INDEX('DANH MỤC'!$B$5:$B$200,MATCH(C1177,'DANH MỤC'!$A$5:$A$200,0)),"⚠ Mã chưa có trong DANH MỤC"))</f>
        <v/>
      </c>
      <c r="H1177" s="52"/>
      <c r="I1177" s="52"/>
    </row>
    <row r="1178" customFormat="false" ht="15" hidden="false" customHeight="false" outlineLevel="0" collapsed="false">
      <c r="A1178" s="50"/>
      <c r="B1178" s="51" t="str">
        <f aca="false">IF(A1178="","",MONTH(A1178))</f>
        <v/>
      </c>
      <c r="C1178" s="52"/>
      <c r="D1178" s="52"/>
      <c r="E1178" s="52"/>
      <c r="F1178" s="52"/>
      <c r="G1178" s="55" t="str">
        <f aca="false">IF(C1178="","",IFERROR(INDEX('DANH MỤC'!$B$5:$B$200,MATCH(C1178,'DANH MỤC'!$A$5:$A$200,0)),"⚠ Mã chưa có trong DANH MỤC"))</f>
        <v/>
      </c>
      <c r="H1178" s="52"/>
      <c r="I1178" s="52"/>
    </row>
    <row r="1179" customFormat="false" ht="15" hidden="false" customHeight="false" outlineLevel="0" collapsed="false">
      <c r="A1179" s="50"/>
      <c r="B1179" s="51" t="str">
        <f aca="false">IF(A1179="","",MONTH(A1179))</f>
        <v/>
      </c>
      <c r="C1179" s="52"/>
      <c r="D1179" s="52"/>
      <c r="E1179" s="52"/>
      <c r="F1179" s="52"/>
      <c r="G1179" s="55" t="str">
        <f aca="false">IF(C1179="","",IFERROR(INDEX('DANH MỤC'!$B$5:$B$200,MATCH(C1179,'DANH MỤC'!$A$5:$A$200,0)),"⚠ Mã chưa có trong DANH MỤC"))</f>
        <v/>
      </c>
      <c r="H1179" s="52"/>
      <c r="I1179" s="52"/>
    </row>
    <row r="1180" customFormat="false" ht="15" hidden="false" customHeight="false" outlineLevel="0" collapsed="false">
      <c r="A1180" s="50"/>
      <c r="B1180" s="51" t="str">
        <f aca="false">IF(A1180="","",MONTH(A1180))</f>
        <v/>
      </c>
      <c r="C1180" s="52"/>
      <c r="D1180" s="52"/>
      <c r="E1180" s="52"/>
      <c r="F1180" s="52"/>
      <c r="G1180" s="55" t="str">
        <f aca="false">IF(C1180="","",IFERROR(INDEX('DANH MỤC'!$B$5:$B$200,MATCH(C1180,'DANH MỤC'!$A$5:$A$200,0)),"⚠ Mã chưa có trong DANH MỤC"))</f>
        <v/>
      </c>
      <c r="H1180" s="52"/>
      <c r="I1180" s="52"/>
    </row>
    <row r="1181" customFormat="false" ht="15" hidden="false" customHeight="false" outlineLevel="0" collapsed="false">
      <c r="A1181" s="50"/>
      <c r="B1181" s="51" t="str">
        <f aca="false">IF(A1181="","",MONTH(A1181))</f>
        <v/>
      </c>
      <c r="C1181" s="52"/>
      <c r="D1181" s="52"/>
      <c r="E1181" s="52"/>
      <c r="F1181" s="52"/>
      <c r="G1181" s="55" t="str">
        <f aca="false">IF(C1181="","",IFERROR(INDEX('DANH MỤC'!$B$5:$B$200,MATCH(C1181,'DANH MỤC'!$A$5:$A$200,0)),"⚠ Mã chưa có trong DANH MỤC"))</f>
        <v/>
      </c>
      <c r="H1181" s="52"/>
      <c r="I1181" s="52"/>
    </row>
    <row r="1182" customFormat="false" ht="15" hidden="false" customHeight="false" outlineLevel="0" collapsed="false">
      <c r="A1182" s="50"/>
      <c r="B1182" s="51" t="str">
        <f aca="false">IF(A1182="","",MONTH(A1182))</f>
        <v/>
      </c>
      <c r="C1182" s="52"/>
      <c r="D1182" s="52"/>
      <c r="E1182" s="52"/>
      <c r="F1182" s="52"/>
      <c r="G1182" s="55" t="str">
        <f aca="false">IF(C1182="","",IFERROR(INDEX('DANH MỤC'!$B$5:$B$200,MATCH(C1182,'DANH MỤC'!$A$5:$A$200,0)),"⚠ Mã chưa có trong DANH MỤC"))</f>
        <v/>
      </c>
      <c r="H1182" s="52"/>
      <c r="I1182" s="52"/>
    </row>
    <row r="1183" customFormat="false" ht="15" hidden="false" customHeight="false" outlineLevel="0" collapsed="false">
      <c r="A1183" s="50"/>
      <c r="B1183" s="51" t="str">
        <f aca="false">IF(A1183="","",MONTH(A1183))</f>
        <v/>
      </c>
      <c r="C1183" s="52"/>
      <c r="D1183" s="52"/>
      <c r="E1183" s="52"/>
      <c r="F1183" s="52"/>
      <c r="G1183" s="55" t="str">
        <f aca="false">IF(C1183="","",IFERROR(INDEX('DANH MỤC'!$B$5:$B$200,MATCH(C1183,'DANH MỤC'!$A$5:$A$200,0)),"⚠ Mã chưa có trong DANH MỤC"))</f>
        <v/>
      </c>
      <c r="H1183" s="52"/>
      <c r="I1183" s="52"/>
    </row>
    <row r="1184" customFormat="false" ht="15" hidden="false" customHeight="false" outlineLevel="0" collapsed="false">
      <c r="A1184" s="50"/>
      <c r="B1184" s="51" t="str">
        <f aca="false">IF(A1184="","",MONTH(A1184))</f>
        <v/>
      </c>
      <c r="C1184" s="52"/>
      <c r="D1184" s="52"/>
      <c r="E1184" s="52"/>
      <c r="F1184" s="52"/>
      <c r="G1184" s="55" t="str">
        <f aca="false">IF(C1184="","",IFERROR(INDEX('DANH MỤC'!$B$5:$B$200,MATCH(C1184,'DANH MỤC'!$A$5:$A$200,0)),"⚠ Mã chưa có trong DANH MỤC"))</f>
        <v/>
      </c>
      <c r="H1184" s="52"/>
      <c r="I1184" s="52"/>
    </row>
    <row r="1185" customFormat="false" ht="15" hidden="false" customHeight="false" outlineLevel="0" collapsed="false">
      <c r="A1185" s="50"/>
      <c r="B1185" s="51" t="str">
        <f aca="false">IF(A1185="","",MONTH(A1185))</f>
        <v/>
      </c>
      <c r="C1185" s="52"/>
      <c r="D1185" s="52"/>
      <c r="E1185" s="52"/>
      <c r="F1185" s="52"/>
      <c r="G1185" s="55" t="str">
        <f aca="false">IF(C1185="","",IFERROR(INDEX('DANH MỤC'!$B$5:$B$200,MATCH(C1185,'DANH MỤC'!$A$5:$A$200,0)),"⚠ Mã chưa có trong DANH MỤC"))</f>
        <v/>
      </c>
      <c r="H1185" s="52"/>
      <c r="I1185" s="52"/>
    </row>
    <row r="1186" customFormat="false" ht="15" hidden="false" customHeight="false" outlineLevel="0" collapsed="false">
      <c r="A1186" s="50"/>
      <c r="B1186" s="51" t="str">
        <f aca="false">IF(A1186="","",MONTH(A1186))</f>
        <v/>
      </c>
      <c r="C1186" s="52"/>
      <c r="D1186" s="52"/>
      <c r="E1186" s="52"/>
      <c r="F1186" s="52"/>
      <c r="G1186" s="55" t="str">
        <f aca="false">IF(C1186="","",IFERROR(INDEX('DANH MỤC'!$B$5:$B$200,MATCH(C1186,'DANH MỤC'!$A$5:$A$200,0)),"⚠ Mã chưa có trong DANH MỤC"))</f>
        <v/>
      </c>
      <c r="H1186" s="52"/>
      <c r="I1186" s="52"/>
    </row>
    <row r="1187" customFormat="false" ht="15" hidden="false" customHeight="false" outlineLevel="0" collapsed="false">
      <c r="A1187" s="50"/>
      <c r="B1187" s="51" t="str">
        <f aca="false">IF(A1187="","",MONTH(A1187))</f>
        <v/>
      </c>
      <c r="C1187" s="52"/>
      <c r="D1187" s="52"/>
      <c r="E1187" s="52"/>
      <c r="F1187" s="52"/>
      <c r="G1187" s="55" t="str">
        <f aca="false">IF(C1187="","",IFERROR(INDEX('DANH MỤC'!$B$5:$B$200,MATCH(C1187,'DANH MỤC'!$A$5:$A$200,0)),"⚠ Mã chưa có trong DANH MỤC"))</f>
        <v/>
      </c>
      <c r="H1187" s="52"/>
      <c r="I1187" s="52"/>
    </row>
    <row r="1188" customFormat="false" ht="15" hidden="false" customHeight="false" outlineLevel="0" collapsed="false">
      <c r="A1188" s="50"/>
      <c r="B1188" s="51" t="str">
        <f aca="false">IF(A1188="","",MONTH(A1188))</f>
        <v/>
      </c>
      <c r="C1188" s="52"/>
      <c r="D1188" s="52"/>
      <c r="E1188" s="52"/>
      <c r="F1188" s="52"/>
      <c r="G1188" s="55" t="str">
        <f aca="false">IF(C1188="","",IFERROR(INDEX('DANH MỤC'!$B$5:$B$200,MATCH(C1188,'DANH MỤC'!$A$5:$A$200,0)),"⚠ Mã chưa có trong DANH MỤC"))</f>
        <v/>
      </c>
      <c r="H1188" s="52"/>
      <c r="I1188" s="52"/>
    </row>
    <row r="1189" customFormat="false" ht="15" hidden="false" customHeight="false" outlineLevel="0" collapsed="false">
      <c r="A1189" s="50"/>
      <c r="B1189" s="51" t="str">
        <f aca="false">IF(A1189="","",MONTH(A1189))</f>
        <v/>
      </c>
      <c r="C1189" s="52"/>
      <c r="D1189" s="52"/>
      <c r="E1189" s="52"/>
      <c r="F1189" s="52"/>
      <c r="G1189" s="55" t="str">
        <f aca="false">IF(C1189="","",IFERROR(INDEX('DANH MỤC'!$B$5:$B$200,MATCH(C1189,'DANH MỤC'!$A$5:$A$200,0)),"⚠ Mã chưa có trong DANH MỤC"))</f>
        <v/>
      </c>
      <c r="H1189" s="52"/>
      <c r="I1189" s="52"/>
    </row>
    <row r="1190" customFormat="false" ht="15" hidden="false" customHeight="false" outlineLevel="0" collapsed="false">
      <c r="A1190" s="50"/>
      <c r="B1190" s="51" t="str">
        <f aca="false">IF(A1190="","",MONTH(A1190))</f>
        <v/>
      </c>
      <c r="C1190" s="52"/>
      <c r="D1190" s="52"/>
      <c r="E1190" s="52"/>
      <c r="F1190" s="52"/>
      <c r="G1190" s="55" t="str">
        <f aca="false">IF(C1190="","",IFERROR(INDEX('DANH MỤC'!$B$5:$B$200,MATCH(C1190,'DANH MỤC'!$A$5:$A$200,0)),"⚠ Mã chưa có trong DANH MỤC"))</f>
        <v/>
      </c>
      <c r="H1190" s="52"/>
      <c r="I1190" s="52"/>
    </row>
    <row r="1191" customFormat="false" ht="15" hidden="false" customHeight="false" outlineLevel="0" collapsed="false">
      <c r="A1191" s="50"/>
      <c r="B1191" s="51" t="str">
        <f aca="false">IF(A1191="","",MONTH(A1191))</f>
        <v/>
      </c>
      <c r="C1191" s="52"/>
      <c r="D1191" s="52"/>
      <c r="E1191" s="52"/>
      <c r="F1191" s="52"/>
      <c r="G1191" s="55" t="str">
        <f aca="false">IF(C1191="","",IFERROR(INDEX('DANH MỤC'!$B$5:$B$200,MATCH(C1191,'DANH MỤC'!$A$5:$A$200,0)),"⚠ Mã chưa có trong DANH MỤC"))</f>
        <v/>
      </c>
      <c r="H1191" s="52"/>
      <c r="I1191" s="52"/>
    </row>
    <row r="1192" customFormat="false" ht="15" hidden="false" customHeight="false" outlineLevel="0" collapsed="false">
      <c r="A1192" s="50"/>
      <c r="B1192" s="51" t="str">
        <f aca="false">IF(A1192="","",MONTH(A1192))</f>
        <v/>
      </c>
      <c r="C1192" s="52"/>
      <c r="D1192" s="52"/>
      <c r="E1192" s="52"/>
      <c r="F1192" s="52"/>
      <c r="G1192" s="55" t="str">
        <f aca="false">IF(C1192="","",IFERROR(INDEX('DANH MỤC'!$B$5:$B$200,MATCH(C1192,'DANH MỤC'!$A$5:$A$200,0)),"⚠ Mã chưa có trong DANH MỤC"))</f>
        <v/>
      </c>
      <c r="H1192" s="52"/>
      <c r="I1192" s="52"/>
    </row>
    <row r="1193" customFormat="false" ht="15" hidden="false" customHeight="false" outlineLevel="0" collapsed="false">
      <c r="A1193" s="50"/>
      <c r="B1193" s="51" t="str">
        <f aca="false">IF(A1193="","",MONTH(A1193))</f>
        <v/>
      </c>
      <c r="C1193" s="52"/>
      <c r="D1193" s="52"/>
      <c r="E1193" s="52"/>
      <c r="F1193" s="52"/>
      <c r="G1193" s="55" t="str">
        <f aca="false">IF(C1193="","",IFERROR(INDEX('DANH MỤC'!$B$5:$B$200,MATCH(C1193,'DANH MỤC'!$A$5:$A$200,0)),"⚠ Mã chưa có trong DANH MỤC"))</f>
        <v/>
      </c>
      <c r="H1193" s="52"/>
      <c r="I1193" s="52"/>
    </row>
    <row r="1194" customFormat="false" ht="15" hidden="false" customHeight="false" outlineLevel="0" collapsed="false">
      <c r="A1194" s="50"/>
      <c r="B1194" s="51" t="str">
        <f aca="false">IF(A1194="","",MONTH(A1194))</f>
        <v/>
      </c>
      <c r="C1194" s="52"/>
      <c r="D1194" s="52"/>
      <c r="E1194" s="52"/>
      <c r="F1194" s="52"/>
      <c r="G1194" s="55" t="str">
        <f aca="false">IF(C1194="","",IFERROR(INDEX('DANH MỤC'!$B$5:$B$200,MATCH(C1194,'DANH MỤC'!$A$5:$A$200,0)),"⚠ Mã chưa có trong DANH MỤC"))</f>
        <v/>
      </c>
      <c r="H1194" s="52"/>
      <c r="I1194" s="52"/>
    </row>
    <row r="1195" customFormat="false" ht="15" hidden="false" customHeight="false" outlineLevel="0" collapsed="false">
      <c r="A1195" s="50"/>
      <c r="B1195" s="51" t="str">
        <f aca="false">IF(A1195="","",MONTH(A1195))</f>
        <v/>
      </c>
      <c r="C1195" s="52"/>
      <c r="D1195" s="52"/>
      <c r="E1195" s="52"/>
      <c r="F1195" s="52"/>
      <c r="G1195" s="55" t="str">
        <f aca="false">IF(C1195="","",IFERROR(INDEX('DANH MỤC'!$B$5:$B$200,MATCH(C1195,'DANH MỤC'!$A$5:$A$200,0)),"⚠ Mã chưa có trong DANH MỤC"))</f>
        <v/>
      </c>
      <c r="H1195" s="52"/>
      <c r="I1195" s="52"/>
    </row>
    <row r="1196" customFormat="false" ht="15" hidden="false" customHeight="false" outlineLevel="0" collapsed="false">
      <c r="A1196" s="50"/>
      <c r="B1196" s="51" t="str">
        <f aca="false">IF(A1196="","",MONTH(A1196))</f>
        <v/>
      </c>
      <c r="C1196" s="52"/>
      <c r="D1196" s="52"/>
      <c r="E1196" s="52"/>
      <c r="F1196" s="52"/>
      <c r="G1196" s="55" t="str">
        <f aca="false">IF(C1196="","",IFERROR(INDEX('DANH MỤC'!$B$5:$B$200,MATCH(C1196,'DANH MỤC'!$A$5:$A$200,0)),"⚠ Mã chưa có trong DANH MỤC"))</f>
        <v/>
      </c>
      <c r="H1196" s="52"/>
      <c r="I1196" s="52"/>
    </row>
    <row r="1197" customFormat="false" ht="15" hidden="false" customHeight="false" outlineLevel="0" collapsed="false">
      <c r="A1197" s="50"/>
      <c r="B1197" s="51" t="str">
        <f aca="false">IF(A1197="","",MONTH(A1197))</f>
        <v/>
      </c>
      <c r="C1197" s="52"/>
      <c r="D1197" s="52"/>
      <c r="E1197" s="52"/>
      <c r="F1197" s="52"/>
      <c r="G1197" s="55" t="str">
        <f aca="false">IF(C1197="","",IFERROR(INDEX('DANH MỤC'!$B$5:$B$200,MATCH(C1197,'DANH MỤC'!$A$5:$A$200,0)),"⚠ Mã chưa có trong DANH MỤC"))</f>
        <v/>
      </c>
      <c r="H1197" s="52"/>
      <c r="I1197" s="52"/>
    </row>
    <row r="1198" customFormat="false" ht="15" hidden="false" customHeight="false" outlineLevel="0" collapsed="false">
      <c r="A1198" s="50"/>
      <c r="B1198" s="51" t="str">
        <f aca="false">IF(A1198="","",MONTH(A1198))</f>
        <v/>
      </c>
      <c r="C1198" s="52"/>
      <c r="D1198" s="52"/>
      <c r="E1198" s="52"/>
      <c r="F1198" s="52"/>
      <c r="G1198" s="55" t="str">
        <f aca="false">IF(C1198="","",IFERROR(INDEX('DANH MỤC'!$B$5:$B$200,MATCH(C1198,'DANH MỤC'!$A$5:$A$200,0)),"⚠ Mã chưa có trong DANH MỤC"))</f>
        <v/>
      </c>
      <c r="H1198" s="52"/>
      <c r="I1198" s="52"/>
    </row>
    <row r="1199" customFormat="false" ht="15" hidden="false" customHeight="false" outlineLevel="0" collapsed="false">
      <c r="A1199" s="50"/>
      <c r="B1199" s="51" t="str">
        <f aca="false">IF(A1199="","",MONTH(A1199))</f>
        <v/>
      </c>
      <c r="C1199" s="52"/>
      <c r="D1199" s="52"/>
      <c r="E1199" s="52"/>
      <c r="F1199" s="52"/>
      <c r="G1199" s="55" t="str">
        <f aca="false">IF(C1199="","",IFERROR(INDEX('DANH MỤC'!$B$5:$B$200,MATCH(C1199,'DANH MỤC'!$A$5:$A$200,0)),"⚠ Mã chưa có trong DANH MỤC"))</f>
        <v/>
      </c>
      <c r="H1199" s="52"/>
      <c r="I1199" s="52"/>
    </row>
    <row r="1200" customFormat="false" ht="15" hidden="false" customHeight="false" outlineLevel="0" collapsed="false">
      <c r="A1200" s="50"/>
      <c r="B1200" s="51" t="str">
        <f aca="false">IF(A1200="","",MONTH(A1200))</f>
        <v/>
      </c>
      <c r="C1200" s="52"/>
      <c r="D1200" s="52"/>
      <c r="E1200" s="52"/>
      <c r="F1200" s="52"/>
      <c r="G1200" s="55" t="str">
        <f aca="false">IF(C1200="","",IFERROR(INDEX('DANH MỤC'!$B$5:$B$200,MATCH(C1200,'DANH MỤC'!$A$5:$A$200,0)),"⚠ Mã chưa có trong DANH MỤC"))</f>
        <v/>
      </c>
      <c r="H1200" s="52"/>
      <c r="I1200" s="52"/>
    </row>
    <row r="1201" customFormat="false" ht="15" hidden="false" customHeight="false" outlineLevel="0" collapsed="false">
      <c r="A1201" s="50"/>
      <c r="B1201" s="51" t="str">
        <f aca="false">IF(A1201="","",MONTH(A1201))</f>
        <v/>
      </c>
      <c r="C1201" s="52"/>
      <c r="D1201" s="52"/>
      <c r="E1201" s="52"/>
      <c r="F1201" s="52"/>
      <c r="G1201" s="55" t="str">
        <f aca="false">IF(C1201="","",IFERROR(INDEX('DANH MỤC'!$B$5:$B$200,MATCH(C1201,'DANH MỤC'!$A$5:$A$200,0)),"⚠ Mã chưa có trong DANH MỤC"))</f>
        <v/>
      </c>
      <c r="H1201" s="52"/>
      <c r="I1201" s="52"/>
    </row>
    <row r="1202" customFormat="false" ht="15" hidden="false" customHeight="false" outlineLevel="0" collapsed="false">
      <c r="A1202" s="50"/>
      <c r="B1202" s="51" t="str">
        <f aca="false">IF(A1202="","",MONTH(A1202))</f>
        <v/>
      </c>
      <c r="C1202" s="52"/>
      <c r="D1202" s="52"/>
      <c r="E1202" s="52"/>
      <c r="F1202" s="52"/>
      <c r="G1202" s="55" t="str">
        <f aca="false">IF(C1202="","",IFERROR(INDEX('DANH MỤC'!$B$5:$B$200,MATCH(C1202,'DANH MỤC'!$A$5:$A$200,0)),"⚠ Mã chưa có trong DANH MỤC"))</f>
        <v/>
      </c>
      <c r="H1202" s="52"/>
      <c r="I1202" s="52"/>
    </row>
    <row r="1203" customFormat="false" ht="15" hidden="false" customHeight="false" outlineLevel="0" collapsed="false">
      <c r="A1203" s="50"/>
      <c r="B1203" s="51" t="str">
        <f aca="false">IF(A1203="","",MONTH(A1203))</f>
        <v/>
      </c>
      <c r="C1203" s="52"/>
      <c r="D1203" s="52"/>
      <c r="E1203" s="52"/>
      <c r="F1203" s="52"/>
      <c r="G1203" s="55" t="str">
        <f aca="false">IF(C1203="","",IFERROR(INDEX('DANH MỤC'!$B$5:$B$200,MATCH(C1203,'DANH MỤC'!$A$5:$A$200,0)),"⚠ Mã chưa có trong DANH MỤC"))</f>
        <v/>
      </c>
      <c r="H1203" s="52"/>
      <c r="I1203" s="52"/>
    </row>
    <row r="1204" customFormat="false" ht="15" hidden="false" customHeight="false" outlineLevel="0" collapsed="false">
      <c r="A1204" s="50"/>
      <c r="B1204" s="51" t="str">
        <f aca="false">IF(A1204="","",MONTH(A1204))</f>
        <v/>
      </c>
      <c r="C1204" s="52"/>
      <c r="D1204" s="52"/>
      <c r="E1204" s="52"/>
      <c r="F1204" s="52"/>
      <c r="G1204" s="55" t="str">
        <f aca="false">IF(C1204="","",IFERROR(INDEX('DANH MỤC'!$B$5:$B$200,MATCH(C1204,'DANH MỤC'!$A$5:$A$200,0)),"⚠ Mã chưa có trong DANH MỤC"))</f>
        <v/>
      </c>
      <c r="H1204" s="52"/>
      <c r="I1204" s="52"/>
    </row>
    <row r="1205" customFormat="false" ht="15" hidden="false" customHeight="false" outlineLevel="0" collapsed="false">
      <c r="A1205" s="50"/>
      <c r="B1205" s="51" t="str">
        <f aca="false">IF(A1205="","",MONTH(A1205))</f>
        <v/>
      </c>
      <c r="C1205" s="52"/>
      <c r="D1205" s="52"/>
      <c r="E1205" s="52"/>
      <c r="F1205" s="52"/>
      <c r="G1205" s="55" t="str">
        <f aca="false">IF(C1205="","",IFERROR(INDEX('DANH MỤC'!$B$5:$B$200,MATCH(C1205,'DANH MỤC'!$A$5:$A$200,0)),"⚠ Mã chưa có trong DANH MỤC"))</f>
        <v/>
      </c>
      <c r="H1205" s="52"/>
      <c r="I1205" s="52"/>
    </row>
    <row r="1206" customFormat="false" ht="15" hidden="false" customHeight="false" outlineLevel="0" collapsed="false">
      <c r="A1206" s="50"/>
      <c r="B1206" s="51" t="str">
        <f aca="false">IF(A1206="","",MONTH(A1206))</f>
        <v/>
      </c>
      <c r="C1206" s="52"/>
      <c r="D1206" s="52"/>
      <c r="E1206" s="52"/>
      <c r="F1206" s="52"/>
      <c r="G1206" s="55" t="str">
        <f aca="false">IF(C1206="","",IFERROR(INDEX('DANH MỤC'!$B$5:$B$200,MATCH(C1206,'DANH MỤC'!$A$5:$A$200,0)),"⚠ Mã chưa có trong DANH MỤC"))</f>
        <v/>
      </c>
      <c r="H1206" s="52"/>
      <c r="I1206" s="52"/>
    </row>
    <row r="1207" customFormat="false" ht="15" hidden="false" customHeight="false" outlineLevel="0" collapsed="false">
      <c r="A1207" s="50"/>
      <c r="B1207" s="51" t="str">
        <f aca="false">IF(A1207="","",MONTH(A1207))</f>
        <v/>
      </c>
      <c r="C1207" s="52"/>
      <c r="D1207" s="52"/>
      <c r="E1207" s="52"/>
      <c r="F1207" s="52"/>
      <c r="G1207" s="55" t="str">
        <f aca="false">IF(C1207="","",IFERROR(INDEX('DANH MỤC'!$B$5:$B$200,MATCH(C1207,'DANH MỤC'!$A$5:$A$200,0)),"⚠ Mã chưa có trong DANH MỤC"))</f>
        <v/>
      </c>
      <c r="H1207" s="52"/>
      <c r="I1207" s="52"/>
    </row>
    <row r="1208" customFormat="false" ht="15" hidden="false" customHeight="false" outlineLevel="0" collapsed="false">
      <c r="A1208" s="50"/>
      <c r="B1208" s="51" t="str">
        <f aca="false">IF(A1208="","",MONTH(A1208))</f>
        <v/>
      </c>
      <c r="C1208" s="52"/>
      <c r="D1208" s="52"/>
      <c r="E1208" s="52"/>
      <c r="F1208" s="52"/>
      <c r="G1208" s="55" t="str">
        <f aca="false">IF(C1208="","",IFERROR(INDEX('DANH MỤC'!$B$5:$B$200,MATCH(C1208,'DANH MỤC'!$A$5:$A$200,0)),"⚠ Mã chưa có trong DANH MỤC"))</f>
        <v/>
      </c>
      <c r="H1208" s="52"/>
      <c r="I1208" s="52"/>
    </row>
    <row r="1209" customFormat="false" ht="15" hidden="false" customHeight="false" outlineLevel="0" collapsed="false">
      <c r="A1209" s="50"/>
      <c r="B1209" s="51" t="str">
        <f aca="false">IF(A1209="","",MONTH(A1209))</f>
        <v/>
      </c>
      <c r="C1209" s="52"/>
      <c r="D1209" s="52"/>
      <c r="E1209" s="52"/>
      <c r="F1209" s="52"/>
      <c r="G1209" s="55" t="str">
        <f aca="false">IF(C1209="","",IFERROR(INDEX('DANH MỤC'!$B$5:$B$200,MATCH(C1209,'DANH MỤC'!$A$5:$A$200,0)),"⚠ Mã chưa có trong DANH MỤC"))</f>
        <v/>
      </c>
      <c r="H1209" s="52"/>
      <c r="I1209" s="52"/>
    </row>
    <row r="1210" customFormat="false" ht="15" hidden="false" customHeight="false" outlineLevel="0" collapsed="false">
      <c r="A1210" s="50"/>
      <c r="B1210" s="51" t="str">
        <f aca="false">IF(A1210="","",MONTH(A1210))</f>
        <v/>
      </c>
      <c r="C1210" s="52"/>
      <c r="D1210" s="52"/>
      <c r="E1210" s="52"/>
      <c r="F1210" s="52"/>
      <c r="G1210" s="55" t="str">
        <f aca="false">IF(C1210="","",IFERROR(INDEX('DANH MỤC'!$B$5:$B$200,MATCH(C1210,'DANH MỤC'!$A$5:$A$200,0)),"⚠ Mã chưa có trong DANH MỤC"))</f>
        <v/>
      </c>
      <c r="H1210" s="52"/>
      <c r="I1210" s="52"/>
    </row>
    <row r="1211" customFormat="false" ht="15" hidden="false" customHeight="false" outlineLevel="0" collapsed="false">
      <c r="A1211" s="50"/>
      <c r="B1211" s="51" t="str">
        <f aca="false">IF(A1211="","",MONTH(A1211))</f>
        <v/>
      </c>
      <c r="C1211" s="52"/>
      <c r="D1211" s="52"/>
      <c r="E1211" s="52"/>
      <c r="F1211" s="52"/>
      <c r="G1211" s="55" t="str">
        <f aca="false">IF(C1211="","",IFERROR(INDEX('DANH MỤC'!$B$5:$B$200,MATCH(C1211,'DANH MỤC'!$A$5:$A$200,0)),"⚠ Mã chưa có trong DANH MỤC"))</f>
        <v/>
      </c>
      <c r="H1211" s="52"/>
      <c r="I1211" s="52"/>
    </row>
    <row r="1212" customFormat="false" ht="15" hidden="false" customHeight="false" outlineLevel="0" collapsed="false">
      <c r="A1212" s="50"/>
      <c r="B1212" s="51" t="str">
        <f aca="false">IF(A1212="","",MONTH(A1212))</f>
        <v/>
      </c>
      <c r="C1212" s="52"/>
      <c r="D1212" s="52"/>
      <c r="E1212" s="52"/>
      <c r="F1212" s="52"/>
      <c r="G1212" s="55" t="str">
        <f aca="false">IF(C1212="","",IFERROR(INDEX('DANH MỤC'!$B$5:$B$200,MATCH(C1212,'DANH MỤC'!$A$5:$A$200,0)),"⚠ Mã chưa có trong DANH MỤC"))</f>
        <v/>
      </c>
      <c r="H1212" s="52"/>
      <c r="I1212" s="52"/>
    </row>
    <row r="1213" customFormat="false" ht="15" hidden="false" customHeight="false" outlineLevel="0" collapsed="false">
      <c r="A1213" s="50"/>
      <c r="B1213" s="51" t="str">
        <f aca="false">IF(A1213="","",MONTH(A1213))</f>
        <v/>
      </c>
      <c r="C1213" s="52"/>
      <c r="D1213" s="52"/>
      <c r="E1213" s="52"/>
      <c r="F1213" s="52"/>
      <c r="G1213" s="55" t="str">
        <f aca="false">IF(C1213="","",IFERROR(INDEX('DANH MỤC'!$B$5:$B$200,MATCH(C1213,'DANH MỤC'!$A$5:$A$200,0)),"⚠ Mã chưa có trong DANH MỤC"))</f>
        <v/>
      </c>
      <c r="H1213" s="52"/>
      <c r="I1213" s="52"/>
    </row>
    <row r="1214" customFormat="false" ht="15" hidden="false" customHeight="false" outlineLevel="0" collapsed="false">
      <c r="A1214" s="50"/>
      <c r="B1214" s="51" t="str">
        <f aca="false">IF(A1214="","",MONTH(A1214))</f>
        <v/>
      </c>
      <c r="C1214" s="52"/>
      <c r="D1214" s="52"/>
      <c r="E1214" s="52"/>
      <c r="F1214" s="52"/>
      <c r="G1214" s="55" t="str">
        <f aca="false">IF(C1214="","",IFERROR(INDEX('DANH MỤC'!$B$5:$B$200,MATCH(C1214,'DANH MỤC'!$A$5:$A$200,0)),"⚠ Mã chưa có trong DANH MỤC"))</f>
        <v/>
      </c>
      <c r="H1214" s="52"/>
      <c r="I1214" s="52"/>
    </row>
    <row r="1215" customFormat="false" ht="15" hidden="false" customHeight="false" outlineLevel="0" collapsed="false">
      <c r="A1215" s="50"/>
      <c r="B1215" s="51" t="str">
        <f aca="false">IF(A1215="","",MONTH(A1215))</f>
        <v/>
      </c>
      <c r="C1215" s="52"/>
      <c r="D1215" s="52"/>
      <c r="E1215" s="52"/>
      <c r="F1215" s="52"/>
      <c r="G1215" s="55" t="str">
        <f aca="false">IF(C1215="","",IFERROR(INDEX('DANH MỤC'!$B$5:$B$200,MATCH(C1215,'DANH MỤC'!$A$5:$A$200,0)),"⚠ Mã chưa có trong DANH MỤC"))</f>
        <v/>
      </c>
      <c r="H1215" s="52"/>
      <c r="I1215" s="52"/>
    </row>
    <row r="1216" customFormat="false" ht="15" hidden="false" customHeight="false" outlineLevel="0" collapsed="false">
      <c r="A1216" s="50"/>
      <c r="B1216" s="51" t="str">
        <f aca="false">IF(A1216="","",MONTH(A1216))</f>
        <v/>
      </c>
      <c r="C1216" s="52"/>
      <c r="D1216" s="52"/>
      <c r="E1216" s="52"/>
      <c r="F1216" s="52"/>
      <c r="G1216" s="55" t="str">
        <f aca="false">IF(C1216="","",IFERROR(INDEX('DANH MỤC'!$B$5:$B$200,MATCH(C1216,'DANH MỤC'!$A$5:$A$200,0)),"⚠ Mã chưa có trong DANH MỤC"))</f>
        <v/>
      </c>
      <c r="H1216" s="52"/>
      <c r="I1216" s="52"/>
    </row>
    <row r="1217" customFormat="false" ht="15" hidden="false" customHeight="false" outlineLevel="0" collapsed="false">
      <c r="A1217" s="50"/>
      <c r="B1217" s="51" t="str">
        <f aca="false">IF(A1217="","",MONTH(A1217))</f>
        <v/>
      </c>
      <c r="C1217" s="52"/>
      <c r="D1217" s="52"/>
      <c r="E1217" s="52"/>
      <c r="F1217" s="52"/>
      <c r="G1217" s="55" t="str">
        <f aca="false">IF(C1217="","",IFERROR(INDEX('DANH MỤC'!$B$5:$B$200,MATCH(C1217,'DANH MỤC'!$A$5:$A$200,0)),"⚠ Mã chưa có trong DANH MỤC"))</f>
        <v/>
      </c>
      <c r="H1217" s="52"/>
      <c r="I1217" s="52"/>
    </row>
    <row r="1218" customFormat="false" ht="15" hidden="false" customHeight="false" outlineLevel="0" collapsed="false">
      <c r="A1218" s="50"/>
      <c r="B1218" s="51" t="str">
        <f aca="false">IF(A1218="","",MONTH(A1218))</f>
        <v/>
      </c>
      <c r="C1218" s="52"/>
      <c r="D1218" s="52"/>
      <c r="E1218" s="52"/>
      <c r="F1218" s="52"/>
      <c r="G1218" s="55" t="str">
        <f aca="false">IF(C1218="","",IFERROR(INDEX('DANH MỤC'!$B$5:$B$200,MATCH(C1218,'DANH MỤC'!$A$5:$A$200,0)),"⚠ Mã chưa có trong DANH MỤC"))</f>
        <v/>
      </c>
      <c r="H1218" s="52"/>
      <c r="I1218" s="52"/>
    </row>
    <row r="1219" customFormat="false" ht="15" hidden="false" customHeight="false" outlineLevel="0" collapsed="false">
      <c r="A1219" s="50"/>
      <c r="B1219" s="51" t="str">
        <f aca="false">IF(A1219="","",MONTH(A1219))</f>
        <v/>
      </c>
      <c r="C1219" s="52"/>
      <c r="D1219" s="52"/>
      <c r="E1219" s="52"/>
      <c r="F1219" s="52"/>
      <c r="G1219" s="55" t="str">
        <f aca="false">IF(C1219="","",IFERROR(INDEX('DANH MỤC'!$B$5:$B$200,MATCH(C1219,'DANH MỤC'!$A$5:$A$200,0)),"⚠ Mã chưa có trong DANH MỤC"))</f>
        <v/>
      </c>
      <c r="H1219" s="52"/>
      <c r="I1219" s="52"/>
    </row>
    <row r="1220" customFormat="false" ht="15" hidden="false" customHeight="false" outlineLevel="0" collapsed="false">
      <c r="A1220" s="50"/>
      <c r="B1220" s="51" t="str">
        <f aca="false">IF(A1220="","",MONTH(A1220))</f>
        <v/>
      </c>
      <c r="C1220" s="52"/>
      <c r="D1220" s="52"/>
      <c r="E1220" s="52"/>
      <c r="F1220" s="52"/>
      <c r="G1220" s="55" t="str">
        <f aca="false">IF(C1220="","",IFERROR(INDEX('DANH MỤC'!$B$5:$B$200,MATCH(C1220,'DANH MỤC'!$A$5:$A$200,0)),"⚠ Mã chưa có trong DANH MỤC"))</f>
        <v/>
      </c>
      <c r="H1220" s="52"/>
      <c r="I1220" s="52"/>
    </row>
    <row r="1221" customFormat="false" ht="15" hidden="false" customHeight="false" outlineLevel="0" collapsed="false">
      <c r="A1221" s="50"/>
      <c r="B1221" s="51" t="str">
        <f aca="false">IF(A1221="","",MONTH(A1221))</f>
        <v/>
      </c>
      <c r="C1221" s="52"/>
      <c r="D1221" s="52"/>
      <c r="E1221" s="52"/>
      <c r="F1221" s="52"/>
      <c r="G1221" s="55" t="str">
        <f aca="false">IF(C1221="","",IFERROR(INDEX('DANH MỤC'!$B$5:$B$200,MATCH(C1221,'DANH MỤC'!$A$5:$A$200,0)),"⚠ Mã chưa có trong DANH MỤC"))</f>
        <v/>
      </c>
      <c r="H1221" s="52"/>
      <c r="I1221" s="52"/>
    </row>
    <row r="1222" customFormat="false" ht="15" hidden="false" customHeight="false" outlineLevel="0" collapsed="false">
      <c r="A1222" s="50"/>
      <c r="B1222" s="51" t="str">
        <f aca="false">IF(A1222="","",MONTH(A1222))</f>
        <v/>
      </c>
      <c r="C1222" s="52"/>
      <c r="D1222" s="52"/>
      <c r="E1222" s="52"/>
      <c r="F1222" s="52"/>
      <c r="G1222" s="55" t="str">
        <f aca="false">IF(C1222="","",IFERROR(INDEX('DANH MỤC'!$B$5:$B$200,MATCH(C1222,'DANH MỤC'!$A$5:$A$200,0)),"⚠ Mã chưa có trong DANH MỤC"))</f>
        <v/>
      </c>
      <c r="H1222" s="52"/>
      <c r="I1222" s="52"/>
    </row>
    <row r="1223" customFormat="false" ht="15" hidden="false" customHeight="false" outlineLevel="0" collapsed="false">
      <c r="A1223" s="50"/>
      <c r="B1223" s="51" t="str">
        <f aca="false">IF(A1223="","",MONTH(A1223))</f>
        <v/>
      </c>
      <c r="C1223" s="52"/>
      <c r="D1223" s="52"/>
      <c r="E1223" s="52"/>
      <c r="F1223" s="52"/>
      <c r="G1223" s="55" t="str">
        <f aca="false">IF(C1223="","",IFERROR(INDEX('DANH MỤC'!$B$5:$B$200,MATCH(C1223,'DANH MỤC'!$A$5:$A$200,0)),"⚠ Mã chưa có trong DANH MỤC"))</f>
        <v/>
      </c>
      <c r="H1223" s="52"/>
      <c r="I1223" s="52"/>
    </row>
    <row r="1224" customFormat="false" ht="15" hidden="false" customHeight="false" outlineLevel="0" collapsed="false">
      <c r="A1224" s="50"/>
      <c r="B1224" s="51" t="str">
        <f aca="false">IF(A1224="","",MONTH(A1224))</f>
        <v/>
      </c>
      <c r="C1224" s="52"/>
      <c r="D1224" s="52"/>
      <c r="E1224" s="52"/>
      <c r="F1224" s="52"/>
      <c r="G1224" s="55" t="str">
        <f aca="false">IF(C1224="","",IFERROR(INDEX('DANH MỤC'!$B$5:$B$200,MATCH(C1224,'DANH MỤC'!$A$5:$A$200,0)),"⚠ Mã chưa có trong DANH MỤC"))</f>
        <v/>
      </c>
      <c r="H1224" s="52"/>
      <c r="I1224" s="52"/>
    </row>
    <row r="1225" customFormat="false" ht="15" hidden="false" customHeight="false" outlineLevel="0" collapsed="false">
      <c r="A1225" s="50"/>
      <c r="B1225" s="51" t="str">
        <f aca="false">IF(A1225="","",MONTH(A1225))</f>
        <v/>
      </c>
      <c r="C1225" s="52"/>
      <c r="D1225" s="52"/>
      <c r="E1225" s="52"/>
      <c r="F1225" s="52"/>
      <c r="G1225" s="55" t="str">
        <f aca="false">IF(C1225="","",IFERROR(INDEX('DANH MỤC'!$B$5:$B$200,MATCH(C1225,'DANH MỤC'!$A$5:$A$200,0)),"⚠ Mã chưa có trong DANH MỤC"))</f>
        <v/>
      </c>
      <c r="H1225" s="52"/>
      <c r="I1225" s="52"/>
    </row>
    <row r="1226" customFormat="false" ht="15" hidden="false" customHeight="false" outlineLevel="0" collapsed="false">
      <c r="A1226" s="50"/>
      <c r="B1226" s="51" t="str">
        <f aca="false">IF(A1226="","",MONTH(A1226))</f>
        <v/>
      </c>
      <c r="C1226" s="52"/>
      <c r="D1226" s="52"/>
      <c r="E1226" s="52"/>
      <c r="F1226" s="52"/>
      <c r="G1226" s="55" t="str">
        <f aca="false">IF(C1226="","",IFERROR(INDEX('DANH MỤC'!$B$5:$B$200,MATCH(C1226,'DANH MỤC'!$A$5:$A$200,0)),"⚠ Mã chưa có trong DANH MỤC"))</f>
        <v/>
      </c>
      <c r="H1226" s="52"/>
      <c r="I1226" s="52"/>
    </row>
    <row r="1227" customFormat="false" ht="15" hidden="false" customHeight="false" outlineLevel="0" collapsed="false">
      <c r="A1227" s="50"/>
      <c r="B1227" s="51" t="str">
        <f aca="false">IF(A1227="","",MONTH(A1227))</f>
        <v/>
      </c>
      <c r="C1227" s="52"/>
      <c r="D1227" s="52"/>
      <c r="E1227" s="52"/>
      <c r="F1227" s="52"/>
      <c r="G1227" s="55" t="str">
        <f aca="false">IF(C1227="","",IFERROR(INDEX('DANH MỤC'!$B$5:$B$200,MATCH(C1227,'DANH MỤC'!$A$5:$A$200,0)),"⚠ Mã chưa có trong DANH MỤC"))</f>
        <v/>
      </c>
      <c r="H1227" s="52"/>
      <c r="I1227" s="52"/>
    </row>
    <row r="1228" customFormat="false" ht="15" hidden="false" customHeight="false" outlineLevel="0" collapsed="false">
      <c r="A1228" s="50"/>
      <c r="B1228" s="51" t="str">
        <f aca="false">IF(A1228="","",MONTH(A1228))</f>
        <v/>
      </c>
      <c r="C1228" s="52"/>
      <c r="D1228" s="52"/>
      <c r="E1228" s="52"/>
      <c r="F1228" s="52"/>
      <c r="G1228" s="55" t="str">
        <f aca="false">IF(C1228="","",IFERROR(INDEX('DANH MỤC'!$B$5:$B$200,MATCH(C1228,'DANH MỤC'!$A$5:$A$200,0)),"⚠ Mã chưa có trong DANH MỤC"))</f>
        <v/>
      </c>
      <c r="H1228" s="52"/>
      <c r="I1228" s="52"/>
    </row>
    <row r="1229" customFormat="false" ht="15" hidden="false" customHeight="false" outlineLevel="0" collapsed="false">
      <c r="A1229" s="50"/>
      <c r="B1229" s="51" t="str">
        <f aca="false">IF(A1229="","",MONTH(A1229))</f>
        <v/>
      </c>
      <c r="C1229" s="52"/>
      <c r="D1229" s="52"/>
      <c r="E1229" s="52"/>
      <c r="F1229" s="52"/>
      <c r="G1229" s="55" t="str">
        <f aca="false">IF(C1229="","",IFERROR(INDEX('DANH MỤC'!$B$5:$B$200,MATCH(C1229,'DANH MỤC'!$A$5:$A$200,0)),"⚠ Mã chưa có trong DANH MỤC"))</f>
        <v/>
      </c>
      <c r="H1229" s="52"/>
      <c r="I1229" s="52"/>
    </row>
    <row r="1230" customFormat="false" ht="15" hidden="false" customHeight="false" outlineLevel="0" collapsed="false">
      <c r="A1230" s="50"/>
      <c r="B1230" s="51" t="str">
        <f aca="false">IF(A1230="","",MONTH(A1230))</f>
        <v/>
      </c>
      <c r="C1230" s="52"/>
      <c r="D1230" s="52"/>
      <c r="E1230" s="52"/>
      <c r="F1230" s="52"/>
      <c r="G1230" s="55" t="str">
        <f aca="false">IF(C1230="","",IFERROR(INDEX('DANH MỤC'!$B$5:$B$200,MATCH(C1230,'DANH MỤC'!$A$5:$A$200,0)),"⚠ Mã chưa có trong DANH MỤC"))</f>
        <v/>
      </c>
      <c r="H1230" s="52"/>
      <c r="I1230" s="52"/>
    </row>
    <row r="1231" customFormat="false" ht="15" hidden="false" customHeight="false" outlineLevel="0" collapsed="false">
      <c r="A1231" s="50"/>
      <c r="B1231" s="51" t="str">
        <f aca="false">IF(A1231="","",MONTH(A1231))</f>
        <v/>
      </c>
      <c r="C1231" s="52"/>
      <c r="D1231" s="52"/>
      <c r="E1231" s="52"/>
      <c r="F1231" s="52"/>
      <c r="G1231" s="55" t="str">
        <f aca="false">IF(C1231="","",IFERROR(INDEX('DANH MỤC'!$B$5:$B$200,MATCH(C1231,'DANH MỤC'!$A$5:$A$200,0)),"⚠ Mã chưa có trong DANH MỤC"))</f>
        <v/>
      </c>
      <c r="H1231" s="52"/>
      <c r="I1231" s="52"/>
    </row>
    <row r="1232" customFormat="false" ht="15" hidden="false" customHeight="false" outlineLevel="0" collapsed="false">
      <c r="A1232" s="50"/>
      <c r="B1232" s="51" t="str">
        <f aca="false">IF(A1232="","",MONTH(A1232))</f>
        <v/>
      </c>
      <c r="C1232" s="52"/>
      <c r="D1232" s="52"/>
      <c r="E1232" s="52"/>
      <c r="F1232" s="52"/>
      <c r="G1232" s="55" t="str">
        <f aca="false">IF(C1232="","",IFERROR(INDEX('DANH MỤC'!$B$5:$B$200,MATCH(C1232,'DANH MỤC'!$A$5:$A$200,0)),"⚠ Mã chưa có trong DANH MỤC"))</f>
        <v/>
      </c>
      <c r="H1232" s="52"/>
      <c r="I1232" s="52"/>
    </row>
    <row r="1233" customFormat="false" ht="15" hidden="false" customHeight="false" outlineLevel="0" collapsed="false">
      <c r="A1233" s="50"/>
      <c r="B1233" s="51" t="str">
        <f aca="false">IF(A1233="","",MONTH(A1233))</f>
        <v/>
      </c>
      <c r="C1233" s="52"/>
      <c r="D1233" s="52"/>
      <c r="E1233" s="52"/>
      <c r="F1233" s="52"/>
      <c r="G1233" s="55" t="str">
        <f aca="false">IF(C1233="","",IFERROR(INDEX('DANH MỤC'!$B$5:$B$200,MATCH(C1233,'DANH MỤC'!$A$5:$A$200,0)),"⚠ Mã chưa có trong DANH MỤC"))</f>
        <v/>
      </c>
      <c r="H1233" s="52"/>
      <c r="I1233" s="52"/>
    </row>
    <row r="1234" customFormat="false" ht="15" hidden="false" customHeight="false" outlineLevel="0" collapsed="false">
      <c r="A1234" s="50"/>
      <c r="B1234" s="51" t="str">
        <f aca="false">IF(A1234="","",MONTH(A1234))</f>
        <v/>
      </c>
      <c r="C1234" s="52"/>
      <c r="D1234" s="52"/>
      <c r="E1234" s="52"/>
      <c r="F1234" s="52"/>
      <c r="G1234" s="55" t="str">
        <f aca="false">IF(C1234="","",IFERROR(INDEX('DANH MỤC'!$B$5:$B$200,MATCH(C1234,'DANH MỤC'!$A$5:$A$200,0)),"⚠ Mã chưa có trong DANH MỤC"))</f>
        <v/>
      </c>
      <c r="H1234" s="52"/>
      <c r="I1234" s="52"/>
    </row>
    <row r="1235" customFormat="false" ht="15" hidden="false" customHeight="false" outlineLevel="0" collapsed="false">
      <c r="A1235" s="50"/>
      <c r="B1235" s="51" t="str">
        <f aca="false">IF(A1235="","",MONTH(A1235))</f>
        <v/>
      </c>
      <c r="C1235" s="52"/>
      <c r="D1235" s="52"/>
      <c r="E1235" s="52"/>
      <c r="F1235" s="52"/>
      <c r="G1235" s="55" t="str">
        <f aca="false">IF(C1235="","",IFERROR(INDEX('DANH MỤC'!$B$5:$B$200,MATCH(C1235,'DANH MỤC'!$A$5:$A$200,0)),"⚠ Mã chưa có trong DANH MỤC"))</f>
        <v/>
      </c>
      <c r="H1235" s="52"/>
      <c r="I1235" s="52"/>
    </row>
    <row r="1236" customFormat="false" ht="15" hidden="false" customHeight="false" outlineLevel="0" collapsed="false">
      <c r="A1236" s="50"/>
      <c r="B1236" s="51" t="str">
        <f aca="false">IF(A1236="","",MONTH(A1236))</f>
        <v/>
      </c>
      <c r="C1236" s="52"/>
      <c r="D1236" s="52"/>
      <c r="E1236" s="52"/>
      <c r="F1236" s="52"/>
      <c r="G1236" s="55" t="str">
        <f aca="false">IF(C1236="","",IFERROR(INDEX('DANH MỤC'!$B$5:$B$200,MATCH(C1236,'DANH MỤC'!$A$5:$A$200,0)),"⚠ Mã chưa có trong DANH MỤC"))</f>
        <v/>
      </c>
      <c r="H1236" s="52"/>
      <c r="I1236" s="52"/>
    </row>
    <row r="1237" customFormat="false" ht="15" hidden="false" customHeight="false" outlineLevel="0" collapsed="false">
      <c r="A1237" s="50"/>
      <c r="B1237" s="51" t="str">
        <f aca="false">IF(A1237="","",MONTH(A1237))</f>
        <v/>
      </c>
      <c r="C1237" s="52"/>
      <c r="D1237" s="52"/>
      <c r="E1237" s="52"/>
      <c r="F1237" s="52"/>
      <c r="G1237" s="55" t="str">
        <f aca="false">IF(C1237="","",IFERROR(INDEX('DANH MỤC'!$B$5:$B$200,MATCH(C1237,'DANH MỤC'!$A$5:$A$200,0)),"⚠ Mã chưa có trong DANH MỤC"))</f>
        <v/>
      </c>
      <c r="H1237" s="52"/>
      <c r="I1237" s="52"/>
    </row>
    <row r="1238" customFormat="false" ht="15" hidden="false" customHeight="false" outlineLevel="0" collapsed="false">
      <c r="A1238" s="50"/>
      <c r="B1238" s="51" t="str">
        <f aca="false">IF(A1238="","",MONTH(A1238))</f>
        <v/>
      </c>
      <c r="C1238" s="52"/>
      <c r="D1238" s="52"/>
      <c r="E1238" s="52"/>
      <c r="F1238" s="52"/>
      <c r="G1238" s="55" t="str">
        <f aca="false">IF(C1238="","",IFERROR(INDEX('DANH MỤC'!$B$5:$B$200,MATCH(C1238,'DANH MỤC'!$A$5:$A$200,0)),"⚠ Mã chưa có trong DANH MỤC"))</f>
        <v/>
      </c>
      <c r="H1238" s="52"/>
      <c r="I1238" s="52"/>
    </row>
    <row r="1239" customFormat="false" ht="15" hidden="false" customHeight="false" outlineLevel="0" collapsed="false">
      <c r="A1239" s="50"/>
      <c r="B1239" s="51" t="str">
        <f aca="false">IF(A1239="","",MONTH(A1239))</f>
        <v/>
      </c>
      <c r="C1239" s="52"/>
      <c r="D1239" s="52"/>
      <c r="E1239" s="52"/>
      <c r="F1239" s="52"/>
      <c r="G1239" s="55" t="str">
        <f aca="false">IF(C1239="","",IFERROR(INDEX('DANH MỤC'!$B$5:$B$200,MATCH(C1239,'DANH MỤC'!$A$5:$A$200,0)),"⚠ Mã chưa có trong DANH MỤC"))</f>
        <v/>
      </c>
      <c r="H1239" s="52"/>
      <c r="I1239" s="52"/>
    </row>
    <row r="1240" customFormat="false" ht="15" hidden="false" customHeight="false" outlineLevel="0" collapsed="false">
      <c r="A1240" s="50"/>
      <c r="B1240" s="51" t="str">
        <f aca="false">IF(A1240="","",MONTH(A1240))</f>
        <v/>
      </c>
      <c r="C1240" s="52"/>
      <c r="D1240" s="52"/>
      <c r="E1240" s="52"/>
      <c r="F1240" s="52"/>
      <c r="G1240" s="55" t="str">
        <f aca="false">IF(C1240="","",IFERROR(INDEX('DANH MỤC'!$B$5:$B$200,MATCH(C1240,'DANH MỤC'!$A$5:$A$200,0)),"⚠ Mã chưa có trong DANH MỤC"))</f>
        <v/>
      </c>
      <c r="H1240" s="52"/>
      <c r="I1240" s="52"/>
    </row>
    <row r="1241" customFormat="false" ht="15" hidden="false" customHeight="false" outlineLevel="0" collapsed="false">
      <c r="A1241" s="50"/>
      <c r="B1241" s="51" t="str">
        <f aca="false">IF(A1241="","",MONTH(A1241))</f>
        <v/>
      </c>
      <c r="C1241" s="52"/>
      <c r="D1241" s="52"/>
      <c r="E1241" s="52"/>
      <c r="F1241" s="52"/>
      <c r="G1241" s="55" t="str">
        <f aca="false">IF(C1241="","",IFERROR(INDEX('DANH MỤC'!$B$5:$B$200,MATCH(C1241,'DANH MỤC'!$A$5:$A$200,0)),"⚠ Mã chưa có trong DANH MỤC"))</f>
        <v/>
      </c>
      <c r="H1241" s="52"/>
      <c r="I1241" s="52"/>
    </row>
    <row r="1242" customFormat="false" ht="15" hidden="false" customHeight="false" outlineLevel="0" collapsed="false">
      <c r="A1242" s="50"/>
      <c r="B1242" s="51" t="str">
        <f aca="false">IF(A1242="","",MONTH(A1242))</f>
        <v/>
      </c>
      <c r="C1242" s="52"/>
      <c r="D1242" s="52"/>
      <c r="E1242" s="52"/>
      <c r="F1242" s="52"/>
      <c r="G1242" s="55" t="str">
        <f aca="false">IF(C1242="","",IFERROR(INDEX('DANH MỤC'!$B$5:$B$200,MATCH(C1242,'DANH MỤC'!$A$5:$A$200,0)),"⚠ Mã chưa có trong DANH MỤC"))</f>
        <v/>
      </c>
      <c r="H1242" s="52"/>
      <c r="I1242" s="52"/>
    </row>
    <row r="1243" customFormat="false" ht="15" hidden="false" customHeight="false" outlineLevel="0" collapsed="false">
      <c r="A1243" s="50"/>
      <c r="B1243" s="51" t="str">
        <f aca="false">IF(A1243="","",MONTH(A1243))</f>
        <v/>
      </c>
      <c r="C1243" s="52"/>
      <c r="D1243" s="52"/>
      <c r="E1243" s="52"/>
      <c r="F1243" s="52"/>
      <c r="G1243" s="55" t="str">
        <f aca="false">IF(C1243="","",IFERROR(INDEX('DANH MỤC'!$B$5:$B$200,MATCH(C1243,'DANH MỤC'!$A$5:$A$200,0)),"⚠ Mã chưa có trong DANH MỤC"))</f>
        <v/>
      </c>
      <c r="H1243" s="52"/>
      <c r="I1243" s="52"/>
    </row>
    <row r="1244" customFormat="false" ht="15" hidden="false" customHeight="false" outlineLevel="0" collapsed="false">
      <c r="A1244" s="50"/>
      <c r="B1244" s="51" t="str">
        <f aca="false">IF(A1244="","",MONTH(A1244))</f>
        <v/>
      </c>
      <c r="C1244" s="52"/>
      <c r="D1244" s="52"/>
      <c r="E1244" s="52"/>
      <c r="F1244" s="52"/>
      <c r="G1244" s="55" t="str">
        <f aca="false">IF(C1244="","",IFERROR(INDEX('DANH MỤC'!$B$5:$B$200,MATCH(C1244,'DANH MỤC'!$A$5:$A$200,0)),"⚠ Mã chưa có trong DANH MỤC"))</f>
        <v/>
      </c>
      <c r="H1244" s="52"/>
      <c r="I1244" s="52"/>
    </row>
    <row r="1245" customFormat="false" ht="15" hidden="false" customHeight="false" outlineLevel="0" collapsed="false">
      <c r="A1245" s="50"/>
      <c r="B1245" s="51" t="str">
        <f aca="false">IF(A1245="","",MONTH(A1245))</f>
        <v/>
      </c>
      <c r="C1245" s="52"/>
      <c r="D1245" s="52"/>
      <c r="E1245" s="52"/>
      <c r="F1245" s="52"/>
      <c r="G1245" s="55" t="str">
        <f aca="false">IF(C1245="","",IFERROR(INDEX('DANH MỤC'!$B$5:$B$200,MATCH(C1245,'DANH MỤC'!$A$5:$A$200,0)),"⚠ Mã chưa có trong DANH MỤC"))</f>
        <v/>
      </c>
      <c r="H1245" s="52"/>
      <c r="I1245" s="52"/>
    </row>
    <row r="1246" customFormat="false" ht="15" hidden="false" customHeight="false" outlineLevel="0" collapsed="false">
      <c r="A1246" s="50"/>
      <c r="B1246" s="51" t="str">
        <f aca="false">IF(A1246="","",MONTH(A1246))</f>
        <v/>
      </c>
      <c r="C1246" s="52"/>
      <c r="D1246" s="52"/>
      <c r="E1246" s="52"/>
      <c r="F1246" s="52"/>
      <c r="G1246" s="55" t="str">
        <f aca="false">IF(C1246="","",IFERROR(INDEX('DANH MỤC'!$B$5:$B$200,MATCH(C1246,'DANH MỤC'!$A$5:$A$200,0)),"⚠ Mã chưa có trong DANH MỤC"))</f>
        <v/>
      </c>
      <c r="H1246" s="52"/>
      <c r="I1246" s="52"/>
    </row>
    <row r="1247" customFormat="false" ht="15" hidden="false" customHeight="false" outlineLevel="0" collapsed="false">
      <c r="A1247" s="50"/>
      <c r="B1247" s="51" t="str">
        <f aca="false">IF(A1247="","",MONTH(A1247))</f>
        <v/>
      </c>
      <c r="C1247" s="52"/>
      <c r="D1247" s="52"/>
      <c r="E1247" s="52"/>
      <c r="F1247" s="52"/>
      <c r="G1247" s="55" t="str">
        <f aca="false">IF(C1247="","",IFERROR(INDEX('DANH MỤC'!$B$5:$B$200,MATCH(C1247,'DANH MỤC'!$A$5:$A$200,0)),"⚠ Mã chưa có trong DANH MỤC"))</f>
        <v/>
      </c>
      <c r="H1247" s="52"/>
      <c r="I1247" s="52"/>
    </row>
    <row r="1248" customFormat="false" ht="15" hidden="false" customHeight="false" outlineLevel="0" collapsed="false">
      <c r="A1248" s="50"/>
      <c r="B1248" s="51" t="str">
        <f aca="false">IF(A1248="","",MONTH(A1248))</f>
        <v/>
      </c>
      <c r="C1248" s="52"/>
      <c r="D1248" s="52"/>
      <c r="E1248" s="52"/>
      <c r="F1248" s="52"/>
      <c r="G1248" s="55" t="str">
        <f aca="false">IF(C1248="","",IFERROR(INDEX('DANH MỤC'!$B$5:$B$200,MATCH(C1248,'DANH MỤC'!$A$5:$A$200,0)),"⚠ Mã chưa có trong DANH MỤC"))</f>
        <v/>
      </c>
      <c r="H1248" s="52"/>
      <c r="I1248" s="52"/>
    </row>
    <row r="1249" customFormat="false" ht="15" hidden="false" customHeight="false" outlineLevel="0" collapsed="false">
      <c r="A1249" s="50"/>
      <c r="B1249" s="51" t="str">
        <f aca="false">IF(A1249="","",MONTH(A1249))</f>
        <v/>
      </c>
      <c r="C1249" s="52"/>
      <c r="D1249" s="52"/>
      <c r="E1249" s="52"/>
      <c r="F1249" s="52"/>
      <c r="G1249" s="55" t="str">
        <f aca="false">IF(C1249="","",IFERROR(INDEX('DANH MỤC'!$B$5:$B$200,MATCH(C1249,'DANH MỤC'!$A$5:$A$200,0)),"⚠ Mã chưa có trong DANH MỤC"))</f>
        <v/>
      </c>
      <c r="H1249" s="52"/>
      <c r="I1249" s="52"/>
    </row>
    <row r="1250" customFormat="false" ht="15" hidden="false" customHeight="false" outlineLevel="0" collapsed="false">
      <c r="A1250" s="50"/>
      <c r="B1250" s="51" t="str">
        <f aca="false">IF(A1250="","",MONTH(A1250))</f>
        <v/>
      </c>
      <c r="C1250" s="52"/>
      <c r="D1250" s="52"/>
      <c r="E1250" s="52"/>
      <c r="F1250" s="52"/>
      <c r="G1250" s="55" t="str">
        <f aca="false">IF(C1250="","",IFERROR(INDEX('DANH MỤC'!$B$5:$B$200,MATCH(C1250,'DANH MỤC'!$A$5:$A$200,0)),"⚠ Mã chưa có trong DANH MỤC"))</f>
        <v/>
      </c>
      <c r="H1250" s="52"/>
      <c r="I1250" s="52"/>
    </row>
    <row r="1251" customFormat="false" ht="15" hidden="false" customHeight="false" outlineLevel="0" collapsed="false">
      <c r="A1251" s="50"/>
      <c r="B1251" s="51" t="str">
        <f aca="false">IF(A1251="","",MONTH(A1251))</f>
        <v/>
      </c>
      <c r="C1251" s="52"/>
      <c r="D1251" s="52"/>
      <c r="E1251" s="52"/>
      <c r="F1251" s="52"/>
      <c r="G1251" s="55" t="str">
        <f aca="false">IF(C1251="","",IFERROR(INDEX('DANH MỤC'!$B$5:$B$200,MATCH(C1251,'DANH MỤC'!$A$5:$A$200,0)),"⚠ Mã chưa có trong DANH MỤC"))</f>
        <v/>
      </c>
      <c r="H1251" s="52"/>
      <c r="I1251" s="52"/>
    </row>
    <row r="1252" customFormat="false" ht="15" hidden="false" customHeight="false" outlineLevel="0" collapsed="false">
      <c r="A1252" s="50"/>
      <c r="B1252" s="51" t="str">
        <f aca="false">IF(A1252="","",MONTH(A1252))</f>
        <v/>
      </c>
      <c r="C1252" s="52"/>
      <c r="D1252" s="52"/>
      <c r="E1252" s="52"/>
      <c r="F1252" s="52"/>
      <c r="G1252" s="55" t="str">
        <f aca="false">IF(C1252="","",IFERROR(INDEX('DANH MỤC'!$B$5:$B$200,MATCH(C1252,'DANH MỤC'!$A$5:$A$200,0)),"⚠ Mã chưa có trong DANH MỤC"))</f>
        <v/>
      </c>
      <c r="H1252" s="52"/>
      <c r="I1252" s="52"/>
    </row>
    <row r="1253" customFormat="false" ht="15" hidden="false" customHeight="false" outlineLevel="0" collapsed="false">
      <c r="A1253" s="50"/>
      <c r="B1253" s="51" t="str">
        <f aca="false">IF(A1253="","",MONTH(A1253))</f>
        <v/>
      </c>
      <c r="C1253" s="52"/>
      <c r="D1253" s="52"/>
      <c r="E1253" s="52"/>
      <c r="F1253" s="52"/>
      <c r="G1253" s="55" t="str">
        <f aca="false">IF(C1253="","",IFERROR(INDEX('DANH MỤC'!$B$5:$B$200,MATCH(C1253,'DANH MỤC'!$A$5:$A$200,0)),"⚠ Mã chưa có trong DANH MỤC"))</f>
        <v/>
      </c>
      <c r="H1253" s="52"/>
      <c r="I1253" s="52"/>
    </row>
    <row r="1254" customFormat="false" ht="15" hidden="false" customHeight="false" outlineLevel="0" collapsed="false">
      <c r="A1254" s="50"/>
      <c r="B1254" s="51" t="str">
        <f aca="false">IF(A1254="","",MONTH(A1254))</f>
        <v/>
      </c>
      <c r="C1254" s="52"/>
      <c r="D1254" s="52"/>
      <c r="E1254" s="52"/>
      <c r="F1254" s="52"/>
      <c r="G1254" s="55" t="str">
        <f aca="false">IF(C1254="","",IFERROR(INDEX('DANH MỤC'!$B$5:$B$200,MATCH(C1254,'DANH MỤC'!$A$5:$A$200,0)),"⚠ Mã chưa có trong DANH MỤC"))</f>
        <v/>
      </c>
      <c r="H1254" s="52"/>
      <c r="I1254" s="52"/>
    </row>
    <row r="1255" customFormat="false" ht="15" hidden="false" customHeight="false" outlineLevel="0" collapsed="false">
      <c r="A1255" s="50"/>
      <c r="B1255" s="51" t="str">
        <f aca="false">IF(A1255="","",MONTH(A1255))</f>
        <v/>
      </c>
      <c r="C1255" s="52"/>
      <c r="D1255" s="52"/>
      <c r="E1255" s="52"/>
      <c r="F1255" s="52"/>
      <c r="G1255" s="55" t="str">
        <f aca="false">IF(C1255="","",IFERROR(INDEX('DANH MỤC'!$B$5:$B$200,MATCH(C1255,'DANH MỤC'!$A$5:$A$200,0)),"⚠ Mã chưa có trong DANH MỤC"))</f>
        <v/>
      </c>
      <c r="H1255" s="52"/>
      <c r="I1255" s="52"/>
    </row>
    <row r="1256" customFormat="false" ht="15" hidden="false" customHeight="false" outlineLevel="0" collapsed="false">
      <c r="A1256" s="50"/>
      <c r="B1256" s="51" t="str">
        <f aca="false">IF(A1256="","",MONTH(A1256))</f>
        <v/>
      </c>
      <c r="C1256" s="52"/>
      <c r="D1256" s="52"/>
      <c r="E1256" s="52"/>
      <c r="F1256" s="52"/>
      <c r="G1256" s="55" t="str">
        <f aca="false">IF(C1256="","",IFERROR(INDEX('DANH MỤC'!$B$5:$B$200,MATCH(C1256,'DANH MỤC'!$A$5:$A$200,0)),"⚠ Mã chưa có trong DANH MỤC"))</f>
        <v/>
      </c>
      <c r="H1256" s="52"/>
      <c r="I1256" s="52"/>
    </row>
    <row r="1257" customFormat="false" ht="15" hidden="false" customHeight="false" outlineLevel="0" collapsed="false">
      <c r="A1257" s="50"/>
      <c r="B1257" s="51" t="str">
        <f aca="false">IF(A1257="","",MONTH(A1257))</f>
        <v/>
      </c>
      <c r="C1257" s="52"/>
      <c r="D1257" s="52"/>
      <c r="E1257" s="52"/>
      <c r="F1257" s="52"/>
      <c r="G1257" s="55" t="str">
        <f aca="false">IF(C1257="","",IFERROR(INDEX('DANH MỤC'!$B$5:$B$200,MATCH(C1257,'DANH MỤC'!$A$5:$A$200,0)),"⚠ Mã chưa có trong DANH MỤC"))</f>
        <v/>
      </c>
      <c r="H1257" s="52"/>
      <c r="I1257" s="52"/>
    </row>
    <row r="1258" customFormat="false" ht="15" hidden="false" customHeight="false" outlineLevel="0" collapsed="false">
      <c r="A1258" s="50"/>
      <c r="B1258" s="51" t="str">
        <f aca="false">IF(A1258="","",MONTH(A1258))</f>
        <v/>
      </c>
      <c r="C1258" s="52"/>
      <c r="D1258" s="52"/>
      <c r="E1258" s="52"/>
      <c r="F1258" s="52"/>
      <c r="G1258" s="55" t="str">
        <f aca="false">IF(C1258="","",IFERROR(INDEX('DANH MỤC'!$B$5:$B$200,MATCH(C1258,'DANH MỤC'!$A$5:$A$200,0)),"⚠ Mã chưa có trong DANH MỤC"))</f>
        <v/>
      </c>
      <c r="H1258" s="52"/>
      <c r="I1258" s="52"/>
    </row>
    <row r="1259" customFormat="false" ht="15" hidden="false" customHeight="false" outlineLevel="0" collapsed="false">
      <c r="A1259" s="50"/>
      <c r="B1259" s="51" t="str">
        <f aca="false">IF(A1259="","",MONTH(A1259))</f>
        <v/>
      </c>
      <c r="C1259" s="52"/>
      <c r="D1259" s="52"/>
      <c r="E1259" s="52"/>
      <c r="F1259" s="52"/>
      <c r="G1259" s="55" t="str">
        <f aca="false">IF(C1259="","",IFERROR(INDEX('DANH MỤC'!$B$5:$B$200,MATCH(C1259,'DANH MỤC'!$A$5:$A$200,0)),"⚠ Mã chưa có trong DANH MỤC"))</f>
        <v/>
      </c>
      <c r="H1259" s="52"/>
      <c r="I1259" s="52"/>
    </row>
    <row r="1260" customFormat="false" ht="15" hidden="false" customHeight="false" outlineLevel="0" collapsed="false">
      <c r="A1260" s="50"/>
      <c r="B1260" s="51" t="str">
        <f aca="false">IF(A1260="","",MONTH(A1260))</f>
        <v/>
      </c>
      <c r="C1260" s="52"/>
      <c r="D1260" s="52"/>
      <c r="E1260" s="52"/>
      <c r="F1260" s="52"/>
      <c r="G1260" s="55" t="str">
        <f aca="false">IF(C1260="","",IFERROR(INDEX('DANH MỤC'!$B$5:$B$200,MATCH(C1260,'DANH MỤC'!$A$5:$A$200,0)),"⚠ Mã chưa có trong DANH MỤC"))</f>
        <v/>
      </c>
      <c r="H1260" s="52"/>
      <c r="I1260" s="52"/>
    </row>
    <row r="1261" customFormat="false" ht="15" hidden="false" customHeight="false" outlineLevel="0" collapsed="false">
      <c r="A1261" s="50"/>
      <c r="B1261" s="51" t="str">
        <f aca="false">IF(A1261="","",MONTH(A1261))</f>
        <v/>
      </c>
      <c r="C1261" s="52"/>
      <c r="D1261" s="52"/>
      <c r="E1261" s="52"/>
      <c r="F1261" s="52"/>
      <c r="G1261" s="55" t="str">
        <f aca="false">IF(C1261="","",IFERROR(INDEX('DANH MỤC'!$B$5:$B$200,MATCH(C1261,'DANH MỤC'!$A$5:$A$200,0)),"⚠ Mã chưa có trong DANH MỤC"))</f>
        <v/>
      </c>
      <c r="H1261" s="52"/>
      <c r="I1261" s="52"/>
    </row>
    <row r="1262" customFormat="false" ht="15" hidden="false" customHeight="false" outlineLevel="0" collapsed="false">
      <c r="A1262" s="50"/>
      <c r="B1262" s="51" t="str">
        <f aca="false">IF(A1262="","",MONTH(A1262))</f>
        <v/>
      </c>
      <c r="C1262" s="52"/>
      <c r="D1262" s="52"/>
      <c r="E1262" s="52"/>
      <c r="F1262" s="52"/>
      <c r="G1262" s="55" t="str">
        <f aca="false">IF(C1262="","",IFERROR(INDEX('DANH MỤC'!$B$5:$B$200,MATCH(C1262,'DANH MỤC'!$A$5:$A$200,0)),"⚠ Mã chưa có trong DANH MỤC"))</f>
        <v/>
      </c>
      <c r="H1262" s="52"/>
      <c r="I1262" s="52"/>
    </row>
    <row r="1263" customFormat="false" ht="15" hidden="false" customHeight="false" outlineLevel="0" collapsed="false">
      <c r="A1263" s="50"/>
      <c r="B1263" s="51" t="str">
        <f aca="false">IF(A1263="","",MONTH(A1263))</f>
        <v/>
      </c>
      <c r="C1263" s="52"/>
      <c r="D1263" s="52"/>
      <c r="E1263" s="52"/>
      <c r="F1263" s="52"/>
      <c r="G1263" s="55" t="str">
        <f aca="false">IF(C1263="","",IFERROR(INDEX('DANH MỤC'!$B$5:$B$200,MATCH(C1263,'DANH MỤC'!$A$5:$A$200,0)),"⚠ Mã chưa có trong DANH MỤC"))</f>
        <v/>
      </c>
      <c r="H1263" s="52"/>
      <c r="I1263" s="52"/>
    </row>
    <row r="1264" customFormat="false" ht="15" hidden="false" customHeight="false" outlineLevel="0" collapsed="false">
      <c r="A1264" s="50"/>
      <c r="B1264" s="51" t="str">
        <f aca="false">IF(A1264="","",MONTH(A1264))</f>
        <v/>
      </c>
      <c r="C1264" s="52"/>
      <c r="D1264" s="52"/>
      <c r="E1264" s="52"/>
      <c r="F1264" s="52"/>
      <c r="G1264" s="55" t="str">
        <f aca="false">IF(C1264="","",IFERROR(INDEX('DANH MỤC'!$B$5:$B$200,MATCH(C1264,'DANH MỤC'!$A$5:$A$200,0)),"⚠ Mã chưa có trong DANH MỤC"))</f>
        <v/>
      </c>
      <c r="H1264" s="52"/>
      <c r="I1264" s="52"/>
    </row>
    <row r="1265" customFormat="false" ht="15" hidden="false" customHeight="false" outlineLevel="0" collapsed="false">
      <c r="A1265" s="50"/>
      <c r="B1265" s="51" t="str">
        <f aca="false">IF(A1265="","",MONTH(A1265))</f>
        <v/>
      </c>
      <c r="C1265" s="52"/>
      <c r="D1265" s="52"/>
      <c r="E1265" s="52"/>
      <c r="F1265" s="52"/>
      <c r="G1265" s="55" t="str">
        <f aca="false">IF(C1265="","",IFERROR(INDEX('DANH MỤC'!$B$5:$B$200,MATCH(C1265,'DANH MỤC'!$A$5:$A$200,0)),"⚠ Mã chưa có trong DANH MỤC"))</f>
        <v/>
      </c>
      <c r="H1265" s="52"/>
      <c r="I1265" s="52"/>
    </row>
    <row r="1266" customFormat="false" ht="15" hidden="false" customHeight="false" outlineLevel="0" collapsed="false">
      <c r="A1266" s="50"/>
      <c r="B1266" s="51" t="str">
        <f aca="false">IF(A1266="","",MONTH(A1266))</f>
        <v/>
      </c>
      <c r="C1266" s="52"/>
      <c r="D1266" s="52"/>
      <c r="E1266" s="52"/>
      <c r="F1266" s="52"/>
      <c r="G1266" s="55" t="str">
        <f aca="false">IF(C1266="","",IFERROR(INDEX('DANH MỤC'!$B$5:$B$200,MATCH(C1266,'DANH MỤC'!$A$5:$A$200,0)),"⚠ Mã chưa có trong DANH MỤC"))</f>
        <v/>
      </c>
      <c r="H1266" s="52"/>
      <c r="I1266" s="52"/>
    </row>
    <row r="1267" customFormat="false" ht="15" hidden="false" customHeight="false" outlineLevel="0" collapsed="false">
      <c r="A1267" s="50"/>
      <c r="B1267" s="51" t="str">
        <f aca="false">IF(A1267="","",MONTH(A1267))</f>
        <v/>
      </c>
      <c r="C1267" s="52"/>
      <c r="D1267" s="52"/>
      <c r="E1267" s="52"/>
      <c r="F1267" s="52"/>
      <c r="G1267" s="55" t="str">
        <f aca="false">IF(C1267="","",IFERROR(INDEX('DANH MỤC'!$B$5:$B$200,MATCH(C1267,'DANH MỤC'!$A$5:$A$200,0)),"⚠ Mã chưa có trong DANH MỤC"))</f>
        <v/>
      </c>
      <c r="H1267" s="52"/>
      <c r="I1267" s="52"/>
    </row>
    <row r="1268" customFormat="false" ht="15" hidden="false" customHeight="false" outlineLevel="0" collapsed="false">
      <c r="A1268" s="50"/>
      <c r="B1268" s="51" t="str">
        <f aca="false">IF(A1268="","",MONTH(A1268))</f>
        <v/>
      </c>
      <c r="C1268" s="52"/>
      <c r="D1268" s="52"/>
      <c r="E1268" s="52"/>
      <c r="F1268" s="52"/>
      <c r="G1268" s="55" t="str">
        <f aca="false">IF(C1268="","",IFERROR(INDEX('DANH MỤC'!$B$5:$B$200,MATCH(C1268,'DANH MỤC'!$A$5:$A$200,0)),"⚠ Mã chưa có trong DANH MỤC"))</f>
        <v/>
      </c>
      <c r="H1268" s="52"/>
      <c r="I1268" s="52"/>
    </row>
    <row r="1269" customFormat="false" ht="15" hidden="false" customHeight="false" outlineLevel="0" collapsed="false">
      <c r="A1269" s="50"/>
      <c r="B1269" s="51" t="str">
        <f aca="false">IF(A1269="","",MONTH(A1269))</f>
        <v/>
      </c>
      <c r="C1269" s="52"/>
      <c r="D1269" s="52"/>
      <c r="E1269" s="52"/>
      <c r="F1269" s="52"/>
      <c r="G1269" s="55" t="str">
        <f aca="false">IF(C1269="","",IFERROR(INDEX('DANH MỤC'!$B$5:$B$200,MATCH(C1269,'DANH MỤC'!$A$5:$A$200,0)),"⚠ Mã chưa có trong DANH MỤC"))</f>
        <v/>
      </c>
      <c r="H1269" s="52"/>
      <c r="I1269" s="52"/>
    </row>
    <row r="1270" customFormat="false" ht="15" hidden="false" customHeight="false" outlineLevel="0" collapsed="false">
      <c r="A1270" s="50"/>
      <c r="B1270" s="51" t="str">
        <f aca="false">IF(A1270="","",MONTH(A1270))</f>
        <v/>
      </c>
      <c r="C1270" s="52"/>
      <c r="D1270" s="52"/>
      <c r="E1270" s="52"/>
      <c r="F1270" s="52"/>
      <c r="G1270" s="55" t="str">
        <f aca="false">IF(C1270="","",IFERROR(INDEX('DANH MỤC'!$B$5:$B$200,MATCH(C1270,'DANH MỤC'!$A$5:$A$200,0)),"⚠ Mã chưa có trong DANH MỤC"))</f>
        <v/>
      </c>
      <c r="H1270" s="52"/>
      <c r="I1270" s="52"/>
    </row>
    <row r="1271" customFormat="false" ht="15" hidden="false" customHeight="false" outlineLevel="0" collapsed="false">
      <c r="A1271" s="50"/>
      <c r="B1271" s="51" t="str">
        <f aca="false">IF(A1271="","",MONTH(A1271))</f>
        <v/>
      </c>
      <c r="C1271" s="52"/>
      <c r="D1271" s="52"/>
      <c r="E1271" s="52"/>
      <c r="F1271" s="52"/>
      <c r="G1271" s="55" t="str">
        <f aca="false">IF(C1271="","",IFERROR(INDEX('DANH MỤC'!$B$5:$B$200,MATCH(C1271,'DANH MỤC'!$A$5:$A$200,0)),"⚠ Mã chưa có trong DANH MỤC"))</f>
        <v/>
      </c>
      <c r="H1271" s="52"/>
      <c r="I1271" s="52"/>
    </row>
    <row r="1272" customFormat="false" ht="15" hidden="false" customHeight="false" outlineLevel="0" collapsed="false">
      <c r="A1272" s="50"/>
      <c r="B1272" s="51" t="str">
        <f aca="false">IF(A1272="","",MONTH(A1272))</f>
        <v/>
      </c>
      <c r="C1272" s="52"/>
      <c r="D1272" s="52"/>
      <c r="E1272" s="52"/>
      <c r="F1272" s="52"/>
      <c r="G1272" s="55" t="str">
        <f aca="false">IF(C1272="","",IFERROR(INDEX('DANH MỤC'!$B$5:$B$200,MATCH(C1272,'DANH MỤC'!$A$5:$A$200,0)),"⚠ Mã chưa có trong DANH MỤC"))</f>
        <v/>
      </c>
      <c r="H1272" s="52"/>
      <c r="I1272" s="52"/>
    </row>
    <row r="1273" customFormat="false" ht="15" hidden="false" customHeight="false" outlineLevel="0" collapsed="false">
      <c r="A1273" s="50"/>
      <c r="B1273" s="51" t="str">
        <f aca="false">IF(A1273="","",MONTH(A1273))</f>
        <v/>
      </c>
      <c r="C1273" s="52"/>
      <c r="D1273" s="52"/>
      <c r="E1273" s="52"/>
      <c r="F1273" s="52"/>
      <c r="G1273" s="55" t="str">
        <f aca="false">IF(C1273="","",IFERROR(INDEX('DANH MỤC'!$B$5:$B$200,MATCH(C1273,'DANH MỤC'!$A$5:$A$200,0)),"⚠ Mã chưa có trong DANH MỤC"))</f>
        <v/>
      </c>
      <c r="H1273" s="52"/>
      <c r="I1273" s="52"/>
    </row>
    <row r="1274" customFormat="false" ht="15" hidden="false" customHeight="false" outlineLevel="0" collapsed="false">
      <c r="A1274" s="50"/>
      <c r="B1274" s="51" t="str">
        <f aca="false">IF(A1274="","",MONTH(A1274))</f>
        <v/>
      </c>
      <c r="C1274" s="52"/>
      <c r="D1274" s="52"/>
      <c r="E1274" s="52"/>
      <c r="F1274" s="52"/>
      <c r="G1274" s="55" t="str">
        <f aca="false">IF(C1274="","",IFERROR(INDEX('DANH MỤC'!$B$5:$B$200,MATCH(C1274,'DANH MỤC'!$A$5:$A$200,0)),"⚠ Mã chưa có trong DANH MỤC"))</f>
        <v/>
      </c>
      <c r="H1274" s="52"/>
      <c r="I1274" s="52"/>
    </row>
    <row r="1275" customFormat="false" ht="15" hidden="false" customHeight="false" outlineLevel="0" collapsed="false">
      <c r="A1275" s="50"/>
      <c r="B1275" s="51" t="str">
        <f aca="false">IF(A1275="","",MONTH(A1275))</f>
        <v/>
      </c>
      <c r="C1275" s="52"/>
      <c r="D1275" s="52"/>
      <c r="E1275" s="52"/>
      <c r="F1275" s="52"/>
      <c r="G1275" s="55" t="str">
        <f aca="false">IF(C1275="","",IFERROR(INDEX('DANH MỤC'!$B$5:$B$200,MATCH(C1275,'DANH MỤC'!$A$5:$A$200,0)),"⚠ Mã chưa có trong DANH MỤC"))</f>
        <v/>
      </c>
      <c r="H1275" s="52"/>
      <c r="I1275" s="52"/>
    </row>
    <row r="1276" customFormat="false" ht="15" hidden="false" customHeight="false" outlineLevel="0" collapsed="false">
      <c r="A1276" s="50"/>
      <c r="B1276" s="51" t="str">
        <f aca="false">IF(A1276="","",MONTH(A1276))</f>
        <v/>
      </c>
      <c r="C1276" s="52"/>
      <c r="D1276" s="52"/>
      <c r="E1276" s="52"/>
      <c r="F1276" s="52"/>
      <c r="G1276" s="55" t="str">
        <f aca="false">IF(C1276="","",IFERROR(INDEX('DANH MỤC'!$B$5:$B$200,MATCH(C1276,'DANH MỤC'!$A$5:$A$200,0)),"⚠ Mã chưa có trong DANH MỤC"))</f>
        <v/>
      </c>
      <c r="H1276" s="52"/>
      <c r="I1276" s="52"/>
    </row>
    <row r="1277" customFormat="false" ht="15" hidden="false" customHeight="false" outlineLevel="0" collapsed="false">
      <c r="A1277" s="50"/>
      <c r="B1277" s="51" t="str">
        <f aca="false">IF(A1277="","",MONTH(A1277))</f>
        <v/>
      </c>
      <c r="C1277" s="52"/>
      <c r="D1277" s="52"/>
      <c r="E1277" s="52"/>
      <c r="F1277" s="52"/>
      <c r="G1277" s="55" t="str">
        <f aca="false">IF(C1277="","",IFERROR(INDEX('DANH MỤC'!$B$5:$B$200,MATCH(C1277,'DANH MỤC'!$A$5:$A$200,0)),"⚠ Mã chưa có trong DANH MỤC"))</f>
        <v/>
      </c>
      <c r="H1277" s="52"/>
      <c r="I1277" s="52"/>
    </row>
    <row r="1278" customFormat="false" ht="15" hidden="false" customHeight="false" outlineLevel="0" collapsed="false">
      <c r="A1278" s="50"/>
      <c r="B1278" s="51" t="str">
        <f aca="false">IF(A1278="","",MONTH(A1278))</f>
        <v/>
      </c>
      <c r="C1278" s="52"/>
      <c r="D1278" s="52"/>
      <c r="E1278" s="52"/>
      <c r="F1278" s="52"/>
      <c r="G1278" s="55" t="str">
        <f aca="false">IF(C1278="","",IFERROR(INDEX('DANH MỤC'!$B$5:$B$200,MATCH(C1278,'DANH MỤC'!$A$5:$A$200,0)),"⚠ Mã chưa có trong DANH MỤC"))</f>
        <v/>
      </c>
      <c r="H1278" s="52"/>
      <c r="I1278" s="52"/>
    </row>
    <row r="1279" customFormat="false" ht="15" hidden="false" customHeight="false" outlineLevel="0" collapsed="false">
      <c r="A1279" s="50"/>
      <c r="B1279" s="51" t="str">
        <f aca="false">IF(A1279="","",MONTH(A1279))</f>
        <v/>
      </c>
      <c r="C1279" s="52"/>
      <c r="D1279" s="52"/>
      <c r="E1279" s="52"/>
      <c r="F1279" s="52"/>
      <c r="G1279" s="55" t="str">
        <f aca="false">IF(C1279="","",IFERROR(INDEX('DANH MỤC'!$B$5:$B$200,MATCH(C1279,'DANH MỤC'!$A$5:$A$200,0)),"⚠ Mã chưa có trong DANH MỤC"))</f>
        <v/>
      </c>
      <c r="H1279" s="52"/>
      <c r="I1279" s="52"/>
    </row>
    <row r="1280" customFormat="false" ht="15" hidden="false" customHeight="false" outlineLevel="0" collapsed="false">
      <c r="A1280" s="50"/>
      <c r="B1280" s="51" t="str">
        <f aca="false">IF(A1280="","",MONTH(A1280))</f>
        <v/>
      </c>
      <c r="C1280" s="52"/>
      <c r="D1280" s="52"/>
      <c r="E1280" s="52"/>
      <c r="F1280" s="52"/>
      <c r="G1280" s="55" t="str">
        <f aca="false">IF(C1280="","",IFERROR(INDEX('DANH MỤC'!$B$5:$B$200,MATCH(C1280,'DANH MỤC'!$A$5:$A$200,0)),"⚠ Mã chưa có trong DANH MỤC"))</f>
        <v/>
      </c>
      <c r="H1280" s="52"/>
      <c r="I1280" s="52"/>
    </row>
    <row r="1281" customFormat="false" ht="15" hidden="false" customHeight="false" outlineLevel="0" collapsed="false">
      <c r="A1281" s="50"/>
      <c r="B1281" s="51" t="str">
        <f aca="false">IF(A1281="","",MONTH(A1281))</f>
        <v/>
      </c>
      <c r="C1281" s="52"/>
      <c r="D1281" s="52"/>
      <c r="E1281" s="52"/>
      <c r="F1281" s="52"/>
      <c r="G1281" s="55" t="str">
        <f aca="false">IF(C1281="","",IFERROR(INDEX('DANH MỤC'!$B$5:$B$200,MATCH(C1281,'DANH MỤC'!$A$5:$A$200,0)),"⚠ Mã chưa có trong DANH MỤC"))</f>
        <v/>
      </c>
      <c r="H1281" s="52"/>
      <c r="I1281" s="52"/>
    </row>
    <row r="1282" customFormat="false" ht="15" hidden="false" customHeight="false" outlineLevel="0" collapsed="false">
      <c r="A1282" s="50"/>
      <c r="B1282" s="51" t="str">
        <f aca="false">IF(A1282="","",MONTH(A1282))</f>
        <v/>
      </c>
      <c r="C1282" s="52"/>
      <c r="D1282" s="52"/>
      <c r="E1282" s="52"/>
      <c r="F1282" s="52"/>
      <c r="G1282" s="55" t="str">
        <f aca="false">IF(C1282="","",IFERROR(INDEX('DANH MỤC'!$B$5:$B$200,MATCH(C1282,'DANH MỤC'!$A$5:$A$200,0)),"⚠ Mã chưa có trong DANH MỤC"))</f>
        <v/>
      </c>
      <c r="H1282" s="52"/>
      <c r="I1282" s="52"/>
    </row>
    <row r="1283" customFormat="false" ht="15" hidden="false" customHeight="false" outlineLevel="0" collapsed="false">
      <c r="A1283" s="50"/>
      <c r="B1283" s="51" t="str">
        <f aca="false">IF(A1283="","",MONTH(A1283))</f>
        <v/>
      </c>
      <c r="C1283" s="52"/>
      <c r="D1283" s="52"/>
      <c r="E1283" s="52"/>
      <c r="F1283" s="52"/>
      <c r="G1283" s="55" t="str">
        <f aca="false">IF(C1283="","",IFERROR(INDEX('DANH MỤC'!$B$5:$B$200,MATCH(C1283,'DANH MỤC'!$A$5:$A$200,0)),"⚠ Mã chưa có trong DANH MỤC"))</f>
        <v/>
      </c>
      <c r="H1283" s="52"/>
      <c r="I1283" s="52"/>
    </row>
    <row r="1284" customFormat="false" ht="15" hidden="false" customHeight="false" outlineLevel="0" collapsed="false">
      <c r="A1284" s="50"/>
      <c r="B1284" s="51" t="str">
        <f aca="false">IF(A1284="","",MONTH(A1284))</f>
        <v/>
      </c>
      <c r="C1284" s="52"/>
      <c r="D1284" s="52"/>
      <c r="E1284" s="52"/>
      <c r="F1284" s="52"/>
      <c r="G1284" s="55" t="str">
        <f aca="false">IF(C1284="","",IFERROR(INDEX('DANH MỤC'!$B$5:$B$200,MATCH(C1284,'DANH MỤC'!$A$5:$A$200,0)),"⚠ Mã chưa có trong DANH MỤC"))</f>
        <v/>
      </c>
      <c r="H1284" s="52"/>
      <c r="I1284" s="52"/>
    </row>
    <row r="1285" customFormat="false" ht="15" hidden="false" customHeight="false" outlineLevel="0" collapsed="false">
      <c r="A1285" s="50"/>
      <c r="B1285" s="51" t="str">
        <f aca="false">IF(A1285="","",MONTH(A1285))</f>
        <v/>
      </c>
      <c r="C1285" s="52"/>
      <c r="D1285" s="52"/>
      <c r="E1285" s="52"/>
      <c r="F1285" s="52"/>
      <c r="G1285" s="55" t="str">
        <f aca="false">IF(C1285="","",IFERROR(INDEX('DANH MỤC'!$B$5:$B$200,MATCH(C1285,'DANH MỤC'!$A$5:$A$200,0)),"⚠ Mã chưa có trong DANH MỤC"))</f>
        <v/>
      </c>
      <c r="H1285" s="52"/>
      <c r="I1285" s="52"/>
    </row>
    <row r="1286" customFormat="false" ht="15" hidden="false" customHeight="false" outlineLevel="0" collapsed="false">
      <c r="A1286" s="50"/>
      <c r="B1286" s="51" t="str">
        <f aca="false">IF(A1286="","",MONTH(A1286))</f>
        <v/>
      </c>
      <c r="C1286" s="52"/>
      <c r="D1286" s="52"/>
      <c r="E1286" s="52"/>
      <c r="F1286" s="52"/>
      <c r="G1286" s="55" t="str">
        <f aca="false">IF(C1286="","",IFERROR(INDEX('DANH MỤC'!$B$5:$B$200,MATCH(C1286,'DANH MỤC'!$A$5:$A$200,0)),"⚠ Mã chưa có trong DANH MỤC"))</f>
        <v/>
      </c>
      <c r="H1286" s="52"/>
      <c r="I1286" s="52"/>
    </row>
    <row r="1287" customFormat="false" ht="15" hidden="false" customHeight="false" outlineLevel="0" collapsed="false">
      <c r="A1287" s="50"/>
      <c r="B1287" s="51" t="str">
        <f aca="false">IF(A1287="","",MONTH(A1287))</f>
        <v/>
      </c>
      <c r="C1287" s="52"/>
      <c r="D1287" s="52"/>
      <c r="E1287" s="52"/>
      <c r="F1287" s="52"/>
      <c r="G1287" s="55" t="str">
        <f aca="false">IF(C1287="","",IFERROR(INDEX('DANH MỤC'!$B$5:$B$200,MATCH(C1287,'DANH MỤC'!$A$5:$A$200,0)),"⚠ Mã chưa có trong DANH MỤC"))</f>
        <v/>
      </c>
      <c r="H1287" s="52"/>
      <c r="I1287" s="52"/>
    </row>
    <row r="1288" customFormat="false" ht="15" hidden="false" customHeight="false" outlineLevel="0" collapsed="false">
      <c r="A1288" s="50"/>
      <c r="B1288" s="51" t="str">
        <f aca="false">IF(A1288="","",MONTH(A1288))</f>
        <v/>
      </c>
      <c r="C1288" s="52"/>
      <c r="D1288" s="52"/>
      <c r="E1288" s="52"/>
      <c r="F1288" s="52"/>
      <c r="G1288" s="55" t="str">
        <f aca="false">IF(C1288="","",IFERROR(INDEX('DANH MỤC'!$B$5:$B$200,MATCH(C1288,'DANH MỤC'!$A$5:$A$200,0)),"⚠ Mã chưa có trong DANH MỤC"))</f>
        <v/>
      </c>
      <c r="H1288" s="52"/>
      <c r="I1288" s="52"/>
    </row>
    <row r="1289" customFormat="false" ht="15" hidden="false" customHeight="false" outlineLevel="0" collapsed="false">
      <c r="A1289" s="50"/>
      <c r="B1289" s="51" t="str">
        <f aca="false">IF(A1289="","",MONTH(A1289))</f>
        <v/>
      </c>
      <c r="C1289" s="52"/>
      <c r="D1289" s="52"/>
      <c r="E1289" s="52"/>
      <c r="F1289" s="52"/>
      <c r="G1289" s="55" t="str">
        <f aca="false">IF(C1289="","",IFERROR(INDEX('DANH MỤC'!$B$5:$B$200,MATCH(C1289,'DANH MỤC'!$A$5:$A$200,0)),"⚠ Mã chưa có trong DANH MỤC"))</f>
        <v/>
      </c>
      <c r="H1289" s="52"/>
      <c r="I1289" s="52"/>
    </row>
    <row r="1290" customFormat="false" ht="15" hidden="false" customHeight="false" outlineLevel="0" collapsed="false">
      <c r="A1290" s="50"/>
      <c r="B1290" s="51" t="str">
        <f aca="false">IF(A1290="","",MONTH(A1290))</f>
        <v/>
      </c>
      <c r="C1290" s="52"/>
      <c r="D1290" s="52"/>
      <c r="E1290" s="52"/>
      <c r="F1290" s="52"/>
      <c r="G1290" s="55" t="str">
        <f aca="false">IF(C1290="","",IFERROR(INDEX('DANH MỤC'!$B$5:$B$200,MATCH(C1290,'DANH MỤC'!$A$5:$A$200,0)),"⚠ Mã chưa có trong DANH MỤC"))</f>
        <v/>
      </c>
      <c r="H1290" s="52"/>
      <c r="I1290" s="52"/>
    </row>
    <row r="1291" customFormat="false" ht="15" hidden="false" customHeight="false" outlineLevel="0" collapsed="false">
      <c r="A1291" s="50"/>
      <c r="B1291" s="51" t="str">
        <f aca="false">IF(A1291="","",MONTH(A1291))</f>
        <v/>
      </c>
      <c r="C1291" s="52"/>
      <c r="D1291" s="52"/>
      <c r="E1291" s="52"/>
      <c r="F1291" s="52"/>
      <c r="G1291" s="55" t="str">
        <f aca="false">IF(C1291="","",IFERROR(INDEX('DANH MỤC'!$B$5:$B$200,MATCH(C1291,'DANH MỤC'!$A$5:$A$200,0)),"⚠ Mã chưa có trong DANH MỤC"))</f>
        <v/>
      </c>
      <c r="H1291" s="52"/>
      <c r="I1291" s="52"/>
    </row>
    <row r="1292" customFormat="false" ht="15" hidden="false" customHeight="false" outlineLevel="0" collapsed="false">
      <c r="A1292" s="50"/>
      <c r="B1292" s="51" t="str">
        <f aca="false">IF(A1292="","",MONTH(A1292))</f>
        <v/>
      </c>
      <c r="C1292" s="52"/>
      <c r="D1292" s="52"/>
      <c r="E1292" s="52"/>
      <c r="F1292" s="52"/>
      <c r="G1292" s="55" t="str">
        <f aca="false">IF(C1292="","",IFERROR(INDEX('DANH MỤC'!$B$5:$B$200,MATCH(C1292,'DANH MỤC'!$A$5:$A$200,0)),"⚠ Mã chưa có trong DANH MỤC"))</f>
        <v/>
      </c>
      <c r="H1292" s="52"/>
      <c r="I1292" s="52"/>
    </row>
    <row r="1293" customFormat="false" ht="15" hidden="false" customHeight="false" outlineLevel="0" collapsed="false">
      <c r="A1293" s="50"/>
      <c r="B1293" s="51" t="str">
        <f aca="false">IF(A1293="","",MONTH(A1293))</f>
        <v/>
      </c>
      <c r="C1293" s="52"/>
      <c r="D1293" s="52"/>
      <c r="E1293" s="52"/>
      <c r="F1293" s="52"/>
      <c r="G1293" s="55" t="str">
        <f aca="false">IF(C1293="","",IFERROR(INDEX('DANH MỤC'!$B$5:$B$200,MATCH(C1293,'DANH MỤC'!$A$5:$A$200,0)),"⚠ Mã chưa có trong DANH MỤC"))</f>
        <v/>
      </c>
      <c r="H1293" s="52"/>
      <c r="I1293" s="52"/>
    </row>
    <row r="1294" customFormat="false" ht="15" hidden="false" customHeight="false" outlineLevel="0" collapsed="false">
      <c r="A1294" s="50"/>
      <c r="B1294" s="51" t="str">
        <f aca="false">IF(A1294="","",MONTH(A1294))</f>
        <v/>
      </c>
      <c r="C1294" s="52"/>
      <c r="D1294" s="52"/>
      <c r="E1294" s="52"/>
      <c r="F1294" s="52"/>
      <c r="G1294" s="55" t="str">
        <f aca="false">IF(C1294="","",IFERROR(INDEX('DANH MỤC'!$B$5:$B$200,MATCH(C1294,'DANH MỤC'!$A$5:$A$200,0)),"⚠ Mã chưa có trong DANH MỤC"))</f>
        <v/>
      </c>
      <c r="H1294" s="52"/>
      <c r="I1294" s="52"/>
    </row>
    <row r="1295" customFormat="false" ht="15" hidden="false" customHeight="false" outlineLevel="0" collapsed="false">
      <c r="A1295" s="50"/>
      <c r="B1295" s="51" t="str">
        <f aca="false">IF(A1295="","",MONTH(A1295))</f>
        <v/>
      </c>
      <c r="C1295" s="52"/>
      <c r="D1295" s="52"/>
      <c r="E1295" s="52"/>
      <c r="F1295" s="52"/>
      <c r="G1295" s="55" t="str">
        <f aca="false">IF(C1295="","",IFERROR(INDEX('DANH MỤC'!$B$5:$B$200,MATCH(C1295,'DANH MỤC'!$A$5:$A$200,0)),"⚠ Mã chưa có trong DANH MỤC"))</f>
        <v/>
      </c>
      <c r="H1295" s="52"/>
      <c r="I1295" s="52"/>
    </row>
    <row r="1296" customFormat="false" ht="15" hidden="false" customHeight="false" outlineLevel="0" collapsed="false">
      <c r="A1296" s="50"/>
      <c r="B1296" s="51" t="str">
        <f aca="false">IF(A1296="","",MONTH(A1296))</f>
        <v/>
      </c>
      <c r="C1296" s="52"/>
      <c r="D1296" s="52"/>
      <c r="E1296" s="52"/>
      <c r="F1296" s="52"/>
      <c r="G1296" s="55" t="str">
        <f aca="false">IF(C1296="","",IFERROR(INDEX('DANH MỤC'!$B$5:$B$200,MATCH(C1296,'DANH MỤC'!$A$5:$A$200,0)),"⚠ Mã chưa có trong DANH MỤC"))</f>
        <v/>
      </c>
      <c r="H1296" s="52"/>
      <c r="I1296" s="52"/>
    </row>
    <row r="1297" customFormat="false" ht="15" hidden="false" customHeight="false" outlineLevel="0" collapsed="false">
      <c r="A1297" s="50"/>
      <c r="B1297" s="51" t="str">
        <f aca="false">IF(A1297="","",MONTH(A1297))</f>
        <v/>
      </c>
      <c r="C1297" s="52"/>
      <c r="D1297" s="52"/>
      <c r="E1297" s="52"/>
      <c r="F1297" s="52"/>
      <c r="G1297" s="55" t="str">
        <f aca="false">IF(C1297="","",IFERROR(INDEX('DANH MỤC'!$B$5:$B$200,MATCH(C1297,'DANH MỤC'!$A$5:$A$200,0)),"⚠ Mã chưa có trong DANH MỤC"))</f>
        <v/>
      </c>
      <c r="H1297" s="52"/>
      <c r="I1297" s="52"/>
    </row>
    <row r="1298" customFormat="false" ht="15" hidden="false" customHeight="false" outlineLevel="0" collapsed="false">
      <c r="A1298" s="50"/>
      <c r="B1298" s="51" t="str">
        <f aca="false">IF(A1298="","",MONTH(A1298))</f>
        <v/>
      </c>
      <c r="C1298" s="52"/>
      <c r="D1298" s="52"/>
      <c r="E1298" s="52"/>
      <c r="F1298" s="52"/>
      <c r="G1298" s="55" t="str">
        <f aca="false">IF(C1298="","",IFERROR(INDEX('DANH MỤC'!$B$5:$B$200,MATCH(C1298,'DANH MỤC'!$A$5:$A$200,0)),"⚠ Mã chưa có trong DANH MỤC"))</f>
        <v/>
      </c>
      <c r="H1298" s="52"/>
      <c r="I1298" s="52"/>
    </row>
    <row r="1299" customFormat="false" ht="15" hidden="false" customHeight="false" outlineLevel="0" collapsed="false">
      <c r="A1299" s="50"/>
      <c r="B1299" s="51" t="str">
        <f aca="false">IF(A1299="","",MONTH(A1299))</f>
        <v/>
      </c>
      <c r="C1299" s="52"/>
      <c r="D1299" s="52"/>
      <c r="E1299" s="52"/>
      <c r="F1299" s="52"/>
      <c r="G1299" s="55" t="str">
        <f aca="false">IF(C1299="","",IFERROR(INDEX('DANH MỤC'!$B$5:$B$200,MATCH(C1299,'DANH MỤC'!$A$5:$A$200,0)),"⚠ Mã chưa có trong DANH MỤC"))</f>
        <v/>
      </c>
      <c r="H1299" s="52"/>
      <c r="I1299" s="52"/>
    </row>
    <row r="1300" customFormat="false" ht="15" hidden="false" customHeight="false" outlineLevel="0" collapsed="false">
      <c r="A1300" s="50"/>
      <c r="B1300" s="51" t="str">
        <f aca="false">IF(A1300="","",MONTH(A1300))</f>
        <v/>
      </c>
      <c r="C1300" s="52"/>
      <c r="D1300" s="52"/>
      <c r="E1300" s="52"/>
      <c r="F1300" s="52"/>
      <c r="G1300" s="55" t="str">
        <f aca="false">IF(C1300="","",IFERROR(INDEX('DANH MỤC'!$B$5:$B$200,MATCH(C1300,'DANH MỤC'!$A$5:$A$200,0)),"⚠ Mã chưa có trong DANH MỤC"))</f>
        <v/>
      </c>
      <c r="H1300" s="52"/>
      <c r="I1300" s="52"/>
    </row>
    <row r="1301" customFormat="false" ht="15" hidden="false" customHeight="false" outlineLevel="0" collapsed="false">
      <c r="A1301" s="50"/>
      <c r="B1301" s="51" t="str">
        <f aca="false">IF(A1301="","",MONTH(A1301))</f>
        <v/>
      </c>
      <c r="C1301" s="52"/>
      <c r="D1301" s="52"/>
      <c r="E1301" s="52"/>
      <c r="F1301" s="52"/>
      <c r="G1301" s="55" t="str">
        <f aca="false">IF(C1301="","",IFERROR(INDEX('DANH MỤC'!$B$5:$B$200,MATCH(C1301,'DANH MỤC'!$A$5:$A$200,0)),"⚠ Mã chưa có trong DANH MỤC"))</f>
        <v/>
      </c>
      <c r="H1301" s="52"/>
      <c r="I1301" s="52"/>
    </row>
    <row r="1302" customFormat="false" ht="15" hidden="false" customHeight="false" outlineLevel="0" collapsed="false">
      <c r="A1302" s="50"/>
      <c r="B1302" s="51" t="str">
        <f aca="false">IF(A1302="","",MONTH(A1302))</f>
        <v/>
      </c>
      <c r="C1302" s="52"/>
      <c r="D1302" s="52"/>
      <c r="E1302" s="52"/>
      <c r="F1302" s="52"/>
      <c r="G1302" s="55" t="str">
        <f aca="false">IF(C1302="","",IFERROR(INDEX('DANH MỤC'!$B$5:$B$200,MATCH(C1302,'DANH MỤC'!$A$5:$A$200,0)),"⚠ Mã chưa có trong DANH MỤC"))</f>
        <v/>
      </c>
      <c r="H1302" s="52"/>
      <c r="I1302" s="52"/>
    </row>
    <row r="1303" customFormat="false" ht="15" hidden="false" customHeight="false" outlineLevel="0" collapsed="false">
      <c r="A1303" s="50"/>
      <c r="B1303" s="51" t="str">
        <f aca="false">IF(A1303="","",MONTH(A1303))</f>
        <v/>
      </c>
      <c r="C1303" s="52"/>
      <c r="D1303" s="52"/>
      <c r="E1303" s="52"/>
      <c r="F1303" s="52"/>
      <c r="G1303" s="55" t="str">
        <f aca="false">IF(C1303="","",IFERROR(INDEX('DANH MỤC'!$B$5:$B$200,MATCH(C1303,'DANH MỤC'!$A$5:$A$200,0)),"⚠ Mã chưa có trong DANH MỤC"))</f>
        <v/>
      </c>
      <c r="H1303" s="52"/>
      <c r="I1303" s="52"/>
    </row>
    <row r="1304" customFormat="false" ht="15" hidden="false" customHeight="false" outlineLevel="0" collapsed="false">
      <c r="A1304" s="50"/>
      <c r="B1304" s="51" t="str">
        <f aca="false">IF(A1304="","",MONTH(A1304))</f>
        <v/>
      </c>
      <c r="C1304" s="52"/>
      <c r="D1304" s="52"/>
      <c r="E1304" s="52"/>
      <c r="F1304" s="52"/>
      <c r="G1304" s="55" t="str">
        <f aca="false">IF(C1304="","",IFERROR(INDEX('DANH MỤC'!$B$5:$B$200,MATCH(C1304,'DANH MỤC'!$A$5:$A$200,0)),"⚠ Mã chưa có trong DANH MỤC"))</f>
        <v/>
      </c>
      <c r="H1304" s="52"/>
      <c r="I1304" s="52"/>
    </row>
    <row r="1305" customFormat="false" ht="15" hidden="false" customHeight="false" outlineLevel="0" collapsed="false">
      <c r="A1305" s="50"/>
      <c r="B1305" s="51" t="str">
        <f aca="false">IF(A1305="","",MONTH(A1305))</f>
        <v/>
      </c>
      <c r="C1305" s="52"/>
      <c r="D1305" s="52"/>
      <c r="E1305" s="52"/>
      <c r="F1305" s="52"/>
      <c r="G1305" s="55" t="str">
        <f aca="false">IF(C1305="","",IFERROR(INDEX('DANH MỤC'!$B$5:$B$200,MATCH(C1305,'DANH MỤC'!$A$5:$A$200,0)),"⚠ Mã chưa có trong DANH MỤC"))</f>
        <v/>
      </c>
      <c r="H1305" s="52"/>
      <c r="I1305" s="52"/>
    </row>
    <row r="1306" customFormat="false" ht="15" hidden="false" customHeight="false" outlineLevel="0" collapsed="false">
      <c r="A1306" s="50"/>
      <c r="B1306" s="51" t="str">
        <f aca="false">IF(A1306="","",MONTH(A1306))</f>
        <v/>
      </c>
      <c r="C1306" s="52"/>
      <c r="D1306" s="52"/>
      <c r="E1306" s="52"/>
      <c r="F1306" s="52"/>
      <c r="G1306" s="55" t="str">
        <f aca="false">IF(C1306="","",IFERROR(INDEX('DANH MỤC'!$B$5:$B$200,MATCH(C1306,'DANH MỤC'!$A$5:$A$200,0)),"⚠ Mã chưa có trong DANH MỤC"))</f>
        <v/>
      </c>
      <c r="H1306" s="52"/>
      <c r="I1306" s="52"/>
    </row>
    <row r="1307" customFormat="false" ht="15" hidden="false" customHeight="false" outlineLevel="0" collapsed="false">
      <c r="A1307" s="50"/>
      <c r="B1307" s="51" t="str">
        <f aca="false">IF(A1307="","",MONTH(A1307))</f>
        <v/>
      </c>
      <c r="C1307" s="52"/>
      <c r="D1307" s="52"/>
      <c r="E1307" s="52"/>
      <c r="F1307" s="52"/>
      <c r="G1307" s="55" t="str">
        <f aca="false">IF(C1307="","",IFERROR(INDEX('DANH MỤC'!$B$5:$B$200,MATCH(C1307,'DANH MỤC'!$A$5:$A$200,0)),"⚠ Mã chưa có trong DANH MỤC"))</f>
        <v/>
      </c>
      <c r="H1307" s="52"/>
      <c r="I1307" s="52"/>
    </row>
    <row r="1308" customFormat="false" ht="15" hidden="false" customHeight="false" outlineLevel="0" collapsed="false">
      <c r="A1308" s="50"/>
      <c r="B1308" s="51" t="str">
        <f aca="false">IF(A1308="","",MONTH(A1308))</f>
        <v/>
      </c>
      <c r="C1308" s="52"/>
      <c r="D1308" s="52"/>
      <c r="E1308" s="52"/>
      <c r="F1308" s="52"/>
      <c r="G1308" s="55" t="str">
        <f aca="false">IF(C1308="","",IFERROR(INDEX('DANH MỤC'!$B$5:$B$200,MATCH(C1308,'DANH MỤC'!$A$5:$A$200,0)),"⚠ Mã chưa có trong DANH MỤC"))</f>
        <v/>
      </c>
      <c r="H1308" s="52"/>
      <c r="I1308" s="52"/>
    </row>
    <row r="1309" customFormat="false" ht="15" hidden="false" customHeight="false" outlineLevel="0" collapsed="false">
      <c r="A1309" s="50"/>
      <c r="B1309" s="51" t="str">
        <f aca="false">IF(A1309="","",MONTH(A1309))</f>
        <v/>
      </c>
      <c r="C1309" s="52"/>
      <c r="D1309" s="52"/>
      <c r="E1309" s="52"/>
      <c r="F1309" s="52"/>
      <c r="G1309" s="55" t="str">
        <f aca="false">IF(C1309="","",IFERROR(INDEX('DANH MỤC'!$B$5:$B$200,MATCH(C1309,'DANH MỤC'!$A$5:$A$200,0)),"⚠ Mã chưa có trong DANH MỤC"))</f>
        <v/>
      </c>
      <c r="H1309" s="52"/>
      <c r="I1309" s="52"/>
    </row>
    <row r="1310" customFormat="false" ht="15" hidden="false" customHeight="false" outlineLevel="0" collapsed="false">
      <c r="A1310" s="50"/>
      <c r="B1310" s="51" t="str">
        <f aca="false">IF(A1310="","",MONTH(A1310))</f>
        <v/>
      </c>
      <c r="C1310" s="52"/>
      <c r="D1310" s="52"/>
      <c r="E1310" s="52"/>
      <c r="F1310" s="52"/>
      <c r="G1310" s="55" t="str">
        <f aca="false">IF(C1310="","",IFERROR(INDEX('DANH MỤC'!$B$5:$B$200,MATCH(C1310,'DANH MỤC'!$A$5:$A$200,0)),"⚠ Mã chưa có trong DANH MỤC"))</f>
        <v/>
      </c>
      <c r="H1310" s="52"/>
      <c r="I1310" s="52"/>
    </row>
    <row r="1311" customFormat="false" ht="15" hidden="false" customHeight="false" outlineLevel="0" collapsed="false">
      <c r="A1311" s="50"/>
      <c r="B1311" s="51" t="str">
        <f aca="false">IF(A1311="","",MONTH(A1311))</f>
        <v/>
      </c>
      <c r="C1311" s="52"/>
      <c r="D1311" s="52"/>
      <c r="E1311" s="52"/>
      <c r="F1311" s="52"/>
      <c r="G1311" s="55" t="str">
        <f aca="false">IF(C1311="","",IFERROR(INDEX('DANH MỤC'!$B$5:$B$200,MATCH(C1311,'DANH MỤC'!$A$5:$A$200,0)),"⚠ Mã chưa có trong DANH MỤC"))</f>
        <v/>
      </c>
      <c r="H1311" s="52"/>
      <c r="I1311" s="52"/>
    </row>
    <row r="1312" customFormat="false" ht="15" hidden="false" customHeight="false" outlineLevel="0" collapsed="false">
      <c r="A1312" s="50"/>
      <c r="B1312" s="51" t="str">
        <f aca="false">IF(A1312="","",MONTH(A1312))</f>
        <v/>
      </c>
      <c r="C1312" s="52"/>
      <c r="D1312" s="52"/>
      <c r="E1312" s="52"/>
      <c r="F1312" s="52"/>
      <c r="G1312" s="55" t="str">
        <f aca="false">IF(C1312="","",IFERROR(INDEX('DANH MỤC'!$B$5:$B$200,MATCH(C1312,'DANH MỤC'!$A$5:$A$200,0)),"⚠ Mã chưa có trong DANH MỤC"))</f>
        <v/>
      </c>
      <c r="H1312" s="52"/>
      <c r="I1312" s="52"/>
    </row>
    <row r="1313" customFormat="false" ht="15" hidden="false" customHeight="false" outlineLevel="0" collapsed="false">
      <c r="A1313" s="50"/>
      <c r="B1313" s="51" t="str">
        <f aca="false">IF(A1313="","",MONTH(A1313))</f>
        <v/>
      </c>
      <c r="C1313" s="52"/>
      <c r="D1313" s="52"/>
      <c r="E1313" s="52"/>
      <c r="F1313" s="52"/>
      <c r="G1313" s="55" t="str">
        <f aca="false">IF(C1313="","",IFERROR(INDEX('DANH MỤC'!$B$5:$B$200,MATCH(C1313,'DANH MỤC'!$A$5:$A$200,0)),"⚠ Mã chưa có trong DANH MỤC"))</f>
        <v/>
      </c>
      <c r="H1313" s="52"/>
      <c r="I1313" s="52"/>
    </row>
    <row r="1314" customFormat="false" ht="15" hidden="false" customHeight="false" outlineLevel="0" collapsed="false">
      <c r="A1314" s="50"/>
      <c r="B1314" s="51" t="str">
        <f aca="false">IF(A1314="","",MONTH(A1314))</f>
        <v/>
      </c>
      <c r="C1314" s="52"/>
      <c r="D1314" s="52"/>
      <c r="E1314" s="52"/>
      <c r="F1314" s="52"/>
      <c r="G1314" s="55" t="str">
        <f aca="false">IF(C1314="","",IFERROR(INDEX('DANH MỤC'!$B$5:$B$200,MATCH(C1314,'DANH MỤC'!$A$5:$A$200,0)),"⚠ Mã chưa có trong DANH MỤC"))</f>
        <v/>
      </c>
      <c r="H1314" s="52"/>
      <c r="I1314" s="52"/>
    </row>
    <row r="1315" customFormat="false" ht="15" hidden="false" customHeight="false" outlineLevel="0" collapsed="false">
      <c r="A1315" s="50"/>
      <c r="B1315" s="51" t="str">
        <f aca="false">IF(A1315="","",MONTH(A1315))</f>
        <v/>
      </c>
      <c r="C1315" s="52"/>
      <c r="D1315" s="52"/>
      <c r="E1315" s="52"/>
      <c r="F1315" s="52"/>
      <c r="G1315" s="55" t="str">
        <f aca="false">IF(C1315="","",IFERROR(INDEX('DANH MỤC'!$B$5:$B$200,MATCH(C1315,'DANH MỤC'!$A$5:$A$200,0)),"⚠ Mã chưa có trong DANH MỤC"))</f>
        <v/>
      </c>
      <c r="H1315" s="52"/>
      <c r="I1315" s="52"/>
    </row>
    <row r="1316" customFormat="false" ht="15" hidden="false" customHeight="false" outlineLevel="0" collapsed="false">
      <c r="A1316" s="50"/>
      <c r="B1316" s="51" t="str">
        <f aca="false">IF(A1316="","",MONTH(A1316))</f>
        <v/>
      </c>
      <c r="C1316" s="52"/>
      <c r="D1316" s="52"/>
      <c r="E1316" s="52"/>
      <c r="F1316" s="52"/>
      <c r="G1316" s="55" t="str">
        <f aca="false">IF(C1316="","",IFERROR(INDEX('DANH MỤC'!$B$5:$B$200,MATCH(C1316,'DANH MỤC'!$A$5:$A$200,0)),"⚠ Mã chưa có trong DANH MỤC"))</f>
        <v/>
      </c>
      <c r="H1316" s="52"/>
      <c r="I1316" s="52"/>
    </row>
    <row r="1317" customFormat="false" ht="15" hidden="false" customHeight="false" outlineLevel="0" collapsed="false">
      <c r="A1317" s="50"/>
      <c r="B1317" s="51" t="str">
        <f aca="false">IF(A1317="","",MONTH(A1317))</f>
        <v/>
      </c>
      <c r="C1317" s="52"/>
      <c r="D1317" s="52"/>
      <c r="E1317" s="52"/>
      <c r="F1317" s="52"/>
      <c r="G1317" s="55" t="str">
        <f aca="false">IF(C1317="","",IFERROR(INDEX('DANH MỤC'!$B$5:$B$200,MATCH(C1317,'DANH MỤC'!$A$5:$A$200,0)),"⚠ Mã chưa có trong DANH MỤC"))</f>
        <v/>
      </c>
      <c r="H1317" s="52"/>
      <c r="I1317" s="52"/>
    </row>
    <row r="1318" customFormat="false" ht="15" hidden="false" customHeight="false" outlineLevel="0" collapsed="false">
      <c r="A1318" s="50"/>
      <c r="B1318" s="51" t="str">
        <f aca="false">IF(A1318="","",MONTH(A1318))</f>
        <v/>
      </c>
      <c r="C1318" s="52"/>
      <c r="D1318" s="52"/>
      <c r="E1318" s="52"/>
      <c r="F1318" s="52"/>
      <c r="G1318" s="55" t="str">
        <f aca="false">IF(C1318="","",IFERROR(INDEX('DANH MỤC'!$B$5:$B$200,MATCH(C1318,'DANH MỤC'!$A$5:$A$200,0)),"⚠ Mã chưa có trong DANH MỤC"))</f>
        <v/>
      </c>
      <c r="H1318" s="52"/>
      <c r="I1318" s="52"/>
    </row>
    <row r="1319" customFormat="false" ht="15" hidden="false" customHeight="false" outlineLevel="0" collapsed="false">
      <c r="A1319" s="50"/>
      <c r="B1319" s="51" t="str">
        <f aca="false">IF(A1319="","",MONTH(A1319))</f>
        <v/>
      </c>
      <c r="C1319" s="52"/>
      <c r="D1319" s="52"/>
      <c r="E1319" s="52"/>
      <c r="F1319" s="52"/>
      <c r="G1319" s="55" t="str">
        <f aca="false">IF(C1319="","",IFERROR(INDEX('DANH MỤC'!$B$5:$B$200,MATCH(C1319,'DANH MỤC'!$A$5:$A$200,0)),"⚠ Mã chưa có trong DANH MỤC"))</f>
        <v/>
      </c>
      <c r="H1319" s="52"/>
      <c r="I1319" s="52"/>
    </row>
    <row r="1320" customFormat="false" ht="15" hidden="false" customHeight="false" outlineLevel="0" collapsed="false">
      <c r="A1320" s="50"/>
      <c r="B1320" s="51" t="str">
        <f aca="false">IF(A1320="","",MONTH(A1320))</f>
        <v/>
      </c>
      <c r="C1320" s="52"/>
      <c r="D1320" s="52"/>
      <c r="E1320" s="52"/>
      <c r="F1320" s="52"/>
      <c r="G1320" s="55" t="str">
        <f aca="false">IF(C1320="","",IFERROR(INDEX('DANH MỤC'!$B$5:$B$200,MATCH(C1320,'DANH MỤC'!$A$5:$A$200,0)),"⚠ Mã chưa có trong DANH MỤC"))</f>
        <v/>
      </c>
      <c r="H1320" s="52"/>
      <c r="I1320" s="52"/>
    </row>
    <row r="1321" customFormat="false" ht="15" hidden="false" customHeight="false" outlineLevel="0" collapsed="false">
      <c r="A1321" s="50"/>
      <c r="B1321" s="51" t="str">
        <f aca="false">IF(A1321="","",MONTH(A1321))</f>
        <v/>
      </c>
      <c r="C1321" s="52"/>
      <c r="D1321" s="52"/>
      <c r="E1321" s="52"/>
      <c r="F1321" s="52"/>
      <c r="G1321" s="55" t="str">
        <f aca="false">IF(C1321="","",IFERROR(INDEX('DANH MỤC'!$B$5:$B$200,MATCH(C1321,'DANH MỤC'!$A$5:$A$200,0)),"⚠ Mã chưa có trong DANH MỤC"))</f>
        <v/>
      </c>
      <c r="H1321" s="52"/>
      <c r="I1321" s="52"/>
    </row>
    <row r="1322" customFormat="false" ht="15" hidden="false" customHeight="false" outlineLevel="0" collapsed="false">
      <c r="A1322" s="50"/>
      <c r="B1322" s="51" t="str">
        <f aca="false">IF(A1322="","",MONTH(A1322))</f>
        <v/>
      </c>
      <c r="C1322" s="52"/>
      <c r="D1322" s="52"/>
      <c r="E1322" s="52"/>
      <c r="F1322" s="52"/>
      <c r="G1322" s="55" t="str">
        <f aca="false">IF(C1322="","",IFERROR(INDEX('DANH MỤC'!$B$5:$B$200,MATCH(C1322,'DANH MỤC'!$A$5:$A$200,0)),"⚠ Mã chưa có trong DANH MỤC"))</f>
        <v/>
      </c>
      <c r="H1322" s="52"/>
      <c r="I1322" s="52"/>
    </row>
    <row r="1323" customFormat="false" ht="15" hidden="false" customHeight="false" outlineLevel="0" collapsed="false">
      <c r="A1323" s="50"/>
      <c r="B1323" s="51" t="str">
        <f aca="false">IF(A1323="","",MONTH(A1323))</f>
        <v/>
      </c>
      <c r="C1323" s="52"/>
      <c r="D1323" s="52"/>
      <c r="E1323" s="52"/>
      <c r="F1323" s="52"/>
      <c r="G1323" s="55" t="str">
        <f aca="false">IF(C1323="","",IFERROR(INDEX('DANH MỤC'!$B$5:$B$200,MATCH(C1323,'DANH MỤC'!$A$5:$A$200,0)),"⚠ Mã chưa có trong DANH MỤC"))</f>
        <v/>
      </c>
      <c r="H1323" s="52"/>
      <c r="I1323" s="52"/>
    </row>
    <row r="1324" customFormat="false" ht="15" hidden="false" customHeight="false" outlineLevel="0" collapsed="false">
      <c r="A1324" s="50"/>
      <c r="B1324" s="51" t="str">
        <f aca="false">IF(A1324="","",MONTH(A1324))</f>
        <v/>
      </c>
      <c r="C1324" s="52"/>
      <c r="D1324" s="52"/>
      <c r="E1324" s="52"/>
      <c r="F1324" s="52"/>
      <c r="G1324" s="55" t="str">
        <f aca="false">IF(C1324="","",IFERROR(INDEX('DANH MỤC'!$B$5:$B$200,MATCH(C1324,'DANH MỤC'!$A$5:$A$200,0)),"⚠ Mã chưa có trong DANH MỤC"))</f>
        <v/>
      </c>
      <c r="H1324" s="52"/>
      <c r="I1324" s="52"/>
    </row>
    <row r="1325" customFormat="false" ht="15" hidden="false" customHeight="false" outlineLevel="0" collapsed="false">
      <c r="A1325" s="50"/>
      <c r="B1325" s="51" t="str">
        <f aca="false">IF(A1325="","",MONTH(A1325))</f>
        <v/>
      </c>
      <c r="C1325" s="52"/>
      <c r="D1325" s="52"/>
      <c r="E1325" s="52"/>
      <c r="F1325" s="52"/>
      <c r="G1325" s="55" t="str">
        <f aca="false">IF(C1325="","",IFERROR(INDEX('DANH MỤC'!$B$5:$B$200,MATCH(C1325,'DANH MỤC'!$A$5:$A$200,0)),"⚠ Mã chưa có trong DANH MỤC"))</f>
        <v/>
      </c>
      <c r="H1325" s="52"/>
      <c r="I1325" s="52"/>
    </row>
    <row r="1326" customFormat="false" ht="15" hidden="false" customHeight="false" outlineLevel="0" collapsed="false">
      <c r="A1326" s="50"/>
      <c r="B1326" s="51" t="str">
        <f aca="false">IF(A1326="","",MONTH(A1326))</f>
        <v/>
      </c>
      <c r="C1326" s="52"/>
      <c r="D1326" s="52"/>
      <c r="E1326" s="52"/>
      <c r="F1326" s="52"/>
      <c r="G1326" s="55" t="str">
        <f aca="false">IF(C1326="","",IFERROR(INDEX('DANH MỤC'!$B$5:$B$200,MATCH(C1326,'DANH MỤC'!$A$5:$A$200,0)),"⚠ Mã chưa có trong DANH MỤC"))</f>
        <v/>
      </c>
      <c r="H1326" s="52"/>
      <c r="I1326" s="52"/>
    </row>
    <row r="1327" customFormat="false" ht="15" hidden="false" customHeight="false" outlineLevel="0" collapsed="false">
      <c r="A1327" s="50"/>
      <c r="B1327" s="51" t="str">
        <f aca="false">IF(A1327="","",MONTH(A1327))</f>
        <v/>
      </c>
      <c r="C1327" s="52"/>
      <c r="D1327" s="52"/>
      <c r="E1327" s="52"/>
      <c r="F1327" s="52"/>
      <c r="G1327" s="55" t="str">
        <f aca="false">IF(C1327="","",IFERROR(INDEX('DANH MỤC'!$B$5:$B$200,MATCH(C1327,'DANH MỤC'!$A$5:$A$200,0)),"⚠ Mã chưa có trong DANH MỤC"))</f>
        <v/>
      </c>
      <c r="H1327" s="52"/>
      <c r="I1327" s="52"/>
    </row>
    <row r="1328" customFormat="false" ht="15" hidden="false" customHeight="false" outlineLevel="0" collapsed="false">
      <c r="A1328" s="50"/>
      <c r="B1328" s="51" t="str">
        <f aca="false">IF(A1328="","",MONTH(A1328))</f>
        <v/>
      </c>
      <c r="C1328" s="52"/>
      <c r="D1328" s="52"/>
      <c r="E1328" s="52"/>
      <c r="F1328" s="52"/>
      <c r="G1328" s="55" t="str">
        <f aca="false">IF(C1328="","",IFERROR(INDEX('DANH MỤC'!$B$5:$B$200,MATCH(C1328,'DANH MỤC'!$A$5:$A$200,0)),"⚠ Mã chưa có trong DANH MỤC"))</f>
        <v/>
      </c>
      <c r="H1328" s="52"/>
      <c r="I1328" s="52"/>
    </row>
    <row r="1329" customFormat="false" ht="15" hidden="false" customHeight="false" outlineLevel="0" collapsed="false">
      <c r="A1329" s="50"/>
      <c r="B1329" s="51" t="str">
        <f aca="false">IF(A1329="","",MONTH(A1329))</f>
        <v/>
      </c>
      <c r="C1329" s="52"/>
      <c r="D1329" s="52"/>
      <c r="E1329" s="52"/>
      <c r="F1329" s="52"/>
      <c r="G1329" s="55" t="str">
        <f aca="false">IF(C1329="","",IFERROR(INDEX('DANH MỤC'!$B$5:$B$200,MATCH(C1329,'DANH MỤC'!$A$5:$A$200,0)),"⚠ Mã chưa có trong DANH MỤC"))</f>
        <v/>
      </c>
      <c r="H1329" s="52"/>
      <c r="I1329" s="52"/>
    </row>
    <row r="1330" customFormat="false" ht="15" hidden="false" customHeight="false" outlineLevel="0" collapsed="false">
      <c r="A1330" s="50"/>
      <c r="B1330" s="51" t="str">
        <f aca="false">IF(A1330="","",MONTH(A1330))</f>
        <v/>
      </c>
      <c r="C1330" s="52"/>
      <c r="D1330" s="52"/>
      <c r="E1330" s="52"/>
      <c r="F1330" s="52"/>
      <c r="G1330" s="55" t="str">
        <f aca="false">IF(C1330="","",IFERROR(INDEX('DANH MỤC'!$B$5:$B$200,MATCH(C1330,'DANH MỤC'!$A$5:$A$200,0)),"⚠ Mã chưa có trong DANH MỤC"))</f>
        <v/>
      </c>
      <c r="H1330" s="52"/>
      <c r="I1330" s="52"/>
    </row>
    <row r="1331" customFormat="false" ht="15" hidden="false" customHeight="false" outlineLevel="0" collapsed="false">
      <c r="A1331" s="50"/>
      <c r="B1331" s="51" t="str">
        <f aca="false">IF(A1331="","",MONTH(A1331))</f>
        <v/>
      </c>
      <c r="C1331" s="52"/>
      <c r="D1331" s="52"/>
      <c r="E1331" s="52"/>
      <c r="F1331" s="52"/>
      <c r="G1331" s="55" t="str">
        <f aca="false">IF(C1331="","",IFERROR(INDEX('DANH MỤC'!$B$5:$B$200,MATCH(C1331,'DANH MỤC'!$A$5:$A$200,0)),"⚠ Mã chưa có trong DANH MỤC"))</f>
        <v/>
      </c>
      <c r="H1331" s="52"/>
      <c r="I1331" s="52"/>
    </row>
    <row r="1332" customFormat="false" ht="15" hidden="false" customHeight="false" outlineLevel="0" collapsed="false">
      <c r="A1332" s="50"/>
      <c r="B1332" s="51" t="str">
        <f aca="false">IF(A1332="","",MONTH(A1332))</f>
        <v/>
      </c>
      <c r="C1332" s="52"/>
      <c r="D1332" s="52"/>
      <c r="E1332" s="52"/>
      <c r="F1332" s="52"/>
      <c r="G1332" s="55" t="str">
        <f aca="false">IF(C1332="","",IFERROR(INDEX('DANH MỤC'!$B$5:$B$200,MATCH(C1332,'DANH MỤC'!$A$5:$A$200,0)),"⚠ Mã chưa có trong DANH MỤC"))</f>
        <v/>
      </c>
      <c r="H1332" s="52"/>
      <c r="I1332" s="52"/>
    </row>
    <row r="1333" customFormat="false" ht="15" hidden="false" customHeight="false" outlineLevel="0" collapsed="false">
      <c r="A1333" s="50"/>
      <c r="B1333" s="51" t="str">
        <f aca="false">IF(A1333="","",MONTH(A1333))</f>
        <v/>
      </c>
      <c r="C1333" s="52"/>
      <c r="D1333" s="52"/>
      <c r="E1333" s="52"/>
      <c r="F1333" s="52"/>
      <c r="G1333" s="55" t="str">
        <f aca="false">IF(C1333="","",IFERROR(INDEX('DANH MỤC'!$B$5:$B$200,MATCH(C1333,'DANH MỤC'!$A$5:$A$200,0)),"⚠ Mã chưa có trong DANH MỤC"))</f>
        <v/>
      </c>
      <c r="H1333" s="52"/>
      <c r="I1333" s="52"/>
    </row>
    <row r="1334" customFormat="false" ht="15" hidden="false" customHeight="false" outlineLevel="0" collapsed="false">
      <c r="A1334" s="50"/>
      <c r="B1334" s="51" t="str">
        <f aca="false">IF(A1334="","",MONTH(A1334))</f>
        <v/>
      </c>
      <c r="C1334" s="52"/>
      <c r="D1334" s="52"/>
      <c r="E1334" s="52"/>
      <c r="F1334" s="52"/>
      <c r="G1334" s="55" t="str">
        <f aca="false">IF(C1334="","",IFERROR(INDEX('DANH MỤC'!$B$5:$B$200,MATCH(C1334,'DANH MỤC'!$A$5:$A$200,0)),"⚠ Mã chưa có trong DANH MỤC"))</f>
        <v/>
      </c>
      <c r="H1334" s="52"/>
      <c r="I1334" s="52"/>
    </row>
    <row r="1335" customFormat="false" ht="15" hidden="false" customHeight="false" outlineLevel="0" collapsed="false">
      <c r="A1335" s="50"/>
      <c r="B1335" s="51" t="str">
        <f aca="false">IF(A1335="","",MONTH(A1335))</f>
        <v/>
      </c>
      <c r="C1335" s="52"/>
      <c r="D1335" s="52"/>
      <c r="E1335" s="52"/>
      <c r="F1335" s="52"/>
      <c r="G1335" s="55" t="str">
        <f aca="false">IF(C1335="","",IFERROR(INDEX('DANH MỤC'!$B$5:$B$200,MATCH(C1335,'DANH MỤC'!$A$5:$A$200,0)),"⚠ Mã chưa có trong DANH MỤC"))</f>
        <v/>
      </c>
      <c r="H1335" s="52"/>
      <c r="I1335" s="52"/>
    </row>
    <row r="1336" customFormat="false" ht="15" hidden="false" customHeight="false" outlineLevel="0" collapsed="false">
      <c r="A1336" s="50"/>
      <c r="B1336" s="51" t="str">
        <f aca="false">IF(A1336="","",MONTH(A1336))</f>
        <v/>
      </c>
      <c r="C1336" s="52"/>
      <c r="D1336" s="52"/>
      <c r="E1336" s="52"/>
      <c r="F1336" s="52"/>
      <c r="G1336" s="55" t="str">
        <f aca="false">IF(C1336="","",IFERROR(INDEX('DANH MỤC'!$B$5:$B$200,MATCH(C1336,'DANH MỤC'!$A$5:$A$200,0)),"⚠ Mã chưa có trong DANH MỤC"))</f>
        <v/>
      </c>
      <c r="H1336" s="52"/>
      <c r="I1336" s="52"/>
    </row>
    <row r="1337" customFormat="false" ht="15" hidden="false" customHeight="false" outlineLevel="0" collapsed="false">
      <c r="A1337" s="50"/>
      <c r="B1337" s="51" t="str">
        <f aca="false">IF(A1337="","",MONTH(A1337))</f>
        <v/>
      </c>
      <c r="C1337" s="52"/>
      <c r="D1337" s="52"/>
      <c r="E1337" s="52"/>
      <c r="F1337" s="52"/>
      <c r="G1337" s="55" t="str">
        <f aca="false">IF(C1337="","",IFERROR(INDEX('DANH MỤC'!$B$5:$B$200,MATCH(C1337,'DANH MỤC'!$A$5:$A$200,0)),"⚠ Mã chưa có trong DANH MỤC"))</f>
        <v/>
      </c>
      <c r="H1337" s="52"/>
      <c r="I1337" s="52"/>
    </row>
    <row r="1338" customFormat="false" ht="15" hidden="false" customHeight="false" outlineLevel="0" collapsed="false">
      <c r="A1338" s="50"/>
      <c r="B1338" s="51" t="str">
        <f aca="false">IF(A1338="","",MONTH(A1338))</f>
        <v/>
      </c>
      <c r="C1338" s="52"/>
      <c r="D1338" s="52"/>
      <c r="E1338" s="52"/>
      <c r="F1338" s="52"/>
      <c r="G1338" s="55" t="str">
        <f aca="false">IF(C1338="","",IFERROR(INDEX('DANH MỤC'!$B$5:$B$200,MATCH(C1338,'DANH MỤC'!$A$5:$A$200,0)),"⚠ Mã chưa có trong DANH MỤC"))</f>
        <v/>
      </c>
      <c r="H1338" s="52"/>
      <c r="I1338" s="52"/>
    </row>
    <row r="1339" customFormat="false" ht="15" hidden="false" customHeight="false" outlineLevel="0" collapsed="false">
      <c r="A1339" s="50"/>
      <c r="B1339" s="51" t="str">
        <f aca="false">IF(A1339="","",MONTH(A1339))</f>
        <v/>
      </c>
      <c r="C1339" s="52"/>
      <c r="D1339" s="52"/>
      <c r="E1339" s="52"/>
      <c r="F1339" s="52"/>
      <c r="G1339" s="55" t="str">
        <f aca="false">IF(C1339="","",IFERROR(INDEX('DANH MỤC'!$B$5:$B$200,MATCH(C1339,'DANH MỤC'!$A$5:$A$200,0)),"⚠ Mã chưa có trong DANH MỤC"))</f>
        <v/>
      </c>
      <c r="H1339" s="52"/>
      <c r="I1339" s="52"/>
    </row>
    <row r="1340" customFormat="false" ht="15" hidden="false" customHeight="false" outlineLevel="0" collapsed="false">
      <c r="A1340" s="50"/>
      <c r="B1340" s="51" t="str">
        <f aca="false">IF(A1340="","",MONTH(A1340))</f>
        <v/>
      </c>
      <c r="C1340" s="52"/>
      <c r="D1340" s="52"/>
      <c r="E1340" s="52"/>
      <c r="F1340" s="52"/>
      <c r="G1340" s="55" t="str">
        <f aca="false">IF(C1340="","",IFERROR(INDEX('DANH MỤC'!$B$5:$B$200,MATCH(C1340,'DANH MỤC'!$A$5:$A$200,0)),"⚠ Mã chưa có trong DANH MỤC"))</f>
        <v/>
      </c>
      <c r="H1340" s="52"/>
      <c r="I1340" s="52"/>
    </row>
    <row r="1341" customFormat="false" ht="15" hidden="false" customHeight="false" outlineLevel="0" collapsed="false">
      <c r="A1341" s="50"/>
      <c r="B1341" s="51" t="str">
        <f aca="false">IF(A1341="","",MONTH(A1341))</f>
        <v/>
      </c>
      <c r="C1341" s="52"/>
      <c r="D1341" s="52"/>
      <c r="E1341" s="52"/>
      <c r="F1341" s="52"/>
      <c r="G1341" s="55" t="str">
        <f aca="false">IF(C1341="","",IFERROR(INDEX('DANH MỤC'!$B$5:$B$200,MATCH(C1341,'DANH MỤC'!$A$5:$A$200,0)),"⚠ Mã chưa có trong DANH MỤC"))</f>
        <v/>
      </c>
      <c r="H1341" s="52"/>
      <c r="I1341" s="52"/>
    </row>
    <row r="1342" customFormat="false" ht="15" hidden="false" customHeight="false" outlineLevel="0" collapsed="false">
      <c r="A1342" s="50"/>
      <c r="B1342" s="51" t="str">
        <f aca="false">IF(A1342="","",MONTH(A1342))</f>
        <v/>
      </c>
      <c r="C1342" s="52"/>
      <c r="D1342" s="52"/>
      <c r="E1342" s="52"/>
      <c r="F1342" s="52"/>
      <c r="G1342" s="55" t="str">
        <f aca="false">IF(C1342="","",IFERROR(INDEX('DANH MỤC'!$B$5:$B$200,MATCH(C1342,'DANH MỤC'!$A$5:$A$200,0)),"⚠ Mã chưa có trong DANH MỤC"))</f>
        <v/>
      </c>
      <c r="H1342" s="52"/>
      <c r="I1342" s="52"/>
    </row>
    <row r="1343" customFormat="false" ht="15" hidden="false" customHeight="false" outlineLevel="0" collapsed="false">
      <c r="A1343" s="50"/>
      <c r="B1343" s="51" t="str">
        <f aca="false">IF(A1343="","",MONTH(A1343))</f>
        <v/>
      </c>
      <c r="C1343" s="52"/>
      <c r="D1343" s="52"/>
      <c r="E1343" s="52"/>
      <c r="F1343" s="52"/>
      <c r="G1343" s="55" t="str">
        <f aca="false">IF(C1343="","",IFERROR(INDEX('DANH MỤC'!$B$5:$B$200,MATCH(C1343,'DANH MỤC'!$A$5:$A$200,0)),"⚠ Mã chưa có trong DANH MỤC"))</f>
        <v/>
      </c>
      <c r="H1343" s="52"/>
      <c r="I1343" s="52"/>
    </row>
    <row r="1344" customFormat="false" ht="15" hidden="false" customHeight="false" outlineLevel="0" collapsed="false">
      <c r="A1344" s="50"/>
      <c r="B1344" s="51" t="str">
        <f aca="false">IF(A1344="","",MONTH(A1344))</f>
        <v/>
      </c>
      <c r="C1344" s="52"/>
      <c r="D1344" s="52"/>
      <c r="E1344" s="52"/>
      <c r="F1344" s="52"/>
      <c r="G1344" s="55" t="str">
        <f aca="false">IF(C1344="","",IFERROR(INDEX('DANH MỤC'!$B$5:$B$200,MATCH(C1344,'DANH MỤC'!$A$5:$A$200,0)),"⚠ Mã chưa có trong DANH MỤC"))</f>
        <v/>
      </c>
      <c r="H1344" s="52"/>
      <c r="I1344" s="52"/>
    </row>
    <row r="1345" customFormat="false" ht="15" hidden="false" customHeight="false" outlineLevel="0" collapsed="false">
      <c r="A1345" s="50"/>
      <c r="B1345" s="51" t="str">
        <f aca="false">IF(A1345="","",MONTH(A1345))</f>
        <v/>
      </c>
      <c r="C1345" s="52"/>
      <c r="D1345" s="52"/>
      <c r="E1345" s="52"/>
      <c r="F1345" s="52"/>
      <c r="G1345" s="55" t="str">
        <f aca="false">IF(C1345="","",IFERROR(INDEX('DANH MỤC'!$B$5:$B$200,MATCH(C1345,'DANH MỤC'!$A$5:$A$200,0)),"⚠ Mã chưa có trong DANH MỤC"))</f>
        <v/>
      </c>
      <c r="H1345" s="52"/>
      <c r="I1345" s="52"/>
    </row>
    <row r="1346" customFormat="false" ht="15" hidden="false" customHeight="false" outlineLevel="0" collapsed="false">
      <c r="A1346" s="50"/>
      <c r="B1346" s="51" t="str">
        <f aca="false">IF(A1346="","",MONTH(A1346))</f>
        <v/>
      </c>
      <c r="C1346" s="52"/>
      <c r="D1346" s="52"/>
      <c r="E1346" s="52"/>
      <c r="F1346" s="52"/>
      <c r="G1346" s="55" t="str">
        <f aca="false">IF(C1346="","",IFERROR(INDEX('DANH MỤC'!$B$5:$B$200,MATCH(C1346,'DANH MỤC'!$A$5:$A$200,0)),"⚠ Mã chưa có trong DANH MỤC"))</f>
        <v/>
      </c>
      <c r="H1346" s="52"/>
      <c r="I1346" s="52"/>
    </row>
    <row r="1347" customFormat="false" ht="15" hidden="false" customHeight="false" outlineLevel="0" collapsed="false">
      <c r="A1347" s="50"/>
      <c r="B1347" s="51" t="str">
        <f aca="false">IF(A1347="","",MONTH(A1347))</f>
        <v/>
      </c>
      <c r="C1347" s="52"/>
      <c r="D1347" s="52"/>
      <c r="E1347" s="52"/>
      <c r="F1347" s="52"/>
      <c r="G1347" s="55" t="str">
        <f aca="false">IF(C1347="","",IFERROR(INDEX('DANH MỤC'!$B$5:$B$200,MATCH(C1347,'DANH MỤC'!$A$5:$A$200,0)),"⚠ Mã chưa có trong DANH MỤC"))</f>
        <v/>
      </c>
      <c r="H1347" s="52"/>
      <c r="I1347" s="52"/>
    </row>
    <row r="1348" customFormat="false" ht="15" hidden="false" customHeight="false" outlineLevel="0" collapsed="false">
      <c r="A1348" s="50"/>
      <c r="B1348" s="51" t="str">
        <f aca="false">IF(A1348="","",MONTH(A1348))</f>
        <v/>
      </c>
      <c r="C1348" s="52"/>
      <c r="D1348" s="52"/>
      <c r="E1348" s="52"/>
      <c r="F1348" s="52"/>
      <c r="G1348" s="55" t="str">
        <f aca="false">IF(C1348="","",IFERROR(INDEX('DANH MỤC'!$B$5:$B$200,MATCH(C1348,'DANH MỤC'!$A$5:$A$200,0)),"⚠ Mã chưa có trong DANH MỤC"))</f>
        <v/>
      </c>
      <c r="H1348" s="52"/>
      <c r="I1348" s="52"/>
    </row>
    <row r="1349" customFormat="false" ht="15" hidden="false" customHeight="false" outlineLevel="0" collapsed="false">
      <c r="A1349" s="50"/>
      <c r="B1349" s="51" t="str">
        <f aca="false">IF(A1349="","",MONTH(A1349))</f>
        <v/>
      </c>
      <c r="C1349" s="52"/>
      <c r="D1349" s="52"/>
      <c r="E1349" s="52"/>
      <c r="F1349" s="52"/>
      <c r="G1349" s="55" t="str">
        <f aca="false">IF(C1349="","",IFERROR(INDEX('DANH MỤC'!$B$5:$B$200,MATCH(C1349,'DANH MỤC'!$A$5:$A$200,0)),"⚠ Mã chưa có trong DANH MỤC"))</f>
        <v/>
      </c>
      <c r="H1349" s="52"/>
      <c r="I1349" s="52"/>
    </row>
    <row r="1350" customFormat="false" ht="15" hidden="false" customHeight="false" outlineLevel="0" collapsed="false">
      <c r="A1350" s="50"/>
      <c r="B1350" s="51" t="str">
        <f aca="false">IF(A1350="","",MONTH(A1350))</f>
        <v/>
      </c>
      <c r="C1350" s="52"/>
      <c r="D1350" s="52"/>
      <c r="E1350" s="52"/>
      <c r="F1350" s="52"/>
      <c r="G1350" s="55" t="str">
        <f aca="false">IF(C1350="","",IFERROR(INDEX('DANH MỤC'!$B$5:$B$200,MATCH(C1350,'DANH MỤC'!$A$5:$A$200,0)),"⚠ Mã chưa có trong DANH MỤC"))</f>
        <v/>
      </c>
      <c r="H1350" s="52"/>
      <c r="I1350" s="52"/>
    </row>
    <row r="1351" customFormat="false" ht="15" hidden="false" customHeight="false" outlineLevel="0" collapsed="false">
      <c r="A1351" s="50"/>
      <c r="B1351" s="51" t="str">
        <f aca="false">IF(A1351="","",MONTH(A1351))</f>
        <v/>
      </c>
      <c r="C1351" s="52"/>
      <c r="D1351" s="52"/>
      <c r="E1351" s="52"/>
      <c r="F1351" s="52"/>
      <c r="G1351" s="55" t="str">
        <f aca="false">IF(C1351="","",IFERROR(INDEX('DANH MỤC'!$B$5:$B$200,MATCH(C1351,'DANH MỤC'!$A$5:$A$200,0)),"⚠ Mã chưa có trong DANH MỤC"))</f>
        <v/>
      </c>
      <c r="H1351" s="52"/>
      <c r="I1351" s="52"/>
    </row>
    <row r="1352" customFormat="false" ht="15" hidden="false" customHeight="false" outlineLevel="0" collapsed="false">
      <c r="A1352" s="50"/>
      <c r="B1352" s="51" t="str">
        <f aca="false">IF(A1352="","",MONTH(A1352))</f>
        <v/>
      </c>
      <c r="C1352" s="52"/>
      <c r="D1352" s="52"/>
      <c r="E1352" s="52"/>
      <c r="F1352" s="52"/>
      <c r="G1352" s="55" t="str">
        <f aca="false">IF(C1352="","",IFERROR(INDEX('DANH MỤC'!$B$5:$B$200,MATCH(C1352,'DANH MỤC'!$A$5:$A$200,0)),"⚠ Mã chưa có trong DANH MỤC"))</f>
        <v/>
      </c>
      <c r="H1352" s="52"/>
      <c r="I1352" s="52"/>
    </row>
    <row r="1353" customFormat="false" ht="15" hidden="false" customHeight="false" outlineLevel="0" collapsed="false">
      <c r="A1353" s="50"/>
      <c r="B1353" s="51" t="str">
        <f aca="false">IF(A1353="","",MONTH(A1353))</f>
        <v/>
      </c>
      <c r="C1353" s="52"/>
      <c r="D1353" s="52"/>
      <c r="E1353" s="52"/>
      <c r="F1353" s="52"/>
      <c r="G1353" s="55" t="str">
        <f aca="false">IF(C1353="","",IFERROR(INDEX('DANH MỤC'!$B$5:$B$200,MATCH(C1353,'DANH MỤC'!$A$5:$A$200,0)),"⚠ Mã chưa có trong DANH MỤC"))</f>
        <v/>
      </c>
      <c r="H1353" s="52"/>
      <c r="I1353" s="52"/>
    </row>
    <row r="1354" customFormat="false" ht="15" hidden="false" customHeight="false" outlineLevel="0" collapsed="false">
      <c r="A1354" s="50"/>
      <c r="B1354" s="51" t="str">
        <f aca="false">IF(A1354="","",MONTH(A1354))</f>
        <v/>
      </c>
      <c r="C1354" s="52"/>
      <c r="D1354" s="52"/>
      <c r="E1354" s="52"/>
      <c r="F1354" s="52"/>
      <c r="G1354" s="55" t="str">
        <f aca="false">IF(C1354="","",IFERROR(INDEX('DANH MỤC'!$B$5:$B$200,MATCH(C1354,'DANH MỤC'!$A$5:$A$200,0)),"⚠ Mã chưa có trong DANH MỤC"))</f>
        <v/>
      </c>
      <c r="H1354" s="52"/>
      <c r="I1354" s="52"/>
    </row>
    <row r="1355" customFormat="false" ht="15" hidden="false" customHeight="false" outlineLevel="0" collapsed="false">
      <c r="A1355" s="50"/>
      <c r="B1355" s="51" t="str">
        <f aca="false">IF(A1355="","",MONTH(A1355))</f>
        <v/>
      </c>
      <c r="C1355" s="52"/>
      <c r="D1355" s="52"/>
      <c r="E1355" s="52"/>
      <c r="F1355" s="52"/>
      <c r="G1355" s="55" t="str">
        <f aca="false">IF(C1355="","",IFERROR(INDEX('DANH MỤC'!$B$5:$B$200,MATCH(C1355,'DANH MỤC'!$A$5:$A$200,0)),"⚠ Mã chưa có trong DANH MỤC"))</f>
        <v/>
      </c>
      <c r="H1355" s="52"/>
      <c r="I1355" s="52"/>
    </row>
    <row r="1356" customFormat="false" ht="15" hidden="false" customHeight="false" outlineLevel="0" collapsed="false">
      <c r="A1356" s="50"/>
      <c r="B1356" s="51" t="str">
        <f aca="false">IF(A1356="","",MONTH(A1356))</f>
        <v/>
      </c>
      <c r="C1356" s="52"/>
      <c r="D1356" s="52"/>
      <c r="E1356" s="52"/>
      <c r="F1356" s="52"/>
      <c r="G1356" s="55" t="str">
        <f aca="false">IF(C1356="","",IFERROR(INDEX('DANH MỤC'!$B$5:$B$200,MATCH(C1356,'DANH MỤC'!$A$5:$A$200,0)),"⚠ Mã chưa có trong DANH MỤC"))</f>
        <v/>
      </c>
      <c r="H1356" s="52"/>
      <c r="I1356" s="52"/>
    </row>
    <row r="1357" customFormat="false" ht="15" hidden="false" customHeight="false" outlineLevel="0" collapsed="false">
      <c r="A1357" s="50"/>
      <c r="B1357" s="51" t="str">
        <f aca="false">IF(A1357="","",MONTH(A1357))</f>
        <v/>
      </c>
      <c r="C1357" s="52"/>
      <c r="D1357" s="52"/>
      <c r="E1357" s="52"/>
      <c r="F1357" s="52"/>
      <c r="G1357" s="55" t="str">
        <f aca="false">IF(C1357="","",IFERROR(INDEX('DANH MỤC'!$B$5:$B$200,MATCH(C1357,'DANH MỤC'!$A$5:$A$200,0)),"⚠ Mã chưa có trong DANH MỤC"))</f>
        <v/>
      </c>
      <c r="H1357" s="52"/>
      <c r="I1357" s="52"/>
    </row>
    <row r="1358" customFormat="false" ht="15" hidden="false" customHeight="false" outlineLevel="0" collapsed="false">
      <c r="A1358" s="50"/>
      <c r="B1358" s="51" t="str">
        <f aca="false">IF(A1358="","",MONTH(A1358))</f>
        <v/>
      </c>
      <c r="C1358" s="52"/>
      <c r="D1358" s="52"/>
      <c r="E1358" s="52"/>
      <c r="F1358" s="52"/>
      <c r="G1358" s="55" t="str">
        <f aca="false">IF(C1358="","",IFERROR(INDEX('DANH MỤC'!$B$5:$B$200,MATCH(C1358,'DANH MỤC'!$A$5:$A$200,0)),"⚠ Mã chưa có trong DANH MỤC"))</f>
        <v/>
      </c>
      <c r="H1358" s="52"/>
      <c r="I1358" s="52"/>
    </row>
    <row r="1359" customFormat="false" ht="15" hidden="false" customHeight="false" outlineLevel="0" collapsed="false">
      <c r="A1359" s="50"/>
      <c r="B1359" s="51" t="str">
        <f aca="false">IF(A1359="","",MONTH(A1359))</f>
        <v/>
      </c>
      <c r="C1359" s="52"/>
      <c r="D1359" s="52"/>
      <c r="E1359" s="52"/>
      <c r="F1359" s="52"/>
      <c r="G1359" s="55" t="str">
        <f aca="false">IF(C1359="","",IFERROR(INDEX('DANH MỤC'!$B$5:$B$200,MATCH(C1359,'DANH MỤC'!$A$5:$A$200,0)),"⚠ Mã chưa có trong DANH MỤC"))</f>
        <v/>
      </c>
      <c r="H1359" s="52"/>
      <c r="I1359" s="52"/>
    </row>
    <row r="1360" customFormat="false" ht="15" hidden="false" customHeight="false" outlineLevel="0" collapsed="false">
      <c r="A1360" s="50"/>
      <c r="B1360" s="51" t="str">
        <f aca="false">IF(A1360="","",MONTH(A1360))</f>
        <v/>
      </c>
      <c r="C1360" s="52"/>
      <c r="D1360" s="52"/>
      <c r="E1360" s="52"/>
      <c r="F1360" s="52"/>
      <c r="G1360" s="55" t="str">
        <f aca="false">IF(C1360="","",IFERROR(INDEX('DANH MỤC'!$B$5:$B$200,MATCH(C1360,'DANH MỤC'!$A$5:$A$200,0)),"⚠ Mã chưa có trong DANH MỤC"))</f>
        <v/>
      </c>
      <c r="H1360" s="52"/>
      <c r="I1360" s="52"/>
    </row>
    <row r="1361" customFormat="false" ht="15" hidden="false" customHeight="false" outlineLevel="0" collapsed="false">
      <c r="A1361" s="50"/>
      <c r="B1361" s="51" t="str">
        <f aca="false">IF(A1361="","",MONTH(A1361))</f>
        <v/>
      </c>
      <c r="C1361" s="52"/>
      <c r="D1361" s="52"/>
      <c r="E1361" s="52"/>
      <c r="F1361" s="52"/>
      <c r="G1361" s="55" t="str">
        <f aca="false">IF(C1361="","",IFERROR(INDEX('DANH MỤC'!$B$5:$B$200,MATCH(C1361,'DANH MỤC'!$A$5:$A$200,0)),"⚠ Mã chưa có trong DANH MỤC"))</f>
        <v/>
      </c>
      <c r="H1361" s="52"/>
      <c r="I1361" s="52"/>
    </row>
    <row r="1362" customFormat="false" ht="15" hidden="false" customHeight="false" outlineLevel="0" collapsed="false">
      <c r="A1362" s="50"/>
      <c r="B1362" s="51" t="str">
        <f aca="false">IF(A1362="","",MONTH(A1362))</f>
        <v/>
      </c>
      <c r="C1362" s="52"/>
      <c r="D1362" s="52"/>
      <c r="E1362" s="52"/>
      <c r="F1362" s="52"/>
      <c r="G1362" s="55" t="str">
        <f aca="false">IF(C1362="","",IFERROR(INDEX('DANH MỤC'!$B$5:$B$200,MATCH(C1362,'DANH MỤC'!$A$5:$A$200,0)),"⚠ Mã chưa có trong DANH MỤC"))</f>
        <v/>
      </c>
      <c r="H1362" s="52"/>
      <c r="I1362" s="52"/>
    </row>
    <row r="1363" customFormat="false" ht="15" hidden="false" customHeight="false" outlineLevel="0" collapsed="false">
      <c r="A1363" s="50"/>
      <c r="B1363" s="51" t="str">
        <f aca="false">IF(A1363="","",MONTH(A1363))</f>
        <v/>
      </c>
      <c r="C1363" s="52"/>
      <c r="D1363" s="52"/>
      <c r="E1363" s="52"/>
      <c r="F1363" s="52"/>
      <c r="G1363" s="55" t="str">
        <f aca="false">IF(C1363="","",IFERROR(INDEX('DANH MỤC'!$B$5:$B$200,MATCH(C1363,'DANH MỤC'!$A$5:$A$200,0)),"⚠ Mã chưa có trong DANH MỤC"))</f>
        <v/>
      </c>
      <c r="H1363" s="52"/>
      <c r="I1363" s="52"/>
    </row>
    <row r="1364" customFormat="false" ht="15" hidden="false" customHeight="false" outlineLevel="0" collapsed="false">
      <c r="A1364" s="50"/>
      <c r="B1364" s="51" t="str">
        <f aca="false">IF(A1364="","",MONTH(A1364))</f>
        <v/>
      </c>
      <c r="C1364" s="52"/>
      <c r="D1364" s="52"/>
      <c r="E1364" s="52"/>
      <c r="F1364" s="52"/>
      <c r="G1364" s="55" t="str">
        <f aca="false">IF(C1364="","",IFERROR(INDEX('DANH MỤC'!$B$5:$B$200,MATCH(C1364,'DANH MỤC'!$A$5:$A$200,0)),"⚠ Mã chưa có trong DANH MỤC"))</f>
        <v/>
      </c>
      <c r="H1364" s="52"/>
      <c r="I1364" s="52"/>
    </row>
    <row r="1365" customFormat="false" ht="15" hidden="false" customHeight="false" outlineLevel="0" collapsed="false">
      <c r="A1365" s="50"/>
      <c r="B1365" s="51" t="str">
        <f aca="false">IF(A1365="","",MONTH(A1365))</f>
        <v/>
      </c>
      <c r="C1365" s="52"/>
      <c r="D1365" s="52"/>
      <c r="E1365" s="52"/>
      <c r="F1365" s="52"/>
      <c r="G1365" s="55" t="str">
        <f aca="false">IF(C1365="","",IFERROR(INDEX('DANH MỤC'!$B$5:$B$200,MATCH(C1365,'DANH MỤC'!$A$5:$A$200,0)),"⚠ Mã chưa có trong DANH MỤC"))</f>
        <v/>
      </c>
      <c r="H1365" s="52"/>
      <c r="I1365" s="52"/>
    </row>
    <row r="1366" customFormat="false" ht="15" hidden="false" customHeight="false" outlineLevel="0" collapsed="false">
      <c r="A1366" s="50"/>
      <c r="B1366" s="51" t="str">
        <f aca="false">IF(A1366="","",MONTH(A1366))</f>
        <v/>
      </c>
      <c r="C1366" s="52"/>
      <c r="D1366" s="52"/>
      <c r="E1366" s="52"/>
      <c r="F1366" s="52"/>
      <c r="G1366" s="55" t="str">
        <f aca="false">IF(C1366="","",IFERROR(INDEX('DANH MỤC'!$B$5:$B$200,MATCH(C1366,'DANH MỤC'!$A$5:$A$200,0)),"⚠ Mã chưa có trong DANH MỤC"))</f>
        <v/>
      </c>
      <c r="H1366" s="52"/>
      <c r="I1366" s="52"/>
    </row>
    <row r="1367" customFormat="false" ht="15" hidden="false" customHeight="false" outlineLevel="0" collapsed="false">
      <c r="A1367" s="50"/>
      <c r="B1367" s="51" t="str">
        <f aca="false">IF(A1367="","",MONTH(A1367))</f>
        <v/>
      </c>
      <c r="C1367" s="52"/>
      <c r="D1367" s="52"/>
      <c r="E1367" s="52"/>
      <c r="F1367" s="52"/>
      <c r="G1367" s="55" t="str">
        <f aca="false">IF(C1367="","",IFERROR(INDEX('DANH MỤC'!$B$5:$B$200,MATCH(C1367,'DANH MỤC'!$A$5:$A$200,0)),"⚠ Mã chưa có trong DANH MỤC"))</f>
        <v/>
      </c>
      <c r="H1367" s="52"/>
      <c r="I1367" s="52"/>
    </row>
    <row r="1368" customFormat="false" ht="15" hidden="false" customHeight="false" outlineLevel="0" collapsed="false">
      <c r="A1368" s="50"/>
      <c r="B1368" s="51" t="str">
        <f aca="false">IF(A1368="","",MONTH(A1368))</f>
        <v/>
      </c>
      <c r="C1368" s="52"/>
      <c r="D1368" s="52"/>
      <c r="E1368" s="52"/>
      <c r="F1368" s="52"/>
      <c r="G1368" s="55" t="str">
        <f aca="false">IF(C1368="","",IFERROR(INDEX('DANH MỤC'!$B$5:$B$200,MATCH(C1368,'DANH MỤC'!$A$5:$A$200,0)),"⚠ Mã chưa có trong DANH MỤC"))</f>
        <v/>
      </c>
      <c r="H1368" s="52"/>
      <c r="I1368" s="52"/>
    </row>
    <row r="1369" customFormat="false" ht="15" hidden="false" customHeight="false" outlineLevel="0" collapsed="false">
      <c r="A1369" s="50"/>
      <c r="B1369" s="51" t="str">
        <f aca="false">IF(A1369="","",MONTH(A1369))</f>
        <v/>
      </c>
      <c r="C1369" s="52"/>
      <c r="D1369" s="52"/>
      <c r="E1369" s="52"/>
      <c r="F1369" s="52"/>
      <c r="G1369" s="55" t="str">
        <f aca="false">IF(C1369="","",IFERROR(INDEX('DANH MỤC'!$B$5:$B$200,MATCH(C1369,'DANH MỤC'!$A$5:$A$200,0)),"⚠ Mã chưa có trong DANH MỤC"))</f>
        <v/>
      </c>
      <c r="H1369" s="52"/>
      <c r="I1369" s="52"/>
    </row>
    <row r="1370" customFormat="false" ht="15" hidden="false" customHeight="false" outlineLevel="0" collapsed="false">
      <c r="A1370" s="50"/>
      <c r="B1370" s="51" t="str">
        <f aca="false">IF(A1370="","",MONTH(A1370))</f>
        <v/>
      </c>
      <c r="C1370" s="52"/>
      <c r="D1370" s="52"/>
      <c r="E1370" s="52"/>
      <c r="F1370" s="52"/>
      <c r="G1370" s="55" t="str">
        <f aca="false">IF(C1370="","",IFERROR(INDEX('DANH MỤC'!$B$5:$B$200,MATCH(C1370,'DANH MỤC'!$A$5:$A$200,0)),"⚠ Mã chưa có trong DANH MỤC"))</f>
        <v/>
      </c>
      <c r="H1370" s="52"/>
      <c r="I1370" s="52"/>
    </row>
    <row r="1371" customFormat="false" ht="15" hidden="false" customHeight="false" outlineLevel="0" collapsed="false">
      <c r="A1371" s="50"/>
      <c r="B1371" s="51" t="str">
        <f aca="false">IF(A1371="","",MONTH(A1371))</f>
        <v/>
      </c>
      <c r="C1371" s="52"/>
      <c r="D1371" s="52"/>
      <c r="E1371" s="52"/>
      <c r="F1371" s="52"/>
      <c r="G1371" s="55" t="str">
        <f aca="false">IF(C1371="","",IFERROR(INDEX('DANH MỤC'!$B$5:$B$200,MATCH(C1371,'DANH MỤC'!$A$5:$A$200,0)),"⚠ Mã chưa có trong DANH MỤC"))</f>
        <v/>
      </c>
      <c r="H1371" s="52"/>
      <c r="I1371" s="52"/>
    </row>
    <row r="1372" customFormat="false" ht="15" hidden="false" customHeight="false" outlineLevel="0" collapsed="false">
      <c r="A1372" s="50"/>
      <c r="B1372" s="51" t="str">
        <f aca="false">IF(A1372="","",MONTH(A1372))</f>
        <v/>
      </c>
      <c r="C1372" s="52"/>
      <c r="D1372" s="52"/>
      <c r="E1372" s="52"/>
      <c r="F1372" s="52"/>
      <c r="G1372" s="55" t="str">
        <f aca="false">IF(C1372="","",IFERROR(INDEX('DANH MỤC'!$B$5:$B$200,MATCH(C1372,'DANH MỤC'!$A$5:$A$200,0)),"⚠ Mã chưa có trong DANH MỤC"))</f>
        <v/>
      </c>
      <c r="H1372" s="52"/>
      <c r="I1372" s="52"/>
    </row>
    <row r="1373" customFormat="false" ht="15" hidden="false" customHeight="false" outlineLevel="0" collapsed="false">
      <c r="A1373" s="50"/>
      <c r="B1373" s="51" t="str">
        <f aca="false">IF(A1373="","",MONTH(A1373))</f>
        <v/>
      </c>
      <c r="C1373" s="52"/>
      <c r="D1373" s="52"/>
      <c r="E1373" s="52"/>
      <c r="F1373" s="52"/>
      <c r="G1373" s="55" t="str">
        <f aca="false">IF(C1373="","",IFERROR(INDEX('DANH MỤC'!$B$5:$B$200,MATCH(C1373,'DANH MỤC'!$A$5:$A$200,0)),"⚠ Mã chưa có trong DANH MỤC"))</f>
        <v/>
      </c>
      <c r="H1373" s="52"/>
      <c r="I1373" s="52"/>
    </row>
    <row r="1374" customFormat="false" ht="15" hidden="false" customHeight="false" outlineLevel="0" collapsed="false">
      <c r="A1374" s="50"/>
      <c r="B1374" s="51" t="str">
        <f aca="false">IF(A1374="","",MONTH(A1374))</f>
        <v/>
      </c>
      <c r="C1374" s="52"/>
      <c r="D1374" s="52"/>
      <c r="E1374" s="52"/>
      <c r="F1374" s="52"/>
      <c r="G1374" s="55" t="str">
        <f aca="false">IF(C1374="","",IFERROR(INDEX('DANH MỤC'!$B$5:$B$200,MATCH(C1374,'DANH MỤC'!$A$5:$A$200,0)),"⚠ Mã chưa có trong DANH MỤC"))</f>
        <v/>
      </c>
      <c r="H1374" s="52"/>
      <c r="I1374" s="52"/>
    </row>
    <row r="1375" customFormat="false" ht="15" hidden="false" customHeight="false" outlineLevel="0" collapsed="false">
      <c r="A1375" s="50"/>
      <c r="B1375" s="51" t="str">
        <f aca="false">IF(A1375="","",MONTH(A1375))</f>
        <v/>
      </c>
      <c r="C1375" s="52"/>
      <c r="D1375" s="52"/>
      <c r="E1375" s="52"/>
      <c r="F1375" s="52"/>
      <c r="G1375" s="55" t="str">
        <f aca="false">IF(C1375="","",IFERROR(INDEX('DANH MỤC'!$B$5:$B$200,MATCH(C1375,'DANH MỤC'!$A$5:$A$200,0)),"⚠ Mã chưa có trong DANH MỤC"))</f>
        <v/>
      </c>
      <c r="H1375" s="52"/>
      <c r="I1375" s="52"/>
    </row>
    <row r="1376" customFormat="false" ht="15" hidden="false" customHeight="false" outlineLevel="0" collapsed="false">
      <c r="A1376" s="50"/>
      <c r="B1376" s="51" t="str">
        <f aca="false">IF(A1376="","",MONTH(A1376))</f>
        <v/>
      </c>
      <c r="C1376" s="52"/>
      <c r="D1376" s="52"/>
      <c r="E1376" s="52"/>
      <c r="F1376" s="52"/>
      <c r="G1376" s="55" t="str">
        <f aca="false">IF(C1376="","",IFERROR(INDEX('DANH MỤC'!$B$5:$B$200,MATCH(C1376,'DANH MỤC'!$A$5:$A$200,0)),"⚠ Mã chưa có trong DANH MỤC"))</f>
        <v/>
      </c>
      <c r="H1376" s="52"/>
      <c r="I1376" s="52"/>
    </row>
    <row r="1377" customFormat="false" ht="15" hidden="false" customHeight="false" outlineLevel="0" collapsed="false">
      <c r="A1377" s="50"/>
      <c r="B1377" s="51" t="str">
        <f aca="false">IF(A1377="","",MONTH(A1377))</f>
        <v/>
      </c>
      <c r="C1377" s="52"/>
      <c r="D1377" s="52"/>
      <c r="E1377" s="52"/>
      <c r="F1377" s="52"/>
      <c r="G1377" s="55" t="str">
        <f aca="false">IF(C1377="","",IFERROR(INDEX('DANH MỤC'!$B$5:$B$200,MATCH(C1377,'DANH MỤC'!$A$5:$A$200,0)),"⚠ Mã chưa có trong DANH MỤC"))</f>
        <v/>
      </c>
      <c r="H1377" s="52"/>
      <c r="I1377" s="52"/>
    </row>
    <row r="1378" customFormat="false" ht="15" hidden="false" customHeight="false" outlineLevel="0" collapsed="false">
      <c r="A1378" s="50"/>
      <c r="B1378" s="51" t="str">
        <f aca="false">IF(A1378="","",MONTH(A1378))</f>
        <v/>
      </c>
      <c r="C1378" s="52"/>
      <c r="D1378" s="52"/>
      <c r="E1378" s="52"/>
      <c r="F1378" s="52"/>
      <c r="G1378" s="55" t="str">
        <f aca="false">IF(C1378="","",IFERROR(INDEX('DANH MỤC'!$B$5:$B$200,MATCH(C1378,'DANH MỤC'!$A$5:$A$200,0)),"⚠ Mã chưa có trong DANH MỤC"))</f>
        <v/>
      </c>
      <c r="H1378" s="52"/>
      <c r="I1378" s="52"/>
    </row>
    <row r="1379" customFormat="false" ht="15" hidden="false" customHeight="false" outlineLevel="0" collapsed="false">
      <c r="A1379" s="50"/>
      <c r="B1379" s="51" t="str">
        <f aca="false">IF(A1379="","",MONTH(A1379))</f>
        <v/>
      </c>
      <c r="C1379" s="52"/>
      <c r="D1379" s="52"/>
      <c r="E1379" s="52"/>
      <c r="F1379" s="52"/>
      <c r="G1379" s="55" t="str">
        <f aca="false">IF(C1379="","",IFERROR(INDEX('DANH MỤC'!$B$5:$B$200,MATCH(C1379,'DANH MỤC'!$A$5:$A$200,0)),"⚠ Mã chưa có trong DANH MỤC"))</f>
        <v/>
      </c>
      <c r="H1379" s="52"/>
      <c r="I1379" s="52"/>
    </row>
    <row r="1380" customFormat="false" ht="15" hidden="false" customHeight="false" outlineLevel="0" collapsed="false">
      <c r="A1380" s="50"/>
      <c r="B1380" s="51" t="str">
        <f aca="false">IF(A1380="","",MONTH(A1380))</f>
        <v/>
      </c>
      <c r="C1380" s="52"/>
      <c r="D1380" s="52"/>
      <c r="E1380" s="52"/>
      <c r="F1380" s="52"/>
      <c r="G1380" s="55" t="str">
        <f aca="false">IF(C1380="","",IFERROR(INDEX('DANH MỤC'!$B$5:$B$200,MATCH(C1380,'DANH MỤC'!$A$5:$A$200,0)),"⚠ Mã chưa có trong DANH MỤC"))</f>
        <v/>
      </c>
      <c r="H1380" s="52"/>
      <c r="I1380" s="52"/>
    </row>
    <row r="1381" customFormat="false" ht="15" hidden="false" customHeight="false" outlineLevel="0" collapsed="false">
      <c r="A1381" s="50"/>
      <c r="B1381" s="51" t="str">
        <f aca="false">IF(A1381="","",MONTH(A1381))</f>
        <v/>
      </c>
      <c r="C1381" s="52"/>
      <c r="D1381" s="52"/>
      <c r="E1381" s="52"/>
      <c r="F1381" s="52"/>
      <c r="G1381" s="55" t="str">
        <f aca="false">IF(C1381="","",IFERROR(INDEX('DANH MỤC'!$B$5:$B$200,MATCH(C1381,'DANH MỤC'!$A$5:$A$200,0)),"⚠ Mã chưa có trong DANH MỤC"))</f>
        <v/>
      </c>
      <c r="H1381" s="52"/>
      <c r="I1381" s="52"/>
    </row>
    <row r="1382" customFormat="false" ht="15" hidden="false" customHeight="false" outlineLevel="0" collapsed="false">
      <c r="A1382" s="50"/>
      <c r="B1382" s="51" t="str">
        <f aca="false">IF(A1382="","",MONTH(A1382))</f>
        <v/>
      </c>
      <c r="C1382" s="52"/>
      <c r="D1382" s="52"/>
      <c r="E1382" s="52"/>
      <c r="F1382" s="52"/>
      <c r="G1382" s="55" t="str">
        <f aca="false">IF(C1382="","",IFERROR(INDEX('DANH MỤC'!$B$5:$B$200,MATCH(C1382,'DANH MỤC'!$A$5:$A$200,0)),"⚠ Mã chưa có trong DANH MỤC"))</f>
        <v/>
      </c>
      <c r="H1382" s="52"/>
      <c r="I1382" s="52"/>
    </row>
    <row r="1383" customFormat="false" ht="15" hidden="false" customHeight="false" outlineLevel="0" collapsed="false">
      <c r="A1383" s="50"/>
      <c r="B1383" s="51" t="str">
        <f aca="false">IF(A1383="","",MONTH(A1383))</f>
        <v/>
      </c>
      <c r="C1383" s="52"/>
      <c r="D1383" s="52"/>
      <c r="E1383" s="52"/>
      <c r="F1383" s="52"/>
      <c r="G1383" s="55" t="str">
        <f aca="false">IF(C1383="","",IFERROR(INDEX('DANH MỤC'!$B$5:$B$200,MATCH(C1383,'DANH MỤC'!$A$5:$A$200,0)),"⚠ Mã chưa có trong DANH MỤC"))</f>
        <v/>
      </c>
      <c r="H1383" s="52"/>
      <c r="I1383" s="52"/>
    </row>
    <row r="1384" customFormat="false" ht="15" hidden="false" customHeight="false" outlineLevel="0" collapsed="false">
      <c r="A1384" s="50"/>
      <c r="B1384" s="51" t="str">
        <f aca="false">IF(A1384="","",MONTH(A1384))</f>
        <v/>
      </c>
      <c r="C1384" s="52"/>
      <c r="D1384" s="52"/>
      <c r="E1384" s="52"/>
      <c r="F1384" s="52"/>
      <c r="G1384" s="55" t="str">
        <f aca="false">IF(C1384="","",IFERROR(INDEX('DANH MỤC'!$B$5:$B$200,MATCH(C1384,'DANH MỤC'!$A$5:$A$200,0)),"⚠ Mã chưa có trong DANH MỤC"))</f>
        <v/>
      </c>
      <c r="H1384" s="52"/>
      <c r="I1384" s="52"/>
    </row>
    <row r="1385" customFormat="false" ht="15" hidden="false" customHeight="false" outlineLevel="0" collapsed="false">
      <c r="A1385" s="50"/>
      <c r="B1385" s="51" t="str">
        <f aca="false">IF(A1385="","",MONTH(A1385))</f>
        <v/>
      </c>
      <c r="C1385" s="52"/>
      <c r="D1385" s="52"/>
      <c r="E1385" s="52"/>
      <c r="F1385" s="52"/>
      <c r="G1385" s="55" t="str">
        <f aca="false">IF(C1385="","",IFERROR(INDEX('DANH MỤC'!$B$5:$B$200,MATCH(C1385,'DANH MỤC'!$A$5:$A$200,0)),"⚠ Mã chưa có trong DANH MỤC"))</f>
        <v/>
      </c>
      <c r="H1385" s="52"/>
      <c r="I1385" s="52"/>
    </row>
    <row r="1386" customFormat="false" ht="15" hidden="false" customHeight="false" outlineLevel="0" collapsed="false">
      <c r="A1386" s="50"/>
      <c r="B1386" s="51" t="str">
        <f aca="false">IF(A1386="","",MONTH(A1386))</f>
        <v/>
      </c>
      <c r="C1386" s="52"/>
      <c r="D1386" s="52"/>
      <c r="E1386" s="52"/>
      <c r="F1386" s="52"/>
      <c r="G1386" s="55" t="str">
        <f aca="false">IF(C1386="","",IFERROR(INDEX('DANH MỤC'!$B$5:$B$200,MATCH(C1386,'DANH MỤC'!$A$5:$A$200,0)),"⚠ Mã chưa có trong DANH MỤC"))</f>
        <v/>
      </c>
      <c r="H1386" s="52"/>
      <c r="I1386" s="52"/>
    </row>
    <row r="1387" customFormat="false" ht="15" hidden="false" customHeight="false" outlineLevel="0" collapsed="false">
      <c r="A1387" s="50"/>
      <c r="B1387" s="51" t="str">
        <f aca="false">IF(A1387="","",MONTH(A1387))</f>
        <v/>
      </c>
      <c r="C1387" s="52"/>
      <c r="D1387" s="52"/>
      <c r="E1387" s="52"/>
      <c r="F1387" s="52"/>
      <c r="G1387" s="55" t="str">
        <f aca="false">IF(C1387="","",IFERROR(INDEX('DANH MỤC'!$B$5:$B$200,MATCH(C1387,'DANH MỤC'!$A$5:$A$200,0)),"⚠ Mã chưa có trong DANH MỤC"))</f>
        <v/>
      </c>
      <c r="H1387" s="52"/>
      <c r="I1387" s="52"/>
    </row>
    <row r="1388" customFormat="false" ht="15" hidden="false" customHeight="false" outlineLevel="0" collapsed="false">
      <c r="A1388" s="50"/>
      <c r="B1388" s="51" t="str">
        <f aca="false">IF(A1388="","",MONTH(A1388))</f>
        <v/>
      </c>
      <c r="C1388" s="52"/>
      <c r="D1388" s="52"/>
      <c r="E1388" s="52"/>
      <c r="F1388" s="52"/>
      <c r="G1388" s="55" t="str">
        <f aca="false">IF(C1388="","",IFERROR(INDEX('DANH MỤC'!$B$5:$B$200,MATCH(C1388,'DANH MỤC'!$A$5:$A$200,0)),"⚠ Mã chưa có trong DANH MỤC"))</f>
        <v/>
      </c>
      <c r="H1388" s="52"/>
      <c r="I1388" s="52"/>
    </row>
    <row r="1389" customFormat="false" ht="15" hidden="false" customHeight="false" outlineLevel="0" collapsed="false">
      <c r="A1389" s="50"/>
      <c r="B1389" s="51" t="str">
        <f aca="false">IF(A1389="","",MONTH(A1389))</f>
        <v/>
      </c>
      <c r="C1389" s="52"/>
      <c r="D1389" s="52"/>
      <c r="E1389" s="52"/>
      <c r="F1389" s="52"/>
      <c r="G1389" s="55" t="str">
        <f aca="false">IF(C1389="","",IFERROR(INDEX('DANH MỤC'!$B$5:$B$200,MATCH(C1389,'DANH MỤC'!$A$5:$A$200,0)),"⚠ Mã chưa có trong DANH MỤC"))</f>
        <v/>
      </c>
      <c r="H1389" s="52"/>
      <c r="I1389" s="52"/>
    </row>
    <row r="1390" customFormat="false" ht="15" hidden="false" customHeight="false" outlineLevel="0" collapsed="false">
      <c r="A1390" s="50"/>
      <c r="B1390" s="51" t="str">
        <f aca="false">IF(A1390="","",MONTH(A1390))</f>
        <v/>
      </c>
      <c r="C1390" s="52"/>
      <c r="D1390" s="52"/>
      <c r="E1390" s="52"/>
      <c r="F1390" s="52"/>
      <c r="G1390" s="55" t="str">
        <f aca="false">IF(C1390="","",IFERROR(INDEX('DANH MỤC'!$B$5:$B$200,MATCH(C1390,'DANH MỤC'!$A$5:$A$200,0)),"⚠ Mã chưa có trong DANH MỤC"))</f>
        <v/>
      </c>
      <c r="H1390" s="52"/>
      <c r="I1390" s="52"/>
    </row>
    <row r="1391" customFormat="false" ht="15" hidden="false" customHeight="false" outlineLevel="0" collapsed="false">
      <c r="A1391" s="50"/>
      <c r="B1391" s="51" t="str">
        <f aca="false">IF(A1391="","",MONTH(A1391))</f>
        <v/>
      </c>
      <c r="C1391" s="52"/>
      <c r="D1391" s="52"/>
      <c r="E1391" s="52"/>
      <c r="F1391" s="52"/>
      <c r="G1391" s="55" t="str">
        <f aca="false">IF(C1391="","",IFERROR(INDEX('DANH MỤC'!$B$5:$B$200,MATCH(C1391,'DANH MỤC'!$A$5:$A$200,0)),"⚠ Mã chưa có trong DANH MỤC"))</f>
        <v/>
      </c>
      <c r="H1391" s="52"/>
      <c r="I1391" s="52"/>
    </row>
    <row r="1392" customFormat="false" ht="15" hidden="false" customHeight="false" outlineLevel="0" collapsed="false">
      <c r="A1392" s="50"/>
      <c r="B1392" s="51" t="str">
        <f aca="false">IF(A1392="","",MONTH(A1392))</f>
        <v/>
      </c>
      <c r="C1392" s="52"/>
      <c r="D1392" s="52"/>
      <c r="E1392" s="52"/>
      <c r="F1392" s="52"/>
      <c r="G1392" s="55" t="str">
        <f aca="false">IF(C1392="","",IFERROR(INDEX('DANH MỤC'!$B$5:$B$200,MATCH(C1392,'DANH MỤC'!$A$5:$A$200,0)),"⚠ Mã chưa có trong DANH MỤC"))</f>
        <v/>
      </c>
      <c r="H1392" s="52"/>
      <c r="I1392" s="52"/>
    </row>
    <row r="1393" customFormat="false" ht="15" hidden="false" customHeight="false" outlineLevel="0" collapsed="false">
      <c r="A1393" s="50"/>
      <c r="B1393" s="51" t="str">
        <f aca="false">IF(A1393="","",MONTH(A1393))</f>
        <v/>
      </c>
      <c r="C1393" s="52"/>
      <c r="D1393" s="52"/>
      <c r="E1393" s="52"/>
      <c r="F1393" s="52"/>
      <c r="G1393" s="55" t="str">
        <f aca="false">IF(C1393="","",IFERROR(INDEX('DANH MỤC'!$B$5:$B$200,MATCH(C1393,'DANH MỤC'!$A$5:$A$200,0)),"⚠ Mã chưa có trong DANH MỤC"))</f>
        <v/>
      </c>
      <c r="H1393" s="52"/>
      <c r="I1393" s="52"/>
    </row>
    <row r="1394" customFormat="false" ht="15" hidden="false" customHeight="false" outlineLevel="0" collapsed="false">
      <c r="A1394" s="50"/>
      <c r="B1394" s="51" t="str">
        <f aca="false">IF(A1394="","",MONTH(A1394))</f>
        <v/>
      </c>
      <c r="C1394" s="52"/>
      <c r="D1394" s="52"/>
      <c r="E1394" s="52"/>
      <c r="F1394" s="52"/>
      <c r="G1394" s="55" t="str">
        <f aca="false">IF(C1394="","",IFERROR(INDEX('DANH MỤC'!$B$5:$B$200,MATCH(C1394,'DANH MỤC'!$A$5:$A$200,0)),"⚠ Mã chưa có trong DANH MỤC"))</f>
        <v/>
      </c>
      <c r="H1394" s="52"/>
      <c r="I1394" s="52"/>
    </row>
    <row r="1395" customFormat="false" ht="15" hidden="false" customHeight="false" outlineLevel="0" collapsed="false">
      <c r="A1395" s="50"/>
      <c r="B1395" s="51" t="str">
        <f aca="false">IF(A1395="","",MONTH(A1395))</f>
        <v/>
      </c>
      <c r="C1395" s="52"/>
      <c r="D1395" s="52"/>
      <c r="E1395" s="52"/>
      <c r="F1395" s="52"/>
      <c r="G1395" s="55" t="str">
        <f aca="false">IF(C1395="","",IFERROR(INDEX('DANH MỤC'!$B$5:$B$200,MATCH(C1395,'DANH MỤC'!$A$5:$A$200,0)),"⚠ Mã chưa có trong DANH MỤC"))</f>
        <v/>
      </c>
      <c r="H1395" s="52"/>
      <c r="I1395" s="52"/>
    </row>
    <row r="1396" customFormat="false" ht="15" hidden="false" customHeight="false" outlineLevel="0" collapsed="false">
      <c r="A1396" s="50"/>
      <c r="B1396" s="51" t="str">
        <f aca="false">IF(A1396="","",MONTH(A1396))</f>
        <v/>
      </c>
      <c r="C1396" s="52"/>
      <c r="D1396" s="52"/>
      <c r="E1396" s="52"/>
      <c r="F1396" s="52"/>
      <c r="G1396" s="55" t="str">
        <f aca="false">IF(C1396="","",IFERROR(INDEX('DANH MỤC'!$B$5:$B$200,MATCH(C1396,'DANH MỤC'!$A$5:$A$200,0)),"⚠ Mã chưa có trong DANH MỤC"))</f>
        <v/>
      </c>
      <c r="H1396" s="52"/>
      <c r="I1396" s="52"/>
    </row>
    <row r="1397" customFormat="false" ht="15" hidden="false" customHeight="false" outlineLevel="0" collapsed="false">
      <c r="A1397" s="50"/>
      <c r="B1397" s="51" t="str">
        <f aca="false">IF(A1397="","",MONTH(A1397))</f>
        <v/>
      </c>
      <c r="C1397" s="52"/>
      <c r="D1397" s="52"/>
      <c r="E1397" s="52"/>
      <c r="F1397" s="52"/>
      <c r="G1397" s="55" t="str">
        <f aca="false">IF(C1397="","",IFERROR(INDEX('DANH MỤC'!$B$5:$B$200,MATCH(C1397,'DANH MỤC'!$A$5:$A$200,0)),"⚠ Mã chưa có trong DANH MỤC"))</f>
        <v/>
      </c>
      <c r="H1397" s="52"/>
      <c r="I1397" s="52"/>
    </row>
    <row r="1398" customFormat="false" ht="15" hidden="false" customHeight="false" outlineLevel="0" collapsed="false">
      <c r="A1398" s="50"/>
      <c r="B1398" s="51" t="str">
        <f aca="false">IF(A1398="","",MONTH(A1398))</f>
        <v/>
      </c>
      <c r="C1398" s="52"/>
      <c r="D1398" s="52"/>
      <c r="E1398" s="52"/>
      <c r="F1398" s="52"/>
      <c r="G1398" s="55" t="str">
        <f aca="false">IF(C1398="","",IFERROR(INDEX('DANH MỤC'!$B$5:$B$200,MATCH(C1398,'DANH MỤC'!$A$5:$A$200,0)),"⚠ Mã chưa có trong DANH MỤC"))</f>
        <v/>
      </c>
      <c r="H1398" s="52"/>
      <c r="I1398" s="52"/>
    </row>
    <row r="1399" customFormat="false" ht="15" hidden="false" customHeight="false" outlineLevel="0" collapsed="false">
      <c r="A1399" s="50"/>
      <c r="B1399" s="51" t="str">
        <f aca="false">IF(A1399="","",MONTH(A1399))</f>
        <v/>
      </c>
      <c r="C1399" s="52"/>
      <c r="D1399" s="52"/>
      <c r="E1399" s="52"/>
      <c r="F1399" s="52"/>
      <c r="G1399" s="55" t="str">
        <f aca="false">IF(C1399="","",IFERROR(INDEX('DANH MỤC'!$B$5:$B$200,MATCH(C1399,'DANH MỤC'!$A$5:$A$200,0)),"⚠ Mã chưa có trong DANH MỤC"))</f>
        <v/>
      </c>
      <c r="H1399" s="52"/>
      <c r="I1399" s="52"/>
    </row>
    <row r="1400" customFormat="false" ht="15" hidden="false" customHeight="false" outlineLevel="0" collapsed="false">
      <c r="A1400" s="50"/>
      <c r="B1400" s="51" t="str">
        <f aca="false">IF(A1400="","",MONTH(A1400))</f>
        <v/>
      </c>
      <c r="C1400" s="52"/>
      <c r="D1400" s="52"/>
      <c r="E1400" s="52"/>
      <c r="F1400" s="52"/>
      <c r="G1400" s="55" t="str">
        <f aca="false">IF(C1400="","",IFERROR(INDEX('DANH MỤC'!$B$5:$B$200,MATCH(C1400,'DANH MỤC'!$A$5:$A$200,0)),"⚠ Mã chưa có trong DANH MỤC"))</f>
        <v/>
      </c>
      <c r="H1400" s="52"/>
      <c r="I1400" s="52"/>
    </row>
    <row r="1401" customFormat="false" ht="15" hidden="false" customHeight="false" outlineLevel="0" collapsed="false">
      <c r="A1401" s="50"/>
      <c r="B1401" s="51" t="str">
        <f aca="false">IF(A1401="","",MONTH(A1401))</f>
        <v/>
      </c>
      <c r="C1401" s="52"/>
      <c r="D1401" s="52"/>
      <c r="E1401" s="52"/>
      <c r="F1401" s="52"/>
      <c r="G1401" s="55" t="str">
        <f aca="false">IF(C1401="","",IFERROR(INDEX('DANH MỤC'!$B$5:$B$200,MATCH(C1401,'DANH MỤC'!$A$5:$A$200,0)),"⚠ Mã chưa có trong DANH MỤC"))</f>
        <v/>
      </c>
      <c r="H1401" s="52"/>
      <c r="I1401" s="52"/>
    </row>
    <row r="1402" customFormat="false" ht="15" hidden="false" customHeight="false" outlineLevel="0" collapsed="false">
      <c r="A1402" s="50"/>
      <c r="B1402" s="51" t="str">
        <f aca="false">IF(A1402="","",MONTH(A1402))</f>
        <v/>
      </c>
      <c r="C1402" s="52"/>
      <c r="D1402" s="52"/>
      <c r="E1402" s="52"/>
      <c r="F1402" s="52"/>
      <c r="G1402" s="55" t="str">
        <f aca="false">IF(C1402="","",IFERROR(INDEX('DANH MỤC'!$B$5:$B$200,MATCH(C1402,'DANH MỤC'!$A$5:$A$200,0)),"⚠ Mã chưa có trong DANH MỤC"))</f>
        <v/>
      </c>
      <c r="H1402" s="52"/>
      <c r="I1402" s="52"/>
    </row>
    <row r="1403" customFormat="false" ht="15" hidden="false" customHeight="false" outlineLevel="0" collapsed="false">
      <c r="A1403" s="50"/>
      <c r="B1403" s="51" t="str">
        <f aca="false">IF(A1403="","",MONTH(A1403))</f>
        <v/>
      </c>
      <c r="C1403" s="52"/>
      <c r="D1403" s="52"/>
      <c r="E1403" s="52"/>
      <c r="F1403" s="52"/>
      <c r="G1403" s="55" t="str">
        <f aca="false">IF(C1403="","",IFERROR(INDEX('DANH MỤC'!$B$5:$B$200,MATCH(C1403,'DANH MỤC'!$A$5:$A$200,0)),"⚠ Mã chưa có trong DANH MỤC"))</f>
        <v/>
      </c>
      <c r="H1403" s="52"/>
      <c r="I1403" s="52"/>
    </row>
    <row r="1404" customFormat="false" ht="15" hidden="false" customHeight="false" outlineLevel="0" collapsed="false">
      <c r="A1404" s="50"/>
      <c r="B1404" s="51" t="str">
        <f aca="false">IF(A1404="","",MONTH(A1404))</f>
        <v/>
      </c>
      <c r="C1404" s="52"/>
      <c r="D1404" s="52"/>
      <c r="E1404" s="52"/>
      <c r="F1404" s="52"/>
      <c r="G1404" s="55" t="str">
        <f aca="false">IF(C1404="","",IFERROR(INDEX('DANH MỤC'!$B$5:$B$200,MATCH(C1404,'DANH MỤC'!$A$5:$A$200,0)),"⚠ Mã chưa có trong DANH MỤC"))</f>
        <v/>
      </c>
      <c r="H1404" s="52"/>
      <c r="I1404" s="52"/>
    </row>
    <row r="1405" customFormat="false" ht="15" hidden="false" customHeight="false" outlineLevel="0" collapsed="false">
      <c r="A1405" s="50"/>
      <c r="B1405" s="51" t="str">
        <f aca="false">IF(A1405="","",MONTH(A1405))</f>
        <v/>
      </c>
      <c r="C1405" s="52"/>
      <c r="D1405" s="52"/>
      <c r="E1405" s="52"/>
      <c r="F1405" s="52"/>
      <c r="G1405" s="55" t="str">
        <f aca="false">IF(C1405="","",IFERROR(INDEX('DANH MỤC'!$B$5:$B$200,MATCH(C1405,'DANH MỤC'!$A$5:$A$200,0)),"⚠ Mã chưa có trong DANH MỤC"))</f>
        <v/>
      </c>
      <c r="H1405" s="52"/>
      <c r="I1405" s="52"/>
    </row>
    <row r="1406" customFormat="false" ht="15" hidden="false" customHeight="false" outlineLevel="0" collapsed="false">
      <c r="A1406" s="50"/>
      <c r="B1406" s="51" t="str">
        <f aca="false">IF(A1406="","",MONTH(A1406))</f>
        <v/>
      </c>
      <c r="C1406" s="52"/>
      <c r="D1406" s="52"/>
      <c r="E1406" s="52"/>
      <c r="F1406" s="52"/>
      <c r="G1406" s="55" t="str">
        <f aca="false">IF(C1406="","",IFERROR(INDEX('DANH MỤC'!$B$5:$B$200,MATCH(C1406,'DANH MỤC'!$A$5:$A$200,0)),"⚠ Mã chưa có trong DANH MỤC"))</f>
        <v/>
      </c>
      <c r="H1406" s="52"/>
      <c r="I1406" s="52"/>
    </row>
    <row r="1407" customFormat="false" ht="15" hidden="false" customHeight="false" outlineLevel="0" collapsed="false">
      <c r="A1407" s="50"/>
      <c r="B1407" s="51" t="str">
        <f aca="false">IF(A1407="","",MONTH(A1407))</f>
        <v/>
      </c>
      <c r="C1407" s="52"/>
      <c r="D1407" s="52"/>
      <c r="E1407" s="52"/>
      <c r="F1407" s="52"/>
      <c r="G1407" s="55" t="str">
        <f aca="false">IF(C1407="","",IFERROR(INDEX('DANH MỤC'!$B$5:$B$200,MATCH(C1407,'DANH MỤC'!$A$5:$A$200,0)),"⚠ Mã chưa có trong DANH MỤC"))</f>
        <v/>
      </c>
      <c r="H1407" s="52"/>
      <c r="I1407" s="52"/>
    </row>
    <row r="1408" customFormat="false" ht="15" hidden="false" customHeight="false" outlineLevel="0" collapsed="false">
      <c r="A1408" s="50"/>
      <c r="B1408" s="51" t="str">
        <f aca="false">IF(A1408="","",MONTH(A1408))</f>
        <v/>
      </c>
      <c r="C1408" s="52"/>
      <c r="D1408" s="52"/>
      <c r="E1408" s="52"/>
      <c r="F1408" s="52"/>
      <c r="G1408" s="55" t="str">
        <f aca="false">IF(C1408="","",IFERROR(INDEX('DANH MỤC'!$B$5:$B$200,MATCH(C1408,'DANH MỤC'!$A$5:$A$200,0)),"⚠ Mã chưa có trong DANH MỤC"))</f>
        <v/>
      </c>
      <c r="H1408" s="52"/>
      <c r="I1408" s="52"/>
    </row>
    <row r="1409" customFormat="false" ht="15" hidden="false" customHeight="false" outlineLevel="0" collapsed="false">
      <c r="A1409" s="50"/>
      <c r="B1409" s="51" t="str">
        <f aca="false">IF(A1409="","",MONTH(A1409))</f>
        <v/>
      </c>
      <c r="C1409" s="52"/>
      <c r="D1409" s="52"/>
      <c r="E1409" s="52"/>
      <c r="F1409" s="52"/>
      <c r="G1409" s="55" t="str">
        <f aca="false">IF(C1409="","",IFERROR(INDEX('DANH MỤC'!$B$5:$B$200,MATCH(C1409,'DANH MỤC'!$A$5:$A$200,0)),"⚠ Mã chưa có trong DANH MỤC"))</f>
        <v/>
      </c>
      <c r="H1409" s="52"/>
      <c r="I1409" s="52"/>
    </row>
    <row r="1410" customFormat="false" ht="15" hidden="false" customHeight="false" outlineLevel="0" collapsed="false">
      <c r="A1410" s="50"/>
      <c r="B1410" s="51" t="str">
        <f aca="false">IF(A1410="","",MONTH(A1410))</f>
        <v/>
      </c>
      <c r="C1410" s="52"/>
      <c r="D1410" s="52"/>
      <c r="E1410" s="52"/>
      <c r="F1410" s="52"/>
      <c r="G1410" s="55" t="str">
        <f aca="false">IF(C1410="","",IFERROR(INDEX('DANH MỤC'!$B$5:$B$200,MATCH(C1410,'DANH MỤC'!$A$5:$A$200,0)),"⚠ Mã chưa có trong DANH MỤC"))</f>
        <v/>
      </c>
      <c r="H1410" s="52"/>
      <c r="I1410" s="52"/>
    </row>
    <row r="1411" customFormat="false" ht="15" hidden="false" customHeight="false" outlineLevel="0" collapsed="false">
      <c r="A1411" s="50"/>
      <c r="B1411" s="51" t="str">
        <f aca="false">IF(A1411="","",MONTH(A1411))</f>
        <v/>
      </c>
      <c r="C1411" s="52"/>
      <c r="D1411" s="52"/>
      <c r="E1411" s="52"/>
      <c r="F1411" s="52"/>
      <c r="G1411" s="55" t="str">
        <f aca="false">IF(C1411="","",IFERROR(INDEX('DANH MỤC'!$B$5:$B$200,MATCH(C1411,'DANH MỤC'!$A$5:$A$200,0)),"⚠ Mã chưa có trong DANH MỤC"))</f>
        <v/>
      </c>
      <c r="H1411" s="52"/>
      <c r="I1411" s="52"/>
    </row>
    <row r="1412" customFormat="false" ht="15" hidden="false" customHeight="false" outlineLevel="0" collapsed="false">
      <c r="A1412" s="50"/>
      <c r="B1412" s="51" t="str">
        <f aca="false">IF(A1412="","",MONTH(A1412))</f>
        <v/>
      </c>
      <c r="C1412" s="52"/>
      <c r="D1412" s="52"/>
      <c r="E1412" s="52"/>
      <c r="F1412" s="52"/>
      <c r="G1412" s="55" t="str">
        <f aca="false">IF(C1412="","",IFERROR(INDEX('DANH MỤC'!$B$5:$B$200,MATCH(C1412,'DANH MỤC'!$A$5:$A$200,0)),"⚠ Mã chưa có trong DANH MỤC"))</f>
        <v/>
      </c>
      <c r="H1412" s="52"/>
      <c r="I1412" s="52"/>
    </row>
    <row r="1413" customFormat="false" ht="15" hidden="false" customHeight="false" outlineLevel="0" collapsed="false">
      <c r="A1413" s="50"/>
      <c r="B1413" s="51" t="str">
        <f aca="false">IF(A1413="","",MONTH(A1413))</f>
        <v/>
      </c>
      <c r="C1413" s="52"/>
      <c r="D1413" s="52"/>
      <c r="E1413" s="52"/>
      <c r="F1413" s="52"/>
      <c r="G1413" s="55" t="str">
        <f aca="false">IF(C1413="","",IFERROR(INDEX('DANH MỤC'!$B$5:$B$200,MATCH(C1413,'DANH MỤC'!$A$5:$A$200,0)),"⚠ Mã chưa có trong DANH MỤC"))</f>
        <v/>
      </c>
      <c r="H1413" s="52"/>
      <c r="I1413" s="52"/>
    </row>
    <row r="1414" customFormat="false" ht="15" hidden="false" customHeight="false" outlineLevel="0" collapsed="false">
      <c r="A1414" s="50"/>
      <c r="B1414" s="51" t="str">
        <f aca="false">IF(A1414="","",MONTH(A1414))</f>
        <v/>
      </c>
      <c r="C1414" s="52"/>
      <c r="D1414" s="52"/>
      <c r="E1414" s="52"/>
      <c r="F1414" s="52"/>
      <c r="G1414" s="55" t="str">
        <f aca="false">IF(C1414="","",IFERROR(INDEX('DANH MỤC'!$B$5:$B$200,MATCH(C1414,'DANH MỤC'!$A$5:$A$200,0)),"⚠ Mã chưa có trong DANH MỤC"))</f>
        <v/>
      </c>
      <c r="H1414" s="52"/>
      <c r="I1414" s="52"/>
    </row>
    <row r="1415" customFormat="false" ht="15" hidden="false" customHeight="false" outlineLevel="0" collapsed="false">
      <c r="A1415" s="50"/>
      <c r="B1415" s="51" t="str">
        <f aca="false">IF(A1415="","",MONTH(A1415))</f>
        <v/>
      </c>
      <c r="C1415" s="52"/>
      <c r="D1415" s="52"/>
      <c r="E1415" s="52"/>
      <c r="F1415" s="52"/>
      <c r="G1415" s="55" t="str">
        <f aca="false">IF(C1415="","",IFERROR(INDEX('DANH MỤC'!$B$5:$B$200,MATCH(C1415,'DANH MỤC'!$A$5:$A$200,0)),"⚠ Mã chưa có trong DANH MỤC"))</f>
        <v/>
      </c>
      <c r="H1415" s="52"/>
      <c r="I1415" s="52"/>
    </row>
    <row r="1416" customFormat="false" ht="15" hidden="false" customHeight="false" outlineLevel="0" collapsed="false">
      <c r="A1416" s="50"/>
      <c r="B1416" s="51" t="str">
        <f aca="false">IF(A1416="","",MONTH(A1416))</f>
        <v/>
      </c>
      <c r="C1416" s="52"/>
      <c r="D1416" s="52"/>
      <c r="E1416" s="52"/>
      <c r="F1416" s="52"/>
      <c r="G1416" s="55" t="str">
        <f aca="false">IF(C1416="","",IFERROR(INDEX('DANH MỤC'!$B$5:$B$200,MATCH(C1416,'DANH MỤC'!$A$5:$A$200,0)),"⚠ Mã chưa có trong DANH MỤC"))</f>
        <v/>
      </c>
      <c r="H1416" s="52"/>
      <c r="I1416" s="52"/>
    </row>
    <row r="1417" customFormat="false" ht="15" hidden="false" customHeight="false" outlineLevel="0" collapsed="false">
      <c r="A1417" s="50"/>
      <c r="B1417" s="51" t="str">
        <f aca="false">IF(A1417="","",MONTH(A1417))</f>
        <v/>
      </c>
      <c r="C1417" s="52"/>
      <c r="D1417" s="52"/>
      <c r="E1417" s="52"/>
      <c r="F1417" s="52"/>
      <c r="G1417" s="55" t="str">
        <f aca="false">IF(C1417="","",IFERROR(INDEX('DANH MỤC'!$B$5:$B$200,MATCH(C1417,'DANH MỤC'!$A$5:$A$200,0)),"⚠ Mã chưa có trong DANH MỤC"))</f>
        <v/>
      </c>
      <c r="H1417" s="52"/>
      <c r="I1417" s="52"/>
    </row>
    <row r="1418" customFormat="false" ht="15" hidden="false" customHeight="false" outlineLevel="0" collapsed="false">
      <c r="A1418" s="50"/>
      <c r="B1418" s="51" t="str">
        <f aca="false">IF(A1418="","",MONTH(A1418))</f>
        <v/>
      </c>
      <c r="C1418" s="52"/>
      <c r="D1418" s="52"/>
      <c r="E1418" s="52"/>
      <c r="F1418" s="52"/>
      <c r="G1418" s="55" t="str">
        <f aca="false">IF(C1418="","",IFERROR(INDEX('DANH MỤC'!$B$5:$B$200,MATCH(C1418,'DANH MỤC'!$A$5:$A$200,0)),"⚠ Mã chưa có trong DANH MỤC"))</f>
        <v/>
      </c>
      <c r="H1418" s="52"/>
      <c r="I1418" s="52"/>
    </row>
    <row r="1419" customFormat="false" ht="15" hidden="false" customHeight="false" outlineLevel="0" collapsed="false">
      <c r="A1419" s="50"/>
      <c r="B1419" s="51" t="str">
        <f aca="false">IF(A1419="","",MONTH(A1419))</f>
        <v/>
      </c>
      <c r="C1419" s="52"/>
      <c r="D1419" s="52"/>
      <c r="E1419" s="52"/>
      <c r="F1419" s="52"/>
      <c r="G1419" s="55" t="str">
        <f aca="false">IF(C1419="","",IFERROR(INDEX('DANH MỤC'!$B$5:$B$200,MATCH(C1419,'DANH MỤC'!$A$5:$A$200,0)),"⚠ Mã chưa có trong DANH MỤC"))</f>
        <v/>
      </c>
      <c r="H1419" s="52"/>
      <c r="I1419" s="52"/>
    </row>
    <row r="1420" customFormat="false" ht="15" hidden="false" customHeight="false" outlineLevel="0" collapsed="false">
      <c r="A1420" s="50"/>
      <c r="B1420" s="51" t="str">
        <f aca="false">IF(A1420="","",MONTH(A1420))</f>
        <v/>
      </c>
      <c r="C1420" s="52"/>
      <c r="D1420" s="52"/>
      <c r="E1420" s="52"/>
      <c r="F1420" s="52"/>
      <c r="G1420" s="55" t="str">
        <f aca="false">IF(C1420="","",IFERROR(INDEX('DANH MỤC'!$B$5:$B$200,MATCH(C1420,'DANH MỤC'!$A$5:$A$200,0)),"⚠ Mã chưa có trong DANH MỤC"))</f>
        <v/>
      </c>
      <c r="H1420" s="52"/>
      <c r="I1420" s="52"/>
    </row>
    <row r="1421" customFormat="false" ht="15" hidden="false" customHeight="false" outlineLevel="0" collapsed="false">
      <c r="A1421" s="50"/>
      <c r="B1421" s="51" t="str">
        <f aca="false">IF(A1421="","",MONTH(A1421))</f>
        <v/>
      </c>
      <c r="C1421" s="52"/>
      <c r="D1421" s="52"/>
      <c r="E1421" s="52"/>
      <c r="F1421" s="52"/>
      <c r="G1421" s="55" t="str">
        <f aca="false">IF(C1421="","",IFERROR(INDEX('DANH MỤC'!$B$5:$B$200,MATCH(C1421,'DANH MỤC'!$A$5:$A$200,0)),"⚠ Mã chưa có trong DANH MỤC"))</f>
        <v/>
      </c>
      <c r="H1421" s="52"/>
      <c r="I1421" s="52"/>
    </row>
    <row r="1422" customFormat="false" ht="15" hidden="false" customHeight="false" outlineLevel="0" collapsed="false">
      <c r="A1422" s="50"/>
      <c r="B1422" s="51" t="str">
        <f aca="false">IF(A1422="","",MONTH(A1422))</f>
        <v/>
      </c>
      <c r="C1422" s="52"/>
      <c r="D1422" s="52"/>
      <c r="E1422" s="52"/>
      <c r="F1422" s="52"/>
      <c r="G1422" s="55" t="str">
        <f aca="false">IF(C1422="","",IFERROR(INDEX('DANH MỤC'!$B$5:$B$200,MATCH(C1422,'DANH MỤC'!$A$5:$A$200,0)),"⚠ Mã chưa có trong DANH MỤC"))</f>
        <v/>
      </c>
      <c r="H1422" s="52"/>
      <c r="I1422" s="52"/>
    </row>
    <row r="1423" customFormat="false" ht="15" hidden="false" customHeight="false" outlineLevel="0" collapsed="false">
      <c r="A1423" s="50"/>
      <c r="B1423" s="51" t="str">
        <f aca="false">IF(A1423="","",MONTH(A1423))</f>
        <v/>
      </c>
      <c r="C1423" s="52"/>
      <c r="D1423" s="52"/>
      <c r="E1423" s="52"/>
      <c r="F1423" s="52"/>
      <c r="G1423" s="55" t="str">
        <f aca="false">IF(C1423="","",IFERROR(INDEX('DANH MỤC'!$B$5:$B$200,MATCH(C1423,'DANH MỤC'!$A$5:$A$200,0)),"⚠ Mã chưa có trong DANH MỤC"))</f>
        <v/>
      </c>
      <c r="H1423" s="52"/>
      <c r="I1423" s="52"/>
    </row>
    <row r="1424" customFormat="false" ht="15" hidden="false" customHeight="false" outlineLevel="0" collapsed="false">
      <c r="A1424" s="50"/>
      <c r="B1424" s="51" t="str">
        <f aca="false">IF(A1424="","",MONTH(A1424))</f>
        <v/>
      </c>
      <c r="C1424" s="52"/>
      <c r="D1424" s="52"/>
      <c r="E1424" s="52"/>
      <c r="F1424" s="52"/>
      <c r="G1424" s="55" t="str">
        <f aca="false">IF(C1424="","",IFERROR(INDEX('DANH MỤC'!$B$5:$B$200,MATCH(C1424,'DANH MỤC'!$A$5:$A$200,0)),"⚠ Mã chưa có trong DANH MỤC"))</f>
        <v/>
      </c>
      <c r="H1424" s="52"/>
      <c r="I1424" s="52"/>
    </row>
    <row r="1425" customFormat="false" ht="15" hidden="false" customHeight="false" outlineLevel="0" collapsed="false">
      <c r="A1425" s="50"/>
      <c r="B1425" s="51" t="str">
        <f aca="false">IF(A1425="","",MONTH(A1425))</f>
        <v/>
      </c>
      <c r="C1425" s="52"/>
      <c r="D1425" s="52"/>
      <c r="E1425" s="52"/>
      <c r="F1425" s="52"/>
      <c r="G1425" s="55" t="str">
        <f aca="false">IF(C1425="","",IFERROR(INDEX('DANH MỤC'!$B$5:$B$200,MATCH(C1425,'DANH MỤC'!$A$5:$A$200,0)),"⚠ Mã chưa có trong DANH MỤC"))</f>
        <v/>
      </c>
      <c r="H1425" s="52"/>
      <c r="I1425" s="52"/>
    </row>
    <row r="1426" customFormat="false" ht="15" hidden="false" customHeight="false" outlineLevel="0" collapsed="false">
      <c r="A1426" s="50"/>
      <c r="B1426" s="51" t="str">
        <f aca="false">IF(A1426="","",MONTH(A1426))</f>
        <v/>
      </c>
      <c r="C1426" s="52"/>
      <c r="D1426" s="52"/>
      <c r="E1426" s="52"/>
      <c r="F1426" s="52"/>
      <c r="G1426" s="55" t="str">
        <f aca="false">IF(C1426="","",IFERROR(INDEX('DANH MỤC'!$B$5:$B$200,MATCH(C1426,'DANH MỤC'!$A$5:$A$200,0)),"⚠ Mã chưa có trong DANH MỤC"))</f>
        <v/>
      </c>
      <c r="H1426" s="52"/>
      <c r="I1426" s="52"/>
    </row>
    <row r="1427" customFormat="false" ht="15" hidden="false" customHeight="false" outlineLevel="0" collapsed="false">
      <c r="A1427" s="50"/>
      <c r="B1427" s="51" t="str">
        <f aca="false">IF(A1427="","",MONTH(A1427))</f>
        <v/>
      </c>
      <c r="C1427" s="52"/>
      <c r="D1427" s="52"/>
      <c r="E1427" s="52"/>
      <c r="F1427" s="52"/>
      <c r="G1427" s="55" t="str">
        <f aca="false">IF(C1427="","",IFERROR(INDEX('DANH MỤC'!$B$5:$B$200,MATCH(C1427,'DANH MỤC'!$A$5:$A$200,0)),"⚠ Mã chưa có trong DANH MỤC"))</f>
        <v/>
      </c>
      <c r="H1427" s="52"/>
      <c r="I1427" s="52"/>
    </row>
    <row r="1428" customFormat="false" ht="15" hidden="false" customHeight="false" outlineLevel="0" collapsed="false">
      <c r="A1428" s="50"/>
      <c r="B1428" s="51" t="str">
        <f aca="false">IF(A1428="","",MONTH(A1428))</f>
        <v/>
      </c>
      <c r="C1428" s="52"/>
      <c r="D1428" s="52"/>
      <c r="E1428" s="52"/>
      <c r="F1428" s="52"/>
      <c r="G1428" s="55" t="str">
        <f aca="false">IF(C1428="","",IFERROR(INDEX('DANH MỤC'!$B$5:$B$200,MATCH(C1428,'DANH MỤC'!$A$5:$A$200,0)),"⚠ Mã chưa có trong DANH MỤC"))</f>
        <v/>
      </c>
      <c r="H1428" s="52"/>
      <c r="I1428" s="52"/>
    </row>
    <row r="1429" customFormat="false" ht="15" hidden="false" customHeight="false" outlineLevel="0" collapsed="false">
      <c r="A1429" s="50"/>
      <c r="B1429" s="51" t="str">
        <f aca="false">IF(A1429="","",MONTH(A1429))</f>
        <v/>
      </c>
      <c r="C1429" s="52"/>
      <c r="D1429" s="52"/>
      <c r="E1429" s="52"/>
      <c r="F1429" s="52"/>
      <c r="G1429" s="55" t="str">
        <f aca="false">IF(C1429="","",IFERROR(INDEX('DANH MỤC'!$B$5:$B$200,MATCH(C1429,'DANH MỤC'!$A$5:$A$200,0)),"⚠ Mã chưa có trong DANH MỤC"))</f>
        <v/>
      </c>
      <c r="H1429" s="52"/>
      <c r="I1429" s="52"/>
    </row>
    <row r="1430" customFormat="false" ht="15" hidden="false" customHeight="false" outlineLevel="0" collapsed="false">
      <c r="A1430" s="50"/>
      <c r="B1430" s="51" t="str">
        <f aca="false">IF(A1430="","",MONTH(A1430))</f>
        <v/>
      </c>
      <c r="C1430" s="52"/>
      <c r="D1430" s="52"/>
      <c r="E1430" s="52"/>
      <c r="F1430" s="52"/>
      <c r="G1430" s="55" t="str">
        <f aca="false">IF(C1430="","",IFERROR(INDEX('DANH MỤC'!$B$5:$B$200,MATCH(C1430,'DANH MỤC'!$A$5:$A$200,0)),"⚠ Mã chưa có trong DANH MỤC"))</f>
        <v/>
      </c>
      <c r="H1430" s="52"/>
      <c r="I1430" s="52"/>
    </row>
    <row r="1431" customFormat="false" ht="15" hidden="false" customHeight="false" outlineLevel="0" collapsed="false">
      <c r="A1431" s="50"/>
      <c r="B1431" s="51" t="str">
        <f aca="false">IF(A1431="","",MONTH(A1431))</f>
        <v/>
      </c>
      <c r="C1431" s="52"/>
      <c r="D1431" s="52"/>
      <c r="E1431" s="52"/>
      <c r="F1431" s="52"/>
      <c r="G1431" s="55" t="str">
        <f aca="false">IF(C1431="","",IFERROR(INDEX('DANH MỤC'!$B$5:$B$200,MATCH(C1431,'DANH MỤC'!$A$5:$A$200,0)),"⚠ Mã chưa có trong DANH MỤC"))</f>
        <v/>
      </c>
      <c r="H1431" s="52"/>
      <c r="I1431" s="52"/>
    </row>
    <row r="1432" customFormat="false" ht="15" hidden="false" customHeight="false" outlineLevel="0" collapsed="false">
      <c r="A1432" s="50"/>
      <c r="B1432" s="51" t="str">
        <f aca="false">IF(A1432="","",MONTH(A1432))</f>
        <v/>
      </c>
      <c r="C1432" s="52"/>
      <c r="D1432" s="52"/>
      <c r="E1432" s="52"/>
      <c r="F1432" s="52"/>
      <c r="G1432" s="55" t="str">
        <f aca="false">IF(C1432="","",IFERROR(INDEX('DANH MỤC'!$B$5:$B$200,MATCH(C1432,'DANH MỤC'!$A$5:$A$200,0)),"⚠ Mã chưa có trong DANH MỤC"))</f>
        <v/>
      </c>
      <c r="H1432" s="52"/>
      <c r="I1432" s="52"/>
    </row>
    <row r="1433" customFormat="false" ht="15" hidden="false" customHeight="false" outlineLevel="0" collapsed="false">
      <c r="A1433" s="50"/>
      <c r="B1433" s="51" t="str">
        <f aca="false">IF(A1433="","",MONTH(A1433))</f>
        <v/>
      </c>
      <c r="C1433" s="52"/>
      <c r="D1433" s="52"/>
      <c r="E1433" s="52"/>
      <c r="F1433" s="52"/>
      <c r="G1433" s="55" t="str">
        <f aca="false">IF(C1433="","",IFERROR(INDEX('DANH MỤC'!$B$5:$B$200,MATCH(C1433,'DANH MỤC'!$A$5:$A$200,0)),"⚠ Mã chưa có trong DANH MỤC"))</f>
        <v/>
      </c>
      <c r="H1433" s="52"/>
      <c r="I1433" s="52"/>
    </row>
    <row r="1434" customFormat="false" ht="15" hidden="false" customHeight="false" outlineLevel="0" collapsed="false">
      <c r="A1434" s="50"/>
      <c r="B1434" s="51" t="str">
        <f aca="false">IF(A1434="","",MONTH(A1434))</f>
        <v/>
      </c>
      <c r="C1434" s="52"/>
      <c r="D1434" s="52"/>
      <c r="E1434" s="52"/>
      <c r="F1434" s="52"/>
      <c r="G1434" s="55" t="str">
        <f aca="false">IF(C1434="","",IFERROR(INDEX('DANH MỤC'!$B$5:$B$200,MATCH(C1434,'DANH MỤC'!$A$5:$A$200,0)),"⚠ Mã chưa có trong DANH MỤC"))</f>
        <v/>
      </c>
      <c r="H1434" s="52"/>
      <c r="I1434" s="52"/>
    </row>
    <row r="1435" customFormat="false" ht="15" hidden="false" customHeight="false" outlineLevel="0" collapsed="false">
      <c r="A1435" s="50"/>
      <c r="B1435" s="51" t="str">
        <f aca="false">IF(A1435="","",MONTH(A1435))</f>
        <v/>
      </c>
      <c r="C1435" s="52"/>
      <c r="D1435" s="52"/>
      <c r="E1435" s="52"/>
      <c r="F1435" s="52"/>
      <c r="G1435" s="55" t="str">
        <f aca="false">IF(C1435="","",IFERROR(INDEX('DANH MỤC'!$B$5:$B$200,MATCH(C1435,'DANH MỤC'!$A$5:$A$200,0)),"⚠ Mã chưa có trong DANH MỤC"))</f>
        <v/>
      </c>
      <c r="H1435" s="52"/>
      <c r="I1435" s="52"/>
    </row>
    <row r="1436" customFormat="false" ht="15" hidden="false" customHeight="false" outlineLevel="0" collapsed="false">
      <c r="A1436" s="50"/>
      <c r="B1436" s="51" t="str">
        <f aca="false">IF(A1436="","",MONTH(A1436))</f>
        <v/>
      </c>
      <c r="C1436" s="52"/>
      <c r="D1436" s="52"/>
      <c r="E1436" s="52"/>
      <c r="F1436" s="52"/>
      <c r="G1436" s="55" t="str">
        <f aca="false">IF(C1436="","",IFERROR(INDEX('DANH MỤC'!$B$5:$B$200,MATCH(C1436,'DANH MỤC'!$A$5:$A$200,0)),"⚠ Mã chưa có trong DANH MỤC"))</f>
        <v/>
      </c>
      <c r="H1436" s="52"/>
      <c r="I1436" s="52"/>
    </row>
    <row r="1437" customFormat="false" ht="15" hidden="false" customHeight="false" outlineLevel="0" collapsed="false">
      <c r="A1437" s="50"/>
      <c r="B1437" s="51" t="str">
        <f aca="false">IF(A1437="","",MONTH(A1437))</f>
        <v/>
      </c>
      <c r="C1437" s="52"/>
      <c r="D1437" s="52"/>
      <c r="E1437" s="52"/>
      <c r="F1437" s="52"/>
      <c r="G1437" s="55" t="str">
        <f aca="false">IF(C1437="","",IFERROR(INDEX('DANH MỤC'!$B$5:$B$200,MATCH(C1437,'DANH MỤC'!$A$5:$A$200,0)),"⚠ Mã chưa có trong DANH MỤC"))</f>
        <v/>
      </c>
      <c r="H1437" s="52"/>
      <c r="I1437" s="52"/>
    </row>
    <row r="1438" customFormat="false" ht="15" hidden="false" customHeight="false" outlineLevel="0" collapsed="false">
      <c r="A1438" s="50"/>
      <c r="B1438" s="51" t="str">
        <f aca="false">IF(A1438="","",MONTH(A1438))</f>
        <v/>
      </c>
      <c r="C1438" s="52"/>
      <c r="D1438" s="52"/>
      <c r="E1438" s="52"/>
      <c r="F1438" s="52"/>
      <c r="G1438" s="55" t="str">
        <f aca="false">IF(C1438="","",IFERROR(INDEX('DANH MỤC'!$B$5:$B$200,MATCH(C1438,'DANH MỤC'!$A$5:$A$200,0)),"⚠ Mã chưa có trong DANH MỤC"))</f>
        <v/>
      </c>
      <c r="H1438" s="52"/>
      <c r="I1438" s="52"/>
    </row>
    <row r="1439" customFormat="false" ht="15" hidden="false" customHeight="false" outlineLevel="0" collapsed="false">
      <c r="A1439" s="50"/>
      <c r="B1439" s="51" t="str">
        <f aca="false">IF(A1439="","",MONTH(A1439))</f>
        <v/>
      </c>
      <c r="C1439" s="52"/>
      <c r="D1439" s="52"/>
      <c r="E1439" s="52"/>
      <c r="F1439" s="52"/>
      <c r="G1439" s="55" t="str">
        <f aca="false">IF(C1439="","",IFERROR(INDEX('DANH MỤC'!$B$5:$B$200,MATCH(C1439,'DANH MỤC'!$A$5:$A$200,0)),"⚠ Mã chưa có trong DANH MỤC"))</f>
        <v/>
      </c>
      <c r="H1439" s="52"/>
      <c r="I1439" s="52"/>
    </row>
    <row r="1440" customFormat="false" ht="15" hidden="false" customHeight="false" outlineLevel="0" collapsed="false">
      <c r="A1440" s="50"/>
      <c r="B1440" s="51" t="str">
        <f aca="false">IF(A1440="","",MONTH(A1440))</f>
        <v/>
      </c>
      <c r="C1440" s="52"/>
      <c r="D1440" s="52"/>
      <c r="E1440" s="52"/>
      <c r="F1440" s="52"/>
      <c r="G1440" s="55" t="str">
        <f aca="false">IF(C1440="","",IFERROR(INDEX('DANH MỤC'!$B$5:$B$200,MATCH(C1440,'DANH MỤC'!$A$5:$A$200,0)),"⚠ Mã chưa có trong DANH MỤC"))</f>
        <v/>
      </c>
      <c r="H1440" s="52"/>
      <c r="I1440" s="52"/>
    </row>
    <row r="1441" customFormat="false" ht="15" hidden="false" customHeight="false" outlineLevel="0" collapsed="false">
      <c r="A1441" s="50"/>
      <c r="B1441" s="51" t="str">
        <f aca="false">IF(A1441="","",MONTH(A1441))</f>
        <v/>
      </c>
      <c r="C1441" s="52"/>
      <c r="D1441" s="52"/>
      <c r="E1441" s="52"/>
      <c r="F1441" s="52"/>
      <c r="G1441" s="55" t="str">
        <f aca="false">IF(C1441="","",IFERROR(INDEX('DANH MỤC'!$B$5:$B$200,MATCH(C1441,'DANH MỤC'!$A$5:$A$200,0)),"⚠ Mã chưa có trong DANH MỤC"))</f>
        <v/>
      </c>
      <c r="H1441" s="52"/>
      <c r="I1441" s="52"/>
    </row>
    <row r="1442" customFormat="false" ht="15" hidden="false" customHeight="false" outlineLevel="0" collapsed="false">
      <c r="A1442" s="50"/>
      <c r="B1442" s="51" t="str">
        <f aca="false">IF(A1442="","",MONTH(A1442))</f>
        <v/>
      </c>
      <c r="C1442" s="52"/>
      <c r="D1442" s="52"/>
      <c r="E1442" s="52"/>
      <c r="F1442" s="52"/>
      <c r="G1442" s="55" t="str">
        <f aca="false">IF(C1442="","",IFERROR(INDEX('DANH MỤC'!$B$5:$B$200,MATCH(C1442,'DANH MỤC'!$A$5:$A$200,0)),"⚠ Mã chưa có trong DANH MỤC"))</f>
        <v/>
      </c>
      <c r="H1442" s="52"/>
      <c r="I1442" s="52"/>
    </row>
    <row r="1443" customFormat="false" ht="15" hidden="false" customHeight="false" outlineLevel="0" collapsed="false">
      <c r="A1443" s="50"/>
      <c r="B1443" s="51" t="str">
        <f aca="false">IF(A1443="","",MONTH(A1443))</f>
        <v/>
      </c>
      <c r="C1443" s="52"/>
      <c r="D1443" s="52"/>
      <c r="E1443" s="52"/>
      <c r="F1443" s="52"/>
      <c r="G1443" s="55" t="str">
        <f aca="false">IF(C1443="","",IFERROR(INDEX('DANH MỤC'!$B$5:$B$200,MATCH(C1443,'DANH MỤC'!$A$5:$A$200,0)),"⚠ Mã chưa có trong DANH MỤC"))</f>
        <v/>
      </c>
      <c r="H1443" s="52"/>
      <c r="I1443" s="52"/>
    </row>
    <row r="1444" customFormat="false" ht="15" hidden="false" customHeight="false" outlineLevel="0" collapsed="false">
      <c r="A1444" s="50"/>
      <c r="B1444" s="51" t="str">
        <f aca="false">IF(A1444="","",MONTH(A1444))</f>
        <v/>
      </c>
      <c r="C1444" s="52"/>
      <c r="D1444" s="52"/>
      <c r="E1444" s="52"/>
      <c r="F1444" s="52"/>
      <c r="G1444" s="55" t="str">
        <f aca="false">IF(C1444="","",IFERROR(INDEX('DANH MỤC'!$B$5:$B$200,MATCH(C1444,'DANH MỤC'!$A$5:$A$200,0)),"⚠ Mã chưa có trong DANH MỤC"))</f>
        <v/>
      </c>
      <c r="H1444" s="52"/>
      <c r="I1444" s="52"/>
    </row>
    <row r="1445" customFormat="false" ht="15" hidden="false" customHeight="false" outlineLevel="0" collapsed="false">
      <c r="A1445" s="50"/>
      <c r="B1445" s="51" t="str">
        <f aca="false">IF(A1445="","",MONTH(A1445))</f>
        <v/>
      </c>
      <c r="C1445" s="52"/>
      <c r="D1445" s="52"/>
      <c r="E1445" s="52"/>
      <c r="F1445" s="52"/>
      <c r="G1445" s="55" t="str">
        <f aca="false">IF(C1445="","",IFERROR(INDEX('DANH MỤC'!$B$5:$B$200,MATCH(C1445,'DANH MỤC'!$A$5:$A$200,0)),"⚠ Mã chưa có trong DANH MỤC"))</f>
        <v/>
      </c>
      <c r="H1445" s="52"/>
      <c r="I1445" s="52"/>
    </row>
    <row r="1446" customFormat="false" ht="15" hidden="false" customHeight="false" outlineLevel="0" collapsed="false">
      <c r="A1446" s="50"/>
      <c r="B1446" s="51" t="str">
        <f aca="false">IF(A1446="","",MONTH(A1446))</f>
        <v/>
      </c>
      <c r="C1446" s="52"/>
      <c r="D1446" s="52"/>
      <c r="E1446" s="52"/>
      <c r="F1446" s="52"/>
      <c r="G1446" s="55" t="str">
        <f aca="false">IF(C1446="","",IFERROR(INDEX('DANH MỤC'!$B$5:$B$200,MATCH(C1446,'DANH MỤC'!$A$5:$A$200,0)),"⚠ Mã chưa có trong DANH MỤC"))</f>
        <v/>
      </c>
      <c r="H1446" s="52"/>
      <c r="I1446" s="52"/>
    </row>
    <row r="1447" customFormat="false" ht="15" hidden="false" customHeight="false" outlineLevel="0" collapsed="false">
      <c r="A1447" s="50"/>
      <c r="B1447" s="51" t="str">
        <f aca="false">IF(A1447="","",MONTH(A1447))</f>
        <v/>
      </c>
      <c r="C1447" s="52"/>
      <c r="D1447" s="52"/>
      <c r="E1447" s="52"/>
      <c r="F1447" s="52"/>
      <c r="G1447" s="55" t="str">
        <f aca="false">IF(C1447="","",IFERROR(INDEX('DANH MỤC'!$B$5:$B$200,MATCH(C1447,'DANH MỤC'!$A$5:$A$200,0)),"⚠ Mã chưa có trong DANH MỤC"))</f>
        <v/>
      </c>
      <c r="H1447" s="52"/>
      <c r="I1447" s="52"/>
    </row>
    <row r="1448" customFormat="false" ht="15" hidden="false" customHeight="false" outlineLevel="0" collapsed="false">
      <c r="A1448" s="50"/>
      <c r="B1448" s="51" t="str">
        <f aca="false">IF(A1448="","",MONTH(A1448))</f>
        <v/>
      </c>
      <c r="C1448" s="52"/>
      <c r="D1448" s="52"/>
      <c r="E1448" s="52"/>
      <c r="F1448" s="52"/>
      <c r="G1448" s="55" t="str">
        <f aca="false">IF(C1448="","",IFERROR(INDEX('DANH MỤC'!$B$5:$B$200,MATCH(C1448,'DANH MỤC'!$A$5:$A$200,0)),"⚠ Mã chưa có trong DANH MỤC"))</f>
        <v/>
      </c>
      <c r="H1448" s="52"/>
      <c r="I1448" s="52"/>
    </row>
    <row r="1449" customFormat="false" ht="15" hidden="false" customHeight="false" outlineLevel="0" collapsed="false">
      <c r="A1449" s="50"/>
      <c r="B1449" s="51" t="str">
        <f aca="false">IF(A1449="","",MONTH(A1449))</f>
        <v/>
      </c>
      <c r="C1449" s="52"/>
      <c r="D1449" s="52"/>
      <c r="E1449" s="52"/>
      <c r="F1449" s="52"/>
      <c r="G1449" s="55" t="str">
        <f aca="false">IF(C1449="","",IFERROR(INDEX('DANH MỤC'!$B$5:$B$200,MATCH(C1449,'DANH MỤC'!$A$5:$A$200,0)),"⚠ Mã chưa có trong DANH MỤC"))</f>
        <v/>
      </c>
      <c r="H1449" s="52"/>
      <c r="I1449" s="52"/>
    </row>
    <row r="1450" customFormat="false" ht="15" hidden="false" customHeight="false" outlineLevel="0" collapsed="false">
      <c r="A1450" s="50"/>
      <c r="B1450" s="51" t="str">
        <f aca="false">IF(A1450="","",MONTH(A1450))</f>
        <v/>
      </c>
      <c r="C1450" s="52"/>
      <c r="D1450" s="52"/>
      <c r="E1450" s="52"/>
      <c r="F1450" s="52"/>
      <c r="G1450" s="55" t="str">
        <f aca="false">IF(C1450="","",IFERROR(INDEX('DANH MỤC'!$B$5:$B$200,MATCH(C1450,'DANH MỤC'!$A$5:$A$200,0)),"⚠ Mã chưa có trong DANH MỤC"))</f>
        <v/>
      </c>
      <c r="H1450" s="52"/>
      <c r="I1450" s="52"/>
    </row>
    <row r="1451" customFormat="false" ht="15" hidden="false" customHeight="false" outlineLevel="0" collapsed="false">
      <c r="A1451" s="50"/>
      <c r="B1451" s="51" t="str">
        <f aca="false">IF(A1451="","",MONTH(A1451))</f>
        <v/>
      </c>
      <c r="C1451" s="52"/>
      <c r="D1451" s="52"/>
      <c r="E1451" s="52"/>
      <c r="F1451" s="52"/>
      <c r="G1451" s="55" t="str">
        <f aca="false">IF(C1451="","",IFERROR(INDEX('DANH MỤC'!$B$5:$B$200,MATCH(C1451,'DANH MỤC'!$A$5:$A$200,0)),"⚠ Mã chưa có trong DANH MỤC"))</f>
        <v/>
      </c>
      <c r="H1451" s="52"/>
      <c r="I1451" s="52"/>
    </row>
    <row r="1452" customFormat="false" ht="15" hidden="false" customHeight="false" outlineLevel="0" collapsed="false">
      <c r="A1452" s="50"/>
      <c r="B1452" s="51" t="str">
        <f aca="false">IF(A1452="","",MONTH(A1452))</f>
        <v/>
      </c>
      <c r="C1452" s="52"/>
      <c r="D1452" s="52"/>
      <c r="E1452" s="52"/>
      <c r="F1452" s="52"/>
      <c r="G1452" s="55" t="str">
        <f aca="false">IF(C1452="","",IFERROR(INDEX('DANH MỤC'!$B$5:$B$200,MATCH(C1452,'DANH MỤC'!$A$5:$A$200,0)),"⚠ Mã chưa có trong DANH MỤC"))</f>
        <v/>
      </c>
      <c r="H1452" s="52"/>
      <c r="I1452" s="52"/>
    </row>
    <row r="1453" customFormat="false" ht="15" hidden="false" customHeight="false" outlineLevel="0" collapsed="false">
      <c r="A1453" s="50"/>
      <c r="B1453" s="51" t="str">
        <f aca="false">IF(A1453="","",MONTH(A1453))</f>
        <v/>
      </c>
      <c r="C1453" s="52"/>
      <c r="D1453" s="52"/>
      <c r="E1453" s="52"/>
      <c r="F1453" s="52"/>
      <c r="G1453" s="55" t="str">
        <f aca="false">IF(C1453="","",IFERROR(INDEX('DANH MỤC'!$B$5:$B$200,MATCH(C1453,'DANH MỤC'!$A$5:$A$200,0)),"⚠ Mã chưa có trong DANH MỤC"))</f>
        <v/>
      </c>
      <c r="H1453" s="52"/>
      <c r="I1453" s="52"/>
    </row>
    <row r="1454" customFormat="false" ht="15" hidden="false" customHeight="false" outlineLevel="0" collapsed="false">
      <c r="A1454" s="50"/>
      <c r="B1454" s="51" t="str">
        <f aca="false">IF(A1454="","",MONTH(A1454))</f>
        <v/>
      </c>
      <c r="C1454" s="52"/>
      <c r="D1454" s="52"/>
      <c r="E1454" s="52"/>
      <c r="F1454" s="52"/>
      <c r="G1454" s="55" t="str">
        <f aca="false">IF(C1454="","",IFERROR(INDEX('DANH MỤC'!$B$5:$B$200,MATCH(C1454,'DANH MỤC'!$A$5:$A$200,0)),"⚠ Mã chưa có trong DANH MỤC"))</f>
        <v/>
      </c>
      <c r="H1454" s="52"/>
      <c r="I1454" s="52"/>
    </row>
    <row r="1455" customFormat="false" ht="15" hidden="false" customHeight="false" outlineLevel="0" collapsed="false">
      <c r="A1455" s="50"/>
      <c r="B1455" s="51" t="str">
        <f aca="false">IF(A1455="","",MONTH(A1455))</f>
        <v/>
      </c>
      <c r="C1455" s="52"/>
      <c r="D1455" s="52"/>
      <c r="E1455" s="52"/>
      <c r="F1455" s="52"/>
      <c r="G1455" s="55" t="str">
        <f aca="false">IF(C1455="","",IFERROR(INDEX('DANH MỤC'!$B$5:$B$200,MATCH(C1455,'DANH MỤC'!$A$5:$A$200,0)),"⚠ Mã chưa có trong DANH MỤC"))</f>
        <v/>
      </c>
      <c r="H1455" s="52"/>
      <c r="I1455" s="52"/>
    </row>
    <row r="1456" customFormat="false" ht="15" hidden="false" customHeight="false" outlineLevel="0" collapsed="false">
      <c r="A1456" s="50"/>
      <c r="B1456" s="51" t="str">
        <f aca="false">IF(A1456="","",MONTH(A1456))</f>
        <v/>
      </c>
      <c r="C1456" s="52"/>
      <c r="D1456" s="52"/>
      <c r="E1456" s="52"/>
      <c r="F1456" s="52"/>
      <c r="G1456" s="55" t="str">
        <f aca="false">IF(C1456="","",IFERROR(INDEX('DANH MỤC'!$B$5:$B$200,MATCH(C1456,'DANH MỤC'!$A$5:$A$200,0)),"⚠ Mã chưa có trong DANH MỤC"))</f>
        <v/>
      </c>
      <c r="H1456" s="52"/>
      <c r="I1456" s="52"/>
    </row>
    <row r="1457" customFormat="false" ht="15" hidden="false" customHeight="false" outlineLevel="0" collapsed="false">
      <c r="A1457" s="50"/>
      <c r="B1457" s="51" t="str">
        <f aca="false">IF(A1457="","",MONTH(A1457))</f>
        <v/>
      </c>
      <c r="C1457" s="52"/>
      <c r="D1457" s="52"/>
      <c r="E1457" s="52"/>
      <c r="F1457" s="52"/>
      <c r="G1457" s="55" t="str">
        <f aca="false">IF(C1457="","",IFERROR(INDEX('DANH MỤC'!$B$5:$B$200,MATCH(C1457,'DANH MỤC'!$A$5:$A$200,0)),"⚠ Mã chưa có trong DANH MỤC"))</f>
        <v/>
      </c>
      <c r="H1457" s="52"/>
      <c r="I1457" s="52"/>
    </row>
    <row r="1458" customFormat="false" ht="15" hidden="false" customHeight="false" outlineLevel="0" collapsed="false">
      <c r="A1458" s="50"/>
      <c r="B1458" s="51" t="str">
        <f aca="false">IF(A1458="","",MONTH(A1458))</f>
        <v/>
      </c>
      <c r="C1458" s="52"/>
      <c r="D1458" s="52"/>
      <c r="E1458" s="52"/>
      <c r="F1458" s="52"/>
      <c r="G1458" s="55" t="str">
        <f aca="false">IF(C1458="","",IFERROR(INDEX('DANH MỤC'!$B$5:$B$200,MATCH(C1458,'DANH MỤC'!$A$5:$A$200,0)),"⚠ Mã chưa có trong DANH MỤC"))</f>
        <v/>
      </c>
      <c r="H1458" s="52"/>
      <c r="I1458" s="52"/>
    </row>
    <row r="1459" customFormat="false" ht="15" hidden="false" customHeight="false" outlineLevel="0" collapsed="false">
      <c r="A1459" s="50"/>
      <c r="B1459" s="51" t="str">
        <f aca="false">IF(A1459="","",MONTH(A1459))</f>
        <v/>
      </c>
      <c r="C1459" s="52"/>
      <c r="D1459" s="52"/>
      <c r="E1459" s="52"/>
      <c r="F1459" s="52"/>
      <c r="G1459" s="55" t="str">
        <f aca="false">IF(C1459="","",IFERROR(INDEX('DANH MỤC'!$B$5:$B$200,MATCH(C1459,'DANH MỤC'!$A$5:$A$200,0)),"⚠ Mã chưa có trong DANH MỤC"))</f>
        <v/>
      </c>
      <c r="H1459" s="52"/>
      <c r="I1459" s="52"/>
    </row>
    <row r="1460" customFormat="false" ht="15" hidden="false" customHeight="false" outlineLevel="0" collapsed="false">
      <c r="A1460" s="50"/>
      <c r="B1460" s="51" t="str">
        <f aca="false">IF(A1460="","",MONTH(A1460))</f>
        <v/>
      </c>
      <c r="C1460" s="52"/>
      <c r="D1460" s="52"/>
      <c r="E1460" s="52"/>
      <c r="F1460" s="52"/>
      <c r="G1460" s="55" t="str">
        <f aca="false">IF(C1460="","",IFERROR(INDEX('DANH MỤC'!$B$5:$B$200,MATCH(C1460,'DANH MỤC'!$A$5:$A$200,0)),"⚠ Mã chưa có trong DANH MỤC"))</f>
        <v/>
      </c>
      <c r="H1460" s="52"/>
      <c r="I1460" s="52"/>
    </row>
    <row r="1461" customFormat="false" ht="15" hidden="false" customHeight="false" outlineLevel="0" collapsed="false">
      <c r="A1461" s="50"/>
      <c r="B1461" s="51" t="str">
        <f aca="false">IF(A1461="","",MONTH(A1461))</f>
        <v/>
      </c>
      <c r="C1461" s="52"/>
      <c r="D1461" s="52"/>
      <c r="E1461" s="52"/>
      <c r="F1461" s="52"/>
      <c r="G1461" s="55" t="str">
        <f aca="false">IF(C1461="","",IFERROR(INDEX('DANH MỤC'!$B$5:$B$200,MATCH(C1461,'DANH MỤC'!$A$5:$A$200,0)),"⚠ Mã chưa có trong DANH MỤC"))</f>
        <v/>
      </c>
      <c r="H1461" s="52"/>
      <c r="I1461" s="52"/>
    </row>
    <row r="1462" customFormat="false" ht="15" hidden="false" customHeight="false" outlineLevel="0" collapsed="false">
      <c r="A1462" s="50"/>
      <c r="B1462" s="51" t="str">
        <f aca="false">IF(A1462="","",MONTH(A1462))</f>
        <v/>
      </c>
      <c r="C1462" s="52"/>
      <c r="D1462" s="52"/>
      <c r="E1462" s="52"/>
      <c r="F1462" s="52"/>
      <c r="G1462" s="55" t="str">
        <f aca="false">IF(C1462="","",IFERROR(INDEX('DANH MỤC'!$B$5:$B$200,MATCH(C1462,'DANH MỤC'!$A$5:$A$200,0)),"⚠ Mã chưa có trong DANH MỤC"))</f>
        <v/>
      </c>
      <c r="H1462" s="52"/>
      <c r="I1462" s="52"/>
    </row>
    <row r="1463" customFormat="false" ht="15" hidden="false" customHeight="false" outlineLevel="0" collapsed="false">
      <c r="A1463" s="50"/>
      <c r="B1463" s="51" t="str">
        <f aca="false">IF(A1463="","",MONTH(A1463))</f>
        <v/>
      </c>
      <c r="C1463" s="52"/>
      <c r="D1463" s="52"/>
      <c r="E1463" s="52"/>
      <c r="F1463" s="52"/>
      <c r="G1463" s="55" t="str">
        <f aca="false">IF(C1463="","",IFERROR(INDEX('DANH MỤC'!$B$5:$B$200,MATCH(C1463,'DANH MỤC'!$A$5:$A$200,0)),"⚠ Mã chưa có trong DANH MỤC"))</f>
        <v/>
      </c>
      <c r="H1463" s="52"/>
      <c r="I1463" s="52"/>
    </row>
    <row r="1464" customFormat="false" ht="15" hidden="false" customHeight="false" outlineLevel="0" collapsed="false">
      <c r="A1464" s="50"/>
      <c r="B1464" s="51" t="str">
        <f aca="false">IF(A1464="","",MONTH(A1464))</f>
        <v/>
      </c>
      <c r="C1464" s="52"/>
      <c r="D1464" s="52"/>
      <c r="E1464" s="52"/>
      <c r="F1464" s="52"/>
      <c r="G1464" s="55" t="str">
        <f aca="false">IF(C1464="","",IFERROR(INDEX('DANH MỤC'!$B$5:$B$200,MATCH(C1464,'DANH MỤC'!$A$5:$A$200,0)),"⚠ Mã chưa có trong DANH MỤC"))</f>
        <v/>
      </c>
      <c r="H1464" s="52"/>
      <c r="I1464" s="52"/>
    </row>
    <row r="1465" customFormat="false" ht="15" hidden="false" customHeight="false" outlineLevel="0" collapsed="false">
      <c r="A1465" s="50"/>
      <c r="B1465" s="51" t="str">
        <f aca="false">IF(A1465="","",MONTH(A1465))</f>
        <v/>
      </c>
      <c r="C1465" s="52"/>
      <c r="D1465" s="52"/>
      <c r="E1465" s="52"/>
      <c r="F1465" s="52"/>
      <c r="G1465" s="55" t="str">
        <f aca="false">IF(C1465="","",IFERROR(INDEX('DANH MỤC'!$B$5:$B$200,MATCH(C1465,'DANH MỤC'!$A$5:$A$200,0)),"⚠ Mã chưa có trong DANH MỤC"))</f>
        <v/>
      </c>
      <c r="H1465" s="52"/>
      <c r="I1465" s="52"/>
    </row>
    <row r="1466" customFormat="false" ht="15" hidden="false" customHeight="false" outlineLevel="0" collapsed="false">
      <c r="A1466" s="50"/>
      <c r="B1466" s="51" t="str">
        <f aca="false">IF(A1466="","",MONTH(A1466))</f>
        <v/>
      </c>
      <c r="C1466" s="52"/>
      <c r="D1466" s="52"/>
      <c r="E1466" s="52"/>
      <c r="F1466" s="52"/>
      <c r="G1466" s="55" t="str">
        <f aca="false">IF(C1466="","",IFERROR(INDEX('DANH MỤC'!$B$5:$B$200,MATCH(C1466,'DANH MỤC'!$A$5:$A$200,0)),"⚠ Mã chưa có trong DANH MỤC"))</f>
        <v/>
      </c>
      <c r="H1466" s="52"/>
      <c r="I1466" s="52"/>
    </row>
    <row r="1467" customFormat="false" ht="15" hidden="false" customHeight="false" outlineLevel="0" collapsed="false">
      <c r="A1467" s="50"/>
      <c r="B1467" s="51" t="str">
        <f aca="false">IF(A1467="","",MONTH(A1467))</f>
        <v/>
      </c>
      <c r="C1467" s="52"/>
      <c r="D1467" s="52"/>
      <c r="E1467" s="52"/>
      <c r="F1467" s="52"/>
      <c r="G1467" s="55" t="str">
        <f aca="false">IF(C1467="","",IFERROR(INDEX('DANH MỤC'!$B$5:$B$200,MATCH(C1467,'DANH MỤC'!$A$5:$A$200,0)),"⚠ Mã chưa có trong DANH MỤC"))</f>
        <v/>
      </c>
      <c r="H1467" s="52"/>
      <c r="I1467" s="52"/>
    </row>
    <row r="1468" customFormat="false" ht="15" hidden="false" customHeight="false" outlineLevel="0" collapsed="false">
      <c r="A1468" s="50"/>
      <c r="B1468" s="51" t="str">
        <f aca="false">IF(A1468="","",MONTH(A1468))</f>
        <v/>
      </c>
      <c r="C1468" s="52"/>
      <c r="D1468" s="52"/>
      <c r="E1468" s="52"/>
      <c r="F1468" s="52"/>
      <c r="G1468" s="55" t="str">
        <f aca="false">IF(C1468="","",IFERROR(INDEX('DANH MỤC'!$B$5:$B$200,MATCH(C1468,'DANH MỤC'!$A$5:$A$200,0)),"⚠ Mã chưa có trong DANH MỤC"))</f>
        <v/>
      </c>
      <c r="H1468" s="52"/>
      <c r="I1468" s="52"/>
    </row>
    <row r="1469" customFormat="false" ht="15" hidden="false" customHeight="false" outlineLevel="0" collapsed="false">
      <c r="A1469" s="50"/>
      <c r="B1469" s="51" t="str">
        <f aca="false">IF(A1469="","",MONTH(A1469))</f>
        <v/>
      </c>
      <c r="C1469" s="52"/>
      <c r="D1469" s="52"/>
      <c r="E1469" s="52"/>
      <c r="F1469" s="52"/>
      <c r="G1469" s="55" t="str">
        <f aca="false">IF(C1469="","",IFERROR(INDEX('DANH MỤC'!$B$5:$B$200,MATCH(C1469,'DANH MỤC'!$A$5:$A$200,0)),"⚠ Mã chưa có trong DANH MỤC"))</f>
        <v/>
      </c>
      <c r="H1469" s="52"/>
      <c r="I1469" s="52"/>
    </row>
    <row r="1470" customFormat="false" ht="15" hidden="false" customHeight="false" outlineLevel="0" collapsed="false">
      <c r="A1470" s="50"/>
      <c r="B1470" s="51" t="str">
        <f aca="false">IF(A1470="","",MONTH(A1470))</f>
        <v/>
      </c>
      <c r="C1470" s="52"/>
      <c r="D1470" s="52"/>
      <c r="E1470" s="52"/>
      <c r="F1470" s="52"/>
      <c r="G1470" s="55" t="str">
        <f aca="false">IF(C1470="","",IFERROR(INDEX('DANH MỤC'!$B$5:$B$200,MATCH(C1470,'DANH MỤC'!$A$5:$A$200,0)),"⚠ Mã chưa có trong DANH MỤC"))</f>
        <v/>
      </c>
      <c r="H1470" s="52"/>
      <c r="I1470" s="52"/>
    </row>
    <row r="1471" customFormat="false" ht="15" hidden="false" customHeight="false" outlineLevel="0" collapsed="false">
      <c r="A1471" s="50"/>
      <c r="B1471" s="51" t="str">
        <f aca="false">IF(A1471="","",MONTH(A1471))</f>
        <v/>
      </c>
      <c r="C1471" s="52"/>
      <c r="D1471" s="52"/>
      <c r="E1471" s="52"/>
      <c r="F1471" s="52"/>
      <c r="G1471" s="55" t="str">
        <f aca="false">IF(C1471="","",IFERROR(INDEX('DANH MỤC'!$B$5:$B$200,MATCH(C1471,'DANH MỤC'!$A$5:$A$200,0)),"⚠ Mã chưa có trong DANH MỤC"))</f>
        <v/>
      </c>
      <c r="H1471" s="52"/>
      <c r="I1471" s="52"/>
    </row>
    <row r="1472" customFormat="false" ht="15" hidden="false" customHeight="false" outlineLevel="0" collapsed="false">
      <c r="A1472" s="50"/>
      <c r="B1472" s="51" t="str">
        <f aca="false">IF(A1472="","",MONTH(A1472))</f>
        <v/>
      </c>
      <c r="C1472" s="52"/>
      <c r="D1472" s="52"/>
      <c r="E1472" s="52"/>
      <c r="F1472" s="52"/>
      <c r="G1472" s="55" t="str">
        <f aca="false">IF(C1472="","",IFERROR(INDEX('DANH MỤC'!$B$5:$B$200,MATCH(C1472,'DANH MỤC'!$A$5:$A$200,0)),"⚠ Mã chưa có trong DANH MỤC"))</f>
        <v/>
      </c>
      <c r="H1472" s="52"/>
      <c r="I1472" s="52"/>
    </row>
    <row r="1473" customFormat="false" ht="15" hidden="false" customHeight="false" outlineLevel="0" collapsed="false">
      <c r="A1473" s="50"/>
      <c r="B1473" s="51" t="str">
        <f aca="false">IF(A1473="","",MONTH(A1473))</f>
        <v/>
      </c>
      <c r="C1473" s="52"/>
      <c r="D1473" s="52"/>
      <c r="E1473" s="52"/>
      <c r="F1473" s="52"/>
      <c r="G1473" s="55" t="str">
        <f aca="false">IF(C1473="","",IFERROR(INDEX('DANH MỤC'!$B$5:$B$200,MATCH(C1473,'DANH MỤC'!$A$5:$A$200,0)),"⚠ Mã chưa có trong DANH MỤC"))</f>
        <v/>
      </c>
      <c r="H1473" s="52"/>
      <c r="I1473" s="52"/>
    </row>
    <row r="1474" customFormat="false" ht="15" hidden="false" customHeight="false" outlineLevel="0" collapsed="false">
      <c r="A1474" s="50"/>
      <c r="B1474" s="51" t="str">
        <f aca="false">IF(A1474="","",MONTH(A1474))</f>
        <v/>
      </c>
      <c r="C1474" s="52"/>
      <c r="D1474" s="52"/>
      <c r="E1474" s="52"/>
      <c r="F1474" s="52"/>
      <c r="G1474" s="55" t="str">
        <f aca="false">IF(C1474="","",IFERROR(INDEX('DANH MỤC'!$B$5:$B$200,MATCH(C1474,'DANH MỤC'!$A$5:$A$200,0)),"⚠ Mã chưa có trong DANH MỤC"))</f>
        <v/>
      </c>
      <c r="H1474" s="52"/>
      <c r="I1474" s="52"/>
    </row>
    <row r="1475" customFormat="false" ht="15" hidden="false" customHeight="false" outlineLevel="0" collapsed="false">
      <c r="A1475" s="50"/>
      <c r="B1475" s="51" t="str">
        <f aca="false">IF(A1475="","",MONTH(A1475))</f>
        <v/>
      </c>
      <c r="C1475" s="52"/>
      <c r="D1475" s="52"/>
      <c r="E1475" s="52"/>
      <c r="F1475" s="52"/>
      <c r="G1475" s="55" t="str">
        <f aca="false">IF(C1475="","",IFERROR(INDEX('DANH MỤC'!$B$5:$B$200,MATCH(C1475,'DANH MỤC'!$A$5:$A$200,0)),"⚠ Mã chưa có trong DANH MỤC"))</f>
        <v/>
      </c>
      <c r="H1475" s="52"/>
      <c r="I1475" s="52"/>
    </row>
    <row r="1476" customFormat="false" ht="15" hidden="false" customHeight="false" outlineLevel="0" collapsed="false">
      <c r="A1476" s="50"/>
      <c r="B1476" s="51" t="str">
        <f aca="false">IF(A1476="","",MONTH(A1476))</f>
        <v/>
      </c>
      <c r="C1476" s="52"/>
      <c r="D1476" s="52"/>
      <c r="E1476" s="52"/>
      <c r="F1476" s="52"/>
      <c r="G1476" s="55" t="str">
        <f aca="false">IF(C1476="","",IFERROR(INDEX('DANH MỤC'!$B$5:$B$200,MATCH(C1476,'DANH MỤC'!$A$5:$A$200,0)),"⚠ Mã chưa có trong DANH MỤC"))</f>
        <v/>
      </c>
      <c r="H1476" s="52"/>
      <c r="I1476" s="52"/>
    </row>
    <row r="1477" customFormat="false" ht="15" hidden="false" customHeight="false" outlineLevel="0" collapsed="false">
      <c r="A1477" s="50"/>
      <c r="B1477" s="51" t="str">
        <f aca="false">IF(A1477="","",MONTH(A1477))</f>
        <v/>
      </c>
      <c r="C1477" s="52"/>
      <c r="D1477" s="52"/>
      <c r="E1477" s="52"/>
      <c r="F1477" s="52"/>
      <c r="G1477" s="55" t="str">
        <f aca="false">IF(C1477="","",IFERROR(INDEX('DANH MỤC'!$B$5:$B$200,MATCH(C1477,'DANH MỤC'!$A$5:$A$200,0)),"⚠ Mã chưa có trong DANH MỤC"))</f>
        <v/>
      </c>
      <c r="H1477" s="52"/>
      <c r="I1477" s="52"/>
    </row>
    <row r="1478" customFormat="false" ht="15" hidden="false" customHeight="false" outlineLevel="0" collapsed="false">
      <c r="A1478" s="50"/>
      <c r="B1478" s="51" t="str">
        <f aca="false">IF(A1478="","",MONTH(A1478))</f>
        <v/>
      </c>
      <c r="C1478" s="52"/>
      <c r="D1478" s="52"/>
      <c r="E1478" s="52"/>
      <c r="F1478" s="52"/>
      <c r="G1478" s="55" t="str">
        <f aca="false">IF(C1478="","",IFERROR(INDEX('DANH MỤC'!$B$5:$B$200,MATCH(C1478,'DANH MỤC'!$A$5:$A$200,0)),"⚠ Mã chưa có trong DANH MỤC"))</f>
        <v/>
      </c>
      <c r="H1478" s="52"/>
      <c r="I1478" s="52"/>
    </row>
    <row r="1479" customFormat="false" ht="15" hidden="false" customHeight="false" outlineLevel="0" collapsed="false">
      <c r="A1479" s="50"/>
      <c r="B1479" s="51" t="str">
        <f aca="false">IF(A1479="","",MONTH(A1479))</f>
        <v/>
      </c>
      <c r="C1479" s="52"/>
      <c r="D1479" s="52"/>
      <c r="E1479" s="52"/>
      <c r="F1479" s="52"/>
      <c r="G1479" s="55" t="str">
        <f aca="false">IF(C1479="","",IFERROR(INDEX('DANH MỤC'!$B$5:$B$200,MATCH(C1479,'DANH MỤC'!$A$5:$A$200,0)),"⚠ Mã chưa có trong DANH MỤC"))</f>
        <v/>
      </c>
      <c r="H1479" s="52"/>
      <c r="I1479" s="52"/>
    </row>
    <row r="1480" customFormat="false" ht="15" hidden="false" customHeight="false" outlineLevel="0" collapsed="false">
      <c r="A1480" s="50"/>
      <c r="B1480" s="51" t="str">
        <f aca="false">IF(A1480="","",MONTH(A1480))</f>
        <v/>
      </c>
      <c r="C1480" s="52"/>
      <c r="D1480" s="52"/>
      <c r="E1480" s="52"/>
      <c r="F1480" s="52"/>
      <c r="G1480" s="55" t="str">
        <f aca="false">IF(C1480="","",IFERROR(INDEX('DANH MỤC'!$B$5:$B$200,MATCH(C1480,'DANH MỤC'!$A$5:$A$200,0)),"⚠ Mã chưa có trong DANH MỤC"))</f>
        <v/>
      </c>
      <c r="H1480" s="52"/>
      <c r="I1480" s="52"/>
    </row>
    <row r="1481" customFormat="false" ht="15" hidden="false" customHeight="false" outlineLevel="0" collapsed="false">
      <c r="A1481" s="50"/>
      <c r="B1481" s="51" t="str">
        <f aca="false">IF(A1481="","",MONTH(A1481))</f>
        <v/>
      </c>
      <c r="C1481" s="52"/>
      <c r="D1481" s="52"/>
      <c r="E1481" s="52"/>
      <c r="F1481" s="52"/>
      <c r="G1481" s="55" t="str">
        <f aca="false">IF(C1481="","",IFERROR(INDEX('DANH MỤC'!$B$5:$B$200,MATCH(C1481,'DANH MỤC'!$A$5:$A$200,0)),"⚠ Mã chưa có trong DANH MỤC"))</f>
        <v/>
      </c>
      <c r="H1481" s="52"/>
      <c r="I1481" s="52"/>
    </row>
    <row r="1482" customFormat="false" ht="15" hidden="false" customHeight="false" outlineLevel="0" collapsed="false">
      <c r="A1482" s="50"/>
      <c r="B1482" s="51" t="str">
        <f aca="false">IF(A1482="","",MONTH(A1482))</f>
        <v/>
      </c>
      <c r="C1482" s="52"/>
      <c r="D1482" s="52"/>
      <c r="E1482" s="52"/>
      <c r="F1482" s="52"/>
      <c r="G1482" s="55" t="str">
        <f aca="false">IF(C1482="","",IFERROR(INDEX('DANH MỤC'!$B$5:$B$200,MATCH(C1482,'DANH MỤC'!$A$5:$A$200,0)),"⚠ Mã chưa có trong DANH MỤC"))</f>
        <v/>
      </c>
      <c r="H1482" s="52"/>
      <c r="I1482" s="52"/>
    </row>
    <row r="1483" customFormat="false" ht="15" hidden="false" customHeight="false" outlineLevel="0" collapsed="false">
      <c r="A1483" s="50"/>
      <c r="B1483" s="51" t="str">
        <f aca="false">IF(A1483="","",MONTH(A1483))</f>
        <v/>
      </c>
      <c r="C1483" s="52"/>
      <c r="D1483" s="52"/>
      <c r="E1483" s="52"/>
      <c r="F1483" s="52"/>
      <c r="G1483" s="55" t="str">
        <f aca="false">IF(C1483="","",IFERROR(INDEX('DANH MỤC'!$B$5:$B$200,MATCH(C1483,'DANH MỤC'!$A$5:$A$200,0)),"⚠ Mã chưa có trong DANH MỤC"))</f>
        <v/>
      </c>
      <c r="H1483" s="52"/>
      <c r="I1483" s="52"/>
    </row>
    <row r="1484" customFormat="false" ht="15" hidden="false" customHeight="false" outlineLevel="0" collapsed="false">
      <c r="A1484" s="50"/>
      <c r="B1484" s="51" t="str">
        <f aca="false">IF(A1484="","",MONTH(A1484))</f>
        <v/>
      </c>
      <c r="C1484" s="52"/>
      <c r="D1484" s="52"/>
      <c r="E1484" s="52"/>
      <c r="F1484" s="52"/>
      <c r="G1484" s="55" t="str">
        <f aca="false">IF(C1484="","",IFERROR(INDEX('DANH MỤC'!$B$5:$B$200,MATCH(C1484,'DANH MỤC'!$A$5:$A$200,0)),"⚠ Mã chưa có trong DANH MỤC"))</f>
        <v/>
      </c>
      <c r="H1484" s="52"/>
      <c r="I1484" s="52"/>
    </row>
    <row r="1485" customFormat="false" ht="15" hidden="false" customHeight="false" outlineLevel="0" collapsed="false">
      <c r="A1485" s="50"/>
      <c r="B1485" s="51" t="str">
        <f aca="false">IF(A1485="","",MONTH(A1485))</f>
        <v/>
      </c>
      <c r="C1485" s="52"/>
      <c r="D1485" s="52"/>
      <c r="E1485" s="52"/>
      <c r="F1485" s="52"/>
      <c r="G1485" s="55" t="str">
        <f aca="false">IF(C1485="","",IFERROR(INDEX('DANH MỤC'!$B$5:$B$200,MATCH(C1485,'DANH MỤC'!$A$5:$A$200,0)),"⚠ Mã chưa có trong DANH MỤC"))</f>
        <v/>
      </c>
      <c r="H1485" s="52"/>
      <c r="I1485" s="52"/>
    </row>
    <row r="1486" customFormat="false" ht="15" hidden="false" customHeight="false" outlineLevel="0" collapsed="false">
      <c r="A1486" s="50"/>
      <c r="B1486" s="51" t="str">
        <f aca="false">IF(A1486="","",MONTH(A1486))</f>
        <v/>
      </c>
      <c r="C1486" s="52"/>
      <c r="D1486" s="52"/>
      <c r="E1486" s="52"/>
      <c r="F1486" s="52"/>
      <c r="G1486" s="55" t="str">
        <f aca="false">IF(C1486="","",IFERROR(INDEX('DANH MỤC'!$B$5:$B$200,MATCH(C1486,'DANH MỤC'!$A$5:$A$200,0)),"⚠ Mã chưa có trong DANH MỤC"))</f>
        <v/>
      </c>
      <c r="H1486" s="52"/>
      <c r="I1486" s="52"/>
    </row>
    <row r="1487" customFormat="false" ht="15" hidden="false" customHeight="false" outlineLevel="0" collapsed="false">
      <c r="A1487" s="50"/>
      <c r="B1487" s="51" t="str">
        <f aca="false">IF(A1487="","",MONTH(A1487))</f>
        <v/>
      </c>
      <c r="C1487" s="52"/>
      <c r="D1487" s="52"/>
      <c r="E1487" s="52"/>
      <c r="F1487" s="52"/>
      <c r="G1487" s="55" t="str">
        <f aca="false">IF(C1487="","",IFERROR(INDEX('DANH MỤC'!$B$5:$B$200,MATCH(C1487,'DANH MỤC'!$A$5:$A$200,0)),"⚠ Mã chưa có trong DANH MỤC"))</f>
        <v/>
      </c>
      <c r="H1487" s="52"/>
      <c r="I1487" s="52"/>
    </row>
    <row r="1488" customFormat="false" ht="15" hidden="false" customHeight="false" outlineLevel="0" collapsed="false">
      <c r="A1488" s="50"/>
      <c r="B1488" s="51" t="str">
        <f aca="false">IF(A1488="","",MONTH(A1488))</f>
        <v/>
      </c>
      <c r="C1488" s="52"/>
      <c r="D1488" s="52"/>
      <c r="E1488" s="52"/>
      <c r="F1488" s="52"/>
      <c r="G1488" s="55" t="str">
        <f aca="false">IF(C1488="","",IFERROR(INDEX('DANH MỤC'!$B$5:$B$200,MATCH(C1488,'DANH MỤC'!$A$5:$A$200,0)),"⚠ Mã chưa có trong DANH MỤC"))</f>
        <v/>
      </c>
      <c r="H1488" s="52"/>
      <c r="I1488" s="52"/>
    </row>
    <row r="1489" customFormat="false" ht="15" hidden="false" customHeight="false" outlineLevel="0" collapsed="false">
      <c r="A1489" s="50"/>
      <c r="B1489" s="51" t="str">
        <f aca="false">IF(A1489="","",MONTH(A1489))</f>
        <v/>
      </c>
      <c r="C1489" s="52"/>
      <c r="D1489" s="52"/>
      <c r="E1489" s="52"/>
      <c r="F1489" s="52"/>
      <c r="G1489" s="55" t="str">
        <f aca="false">IF(C1489="","",IFERROR(INDEX('DANH MỤC'!$B$5:$B$200,MATCH(C1489,'DANH MỤC'!$A$5:$A$200,0)),"⚠ Mã chưa có trong DANH MỤC"))</f>
        <v/>
      </c>
      <c r="H1489" s="52"/>
      <c r="I1489" s="52"/>
    </row>
    <row r="1490" customFormat="false" ht="15" hidden="false" customHeight="false" outlineLevel="0" collapsed="false">
      <c r="A1490" s="50"/>
      <c r="B1490" s="51" t="str">
        <f aca="false">IF(A1490="","",MONTH(A1490))</f>
        <v/>
      </c>
      <c r="C1490" s="52"/>
      <c r="D1490" s="52"/>
      <c r="E1490" s="52"/>
      <c r="F1490" s="52"/>
      <c r="G1490" s="55" t="str">
        <f aca="false">IF(C1490="","",IFERROR(INDEX('DANH MỤC'!$B$5:$B$200,MATCH(C1490,'DANH MỤC'!$A$5:$A$200,0)),"⚠ Mã chưa có trong DANH MỤC"))</f>
        <v/>
      </c>
      <c r="H1490" s="52"/>
      <c r="I1490" s="52"/>
    </row>
    <row r="1491" customFormat="false" ht="15" hidden="false" customHeight="false" outlineLevel="0" collapsed="false">
      <c r="A1491" s="50"/>
      <c r="B1491" s="51" t="str">
        <f aca="false">IF(A1491="","",MONTH(A1491))</f>
        <v/>
      </c>
      <c r="C1491" s="52"/>
      <c r="D1491" s="52"/>
      <c r="E1491" s="52"/>
      <c r="F1491" s="52"/>
      <c r="G1491" s="55" t="str">
        <f aca="false">IF(C1491="","",IFERROR(INDEX('DANH MỤC'!$B$5:$B$200,MATCH(C1491,'DANH MỤC'!$A$5:$A$200,0)),"⚠ Mã chưa có trong DANH MỤC"))</f>
        <v/>
      </c>
      <c r="H1491" s="52"/>
      <c r="I1491" s="52"/>
    </row>
    <row r="1492" customFormat="false" ht="15" hidden="false" customHeight="false" outlineLevel="0" collapsed="false">
      <c r="A1492" s="50"/>
      <c r="B1492" s="51" t="str">
        <f aca="false">IF(A1492="","",MONTH(A1492))</f>
        <v/>
      </c>
      <c r="C1492" s="52"/>
      <c r="D1492" s="52"/>
      <c r="E1492" s="52"/>
      <c r="F1492" s="52"/>
      <c r="G1492" s="55" t="str">
        <f aca="false">IF(C1492="","",IFERROR(INDEX('DANH MỤC'!$B$5:$B$200,MATCH(C1492,'DANH MỤC'!$A$5:$A$200,0)),"⚠ Mã chưa có trong DANH MỤC"))</f>
        <v/>
      </c>
      <c r="H1492" s="52"/>
      <c r="I1492" s="52"/>
    </row>
    <row r="1493" customFormat="false" ht="15" hidden="false" customHeight="false" outlineLevel="0" collapsed="false">
      <c r="A1493" s="50"/>
      <c r="B1493" s="51" t="str">
        <f aca="false">IF(A1493="","",MONTH(A1493))</f>
        <v/>
      </c>
      <c r="C1493" s="52"/>
      <c r="D1493" s="52"/>
      <c r="E1493" s="52"/>
      <c r="F1493" s="52"/>
      <c r="G1493" s="55" t="str">
        <f aca="false">IF(C1493="","",IFERROR(INDEX('DANH MỤC'!$B$5:$B$200,MATCH(C1493,'DANH MỤC'!$A$5:$A$200,0)),"⚠ Mã chưa có trong DANH MỤC"))</f>
        <v/>
      </c>
      <c r="H1493" s="52"/>
      <c r="I1493" s="52"/>
    </row>
    <row r="1494" customFormat="false" ht="15" hidden="false" customHeight="false" outlineLevel="0" collapsed="false">
      <c r="A1494" s="50"/>
      <c r="B1494" s="51" t="str">
        <f aca="false">IF(A1494="","",MONTH(A1494))</f>
        <v/>
      </c>
      <c r="C1494" s="52"/>
      <c r="D1494" s="52"/>
      <c r="E1494" s="52"/>
      <c r="F1494" s="52"/>
      <c r="G1494" s="55" t="str">
        <f aca="false">IF(C1494="","",IFERROR(INDEX('DANH MỤC'!$B$5:$B$200,MATCH(C1494,'DANH MỤC'!$A$5:$A$200,0)),"⚠ Mã chưa có trong DANH MỤC"))</f>
        <v/>
      </c>
      <c r="H1494" s="52"/>
      <c r="I1494" s="52"/>
    </row>
    <row r="1495" customFormat="false" ht="15" hidden="false" customHeight="false" outlineLevel="0" collapsed="false">
      <c r="A1495" s="50"/>
      <c r="B1495" s="51" t="str">
        <f aca="false">IF(A1495="","",MONTH(A1495))</f>
        <v/>
      </c>
      <c r="C1495" s="52"/>
      <c r="D1495" s="52"/>
      <c r="E1495" s="52"/>
      <c r="F1495" s="52"/>
      <c r="G1495" s="55" t="str">
        <f aca="false">IF(C1495="","",IFERROR(INDEX('DANH MỤC'!$B$5:$B$200,MATCH(C1495,'DANH MỤC'!$A$5:$A$200,0)),"⚠ Mã chưa có trong DANH MỤC"))</f>
        <v/>
      </c>
      <c r="H1495" s="52"/>
      <c r="I1495" s="52"/>
    </row>
    <row r="1496" customFormat="false" ht="15" hidden="false" customHeight="false" outlineLevel="0" collapsed="false">
      <c r="A1496" s="50"/>
      <c r="B1496" s="51" t="str">
        <f aca="false">IF(A1496="","",MONTH(A1496))</f>
        <v/>
      </c>
      <c r="C1496" s="52"/>
      <c r="D1496" s="52"/>
      <c r="E1496" s="52"/>
      <c r="F1496" s="52"/>
      <c r="G1496" s="55" t="str">
        <f aca="false">IF(C1496="","",IFERROR(INDEX('DANH MỤC'!$B$5:$B$200,MATCH(C1496,'DANH MỤC'!$A$5:$A$200,0)),"⚠ Mã chưa có trong DANH MỤC"))</f>
        <v/>
      </c>
      <c r="H1496" s="52"/>
      <c r="I1496" s="52"/>
    </row>
    <row r="1497" customFormat="false" ht="15" hidden="false" customHeight="false" outlineLevel="0" collapsed="false">
      <c r="A1497" s="50"/>
      <c r="B1497" s="51" t="str">
        <f aca="false">IF(A1497="","",MONTH(A1497))</f>
        <v/>
      </c>
      <c r="C1497" s="52"/>
      <c r="D1497" s="52"/>
      <c r="E1497" s="52"/>
      <c r="F1497" s="52"/>
      <c r="G1497" s="55" t="str">
        <f aca="false">IF(C1497="","",IFERROR(INDEX('DANH MỤC'!$B$5:$B$200,MATCH(C1497,'DANH MỤC'!$A$5:$A$200,0)),"⚠ Mã chưa có trong DANH MỤC"))</f>
        <v/>
      </c>
      <c r="H1497" s="52"/>
      <c r="I1497" s="52"/>
    </row>
    <row r="1498" customFormat="false" ht="15" hidden="false" customHeight="false" outlineLevel="0" collapsed="false">
      <c r="A1498" s="50"/>
      <c r="B1498" s="51" t="str">
        <f aca="false">IF(A1498="","",MONTH(A1498))</f>
        <v/>
      </c>
      <c r="C1498" s="52"/>
      <c r="D1498" s="52"/>
      <c r="E1498" s="52"/>
      <c r="F1498" s="52"/>
      <c r="G1498" s="55" t="str">
        <f aca="false">IF(C1498="","",IFERROR(INDEX('DANH MỤC'!$B$5:$B$200,MATCH(C1498,'DANH MỤC'!$A$5:$A$200,0)),"⚠ Mã chưa có trong DANH MỤC"))</f>
        <v/>
      </c>
      <c r="H1498" s="52"/>
      <c r="I1498" s="52"/>
    </row>
    <row r="1499" customFormat="false" ht="15" hidden="false" customHeight="false" outlineLevel="0" collapsed="false">
      <c r="A1499" s="50"/>
      <c r="B1499" s="51" t="str">
        <f aca="false">IF(A1499="","",MONTH(A1499))</f>
        <v/>
      </c>
      <c r="C1499" s="52"/>
      <c r="D1499" s="52"/>
      <c r="E1499" s="52"/>
      <c r="F1499" s="52"/>
      <c r="G1499" s="55" t="str">
        <f aca="false">IF(C1499="","",IFERROR(INDEX('DANH MỤC'!$B$5:$B$200,MATCH(C1499,'DANH MỤC'!$A$5:$A$200,0)),"⚠ Mã chưa có trong DANH MỤC"))</f>
        <v/>
      </c>
      <c r="H1499" s="52"/>
      <c r="I1499" s="52"/>
    </row>
    <row r="1500" customFormat="false" ht="15" hidden="false" customHeight="false" outlineLevel="0" collapsed="false">
      <c r="A1500" s="50"/>
      <c r="B1500" s="51" t="str">
        <f aca="false">IF(A1500="","",MONTH(A1500))</f>
        <v/>
      </c>
      <c r="C1500" s="52"/>
      <c r="D1500" s="52"/>
      <c r="E1500" s="52"/>
      <c r="F1500" s="52"/>
      <c r="G1500" s="55" t="str">
        <f aca="false">IF(C1500="","",IFERROR(INDEX('DANH MỤC'!$B$5:$B$200,MATCH(C1500,'DANH MỤC'!$A$5:$A$200,0)),"⚠ Mã chưa có trong DANH MỤC"))</f>
        <v/>
      </c>
      <c r="H1500" s="52"/>
      <c r="I1500" s="52"/>
    </row>
    <row r="1501" customFormat="false" ht="15" hidden="false" customHeight="false" outlineLevel="0" collapsed="false">
      <c r="A1501" s="50"/>
      <c r="B1501" s="51" t="str">
        <f aca="false">IF(A1501="","",MONTH(A1501))</f>
        <v/>
      </c>
      <c r="C1501" s="52"/>
      <c r="D1501" s="52"/>
      <c r="E1501" s="52"/>
      <c r="F1501" s="52"/>
      <c r="G1501" s="55" t="str">
        <f aca="false">IF(C1501="","",IFERROR(INDEX('DANH MỤC'!$B$5:$B$200,MATCH(C1501,'DANH MỤC'!$A$5:$A$200,0)),"⚠ Mã chưa có trong DANH MỤC"))</f>
        <v/>
      </c>
      <c r="H1501" s="52"/>
      <c r="I1501" s="52"/>
    </row>
    <row r="1502" customFormat="false" ht="15" hidden="false" customHeight="false" outlineLevel="0" collapsed="false">
      <c r="A1502" s="50"/>
      <c r="B1502" s="51" t="str">
        <f aca="false">IF(A1502="","",MONTH(A1502))</f>
        <v/>
      </c>
      <c r="C1502" s="52"/>
      <c r="D1502" s="52"/>
      <c r="E1502" s="52"/>
      <c r="F1502" s="52"/>
      <c r="G1502" s="55" t="str">
        <f aca="false">IF(C1502="","",IFERROR(INDEX('DANH MỤC'!$B$5:$B$200,MATCH(C1502,'DANH MỤC'!$A$5:$A$200,0)),"⚠ Mã chưa có trong DANH MỤC"))</f>
        <v/>
      </c>
      <c r="H1502" s="52"/>
      <c r="I1502" s="52"/>
    </row>
    <row r="1503" customFormat="false" ht="15" hidden="false" customHeight="false" outlineLevel="0" collapsed="false">
      <c r="A1503" s="50"/>
      <c r="B1503" s="51" t="str">
        <f aca="false">IF(A1503="","",MONTH(A1503))</f>
        <v/>
      </c>
      <c r="C1503" s="52"/>
      <c r="D1503" s="52"/>
      <c r="E1503" s="52"/>
      <c r="F1503" s="52"/>
      <c r="G1503" s="55" t="str">
        <f aca="false">IF(C1503="","",IFERROR(INDEX('DANH MỤC'!$B$5:$B$200,MATCH(C1503,'DANH MỤC'!$A$5:$A$200,0)),"⚠ Mã chưa có trong DANH MỤC"))</f>
        <v/>
      </c>
      <c r="H1503" s="52"/>
      <c r="I1503" s="52"/>
    </row>
    <row r="1504" customFormat="false" ht="15" hidden="false" customHeight="false" outlineLevel="0" collapsed="false">
      <c r="A1504" s="50"/>
      <c r="B1504" s="51" t="str">
        <f aca="false">IF(A1504="","",MONTH(A1504))</f>
        <v/>
      </c>
      <c r="C1504" s="52"/>
      <c r="D1504" s="52"/>
      <c r="E1504" s="52"/>
      <c r="F1504" s="52"/>
      <c r="G1504" s="55" t="str">
        <f aca="false">IF(C1504="","",IFERROR(INDEX('DANH MỤC'!$B$5:$B$200,MATCH(C1504,'DANH MỤC'!$A$5:$A$200,0)),"⚠ Mã chưa có trong DANH MỤC"))</f>
        <v/>
      </c>
      <c r="H1504" s="52"/>
      <c r="I1504" s="52"/>
    </row>
    <row r="1505" customFormat="false" ht="15" hidden="false" customHeight="false" outlineLevel="0" collapsed="false">
      <c r="A1505" s="50"/>
      <c r="B1505" s="51" t="str">
        <f aca="false">IF(A1505="","",MONTH(A1505))</f>
        <v/>
      </c>
      <c r="C1505" s="52"/>
      <c r="D1505" s="52"/>
      <c r="E1505" s="52"/>
      <c r="F1505" s="52"/>
      <c r="G1505" s="55" t="str">
        <f aca="false">IF(C1505="","",IFERROR(INDEX('DANH MỤC'!$B$5:$B$200,MATCH(C1505,'DANH MỤC'!$A$5:$A$200,0)),"⚠ Mã chưa có trong DANH MỤC"))</f>
        <v/>
      </c>
      <c r="H1505" s="52"/>
      <c r="I1505" s="52"/>
    </row>
    <row r="1506" customFormat="false" ht="15" hidden="false" customHeight="false" outlineLevel="0" collapsed="false">
      <c r="A1506" s="50"/>
      <c r="B1506" s="51" t="str">
        <f aca="false">IF(A1506="","",MONTH(A1506))</f>
        <v/>
      </c>
      <c r="C1506" s="52"/>
      <c r="D1506" s="52"/>
      <c r="E1506" s="52"/>
      <c r="F1506" s="52"/>
      <c r="G1506" s="55" t="str">
        <f aca="false">IF(C1506="","",IFERROR(INDEX('DANH MỤC'!$B$5:$B$200,MATCH(C1506,'DANH MỤC'!$A$5:$A$200,0)),"⚠ Mã chưa có trong DANH MỤC"))</f>
        <v/>
      </c>
      <c r="H1506" s="52"/>
      <c r="I1506" s="52"/>
    </row>
    <row r="1507" customFormat="false" ht="15" hidden="false" customHeight="false" outlineLevel="0" collapsed="false">
      <c r="A1507" s="50"/>
      <c r="B1507" s="51" t="str">
        <f aca="false">IF(A1507="","",MONTH(A1507))</f>
        <v/>
      </c>
      <c r="C1507" s="52"/>
      <c r="D1507" s="52"/>
      <c r="E1507" s="52"/>
      <c r="F1507" s="52"/>
      <c r="G1507" s="55" t="str">
        <f aca="false">IF(C1507="","",IFERROR(INDEX('DANH MỤC'!$B$5:$B$200,MATCH(C1507,'DANH MỤC'!$A$5:$A$200,0)),"⚠ Mã chưa có trong DANH MỤC"))</f>
        <v/>
      </c>
      <c r="H1507" s="52"/>
      <c r="I1507" s="52"/>
    </row>
    <row r="1508" customFormat="false" ht="15" hidden="false" customHeight="false" outlineLevel="0" collapsed="false">
      <c r="A1508" s="50"/>
      <c r="B1508" s="51" t="str">
        <f aca="false">IF(A1508="","",MONTH(A1508))</f>
        <v/>
      </c>
      <c r="C1508" s="52"/>
      <c r="D1508" s="52"/>
      <c r="E1508" s="52"/>
      <c r="F1508" s="52"/>
      <c r="G1508" s="55" t="str">
        <f aca="false">IF(C1508="","",IFERROR(INDEX('DANH MỤC'!$B$5:$B$200,MATCH(C1508,'DANH MỤC'!$A$5:$A$200,0)),"⚠ Mã chưa có trong DANH MỤC"))</f>
        <v/>
      </c>
      <c r="H1508" s="52"/>
      <c r="I1508" s="52"/>
    </row>
    <row r="1509" customFormat="false" ht="15" hidden="false" customHeight="false" outlineLevel="0" collapsed="false">
      <c r="A1509" s="50"/>
      <c r="B1509" s="51" t="str">
        <f aca="false">IF(A1509="","",MONTH(A1509))</f>
        <v/>
      </c>
      <c r="C1509" s="52"/>
      <c r="D1509" s="52"/>
      <c r="E1509" s="52"/>
      <c r="F1509" s="52"/>
      <c r="G1509" s="55" t="str">
        <f aca="false">IF(C1509="","",IFERROR(INDEX('DANH MỤC'!$B$5:$B$200,MATCH(C1509,'DANH MỤC'!$A$5:$A$200,0)),"⚠ Mã chưa có trong DANH MỤC"))</f>
        <v/>
      </c>
      <c r="H1509" s="52"/>
      <c r="I1509" s="52"/>
    </row>
    <row r="1510" customFormat="false" ht="15" hidden="false" customHeight="false" outlineLevel="0" collapsed="false">
      <c r="A1510" s="50"/>
      <c r="B1510" s="51" t="str">
        <f aca="false">IF(A1510="","",MONTH(A1510))</f>
        <v/>
      </c>
      <c r="C1510" s="52"/>
      <c r="D1510" s="52"/>
      <c r="E1510" s="52"/>
      <c r="F1510" s="52"/>
      <c r="G1510" s="55" t="str">
        <f aca="false">IF(C1510="","",IFERROR(INDEX('DANH MỤC'!$B$5:$B$200,MATCH(C1510,'DANH MỤC'!$A$5:$A$200,0)),"⚠ Mã chưa có trong DANH MỤC"))</f>
        <v/>
      </c>
      <c r="H1510" s="52"/>
      <c r="I1510" s="52"/>
    </row>
    <row r="1511" customFormat="false" ht="15" hidden="false" customHeight="false" outlineLevel="0" collapsed="false">
      <c r="A1511" s="50"/>
      <c r="B1511" s="51" t="str">
        <f aca="false">IF(A1511="","",MONTH(A1511))</f>
        <v/>
      </c>
      <c r="C1511" s="52"/>
      <c r="D1511" s="52"/>
      <c r="E1511" s="52"/>
      <c r="F1511" s="52"/>
      <c r="G1511" s="55" t="str">
        <f aca="false">IF(C1511="","",IFERROR(INDEX('DANH MỤC'!$B$5:$B$200,MATCH(C1511,'DANH MỤC'!$A$5:$A$200,0)),"⚠ Mã chưa có trong DANH MỤC"))</f>
        <v/>
      </c>
      <c r="H1511" s="52"/>
      <c r="I1511" s="52"/>
    </row>
    <row r="1512" customFormat="false" ht="15" hidden="false" customHeight="false" outlineLevel="0" collapsed="false">
      <c r="A1512" s="50"/>
      <c r="B1512" s="51" t="str">
        <f aca="false">IF(A1512="","",MONTH(A1512))</f>
        <v/>
      </c>
      <c r="C1512" s="52"/>
      <c r="D1512" s="52"/>
      <c r="E1512" s="52"/>
      <c r="F1512" s="52"/>
      <c r="G1512" s="55" t="str">
        <f aca="false">IF(C1512="","",IFERROR(INDEX('DANH MỤC'!$B$5:$B$200,MATCH(C1512,'DANH MỤC'!$A$5:$A$200,0)),"⚠ Mã chưa có trong DANH MỤC"))</f>
        <v/>
      </c>
      <c r="H1512" s="52"/>
      <c r="I1512" s="52"/>
    </row>
    <row r="1513" customFormat="false" ht="15" hidden="false" customHeight="false" outlineLevel="0" collapsed="false">
      <c r="A1513" s="50"/>
      <c r="B1513" s="51" t="str">
        <f aca="false">IF(A1513="","",MONTH(A1513))</f>
        <v/>
      </c>
      <c r="C1513" s="52"/>
      <c r="D1513" s="52"/>
      <c r="E1513" s="52"/>
      <c r="F1513" s="52"/>
      <c r="G1513" s="55" t="str">
        <f aca="false">IF(C1513="","",IFERROR(INDEX('DANH MỤC'!$B$5:$B$200,MATCH(C1513,'DANH MỤC'!$A$5:$A$200,0)),"⚠ Mã chưa có trong DANH MỤC"))</f>
        <v/>
      </c>
      <c r="H1513" s="52"/>
      <c r="I1513" s="52"/>
    </row>
    <row r="1514" customFormat="false" ht="15" hidden="false" customHeight="false" outlineLevel="0" collapsed="false">
      <c r="A1514" s="50"/>
      <c r="B1514" s="51" t="str">
        <f aca="false">IF(A1514="","",MONTH(A1514))</f>
        <v/>
      </c>
      <c r="C1514" s="52"/>
      <c r="D1514" s="52"/>
      <c r="E1514" s="52"/>
      <c r="F1514" s="52"/>
      <c r="G1514" s="55" t="str">
        <f aca="false">IF(C1514="","",IFERROR(INDEX('DANH MỤC'!$B$5:$B$200,MATCH(C1514,'DANH MỤC'!$A$5:$A$200,0)),"⚠ Mã chưa có trong DANH MỤC"))</f>
        <v/>
      </c>
      <c r="H1514" s="52"/>
      <c r="I1514" s="52"/>
    </row>
    <row r="1515" customFormat="false" ht="15" hidden="false" customHeight="false" outlineLevel="0" collapsed="false">
      <c r="A1515" s="50"/>
      <c r="B1515" s="51" t="str">
        <f aca="false">IF(A1515="","",MONTH(A1515))</f>
        <v/>
      </c>
      <c r="C1515" s="52"/>
      <c r="D1515" s="52"/>
      <c r="E1515" s="52"/>
      <c r="F1515" s="52"/>
      <c r="G1515" s="55" t="str">
        <f aca="false">IF(C1515="","",IFERROR(INDEX('DANH MỤC'!$B$5:$B$200,MATCH(C1515,'DANH MỤC'!$A$5:$A$200,0)),"⚠ Mã chưa có trong DANH MỤC"))</f>
        <v/>
      </c>
      <c r="H1515" s="52"/>
      <c r="I1515" s="52"/>
    </row>
    <row r="1516" customFormat="false" ht="15" hidden="false" customHeight="false" outlineLevel="0" collapsed="false">
      <c r="A1516" s="50"/>
      <c r="B1516" s="51" t="str">
        <f aca="false">IF(A1516="","",MONTH(A1516))</f>
        <v/>
      </c>
      <c r="C1516" s="52"/>
      <c r="D1516" s="52"/>
      <c r="E1516" s="52"/>
      <c r="F1516" s="52"/>
      <c r="G1516" s="55" t="str">
        <f aca="false">IF(C1516="","",IFERROR(INDEX('DANH MỤC'!$B$5:$B$200,MATCH(C1516,'DANH MỤC'!$A$5:$A$200,0)),"⚠ Mã chưa có trong DANH MỤC"))</f>
        <v/>
      </c>
      <c r="H1516" s="52"/>
      <c r="I1516" s="52"/>
    </row>
    <row r="1517" customFormat="false" ht="15" hidden="false" customHeight="false" outlineLevel="0" collapsed="false">
      <c r="A1517" s="50"/>
      <c r="B1517" s="51" t="str">
        <f aca="false">IF(A1517="","",MONTH(A1517))</f>
        <v/>
      </c>
      <c r="C1517" s="52"/>
      <c r="D1517" s="52"/>
      <c r="E1517" s="52"/>
      <c r="F1517" s="52"/>
      <c r="G1517" s="55" t="str">
        <f aca="false">IF(C1517="","",IFERROR(INDEX('DANH MỤC'!$B$5:$B$200,MATCH(C1517,'DANH MỤC'!$A$5:$A$200,0)),"⚠ Mã chưa có trong DANH MỤC"))</f>
        <v/>
      </c>
      <c r="H1517" s="52"/>
      <c r="I1517" s="52"/>
    </row>
    <row r="1518" customFormat="false" ht="15" hidden="false" customHeight="false" outlineLevel="0" collapsed="false">
      <c r="A1518" s="50"/>
      <c r="B1518" s="51" t="str">
        <f aca="false">IF(A1518="","",MONTH(A1518))</f>
        <v/>
      </c>
      <c r="C1518" s="52"/>
      <c r="D1518" s="52"/>
      <c r="E1518" s="52"/>
      <c r="F1518" s="52"/>
      <c r="G1518" s="55" t="str">
        <f aca="false">IF(C1518="","",IFERROR(INDEX('DANH MỤC'!$B$5:$B$200,MATCH(C1518,'DANH MỤC'!$A$5:$A$200,0)),"⚠ Mã chưa có trong DANH MỤC"))</f>
        <v/>
      </c>
      <c r="H1518" s="52"/>
      <c r="I1518" s="52"/>
    </row>
    <row r="1519" customFormat="false" ht="15" hidden="false" customHeight="false" outlineLevel="0" collapsed="false">
      <c r="A1519" s="50"/>
      <c r="B1519" s="51" t="str">
        <f aca="false">IF(A1519="","",MONTH(A1519))</f>
        <v/>
      </c>
      <c r="C1519" s="52"/>
      <c r="D1519" s="52"/>
      <c r="E1519" s="52"/>
      <c r="F1519" s="52"/>
      <c r="G1519" s="55" t="str">
        <f aca="false">IF(C1519="","",IFERROR(INDEX('DANH MỤC'!$B$5:$B$200,MATCH(C1519,'DANH MỤC'!$A$5:$A$200,0)),"⚠ Mã chưa có trong DANH MỤC"))</f>
        <v/>
      </c>
      <c r="H1519" s="52"/>
      <c r="I1519" s="52"/>
    </row>
    <row r="1520" customFormat="false" ht="15" hidden="false" customHeight="false" outlineLevel="0" collapsed="false">
      <c r="A1520" s="50"/>
      <c r="B1520" s="51" t="str">
        <f aca="false">IF(A1520="","",MONTH(A1520))</f>
        <v/>
      </c>
      <c r="C1520" s="52"/>
      <c r="D1520" s="52"/>
      <c r="E1520" s="52"/>
      <c r="F1520" s="52"/>
      <c r="G1520" s="55" t="str">
        <f aca="false">IF(C1520="","",IFERROR(INDEX('DANH MỤC'!$B$5:$B$200,MATCH(C1520,'DANH MỤC'!$A$5:$A$200,0)),"⚠ Mã chưa có trong DANH MỤC"))</f>
        <v/>
      </c>
      <c r="H1520" s="52"/>
      <c r="I1520" s="52"/>
    </row>
    <row r="1521" customFormat="false" ht="15" hidden="false" customHeight="false" outlineLevel="0" collapsed="false">
      <c r="A1521" s="50"/>
      <c r="B1521" s="51" t="str">
        <f aca="false">IF(A1521="","",MONTH(A1521))</f>
        <v/>
      </c>
      <c r="C1521" s="52"/>
      <c r="D1521" s="52"/>
      <c r="E1521" s="52"/>
      <c r="F1521" s="52"/>
      <c r="G1521" s="55" t="str">
        <f aca="false">IF(C1521="","",IFERROR(INDEX('DANH MỤC'!$B$5:$B$200,MATCH(C1521,'DANH MỤC'!$A$5:$A$200,0)),"⚠ Mã chưa có trong DANH MỤC"))</f>
        <v/>
      </c>
      <c r="H1521" s="52"/>
      <c r="I1521" s="52"/>
    </row>
    <row r="1522" customFormat="false" ht="15" hidden="false" customHeight="false" outlineLevel="0" collapsed="false">
      <c r="A1522" s="50"/>
      <c r="B1522" s="51" t="str">
        <f aca="false">IF(A1522="","",MONTH(A1522))</f>
        <v/>
      </c>
      <c r="C1522" s="52"/>
      <c r="D1522" s="52"/>
      <c r="E1522" s="52"/>
      <c r="F1522" s="52"/>
      <c r="G1522" s="55" t="str">
        <f aca="false">IF(C1522="","",IFERROR(INDEX('DANH MỤC'!$B$5:$B$200,MATCH(C1522,'DANH MỤC'!$A$5:$A$200,0)),"⚠ Mã chưa có trong DANH MỤC"))</f>
        <v/>
      </c>
      <c r="H1522" s="52"/>
      <c r="I1522" s="52"/>
    </row>
    <row r="1523" customFormat="false" ht="15" hidden="false" customHeight="false" outlineLevel="0" collapsed="false">
      <c r="A1523" s="50"/>
      <c r="B1523" s="51" t="str">
        <f aca="false">IF(A1523="","",MONTH(A1523))</f>
        <v/>
      </c>
      <c r="C1523" s="52"/>
      <c r="D1523" s="52"/>
      <c r="E1523" s="52"/>
      <c r="F1523" s="52"/>
      <c r="G1523" s="55" t="str">
        <f aca="false">IF(C1523="","",IFERROR(INDEX('DANH MỤC'!$B$5:$B$200,MATCH(C1523,'DANH MỤC'!$A$5:$A$200,0)),"⚠ Mã chưa có trong DANH MỤC"))</f>
        <v/>
      </c>
      <c r="H1523" s="52"/>
      <c r="I1523" s="52"/>
    </row>
    <row r="1524" customFormat="false" ht="15" hidden="false" customHeight="false" outlineLevel="0" collapsed="false">
      <c r="A1524" s="50"/>
      <c r="B1524" s="51" t="str">
        <f aca="false">IF(A1524="","",MONTH(A1524))</f>
        <v/>
      </c>
      <c r="C1524" s="52"/>
      <c r="D1524" s="52"/>
      <c r="E1524" s="52"/>
      <c r="F1524" s="52"/>
      <c r="G1524" s="55" t="str">
        <f aca="false">IF(C1524="","",IFERROR(INDEX('DANH MỤC'!$B$5:$B$200,MATCH(C1524,'DANH MỤC'!$A$5:$A$200,0)),"⚠ Mã chưa có trong DANH MỤC"))</f>
        <v/>
      </c>
      <c r="H1524" s="52"/>
      <c r="I1524" s="52"/>
    </row>
    <row r="1525" customFormat="false" ht="15" hidden="false" customHeight="false" outlineLevel="0" collapsed="false">
      <c r="A1525" s="50"/>
      <c r="B1525" s="51" t="str">
        <f aca="false">IF(A1525="","",MONTH(A1525))</f>
        <v/>
      </c>
      <c r="C1525" s="52"/>
      <c r="D1525" s="52"/>
      <c r="E1525" s="52"/>
      <c r="F1525" s="52"/>
      <c r="G1525" s="55" t="str">
        <f aca="false">IF(C1525="","",IFERROR(INDEX('DANH MỤC'!$B$5:$B$200,MATCH(C1525,'DANH MỤC'!$A$5:$A$200,0)),"⚠ Mã chưa có trong DANH MỤC"))</f>
        <v/>
      </c>
      <c r="H1525" s="52"/>
      <c r="I1525" s="52"/>
    </row>
    <row r="1526" customFormat="false" ht="15" hidden="false" customHeight="false" outlineLevel="0" collapsed="false">
      <c r="A1526" s="50"/>
      <c r="B1526" s="51" t="str">
        <f aca="false">IF(A1526="","",MONTH(A1526))</f>
        <v/>
      </c>
      <c r="C1526" s="52"/>
      <c r="D1526" s="52"/>
      <c r="E1526" s="52"/>
      <c r="F1526" s="52"/>
      <c r="G1526" s="55" t="str">
        <f aca="false">IF(C1526="","",IFERROR(INDEX('DANH MỤC'!$B$5:$B$200,MATCH(C1526,'DANH MỤC'!$A$5:$A$200,0)),"⚠ Mã chưa có trong DANH MỤC"))</f>
        <v/>
      </c>
      <c r="H1526" s="52"/>
      <c r="I1526" s="52"/>
    </row>
    <row r="1527" customFormat="false" ht="15" hidden="false" customHeight="false" outlineLevel="0" collapsed="false">
      <c r="A1527" s="50"/>
      <c r="B1527" s="51" t="str">
        <f aca="false">IF(A1527="","",MONTH(A1527))</f>
        <v/>
      </c>
      <c r="C1527" s="52"/>
      <c r="D1527" s="52"/>
      <c r="E1527" s="52"/>
      <c r="F1527" s="52"/>
      <c r="G1527" s="55" t="str">
        <f aca="false">IF(C1527="","",IFERROR(INDEX('DANH MỤC'!$B$5:$B$200,MATCH(C1527,'DANH MỤC'!$A$5:$A$200,0)),"⚠ Mã chưa có trong DANH MỤC"))</f>
        <v/>
      </c>
      <c r="H1527" s="52"/>
      <c r="I1527" s="52"/>
    </row>
    <row r="1528" customFormat="false" ht="15" hidden="false" customHeight="false" outlineLevel="0" collapsed="false">
      <c r="A1528" s="50"/>
      <c r="B1528" s="51" t="str">
        <f aca="false">IF(A1528="","",MONTH(A1528))</f>
        <v/>
      </c>
      <c r="C1528" s="52"/>
      <c r="D1528" s="52"/>
      <c r="E1528" s="52"/>
      <c r="F1528" s="52"/>
      <c r="G1528" s="55" t="str">
        <f aca="false">IF(C1528="","",IFERROR(INDEX('DANH MỤC'!$B$5:$B$200,MATCH(C1528,'DANH MỤC'!$A$5:$A$200,0)),"⚠ Mã chưa có trong DANH MỤC"))</f>
        <v/>
      </c>
      <c r="H1528" s="52"/>
      <c r="I1528" s="52"/>
    </row>
    <row r="1529" customFormat="false" ht="15" hidden="false" customHeight="false" outlineLevel="0" collapsed="false">
      <c r="A1529" s="50"/>
      <c r="B1529" s="51" t="str">
        <f aca="false">IF(A1529="","",MONTH(A1529))</f>
        <v/>
      </c>
      <c r="C1529" s="52"/>
      <c r="D1529" s="52"/>
      <c r="E1529" s="52"/>
      <c r="F1529" s="52"/>
      <c r="G1529" s="55" t="str">
        <f aca="false">IF(C1529="","",IFERROR(INDEX('DANH MỤC'!$B$5:$B$200,MATCH(C1529,'DANH MỤC'!$A$5:$A$200,0)),"⚠ Mã chưa có trong DANH MỤC"))</f>
        <v/>
      </c>
      <c r="H1529" s="52"/>
      <c r="I1529" s="52"/>
    </row>
    <row r="1530" customFormat="false" ht="15" hidden="false" customHeight="false" outlineLevel="0" collapsed="false">
      <c r="A1530" s="50"/>
      <c r="B1530" s="51" t="str">
        <f aca="false">IF(A1530="","",MONTH(A1530))</f>
        <v/>
      </c>
      <c r="C1530" s="52"/>
      <c r="D1530" s="52"/>
      <c r="E1530" s="52"/>
      <c r="F1530" s="52"/>
      <c r="G1530" s="55" t="str">
        <f aca="false">IF(C1530="","",IFERROR(INDEX('DANH MỤC'!$B$5:$B$200,MATCH(C1530,'DANH MỤC'!$A$5:$A$200,0)),"⚠ Mã chưa có trong DANH MỤC"))</f>
        <v/>
      </c>
      <c r="H1530" s="52"/>
      <c r="I1530" s="52"/>
    </row>
    <row r="1531" customFormat="false" ht="15" hidden="false" customHeight="false" outlineLevel="0" collapsed="false">
      <c r="A1531" s="50"/>
      <c r="B1531" s="51" t="str">
        <f aca="false">IF(A1531="","",MONTH(A1531))</f>
        <v/>
      </c>
      <c r="C1531" s="52"/>
      <c r="D1531" s="52"/>
      <c r="E1531" s="52"/>
      <c r="F1531" s="52"/>
      <c r="G1531" s="55" t="str">
        <f aca="false">IF(C1531="","",IFERROR(INDEX('DANH MỤC'!$B$5:$B$200,MATCH(C1531,'DANH MỤC'!$A$5:$A$200,0)),"⚠ Mã chưa có trong DANH MỤC"))</f>
        <v/>
      </c>
      <c r="H1531" s="52"/>
      <c r="I1531" s="52"/>
    </row>
    <row r="1532" customFormat="false" ht="15" hidden="false" customHeight="false" outlineLevel="0" collapsed="false">
      <c r="A1532" s="50"/>
      <c r="B1532" s="51" t="str">
        <f aca="false">IF(A1532="","",MONTH(A1532))</f>
        <v/>
      </c>
      <c r="C1532" s="52"/>
      <c r="D1532" s="52"/>
      <c r="E1532" s="52"/>
      <c r="F1532" s="52"/>
      <c r="G1532" s="55" t="str">
        <f aca="false">IF(C1532="","",IFERROR(INDEX('DANH MỤC'!$B$5:$B$200,MATCH(C1532,'DANH MỤC'!$A$5:$A$200,0)),"⚠ Mã chưa có trong DANH MỤC"))</f>
        <v/>
      </c>
      <c r="H1532" s="52"/>
      <c r="I1532" s="52"/>
    </row>
    <row r="1533" customFormat="false" ht="15" hidden="false" customHeight="false" outlineLevel="0" collapsed="false">
      <c r="A1533" s="50"/>
      <c r="B1533" s="51" t="str">
        <f aca="false">IF(A1533="","",MONTH(A1533))</f>
        <v/>
      </c>
      <c r="C1533" s="52"/>
      <c r="D1533" s="52"/>
      <c r="E1533" s="52"/>
      <c r="F1533" s="52"/>
      <c r="G1533" s="55" t="str">
        <f aca="false">IF(C1533="","",IFERROR(INDEX('DANH MỤC'!$B$5:$B$200,MATCH(C1533,'DANH MỤC'!$A$5:$A$200,0)),"⚠ Mã chưa có trong DANH MỤC"))</f>
        <v/>
      </c>
      <c r="H1533" s="52"/>
      <c r="I1533" s="52"/>
    </row>
    <row r="1534" customFormat="false" ht="15" hidden="false" customHeight="false" outlineLevel="0" collapsed="false">
      <c r="A1534" s="50"/>
      <c r="B1534" s="51" t="str">
        <f aca="false">IF(A1534="","",MONTH(A1534))</f>
        <v/>
      </c>
      <c r="C1534" s="52"/>
      <c r="D1534" s="52"/>
      <c r="E1534" s="52"/>
      <c r="F1534" s="52"/>
      <c r="G1534" s="55" t="str">
        <f aca="false">IF(C1534="","",IFERROR(INDEX('DANH MỤC'!$B$5:$B$200,MATCH(C1534,'DANH MỤC'!$A$5:$A$200,0)),"⚠ Mã chưa có trong DANH MỤC"))</f>
        <v/>
      </c>
      <c r="H1534" s="52"/>
      <c r="I1534" s="52"/>
    </row>
    <row r="1535" customFormat="false" ht="15" hidden="false" customHeight="false" outlineLevel="0" collapsed="false">
      <c r="A1535" s="50"/>
      <c r="B1535" s="51" t="str">
        <f aca="false">IF(A1535="","",MONTH(A1535))</f>
        <v/>
      </c>
      <c r="C1535" s="52"/>
      <c r="D1535" s="52"/>
      <c r="E1535" s="52"/>
      <c r="F1535" s="52"/>
      <c r="G1535" s="55" t="str">
        <f aca="false">IF(C1535="","",IFERROR(INDEX('DANH MỤC'!$B$5:$B$200,MATCH(C1535,'DANH MỤC'!$A$5:$A$200,0)),"⚠ Mã chưa có trong DANH MỤC"))</f>
        <v/>
      </c>
      <c r="H1535" s="52"/>
      <c r="I1535" s="52"/>
    </row>
    <row r="1536" customFormat="false" ht="15" hidden="false" customHeight="false" outlineLevel="0" collapsed="false">
      <c r="A1536" s="50"/>
      <c r="B1536" s="51" t="str">
        <f aca="false">IF(A1536="","",MONTH(A1536))</f>
        <v/>
      </c>
      <c r="C1536" s="52"/>
      <c r="D1536" s="52"/>
      <c r="E1536" s="52"/>
      <c r="F1536" s="52"/>
      <c r="G1536" s="55" t="str">
        <f aca="false">IF(C1536="","",IFERROR(INDEX('DANH MỤC'!$B$5:$B$200,MATCH(C1536,'DANH MỤC'!$A$5:$A$200,0)),"⚠ Mã chưa có trong DANH MỤC"))</f>
        <v/>
      </c>
      <c r="H1536" s="52"/>
      <c r="I1536" s="52"/>
    </row>
    <row r="1537" customFormat="false" ht="15" hidden="false" customHeight="false" outlineLevel="0" collapsed="false">
      <c r="A1537" s="50"/>
      <c r="B1537" s="51" t="str">
        <f aca="false">IF(A1537="","",MONTH(A1537))</f>
        <v/>
      </c>
      <c r="C1537" s="52"/>
      <c r="D1537" s="52"/>
      <c r="E1537" s="52"/>
      <c r="F1537" s="52"/>
      <c r="G1537" s="55" t="str">
        <f aca="false">IF(C1537="","",IFERROR(INDEX('DANH MỤC'!$B$5:$B$200,MATCH(C1537,'DANH MỤC'!$A$5:$A$200,0)),"⚠ Mã chưa có trong DANH MỤC"))</f>
        <v/>
      </c>
      <c r="H1537" s="52"/>
      <c r="I1537" s="52"/>
    </row>
    <row r="1538" customFormat="false" ht="15" hidden="false" customHeight="false" outlineLevel="0" collapsed="false">
      <c r="A1538" s="50"/>
      <c r="B1538" s="51" t="str">
        <f aca="false">IF(A1538="","",MONTH(A1538))</f>
        <v/>
      </c>
      <c r="C1538" s="52"/>
      <c r="D1538" s="52"/>
      <c r="E1538" s="52"/>
      <c r="F1538" s="52"/>
      <c r="G1538" s="55" t="str">
        <f aca="false">IF(C1538="","",IFERROR(INDEX('DANH MỤC'!$B$5:$B$200,MATCH(C1538,'DANH MỤC'!$A$5:$A$200,0)),"⚠ Mã chưa có trong DANH MỤC"))</f>
        <v/>
      </c>
      <c r="H1538" s="52"/>
      <c r="I1538" s="52"/>
    </row>
    <row r="1539" customFormat="false" ht="15" hidden="false" customHeight="false" outlineLevel="0" collapsed="false">
      <c r="A1539" s="50"/>
      <c r="B1539" s="51" t="str">
        <f aca="false">IF(A1539="","",MONTH(A1539))</f>
        <v/>
      </c>
      <c r="C1539" s="52"/>
      <c r="D1539" s="52"/>
      <c r="E1539" s="52"/>
      <c r="F1539" s="52"/>
      <c r="G1539" s="55" t="str">
        <f aca="false">IF(C1539="","",IFERROR(INDEX('DANH MỤC'!$B$5:$B$200,MATCH(C1539,'DANH MỤC'!$A$5:$A$200,0)),"⚠ Mã chưa có trong DANH MỤC"))</f>
        <v/>
      </c>
      <c r="H1539" s="52"/>
      <c r="I1539" s="52"/>
    </row>
    <row r="1540" customFormat="false" ht="15" hidden="false" customHeight="false" outlineLevel="0" collapsed="false">
      <c r="A1540" s="50"/>
      <c r="B1540" s="51" t="str">
        <f aca="false">IF(A1540="","",MONTH(A1540))</f>
        <v/>
      </c>
      <c r="C1540" s="52"/>
      <c r="D1540" s="52"/>
      <c r="E1540" s="52"/>
      <c r="F1540" s="52"/>
      <c r="G1540" s="55" t="str">
        <f aca="false">IF(C1540="","",IFERROR(INDEX('DANH MỤC'!$B$5:$B$200,MATCH(C1540,'DANH MỤC'!$A$5:$A$200,0)),"⚠ Mã chưa có trong DANH MỤC"))</f>
        <v/>
      </c>
      <c r="H1540" s="52"/>
      <c r="I1540" s="52"/>
    </row>
    <row r="1541" customFormat="false" ht="15" hidden="false" customHeight="false" outlineLevel="0" collapsed="false">
      <c r="A1541" s="50"/>
      <c r="B1541" s="51" t="str">
        <f aca="false">IF(A1541="","",MONTH(A1541))</f>
        <v/>
      </c>
      <c r="C1541" s="52"/>
      <c r="D1541" s="52"/>
      <c r="E1541" s="52"/>
      <c r="F1541" s="52"/>
      <c r="G1541" s="55" t="str">
        <f aca="false">IF(C1541="","",IFERROR(INDEX('DANH MỤC'!$B$5:$B$200,MATCH(C1541,'DANH MỤC'!$A$5:$A$200,0)),"⚠ Mã chưa có trong DANH MỤC"))</f>
        <v/>
      </c>
      <c r="H1541" s="52"/>
      <c r="I1541" s="52"/>
    </row>
    <row r="1542" customFormat="false" ht="15" hidden="false" customHeight="false" outlineLevel="0" collapsed="false">
      <c r="A1542" s="50"/>
      <c r="B1542" s="51" t="str">
        <f aca="false">IF(A1542="","",MONTH(A1542))</f>
        <v/>
      </c>
      <c r="C1542" s="52"/>
      <c r="D1542" s="52"/>
      <c r="E1542" s="52"/>
      <c r="F1542" s="52"/>
      <c r="G1542" s="55" t="str">
        <f aca="false">IF(C1542="","",IFERROR(INDEX('DANH MỤC'!$B$5:$B$200,MATCH(C1542,'DANH MỤC'!$A$5:$A$200,0)),"⚠ Mã chưa có trong DANH MỤC"))</f>
        <v/>
      </c>
      <c r="H1542" s="52"/>
      <c r="I1542" s="52"/>
    </row>
    <row r="1543" customFormat="false" ht="15" hidden="false" customHeight="false" outlineLevel="0" collapsed="false">
      <c r="A1543" s="50"/>
      <c r="B1543" s="51" t="str">
        <f aca="false">IF(A1543="","",MONTH(A1543))</f>
        <v/>
      </c>
      <c r="C1543" s="52"/>
      <c r="D1543" s="52"/>
      <c r="E1543" s="52"/>
      <c r="F1543" s="52"/>
      <c r="G1543" s="55" t="str">
        <f aca="false">IF(C1543="","",IFERROR(INDEX('DANH MỤC'!$B$5:$B$200,MATCH(C1543,'DANH MỤC'!$A$5:$A$200,0)),"⚠ Mã chưa có trong DANH MỤC"))</f>
        <v/>
      </c>
      <c r="H1543" s="52"/>
      <c r="I1543" s="52"/>
    </row>
    <row r="1544" customFormat="false" ht="15" hidden="false" customHeight="false" outlineLevel="0" collapsed="false">
      <c r="A1544" s="50"/>
      <c r="B1544" s="51" t="str">
        <f aca="false">IF(A1544="","",MONTH(A1544))</f>
        <v/>
      </c>
      <c r="C1544" s="52"/>
      <c r="D1544" s="52"/>
      <c r="E1544" s="52"/>
      <c r="F1544" s="52"/>
      <c r="G1544" s="55" t="str">
        <f aca="false">IF(C1544="","",IFERROR(INDEX('DANH MỤC'!$B$5:$B$200,MATCH(C1544,'DANH MỤC'!$A$5:$A$200,0)),"⚠ Mã chưa có trong DANH MỤC"))</f>
        <v/>
      </c>
      <c r="H1544" s="52"/>
      <c r="I1544" s="52"/>
    </row>
    <row r="1545" customFormat="false" ht="15" hidden="false" customHeight="false" outlineLevel="0" collapsed="false">
      <c r="A1545" s="50"/>
      <c r="B1545" s="51" t="str">
        <f aca="false">IF(A1545="","",MONTH(A1545))</f>
        <v/>
      </c>
      <c r="C1545" s="52"/>
      <c r="D1545" s="52"/>
      <c r="E1545" s="52"/>
      <c r="F1545" s="52"/>
      <c r="G1545" s="55" t="str">
        <f aca="false">IF(C1545="","",IFERROR(INDEX('DANH MỤC'!$B$5:$B$200,MATCH(C1545,'DANH MỤC'!$A$5:$A$200,0)),"⚠ Mã chưa có trong DANH MỤC"))</f>
        <v/>
      </c>
      <c r="H1545" s="52"/>
      <c r="I1545" s="52"/>
    </row>
    <row r="1546" customFormat="false" ht="15" hidden="false" customHeight="false" outlineLevel="0" collapsed="false">
      <c r="A1546" s="50"/>
      <c r="B1546" s="51" t="str">
        <f aca="false">IF(A1546="","",MONTH(A1546))</f>
        <v/>
      </c>
      <c r="C1546" s="52"/>
      <c r="D1546" s="52"/>
      <c r="E1546" s="52"/>
      <c r="F1546" s="52"/>
      <c r="G1546" s="55" t="str">
        <f aca="false">IF(C1546="","",IFERROR(INDEX('DANH MỤC'!$B$5:$B$200,MATCH(C1546,'DANH MỤC'!$A$5:$A$200,0)),"⚠ Mã chưa có trong DANH MỤC"))</f>
        <v/>
      </c>
      <c r="H1546" s="52"/>
      <c r="I1546" s="52"/>
    </row>
    <row r="1547" customFormat="false" ht="15" hidden="false" customHeight="false" outlineLevel="0" collapsed="false">
      <c r="A1547" s="50"/>
      <c r="B1547" s="51" t="str">
        <f aca="false">IF(A1547="","",MONTH(A1547))</f>
        <v/>
      </c>
      <c r="C1547" s="52"/>
      <c r="D1547" s="52"/>
      <c r="E1547" s="52"/>
      <c r="F1547" s="52"/>
      <c r="G1547" s="55" t="str">
        <f aca="false">IF(C1547="","",IFERROR(INDEX('DANH MỤC'!$B$5:$B$200,MATCH(C1547,'DANH MỤC'!$A$5:$A$200,0)),"⚠ Mã chưa có trong DANH MỤC"))</f>
        <v/>
      </c>
      <c r="H1547" s="52"/>
      <c r="I1547" s="52"/>
    </row>
    <row r="1548" customFormat="false" ht="15" hidden="false" customHeight="false" outlineLevel="0" collapsed="false">
      <c r="A1548" s="50"/>
      <c r="B1548" s="51" t="str">
        <f aca="false">IF(A1548="","",MONTH(A1548))</f>
        <v/>
      </c>
      <c r="C1548" s="52"/>
      <c r="D1548" s="52"/>
      <c r="E1548" s="52"/>
      <c r="F1548" s="52"/>
      <c r="G1548" s="55" t="str">
        <f aca="false">IF(C1548="","",IFERROR(INDEX('DANH MỤC'!$B$5:$B$200,MATCH(C1548,'DANH MỤC'!$A$5:$A$200,0)),"⚠ Mã chưa có trong DANH MỤC"))</f>
        <v/>
      </c>
      <c r="H1548" s="52"/>
      <c r="I1548" s="52"/>
    </row>
    <row r="1549" customFormat="false" ht="15" hidden="false" customHeight="false" outlineLevel="0" collapsed="false">
      <c r="A1549" s="50"/>
      <c r="B1549" s="51" t="str">
        <f aca="false">IF(A1549="","",MONTH(A1549))</f>
        <v/>
      </c>
      <c r="C1549" s="52"/>
      <c r="D1549" s="52"/>
      <c r="E1549" s="52"/>
      <c r="F1549" s="52"/>
      <c r="G1549" s="55" t="str">
        <f aca="false">IF(C1549="","",IFERROR(INDEX('DANH MỤC'!$B$5:$B$200,MATCH(C1549,'DANH MỤC'!$A$5:$A$200,0)),"⚠ Mã chưa có trong DANH MỤC"))</f>
        <v/>
      </c>
      <c r="H1549" s="52"/>
      <c r="I1549" s="52"/>
    </row>
    <row r="1550" customFormat="false" ht="15" hidden="false" customHeight="false" outlineLevel="0" collapsed="false">
      <c r="A1550" s="50"/>
      <c r="B1550" s="51" t="str">
        <f aca="false">IF(A1550="","",MONTH(A1550))</f>
        <v/>
      </c>
      <c r="C1550" s="52"/>
      <c r="D1550" s="52"/>
      <c r="E1550" s="52"/>
      <c r="F1550" s="52"/>
      <c r="G1550" s="55" t="str">
        <f aca="false">IF(C1550="","",IFERROR(INDEX('DANH MỤC'!$B$5:$B$200,MATCH(C1550,'DANH MỤC'!$A$5:$A$200,0)),"⚠ Mã chưa có trong DANH MỤC"))</f>
        <v/>
      </c>
      <c r="H1550" s="52"/>
      <c r="I1550" s="52"/>
    </row>
    <row r="1551" customFormat="false" ht="15" hidden="false" customHeight="false" outlineLevel="0" collapsed="false">
      <c r="A1551" s="50"/>
      <c r="B1551" s="51" t="str">
        <f aca="false">IF(A1551="","",MONTH(A1551))</f>
        <v/>
      </c>
      <c r="C1551" s="52"/>
      <c r="D1551" s="52"/>
      <c r="E1551" s="52"/>
      <c r="F1551" s="52"/>
      <c r="G1551" s="55" t="str">
        <f aca="false">IF(C1551="","",IFERROR(INDEX('DANH MỤC'!$B$5:$B$200,MATCH(C1551,'DANH MỤC'!$A$5:$A$200,0)),"⚠ Mã chưa có trong DANH MỤC"))</f>
        <v/>
      </c>
      <c r="H1551" s="52"/>
      <c r="I1551" s="52"/>
    </row>
    <row r="1552" customFormat="false" ht="15" hidden="false" customHeight="false" outlineLevel="0" collapsed="false">
      <c r="A1552" s="50"/>
      <c r="B1552" s="51" t="str">
        <f aca="false">IF(A1552="","",MONTH(A1552))</f>
        <v/>
      </c>
      <c r="C1552" s="52"/>
      <c r="D1552" s="52"/>
      <c r="E1552" s="52"/>
      <c r="F1552" s="52"/>
      <c r="G1552" s="55" t="str">
        <f aca="false">IF(C1552="","",IFERROR(INDEX('DANH MỤC'!$B$5:$B$200,MATCH(C1552,'DANH MỤC'!$A$5:$A$200,0)),"⚠ Mã chưa có trong DANH MỤC"))</f>
        <v/>
      </c>
      <c r="H1552" s="52"/>
      <c r="I1552" s="52"/>
    </row>
    <row r="1553" customFormat="false" ht="15" hidden="false" customHeight="false" outlineLevel="0" collapsed="false">
      <c r="A1553" s="50"/>
      <c r="B1553" s="51" t="str">
        <f aca="false">IF(A1553="","",MONTH(A1553))</f>
        <v/>
      </c>
      <c r="C1553" s="52"/>
      <c r="D1553" s="52"/>
      <c r="E1553" s="52"/>
      <c r="F1553" s="52"/>
      <c r="G1553" s="55" t="str">
        <f aca="false">IF(C1553="","",IFERROR(INDEX('DANH MỤC'!$B$5:$B$200,MATCH(C1553,'DANH MỤC'!$A$5:$A$200,0)),"⚠ Mã chưa có trong DANH MỤC"))</f>
        <v/>
      </c>
      <c r="H1553" s="52"/>
      <c r="I1553" s="52"/>
    </row>
    <row r="1554" customFormat="false" ht="15" hidden="false" customHeight="false" outlineLevel="0" collapsed="false">
      <c r="A1554" s="50"/>
      <c r="B1554" s="51" t="str">
        <f aca="false">IF(A1554="","",MONTH(A1554))</f>
        <v/>
      </c>
      <c r="C1554" s="52"/>
      <c r="D1554" s="52"/>
      <c r="E1554" s="52"/>
      <c r="F1554" s="52"/>
      <c r="G1554" s="55" t="str">
        <f aca="false">IF(C1554="","",IFERROR(INDEX('DANH MỤC'!$B$5:$B$200,MATCH(C1554,'DANH MỤC'!$A$5:$A$200,0)),"⚠ Mã chưa có trong DANH MỤC"))</f>
        <v/>
      </c>
      <c r="H1554" s="52"/>
      <c r="I1554" s="52"/>
    </row>
    <row r="1555" customFormat="false" ht="15" hidden="false" customHeight="false" outlineLevel="0" collapsed="false">
      <c r="A1555" s="50"/>
      <c r="B1555" s="51" t="str">
        <f aca="false">IF(A1555="","",MONTH(A1555))</f>
        <v/>
      </c>
      <c r="C1555" s="52"/>
      <c r="D1555" s="52"/>
      <c r="E1555" s="52"/>
      <c r="F1555" s="52"/>
      <c r="G1555" s="55" t="str">
        <f aca="false">IF(C1555="","",IFERROR(INDEX('DANH MỤC'!$B$5:$B$200,MATCH(C1555,'DANH MỤC'!$A$5:$A$200,0)),"⚠ Mã chưa có trong DANH MỤC"))</f>
        <v/>
      </c>
      <c r="H1555" s="52"/>
      <c r="I1555" s="52"/>
    </row>
    <row r="1556" customFormat="false" ht="15" hidden="false" customHeight="false" outlineLevel="0" collapsed="false">
      <c r="A1556" s="50"/>
      <c r="B1556" s="51" t="str">
        <f aca="false">IF(A1556="","",MONTH(A1556))</f>
        <v/>
      </c>
      <c r="C1556" s="52"/>
      <c r="D1556" s="52"/>
      <c r="E1556" s="52"/>
      <c r="F1556" s="52"/>
      <c r="G1556" s="55" t="str">
        <f aca="false">IF(C1556="","",IFERROR(INDEX('DANH MỤC'!$B$5:$B$200,MATCH(C1556,'DANH MỤC'!$A$5:$A$200,0)),"⚠ Mã chưa có trong DANH MỤC"))</f>
        <v/>
      </c>
      <c r="H1556" s="52"/>
      <c r="I1556" s="52"/>
    </row>
    <row r="1557" customFormat="false" ht="15" hidden="false" customHeight="false" outlineLevel="0" collapsed="false">
      <c r="A1557" s="50"/>
      <c r="B1557" s="51" t="str">
        <f aca="false">IF(A1557="","",MONTH(A1557))</f>
        <v/>
      </c>
      <c r="C1557" s="52"/>
      <c r="D1557" s="52"/>
      <c r="E1557" s="52"/>
      <c r="F1557" s="52"/>
      <c r="G1557" s="55" t="str">
        <f aca="false">IF(C1557="","",IFERROR(INDEX('DANH MỤC'!$B$5:$B$200,MATCH(C1557,'DANH MỤC'!$A$5:$A$200,0)),"⚠ Mã chưa có trong DANH MỤC"))</f>
        <v/>
      </c>
      <c r="H1557" s="52"/>
      <c r="I1557" s="52"/>
    </row>
    <row r="1558" customFormat="false" ht="15" hidden="false" customHeight="false" outlineLevel="0" collapsed="false">
      <c r="A1558" s="50"/>
      <c r="B1558" s="51" t="str">
        <f aca="false">IF(A1558="","",MONTH(A1558))</f>
        <v/>
      </c>
      <c r="C1558" s="52"/>
      <c r="D1558" s="52"/>
      <c r="E1558" s="52"/>
      <c r="F1558" s="52"/>
      <c r="G1558" s="55" t="str">
        <f aca="false">IF(C1558="","",IFERROR(INDEX('DANH MỤC'!$B$5:$B$200,MATCH(C1558,'DANH MỤC'!$A$5:$A$200,0)),"⚠ Mã chưa có trong DANH MỤC"))</f>
        <v/>
      </c>
      <c r="H1558" s="52"/>
      <c r="I1558" s="52"/>
    </row>
    <row r="1559" customFormat="false" ht="15" hidden="false" customHeight="false" outlineLevel="0" collapsed="false">
      <c r="A1559" s="50"/>
      <c r="B1559" s="51" t="str">
        <f aca="false">IF(A1559="","",MONTH(A1559))</f>
        <v/>
      </c>
      <c r="C1559" s="52"/>
      <c r="D1559" s="52"/>
      <c r="E1559" s="52"/>
      <c r="F1559" s="52"/>
      <c r="G1559" s="55" t="str">
        <f aca="false">IF(C1559="","",IFERROR(INDEX('DANH MỤC'!$B$5:$B$200,MATCH(C1559,'DANH MỤC'!$A$5:$A$200,0)),"⚠ Mã chưa có trong DANH MỤC"))</f>
        <v/>
      </c>
      <c r="H1559" s="52"/>
      <c r="I1559" s="52"/>
    </row>
    <row r="1560" customFormat="false" ht="15" hidden="false" customHeight="false" outlineLevel="0" collapsed="false">
      <c r="A1560" s="50"/>
      <c r="B1560" s="51" t="str">
        <f aca="false">IF(A1560="","",MONTH(A1560))</f>
        <v/>
      </c>
      <c r="C1560" s="52"/>
      <c r="D1560" s="52"/>
      <c r="E1560" s="52"/>
      <c r="F1560" s="52"/>
      <c r="G1560" s="55" t="str">
        <f aca="false">IF(C1560="","",IFERROR(INDEX('DANH MỤC'!$B$5:$B$200,MATCH(C1560,'DANH MỤC'!$A$5:$A$200,0)),"⚠ Mã chưa có trong DANH MỤC"))</f>
        <v/>
      </c>
      <c r="H1560" s="52"/>
      <c r="I1560" s="52"/>
    </row>
    <row r="1561" customFormat="false" ht="15" hidden="false" customHeight="false" outlineLevel="0" collapsed="false">
      <c r="A1561" s="50"/>
      <c r="B1561" s="51" t="str">
        <f aca="false">IF(A1561="","",MONTH(A1561))</f>
        <v/>
      </c>
      <c r="C1561" s="52"/>
      <c r="D1561" s="52"/>
      <c r="E1561" s="52"/>
      <c r="F1561" s="52"/>
      <c r="G1561" s="55" t="str">
        <f aca="false">IF(C1561="","",IFERROR(INDEX('DANH MỤC'!$B$5:$B$200,MATCH(C1561,'DANH MỤC'!$A$5:$A$200,0)),"⚠ Mã chưa có trong DANH MỤC"))</f>
        <v/>
      </c>
      <c r="H1561" s="52"/>
      <c r="I1561" s="52"/>
    </row>
    <row r="1562" customFormat="false" ht="15" hidden="false" customHeight="false" outlineLevel="0" collapsed="false">
      <c r="A1562" s="50"/>
      <c r="B1562" s="51" t="str">
        <f aca="false">IF(A1562="","",MONTH(A1562))</f>
        <v/>
      </c>
      <c r="C1562" s="52"/>
      <c r="D1562" s="52"/>
      <c r="E1562" s="52"/>
      <c r="F1562" s="52"/>
      <c r="G1562" s="55" t="str">
        <f aca="false">IF(C1562="","",IFERROR(INDEX('DANH MỤC'!$B$5:$B$200,MATCH(C1562,'DANH MỤC'!$A$5:$A$200,0)),"⚠ Mã chưa có trong DANH MỤC"))</f>
        <v/>
      </c>
      <c r="H1562" s="52"/>
      <c r="I1562" s="52"/>
    </row>
    <row r="1563" customFormat="false" ht="15" hidden="false" customHeight="false" outlineLevel="0" collapsed="false">
      <c r="A1563" s="50"/>
      <c r="B1563" s="51" t="str">
        <f aca="false">IF(A1563="","",MONTH(A1563))</f>
        <v/>
      </c>
      <c r="C1563" s="52"/>
      <c r="D1563" s="52"/>
      <c r="E1563" s="52"/>
      <c r="F1563" s="52"/>
      <c r="G1563" s="55" t="str">
        <f aca="false">IF(C1563="","",IFERROR(INDEX('DANH MỤC'!$B$5:$B$200,MATCH(C1563,'DANH MỤC'!$A$5:$A$200,0)),"⚠ Mã chưa có trong DANH MỤC"))</f>
        <v/>
      </c>
      <c r="H1563" s="52"/>
      <c r="I1563" s="52"/>
    </row>
    <row r="1564" customFormat="false" ht="15" hidden="false" customHeight="false" outlineLevel="0" collapsed="false">
      <c r="A1564" s="50"/>
      <c r="B1564" s="51" t="str">
        <f aca="false">IF(A1564="","",MONTH(A1564))</f>
        <v/>
      </c>
      <c r="C1564" s="52"/>
      <c r="D1564" s="52"/>
      <c r="E1564" s="52"/>
      <c r="F1564" s="52"/>
      <c r="G1564" s="55" t="str">
        <f aca="false">IF(C1564="","",IFERROR(INDEX('DANH MỤC'!$B$5:$B$200,MATCH(C1564,'DANH MỤC'!$A$5:$A$200,0)),"⚠ Mã chưa có trong DANH MỤC"))</f>
        <v/>
      </c>
      <c r="H1564" s="52"/>
      <c r="I1564" s="52"/>
    </row>
    <row r="1565" customFormat="false" ht="15" hidden="false" customHeight="false" outlineLevel="0" collapsed="false">
      <c r="A1565" s="50"/>
      <c r="B1565" s="51" t="str">
        <f aca="false">IF(A1565="","",MONTH(A1565))</f>
        <v/>
      </c>
      <c r="C1565" s="52"/>
      <c r="D1565" s="52"/>
      <c r="E1565" s="52"/>
      <c r="F1565" s="52"/>
      <c r="G1565" s="55" t="str">
        <f aca="false">IF(C1565="","",IFERROR(INDEX('DANH MỤC'!$B$5:$B$200,MATCH(C1565,'DANH MỤC'!$A$5:$A$200,0)),"⚠ Mã chưa có trong DANH MỤC"))</f>
        <v/>
      </c>
      <c r="H1565" s="52"/>
      <c r="I1565" s="52"/>
    </row>
    <row r="1566" customFormat="false" ht="15" hidden="false" customHeight="false" outlineLevel="0" collapsed="false">
      <c r="A1566" s="50"/>
      <c r="B1566" s="51" t="str">
        <f aca="false">IF(A1566="","",MONTH(A1566))</f>
        <v/>
      </c>
      <c r="C1566" s="52"/>
      <c r="D1566" s="52"/>
      <c r="E1566" s="52"/>
      <c r="F1566" s="52"/>
      <c r="G1566" s="55" t="str">
        <f aca="false">IF(C1566="","",IFERROR(INDEX('DANH MỤC'!$B$5:$B$200,MATCH(C1566,'DANH MỤC'!$A$5:$A$200,0)),"⚠ Mã chưa có trong DANH MỤC"))</f>
        <v/>
      </c>
      <c r="H1566" s="52"/>
      <c r="I1566" s="52"/>
    </row>
    <row r="1567" customFormat="false" ht="15" hidden="false" customHeight="false" outlineLevel="0" collapsed="false">
      <c r="A1567" s="50"/>
      <c r="B1567" s="51" t="str">
        <f aca="false">IF(A1567="","",MONTH(A1567))</f>
        <v/>
      </c>
      <c r="C1567" s="52"/>
      <c r="D1567" s="52"/>
      <c r="E1567" s="52"/>
      <c r="F1567" s="52"/>
      <c r="G1567" s="55" t="str">
        <f aca="false">IF(C1567="","",IFERROR(INDEX('DANH MỤC'!$B$5:$B$200,MATCH(C1567,'DANH MỤC'!$A$5:$A$200,0)),"⚠ Mã chưa có trong DANH MỤC"))</f>
        <v/>
      </c>
      <c r="H1567" s="52"/>
      <c r="I1567" s="52"/>
    </row>
    <row r="1568" customFormat="false" ht="15" hidden="false" customHeight="false" outlineLevel="0" collapsed="false">
      <c r="A1568" s="50"/>
      <c r="B1568" s="51" t="str">
        <f aca="false">IF(A1568="","",MONTH(A1568))</f>
        <v/>
      </c>
      <c r="C1568" s="52"/>
      <c r="D1568" s="52"/>
      <c r="E1568" s="52"/>
      <c r="F1568" s="52"/>
      <c r="G1568" s="55" t="str">
        <f aca="false">IF(C1568="","",IFERROR(INDEX('DANH MỤC'!$B$5:$B$200,MATCH(C1568,'DANH MỤC'!$A$5:$A$200,0)),"⚠ Mã chưa có trong DANH MỤC"))</f>
        <v/>
      </c>
      <c r="H1568" s="52"/>
      <c r="I1568" s="52"/>
    </row>
    <row r="1569" customFormat="false" ht="15" hidden="false" customHeight="false" outlineLevel="0" collapsed="false">
      <c r="A1569" s="50"/>
      <c r="B1569" s="51" t="str">
        <f aca="false">IF(A1569="","",MONTH(A1569))</f>
        <v/>
      </c>
      <c r="C1569" s="52"/>
      <c r="D1569" s="52"/>
      <c r="E1569" s="52"/>
      <c r="F1569" s="52"/>
      <c r="G1569" s="55" t="str">
        <f aca="false">IF(C1569="","",IFERROR(INDEX('DANH MỤC'!$B$5:$B$200,MATCH(C1569,'DANH MỤC'!$A$5:$A$200,0)),"⚠ Mã chưa có trong DANH MỤC"))</f>
        <v/>
      </c>
      <c r="H1569" s="52"/>
      <c r="I1569" s="52"/>
    </row>
    <row r="1570" customFormat="false" ht="15" hidden="false" customHeight="false" outlineLevel="0" collapsed="false">
      <c r="A1570" s="50"/>
      <c r="B1570" s="51" t="str">
        <f aca="false">IF(A1570="","",MONTH(A1570))</f>
        <v/>
      </c>
      <c r="C1570" s="52"/>
      <c r="D1570" s="52"/>
      <c r="E1570" s="52"/>
      <c r="F1570" s="52"/>
      <c r="G1570" s="55" t="str">
        <f aca="false">IF(C1570="","",IFERROR(INDEX('DANH MỤC'!$B$5:$B$200,MATCH(C1570,'DANH MỤC'!$A$5:$A$200,0)),"⚠ Mã chưa có trong DANH MỤC"))</f>
        <v/>
      </c>
      <c r="H1570" s="52"/>
      <c r="I1570" s="52"/>
    </row>
    <row r="1571" customFormat="false" ht="15" hidden="false" customHeight="false" outlineLevel="0" collapsed="false">
      <c r="A1571" s="50"/>
      <c r="B1571" s="51" t="str">
        <f aca="false">IF(A1571="","",MONTH(A1571))</f>
        <v/>
      </c>
      <c r="C1571" s="52"/>
      <c r="D1571" s="52"/>
      <c r="E1571" s="52"/>
      <c r="F1571" s="52"/>
      <c r="G1571" s="55" t="str">
        <f aca="false">IF(C1571="","",IFERROR(INDEX('DANH MỤC'!$B$5:$B$200,MATCH(C1571,'DANH MỤC'!$A$5:$A$200,0)),"⚠ Mã chưa có trong DANH MỤC"))</f>
        <v/>
      </c>
      <c r="H1571" s="52"/>
      <c r="I1571" s="52"/>
    </row>
    <row r="1572" customFormat="false" ht="15" hidden="false" customHeight="false" outlineLevel="0" collapsed="false">
      <c r="A1572" s="50"/>
      <c r="B1572" s="51" t="str">
        <f aca="false">IF(A1572="","",MONTH(A1572))</f>
        <v/>
      </c>
      <c r="C1572" s="52"/>
      <c r="D1572" s="52"/>
      <c r="E1572" s="52"/>
      <c r="F1572" s="52"/>
      <c r="G1572" s="55" t="str">
        <f aca="false">IF(C1572="","",IFERROR(INDEX('DANH MỤC'!$B$5:$B$200,MATCH(C1572,'DANH MỤC'!$A$5:$A$200,0)),"⚠ Mã chưa có trong DANH MỤC"))</f>
        <v/>
      </c>
      <c r="H1572" s="52"/>
      <c r="I1572" s="52"/>
    </row>
    <row r="1573" customFormat="false" ht="15" hidden="false" customHeight="false" outlineLevel="0" collapsed="false">
      <c r="A1573" s="50"/>
      <c r="B1573" s="51" t="str">
        <f aca="false">IF(A1573="","",MONTH(A1573))</f>
        <v/>
      </c>
      <c r="C1573" s="52"/>
      <c r="D1573" s="52"/>
      <c r="E1573" s="52"/>
      <c r="F1573" s="52"/>
      <c r="G1573" s="55" t="str">
        <f aca="false">IF(C1573="","",IFERROR(INDEX('DANH MỤC'!$B$5:$B$200,MATCH(C1573,'DANH MỤC'!$A$5:$A$200,0)),"⚠ Mã chưa có trong DANH MỤC"))</f>
        <v/>
      </c>
      <c r="H1573" s="52"/>
      <c r="I1573" s="52"/>
    </row>
    <row r="1574" customFormat="false" ht="15" hidden="false" customHeight="false" outlineLevel="0" collapsed="false">
      <c r="A1574" s="50"/>
      <c r="B1574" s="51" t="str">
        <f aca="false">IF(A1574="","",MONTH(A1574))</f>
        <v/>
      </c>
      <c r="C1574" s="52"/>
      <c r="D1574" s="52"/>
      <c r="E1574" s="52"/>
      <c r="F1574" s="52"/>
      <c r="G1574" s="55" t="str">
        <f aca="false">IF(C1574="","",IFERROR(INDEX('DANH MỤC'!$B$5:$B$200,MATCH(C1574,'DANH MỤC'!$A$5:$A$200,0)),"⚠ Mã chưa có trong DANH MỤC"))</f>
        <v/>
      </c>
      <c r="H1574" s="52"/>
      <c r="I1574" s="52"/>
    </row>
    <row r="1575" customFormat="false" ht="15" hidden="false" customHeight="false" outlineLevel="0" collapsed="false">
      <c r="A1575" s="50"/>
      <c r="B1575" s="51" t="str">
        <f aca="false">IF(A1575="","",MONTH(A1575))</f>
        <v/>
      </c>
      <c r="C1575" s="52"/>
      <c r="D1575" s="52"/>
      <c r="E1575" s="52"/>
      <c r="F1575" s="52"/>
      <c r="G1575" s="55" t="str">
        <f aca="false">IF(C1575="","",IFERROR(INDEX('DANH MỤC'!$B$5:$B$200,MATCH(C1575,'DANH MỤC'!$A$5:$A$200,0)),"⚠ Mã chưa có trong DANH MỤC"))</f>
        <v/>
      </c>
      <c r="H1575" s="52"/>
      <c r="I1575" s="52"/>
    </row>
    <row r="1576" customFormat="false" ht="15" hidden="false" customHeight="false" outlineLevel="0" collapsed="false">
      <c r="A1576" s="50"/>
      <c r="B1576" s="51" t="str">
        <f aca="false">IF(A1576="","",MONTH(A1576))</f>
        <v/>
      </c>
      <c r="C1576" s="52"/>
      <c r="D1576" s="52"/>
      <c r="E1576" s="52"/>
      <c r="F1576" s="52"/>
      <c r="G1576" s="55" t="str">
        <f aca="false">IF(C1576="","",IFERROR(INDEX('DANH MỤC'!$B$5:$B$200,MATCH(C1576,'DANH MỤC'!$A$5:$A$200,0)),"⚠ Mã chưa có trong DANH MỤC"))</f>
        <v/>
      </c>
      <c r="H1576" s="52"/>
      <c r="I1576" s="52"/>
    </row>
    <row r="1577" customFormat="false" ht="15" hidden="false" customHeight="false" outlineLevel="0" collapsed="false">
      <c r="A1577" s="50"/>
      <c r="B1577" s="51" t="str">
        <f aca="false">IF(A1577="","",MONTH(A1577))</f>
        <v/>
      </c>
      <c r="C1577" s="52"/>
      <c r="D1577" s="52"/>
      <c r="E1577" s="52"/>
      <c r="F1577" s="52"/>
      <c r="G1577" s="55" t="str">
        <f aca="false">IF(C1577="","",IFERROR(INDEX('DANH MỤC'!$B$5:$B$200,MATCH(C1577,'DANH MỤC'!$A$5:$A$200,0)),"⚠ Mã chưa có trong DANH MỤC"))</f>
        <v/>
      </c>
      <c r="H1577" s="52"/>
      <c r="I1577" s="52"/>
    </row>
    <row r="1578" customFormat="false" ht="15" hidden="false" customHeight="false" outlineLevel="0" collapsed="false">
      <c r="A1578" s="50"/>
      <c r="B1578" s="51" t="str">
        <f aca="false">IF(A1578="","",MONTH(A1578))</f>
        <v/>
      </c>
      <c r="C1578" s="52"/>
      <c r="D1578" s="52"/>
      <c r="E1578" s="52"/>
      <c r="F1578" s="52"/>
      <c r="G1578" s="55" t="str">
        <f aca="false">IF(C1578="","",IFERROR(INDEX('DANH MỤC'!$B$5:$B$200,MATCH(C1578,'DANH MỤC'!$A$5:$A$200,0)),"⚠ Mã chưa có trong DANH MỤC"))</f>
        <v/>
      </c>
      <c r="H1578" s="52"/>
      <c r="I1578" s="52"/>
    </row>
    <row r="1579" customFormat="false" ht="15" hidden="false" customHeight="false" outlineLevel="0" collapsed="false">
      <c r="A1579" s="50"/>
      <c r="B1579" s="51" t="str">
        <f aca="false">IF(A1579="","",MONTH(A1579))</f>
        <v/>
      </c>
      <c r="C1579" s="52"/>
      <c r="D1579" s="52"/>
      <c r="E1579" s="52"/>
      <c r="F1579" s="52"/>
      <c r="G1579" s="55" t="str">
        <f aca="false">IF(C1579="","",IFERROR(INDEX('DANH MỤC'!$B$5:$B$200,MATCH(C1579,'DANH MỤC'!$A$5:$A$200,0)),"⚠ Mã chưa có trong DANH MỤC"))</f>
        <v/>
      </c>
      <c r="H1579" s="52"/>
      <c r="I1579" s="52"/>
    </row>
    <row r="1580" customFormat="false" ht="15" hidden="false" customHeight="false" outlineLevel="0" collapsed="false">
      <c r="A1580" s="50"/>
      <c r="B1580" s="51" t="str">
        <f aca="false">IF(A1580="","",MONTH(A1580))</f>
        <v/>
      </c>
      <c r="C1580" s="52"/>
      <c r="D1580" s="52"/>
      <c r="E1580" s="52"/>
      <c r="F1580" s="52"/>
      <c r="G1580" s="55" t="str">
        <f aca="false">IF(C1580="","",IFERROR(INDEX('DANH MỤC'!$B$5:$B$200,MATCH(C1580,'DANH MỤC'!$A$5:$A$200,0)),"⚠ Mã chưa có trong DANH MỤC"))</f>
        <v/>
      </c>
      <c r="H1580" s="52"/>
      <c r="I1580" s="52"/>
    </row>
    <row r="1581" customFormat="false" ht="15" hidden="false" customHeight="false" outlineLevel="0" collapsed="false">
      <c r="A1581" s="50"/>
      <c r="B1581" s="51" t="str">
        <f aca="false">IF(A1581="","",MONTH(A1581))</f>
        <v/>
      </c>
      <c r="C1581" s="52"/>
      <c r="D1581" s="52"/>
      <c r="E1581" s="52"/>
      <c r="F1581" s="52"/>
      <c r="G1581" s="55" t="str">
        <f aca="false">IF(C1581="","",IFERROR(INDEX('DANH MỤC'!$B$5:$B$200,MATCH(C1581,'DANH MỤC'!$A$5:$A$200,0)),"⚠ Mã chưa có trong DANH MỤC"))</f>
        <v/>
      </c>
      <c r="H1581" s="52"/>
      <c r="I1581" s="52"/>
    </row>
    <row r="1582" customFormat="false" ht="15" hidden="false" customHeight="false" outlineLevel="0" collapsed="false">
      <c r="A1582" s="50"/>
      <c r="B1582" s="51" t="str">
        <f aca="false">IF(A1582="","",MONTH(A1582))</f>
        <v/>
      </c>
      <c r="C1582" s="52"/>
      <c r="D1582" s="52"/>
      <c r="E1582" s="52"/>
      <c r="F1582" s="52"/>
      <c r="G1582" s="55" t="str">
        <f aca="false">IF(C1582="","",IFERROR(INDEX('DANH MỤC'!$B$5:$B$200,MATCH(C1582,'DANH MỤC'!$A$5:$A$200,0)),"⚠ Mã chưa có trong DANH MỤC"))</f>
        <v/>
      </c>
      <c r="H1582" s="52"/>
      <c r="I1582" s="52"/>
    </row>
    <row r="1583" customFormat="false" ht="15" hidden="false" customHeight="false" outlineLevel="0" collapsed="false">
      <c r="A1583" s="50"/>
      <c r="B1583" s="51" t="str">
        <f aca="false">IF(A1583="","",MONTH(A1583))</f>
        <v/>
      </c>
      <c r="C1583" s="52"/>
      <c r="D1583" s="52"/>
      <c r="E1583" s="52"/>
      <c r="F1583" s="52"/>
      <c r="G1583" s="55" t="str">
        <f aca="false">IF(C1583="","",IFERROR(INDEX('DANH MỤC'!$B$5:$B$200,MATCH(C1583,'DANH MỤC'!$A$5:$A$200,0)),"⚠ Mã chưa có trong DANH MỤC"))</f>
        <v/>
      </c>
      <c r="H1583" s="52"/>
      <c r="I1583" s="52"/>
    </row>
    <row r="1584" customFormat="false" ht="15" hidden="false" customHeight="false" outlineLevel="0" collapsed="false">
      <c r="A1584" s="50"/>
      <c r="B1584" s="51" t="str">
        <f aca="false">IF(A1584="","",MONTH(A1584))</f>
        <v/>
      </c>
      <c r="C1584" s="52"/>
      <c r="D1584" s="52"/>
      <c r="E1584" s="52"/>
      <c r="F1584" s="52"/>
      <c r="G1584" s="55" t="str">
        <f aca="false">IF(C1584="","",IFERROR(INDEX('DANH MỤC'!$B$5:$B$200,MATCH(C1584,'DANH MỤC'!$A$5:$A$200,0)),"⚠ Mã chưa có trong DANH MỤC"))</f>
        <v/>
      </c>
      <c r="H1584" s="52"/>
      <c r="I1584" s="52"/>
    </row>
    <row r="1585" customFormat="false" ht="15" hidden="false" customHeight="false" outlineLevel="0" collapsed="false">
      <c r="A1585" s="50"/>
      <c r="B1585" s="51" t="str">
        <f aca="false">IF(A1585="","",MONTH(A1585))</f>
        <v/>
      </c>
      <c r="C1585" s="52"/>
      <c r="D1585" s="52"/>
      <c r="E1585" s="52"/>
      <c r="F1585" s="52"/>
      <c r="G1585" s="55" t="str">
        <f aca="false">IF(C1585="","",IFERROR(INDEX('DANH MỤC'!$B$5:$B$200,MATCH(C1585,'DANH MỤC'!$A$5:$A$200,0)),"⚠ Mã chưa có trong DANH MỤC"))</f>
        <v/>
      </c>
      <c r="H1585" s="52"/>
      <c r="I1585" s="52"/>
    </row>
    <row r="1586" customFormat="false" ht="15" hidden="false" customHeight="false" outlineLevel="0" collapsed="false">
      <c r="A1586" s="50"/>
      <c r="B1586" s="51" t="str">
        <f aca="false">IF(A1586="","",MONTH(A1586))</f>
        <v/>
      </c>
      <c r="C1586" s="52"/>
      <c r="D1586" s="52"/>
      <c r="E1586" s="52"/>
      <c r="F1586" s="52"/>
      <c r="G1586" s="55" t="str">
        <f aca="false">IF(C1586="","",IFERROR(INDEX('DANH MỤC'!$B$5:$B$200,MATCH(C1586,'DANH MỤC'!$A$5:$A$200,0)),"⚠ Mã chưa có trong DANH MỤC"))</f>
        <v/>
      </c>
      <c r="H1586" s="52"/>
      <c r="I1586" s="52"/>
    </row>
    <row r="1587" customFormat="false" ht="15" hidden="false" customHeight="false" outlineLevel="0" collapsed="false">
      <c r="A1587" s="50"/>
      <c r="B1587" s="51" t="str">
        <f aca="false">IF(A1587="","",MONTH(A1587))</f>
        <v/>
      </c>
      <c r="C1587" s="52"/>
      <c r="D1587" s="52"/>
      <c r="E1587" s="52"/>
      <c r="F1587" s="52"/>
      <c r="G1587" s="55" t="str">
        <f aca="false">IF(C1587="","",IFERROR(INDEX('DANH MỤC'!$B$5:$B$200,MATCH(C1587,'DANH MỤC'!$A$5:$A$200,0)),"⚠ Mã chưa có trong DANH MỤC"))</f>
        <v/>
      </c>
      <c r="H1587" s="52"/>
      <c r="I1587" s="52"/>
    </row>
    <row r="1588" customFormat="false" ht="15" hidden="false" customHeight="false" outlineLevel="0" collapsed="false">
      <c r="A1588" s="50"/>
      <c r="B1588" s="51" t="str">
        <f aca="false">IF(A1588="","",MONTH(A1588))</f>
        <v/>
      </c>
      <c r="C1588" s="52"/>
      <c r="D1588" s="52"/>
      <c r="E1588" s="52"/>
      <c r="F1588" s="52"/>
      <c r="G1588" s="55" t="str">
        <f aca="false">IF(C1588="","",IFERROR(INDEX('DANH MỤC'!$B$5:$B$200,MATCH(C1588,'DANH MỤC'!$A$5:$A$200,0)),"⚠ Mã chưa có trong DANH MỤC"))</f>
        <v/>
      </c>
      <c r="H1588" s="52"/>
      <c r="I1588" s="52"/>
    </row>
    <row r="1589" customFormat="false" ht="15" hidden="false" customHeight="false" outlineLevel="0" collapsed="false">
      <c r="A1589" s="50"/>
      <c r="B1589" s="51" t="str">
        <f aca="false">IF(A1589="","",MONTH(A1589))</f>
        <v/>
      </c>
      <c r="C1589" s="52"/>
      <c r="D1589" s="52"/>
      <c r="E1589" s="52"/>
      <c r="F1589" s="52"/>
      <c r="G1589" s="55" t="str">
        <f aca="false">IF(C1589="","",IFERROR(INDEX('DANH MỤC'!$B$5:$B$200,MATCH(C1589,'DANH MỤC'!$A$5:$A$200,0)),"⚠ Mã chưa có trong DANH MỤC"))</f>
        <v/>
      </c>
      <c r="H1589" s="52"/>
      <c r="I1589" s="52"/>
    </row>
    <row r="1590" customFormat="false" ht="15" hidden="false" customHeight="false" outlineLevel="0" collapsed="false">
      <c r="A1590" s="50"/>
      <c r="B1590" s="51" t="str">
        <f aca="false">IF(A1590="","",MONTH(A1590))</f>
        <v/>
      </c>
      <c r="C1590" s="52"/>
      <c r="D1590" s="52"/>
      <c r="E1590" s="52"/>
      <c r="F1590" s="52"/>
      <c r="G1590" s="55" t="str">
        <f aca="false">IF(C1590="","",IFERROR(INDEX('DANH MỤC'!$B$5:$B$200,MATCH(C1590,'DANH MỤC'!$A$5:$A$200,0)),"⚠ Mã chưa có trong DANH MỤC"))</f>
        <v/>
      </c>
      <c r="H1590" s="52"/>
      <c r="I1590" s="52"/>
    </row>
    <row r="1591" customFormat="false" ht="15" hidden="false" customHeight="false" outlineLevel="0" collapsed="false">
      <c r="A1591" s="50"/>
      <c r="B1591" s="51" t="str">
        <f aca="false">IF(A1591="","",MONTH(A1591))</f>
        <v/>
      </c>
      <c r="C1591" s="52"/>
      <c r="D1591" s="52"/>
      <c r="E1591" s="52"/>
      <c r="F1591" s="52"/>
      <c r="G1591" s="55" t="str">
        <f aca="false">IF(C1591="","",IFERROR(INDEX('DANH MỤC'!$B$5:$B$200,MATCH(C1591,'DANH MỤC'!$A$5:$A$200,0)),"⚠ Mã chưa có trong DANH MỤC"))</f>
        <v/>
      </c>
      <c r="H1591" s="52"/>
      <c r="I1591" s="52"/>
    </row>
    <row r="1592" customFormat="false" ht="15" hidden="false" customHeight="false" outlineLevel="0" collapsed="false">
      <c r="A1592" s="50"/>
      <c r="B1592" s="51" t="str">
        <f aca="false">IF(A1592="","",MONTH(A1592))</f>
        <v/>
      </c>
      <c r="C1592" s="52"/>
      <c r="D1592" s="52"/>
      <c r="E1592" s="52"/>
      <c r="F1592" s="52"/>
      <c r="G1592" s="55" t="str">
        <f aca="false">IF(C1592="","",IFERROR(INDEX('DANH MỤC'!$B$5:$B$200,MATCH(C1592,'DANH MỤC'!$A$5:$A$200,0)),"⚠ Mã chưa có trong DANH MỤC"))</f>
        <v/>
      </c>
      <c r="H1592" s="52"/>
      <c r="I1592" s="52"/>
    </row>
    <row r="1593" customFormat="false" ht="15" hidden="false" customHeight="false" outlineLevel="0" collapsed="false">
      <c r="A1593" s="50"/>
      <c r="B1593" s="51" t="str">
        <f aca="false">IF(A1593="","",MONTH(A1593))</f>
        <v/>
      </c>
      <c r="C1593" s="52"/>
      <c r="D1593" s="52"/>
      <c r="E1593" s="52"/>
      <c r="F1593" s="52"/>
      <c r="G1593" s="55" t="str">
        <f aca="false">IF(C1593="","",IFERROR(INDEX('DANH MỤC'!$B$5:$B$200,MATCH(C1593,'DANH MỤC'!$A$5:$A$200,0)),"⚠ Mã chưa có trong DANH MỤC"))</f>
        <v/>
      </c>
      <c r="H1593" s="52"/>
      <c r="I1593" s="52"/>
    </row>
    <row r="1594" customFormat="false" ht="15" hidden="false" customHeight="false" outlineLevel="0" collapsed="false">
      <c r="A1594" s="50"/>
      <c r="B1594" s="51" t="str">
        <f aca="false">IF(A1594="","",MONTH(A1594))</f>
        <v/>
      </c>
      <c r="C1594" s="52"/>
      <c r="D1594" s="52"/>
      <c r="E1594" s="52"/>
      <c r="F1594" s="52"/>
      <c r="G1594" s="55" t="str">
        <f aca="false">IF(C1594="","",IFERROR(INDEX('DANH MỤC'!$B$5:$B$200,MATCH(C1594,'DANH MỤC'!$A$5:$A$200,0)),"⚠ Mã chưa có trong DANH MỤC"))</f>
        <v/>
      </c>
      <c r="H1594" s="52"/>
      <c r="I1594" s="52"/>
    </row>
    <row r="1595" customFormat="false" ht="15" hidden="false" customHeight="false" outlineLevel="0" collapsed="false">
      <c r="A1595" s="50"/>
      <c r="B1595" s="51" t="str">
        <f aca="false">IF(A1595="","",MONTH(A1595))</f>
        <v/>
      </c>
      <c r="C1595" s="52"/>
      <c r="D1595" s="52"/>
      <c r="E1595" s="52"/>
      <c r="F1595" s="52"/>
      <c r="G1595" s="55" t="str">
        <f aca="false">IF(C1595="","",IFERROR(INDEX('DANH MỤC'!$B$5:$B$200,MATCH(C1595,'DANH MỤC'!$A$5:$A$200,0)),"⚠ Mã chưa có trong DANH MỤC"))</f>
        <v/>
      </c>
      <c r="H1595" s="52"/>
      <c r="I1595" s="52"/>
    </row>
    <row r="1596" customFormat="false" ht="15" hidden="false" customHeight="false" outlineLevel="0" collapsed="false">
      <c r="A1596" s="50"/>
      <c r="B1596" s="51" t="str">
        <f aca="false">IF(A1596="","",MONTH(A1596))</f>
        <v/>
      </c>
      <c r="C1596" s="52"/>
      <c r="D1596" s="52"/>
      <c r="E1596" s="52"/>
      <c r="F1596" s="52"/>
      <c r="G1596" s="55" t="str">
        <f aca="false">IF(C1596="","",IFERROR(INDEX('DANH MỤC'!$B$5:$B$200,MATCH(C1596,'DANH MỤC'!$A$5:$A$200,0)),"⚠ Mã chưa có trong DANH MỤC"))</f>
        <v/>
      </c>
      <c r="H1596" s="52"/>
      <c r="I1596" s="52"/>
    </row>
    <row r="1597" customFormat="false" ht="15" hidden="false" customHeight="false" outlineLevel="0" collapsed="false">
      <c r="A1597" s="50"/>
      <c r="B1597" s="51" t="str">
        <f aca="false">IF(A1597="","",MONTH(A1597))</f>
        <v/>
      </c>
      <c r="C1597" s="52"/>
      <c r="D1597" s="52"/>
      <c r="E1597" s="52"/>
      <c r="F1597" s="52"/>
      <c r="G1597" s="55" t="str">
        <f aca="false">IF(C1597="","",IFERROR(INDEX('DANH MỤC'!$B$5:$B$200,MATCH(C1597,'DANH MỤC'!$A$5:$A$200,0)),"⚠ Mã chưa có trong DANH MỤC"))</f>
        <v/>
      </c>
      <c r="H1597" s="52"/>
      <c r="I1597" s="52"/>
    </row>
    <row r="1598" customFormat="false" ht="15" hidden="false" customHeight="false" outlineLevel="0" collapsed="false">
      <c r="A1598" s="50"/>
      <c r="B1598" s="51" t="str">
        <f aca="false">IF(A1598="","",MONTH(A1598))</f>
        <v/>
      </c>
      <c r="C1598" s="52"/>
      <c r="D1598" s="52"/>
      <c r="E1598" s="52"/>
      <c r="F1598" s="52"/>
      <c r="G1598" s="55" t="str">
        <f aca="false">IF(C1598="","",IFERROR(INDEX('DANH MỤC'!$B$5:$B$200,MATCH(C1598,'DANH MỤC'!$A$5:$A$200,0)),"⚠ Mã chưa có trong DANH MỤC"))</f>
        <v/>
      </c>
      <c r="H1598" s="52"/>
      <c r="I1598" s="52"/>
    </row>
    <row r="1599" customFormat="false" ht="15" hidden="false" customHeight="false" outlineLevel="0" collapsed="false">
      <c r="A1599" s="50"/>
      <c r="B1599" s="51" t="str">
        <f aca="false">IF(A1599="","",MONTH(A1599))</f>
        <v/>
      </c>
      <c r="C1599" s="52"/>
      <c r="D1599" s="52"/>
      <c r="E1599" s="52"/>
      <c r="F1599" s="52"/>
      <c r="G1599" s="55" t="str">
        <f aca="false">IF(C1599="","",IFERROR(INDEX('DANH MỤC'!$B$5:$B$200,MATCH(C1599,'DANH MỤC'!$A$5:$A$200,0)),"⚠ Mã chưa có trong DANH MỤC"))</f>
        <v/>
      </c>
      <c r="H1599" s="52"/>
      <c r="I1599" s="52"/>
    </row>
    <row r="1600" customFormat="false" ht="15" hidden="false" customHeight="false" outlineLevel="0" collapsed="false">
      <c r="A1600" s="50"/>
      <c r="B1600" s="51" t="str">
        <f aca="false">IF(A1600="","",MONTH(A1600))</f>
        <v/>
      </c>
      <c r="C1600" s="52"/>
      <c r="D1600" s="52"/>
      <c r="E1600" s="52"/>
      <c r="F1600" s="52"/>
      <c r="G1600" s="55" t="str">
        <f aca="false">IF(C1600="","",IFERROR(INDEX('DANH MỤC'!$B$5:$B$200,MATCH(C1600,'DANH MỤC'!$A$5:$A$200,0)),"⚠ Mã chưa có trong DANH MỤC"))</f>
        <v/>
      </c>
      <c r="H1600" s="52"/>
      <c r="I1600" s="52"/>
    </row>
    <row r="1601" customFormat="false" ht="15" hidden="false" customHeight="false" outlineLevel="0" collapsed="false">
      <c r="A1601" s="50"/>
      <c r="B1601" s="51" t="str">
        <f aca="false">IF(A1601="","",MONTH(A1601))</f>
        <v/>
      </c>
      <c r="C1601" s="52"/>
      <c r="D1601" s="52"/>
      <c r="E1601" s="52"/>
      <c r="F1601" s="52"/>
      <c r="G1601" s="55" t="str">
        <f aca="false">IF(C1601="","",IFERROR(INDEX('DANH MỤC'!$B$5:$B$200,MATCH(C1601,'DANH MỤC'!$A$5:$A$200,0)),"⚠ Mã chưa có trong DANH MỤC"))</f>
        <v/>
      </c>
      <c r="H1601" s="52"/>
      <c r="I1601" s="52"/>
    </row>
    <row r="1602" customFormat="false" ht="15" hidden="false" customHeight="false" outlineLevel="0" collapsed="false">
      <c r="A1602" s="50"/>
      <c r="B1602" s="51" t="str">
        <f aca="false">IF(A1602="","",MONTH(A1602))</f>
        <v/>
      </c>
      <c r="C1602" s="52"/>
      <c r="D1602" s="52"/>
      <c r="E1602" s="52"/>
      <c r="F1602" s="52"/>
      <c r="G1602" s="55" t="str">
        <f aca="false">IF(C1602="","",IFERROR(INDEX('DANH MỤC'!$B$5:$B$200,MATCH(C1602,'DANH MỤC'!$A$5:$A$200,0)),"⚠ Mã chưa có trong DANH MỤC"))</f>
        <v/>
      </c>
      <c r="H1602" s="52"/>
      <c r="I1602" s="52"/>
    </row>
    <row r="1603" customFormat="false" ht="15" hidden="false" customHeight="false" outlineLevel="0" collapsed="false">
      <c r="A1603" s="50"/>
      <c r="B1603" s="51" t="str">
        <f aca="false">IF(A1603="","",MONTH(A1603))</f>
        <v/>
      </c>
      <c r="C1603" s="52"/>
      <c r="D1603" s="52"/>
      <c r="E1603" s="52"/>
      <c r="F1603" s="52"/>
      <c r="G1603" s="55" t="str">
        <f aca="false">IF(C1603="","",IFERROR(INDEX('DANH MỤC'!$B$5:$B$200,MATCH(C1603,'DANH MỤC'!$A$5:$A$200,0)),"⚠ Mã chưa có trong DANH MỤC"))</f>
        <v/>
      </c>
      <c r="H1603" s="52"/>
      <c r="I1603" s="52"/>
    </row>
    <row r="1604" customFormat="false" ht="15" hidden="false" customHeight="false" outlineLevel="0" collapsed="false">
      <c r="A1604" s="50"/>
      <c r="B1604" s="51" t="str">
        <f aca="false">IF(A1604="","",MONTH(A1604))</f>
        <v/>
      </c>
      <c r="C1604" s="52"/>
      <c r="D1604" s="52"/>
      <c r="E1604" s="52"/>
      <c r="F1604" s="52"/>
      <c r="G1604" s="55" t="str">
        <f aca="false">IF(C1604="","",IFERROR(INDEX('DANH MỤC'!$B$5:$B$200,MATCH(C1604,'DANH MỤC'!$A$5:$A$200,0)),"⚠ Mã chưa có trong DANH MỤC"))</f>
        <v/>
      </c>
      <c r="H1604" s="52"/>
      <c r="I1604" s="52"/>
    </row>
    <row r="1605" customFormat="false" ht="15" hidden="false" customHeight="false" outlineLevel="0" collapsed="false">
      <c r="A1605" s="50"/>
      <c r="B1605" s="51" t="str">
        <f aca="false">IF(A1605="","",MONTH(A1605))</f>
        <v/>
      </c>
      <c r="C1605" s="52"/>
      <c r="D1605" s="52"/>
      <c r="E1605" s="52"/>
      <c r="F1605" s="52"/>
      <c r="G1605" s="55" t="str">
        <f aca="false">IF(C1605="","",IFERROR(INDEX('DANH MỤC'!$B$5:$B$200,MATCH(C1605,'DANH MỤC'!$A$5:$A$200,0)),"⚠ Mã chưa có trong DANH MỤC"))</f>
        <v/>
      </c>
      <c r="H1605" s="52"/>
      <c r="I1605" s="52"/>
    </row>
    <row r="1606" customFormat="false" ht="15" hidden="false" customHeight="false" outlineLevel="0" collapsed="false">
      <c r="A1606" s="50"/>
      <c r="B1606" s="51" t="str">
        <f aca="false">IF(A1606="","",MONTH(A1606))</f>
        <v/>
      </c>
      <c r="C1606" s="52"/>
      <c r="D1606" s="52"/>
      <c r="E1606" s="52"/>
      <c r="F1606" s="52"/>
      <c r="G1606" s="55" t="str">
        <f aca="false">IF(C1606="","",IFERROR(INDEX('DANH MỤC'!$B$5:$B$200,MATCH(C1606,'DANH MỤC'!$A$5:$A$200,0)),"⚠ Mã chưa có trong DANH MỤC"))</f>
        <v/>
      </c>
      <c r="H1606" s="52"/>
      <c r="I1606" s="52"/>
    </row>
    <row r="1607" customFormat="false" ht="15" hidden="false" customHeight="false" outlineLevel="0" collapsed="false">
      <c r="A1607" s="50"/>
      <c r="B1607" s="51" t="str">
        <f aca="false">IF(A1607="","",MONTH(A1607))</f>
        <v/>
      </c>
      <c r="C1607" s="52"/>
      <c r="D1607" s="52"/>
      <c r="E1607" s="52"/>
      <c r="F1607" s="52"/>
      <c r="G1607" s="55" t="str">
        <f aca="false">IF(C1607="","",IFERROR(INDEX('DANH MỤC'!$B$5:$B$200,MATCH(C1607,'DANH MỤC'!$A$5:$A$200,0)),"⚠ Mã chưa có trong DANH MỤC"))</f>
        <v/>
      </c>
      <c r="H1607" s="52"/>
      <c r="I1607" s="52"/>
    </row>
    <row r="1608" customFormat="false" ht="15" hidden="false" customHeight="false" outlineLevel="0" collapsed="false">
      <c r="A1608" s="50"/>
      <c r="B1608" s="51" t="str">
        <f aca="false">IF(A1608="","",MONTH(A1608))</f>
        <v/>
      </c>
      <c r="C1608" s="52"/>
      <c r="D1608" s="52"/>
      <c r="E1608" s="52"/>
      <c r="F1608" s="52"/>
      <c r="G1608" s="55" t="str">
        <f aca="false">IF(C1608="","",IFERROR(INDEX('DANH MỤC'!$B$5:$B$200,MATCH(C1608,'DANH MỤC'!$A$5:$A$200,0)),"⚠ Mã chưa có trong DANH MỤC"))</f>
        <v/>
      </c>
      <c r="H1608" s="52"/>
      <c r="I1608" s="52"/>
    </row>
    <row r="1609" customFormat="false" ht="15" hidden="false" customHeight="false" outlineLevel="0" collapsed="false">
      <c r="A1609" s="50"/>
      <c r="B1609" s="51" t="str">
        <f aca="false">IF(A1609="","",MONTH(A1609))</f>
        <v/>
      </c>
      <c r="C1609" s="52"/>
      <c r="D1609" s="52"/>
      <c r="E1609" s="52"/>
      <c r="F1609" s="52"/>
      <c r="G1609" s="55" t="str">
        <f aca="false">IF(C1609="","",IFERROR(INDEX('DANH MỤC'!$B$5:$B$200,MATCH(C1609,'DANH MỤC'!$A$5:$A$200,0)),"⚠ Mã chưa có trong DANH MỤC"))</f>
        <v/>
      </c>
      <c r="H1609" s="52"/>
      <c r="I1609" s="52"/>
    </row>
    <row r="1610" customFormat="false" ht="15" hidden="false" customHeight="false" outlineLevel="0" collapsed="false">
      <c r="A1610" s="50"/>
      <c r="B1610" s="51" t="str">
        <f aca="false">IF(A1610="","",MONTH(A1610))</f>
        <v/>
      </c>
      <c r="C1610" s="52"/>
      <c r="D1610" s="52"/>
      <c r="E1610" s="52"/>
      <c r="F1610" s="52"/>
      <c r="G1610" s="55" t="str">
        <f aca="false">IF(C1610="","",IFERROR(INDEX('DANH MỤC'!$B$5:$B$200,MATCH(C1610,'DANH MỤC'!$A$5:$A$200,0)),"⚠ Mã chưa có trong DANH MỤC"))</f>
        <v/>
      </c>
      <c r="H1610" s="52"/>
      <c r="I1610" s="52"/>
    </row>
    <row r="1611" customFormat="false" ht="15" hidden="false" customHeight="false" outlineLevel="0" collapsed="false">
      <c r="A1611" s="50"/>
      <c r="B1611" s="51" t="str">
        <f aca="false">IF(A1611="","",MONTH(A1611))</f>
        <v/>
      </c>
      <c r="C1611" s="52"/>
      <c r="D1611" s="52"/>
      <c r="E1611" s="52"/>
      <c r="F1611" s="52"/>
      <c r="G1611" s="55" t="str">
        <f aca="false">IF(C1611="","",IFERROR(INDEX('DANH MỤC'!$B$5:$B$200,MATCH(C1611,'DANH MỤC'!$A$5:$A$200,0)),"⚠ Mã chưa có trong DANH MỤC"))</f>
        <v/>
      </c>
      <c r="H1611" s="52"/>
      <c r="I1611" s="52"/>
    </row>
    <row r="1612" customFormat="false" ht="15" hidden="false" customHeight="false" outlineLevel="0" collapsed="false">
      <c r="A1612" s="50"/>
      <c r="B1612" s="51" t="str">
        <f aca="false">IF(A1612="","",MONTH(A1612))</f>
        <v/>
      </c>
      <c r="C1612" s="52"/>
      <c r="D1612" s="52"/>
      <c r="E1612" s="52"/>
      <c r="F1612" s="52"/>
      <c r="G1612" s="55" t="str">
        <f aca="false">IF(C1612="","",IFERROR(INDEX('DANH MỤC'!$B$5:$B$200,MATCH(C1612,'DANH MỤC'!$A$5:$A$200,0)),"⚠ Mã chưa có trong DANH MỤC"))</f>
        <v/>
      </c>
      <c r="H1612" s="52"/>
      <c r="I1612" s="52"/>
    </row>
    <row r="1613" customFormat="false" ht="15" hidden="false" customHeight="false" outlineLevel="0" collapsed="false">
      <c r="A1613" s="50"/>
      <c r="B1613" s="51" t="str">
        <f aca="false">IF(A1613="","",MONTH(A1613))</f>
        <v/>
      </c>
      <c r="C1613" s="52"/>
      <c r="D1613" s="52"/>
      <c r="E1613" s="52"/>
      <c r="F1613" s="52"/>
      <c r="G1613" s="55" t="str">
        <f aca="false">IF(C1613="","",IFERROR(INDEX('DANH MỤC'!$B$5:$B$200,MATCH(C1613,'DANH MỤC'!$A$5:$A$200,0)),"⚠ Mã chưa có trong DANH MỤC"))</f>
        <v/>
      </c>
      <c r="H1613" s="52"/>
      <c r="I1613" s="52"/>
    </row>
    <row r="1614" customFormat="false" ht="15" hidden="false" customHeight="false" outlineLevel="0" collapsed="false">
      <c r="A1614" s="50"/>
      <c r="B1614" s="51" t="str">
        <f aca="false">IF(A1614="","",MONTH(A1614))</f>
        <v/>
      </c>
      <c r="C1614" s="52"/>
      <c r="D1614" s="52"/>
      <c r="E1614" s="52"/>
      <c r="F1614" s="52"/>
      <c r="G1614" s="55" t="str">
        <f aca="false">IF(C1614="","",IFERROR(INDEX('DANH MỤC'!$B$5:$B$200,MATCH(C1614,'DANH MỤC'!$A$5:$A$200,0)),"⚠ Mã chưa có trong DANH MỤC"))</f>
        <v/>
      </c>
      <c r="H1614" s="52"/>
      <c r="I1614" s="52"/>
    </row>
    <row r="1615" customFormat="false" ht="15" hidden="false" customHeight="false" outlineLevel="0" collapsed="false">
      <c r="A1615" s="50"/>
      <c r="B1615" s="51" t="str">
        <f aca="false">IF(A1615="","",MONTH(A1615))</f>
        <v/>
      </c>
      <c r="C1615" s="52"/>
      <c r="D1615" s="52"/>
      <c r="E1615" s="52"/>
      <c r="F1615" s="52"/>
      <c r="G1615" s="55" t="str">
        <f aca="false">IF(C1615="","",IFERROR(INDEX('DANH MỤC'!$B$5:$B$200,MATCH(C1615,'DANH MỤC'!$A$5:$A$200,0)),"⚠ Mã chưa có trong DANH MỤC"))</f>
        <v/>
      </c>
      <c r="H1615" s="52"/>
      <c r="I1615" s="52"/>
    </row>
    <row r="1616" customFormat="false" ht="15" hidden="false" customHeight="false" outlineLevel="0" collapsed="false">
      <c r="A1616" s="50"/>
      <c r="B1616" s="51" t="str">
        <f aca="false">IF(A1616="","",MONTH(A1616))</f>
        <v/>
      </c>
      <c r="C1616" s="52"/>
      <c r="D1616" s="52"/>
      <c r="E1616" s="52"/>
      <c r="F1616" s="52"/>
      <c r="G1616" s="55" t="str">
        <f aca="false">IF(C1616="","",IFERROR(INDEX('DANH MỤC'!$B$5:$B$200,MATCH(C1616,'DANH MỤC'!$A$5:$A$200,0)),"⚠ Mã chưa có trong DANH MỤC"))</f>
        <v/>
      </c>
      <c r="H1616" s="52"/>
      <c r="I1616" s="52"/>
    </row>
    <row r="1617" customFormat="false" ht="15" hidden="false" customHeight="false" outlineLevel="0" collapsed="false">
      <c r="A1617" s="50"/>
      <c r="B1617" s="51" t="str">
        <f aca="false">IF(A1617="","",MONTH(A1617))</f>
        <v/>
      </c>
      <c r="C1617" s="52"/>
      <c r="D1617" s="52"/>
      <c r="E1617" s="52"/>
      <c r="F1617" s="52"/>
      <c r="G1617" s="55" t="str">
        <f aca="false">IF(C1617="","",IFERROR(INDEX('DANH MỤC'!$B$5:$B$200,MATCH(C1617,'DANH MỤC'!$A$5:$A$200,0)),"⚠ Mã chưa có trong DANH MỤC"))</f>
        <v/>
      </c>
      <c r="H1617" s="52"/>
      <c r="I1617" s="52"/>
    </row>
    <row r="1618" customFormat="false" ht="15" hidden="false" customHeight="false" outlineLevel="0" collapsed="false">
      <c r="A1618" s="50"/>
      <c r="B1618" s="51" t="str">
        <f aca="false">IF(A1618="","",MONTH(A1618))</f>
        <v/>
      </c>
      <c r="C1618" s="52"/>
      <c r="D1618" s="52"/>
      <c r="E1618" s="52"/>
      <c r="F1618" s="52"/>
      <c r="G1618" s="55" t="str">
        <f aca="false">IF(C1618="","",IFERROR(INDEX('DANH MỤC'!$B$5:$B$200,MATCH(C1618,'DANH MỤC'!$A$5:$A$200,0)),"⚠ Mã chưa có trong DANH MỤC"))</f>
        <v/>
      </c>
      <c r="H1618" s="52"/>
      <c r="I1618" s="52"/>
    </row>
    <row r="1619" customFormat="false" ht="15" hidden="false" customHeight="false" outlineLevel="0" collapsed="false">
      <c r="A1619" s="50"/>
      <c r="B1619" s="51" t="str">
        <f aca="false">IF(A1619="","",MONTH(A1619))</f>
        <v/>
      </c>
      <c r="C1619" s="52"/>
      <c r="D1619" s="52"/>
      <c r="E1619" s="52"/>
      <c r="F1619" s="52"/>
      <c r="G1619" s="55" t="str">
        <f aca="false">IF(C1619="","",IFERROR(INDEX('DANH MỤC'!$B$5:$B$200,MATCH(C1619,'DANH MỤC'!$A$5:$A$200,0)),"⚠ Mã chưa có trong DANH MỤC"))</f>
        <v/>
      </c>
      <c r="H1619" s="52"/>
      <c r="I1619" s="52"/>
    </row>
    <row r="1620" customFormat="false" ht="15" hidden="false" customHeight="false" outlineLevel="0" collapsed="false">
      <c r="A1620" s="50"/>
      <c r="B1620" s="51" t="str">
        <f aca="false">IF(A1620="","",MONTH(A1620))</f>
        <v/>
      </c>
      <c r="C1620" s="52"/>
      <c r="D1620" s="52"/>
      <c r="E1620" s="52"/>
      <c r="F1620" s="52"/>
      <c r="G1620" s="55" t="str">
        <f aca="false">IF(C1620="","",IFERROR(INDEX('DANH MỤC'!$B$5:$B$200,MATCH(C1620,'DANH MỤC'!$A$5:$A$200,0)),"⚠ Mã chưa có trong DANH MỤC"))</f>
        <v/>
      </c>
      <c r="H1620" s="52"/>
      <c r="I1620" s="52"/>
    </row>
    <row r="1621" customFormat="false" ht="15" hidden="false" customHeight="false" outlineLevel="0" collapsed="false">
      <c r="A1621" s="50"/>
      <c r="B1621" s="51" t="str">
        <f aca="false">IF(A1621="","",MONTH(A1621))</f>
        <v/>
      </c>
      <c r="C1621" s="52"/>
      <c r="D1621" s="52"/>
      <c r="E1621" s="52"/>
      <c r="F1621" s="52"/>
      <c r="G1621" s="55" t="str">
        <f aca="false">IF(C1621="","",IFERROR(INDEX('DANH MỤC'!$B$5:$B$200,MATCH(C1621,'DANH MỤC'!$A$5:$A$200,0)),"⚠ Mã chưa có trong DANH MỤC"))</f>
        <v/>
      </c>
      <c r="H1621" s="52"/>
      <c r="I1621" s="52"/>
    </row>
    <row r="1622" customFormat="false" ht="15" hidden="false" customHeight="false" outlineLevel="0" collapsed="false">
      <c r="A1622" s="50"/>
      <c r="B1622" s="51" t="str">
        <f aca="false">IF(A1622="","",MONTH(A1622))</f>
        <v/>
      </c>
      <c r="C1622" s="52"/>
      <c r="D1622" s="52"/>
      <c r="E1622" s="52"/>
      <c r="F1622" s="52"/>
      <c r="G1622" s="55" t="str">
        <f aca="false">IF(C1622="","",IFERROR(INDEX('DANH MỤC'!$B$5:$B$200,MATCH(C1622,'DANH MỤC'!$A$5:$A$200,0)),"⚠ Mã chưa có trong DANH MỤC"))</f>
        <v/>
      </c>
      <c r="H1622" s="52"/>
      <c r="I1622" s="52"/>
    </row>
    <row r="1623" customFormat="false" ht="15" hidden="false" customHeight="false" outlineLevel="0" collapsed="false">
      <c r="A1623" s="50"/>
      <c r="B1623" s="51" t="str">
        <f aca="false">IF(A1623="","",MONTH(A1623))</f>
        <v/>
      </c>
      <c r="C1623" s="52"/>
      <c r="D1623" s="52"/>
      <c r="E1623" s="52"/>
      <c r="F1623" s="52"/>
      <c r="G1623" s="55" t="str">
        <f aca="false">IF(C1623="","",IFERROR(INDEX('DANH MỤC'!$B$5:$B$200,MATCH(C1623,'DANH MỤC'!$A$5:$A$200,0)),"⚠ Mã chưa có trong DANH MỤC"))</f>
        <v/>
      </c>
      <c r="H1623" s="52"/>
      <c r="I1623" s="52"/>
    </row>
    <row r="1624" customFormat="false" ht="15" hidden="false" customHeight="false" outlineLevel="0" collapsed="false">
      <c r="A1624" s="50"/>
      <c r="B1624" s="51" t="str">
        <f aca="false">IF(A1624="","",MONTH(A1624))</f>
        <v/>
      </c>
      <c r="C1624" s="52"/>
      <c r="D1624" s="52"/>
      <c r="E1624" s="52"/>
      <c r="F1624" s="52"/>
      <c r="G1624" s="55" t="str">
        <f aca="false">IF(C1624="","",IFERROR(INDEX('DANH MỤC'!$B$5:$B$200,MATCH(C1624,'DANH MỤC'!$A$5:$A$200,0)),"⚠ Mã chưa có trong DANH MỤC"))</f>
        <v/>
      </c>
      <c r="H1624" s="52"/>
      <c r="I1624" s="52"/>
    </row>
    <row r="1625" customFormat="false" ht="15" hidden="false" customHeight="false" outlineLevel="0" collapsed="false">
      <c r="A1625" s="50"/>
      <c r="B1625" s="51" t="str">
        <f aca="false">IF(A1625="","",MONTH(A1625))</f>
        <v/>
      </c>
      <c r="C1625" s="52"/>
      <c r="D1625" s="52"/>
      <c r="E1625" s="52"/>
      <c r="F1625" s="52"/>
      <c r="G1625" s="55" t="str">
        <f aca="false">IF(C1625="","",IFERROR(INDEX('DANH MỤC'!$B$5:$B$200,MATCH(C1625,'DANH MỤC'!$A$5:$A$200,0)),"⚠ Mã chưa có trong DANH MỤC"))</f>
        <v/>
      </c>
      <c r="H1625" s="52"/>
      <c r="I1625" s="52"/>
    </row>
    <row r="1626" customFormat="false" ht="15" hidden="false" customHeight="false" outlineLevel="0" collapsed="false">
      <c r="A1626" s="50"/>
      <c r="B1626" s="51" t="str">
        <f aca="false">IF(A1626="","",MONTH(A1626))</f>
        <v/>
      </c>
      <c r="C1626" s="52"/>
      <c r="D1626" s="52"/>
      <c r="E1626" s="52"/>
      <c r="F1626" s="52"/>
      <c r="G1626" s="55" t="str">
        <f aca="false">IF(C1626="","",IFERROR(INDEX('DANH MỤC'!$B$5:$B$200,MATCH(C1626,'DANH MỤC'!$A$5:$A$200,0)),"⚠ Mã chưa có trong DANH MỤC"))</f>
        <v/>
      </c>
      <c r="H1626" s="52"/>
      <c r="I1626" s="52"/>
    </row>
    <row r="1627" customFormat="false" ht="15" hidden="false" customHeight="false" outlineLevel="0" collapsed="false">
      <c r="A1627" s="50"/>
      <c r="B1627" s="51" t="str">
        <f aca="false">IF(A1627="","",MONTH(A1627))</f>
        <v/>
      </c>
      <c r="C1627" s="52"/>
      <c r="D1627" s="52"/>
      <c r="E1627" s="52"/>
      <c r="F1627" s="52"/>
      <c r="G1627" s="55" t="str">
        <f aca="false">IF(C1627="","",IFERROR(INDEX('DANH MỤC'!$B$5:$B$200,MATCH(C1627,'DANH MỤC'!$A$5:$A$200,0)),"⚠ Mã chưa có trong DANH MỤC"))</f>
        <v/>
      </c>
      <c r="H1627" s="52"/>
      <c r="I1627" s="52"/>
    </row>
    <row r="1628" customFormat="false" ht="15" hidden="false" customHeight="false" outlineLevel="0" collapsed="false">
      <c r="A1628" s="50"/>
      <c r="B1628" s="51" t="str">
        <f aca="false">IF(A1628="","",MONTH(A1628))</f>
        <v/>
      </c>
      <c r="C1628" s="52"/>
      <c r="D1628" s="52"/>
      <c r="E1628" s="52"/>
      <c r="F1628" s="52"/>
      <c r="G1628" s="55" t="str">
        <f aca="false">IF(C1628="","",IFERROR(INDEX('DANH MỤC'!$B$5:$B$200,MATCH(C1628,'DANH MỤC'!$A$5:$A$200,0)),"⚠ Mã chưa có trong DANH MỤC"))</f>
        <v/>
      </c>
      <c r="H1628" s="52"/>
      <c r="I1628" s="52"/>
    </row>
    <row r="1629" customFormat="false" ht="15" hidden="false" customHeight="false" outlineLevel="0" collapsed="false">
      <c r="A1629" s="50"/>
      <c r="B1629" s="51" t="str">
        <f aca="false">IF(A1629="","",MONTH(A1629))</f>
        <v/>
      </c>
      <c r="C1629" s="52"/>
      <c r="D1629" s="52"/>
      <c r="E1629" s="52"/>
      <c r="F1629" s="52"/>
      <c r="G1629" s="55" t="str">
        <f aca="false">IF(C1629="","",IFERROR(INDEX('DANH MỤC'!$B$5:$B$200,MATCH(C1629,'DANH MỤC'!$A$5:$A$200,0)),"⚠ Mã chưa có trong DANH MỤC"))</f>
        <v/>
      </c>
      <c r="H1629" s="52"/>
      <c r="I1629" s="52"/>
    </row>
    <row r="1630" customFormat="false" ht="15" hidden="false" customHeight="false" outlineLevel="0" collapsed="false">
      <c r="A1630" s="50"/>
      <c r="B1630" s="51" t="str">
        <f aca="false">IF(A1630="","",MONTH(A1630))</f>
        <v/>
      </c>
      <c r="C1630" s="52"/>
      <c r="D1630" s="52"/>
      <c r="E1630" s="52"/>
      <c r="F1630" s="52"/>
      <c r="G1630" s="55" t="str">
        <f aca="false">IF(C1630="","",IFERROR(INDEX('DANH MỤC'!$B$5:$B$200,MATCH(C1630,'DANH MỤC'!$A$5:$A$200,0)),"⚠ Mã chưa có trong DANH MỤC"))</f>
        <v/>
      </c>
      <c r="H1630" s="52"/>
      <c r="I1630" s="52"/>
    </row>
    <row r="1631" customFormat="false" ht="15" hidden="false" customHeight="false" outlineLevel="0" collapsed="false">
      <c r="A1631" s="50"/>
      <c r="B1631" s="51" t="str">
        <f aca="false">IF(A1631="","",MONTH(A1631))</f>
        <v/>
      </c>
      <c r="C1631" s="52"/>
      <c r="D1631" s="52"/>
      <c r="E1631" s="52"/>
      <c r="F1631" s="52"/>
      <c r="G1631" s="55" t="str">
        <f aca="false">IF(C1631="","",IFERROR(INDEX('DANH MỤC'!$B$5:$B$200,MATCH(C1631,'DANH MỤC'!$A$5:$A$200,0)),"⚠ Mã chưa có trong DANH MỤC"))</f>
        <v/>
      </c>
      <c r="H1631" s="52"/>
      <c r="I1631" s="52"/>
    </row>
    <row r="1632" customFormat="false" ht="15" hidden="false" customHeight="false" outlineLevel="0" collapsed="false">
      <c r="A1632" s="50"/>
      <c r="B1632" s="51" t="str">
        <f aca="false">IF(A1632="","",MONTH(A1632))</f>
        <v/>
      </c>
      <c r="C1632" s="52"/>
      <c r="D1632" s="52"/>
      <c r="E1632" s="52"/>
      <c r="F1632" s="52"/>
      <c r="G1632" s="55" t="str">
        <f aca="false">IF(C1632="","",IFERROR(INDEX('DANH MỤC'!$B$5:$B$200,MATCH(C1632,'DANH MỤC'!$A$5:$A$200,0)),"⚠ Mã chưa có trong DANH MỤC"))</f>
        <v/>
      </c>
      <c r="H1632" s="52"/>
      <c r="I1632" s="52"/>
    </row>
    <row r="1633" customFormat="false" ht="15" hidden="false" customHeight="false" outlineLevel="0" collapsed="false">
      <c r="A1633" s="50"/>
      <c r="B1633" s="51" t="str">
        <f aca="false">IF(A1633="","",MONTH(A1633))</f>
        <v/>
      </c>
      <c r="C1633" s="52"/>
      <c r="D1633" s="52"/>
      <c r="E1633" s="52"/>
      <c r="F1633" s="52"/>
      <c r="G1633" s="55" t="str">
        <f aca="false">IF(C1633="","",IFERROR(INDEX('DANH MỤC'!$B$5:$B$200,MATCH(C1633,'DANH MỤC'!$A$5:$A$200,0)),"⚠ Mã chưa có trong DANH MỤC"))</f>
        <v/>
      </c>
      <c r="H1633" s="52"/>
      <c r="I1633" s="52"/>
    </row>
    <row r="1634" customFormat="false" ht="15" hidden="false" customHeight="false" outlineLevel="0" collapsed="false">
      <c r="A1634" s="50"/>
      <c r="B1634" s="51" t="str">
        <f aca="false">IF(A1634="","",MONTH(A1634))</f>
        <v/>
      </c>
      <c r="C1634" s="52"/>
      <c r="D1634" s="52"/>
      <c r="E1634" s="52"/>
      <c r="F1634" s="52"/>
      <c r="G1634" s="55" t="str">
        <f aca="false">IF(C1634="","",IFERROR(INDEX('DANH MỤC'!$B$5:$B$200,MATCH(C1634,'DANH MỤC'!$A$5:$A$200,0)),"⚠ Mã chưa có trong DANH MỤC"))</f>
        <v/>
      </c>
      <c r="H1634" s="52"/>
      <c r="I1634" s="52"/>
    </row>
    <row r="1635" customFormat="false" ht="15" hidden="false" customHeight="false" outlineLevel="0" collapsed="false">
      <c r="A1635" s="50"/>
      <c r="B1635" s="51" t="str">
        <f aca="false">IF(A1635="","",MONTH(A1635))</f>
        <v/>
      </c>
      <c r="C1635" s="52"/>
      <c r="D1635" s="52"/>
      <c r="E1635" s="52"/>
      <c r="F1635" s="52"/>
      <c r="G1635" s="55" t="str">
        <f aca="false">IF(C1635="","",IFERROR(INDEX('DANH MỤC'!$B$5:$B$200,MATCH(C1635,'DANH MỤC'!$A$5:$A$200,0)),"⚠ Mã chưa có trong DANH MỤC"))</f>
        <v/>
      </c>
      <c r="H1635" s="52"/>
      <c r="I1635" s="52"/>
    </row>
    <row r="1636" customFormat="false" ht="15" hidden="false" customHeight="false" outlineLevel="0" collapsed="false">
      <c r="A1636" s="50"/>
      <c r="B1636" s="51" t="str">
        <f aca="false">IF(A1636="","",MONTH(A1636))</f>
        <v/>
      </c>
      <c r="C1636" s="52"/>
      <c r="D1636" s="52"/>
      <c r="E1636" s="52"/>
      <c r="F1636" s="52"/>
      <c r="G1636" s="55" t="str">
        <f aca="false">IF(C1636="","",IFERROR(INDEX('DANH MỤC'!$B$5:$B$200,MATCH(C1636,'DANH MỤC'!$A$5:$A$200,0)),"⚠ Mã chưa có trong DANH MỤC"))</f>
        <v/>
      </c>
      <c r="H1636" s="52"/>
      <c r="I1636" s="52"/>
    </row>
    <row r="1637" customFormat="false" ht="15" hidden="false" customHeight="false" outlineLevel="0" collapsed="false">
      <c r="A1637" s="50"/>
      <c r="B1637" s="51" t="str">
        <f aca="false">IF(A1637="","",MONTH(A1637))</f>
        <v/>
      </c>
      <c r="C1637" s="52"/>
      <c r="D1637" s="52"/>
      <c r="E1637" s="52"/>
      <c r="F1637" s="52"/>
      <c r="G1637" s="55" t="str">
        <f aca="false">IF(C1637="","",IFERROR(INDEX('DANH MỤC'!$B$5:$B$200,MATCH(C1637,'DANH MỤC'!$A$5:$A$200,0)),"⚠ Mã chưa có trong DANH MỤC"))</f>
        <v/>
      </c>
      <c r="H1637" s="52"/>
      <c r="I1637" s="52"/>
    </row>
    <row r="1638" customFormat="false" ht="15" hidden="false" customHeight="false" outlineLevel="0" collapsed="false">
      <c r="A1638" s="50"/>
      <c r="B1638" s="51" t="str">
        <f aca="false">IF(A1638="","",MONTH(A1638))</f>
        <v/>
      </c>
      <c r="C1638" s="52"/>
      <c r="D1638" s="52"/>
      <c r="E1638" s="52"/>
      <c r="F1638" s="52"/>
      <c r="G1638" s="55" t="str">
        <f aca="false">IF(C1638="","",IFERROR(INDEX('DANH MỤC'!$B$5:$B$200,MATCH(C1638,'DANH MỤC'!$A$5:$A$200,0)),"⚠ Mã chưa có trong DANH MỤC"))</f>
        <v/>
      </c>
      <c r="H1638" s="52"/>
      <c r="I1638" s="52"/>
    </row>
    <row r="1639" customFormat="false" ht="15" hidden="false" customHeight="false" outlineLevel="0" collapsed="false">
      <c r="A1639" s="50"/>
      <c r="B1639" s="51" t="str">
        <f aca="false">IF(A1639="","",MONTH(A1639))</f>
        <v/>
      </c>
      <c r="C1639" s="52"/>
      <c r="D1639" s="52"/>
      <c r="E1639" s="52"/>
      <c r="F1639" s="52"/>
      <c r="G1639" s="55" t="str">
        <f aca="false">IF(C1639="","",IFERROR(INDEX('DANH MỤC'!$B$5:$B$200,MATCH(C1639,'DANH MỤC'!$A$5:$A$200,0)),"⚠ Mã chưa có trong DANH MỤC"))</f>
        <v/>
      </c>
      <c r="H1639" s="52"/>
      <c r="I1639" s="52"/>
    </row>
    <row r="1640" customFormat="false" ht="15" hidden="false" customHeight="false" outlineLevel="0" collapsed="false">
      <c r="A1640" s="50"/>
      <c r="B1640" s="51" t="str">
        <f aca="false">IF(A1640="","",MONTH(A1640))</f>
        <v/>
      </c>
      <c r="C1640" s="52"/>
      <c r="D1640" s="52"/>
      <c r="E1640" s="52"/>
      <c r="F1640" s="52"/>
      <c r="G1640" s="55" t="str">
        <f aca="false">IF(C1640="","",IFERROR(INDEX('DANH MỤC'!$B$5:$B$200,MATCH(C1640,'DANH MỤC'!$A$5:$A$200,0)),"⚠ Mã chưa có trong DANH MỤC"))</f>
        <v/>
      </c>
      <c r="H1640" s="52"/>
      <c r="I1640" s="52"/>
    </row>
    <row r="1641" customFormat="false" ht="15" hidden="false" customHeight="false" outlineLevel="0" collapsed="false">
      <c r="A1641" s="50"/>
      <c r="B1641" s="51" t="str">
        <f aca="false">IF(A1641="","",MONTH(A1641))</f>
        <v/>
      </c>
      <c r="C1641" s="52"/>
      <c r="D1641" s="52"/>
      <c r="E1641" s="52"/>
      <c r="F1641" s="52"/>
      <c r="G1641" s="55" t="str">
        <f aca="false">IF(C1641="","",IFERROR(INDEX('DANH MỤC'!$B$5:$B$200,MATCH(C1641,'DANH MỤC'!$A$5:$A$200,0)),"⚠ Mã chưa có trong DANH MỤC"))</f>
        <v/>
      </c>
      <c r="H1641" s="52"/>
      <c r="I1641" s="52"/>
    </row>
    <row r="1642" customFormat="false" ht="15" hidden="false" customHeight="false" outlineLevel="0" collapsed="false">
      <c r="A1642" s="50"/>
      <c r="B1642" s="51" t="str">
        <f aca="false">IF(A1642="","",MONTH(A1642))</f>
        <v/>
      </c>
      <c r="C1642" s="52"/>
      <c r="D1642" s="52"/>
      <c r="E1642" s="52"/>
      <c r="F1642" s="52"/>
      <c r="G1642" s="55" t="str">
        <f aca="false">IF(C1642="","",IFERROR(INDEX('DANH MỤC'!$B$5:$B$200,MATCH(C1642,'DANH MỤC'!$A$5:$A$200,0)),"⚠ Mã chưa có trong DANH MỤC"))</f>
        <v/>
      </c>
      <c r="H1642" s="52"/>
      <c r="I1642" s="52"/>
    </row>
    <row r="1643" customFormat="false" ht="15" hidden="false" customHeight="false" outlineLevel="0" collapsed="false">
      <c r="A1643" s="50"/>
      <c r="B1643" s="51" t="str">
        <f aca="false">IF(A1643="","",MONTH(A1643))</f>
        <v/>
      </c>
      <c r="C1643" s="52"/>
      <c r="D1643" s="52"/>
      <c r="E1643" s="52"/>
      <c r="F1643" s="52"/>
      <c r="G1643" s="55" t="str">
        <f aca="false">IF(C1643="","",IFERROR(INDEX('DANH MỤC'!$B$5:$B$200,MATCH(C1643,'DANH MỤC'!$A$5:$A$200,0)),"⚠ Mã chưa có trong DANH MỤC"))</f>
        <v/>
      </c>
      <c r="H1643" s="52"/>
      <c r="I1643" s="52"/>
    </row>
    <row r="1644" customFormat="false" ht="15" hidden="false" customHeight="false" outlineLevel="0" collapsed="false">
      <c r="A1644" s="50"/>
      <c r="B1644" s="51" t="str">
        <f aca="false">IF(A1644="","",MONTH(A1644))</f>
        <v/>
      </c>
      <c r="C1644" s="52"/>
      <c r="D1644" s="52"/>
      <c r="E1644" s="52"/>
      <c r="F1644" s="52"/>
      <c r="G1644" s="55" t="str">
        <f aca="false">IF(C1644="","",IFERROR(INDEX('DANH MỤC'!$B$5:$B$200,MATCH(C1644,'DANH MỤC'!$A$5:$A$200,0)),"⚠ Mã chưa có trong DANH MỤC"))</f>
        <v/>
      </c>
      <c r="H1644" s="52"/>
      <c r="I1644" s="52"/>
    </row>
    <row r="1645" customFormat="false" ht="15" hidden="false" customHeight="false" outlineLevel="0" collapsed="false">
      <c r="A1645" s="50"/>
      <c r="B1645" s="51" t="str">
        <f aca="false">IF(A1645="","",MONTH(A1645))</f>
        <v/>
      </c>
      <c r="C1645" s="52"/>
      <c r="D1645" s="52"/>
      <c r="E1645" s="52"/>
      <c r="F1645" s="52"/>
      <c r="G1645" s="55" t="str">
        <f aca="false">IF(C1645="","",IFERROR(INDEX('DANH MỤC'!$B$5:$B$200,MATCH(C1645,'DANH MỤC'!$A$5:$A$200,0)),"⚠ Mã chưa có trong DANH MỤC"))</f>
        <v/>
      </c>
      <c r="H1645" s="52"/>
      <c r="I1645" s="52"/>
    </row>
    <row r="1646" customFormat="false" ht="15" hidden="false" customHeight="false" outlineLevel="0" collapsed="false">
      <c r="A1646" s="50"/>
      <c r="B1646" s="51" t="str">
        <f aca="false">IF(A1646="","",MONTH(A1646))</f>
        <v/>
      </c>
      <c r="C1646" s="52"/>
      <c r="D1646" s="52"/>
      <c r="E1646" s="52"/>
      <c r="F1646" s="52"/>
      <c r="G1646" s="55" t="str">
        <f aca="false">IF(C1646="","",IFERROR(INDEX('DANH MỤC'!$B$5:$B$200,MATCH(C1646,'DANH MỤC'!$A$5:$A$200,0)),"⚠ Mã chưa có trong DANH MỤC"))</f>
        <v/>
      </c>
      <c r="H1646" s="52"/>
      <c r="I1646" s="52"/>
    </row>
    <row r="1647" customFormat="false" ht="15" hidden="false" customHeight="false" outlineLevel="0" collapsed="false">
      <c r="A1647" s="50"/>
      <c r="B1647" s="51" t="str">
        <f aca="false">IF(A1647="","",MONTH(A1647))</f>
        <v/>
      </c>
      <c r="C1647" s="52"/>
      <c r="D1647" s="52"/>
      <c r="E1647" s="52"/>
      <c r="F1647" s="52"/>
      <c r="G1647" s="55" t="str">
        <f aca="false">IF(C1647="","",IFERROR(INDEX('DANH MỤC'!$B$5:$B$200,MATCH(C1647,'DANH MỤC'!$A$5:$A$200,0)),"⚠ Mã chưa có trong DANH MỤC"))</f>
        <v/>
      </c>
      <c r="H1647" s="52"/>
      <c r="I1647" s="52"/>
    </row>
    <row r="1648" customFormat="false" ht="15" hidden="false" customHeight="false" outlineLevel="0" collapsed="false">
      <c r="A1648" s="50"/>
      <c r="B1648" s="51" t="str">
        <f aca="false">IF(A1648="","",MONTH(A1648))</f>
        <v/>
      </c>
      <c r="C1648" s="52"/>
      <c r="D1648" s="52"/>
      <c r="E1648" s="52"/>
      <c r="F1648" s="52"/>
      <c r="G1648" s="55" t="str">
        <f aca="false">IF(C1648="","",IFERROR(INDEX('DANH MỤC'!$B$5:$B$200,MATCH(C1648,'DANH MỤC'!$A$5:$A$200,0)),"⚠ Mã chưa có trong DANH MỤC"))</f>
        <v/>
      </c>
      <c r="H1648" s="52"/>
      <c r="I1648" s="52"/>
    </row>
    <row r="1649" customFormat="false" ht="15" hidden="false" customHeight="false" outlineLevel="0" collapsed="false">
      <c r="A1649" s="50"/>
      <c r="B1649" s="51" t="str">
        <f aca="false">IF(A1649="","",MONTH(A1649))</f>
        <v/>
      </c>
      <c r="C1649" s="52"/>
      <c r="D1649" s="52"/>
      <c r="E1649" s="52"/>
      <c r="F1649" s="52"/>
      <c r="G1649" s="55" t="str">
        <f aca="false">IF(C1649="","",IFERROR(INDEX('DANH MỤC'!$B$5:$B$200,MATCH(C1649,'DANH MỤC'!$A$5:$A$200,0)),"⚠ Mã chưa có trong DANH MỤC"))</f>
        <v/>
      </c>
      <c r="H1649" s="52"/>
      <c r="I1649" s="52"/>
    </row>
    <row r="1650" customFormat="false" ht="15" hidden="false" customHeight="false" outlineLevel="0" collapsed="false">
      <c r="A1650" s="50"/>
      <c r="B1650" s="51" t="str">
        <f aca="false">IF(A1650="","",MONTH(A1650))</f>
        <v/>
      </c>
      <c r="C1650" s="52"/>
      <c r="D1650" s="52"/>
      <c r="E1650" s="52"/>
      <c r="F1650" s="52"/>
      <c r="G1650" s="55" t="str">
        <f aca="false">IF(C1650="","",IFERROR(INDEX('DANH MỤC'!$B$5:$B$200,MATCH(C1650,'DANH MỤC'!$A$5:$A$200,0)),"⚠ Mã chưa có trong DANH MỤC"))</f>
        <v/>
      </c>
      <c r="H1650" s="52"/>
      <c r="I1650" s="52"/>
    </row>
    <row r="1651" customFormat="false" ht="15" hidden="false" customHeight="false" outlineLevel="0" collapsed="false">
      <c r="A1651" s="50"/>
      <c r="B1651" s="51" t="str">
        <f aca="false">IF(A1651="","",MONTH(A1651))</f>
        <v/>
      </c>
      <c r="C1651" s="52"/>
      <c r="D1651" s="52"/>
      <c r="E1651" s="52"/>
      <c r="F1651" s="52"/>
      <c r="G1651" s="55" t="str">
        <f aca="false">IF(C1651="","",IFERROR(INDEX('DANH MỤC'!$B$5:$B$200,MATCH(C1651,'DANH MỤC'!$A$5:$A$200,0)),"⚠ Mã chưa có trong DANH MỤC"))</f>
        <v/>
      </c>
      <c r="H1651" s="52"/>
      <c r="I1651" s="52"/>
    </row>
    <row r="1652" customFormat="false" ht="15" hidden="false" customHeight="false" outlineLevel="0" collapsed="false">
      <c r="A1652" s="50"/>
      <c r="B1652" s="51" t="str">
        <f aca="false">IF(A1652="","",MONTH(A1652))</f>
        <v/>
      </c>
      <c r="C1652" s="52"/>
      <c r="D1652" s="52"/>
      <c r="E1652" s="52"/>
      <c r="F1652" s="52"/>
      <c r="G1652" s="55" t="str">
        <f aca="false">IF(C1652="","",IFERROR(INDEX('DANH MỤC'!$B$5:$B$200,MATCH(C1652,'DANH MỤC'!$A$5:$A$200,0)),"⚠ Mã chưa có trong DANH MỤC"))</f>
        <v/>
      </c>
      <c r="H1652" s="52"/>
      <c r="I1652" s="52"/>
    </row>
    <row r="1653" customFormat="false" ht="15" hidden="false" customHeight="false" outlineLevel="0" collapsed="false">
      <c r="A1653" s="50"/>
      <c r="B1653" s="51" t="str">
        <f aca="false">IF(A1653="","",MONTH(A1653))</f>
        <v/>
      </c>
      <c r="C1653" s="52"/>
      <c r="D1653" s="52"/>
      <c r="E1653" s="52"/>
      <c r="F1653" s="52"/>
      <c r="G1653" s="55" t="str">
        <f aca="false">IF(C1653="","",IFERROR(INDEX('DANH MỤC'!$B$5:$B$200,MATCH(C1653,'DANH MỤC'!$A$5:$A$200,0)),"⚠ Mã chưa có trong DANH MỤC"))</f>
        <v/>
      </c>
      <c r="H1653" s="52"/>
      <c r="I1653" s="52"/>
    </row>
    <row r="1654" customFormat="false" ht="15" hidden="false" customHeight="false" outlineLevel="0" collapsed="false">
      <c r="A1654" s="50"/>
      <c r="B1654" s="51" t="str">
        <f aca="false">IF(A1654="","",MONTH(A1654))</f>
        <v/>
      </c>
      <c r="C1654" s="52"/>
      <c r="D1654" s="52"/>
      <c r="E1654" s="52"/>
      <c r="F1654" s="52"/>
      <c r="G1654" s="55" t="str">
        <f aca="false">IF(C1654="","",IFERROR(INDEX('DANH MỤC'!$B$5:$B$200,MATCH(C1654,'DANH MỤC'!$A$5:$A$200,0)),"⚠ Mã chưa có trong DANH MỤC"))</f>
        <v/>
      </c>
      <c r="H1654" s="52"/>
      <c r="I1654" s="52"/>
    </row>
    <row r="1655" customFormat="false" ht="15" hidden="false" customHeight="false" outlineLevel="0" collapsed="false">
      <c r="A1655" s="50"/>
      <c r="B1655" s="51" t="str">
        <f aca="false">IF(A1655="","",MONTH(A1655))</f>
        <v/>
      </c>
      <c r="C1655" s="52"/>
      <c r="D1655" s="52"/>
      <c r="E1655" s="52"/>
      <c r="F1655" s="52"/>
      <c r="G1655" s="55" t="str">
        <f aca="false">IF(C1655="","",IFERROR(INDEX('DANH MỤC'!$B$5:$B$200,MATCH(C1655,'DANH MỤC'!$A$5:$A$200,0)),"⚠ Mã chưa có trong DANH MỤC"))</f>
        <v/>
      </c>
      <c r="H1655" s="52"/>
      <c r="I1655" s="52"/>
    </row>
    <row r="1656" customFormat="false" ht="15" hidden="false" customHeight="false" outlineLevel="0" collapsed="false">
      <c r="A1656" s="50"/>
      <c r="B1656" s="51" t="str">
        <f aca="false">IF(A1656="","",MONTH(A1656))</f>
        <v/>
      </c>
      <c r="C1656" s="52"/>
      <c r="D1656" s="52"/>
      <c r="E1656" s="52"/>
      <c r="F1656" s="52"/>
      <c r="G1656" s="55" t="str">
        <f aca="false">IF(C1656="","",IFERROR(INDEX('DANH MỤC'!$B$5:$B$200,MATCH(C1656,'DANH MỤC'!$A$5:$A$200,0)),"⚠ Mã chưa có trong DANH MỤC"))</f>
        <v/>
      </c>
      <c r="H1656" s="52"/>
      <c r="I1656" s="52"/>
    </row>
    <row r="1657" customFormat="false" ht="15" hidden="false" customHeight="false" outlineLevel="0" collapsed="false">
      <c r="A1657" s="50"/>
      <c r="B1657" s="51" t="str">
        <f aca="false">IF(A1657="","",MONTH(A1657))</f>
        <v/>
      </c>
      <c r="C1657" s="52"/>
      <c r="D1657" s="52"/>
      <c r="E1657" s="52"/>
      <c r="F1657" s="52"/>
      <c r="G1657" s="55" t="str">
        <f aca="false">IF(C1657="","",IFERROR(INDEX('DANH MỤC'!$B$5:$B$200,MATCH(C1657,'DANH MỤC'!$A$5:$A$200,0)),"⚠ Mã chưa có trong DANH MỤC"))</f>
        <v/>
      </c>
      <c r="H1657" s="52"/>
      <c r="I1657" s="52"/>
    </row>
    <row r="1658" customFormat="false" ht="15" hidden="false" customHeight="false" outlineLevel="0" collapsed="false">
      <c r="A1658" s="50"/>
      <c r="B1658" s="51" t="str">
        <f aca="false">IF(A1658="","",MONTH(A1658))</f>
        <v/>
      </c>
      <c r="C1658" s="52"/>
      <c r="D1658" s="52"/>
      <c r="E1658" s="52"/>
      <c r="F1658" s="52"/>
      <c r="G1658" s="55" t="str">
        <f aca="false">IF(C1658="","",IFERROR(INDEX('DANH MỤC'!$B$5:$B$200,MATCH(C1658,'DANH MỤC'!$A$5:$A$200,0)),"⚠ Mã chưa có trong DANH MỤC"))</f>
        <v/>
      </c>
      <c r="H1658" s="52"/>
      <c r="I1658" s="52"/>
    </row>
    <row r="1659" customFormat="false" ht="15" hidden="false" customHeight="false" outlineLevel="0" collapsed="false">
      <c r="A1659" s="50"/>
      <c r="B1659" s="51" t="str">
        <f aca="false">IF(A1659="","",MONTH(A1659))</f>
        <v/>
      </c>
      <c r="C1659" s="52"/>
      <c r="D1659" s="52"/>
      <c r="E1659" s="52"/>
      <c r="F1659" s="52"/>
      <c r="G1659" s="55" t="str">
        <f aca="false">IF(C1659="","",IFERROR(INDEX('DANH MỤC'!$B$5:$B$200,MATCH(C1659,'DANH MỤC'!$A$5:$A$200,0)),"⚠ Mã chưa có trong DANH MỤC"))</f>
        <v/>
      </c>
      <c r="H1659" s="52"/>
      <c r="I1659" s="52"/>
    </row>
    <row r="1660" customFormat="false" ht="15" hidden="false" customHeight="false" outlineLevel="0" collapsed="false">
      <c r="A1660" s="50"/>
      <c r="B1660" s="51" t="str">
        <f aca="false">IF(A1660="","",MONTH(A1660))</f>
        <v/>
      </c>
      <c r="C1660" s="52"/>
      <c r="D1660" s="52"/>
      <c r="E1660" s="52"/>
      <c r="F1660" s="52"/>
      <c r="G1660" s="55" t="str">
        <f aca="false">IF(C1660="","",IFERROR(INDEX('DANH MỤC'!$B$5:$B$200,MATCH(C1660,'DANH MỤC'!$A$5:$A$200,0)),"⚠ Mã chưa có trong DANH MỤC"))</f>
        <v/>
      </c>
      <c r="H1660" s="52"/>
      <c r="I1660" s="52"/>
    </row>
    <row r="1661" customFormat="false" ht="15" hidden="false" customHeight="false" outlineLevel="0" collapsed="false">
      <c r="A1661" s="50"/>
      <c r="B1661" s="51" t="str">
        <f aca="false">IF(A1661="","",MONTH(A1661))</f>
        <v/>
      </c>
      <c r="C1661" s="52"/>
      <c r="D1661" s="52"/>
      <c r="E1661" s="52"/>
      <c r="F1661" s="52"/>
      <c r="G1661" s="55" t="str">
        <f aca="false">IF(C1661="","",IFERROR(INDEX('DANH MỤC'!$B$5:$B$200,MATCH(C1661,'DANH MỤC'!$A$5:$A$200,0)),"⚠ Mã chưa có trong DANH MỤC"))</f>
        <v/>
      </c>
      <c r="H1661" s="52"/>
      <c r="I1661" s="52"/>
    </row>
    <row r="1662" customFormat="false" ht="15" hidden="false" customHeight="false" outlineLevel="0" collapsed="false">
      <c r="A1662" s="50"/>
      <c r="B1662" s="51" t="str">
        <f aca="false">IF(A1662="","",MONTH(A1662))</f>
        <v/>
      </c>
      <c r="C1662" s="52"/>
      <c r="D1662" s="52"/>
      <c r="E1662" s="52"/>
      <c r="F1662" s="52"/>
      <c r="G1662" s="55" t="str">
        <f aca="false">IF(C1662="","",IFERROR(INDEX('DANH MỤC'!$B$5:$B$200,MATCH(C1662,'DANH MỤC'!$A$5:$A$200,0)),"⚠ Mã chưa có trong DANH MỤC"))</f>
        <v/>
      </c>
      <c r="H1662" s="52"/>
      <c r="I1662" s="52"/>
    </row>
    <row r="1663" customFormat="false" ht="15" hidden="false" customHeight="false" outlineLevel="0" collapsed="false">
      <c r="A1663" s="50"/>
      <c r="B1663" s="51" t="str">
        <f aca="false">IF(A1663="","",MONTH(A1663))</f>
        <v/>
      </c>
      <c r="C1663" s="52"/>
      <c r="D1663" s="52"/>
      <c r="E1663" s="52"/>
      <c r="F1663" s="52"/>
      <c r="G1663" s="55" t="str">
        <f aca="false">IF(C1663="","",IFERROR(INDEX('DANH MỤC'!$B$5:$B$200,MATCH(C1663,'DANH MỤC'!$A$5:$A$200,0)),"⚠ Mã chưa có trong DANH MỤC"))</f>
        <v/>
      </c>
      <c r="H1663" s="52"/>
      <c r="I1663" s="52"/>
    </row>
    <row r="1664" customFormat="false" ht="15" hidden="false" customHeight="false" outlineLevel="0" collapsed="false">
      <c r="A1664" s="50"/>
      <c r="B1664" s="51" t="str">
        <f aca="false">IF(A1664="","",MONTH(A1664))</f>
        <v/>
      </c>
      <c r="C1664" s="52"/>
      <c r="D1664" s="52"/>
      <c r="E1664" s="52"/>
      <c r="F1664" s="52"/>
      <c r="G1664" s="55" t="str">
        <f aca="false">IF(C1664="","",IFERROR(INDEX('DANH MỤC'!$B$5:$B$200,MATCH(C1664,'DANH MỤC'!$A$5:$A$200,0)),"⚠ Mã chưa có trong DANH MỤC"))</f>
        <v/>
      </c>
      <c r="H1664" s="52"/>
      <c r="I1664" s="52"/>
    </row>
    <row r="1665" customFormat="false" ht="15" hidden="false" customHeight="false" outlineLevel="0" collapsed="false">
      <c r="A1665" s="50"/>
      <c r="B1665" s="51" t="str">
        <f aca="false">IF(A1665="","",MONTH(A1665))</f>
        <v/>
      </c>
      <c r="C1665" s="52"/>
      <c r="D1665" s="52"/>
      <c r="E1665" s="52"/>
      <c r="F1665" s="52"/>
      <c r="G1665" s="55" t="str">
        <f aca="false">IF(C1665="","",IFERROR(INDEX('DANH MỤC'!$B$5:$B$200,MATCH(C1665,'DANH MỤC'!$A$5:$A$200,0)),"⚠ Mã chưa có trong DANH MỤC"))</f>
        <v/>
      </c>
      <c r="H1665" s="52"/>
      <c r="I1665" s="52"/>
    </row>
    <row r="1666" customFormat="false" ht="15" hidden="false" customHeight="false" outlineLevel="0" collapsed="false">
      <c r="A1666" s="50"/>
      <c r="B1666" s="51" t="str">
        <f aca="false">IF(A1666="","",MONTH(A1666))</f>
        <v/>
      </c>
      <c r="C1666" s="52"/>
      <c r="D1666" s="52"/>
      <c r="E1666" s="52"/>
      <c r="F1666" s="52"/>
      <c r="G1666" s="55" t="str">
        <f aca="false">IF(C1666="","",IFERROR(INDEX('DANH MỤC'!$B$5:$B$200,MATCH(C1666,'DANH MỤC'!$A$5:$A$200,0)),"⚠ Mã chưa có trong DANH MỤC"))</f>
        <v/>
      </c>
      <c r="H1666" s="52"/>
      <c r="I1666" s="52"/>
    </row>
    <row r="1667" customFormat="false" ht="15" hidden="false" customHeight="false" outlineLevel="0" collapsed="false">
      <c r="A1667" s="50"/>
      <c r="B1667" s="51" t="str">
        <f aca="false">IF(A1667="","",MONTH(A1667))</f>
        <v/>
      </c>
      <c r="C1667" s="52"/>
      <c r="D1667" s="52"/>
      <c r="E1667" s="52"/>
      <c r="F1667" s="52"/>
      <c r="G1667" s="55" t="str">
        <f aca="false">IF(C1667="","",IFERROR(INDEX('DANH MỤC'!$B$5:$B$200,MATCH(C1667,'DANH MỤC'!$A$5:$A$200,0)),"⚠ Mã chưa có trong DANH MỤC"))</f>
        <v/>
      </c>
      <c r="H1667" s="52"/>
      <c r="I1667" s="52"/>
    </row>
    <row r="1668" customFormat="false" ht="15" hidden="false" customHeight="false" outlineLevel="0" collapsed="false">
      <c r="A1668" s="50"/>
      <c r="B1668" s="51" t="str">
        <f aca="false">IF(A1668="","",MONTH(A1668))</f>
        <v/>
      </c>
      <c r="C1668" s="52"/>
      <c r="D1668" s="52"/>
      <c r="E1668" s="52"/>
      <c r="F1668" s="52"/>
      <c r="G1668" s="55" t="str">
        <f aca="false">IF(C1668="","",IFERROR(INDEX('DANH MỤC'!$B$5:$B$200,MATCH(C1668,'DANH MỤC'!$A$5:$A$200,0)),"⚠ Mã chưa có trong DANH MỤC"))</f>
        <v/>
      </c>
      <c r="H1668" s="52"/>
      <c r="I1668" s="52"/>
    </row>
    <row r="1669" customFormat="false" ht="15" hidden="false" customHeight="false" outlineLevel="0" collapsed="false">
      <c r="A1669" s="50"/>
      <c r="B1669" s="51" t="str">
        <f aca="false">IF(A1669="","",MONTH(A1669))</f>
        <v/>
      </c>
      <c r="C1669" s="52"/>
      <c r="D1669" s="52"/>
      <c r="E1669" s="52"/>
      <c r="F1669" s="52"/>
      <c r="G1669" s="55" t="str">
        <f aca="false">IF(C1669="","",IFERROR(INDEX('DANH MỤC'!$B$5:$B$200,MATCH(C1669,'DANH MỤC'!$A$5:$A$200,0)),"⚠ Mã chưa có trong DANH MỤC"))</f>
        <v/>
      </c>
      <c r="H1669" s="52"/>
      <c r="I1669" s="52"/>
    </row>
    <row r="1670" customFormat="false" ht="15" hidden="false" customHeight="false" outlineLevel="0" collapsed="false">
      <c r="A1670" s="50"/>
      <c r="B1670" s="51" t="str">
        <f aca="false">IF(A1670="","",MONTH(A1670))</f>
        <v/>
      </c>
      <c r="C1670" s="52"/>
      <c r="D1670" s="52"/>
      <c r="E1670" s="52"/>
      <c r="F1670" s="52"/>
      <c r="G1670" s="55" t="str">
        <f aca="false">IF(C1670="","",IFERROR(INDEX('DANH MỤC'!$B$5:$B$200,MATCH(C1670,'DANH MỤC'!$A$5:$A$200,0)),"⚠ Mã chưa có trong DANH MỤC"))</f>
        <v/>
      </c>
      <c r="H1670" s="52"/>
      <c r="I1670" s="52"/>
    </row>
    <row r="1671" customFormat="false" ht="15" hidden="false" customHeight="false" outlineLevel="0" collapsed="false">
      <c r="A1671" s="50"/>
      <c r="B1671" s="51" t="str">
        <f aca="false">IF(A1671="","",MONTH(A1671))</f>
        <v/>
      </c>
      <c r="C1671" s="52"/>
      <c r="D1671" s="52"/>
      <c r="E1671" s="52"/>
      <c r="F1671" s="52"/>
      <c r="G1671" s="55" t="str">
        <f aca="false">IF(C1671="","",IFERROR(INDEX('DANH MỤC'!$B$5:$B$200,MATCH(C1671,'DANH MỤC'!$A$5:$A$200,0)),"⚠ Mã chưa có trong DANH MỤC"))</f>
        <v/>
      </c>
      <c r="H1671" s="52"/>
      <c r="I1671" s="52"/>
    </row>
    <row r="1672" customFormat="false" ht="15" hidden="false" customHeight="false" outlineLevel="0" collapsed="false">
      <c r="A1672" s="50"/>
      <c r="B1672" s="51" t="str">
        <f aca="false">IF(A1672="","",MONTH(A1672))</f>
        <v/>
      </c>
      <c r="C1672" s="52"/>
      <c r="D1672" s="52"/>
      <c r="E1672" s="52"/>
      <c r="F1672" s="52"/>
      <c r="G1672" s="55" t="str">
        <f aca="false">IF(C1672="","",IFERROR(INDEX('DANH MỤC'!$B$5:$B$200,MATCH(C1672,'DANH MỤC'!$A$5:$A$200,0)),"⚠ Mã chưa có trong DANH MỤC"))</f>
        <v/>
      </c>
      <c r="H1672" s="52"/>
      <c r="I1672" s="52"/>
    </row>
    <row r="1673" customFormat="false" ht="15" hidden="false" customHeight="false" outlineLevel="0" collapsed="false">
      <c r="A1673" s="50"/>
      <c r="B1673" s="51" t="str">
        <f aca="false">IF(A1673="","",MONTH(A1673))</f>
        <v/>
      </c>
      <c r="C1673" s="52"/>
      <c r="D1673" s="52"/>
      <c r="E1673" s="52"/>
      <c r="F1673" s="52"/>
      <c r="G1673" s="55" t="str">
        <f aca="false">IF(C1673="","",IFERROR(INDEX('DANH MỤC'!$B$5:$B$200,MATCH(C1673,'DANH MỤC'!$A$5:$A$200,0)),"⚠ Mã chưa có trong DANH MỤC"))</f>
        <v/>
      </c>
      <c r="H1673" s="52"/>
      <c r="I1673" s="52"/>
    </row>
    <row r="1674" customFormat="false" ht="15" hidden="false" customHeight="false" outlineLevel="0" collapsed="false">
      <c r="A1674" s="50"/>
      <c r="B1674" s="51" t="str">
        <f aca="false">IF(A1674="","",MONTH(A1674))</f>
        <v/>
      </c>
      <c r="C1674" s="52"/>
      <c r="D1674" s="52"/>
      <c r="E1674" s="52"/>
      <c r="F1674" s="52"/>
      <c r="G1674" s="55" t="str">
        <f aca="false">IF(C1674="","",IFERROR(INDEX('DANH MỤC'!$B$5:$B$200,MATCH(C1674,'DANH MỤC'!$A$5:$A$200,0)),"⚠ Mã chưa có trong DANH MỤC"))</f>
        <v/>
      </c>
      <c r="H1674" s="52"/>
      <c r="I1674" s="52"/>
    </row>
    <row r="1675" customFormat="false" ht="15" hidden="false" customHeight="false" outlineLevel="0" collapsed="false">
      <c r="A1675" s="50"/>
      <c r="B1675" s="51" t="str">
        <f aca="false">IF(A1675="","",MONTH(A1675))</f>
        <v/>
      </c>
      <c r="C1675" s="52"/>
      <c r="D1675" s="52"/>
      <c r="E1675" s="52"/>
      <c r="F1675" s="52"/>
      <c r="G1675" s="55" t="str">
        <f aca="false">IF(C1675="","",IFERROR(INDEX('DANH MỤC'!$B$5:$B$200,MATCH(C1675,'DANH MỤC'!$A$5:$A$200,0)),"⚠ Mã chưa có trong DANH MỤC"))</f>
        <v/>
      </c>
      <c r="H1675" s="52"/>
      <c r="I1675" s="52"/>
    </row>
    <row r="1676" customFormat="false" ht="15" hidden="false" customHeight="false" outlineLevel="0" collapsed="false">
      <c r="A1676" s="50"/>
      <c r="B1676" s="51" t="str">
        <f aca="false">IF(A1676="","",MONTH(A1676))</f>
        <v/>
      </c>
      <c r="C1676" s="52"/>
      <c r="D1676" s="52"/>
      <c r="E1676" s="52"/>
      <c r="F1676" s="52"/>
      <c r="G1676" s="55" t="str">
        <f aca="false">IF(C1676="","",IFERROR(INDEX('DANH MỤC'!$B$5:$B$200,MATCH(C1676,'DANH MỤC'!$A$5:$A$200,0)),"⚠ Mã chưa có trong DANH MỤC"))</f>
        <v/>
      </c>
      <c r="H1676" s="52"/>
      <c r="I1676" s="52"/>
    </row>
    <row r="1677" customFormat="false" ht="15" hidden="false" customHeight="false" outlineLevel="0" collapsed="false">
      <c r="A1677" s="50"/>
      <c r="B1677" s="51" t="str">
        <f aca="false">IF(A1677="","",MONTH(A1677))</f>
        <v/>
      </c>
      <c r="C1677" s="52"/>
      <c r="D1677" s="52"/>
      <c r="E1677" s="52"/>
      <c r="F1677" s="52"/>
      <c r="G1677" s="55" t="str">
        <f aca="false">IF(C1677="","",IFERROR(INDEX('DANH MỤC'!$B$5:$B$200,MATCH(C1677,'DANH MỤC'!$A$5:$A$200,0)),"⚠ Mã chưa có trong DANH MỤC"))</f>
        <v/>
      </c>
      <c r="H1677" s="52"/>
      <c r="I1677" s="52"/>
    </row>
    <row r="1678" customFormat="false" ht="15" hidden="false" customHeight="false" outlineLevel="0" collapsed="false">
      <c r="A1678" s="50"/>
      <c r="B1678" s="51" t="str">
        <f aca="false">IF(A1678="","",MONTH(A1678))</f>
        <v/>
      </c>
      <c r="C1678" s="52"/>
      <c r="D1678" s="52"/>
      <c r="E1678" s="52"/>
      <c r="F1678" s="52"/>
      <c r="G1678" s="55" t="str">
        <f aca="false">IF(C1678="","",IFERROR(INDEX('DANH MỤC'!$B$5:$B$200,MATCH(C1678,'DANH MỤC'!$A$5:$A$200,0)),"⚠ Mã chưa có trong DANH MỤC"))</f>
        <v/>
      </c>
      <c r="H1678" s="52"/>
      <c r="I1678" s="52"/>
    </row>
    <row r="1679" customFormat="false" ht="15" hidden="false" customHeight="false" outlineLevel="0" collapsed="false">
      <c r="A1679" s="50"/>
      <c r="B1679" s="51" t="str">
        <f aca="false">IF(A1679="","",MONTH(A1679))</f>
        <v/>
      </c>
      <c r="C1679" s="52"/>
      <c r="D1679" s="52"/>
      <c r="E1679" s="52"/>
      <c r="F1679" s="52"/>
      <c r="G1679" s="55" t="str">
        <f aca="false">IF(C1679="","",IFERROR(INDEX('DANH MỤC'!$B$5:$B$200,MATCH(C1679,'DANH MỤC'!$A$5:$A$200,0)),"⚠ Mã chưa có trong DANH MỤC"))</f>
        <v/>
      </c>
      <c r="H1679" s="52"/>
      <c r="I1679" s="52"/>
    </row>
    <row r="1680" customFormat="false" ht="15" hidden="false" customHeight="false" outlineLevel="0" collapsed="false">
      <c r="A1680" s="50"/>
      <c r="B1680" s="51" t="str">
        <f aca="false">IF(A1680="","",MONTH(A1680))</f>
        <v/>
      </c>
      <c r="C1680" s="52"/>
      <c r="D1680" s="52"/>
      <c r="E1680" s="52"/>
      <c r="F1680" s="52"/>
      <c r="G1680" s="55" t="str">
        <f aca="false">IF(C1680="","",IFERROR(INDEX('DANH MỤC'!$B$5:$B$200,MATCH(C1680,'DANH MỤC'!$A$5:$A$200,0)),"⚠ Mã chưa có trong DANH MỤC"))</f>
        <v/>
      </c>
      <c r="H1680" s="52"/>
      <c r="I1680" s="52"/>
    </row>
    <row r="1681" customFormat="false" ht="15" hidden="false" customHeight="false" outlineLevel="0" collapsed="false">
      <c r="A1681" s="50"/>
      <c r="B1681" s="51" t="str">
        <f aca="false">IF(A1681="","",MONTH(A1681))</f>
        <v/>
      </c>
      <c r="C1681" s="52"/>
      <c r="D1681" s="52"/>
      <c r="E1681" s="52"/>
      <c r="F1681" s="52"/>
      <c r="G1681" s="55" t="str">
        <f aca="false">IF(C1681="","",IFERROR(INDEX('DANH MỤC'!$B$5:$B$200,MATCH(C1681,'DANH MỤC'!$A$5:$A$200,0)),"⚠ Mã chưa có trong DANH MỤC"))</f>
        <v/>
      </c>
      <c r="H1681" s="52"/>
      <c r="I1681" s="52"/>
    </row>
    <row r="1682" customFormat="false" ht="15" hidden="false" customHeight="false" outlineLevel="0" collapsed="false">
      <c r="A1682" s="50"/>
      <c r="B1682" s="51" t="str">
        <f aca="false">IF(A1682="","",MONTH(A1682))</f>
        <v/>
      </c>
      <c r="C1682" s="52"/>
      <c r="D1682" s="52"/>
      <c r="E1682" s="52"/>
      <c r="F1682" s="52"/>
      <c r="G1682" s="55" t="str">
        <f aca="false">IF(C1682="","",IFERROR(INDEX('DANH MỤC'!$B$5:$B$200,MATCH(C1682,'DANH MỤC'!$A$5:$A$200,0)),"⚠ Mã chưa có trong DANH MỤC"))</f>
        <v/>
      </c>
      <c r="H1682" s="52"/>
      <c r="I1682" s="52"/>
    </row>
    <row r="1683" customFormat="false" ht="15" hidden="false" customHeight="false" outlineLevel="0" collapsed="false">
      <c r="A1683" s="50"/>
      <c r="B1683" s="51" t="str">
        <f aca="false">IF(A1683="","",MONTH(A1683))</f>
        <v/>
      </c>
      <c r="C1683" s="52"/>
      <c r="D1683" s="52"/>
      <c r="E1683" s="52"/>
      <c r="F1683" s="52"/>
      <c r="G1683" s="55" t="str">
        <f aca="false">IF(C1683="","",IFERROR(INDEX('DANH MỤC'!$B$5:$B$200,MATCH(C1683,'DANH MỤC'!$A$5:$A$200,0)),"⚠ Mã chưa có trong DANH MỤC"))</f>
        <v/>
      </c>
      <c r="H1683" s="52"/>
      <c r="I1683" s="52"/>
    </row>
    <row r="1684" customFormat="false" ht="15" hidden="false" customHeight="false" outlineLevel="0" collapsed="false">
      <c r="A1684" s="50"/>
      <c r="B1684" s="51" t="str">
        <f aca="false">IF(A1684="","",MONTH(A1684))</f>
        <v/>
      </c>
      <c r="C1684" s="52"/>
      <c r="D1684" s="52"/>
      <c r="E1684" s="52"/>
      <c r="F1684" s="52"/>
      <c r="G1684" s="55" t="str">
        <f aca="false">IF(C1684="","",IFERROR(INDEX('DANH MỤC'!$B$5:$B$200,MATCH(C1684,'DANH MỤC'!$A$5:$A$200,0)),"⚠ Mã chưa có trong DANH MỤC"))</f>
        <v/>
      </c>
      <c r="H1684" s="52"/>
      <c r="I1684" s="52"/>
    </row>
    <row r="1685" customFormat="false" ht="15" hidden="false" customHeight="false" outlineLevel="0" collapsed="false">
      <c r="A1685" s="50"/>
      <c r="B1685" s="51" t="str">
        <f aca="false">IF(A1685="","",MONTH(A1685))</f>
        <v/>
      </c>
      <c r="C1685" s="52"/>
      <c r="D1685" s="52"/>
      <c r="E1685" s="52"/>
      <c r="F1685" s="52"/>
      <c r="G1685" s="55" t="str">
        <f aca="false">IF(C1685="","",IFERROR(INDEX('DANH MỤC'!$B$5:$B$200,MATCH(C1685,'DANH MỤC'!$A$5:$A$200,0)),"⚠ Mã chưa có trong DANH MỤC"))</f>
        <v/>
      </c>
      <c r="H1685" s="52"/>
      <c r="I1685" s="52"/>
    </row>
    <row r="1686" customFormat="false" ht="15" hidden="false" customHeight="false" outlineLevel="0" collapsed="false">
      <c r="A1686" s="50"/>
      <c r="B1686" s="51" t="str">
        <f aca="false">IF(A1686="","",MONTH(A1686))</f>
        <v/>
      </c>
      <c r="C1686" s="52"/>
      <c r="D1686" s="52"/>
      <c r="E1686" s="52"/>
      <c r="F1686" s="52"/>
      <c r="G1686" s="55" t="str">
        <f aca="false">IF(C1686="","",IFERROR(INDEX('DANH MỤC'!$B$5:$B$200,MATCH(C1686,'DANH MỤC'!$A$5:$A$200,0)),"⚠ Mã chưa có trong DANH MỤC"))</f>
        <v/>
      </c>
      <c r="H1686" s="52"/>
      <c r="I1686" s="52"/>
    </row>
    <row r="1687" customFormat="false" ht="15" hidden="false" customHeight="false" outlineLevel="0" collapsed="false">
      <c r="A1687" s="50"/>
      <c r="B1687" s="51" t="str">
        <f aca="false">IF(A1687="","",MONTH(A1687))</f>
        <v/>
      </c>
      <c r="C1687" s="52"/>
      <c r="D1687" s="52"/>
      <c r="E1687" s="52"/>
      <c r="F1687" s="52"/>
      <c r="G1687" s="55" t="str">
        <f aca="false">IF(C1687="","",IFERROR(INDEX('DANH MỤC'!$B$5:$B$200,MATCH(C1687,'DANH MỤC'!$A$5:$A$200,0)),"⚠ Mã chưa có trong DANH MỤC"))</f>
        <v/>
      </c>
      <c r="H1687" s="52"/>
      <c r="I1687" s="52"/>
    </row>
    <row r="1688" customFormat="false" ht="15" hidden="false" customHeight="false" outlineLevel="0" collapsed="false">
      <c r="A1688" s="50"/>
      <c r="B1688" s="51" t="str">
        <f aca="false">IF(A1688="","",MONTH(A1688))</f>
        <v/>
      </c>
      <c r="C1688" s="52"/>
      <c r="D1688" s="52"/>
      <c r="E1688" s="52"/>
      <c r="F1688" s="52"/>
      <c r="G1688" s="55" t="str">
        <f aca="false">IF(C1688="","",IFERROR(INDEX('DANH MỤC'!$B$5:$B$200,MATCH(C1688,'DANH MỤC'!$A$5:$A$200,0)),"⚠ Mã chưa có trong DANH MỤC"))</f>
        <v/>
      </c>
      <c r="H1688" s="52"/>
      <c r="I1688" s="52"/>
    </row>
    <row r="1689" customFormat="false" ht="15" hidden="false" customHeight="false" outlineLevel="0" collapsed="false">
      <c r="A1689" s="50"/>
      <c r="B1689" s="51" t="str">
        <f aca="false">IF(A1689="","",MONTH(A1689))</f>
        <v/>
      </c>
      <c r="C1689" s="52"/>
      <c r="D1689" s="52"/>
      <c r="E1689" s="52"/>
      <c r="F1689" s="52"/>
      <c r="G1689" s="55" t="str">
        <f aca="false">IF(C1689="","",IFERROR(INDEX('DANH MỤC'!$B$5:$B$200,MATCH(C1689,'DANH MỤC'!$A$5:$A$200,0)),"⚠ Mã chưa có trong DANH MỤC"))</f>
        <v/>
      </c>
      <c r="H1689" s="52"/>
      <c r="I1689" s="52"/>
    </row>
    <row r="1690" customFormat="false" ht="15" hidden="false" customHeight="false" outlineLevel="0" collapsed="false">
      <c r="A1690" s="50"/>
      <c r="B1690" s="51" t="str">
        <f aca="false">IF(A1690="","",MONTH(A1690))</f>
        <v/>
      </c>
      <c r="C1690" s="52"/>
      <c r="D1690" s="52"/>
      <c r="E1690" s="52"/>
      <c r="F1690" s="52"/>
      <c r="G1690" s="55" t="str">
        <f aca="false">IF(C1690="","",IFERROR(INDEX('DANH MỤC'!$B$5:$B$200,MATCH(C1690,'DANH MỤC'!$A$5:$A$200,0)),"⚠ Mã chưa có trong DANH MỤC"))</f>
        <v/>
      </c>
      <c r="H1690" s="52"/>
      <c r="I1690" s="52"/>
    </row>
    <row r="1691" customFormat="false" ht="15" hidden="false" customHeight="false" outlineLevel="0" collapsed="false">
      <c r="A1691" s="50"/>
      <c r="B1691" s="51" t="str">
        <f aca="false">IF(A1691="","",MONTH(A1691))</f>
        <v/>
      </c>
      <c r="C1691" s="52"/>
      <c r="D1691" s="52"/>
      <c r="E1691" s="52"/>
      <c r="F1691" s="52"/>
      <c r="G1691" s="55" t="str">
        <f aca="false">IF(C1691="","",IFERROR(INDEX('DANH MỤC'!$B$5:$B$200,MATCH(C1691,'DANH MỤC'!$A$5:$A$200,0)),"⚠ Mã chưa có trong DANH MỤC"))</f>
        <v/>
      </c>
      <c r="H1691" s="52"/>
      <c r="I1691" s="52"/>
    </row>
    <row r="1692" customFormat="false" ht="15" hidden="false" customHeight="false" outlineLevel="0" collapsed="false">
      <c r="A1692" s="50"/>
      <c r="B1692" s="51" t="str">
        <f aca="false">IF(A1692="","",MONTH(A1692))</f>
        <v/>
      </c>
      <c r="C1692" s="52"/>
      <c r="D1692" s="52"/>
      <c r="E1692" s="52"/>
      <c r="F1692" s="52"/>
      <c r="G1692" s="55" t="str">
        <f aca="false">IF(C1692="","",IFERROR(INDEX('DANH MỤC'!$B$5:$B$200,MATCH(C1692,'DANH MỤC'!$A$5:$A$200,0)),"⚠ Mã chưa có trong DANH MỤC"))</f>
        <v/>
      </c>
      <c r="H1692" s="52"/>
      <c r="I1692" s="52"/>
    </row>
    <row r="1693" customFormat="false" ht="15" hidden="false" customHeight="false" outlineLevel="0" collapsed="false">
      <c r="A1693" s="50"/>
      <c r="B1693" s="51" t="str">
        <f aca="false">IF(A1693="","",MONTH(A1693))</f>
        <v/>
      </c>
      <c r="C1693" s="52"/>
      <c r="D1693" s="52"/>
      <c r="E1693" s="52"/>
      <c r="F1693" s="52"/>
      <c r="G1693" s="55" t="str">
        <f aca="false">IF(C1693="","",IFERROR(INDEX('DANH MỤC'!$B$5:$B$200,MATCH(C1693,'DANH MỤC'!$A$5:$A$200,0)),"⚠ Mã chưa có trong DANH MỤC"))</f>
        <v/>
      </c>
      <c r="H1693" s="52"/>
      <c r="I1693" s="52"/>
    </row>
    <row r="1694" customFormat="false" ht="15" hidden="false" customHeight="false" outlineLevel="0" collapsed="false">
      <c r="A1694" s="50"/>
      <c r="B1694" s="51" t="str">
        <f aca="false">IF(A1694="","",MONTH(A1694))</f>
        <v/>
      </c>
      <c r="C1694" s="52"/>
      <c r="D1694" s="52"/>
      <c r="E1694" s="52"/>
      <c r="F1694" s="52"/>
      <c r="G1694" s="55" t="str">
        <f aca="false">IF(C1694="","",IFERROR(INDEX('DANH MỤC'!$B$5:$B$200,MATCH(C1694,'DANH MỤC'!$A$5:$A$200,0)),"⚠ Mã chưa có trong DANH MỤC"))</f>
        <v/>
      </c>
      <c r="H1694" s="52"/>
      <c r="I1694" s="52"/>
    </row>
    <row r="1695" customFormat="false" ht="15" hidden="false" customHeight="false" outlineLevel="0" collapsed="false">
      <c r="A1695" s="50"/>
      <c r="B1695" s="51" t="str">
        <f aca="false">IF(A1695="","",MONTH(A1695))</f>
        <v/>
      </c>
      <c r="C1695" s="52"/>
      <c r="D1695" s="52"/>
      <c r="E1695" s="52"/>
      <c r="F1695" s="52"/>
      <c r="G1695" s="55" t="str">
        <f aca="false">IF(C1695="","",IFERROR(INDEX('DANH MỤC'!$B$5:$B$200,MATCH(C1695,'DANH MỤC'!$A$5:$A$200,0)),"⚠ Mã chưa có trong DANH MỤC"))</f>
        <v/>
      </c>
      <c r="H1695" s="52"/>
      <c r="I1695" s="52"/>
    </row>
    <row r="1696" customFormat="false" ht="15" hidden="false" customHeight="false" outlineLevel="0" collapsed="false">
      <c r="A1696" s="50"/>
      <c r="B1696" s="51" t="str">
        <f aca="false">IF(A1696="","",MONTH(A1696))</f>
        <v/>
      </c>
      <c r="C1696" s="52"/>
      <c r="D1696" s="52"/>
      <c r="E1696" s="52"/>
      <c r="F1696" s="52"/>
      <c r="G1696" s="55" t="str">
        <f aca="false">IF(C1696="","",IFERROR(INDEX('DANH MỤC'!$B$5:$B$200,MATCH(C1696,'DANH MỤC'!$A$5:$A$200,0)),"⚠ Mã chưa có trong DANH MỤC"))</f>
        <v/>
      </c>
      <c r="H1696" s="52"/>
      <c r="I1696" s="52"/>
    </row>
    <row r="1697" customFormat="false" ht="15" hidden="false" customHeight="false" outlineLevel="0" collapsed="false">
      <c r="A1697" s="50"/>
      <c r="B1697" s="51" t="str">
        <f aca="false">IF(A1697="","",MONTH(A1697))</f>
        <v/>
      </c>
      <c r="C1697" s="52"/>
      <c r="D1697" s="52"/>
      <c r="E1697" s="52"/>
      <c r="F1697" s="52"/>
      <c r="G1697" s="55" t="str">
        <f aca="false">IF(C1697="","",IFERROR(INDEX('DANH MỤC'!$B$5:$B$200,MATCH(C1697,'DANH MỤC'!$A$5:$A$200,0)),"⚠ Mã chưa có trong DANH MỤC"))</f>
        <v/>
      </c>
      <c r="H1697" s="52"/>
      <c r="I1697" s="52"/>
    </row>
    <row r="1698" customFormat="false" ht="15" hidden="false" customHeight="false" outlineLevel="0" collapsed="false">
      <c r="A1698" s="50"/>
      <c r="B1698" s="51" t="str">
        <f aca="false">IF(A1698="","",MONTH(A1698))</f>
        <v/>
      </c>
      <c r="C1698" s="52"/>
      <c r="D1698" s="52"/>
      <c r="E1698" s="52"/>
      <c r="F1698" s="52"/>
      <c r="G1698" s="55" t="str">
        <f aca="false">IF(C1698="","",IFERROR(INDEX('DANH MỤC'!$B$5:$B$200,MATCH(C1698,'DANH MỤC'!$A$5:$A$200,0)),"⚠ Mã chưa có trong DANH MỤC"))</f>
        <v/>
      </c>
      <c r="H1698" s="52"/>
      <c r="I1698" s="52"/>
    </row>
    <row r="1699" customFormat="false" ht="15" hidden="false" customHeight="false" outlineLevel="0" collapsed="false">
      <c r="A1699" s="50"/>
      <c r="B1699" s="51" t="str">
        <f aca="false">IF(A1699="","",MONTH(A1699))</f>
        <v/>
      </c>
      <c r="C1699" s="52"/>
      <c r="D1699" s="52"/>
      <c r="E1699" s="52"/>
      <c r="F1699" s="52"/>
      <c r="G1699" s="55" t="str">
        <f aca="false">IF(C1699="","",IFERROR(INDEX('DANH MỤC'!$B$5:$B$200,MATCH(C1699,'DANH MỤC'!$A$5:$A$200,0)),"⚠ Mã chưa có trong DANH MỤC"))</f>
        <v/>
      </c>
      <c r="H1699" s="52"/>
      <c r="I1699" s="52"/>
    </row>
    <row r="1700" customFormat="false" ht="15" hidden="false" customHeight="false" outlineLevel="0" collapsed="false">
      <c r="A1700" s="50"/>
      <c r="B1700" s="51" t="str">
        <f aca="false">IF(A1700="","",MONTH(A1700))</f>
        <v/>
      </c>
      <c r="C1700" s="52"/>
      <c r="D1700" s="52"/>
      <c r="E1700" s="52"/>
      <c r="F1700" s="52"/>
      <c r="G1700" s="55" t="str">
        <f aca="false">IF(C1700="","",IFERROR(INDEX('DANH MỤC'!$B$5:$B$200,MATCH(C1700,'DANH MỤC'!$A$5:$A$200,0)),"⚠ Mã chưa có trong DANH MỤC"))</f>
        <v/>
      </c>
      <c r="H1700" s="52"/>
      <c r="I1700" s="52"/>
    </row>
    <row r="1701" customFormat="false" ht="15" hidden="false" customHeight="false" outlineLevel="0" collapsed="false">
      <c r="A1701" s="50"/>
      <c r="B1701" s="51" t="str">
        <f aca="false">IF(A1701="","",MONTH(A1701))</f>
        <v/>
      </c>
      <c r="C1701" s="52"/>
      <c r="D1701" s="52"/>
      <c r="E1701" s="52"/>
      <c r="F1701" s="52"/>
      <c r="G1701" s="55" t="str">
        <f aca="false">IF(C1701="","",IFERROR(INDEX('DANH MỤC'!$B$5:$B$200,MATCH(C1701,'DANH MỤC'!$A$5:$A$200,0)),"⚠ Mã chưa có trong DANH MỤC"))</f>
        <v/>
      </c>
      <c r="H1701" s="52"/>
      <c r="I1701" s="52"/>
    </row>
    <row r="1702" customFormat="false" ht="15" hidden="false" customHeight="false" outlineLevel="0" collapsed="false">
      <c r="A1702" s="50"/>
      <c r="B1702" s="51" t="str">
        <f aca="false">IF(A1702="","",MONTH(A1702))</f>
        <v/>
      </c>
      <c r="C1702" s="52"/>
      <c r="D1702" s="52"/>
      <c r="E1702" s="52"/>
      <c r="F1702" s="52"/>
      <c r="G1702" s="55" t="str">
        <f aca="false">IF(C1702="","",IFERROR(INDEX('DANH MỤC'!$B$5:$B$200,MATCH(C1702,'DANH MỤC'!$A$5:$A$200,0)),"⚠ Mã chưa có trong DANH MỤC"))</f>
        <v/>
      </c>
      <c r="H1702" s="52"/>
      <c r="I1702" s="52"/>
    </row>
    <row r="1703" customFormat="false" ht="15" hidden="false" customHeight="false" outlineLevel="0" collapsed="false">
      <c r="A1703" s="50"/>
      <c r="B1703" s="51" t="str">
        <f aca="false">IF(A1703="","",MONTH(A1703))</f>
        <v/>
      </c>
      <c r="C1703" s="52"/>
      <c r="D1703" s="52"/>
      <c r="E1703" s="52"/>
      <c r="F1703" s="52"/>
      <c r="G1703" s="55" t="str">
        <f aca="false">IF(C1703="","",IFERROR(INDEX('DANH MỤC'!$B$5:$B$200,MATCH(C1703,'DANH MỤC'!$A$5:$A$200,0)),"⚠ Mã chưa có trong DANH MỤC"))</f>
        <v/>
      </c>
      <c r="H1703" s="52"/>
      <c r="I1703" s="52"/>
    </row>
    <row r="1704" customFormat="false" ht="15" hidden="false" customHeight="false" outlineLevel="0" collapsed="false">
      <c r="A1704" s="50"/>
      <c r="B1704" s="51" t="str">
        <f aca="false">IF(A1704="","",MONTH(A1704))</f>
        <v/>
      </c>
      <c r="C1704" s="52"/>
      <c r="D1704" s="52"/>
      <c r="E1704" s="52"/>
      <c r="F1704" s="52"/>
      <c r="G1704" s="55" t="str">
        <f aca="false">IF(C1704="","",IFERROR(INDEX('DANH MỤC'!$B$5:$B$200,MATCH(C1704,'DANH MỤC'!$A$5:$A$200,0)),"⚠ Mã chưa có trong DANH MỤC"))</f>
        <v/>
      </c>
      <c r="H1704" s="52"/>
      <c r="I1704" s="52"/>
    </row>
    <row r="1705" customFormat="false" ht="15" hidden="false" customHeight="false" outlineLevel="0" collapsed="false">
      <c r="A1705" s="50"/>
      <c r="B1705" s="51" t="str">
        <f aca="false">IF(A1705="","",MONTH(A1705))</f>
        <v/>
      </c>
      <c r="C1705" s="52"/>
      <c r="D1705" s="52"/>
      <c r="E1705" s="52"/>
      <c r="F1705" s="52"/>
      <c r="G1705" s="55" t="str">
        <f aca="false">IF(C1705="","",IFERROR(INDEX('DANH MỤC'!$B$5:$B$200,MATCH(C1705,'DANH MỤC'!$A$5:$A$200,0)),"⚠ Mã chưa có trong DANH MỤC"))</f>
        <v/>
      </c>
      <c r="H1705" s="52"/>
      <c r="I1705" s="52"/>
    </row>
    <row r="1706" customFormat="false" ht="15" hidden="false" customHeight="false" outlineLevel="0" collapsed="false">
      <c r="A1706" s="50"/>
      <c r="B1706" s="51" t="str">
        <f aca="false">IF(A1706="","",MONTH(A1706))</f>
        <v/>
      </c>
      <c r="C1706" s="52"/>
      <c r="D1706" s="52"/>
      <c r="E1706" s="52"/>
      <c r="F1706" s="52"/>
      <c r="G1706" s="55" t="str">
        <f aca="false">IF(C1706="","",IFERROR(INDEX('DANH MỤC'!$B$5:$B$200,MATCH(C1706,'DANH MỤC'!$A$5:$A$200,0)),"⚠ Mã chưa có trong DANH MỤC"))</f>
        <v/>
      </c>
      <c r="H1706" s="52"/>
      <c r="I1706" s="52"/>
    </row>
    <row r="1707" customFormat="false" ht="15" hidden="false" customHeight="false" outlineLevel="0" collapsed="false">
      <c r="A1707" s="50"/>
      <c r="B1707" s="51" t="str">
        <f aca="false">IF(A1707="","",MONTH(A1707))</f>
        <v/>
      </c>
      <c r="C1707" s="52"/>
      <c r="D1707" s="52"/>
      <c r="E1707" s="52"/>
      <c r="F1707" s="52"/>
      <c r="G1707" s="55" t="str">
        <f aca="false">IF(C1707="","",IFERROR(INDEX('DANH MỤC'!$B$5:$B$200,MATCH(C1707,'DANH MỤC'!$A$5:$A$200,0)),"⚠ Mã chưa có trong DANH MỤC"))</f>
        <v/>
      </c>
      <c r="H1707" s="52"/>
      <c r="I1707" s="52"/>
    </row>
    <row r="1708" customFormat="false" ht="15" hidden="false" customHeight="false" outlineLevel="0" collapsed="false">
      <c r="A1708" s="50"/>
      <c r="B1708" s="51" t="str">
        <f aca="false">IF(A1708="","",MONTH(A1708))</f>
        <v/>
      </c>
      <c r="C1708" s="52"/>
      <c r="D1708" s="52"/>
      <c r="E1708" s="52"/>
      <c r="F1708" s="52"/>
      <c r="G1708" s="55" t="str">
        <f aca="false">IF(C1708="","",IFERROR(INDEX('DANH MỤC'!$B$5:$B$200,MATCH(C1708,'DANH MỤC'!$A$5:$A$200,0)),"⚠ Mã chưa có trong DANH MỤC"))</f>
        <v/>
      </c>
      <c r="H1708" s="52"/>
      <c r="I1708" s="52"/>
    </row>
    <row r="1709" customFormat="false" ht="15" hidden="false" customHeight="false" outlineLevel="0" collapsed="false">
      <c r="A1709" s="50"/>
      <c r="B1709" s="51" t="str">
        <f aca="false">IF(A1709="","",MONTH(A1709))</f>
        <v/>
      </c>
      <c r="C1709" s="52"/>
      <c r="D1709" s="52"/>
      <c r="E1709" s="52"/>
      <c r="F1709" s="52"/>
      <c r="G1709" s="55" t="str">
        <f aca="false">IF(C1709="","",IFERROR(INDEX('DANH MỤC'!$B$5:$B$200,MATCH(C1709,'DANH MỤC'!$A$5:$A$200,0)),"⚠ Mã chưa có trong DANH MỤC"))</f>
        <v/>
      </c>
      <c r="H1709" s="52"/>
      <c r="I1709" s="52"/>
    </row>
    <row r="1710" customFormat="false" ht="15" hidden="false" customHeight="false" outlineLevel="0" collapsed="false">
      <c r="A1710" s="50"/>
      <c r="B1710" s="51" t="str">
        <f aca="false">IF(A1710="","",MONTH(A1710))</f>
        <v/>
      </c>
      <c r="C1710" s="52"/>
      <c r="D1710" s="52"/>
      <c r="E1710" s="52"/>
      <c r="F1710" s="52"/>
      <c r="G1710" s="55" t="str">
        <f aca="false">IF(C1710="","",IFERROR(INDEX('DANH MỤC'!$B$5:$B$200,MATCH(C1710,'DANH MỤC'!$A$5:$A$200,0)),"⚠ Mã chưa có trong DANH MỤC"))</f>
        <v/>
      </c>
      <c r="H1710" s="52"/>
      <c r="I1710" s="52"/>
    </row>
    <row r="1711" customFormat="false" ht="15" hidden="false" customHeight="false" outlineLevel="0" collapsed="false">
      <c r="A1711" s="50"/>
      <c r="B1711" s="51" t="str">
        <f aca="false">IF(A1711="","",MONTH(A1711))</f>
        <v/>
      </c>
      <c r="C1711" s="52"/>
      <c r="D1711" s="52"/>
      <c r="E1711" s="52"/>
      <c r="F1711" s="52"/>
      <c r="G1711" s="55" t="str">
        <f aca="false">IF(C1711="","",IFERROR(INDEX('DANH MỤC'!$B$5:$B$200,MATCH(C1711,'DANH MỤC'!$A$5:$A$200,0)),"⚠ Mã chưa có trong DANH MỤC"))</f>
        <v/>
      </c>
      <c r="H1711" s="52"/>
      <c r="I1711" s="52"/>
    </row>
    <row r="1712" customFormat="false" ht="15" hidden="false" customHeight="false" outlineLevel="0" collapsed="false">
      <c r="A1712" s="50"/>
      <c r="B1712" s="51" t="str">
        <f aca="false">IF(A1712="","",MONTH(A1712))</f>
        <v/>
      </c>
      <c r="C1712" s="52"/>
      <c r="D1712" s="52"/>
      <c r="E1712" s="52"/>
      <c r="F1712" s="52"/>
      <c r="G1712" s="55" t="str">
        <f aca="false">IF(C1712="","",IFERROR(INDEX('DANH MỤC'!$B$5:$B$200,MATCH(C1712,'DANH MỤC'!$A$5:$A$200,0)),"⚠ Mã chưa có trong DANH MỤC"))</f>
        <v/>
      </c>
      <c r="H1712" s="52"/>
      <c r="I1712" s="52"/>
    </row>
    <row r="1713" customFormat="false" ht="15" hidden="false" customHeight="false" outlineLevel="0" collapsed="false">
      <c r="A1713" s="50"/>
      <c r="B1713" s="51" t="str">
        <f aca="false">IF(A1713="","",MONTH(A1713))</f>
        <v/>
      </c>
      <c r="C1713" s="52"/>
      <c r="D1713" s="52"/>
      <c r="E1713" s="52"/>
      <c r="F1713" s="52"/>
      <c r="G1713" s="55" t="str">
        <f aca="false">IF(C1713="","",IFERROR(INDEX('DANH MỤC'!$B$5:$B$200,MATCH(C1713,'DANH MỤC'!$A$5:$A$200,0)),"⚠ Mã chưa có trong DANH MỤC"))</f>
        <v/>
      </c>
      <c r="H1713" s="52"/>
      <c r="I1713" s="52"/>
    </row>
    <row r="1714" customFormat="false" ht="15" hidden="false" customHeight="false" outlineLevel="0" collapsed="false">
      <c r="A1714" s="50"/>
      <c r="B1714" s="51" t="str">
        <f aca="false">IF(A1714="","",MONTH(A1714))</f>
        <v/>
      </c>
      <c r="C1714" s="52"/>
      <c r="D1714" s="52"/>
      <c r="E1714" s="52"/>
      <c r="F1714" s="52"/>
      <c r="G1714" s="55" t="str">
        <f aca="false">IF(C1714="","",IFERROR(INDEX('DANH MỤC'!$B$5:$B$200,MATCH(C1714,'DANH MỤC'!$A$5:$A$200,0)),"⚠ Mã chưa có trong DANH MỤC"))</f>
        <v/>
      </c>
      <c r="H1714" s="52"/>
      <c r="I1714" s="52"/>
    </row>
    <row r="1715" customFormat="false" ht="15" hidden="false" customHeight="false" outlineLevel="0" collapsed="false">
      <c r="A1715" s="50"/>
      <c r="B1715" s="51" t="str">
        <f aca="false">IF(A1715="","",MONTH(A1715))</f>
        <v/>
      </c>
      <c r="C1715" s="52"/>
      <c r="D1715" s="52"/>
      <c r="E1715" s="52"/>
      <c r="F1715" s="52"/>
      <c r="G1715" s="55" t="str">
        <f aca="false">IF(C1715="","",IFERROR(INDEX('DANH MỤC'!$B$5:$B$200,MATCH(C1715,'DANH MỤC'!$A$5:$A$200,0)),"⚠ Mã chưa có trong DANH MỤC"))</f>
        <v/>
      </c>
      <c r="H1715" s="52"/>
      <c r="I1715" s="52"/>
    </row>
    <row r="1716" customFormat="false" ht="15" hidden="false" customHeight="false" outlineLevel="0" collapsed="false">
      <c r="A1716" s="50"/>
      <c r="B1716" s="51" t="str">
        <f aca="false">IF(A1716="","",MONTH(A1716))</f>
        <v/>
      </c>
      <c r="C1716" s="52"/>
      <c r="D1716" s="52"/>
      <c r="E1716" s="52"/>
      <c r="F1716" s="52"/>
      <c r="G1716" s="55" t="str">
        <f aca="false">IF(C1716="","",IFERROR(INDEX('DANH MỤC'!$B$5:$B$200,MATCH(C1716,'DANH MỤC'!$A$5:$A$200,0)),"⚠ Mã chưa có trong DANH MỤC"))</f>
        <v/>
      </c>
      <c r="H1716" s="52"/>
      <c r="I1716" s="52"/>
    </row>
    <row r="1717" customFormat="false" ht="15" hidden="false" customHeight="false" outlineLevel="0" collapsed="false">
      <c r="A1717" s="50"/>
      <c r="B1717" s="51" t="str">
        <f aca="false">IF(A1717="","",MONTH(A1717))</f>
        <v/>
      </c>
      <c r="C1717" s="52"/>
      <c r="D1717" s="52"/>
      <c r="E1717" s="52"/>
      <c r="F1717" s="52"/>
      <c r="G1717" s="55" t="str">
        <f aca="false">IF(C1717="","",IFERROR(INDEX('DANH MỤC'!$B$5:$B$200,MATCH(C1717,'DANH MỤC'!$A$5:$A$200,0)),"⚠ Mã chưa có trong DANH MỤC"))</f>
        <v/>
      </c>
      <c r="H1717" s="52"/>
      <c r="I1717" s="52"/>
    </row>
    <row r="1718" customFormat="false" ht="15" hidden="false" customHeight="false" outlineLevel="0" collapsed="false">
      <c r="A1718" s="50"/>
      <c r="B1718" s="51" t="str">
        <f aca="false">IF(A1718="","",MONTH(A1718))</f>
        <v/>
      </c>
      <c r="C1718" s="52"/>
      <c r="D1718" s="52"/>
      <c r="E1718" s="52"/>
      <c r="F1718" s="52"/>
      <c r="G1718" s="55" t="str">
        <f aca="false">IF(C1718="","",IFERROR(INDEX('DANH MỤC'!$B$5:$B$200,MATCH(C1718,'DANH MỤC'!$A$5:$A$200,0)),"⚠ Mã chưa có trong DANH MỤC"))</f>
        <v/>
      </c>
      <c r="H1718" s="52"/>
      <c r="I1718" s="52"/>
    </row>
    <row r="1719" customFormat="false" ht="15" hidden="false" customHeight="false" outlineLevel="0" collapsed="false">
      <c r="A1719" s="50"/>
      <c r="B1719" s="51" t="str">
        <f aca="false">IF(A1719="","",MONTH(A1719))</f>
        <v/>
      </c>
      <c r="C1719" s="52"/>
      <c r="D1719" s="52"/>
      <c r="E1719" s="52"/>
      <c r="F1719" s="52"/>
      <c r="G1719" s="55" t="str">
        <f aca="false">IF(C1719="","",IFERROR(INDEX('DANH MỤC'!$B$5:$B$200,MATCH(C1719,'DANH MỤC'!$A$5:$A$200,0)),"⚠ Mã chưa có trong DANH MỤC"))</f>
        <v/>
      </c>
      <c r="H1719" s="52"/>
      <c r="I1719" s="52"/>
    </row>
    <row r="1720" customFormat="false" ht="15" hidden="false" customHeight="false" outlineLevel="0" collapsed="false">
      <c r="A1720" s="50"/>
      <c r="B1720" s="51" t="str">
        <f aca="false">IF(A1720="","",MONTH(A1720))</f>
        <v/>
      </c>
      <c r="C1720" s="52"/>
      <c r="D1720" s="52"/>
      <c r="E1720" s="52"/>
      <c r="F1720" s="52"/>
      <c r="G1720" s="55" t="str">
        <f aca="false">IF(C1720="","",IFERROR(INDEX('DANH MỤC'!$B$5:$B$200,MATCH(C1720,'DANH MỤC'!$A$5:$A$200,0)),"⚠ Mã chưa có trong DANH MỤC"))</f>
        <v/>
      </c>
      <c r="H1720" s="52"/>
      <c r="I1720" s="52"/>
    </row>
    <row r="1721" customFormat="false" ht="15" hidden="false" customHeight="false" outlineLevel="0" collapsed="false">
      <c r="A1721" s="50"/>
      <c r="B1721" s="51" t="str">
        <f aca="false">IF(A1721="","",MONTH(A1721))</f>
        <v/>
      </c>
      <c r="C1721" s="52"/>
      <c r="D1721" s="52"/>
      <c r="E1721" s="52"/>
      <c r="F1721" s="52"/>
      <c r="G1721" s="55" t="str">
        <f aca="false">IF(C1721="","",IFERROR(INDEX('DANH MỤC'!$B$5:$B$200,MATCH(C1721,'DANH MỤC'!$A$5:$A$200,0)),"⚠ Mã chưa có trong DANH MỤC"))</f>
        <v/>
      </c>
      <c r="H1721" s="52"/>
      <c r="I1721" s="52"/>
    </row>
    <row r="1722" customFormat="false" ht="15" hidden="false" customHeight="false" outlineLevel="0" collapsed="false">
      <c r="A1722" s="50"/>
      <c r="B1722" s="51" t="str">
        <f aca="false">IF(A1722="","",MONTH(A1722))</f>
        <v/>
      </c>
      <c r="C1722" s="52"/>
      <c r="D1722" s="52"/>
      <c r="E1722" s="52"/>
      <c r="F1722" s="52"/>
      <c r="G1722" s="55" t="str">
        <f aca="false">IF(C1722="","",IFERROR(INDEX('DANH MỤC'!$B$5:$B$200,MATCH(C1722,'DANH MỤC'!$A$5:$A$200,0)),"⚠ Mã chưa có trong DANH MỤC"))</f>
        <v/>
      </c>
      <c r="H1722" s="52"/>
      <c r="I1722" s="52"/>
    </row>
    <row r="1723" customFormat="false" ht="15" hidden="false" customHeight="false" outlineLevel="0" collapsed="false">
      <c r="A1723" s="50"/>
      <c r="B1723" s="51" t="str">
        <f aca="false">IF(A1723="","",MONTH(A1723))</f>
        <v/>
      </c>
      <c r="C1723" s="52"/>
      <c r="D1723" s="52"/>
      <c r="E1723" s="52"/>
      <c r="F1723" s="52"/>
      <c r="G1723" s="55" t="str">
        <f aca="false">IF(C1723="","",IFERROR(INDEX('DANH MỤC'!$B$5:$B$200,MATCH(C1723,'DANH MỤC'!$A$5:$A$200,0)),"⚠ Mã chưa có trong DANH MỤC"))</f>
        <v/>
      </c>
      <c r="H1723" s="52"/>
      <c r="I1723" s="52"/>
    </row>
    <row r="1724" customFormat="false" ht="15" hidden="false" customHeight="false" outlineLevel="0" collapsed="false">
      <c r="A1724" s="50"/>
      <c r="B1724" s="51" t="str">
        <f aca="false">IF(A1724="","",MONTH(A1724))</f>
        <v/>
      </c>
      <c r="C1724" s="52"/>
      <c r="D1724" s="52"/>
      <c r="E1724" s="52"/>
      <c r="F1724" s="52"/>
      <c r="G1724" s="55" t="str">
        <f aca="false">IF(C1724="","",IFERROR(INDEX('DANH MỤC'!$B$5:$B$200,MATCH(C1724,'DANH MỤC'!$A$5:$A$200,0)),"⚠ Mã chưa có trong DANH MỤC"))</f>
        <v/>
      </c>
      <c r="H1724" s="52"/>
      <c r="I1724" s="52"/>
    </row>
    <row r="1725" customFormat="false" ht="15" hidden="false" customHeight="false" outlineLevel="0" collapsed="false">
      <c r="A1725" s="50"/>
      <c r="B1725" s="51" t="str">
        <f aca="false">IF(A1725="","",MONTH(A1725))</f>
        <v/>
      </c>
      <c r="C1725" s="52"/>
      <c r="D1725" s="52"/>
      <c r="E1725" s="52"/>
      <c r="F1725" s="52"/>
      <c r="G1725" s="55" t="str">
        <f aca="false">IF(C1725="","",IFERROR(INDEX('DANH MỤC'!$B$5:$B$200,MATCH(C1725,'DANH MỤC'!$A$5:$A$200,0)),"⚠ Mã chưa có trong DANH MỤC"))</f>
        <v/>
      </c>
      <c r="H1725" s="52"/>
      <c r="I1725" s="52"/>
    </row>
    <row r="1726" customFormat="false" ht="15" hidden="false" customHeight="false" outlineLevel="0" collapsed="false">
      <c r="A1726" s="50"/>
      <c r="B1726" s="51" t="str">
        <f aca="false">IF(A1726="","",MONTH(A1726))</f>
        <v/>
      </c>
      <c r="C1726" s="52"/>
      <c r="D1726" s="52"/>
      <c r="E1726" s="52"/>
      <c r="F1726" s="52"/>
      <c r="G1726" s="55" t="str">
        <f aca="false">IF(C1726="","",IFERROR(INDEX('DANH MỤC'!$B$5:$B$200,MATCH(C1726,'DANH MỤC'!$A$5:$A$200,0)),"⚠ Mã chưa có trong DANH MỤC"))</f>
        <v/>
      </c>
      <c r="H1726" s="52"/>
      <c r="I1726" s="52"/>
    </row>
    <row r="1727" customFormat="false" ht="15" hidden="false" customHeight="false" outlineLevel="0" collapsed="false">
      <c r="A1727" s="50"/>
      <c r="B1727" s="51" t="str">
        <f aca="false">IF(A1727="","",MONTH(A1727))</f>
        <v/>
      </c>
      <c r="C1727" s="52"/>
      <c r="D1727" s="52"/>
      <c r="E1727" s="52"/>
      <c r="F1727" s="52"/>
      <c r="G1727" s="55" t="str">
        <f aca="false">IF(C1727="","",IFERROR(INDEX('DANH MỤC'!$B$5:$B$200,MATCH(C1727,'DANH MỤC'!$A$5:$A$200,0)),"⚠ Mã chưa có trong DANH MỤC"))</f>
        <v/>
      </c>
      <c r="H1727" s="52"/>
      <c r="I1727" s="52"/>
    </row>
    <row r="1728" customFormat="false" ht="15" hidden="false" customHeight="false" outlineLevel="0" collapsed="false">
      <c r="A1728" s="50"/>
      <c r="B1728" s="51" t="str">
        <f aca="false">IF(A1728="","",MONTH(A1728))</f>
        <v/>
      </c>
      <c r="C1728" s="52"/>
      <c r="D1728" s="52"/>
      <c r="E1728" s="52"/>
      <c r="F1728" s="52"/>
      <c r="G1728" s="55" t="str">
        <f aca="false">IF(C1728="","",IFERROR(INDEX('DANH MỤC'!$B$5:$B$200,MATCH(C1728,'DANH MỤC'!$A$5:$A$200,0)),"⚠ Mã chưa có trong DANH MỤC"))</f>
        <v/>
      </c>
      <c r="H1728" s="52"/>
      <c r="I1728" s="52"/>
    </row>
    <row r="1729" customFormat="false" ht="15" hidden="false" customHeight="false" outlineLevel="0" collapsed="false">
      <c r="A1729" s="50"/>
      <c r="B1729" s="51" t="str">
        <f aca="false">IF(A1729="","",MONTH(A1729))</f>
        <v/>
      </c>
      <c r="C1729" s="52"/>
      <c r="D1729" s="52"/>
      <c r="E1729" s="52"/>
      <c r="F1729" s="52"/>
      <c r="G1729" s="55" t="str">
        <f aca="false">IF(C1729="","",IFERROR(INDEX('DANH MỤC'!$B$5:$B$200,MATCH(C1729,'DANH MỤC'!$A$5:$A$200,0)),"⚠ Mã chưa có trong DANH MỤC"))</f>
        <v/>
      </c>
      <c r="H1729" s="52"/>
      <c r="I1729" s="52"/>
    </row>
    <row r="1730" customFormat="false" ht="15" hidden="false" customHeight="false" outlineLevel="0" collapsed="false">
      <c r="A1730" s="50"/>
      <c r="B1730" s="51" t="str">
        <f aca="false">IF(A1730="","",MONTH(A1730))</f>
        <v/>
      </c>
      <c r="C1730" s="52"/>
      <c r="D1730" s="52"/>
      <c r="E1730" s="52"/>
      <c r="F1730" s="52"/>
      <c r="G1730" s="55" t="str">
        <f aca="false">IF(C1730="","",IFERROR(INDEX('DANH MỤC'!$B$5:$B$200,MATCH(C1730,'DANH MỤC'!$A$5:$A$200,0)),"⚠ Mã chưa có trong DANH MỤC"))</f>
        <v/>
      </c>
      <c r="H1730" s="52"/>
      <c r="I1730" s="52"/>
    </row>
    <row r="1731" customFormat="false" ht="15" hidden="false" customHeight="false" outlineLevel="0" collapsed="false">
      <c r="A1731" s="50"/>
      <c r="B1731" s="51" t="str">
        <f aca="false">IF(A1731="","",MONTH(A1731))</f>
        <v/>
      </c>
      <c r="C1731" s="52"/>
      <c r="D1731" s="52"/>
      <c r="E1731" s="52"/>
      <c r="F1731" s="52"/>
      <c r="G1731" s="55" t="str">
        <f aca="false">IF(C1731="","",IFERROR(INDEX('DANH MỤC'!$B$5:$B$200,MATCH(C1731,'DANH MỤC'!$A$5:$A$200,0)),"⚠ Mã chưa có trong DANH MỤC"))</f>
        <v/>
      </c>
      <c r="H1731" s="52"/>
      <c r="I1731" s="52"/>
    </row>
    <row r="1732" customFormat="false" ht="15" hidden="false" customHeight="false" outlineLevel="0" collapsed="false">
      <c r="A1732" s="50"/>
      <c r="B1732" s="51" t="str">
        <f aca="false">IF(A1732="","",MONTH(A1732))</f>
        <v/>
      </c>
      <c r="C1732" s="52"/>
      <c r="D1732" s="52"/>
      <c r="E1732" s="52"/>
      <c r="F1732" s="52"/>
      <c r="G1732" s="55" t="str">
        <f aca="false">IF(C1732="","",IFERROR(INDEX('DANH MỤC'!$B$5:$B$200,MATCH(C1732,'DANH MỤC'!$A$5:$A$200,0)),"⚠ Mã chưa có trong DANH MỤC"))</f>
        <v/>
      </c>
      <c r="H1732" s="52"/>
      <c r="I1732" s="52"/>
    </row>
    <row r="1733" customFormat="false" ht="15" hidden="false" customHeight="false" outlineLevel="0" collapsed="false">
      <c r="A1733" s="50"/>
      <c r="B1733" s="51" t="str">
        <f aca="false">IF(A1733="","",MONTH(A1733))</f>
        <v/>
      </c>
      <c r="C1733" s="52"/>
      <c r="D1733" s="52"/>
      <c r="E1733" s="52"/>
      <c r="F1733" s="52"/>
      <c r="G1733" s="55" t="str">
        <f aca="false">IF(C1733="","",IFERROR(INDEX('DANH MỤC'!$B$5:$B$200,MATCH(C1733,'DANH MỤC'!$A$5:$A$200,0)),"⚠ Mã chưa có trong DANH MỤC"))</f>
        <v/>
      </c>
      <c r="H1733" s="52"/>
      <c r="I1733" s="52"/>
    </row>
    <row r="1734" customFormat="false" ht="15" hidden="false" customHeight="false" outlineLevel="0" collapsed="false">
      <c r="A1734" s="50"/>
      <c r="B1734" s="51" t="str">
        <f aca="false">IF(A1734="","",MONTH(A1734))</f>
        <v/>
      </c>
      <c r="C1734" s="52"/>
      <c r="D1734" s="52"/>
      <c r="E1734" s="52"/>
      <c r="F1734" s="52"/>
      <c r="G1734" s="55" t="str">
        <f aca="false">IF(C1734="","",IFERROR(INDEX('DANH MỤC'!$B$5:$B$200,MATCH(C1734,'DANH MỤC'!$A$5:$A$200,0)),"⚠ Mã chưa có trong DANH MỤC"))</f>
        <v/>
      </c>
      <c r="H1734" s="52"/>
      <c r="I1734" s="52"/>
    </row>
    <row r="1735" customFormat="false" ht="15" hidden="false" customHeight="false" outlineLevel="0" collapsed="false">
      <c r="A1735" s="50"/>
      <c r="B1735" s="51" t="str">
        <f aca="false">IF(A1735="","",MONTH(A1735))</f>
        <v/>
      </c>
      <c r="C1735" s="52"/>
      <c r="D1735" s="52"/>
      <c r="E1735" s="52"/>
      <c r="F1735" s="52"/>
      <c r="G1735" s="55" t="str">
        <f aca="false">IF(C1735="","",IFERROR(INDEX('DANH MỤC'!$B$5:$B$200,MATCH(C1735,'DANH MỤC'!$A$5:$A$200,0)),"⚠ Mã chưa có trong DANH MỤC"))</f>
        <v/>
      </c>
      <c r="H1735" s="52"/>
      <c r="I1735" s="52"/>
    </row>
    <row r="1736" customFormat="false" ht="15" hidden="false" customHeight="false" outlineLevel="0" collapsed="false">
      <c r="A1736" s="50"/>
      <c r="B1736" s="51" t="str">
        <f aca="false">IF(A1736="","",MONTH(A1736))</f>
        <v/>
      </c>
      <c r="C1736" s="52"/>
      <c r="D1736" s="52"/>
      <c r="E1736" s="52"/>
      <c r="F1736" s="52"/>
      <c r="G1736" s="55" t="str">
        <f aca="false">IF(C1736="","",IFERROR(INDEX('DANH MỤC'!$B$5:$B$200,MATCH(C1736,'DANH MỤC'!$A$5:$A$200,0)),"⚠ Mã chưa có trong DANH MỤC"))</f>
        <v/>
      </c>
      <c r="H1736" s="52"/>
      <c r="I1736" s="52"/>
    </row>
    <row r="1737" customFormat="false" ht="15" hidden="false" customHeight="false" outlineLevel="0" collapsed="false">
      <c r="A1737" s="50"/>
      <c r="B1737" s="51" t="str">
        <f aca="false">IF(A1737="","",MONTH(A1737))</f>
        <v/>
      </c>
      <c r="C1737" s="52"/>
      <c r="D1737" s="52"/>
      <c r="E1737" s="52"/>
      <c r="F1737" s="52"/>
      <c r="G1737" s="55" t="str">
        <f aca="false">IF(C1737="","",IFERROR(INDEX('DANH MỤC'!$B$5:$B$200,MATCH(C1737,'DANH MỤC'!$A$5:$A$200,0)),"⚠ Mã chưa có trong DANH MỤC"))</f>
        <v/>
      </c>
      <c r="H1737" s="52"/>
      <c r="I1737" s="52"/>
    </row>
    <row r="1738" customFormat="false" ht="15" hidden="false" customHeight="false" outlineLevel="0" collapsed="false">
      <c r="A1738" s="50"/>
      <c r="B1738" s="51" t="str">
        <f aca="false">IF(A1738="","",MONTH(A1738))</f>
        <v/>
      </c>
      <c r="C1738" s="52"/>
      <c r="D1738" s="52"/>
      <c r="E1738" s="52"/>
      <c r="F1738" s="52"/>
      <c r="G1738" s="55" t="str">
        <f aca="false">IF(C1738="","",IFERROR(INDEX('DANH MỤC'!$B$5:$B$200,MATCH(C1738,'DANH MỤC'!$A$5:$A$200,0)),"⚠ Mã chưa có trong DANH MỤC"))</f>
        <v/>
      </c>
      <c r="H1738" s="52"/>
      <c r="I1738" s="52"/>
    </row>
    <row r="1739" customFormat="false" ht="15" hidden="false" customHeight="false" outlineLevel="0" collapsed="false">
      <c r="A1739" s="50"/>
      <c r="B1739" s="51" t="str">
        <f aca="false">IF(A1739="","",MONTH(A1739))</f>
        <v/>
      </c>
      <c r="C1739" s="52"/>
      <c r="D1739" s="52"/>
      <c r="E1739" s="52"/>
      <c r="F1739" s="52"/>
      <c r="G1739" s="55" t="str">
        <f aca="false">IF(C1739="","",IFERROR(INDEX('DANH MỤC'!$B$5:$B$200,MATCH(C1739,'DANH MỤC'!$A$5:$A$200,0)),"⚠ Mã chưa có trong DANH MỤC"))</f>
        <v/>
      </c>
      <c r="H1739" s="52"/>
      <c r="I1739" s="52"/>
    </row>
    <row r="1740" customFormat="false" ht="15" hidden="false" customHeight="false" outlineLevel="0" collapsed="false">
      <c r="A1740" s="50"/>
      <c r="B1740" s="51" t="str">
        <f aca="false">IF(A1740="","",MONTH(A1740))</f>
        <v/>
      </c>
      <c r="C1740" s="52"/>
      <c r="D1740" s="52"/>
      <c r="E1740" s="52"/>
      <c r="F1740" s="52"/>
      <c r="G1740" s="55" t="str">
        <f aca="false">IF(C1740="","",IFERROR(INDEX('DANH MỤC'!$B$5:$B$200,MATCH(C1740,'DANH MỤC'!$A$5:$A$200,0)),"⚠ Mã chưa có trong DANH MỤC"))</f>
        <v/>
      </c>
      <c r="H1740" s="52"/>
      <c r="I1740" s="52"/>
    </row>
    <row r="1741" customFormat="false" ht="15" hidden="false" customHeight="false" outlineLevel="0" collapsed="false">
      <c r="A1741" s="50"/>
      <c r="B1741" s="51" t="str">
        <f aca="false">IF(A1741="","",MONTH(A1741))</f>
        <v/>
      </c>
      <c r="C1741" s="52"/>
      <c r="D1741" s="52"/>
      <c r="E1741" s="52"/>
      <c r="F1741" s="52"/>
      <c r="G1741" s="55" t="str">
        <f aca="false">IF(C1741="","",IFERROR(INDEX('DANH MỤC'!$B$5:$B$200,MATCH(C1741,'DANH MỤC'!$A$5:$A$200,0)),"⚠ Mã chưa có trong DANH MỤC"))</f>
        <v/>
      </c>
      <c r="H1741" s="52"/>
      <c r="I1741" s="52"/>
    </row>
    <row r="1742" customFormat="false" ht="15" hidden="false" customHeight="false" outlineLevel="0" collapsed="false">
      <c r="A1742" s="50"/>
      <c r="B1742" s="51" t="str">
        <f aca="false">IF(A1742="","",MONTH(A1742))</f>
        <v/>
      </c>
      <c r="C1742" s="52"/>
      <c r="D1742" s="52"/>
      <c r="E1742" s="52"/>
      <c r="F1742" s="52"/>
      <c r="G1742" s="55" t="str">
        <f aca="false">IF(C1742="","",IFERROR(INDEX('DANH MỤC'!$B$5:$B$200,MATCH(C1742,'DANH MỤC'!$A$5:$A$200,0)),"⚠ Mã chưa có trong DANH MỤC"))</f>
        <v/>
      </c>
      <c r="H1742" s="52"/>
      <c r="I1742" s="52"/>
    </row>
    <row r="1743" customFormat="false" ht="15" hidden="false" customHeight="false" outlineLevel="0" collapsed="false">
      <c r="A1743" s="50"/>
      <c r="B1743" s="51" t="str">
        <f aca="false">IF(A1743="","",MONTH(A1743))</f>
        <v/>
      </c>
      <c r="C1743" s="52"/>
      <c r="D1743" s="52"/>
      <c r="E1743" s="52"/>
      <c r="F1743" s="52"/>
      <c r="G1743" s="55" t="str">
        <f aca="false">IF(C1743="","",IFERROR(INDEX('DANH MỤC'!$B$5:$B$200,MATCH(C1743,'DANH MỤC'!$A$5:$A$200,0)),"⚠ Mã chưa có trong DANH MỤC"))</f>
        <v/>
      </c>
      <c r="H1743" s="52"/>
      <c r="I1743" s="52"/>
    </row>
    <row r="1744" customFormat="false" ht="15" hidden="false" customHeight="false" outlineLevel="0" collapsed="false">
      <c r="A1744" s="50"/>
      <c r="B1744" s="51" t="str">
        <f aca="false">IF(A1744="","",MONTH(A1744))</f>
        <v/>
      </c>
      <c r="C1744" s="52"/>
      <c r="D1744" s="52"/>
      <c r="E1744" s="52"/>
      <c r="F1744" s="52"/>
      <c r="G1744" s="55" t="str">
        <f aca="false">IF(C1744="","",IFERROR(INDEX('DANH MỤC'!$B$5:$B$200,MATCH(C1744,'DANH MỤC'!$A$5:$A$200,0)),"⚠ Mã chưa có trong DANH MỤC"))</f>
        <v/>
      </c>
      <c r="H1744" s="52"/>
      <c r="I1744" s="52"/>
    </row>
    <row r="1745" customFormat="false" ht="15" hidden="false" customHeight="false" outlineLevel="0" collapsed="false">
      <c r="A1745" s="50"/>
      <c r="B1745" s="51" t="str">
        <f aca="false">IF(A1745="","",MONTH(A1745))</f>
        <v/>
      </c>
      <c r="C1745" s="52"/>
      <c r="D1745" s="52"/>
      <c r="E1745" s="52"/>
      <c r="F1745" s="52"/>
      <c r="G1745" s="55" t="str">
        <f aca="false">IF(C1745="","",IFERROR(INDEX('DANH MỤC'!$B$5:$B$200,MATCH(C1745,'DANH MỤC'!$A$5:$A$200,0)),"⚠ Mã chưa có trong DANH MỤC"))</f>
        <v/>
      </c>
      <c r="H1745" s="52"/>
      <c r="I1745" s="52"/>
    </row>
    <row r="1746" customFormat="false" ht="15" hidden="false" customHeight="false" outlineLevel="0" collapsed="false">
      <c r="A1746" s="50"/>
      <c r="B1746" s="51" t="str">
        <f aca="false">IF(A1746="","",MONTH(A1746))</f>
        <v/>
      </c>
      <c r="C1746" s="52"/>
      <c r="D1746" s="52"/>
      <c r="E1746" s="52"/>
      <c r="F1746" s="52"/>
      <c r="G1746" s="55" t="str">
        <f aca="false">IF(C1746="","",IFERROR(INDEX('DANH MỤC'!$B$5:$B$200,MATCH(C1746,'DANH MỤC'!$A$5:$A$200,0)),"⚠ Mã chưa có trong DANH MỤC"))</f>
        <v/>
      </c>
      <c r="H1746" s="52"/>
      <c r="I1746" s="52"/>
    </row>
    <row r="1747" customFormat="false" ht="15" hidden="false" customHeight="false" outlineLevel="0" collapsed="false">
      <c r="A1747" s="50"/>
      <c r="B1747" s="51" t="str">
        <f aca="false">IF(A1747="","",MONTH(A1747))</f>
        <v/>
      </c>
      <c r="C1747" s="52"/>
      <c r="D1747" s="52"/>
      <c r="E1747" s="52"/>
      <c r="F1747" s="52"/>
      <c r="G1747" s="55" t="str">
        <f aca="false">IF(C1747="","",IFERROR(INDEX('DANH MỤC'!$B$5:$B$200,MATCH(C1747,'DANH MỤC'!$A$5:$A$200,0)),"⚠ Mã chưa có trong DANH MỤC"))</f>
        <v/>
      </c>
      <c r="H1747" s="52"/>
      <c r="I1747" s="52"/>
    </row>
    <row r="1748" customFormat="false" ht="15" hidden="false" customHeight="false" outlineLevel="0" collapsed="false">
      <c r="A1748" s="50"/>
      <c r="B1748" s="51" t="str">
        <f aca="false">IF(A1748="","",MONTH(A1748))</f>
        <v/>
      </c>
      <c r="C1748" s="52"/>
      <c r="D1748" s="52"/>
      <c r="E1748" s="52"/>
      <c r="F1748" s="52"/>
      <c r="G1748" s="55" t="str">
        <f aca="false">IF(C1748="","",IFERROR(INDEX('DANH MỤC'!$B$5:$B$200,MATCH(C1748,'DANH MỤC'!$A$5:$A$200,0)),"⚠ Mã chưa có trong DANH MỤC"))</f>
        <v/>
      </c>
      <c r="H1748" s="52"/>
      <c r="I1748" s="52"/>
    </row>
    <row r="1749" customFormat="false" ht="15" hidden="false" customHeight="false" outlineLevel="0" collapsed="false">
      <c r="A1749" s="50"/>
      <c r="B1749" s="51" t="str">
        <f aca="false">IF(A1749="","",MONTH(A1749))</f>
        <v/>
      </c>
      <c r="C1749" s="52"/>
      <c r="D1749" s="52"/>
      <c r="E1749" s="52"/>
      <c r="F1749" s="52"/>
      <c r="G1749" s="55" t="str">
        <f aca="false">IF(C1749="","",IFERROR(INDEX('DANH MỤC'!$B$5:$B$200,MATCH(C1749,'DANH MỤC'!$A$5:$A$200,0)),"⚠ Mã chưa có trong DANH MỤC"))</f>
        <v/>
      </c>
      <c r="H1749" s="52"/>
      <c r="I1749" s="52"/>
    </row>
    <row r="1750" customFormat="false" ht="15" hidden="false" customHeight="false" outlineLevel="0" collapsed="false">
      <c r="A1750" s="50"/>
      <c r="B1750" s="51" t="str">
        <f aca="false">IF(A1750="","",MONTH(A1750))</f>
        <v/>
      </c>
      <c r="C1750" s="52"/>
      <c r="D1750" s="52"/>
      <c r="E1750" s="52"/>
      <c r="F1750" s="52"/>
      <c r="G1750" s="55" t="str">
        <f aca="false">IF(C1750="","",IFERROR(INDEX('DANH MỤC'!$B$5:$B$200,MATCH(C1750,'DANH MỤC'!$A$5:$A$200,0)),"⚠ Mã chưa có trong DANH MỤC"))</f>
        <v/>
      </c>
      <c r="H1750" s="52"/>
      <c r="I1750" s="52"/>
    </row>
    <row r="1751" customFormat="false" ht="15" hidden="false" customHeight="false" outlineLevel="0" collapsed="false">
      <c r="A1751" s="50"/>
      <c r="B1751" s="51" t="str">
        <f aca="false">IF(A1751="","",MONTH(A1751))</f>
        <v/>
      </c>
      <c r="C1751" s="52"/>
      <c r="D1751" s="52"/>
      <c r="E1751" s="52"/>
      <c r="F1751" s="52"/>
      <c r="G1751" s="55" t="str">
        <f aca="false">IF(C1751="","",IFERROR(INDEX('DANH MỤC'!$B$5:$B$200,MATCH(C1751,'DANH MỤC'!$A$5:$A$200,0)),"⚠ Mã chưa có trong DANH MỤC"))</f>
        <v/>
      </c>
      <c r="H1751" s="52"/>
      <c r="I1751" s="52"/>
    </row>
    <row r="1752" customFormat="false" ht="15" hidden="false" customHeight="false" outlineLevel="0" collapsed="false">
      <c r="A1752" s="50"/>
      <c r="B1752" s="51" t="str">
        <f aca="false">IF(A1752="","",MONTH(A1752))</f>
        <v/>
      </c>
      <c r="C1752" s="52"/>
      <c r="D1752" s="52"/>
      <c r="E1752" s="52"/>
      <c r="F1752" s="52"/>
      <c r="G1752" s="55" t="str">
        <f aca="false">IF(C1752="","",IFERROR(INDEX('DANH MỤC'!$B$5:$B$200,MATCH(C1752,'DANH MỤC'!$A$5:$A$200,0)),"⚠ Mã chưa có trong DANH MỤC"))</f>
        <v/>
      </c>
      <c r="H1752" s="52"/>
      <c r="I1752" s="52"/>
    </row>
    <row r="1753" customFormat="false" ht="15" hidden="false" customHeight="false" outlineLevel="0" collapsed="false">
      <c r="A1753" s="50"/>
      <c r="B1753" s="51" t="str">
        <f aca="false">IF(A1753="","",MONTH(A1753))</f>
        <v/>
      </c>
      <c r="C1753" s="52"/>
      <c r="D1753" s="52"/>
      <c r="E1753" s="52"/>
      <c r="F1753" s="52"/>
      <c r="G1753" s="55" t="str">
        <f aca="false">IF(C1753="","",IFERROR(INDEX('DANH MỤC'!$B$5:$B$200,MATCH(C1753,'DANH MỤC'!$A$5:$A$200,0)),"⚠ Mã chưa có trong DANH MỤC"))</f>
        <v/>
      </c>
      <c r="H1753" s="52"/>
      <c r="I1753" s="52"/>
    </row>
    <row r="1754" customFormat="false" ht="15" hidden="false" customHeight="false" outlineLevel="0" collapsed="false">
      <c r="A1754" s="50"/>
      <c r="B1754" s="51" t="str">
        <f aca="false">IF(A1754="","",MONTH(A1754))</f>
        <v/>
      </c>
      <c r="C1754" s="52"/>
      <c r="D1754" s="52"/>
      <c r="E1754" s="52"/>
      <c r="F1754" s="52"/>
      <c r="G1754" s="55" t="str">
        <f aca="false">IF(C1754="","",IFERROR(INDEX('DANH MỤC'!$B$5:$B$200,MATCH(C1754,'DANH MỤC'!$A$5:$A$200,0)),"⚠ Mã chưa có trong DANH MỤC"))</f>
        <v/>
      </c>
      <c r="H1754" s="52"/>
      <c r="I1754" s="52"/>
    </row>
    <row r="1755" customFormat="false" ht="15" hidden="false" customHeight="false" outlineLevel="0" collapsed="false">
      <c r="A1755" s="50"/>
      <c r="B1755" s="51" t="str">
        <f aca="false">IF(A1755="","",MONTH(A1755))</f>
        <v/>
      </c>
      <c r="C1755" s="52"/>
      <c r="D1755" s="52"/>
      <c r="E1755" s="52"/>
      <c r="F1755" s="52"/>
      <c r="G1755" s="55" t="str">
        <f aca="false">IF(C1755="","",IFERROR(INDEX('DANH MỤC'!$B$5:$B$200,MATCH(C1755,'DANH MỤC'!$A$5:$A$200,0)),"⚠ Mã chưa có trong DANH MỤC"))</f>
        <v/>
      </c>
      <c r="H1755" s="52"/>
      <c r="I1755" s="52"/>
    </row>
    <row r="1756" customFormat="false" ht="15" hidden="false" customHeight="false" outlineLevel="0" collapsed="false">
      <c r="A1756" s="50"/>
      <c r="B1756" s="51" t="str">
        <f aca="false">IF(A1756="","",MONTH(A1756))</f>
        <v/>
      </c>
      <c r="C1756" s="52"/>
      <c r="D1756" s="52"/>
      <c r="E1756" s="52"/>
      <c r="F1756" s="52"/>
      <c r="G1756" s="55" t="str">
        <f aca="false">IF(C1756="","",IFERROR(INDEX('DANH MỤC'!$B$5:$B$200,MATCH(C1756,'DANH MỤC'!$A$5:$A$200,0)),"⚠ Mã chưa có trong DANH MỤC"))</f>
        <v/>
      </c>
      <c r="H1756" s="52"/>
      <c r="I1756" s="52"/>
    </row>
    <row r="1757" customFormat="false" ht="15" hidden="false" customHeight="false" outlineLevel="0" collapsed="false">
      <c r="A1757" s="50"/>
      <c r="B1757" s="51" t="str">
        <f aca="false">IF(A1757="","",MONTH(A1757))</f>
        <v/>
      </c>
      <c r="C1757" s="52"/>
      <c r="D1757" s="52"/>
      <c r="E1757" s="52"/>
      <c r="F1757" s="52"/>
      <c r="G1757" s="55" t="str">
        <f aca="false">IF(C1757="","",IFERROR(INDEX('DANH MỤC'!$B$5:$B$200,MATCH(C1757,'DANH MỤC'!$A$5:$A$200,0)),"⚠ Mã chưa có trong DANH MỤC"))</f>
        <v/>
      </c>
      <c r="H1757" s="52"/>
      <c r="I1757" s="52"/>
    </row>
    <row r="1758" customFormat="false" ht="15" hidden="false" customHeight="false" outlineLevel="0" collapsed="false">
      <c r="A1758" s="50"/>
      <c r="B1758" s="51" t="str">
        <f aca="false">IF(A1758="","",MONTH(A1758))</f>
        <v/>
      </c>
      <c r="C1758" s="52"/>
      <c r="D1758" s="52"/>
      <c r="E1758" s="52"/>
      <c r="F1758" s="52"/>
      <c r="G1758" s="55" t="str">
        <f aca="false">IF(C1758="","",IFERROR(INDEX('DANH MỤC'!$B$5:$B$200,MATCH(C1758,'DANH MỤC'!$A$5:$A$200,0)),"⚠ Mã chưa có trong DANH MỤC"))</f>
        <v/>
      </c>
      <c r="H1758" s="52"/>
      <c r="I1758" s="52"/>
    </row>
    <row r="1759" customFormat="false" ht="15" hidden="false" customHeight="false" outlineLevel="0" collapsed="false">
      <c r="A1759" s="50"/>
      <c r="B1759" s="51" t="str">
        <f aca="false">IF(A1759="","",MONTH(A1759))</f>
        <v/>
      </c>
      <c r="C1759" s="52"/>
      <c r="D1759" s="52"/>
      <c r="E1759" s="52"/>
      <c r="F1759" s="52"/>
      <c r="G1759" s="55" t="str">
        <f aca="false">IF(C1759="","",IFERROR(INDEX('DANH MỤC'!$B$5:$B$200,MATCH(C1759,'DANH MỤC'!$A$5:$A$200,0)),"⚠ Mã chưa có trong DANH MỤC"))</f>
        <v/>
      </c>
      <c r="H1759" s="52"/>
      <c r="I1759" s="52"/>
    </row>
    <row r="1760" customFormat="false" ht="15" hidden="false" customHeight="false" outlineLevel="0" collapsed="false">
      <c r="A1760" s="50"/>
      <c r="B1760" s="51" t="str">
        <f aca="false">IF(A1760="","",MONTH(A1760))</f>
        <v/>
      </c>
      <c r="C1760" s="52"/>
      <c r="D1760" s="52"/>
      <c r="E1760" s="52"/>
      <c r="F1760" s="52"/>
      <c r="G1760" s="55" t="str">
        <f aca="false">IF(C1760="","",IFERROR(INDEX('DANH MỤC'!$B$5:$B$200,MATCH(C1760,'DANH MỤC'!$A$5:$A$200,0)),"⚠ Mã chưa có trong DANH MỤC"))</f>
        <v/>
      </c>
      <c r="H1760" s="52"/>
      <c r="I1760" s="52"/>
    </row>
    <row r="1761" customFormat="false" ht="15" hidden="false" customHeight="false" outlineLevel="0" collapsed="false">
      <c r="A1761" s="50"/>
      <c r="B1761" s="51" t="str">
        <f aca="false">IF(A1761="","",MONTH(A1761))</f>
        <v/>
      </c>
      <c r="C1761" s="52"/>
      <c r="D1761" s="52"/>
      <c r="E1761" s="52"/>
      <c r="F1761" s="52"/>
      <c r="G1761" s="55" t="str">
        <f aca="false">IF(C1761="","",IFERROR(INDEX('DANH MỤC'!$B$5:$B$200,MATCH(C1761,'DANH MỤC'!$A$5:$A$200,0)),"⚠ Mã chưa có trong DANH MỤC"))</f>
        <v/>
      </c>
      <c r="H1761" s="52"/>
      <c r="I1761" s="52"/>
    </row>
    <row r="1762" customFormat="false" ht="15" hidden="false" customHeight="false" outlineLevel="0" collapsed="false">
      <c r="A1762" s="50"/>
      <c r="B1762" s="51" t="str">
        <f aca="false">IF(A1762="","",MONTH(A1762))</f>
        <v/>
      </c>
      <c r="C1762" s="52"/>
      <c r="D1762" s="52"/>
      <c r="E1762" s="52"/>
      <c r="F1762" s="52"/>
      <c r="G1762" s="55" t="str">
        <f aca="false">IF(C1762="","",IFERROR(INDEX('DANH MỤC'!$B$5:$B$200,MATCH(C1762,'DANH MỤC'!$A$5:$A$200,0)),"⚠ Mã chưa có trong DANH MỤC"))</f>
        <v/>
      </c>
      <c r="H1762" s="52"/>
      <c r="I1762" s="52"/>
    </row>
    <row r="1763" customFormat="false" ht="15" hidden="false" customHeight="false" outlineLevel="0" collapsed="false">
      <c r="A1763" s="50"/>
      <c r="B1763" s="51" t="str">
        <f aca="false">IF(A1763="","",MONTH(A1763))</f>
        <v/>
      </c>
      <c r="C1763" s="52"/>
      <c r="D1763" s="52"/>
      <c r="E1763" s="52"/>
      <c r="F1763" s="52"/>
      <c r="G1763" s="55" t="str">
        <f aca="false">IF(C1763="","",IFERROR(INDEX('DANH MỤC'!$B$5:$B$200,MATCH(C1763,'DANH MỤC'!$A$5:$A$200,0)),"⚠ Mã chưa có trong DANH MỤC"))</f>
        <v/>
      </c>
      <c r="H1763" s="52"/>
      <c r="I1763" s="52"/>
    </row>
    <row r="1764" customFormat="false" ht="15" hidden="false" customHeight="false" outlineLevel="0" collapsed="false">
      <c r="A1764" s="50"/>
      <c r="B1764" s="51" t="str">
        <f aca="false">IF(A1764="","",MONTH(A1764))</f>
        <v/>
      </c>
      <c r="C1764" s="52"/>
      <c r="D1764" s="52"/>
      <c r="E1764" s="52"/>
      <c r="F1764" s="52"/>
      <c r="G1764" s="55" t="str">
        <f aca="false">IF(C1764="","",IFERROR(INDEX('DANH MỤC'!$B$5:$B$200,MATCH(C1764,'DANH MỤC'!$A$5:$A$200,0)),"⚠ Mã chưa có trong DANH MỤC"))</f>
        <v/>
      </c>
      <c r="H1764" s="52"/>
      <c r="I1764" s="52"/>
    </row>
    <row r="1765" customFormat="false" ht="15" hidden="false" customHeight="false" outlineLevel="0" collapsed="false">
      <c r="A1765" s="50"/>
      <c r="B1765" s="51" t="str">
        <f aca="false">IF(A1765="","",MONTH(A1765))</f>
        <v/>
      </c>
      <c r="C1765" s="52"/>
      <c r="D1765" s="52"/>
      <c r="E1765" s="52"/>
      <c r="F1765" s="52"/>
      <c r="G1765" s="55" t="str">
        <f aca="false">IF(C1765="","",IFERROR(INDEX('DANH MỤC'!$B$5:$B$200,MATCH(C1765,'DANH MỤC'!$A$5:$A$200,0)),"⚠ Mã chưa có trong DANH MỤC"))</f>
        <v/>
      </c>
      <c r="H1765" s="52"/>
      <c r="I1765" s="52"/>
    </row>
    <row r="1766" customFormat="false" ht="15" hidden="false" customHeight="false" outlineLevel="0" collapsed="false">
      <c r="A1766" s="50"/>
      <c r="B1766" s="51" t="str">
        <f aca="false">IF(A1766="","",MONTH(A1766))</f>
        <v/>
      </c>
      <c r="C1766" s="52"/>
      <c r="D1766" s="52"/>
      <c r="E1766" s="52"/>
      <c r="F1766" s="52"/>
      <c r="G1766" s="55" t="str">
        <f aca="false">IF(C1766="","",IFERROR(INDEX('DANH MỤC'!$B$5:$B$200,MATCH(C1766,'DANH MỤC'!$A$5:$A$200,0)),"⚠ Mã chưa có trong DANH MỤC"))</f>
        <v/>
      </c>
      <c r="H1766" s="52"/>
      <c r="I1766" s="52"/>
    </row>
    <row r="1767" customFormat="false" ht="15" hidden="false" customHeight="false" outlineLevel="0" collapsed="false">
      <c r="A1767" s="50"/>
      <c r="B1767" s="51" t="str">
        <f aca="false">IF(A1767="","",MONTH(A1767))</f>
        <v/>
      </c>
      <c r="C1767" s="52"/>
      <c r="D1767" s="52"/>
      <c r="E1767" s="52"/>
      <c r="F1767" s="52"/>
      <c r="G1767" s="55" t="str">
        <f aca="false">IF(C1767="","",IFERROR(INDEX('DANH MỤC'!$B$5:$B$200,MATCH(C1767,'DANH MỤC'!$A$5:$A$200,0)),"⚠ Mã chưa có trong DANH MỤC"))</f>
        <v/>
      </c>
      <c r="H1767" s="52"/>
      <c r="I1767" s="52"/>
    </row>
    <row r="1768" customFormat="false" ht="15" hidden="false" customHeight="false" outlineLevel="0" collapsed="false">
      <c r="A1768" s="50"/>
      <c r="B1768" s="51" t="str">
        <f aca="false">IF(A1768="","",MONTH(A1768))</f>
        <v/>
      </c>
      <c r="C1768" s="52"/>
      <c r="D1768" s="52"/>
      <c r="E1768" s="52"/>
      <c r="F1768" s="52"/>
      <c r="G1768" s="55" t="str">
        <f aca="false">IF(C1768="","",IFERROR(INDEX('DANH MỤC'!$B$5:$B$200,MATCH(C1768,'DANH MỤC'!$A$5:$A$200,0)),"⚠ Mã chưa có trong DANH MỤC"))</f>
        <v/>
      </c>
      <c r="H1768" s="52"/>
      <c r="I1768" s="52"/>
    </row>
    <row r="1769" customFormat="false" ht="15" hidden="false" customHeight="false" outlineLevel="0" collapsed="false">
      <c r="A1769" s="50"/>
      <c r="B1769" s="51" t="str">
        <f aca="false">IF(A1769="","",MONTH(A1769))</f>
        <v/>
      </c>
      <c r="C1769" s="52"/>
      <c r="D1769" s="52"/>
      <c r="E1769" s="52"/>
      <c r="F1769" s="52"/>
      <c r="G1769" s="55" t="str">
        <f aca="false">IF(C1769="","",IFERROR(INDEX('DANH MỤC'!$B$5:$B$200,MATCH(C1769,'DANH MỤC'!$A$5:$A$200,0)),"⚠ Mã chưa có trong DANH MỤC"))</f>
        <v/>
      </c>
      <c r="H1769" s="52"/>
      <c r="I1769" s="52"/>
    </row>
    <row r="1770" customFormat="false" ht="15" hidden="false" customHeight="false" outlineLevel="0" collapsed="false">
      <c r="A1770" s="50"/>
      <c r="B1770" s="51" t="str">
        <f aca="false">IF(A1770="","",MONTH(A1770))</f>
        <v/>
      </c>
      <c r="C1770" s="52"/>
      <c r="D1770" s="52"/>
      <c r="E1770" s="52"/>
      <c r="F1770" s="52"/>
      <c r="G1770" s="55" t="str">
        <f aca="false">IF(C1770="","",IFERROR(INDEX('DANH MỤC'!$B$5:$B$200,MATCH(C1770,'DANH MỤC'!$A$5:$A$200,0)),"⚠ Mã chưa có trong DANH MỤC"))</f>
        <v/>
      </c>
      <c r="H1770" s="52"/>
      <c r="I1770" s="52"/>
    </row>
    <row r="1771" customFormat="false" ht="15" hidden="false" customHeight="false" outlineLevel="0" collapsed="false">
      <c r="A1771" s="50"/>
      <c r="B1771" s="51" t="str">
        <f aca="false">IF(A1771="","",MONTH(A1771))</f>
        <v/>
      </c>
      <c r="C1771" s="52"/>
      <c r="D1771" s="52"/>
      <c r="E1771" s="52"/>
      <c r="F1771" s="52"/>
      <c r="G1771" s="55" t="str">
        <f aca="false">IF(C1771="","",IFERROR(INDEX('DANH MỤC'!$B$5:$B$200,MATCH(C1771,'DANH MỤC'!$A$5:$A$200,0)),"⚠ Mã chưa có trong DANH MỤC"))</f>
        <v/>
      </c>
      <c r="H1771" s="52"/>
      <c r="I1771" s="52"/>
    </row>
    <row r="1772" customFormat="false" ht="15" hidden="false" customHeight="false" outlineLevel="0" collapsed="false">
      <c r="A1772" s="50"/>
      <c r="B1772" s="51" t="str">
        <f aca="false">IF(A1772="","",MONTH(A1772))</f>
        <v/>
      </c>
      <c r="C1772" s="52"/>
      <c r="D1772" s="52"/>
      <c r="E1772" s="52"/>
      <c r="F1772" s="52"/>
      <c r="G1772" s="55" t="str">
        <f aca="false">IF(C1772="","",IFERROR(INDEX('DANH MỤC'!$B$5:$B$200,MATCH(C1772,'DANH MỤC'!$A$5:$A$200,0)),"⚠ Mã chưa có trong DANH MỤC"))</f>
        <v/>
      </c>
      <c r="H1772" s="52"/>
      <c r="I1772" s="52"/>
    </row>
    <row r="1773" customFormat="false" ht="15" hidden="false" customHeight="false" outlineLevel="0" collapsed="false">
      <c r="A1773" s="50"/>
      <c r="B1773" s="51" t="str">
        <f aca="false">IF(A1773="","",MONTH(A1773))</f>
        <v/>
      </c>
      <c r="C1773" s="52"/>
      <c r="D1773" s="52"/>
      <c r="E1773" s="52"/>
      <c r="F1773" s="52"/>
      <c r="G1773" s="55" t="str">
        <f aca="false">IF(C1773="","",IFERROR(INDEX('DANH MỤC'!$B$5:$B$200,MATCH(C1773,'DANH MỤC'!$A$5:$A$200,0)),"⚠ Mã chưa có trong DANH MỤC"))</f>
        <v/>
      </c>
      <c r="H1773" s="52"/>
      <c r="I1773" s="52"/>
    </row>
    <row r="1774" customFormat="false" ht="15" hidden="false" customHeight="false" outlineLevel="0" collapsed="false">
      <c r="A1774" s="50"/>
      <c r="B1774" s="51" t="str">
        <f aca="false">IF(A1774="","",MONTH(A1774))</f>
        <v/>
      </c>
      <c r="C1774" s="52"/>
      <c r="D1774" s="52"/>
      <c r="E1774" s="52"/>
      <c r="F1774" s="52"/>
      <c r="G1774" s="55" t="str">
        <f aca="false">IF(C1774="","",IFERROR(INDEX('DANH MỤC'!$B$5:$B$200,MATCH(C1774,'DANH MỤC'!$A$5:$A$200,0)),"⚠ Mã chưa có trong DANH MỤC"))</f>
        <v/>
      </c>
      <c r="H1774" s="52"/>
      <c r="I1774" s="52"/>
    </row>
    <row r="1775" customFormat="false" ht="15" hidden="false" customHeight="false" outlineLevel="0" collapsed="false">
      <c r="A1775" s="50"/>
      <c r="B1775" s="51" t="str">
        <f aca="false">IF(A1775="","",MONTH(A1775))</f>
        <v/>
      </c>
      <c r="C1775" s="52"/>
      <c r="D1775" s="52"/>
      <c r="E1775" s="52"/>
      <c r="F1775" s="52"/>
      <c r="G1775" s="55" t="str">
        <f aca="false">IF(C1775="","",IFERROR(INDEX('DANH MỤC'!$B$5:$B$200,MATCH(C1775,'DANH MỤC'!$A$5:$A$200,0)),"⚠ Mã chưa có trong DANH MỤC"))</f>
        <v/>
      </c>
      <c r="H1775" s="52"/>
      <c r="I1775" s="52"/>
    </row>
    <row r="1776" customFormat="false" ht="15" hidden="false" customHeight="false" outlineLevel="0" collapsed="false">
      <c r="A1776" s="50"/>
      <c r="B1776" s="51" t="str">
        <f aca="false">IF(A1776="","",MONTH(A1776))</f>
        <v/>
      </c>
      <c r="C1776" s="52"/>
      <c r="D1776" s="52"/>
      <c r="E1776" s="52"/>
      <c r="F1776" s="52"/>
      <c r="G1776" s="55" t="str">
        <f aca="false">IF(C1776="","",IFERROR(INDEX('DANH MỤC'!$B$5:$B$200,MATCH(C1776,'DANH MỤC'!$A$5:$A$200,0)),"⚠ Mã chưa có trong DANH MỤC"))</f>
        <v/>
      </c>
      <c r="H1776" s="52"/>
      <c r="I1776" s="52"/>
    </row>
    <row r="1777" customFormat="false" ht="15" hidden="false" customHeight="false" outlineLevel="0" collapsed="false">
      <c r="A1777" s="50"/>
      <c r="B1777" s="51" t="str">
        <f aca="false">IF(A1777="","",MONTH(A1777))</f>
        <v/>
      </c>
      <c r="C1777" s="52"/>
      <c r="D1777" s="52"/>
      <c r="E1777" s="52"/>
      <c r="F1777" s="52"/>
      <c r="G1777" s="55" t="str">
        <f aca="false">IF(C1777="","",IFERROR(INDEX('DANH MỤC'!$B$5:$B$200,MATCH(C1777,'DANH MỤC'!$A$5:$A$200,0)),"⚠ Mã chưa có trong DANH MỤC"))</f>
        <v/>
      </c>
      <c r="H1777" s="52"/>
      <c r="I1777" s="52"/>
    </row>
    <row r="1778" customFormat="false" ht="15" hidden="false" customHeight="false" outlineLevel="0" collapsed="false">
      <c r="A1778" s="50"/>
      <c r="B1778" s="51" t="str">
        <f aca="false">IF(A1778="","",MONTH(A1778))</f>
        <v/>
      </c>
      <c r="C1778" s="52"/>
      <c r="D1778" s="52"/>
      <c r="E1778" s="52"/>
      <c r="F1778" s="52"/>
      <c r="G1778" s="55" t="str">
        <f aca="false">IF(C1778="","",IFERROR(INDEX('DANH MỤC'!$B$5:$B$200,MATCH(C1778,'DANH MỤC'!$A$5:$A$200,0)),"⚠ Mã chưa có trong DANH MỤC"))</f>
        <v/>
      </c>
      <c r="H1778" s="52"/>
      <c r="I1778" s="52"/>
    </row>
    <row r="1779" customFormat="false" ht="15" hidden="false" customHeight="false" outlineLevel="0" collapsed="false">
      <c r="A1779" s="50"/>
      <c r="B1779" s="51" t="str">
        <f aca="false">IF(A1779="","",MONTH(A1779))</f>
        <v/>
      </c>
      <c r="C1779" s="52"/>
      <c r="D1779" s="52"/>
      <c r="E1779" s="52"/>
      <c r="F1779" s="52"/>
      <c r="G1779" s="55" t="str">
        <f aca="false">IF(C1779="","",IFERROR(INDEX('DANH MỤC'!$B$5:$B$200,MATCH(C1779,'DANH MỤC'!$A$5:$A$200,0)),"⚠ Mã chưa có trong DANH MỤC"))</f>
        <v/>
      </c>
      <c r="H1779" s="52"/>
      <c r="I1779" s="52"/>
    </row>
    <row r="1780" customFormat="false" ht="15" hidden="false" customHeight="false" outlineLevel="0" collapsed="false">
      <c r="A1780" s="50"/>
      <c r="B1780" s="51" t="str">
        <f aca="false">IF(A1780="","",MONTH(A1780))</f>
        <v/>
      </c>
      <c r="C1780" s="52"/>
      <c r="D1780" s="52"/>
      <c r="E1780" s="52"/>
      <c r="F1780" s="52"/>
      <c r="G1780" s="55" t="str">
        <f aca="false">IF(C1780="","",IFERROR(INDEX('DANH MỤC'!$B$5:$B$200,MATCH(C1780,'DANH MỤC'!$A$5:$A$200,0)),"⚠ Mã chưa có trong DANH MỤC"))</f>
        <v/>
      </c>
      <c r="H1780" s="52"/>
      <c r="I1780" s="52"/>
    </row>
    <row r="1781" customFormat="false" ht="15" hidden="false" customHeight="false" outlineLevel="0" collapsed="false">
      <c r="A1781" s="50"/>
      <c r="B1781" s="51" t="str">
        <f aca="false">IF(A1781="","",MONTH(A1781))</f>
        <v/>
      </c>
      <c r="C1781" s="52"/>
      <c r="D1781" s="52"/>
      <c r="E1781" s="52"/>
      <c r="F1781" s="52"/>
      <c r="G1781" s="55" t="str">
        <f aca="false">IF(C1781="","",IFERROR(INDEX('DANH MỤC'!$B$5:$B$200,MATCH(C1781,'DANH MỤC'!$A$5:$A$200,0)),"⚠ Mã chưa có trong DANH MỤC"))</f>
        <v/>
      </c>
      <c r="H1781" s="52"/>
      <c r="I1781" s="52"/>
    </row>
    <row r="1782" customFormat="false" ht="15" hidden="false" customHeight="false" outlineLevel="0" collapsed="false">
      <c r="A1782" s="50"/>
      <c r="B1782" s="51" t="str">
        <f aca="false">IF(A1782="","",MONTH(A1782))</f>
        <v/>
      </c>
      <c r="C1782" s="52"/>
      <c r="D1782" s="52"/>
      <c r="E1782" s="52"/>
      <c r="F1782" s="52"/>
      <c r="G1782" s="55" t="str">
        <f aca="false">IF(C1782="","",IFERROR(INDEX('DANH MỤC'!$B$5:$B$200,MATCH(C1782,'DANH MỤC'!$A$5:$A$200,0)),"⚠ Mã chưa có trong DANH MỤC"))</f>
        <v/>
      </c>
      <c r="H1782" s="52"/>
      <c r="I1782" s="52"/>
    </row>
    <row r="1783" customFormat="false" ht="15" hidden="false" customHeight="false" outlineLevel="0" collapsed="false">
      <c r="A1783" s="50"/>
      <c r="B1783" s="51" t="str">
        <f aca="false">IF(A1783="","",MONTH(A1783))</f>
        <v/>
      </c>
      <c r="C1783" s="52"/>
      <c r="D1783" s="52"/>
      <c r="E1783" s="52"/>
      <c r="F1783" s="52"/>
      <c r="G1783" s="55" t="str">
        <f aca="false">IF(C1783="","",IFERROR(INDEX('DANH MỤC'!$B$5:$B$200,MATCH(C1783,'DANH MỤC'!$A$5:$A$200,0)),"⚠ Mã chưa có trong DANH MỤC"))</f>
        <v/>
      </c>
      <c r="H1783" s="52"/>
      <c r="I1783" s="52"/>
    </row>
    <row r="1784" customFormat="false" ht="15" hidden="false" customHeight="false" outlineLevel="0" collapsed="false">
      <c r="A1784" s="50"/>
      <c r="B1784" s="51" t="str">
        <f aca="false">IF(A1784="","",MONTH(A1784))</f>
        <v/>
      </c>
      <c r="C1784" s="52"/>
      <c r="D1784" s="52"/>
      <c r="E1784" s="52"/>
      <c r="F1784" s="52"/>
      <c r="G1784" s="55" t="str">
        <f aca="false">IF(C1784="","",IFERROR(INDEX('DANH MỤC'!$B$5:$B$200,MATCH(C1784,'DANH MỤC'!$A$5:$A$200,0)),"⚠ Mã chưa có trong DANH MỤC"))</f>
        <v/>
      </c>
      <c r="H1784" s="52"/>
      <c r="I1784" s="52"/>
    </row>
    <row r="1785" customFormat="false" ht="15" hidden="false" customHeight="false" outlineLevel="0" collapsed="false">
      <c r="A1785" s="50"/>
      <c r="B1785" s="51" t="str">
        <f aca="false">IF(A1785="","",MONTH(A1785))</f>
        <v/>
      </c>
      <c r="C1785" s="52"/>
      <c r="D1785" s="52"/>
      <c r="E1785" s="52"/>
      <c r="F1785" s="52"/>
      <c r="G1785" s="55" t="str">
        <f aca="false">IF(C1785="","",IFERROR(INDEX('DANH MỤC'!$B$5:$B$200,MATCH(C1785,'DANH MỤC'!$A$5:$A$200,0)),"⚠ Mã chưa có trong DANH MỤC"))</f>
        <v/>
      </c>
      <c r="H1785" s="52"/>
      <c r="I1785" s="52"/>
    </row>
    <row r="1786" customFormat="false" ht="15" hidden="false" customHeight="false" outlineLevel="0" collapsed="false">
      <c r="A1786" s="50"/>
      <c r="B1786" s="51" t="str">
        <f aca="false">IF(A1786="","",MONTH(A1786))</f>
        <v/>
      </c>
      <c r="C1786" s="52"/>
      <c r="D1786" s="52"/>
      <c r="E1786" s="52"/>
      <c r="F1786" s="52"/>
      <c r="G1786" s="55" t="str">
        <f aca="false">IF(C1786="","",IFERROR(INDEX('DANH MỤC'!$B$5:$B$200,MATCH(C1786,'DANH MỤC'!$A$5:$A$200,0)),"⚠ Mã chưa có trong DANH MỤC"))</f>
        <v/>
      </c>
      <c r="H1786" s="52"/>
      <c r="I1786" s="52"/>
    </row>
    <row r="1787" customFormat="false" ht="15" hidden="false" customHeight="false" outlineLevel="0" collapsed="false">
      <c r="A1787" s="50"/>
      <c r="B1787" s="51" t="str">
        <f aca="false">IF(A1787="","",MONTH(A1787))</f>
        <v/>
      </c>
      <c r="C1787" s="52"/>
      <c r="D1787" s="52"/>
      <c r="E1787" s="52"/>
      <c r="F1787" s="52"/>
      <c r="G1787" s="55" t="str">
        <f aca="false">IF(C1787="","",IFERROR(INDEX('DANH MỤC'!$B$5:$B$200,MATCH(C1787,'DANH MỤC'!$A$5:$A$200,0)),"⚠ Mã chưa có trong DANH MỤC"))</f>
        <v/>
      </c>
      <c r="H1787" s="52"/>
      <c r="I1787" s="52"/>
    </row>
    <row r="1788" customFormat="false" ht="15" hidden="false" customHeight="false" outlineLevel="0" collapsed="false">
      <c r="A1788" s="50"/>
      <c r="B1788" s="51" t="str">
        <f aca="false">IF(A1788="","",MONTH(A1788))</f>
        <v/>
      </c>
      <c r="C1788" s="52"/>
      <c r="D1788" s="52"/>
      <c r="E1788" s="52"/>
      <c r="F1788" s="52"/>
      <c r="G1788" s="55" t="str">
        <f aca="false">IF(C1788="","",IFERROR(INDEX('DANH MỤC'!$B$5:$B$200,MATCH(C1788,'DANH MỤC'!$A$5:$A$200,0)),"⚠ Mã chưa có trong DANH MỤC"))</f>
        <v/>
      </c>
      <c r="H1788" s="52"/>
      <c r="I1788" s="52"/>
    </row>
    <row r="1789" customFormat="false" ht="15" hidden="false" customHeight="false" outlineLevel="0" collapsed="false">
      <c r="A1789" s="50"/>
      <c r="B1789" s="51" t="str">
        <f aca="false">IF(A1789="","",MONTH(A1789))</f>
        <v/>
      </c>
      <c r="C1789" s="52"/>
      <c r="D1789" s="52"/>
      <c r="E1789" s="52"/>
      <c r="F1789" s="52"/>
      <c r="G1789" s="55" t="str">
        <f aca="false">IF(C1789="","",IFERROR(INDEX('DANH MỤC'!$B$5:$B$200,MATCH(C1789,'DANH MỤC'!$A$5:$A$200,0)),"⚠ Mã chưa có trong DANH MỤC"))</f>
        <v/>
      </c>
      <c r="H1789" s="52"/>
      <c r="I1789" s="52"/>
    </row>
    <row r="1790" customFormat="false" ht="15" hidden="false" customHeight="false" outlineLevel="0" collapsed="false">
      <c r="A1790" s="50"/>
      <c r="B1790" s="51" t="str">
        <f aca="false">IF(A1790="","",MONTH(A1790))</f>
        <v/>
      </c>
      <c r="C1790" s="52"/>
      <c r="D1790" s="52"/>
      <c r="E1790" s="52"/>
      <c r="F1790" s="52"/>
      <c r="G1790" s="55" t="str">
        <f aca="false">IF(C1790="","",IFERROR(INDEX('DANH MỤC'!$B$5:$B$200,MATCH(C1790,'DANH MỤC'!$A$5:$A$200,0)),"⚠ Mã chưa có trong DANH MỤC"))</f>
        <v/>
      </c>
      <c r="H1790" s="52"/>
      <c r="I1790" s="52"/>
    </row>
    <row r="1791" customFormat="false" ht="15" hidden="false" customHeight="false" outlineLevel="0" collapsed="false">
      <c r="A1791" s="50"/>
      <c r="B1791" s="51" t="str">
        <f aca="false">IF(A1791="","",MONTH(A1791))</f>
        <v/>
      </c>
      <c r="C1791" s="52"/>
      <c r="D1791" s="52"/>
      <c r="E1791" s="52"/>
      <c r="F1791" s="52"/>
      <c r="G1791" s="55" t="str">
        <f aca="false">IF(C1791="","",IFERROR(INDEX('DANH MỤC'!$B$5:$B$200,MATCH(C1791,'DANH MỤC'!$A$5:$A$200,0)),"⚠ Mã chưa có trong DANH MỤC"))</f>
        <v/>
      </c>
      <c r="H1791" s="52"/>
      <c r="I1791" s="52"/>
    </row>
    <row r="1792" customFormat="false" ht="15" hidden="false" customHeight="false" outlineLevel="0" collapsed="false">
      <c r="A1792" s="50"/>
      <c r="B1792" s="51" t="str">
        <f aca="false">IF(A1792="","",MONTH(A1792))</f>
        <v/>
      </c>
      <c r="C1792" s="52"/>
      <c r="D1792" s="52"/>
      <c r="E1792" s="52"/>
      <c r="F1792" s="52"/>
      <c r="G1792" s="55" t="str">
        <f aca="false">IF(C1792="","",IFERROR(INDEX('DANH MỤC'!$B$5:$B$200,MATCH(C1792,'DANH MỤC'!$A$5:$A$200,0)),"⚠ Mã chưa có trong DANH MỤC"))</f>
        <v/>
      </c>
      <c r="H1792" s="52"/>
      <c r="I1792" s="52"/>
    </row>
    <row r="1793" customFormat="false" ht="15" hidden="false" customHeight="false" outlineLevel="0" collapsed="false">
      <c r="A1793" s="50"/>
      <c r="B1793" s="51" t="str">
        <f aca="false">IF(A1793="","",MONTH(A1793))</f>
        <v/>
      </c>
      <c r="C1793" s="52"/>
      <c r="D1793" s="52"/>
      <c r="E1793" s="52"/>
      <c r="F1793" s="52"/>
      <c r="G1793" s="55" t="str">
        <f aca="false">IF(C1793="","",IFERROR(INDEX('DANH MỤC'!$B$5:$B$200,MATCH(C1793,'DANH MỤC'!$A$5:$A$200,0)),"⚠ Mã chưa có trong DANH MỤC"))</f>
        <v/>
      </c>
      <c r="H1793" s="52"/>
      <c r="I1793" s="52"/>
    </row>
    <row r="1794" customFormat="false" ht="15" hidden="false" customHeight="false" outlineLevel="0" collapsed="false">
      <c r="A1794" s="50"/>
      <c r="B1794" s="51" t="str">
        <f aca="false">IF(A1794="","",MONTH(A1794))</f>
        <v/>
      </c>
      <c r="C1794" s="52"/>
      <c r="D1794" s="52"/>
      <c r="E1794" s="52"/>
      <c r="F1794" s="52"/>
      <c r="G1794" s="55" t="str">
        <f aca="false">IF(C1794="","",IFERROR(INDEX('DANH MỤC'!$B$5:$B$200,MATCH(C1794,'DANH MỤC'!$A$5:$A$200,0)),"⚠ Mã chưa có trong DANH MỤC"))</f>
        <v/>
      </c>
      <c r="H1794" s="52"/>
      <c r="I1794" s="52"/>
    </row>
    <row r="1795" customFormat="false" ht="15" hidden="false" customHeight="false" outlineLevel="0" collapsed="false">
      <c r="A1795" s="50"/>
      <c r="B1795" s="51" t="str">
        <f aca="false">IF(A1795="","",MONTH(A1795))</f>
        <v/>
      </c>
      <c r="C1795" s="52"/>
      <c r="D1795" s="52"/>
      <c r="E1795" s="52"/>
      <c r="F1795" s="52"/>
      <c r="G1795" s="55" t="str">
        <f aca="false">IF(C1795="","",IFERROR(INDEX('DANH MỤC'!$B$5:$B$200,MATCH(C1795,'DANH MỤC'!$A$5:$A$200,0)),"⚠ Mã chưa có trong DANH MỤC"))</f>
        <v/>
      </c>
      <c r="H1795" s="52"/>
      <c r="I1795" s="52"/>
    </row>
    <row r="1796" customFormat="false" ht="15" hidden="false" customHeight="false" outlineLevel="0" collapsed="false">
      <c r="A1796" s="50"/>
      <c r="B1796" s="51" t="str">
        <f aca="false">IF(A1796="","",MONTH(A1796))</f>
        <v/>
      </c>
      <c r="C1796" s="52"/>
      <c r="D1796" s="52"/>
      <c r="E1796" s="52"/>
      <c r="F1796" s="52"/>
      <c r="G1796" s="55" t="str">
        <f aca="false">IF(C1796="","",IFERROR(INDEX('DANH MỤC'!$B$5:$B$200,MATCH(C1796,'DANH MỤC'!$A$5:$A$200,0)),"⚠ Mã chưa có trong DANH MỤC"))</f>
        <v/>
      </c>
      <c r="H1796" s="52"/>
      <c r="I1796" s="52"/>
    </row>
    <row r="1797" customFormat="false" ht="15" hidden="false" customHeight="false" outlineLevel="0" collapsed="false">
      <c r="A1797" s="50"/>
      <c r="B1797" s="51" t="str">
        <f aca="false">IF(A1797="","",MONTH(A1797))</f>
        <v/>
      </c>
      <c r="C1797" s="52"/>
      <c r="D1797" s="52"/>
      <c r="E1797" s="52"/>
      <c r="F1797" s="52"/>
      <c r="G1797" s="55" t="str">
        <f aca="false">IF(C1797="","",IFERROR(INDEX('DANH MỤC'!$B$5:$B$200,MATCH(C1797,'DANH MỤC'!$A$5:$A$200,0)),"⚠ Mã chưa có trong DANH MỤC"))</f>
        <v/>
      </c>
      <c r="H1797" s="52"/>
      <c r="I1797" s="52"/>
    </row>
    <row r="1798" customFormat="false" ht="15" hidden="false" customHeight="false" outlineLevel="0" collapsed="false">
      <c r="A1798" s="50"/>
      <c r="B1798" s="51" t="str">
        <f aca="false">IF(A1798="","",MONTH(A1798))</f>
        <v/>
      </c>
      <c r="C1798" s="52"/>
      <c r="D1798" s="52"/>
      <c r="E1798" s="52"/>
      <c r="F1798" s="52"/>
      <c r="G1798" s="55" t="str">
        <f aca="false">IF(C1798="","",IFERROR(INDEX('DANH MỤC'!$B$5:$B$200,MATCH(C1798,'DANH MỤC'!$A$5:$A$200,0)),"⚠ Mã chưa có trong DANH MỤC"))</f>
        <v/>
      </c>
      <c r="H1798" s="52"/>
      <c r="I1798" s="52"/>
    </row>
    <row r="1799" customFormat="false" ht="15" hidden="false" customHeight="false" outlineLevel="0" collapsed="false">
      <c r="A1799" s="50"/>
      <c r="B1799" s="51" t="str">
        <f aca="false">IF(A1799="","",MONTH(A1799))</f>
        <v/>
      </c>
      <c r="C1799" s="52"/>
      <c r="D1799" s="52"/>
      <c r="E1799" s="52"/>
      <c r="F1799" s="52"/>
      <c r="G1799" s="55" t="str">
        <f aca="false">IF(C1799="","",IFERROR(INDEX('DANH MỤC'!$B$5:$B$200,MATCH(C1799,'DANH MỤC'!$A$5:$A$200,0)),"⚠ Mã chưa có trong DANH MỤC"))</f>
        <v/>
      </c>
      <c r="H1799" s="52"/>
      <c r="I1799" s="52"/>
    </row>
    <row r="1800" customFormat="false" ht="15" hidden="false" customHeight="false" outlineLevel="0" collapsed="false">
      <c r="A1800" s="50"/>
      <c r="B1800" s="51" t="str">
        <f aca="false">IF(A1800="","",MONTH(A1800))</f>
        <v/>
      </c>
      <c r="C1800" s="52"/>
      <c r="D1800" s="52"/>
      <c r="E1800" s="52"/>
      <c r="F1800" s="52"/>
      <c r="G1800" s="55" t="str">
        <f aca="false">IF(C1800="","",IFERROR(INDEX('DANH MỤC'!$B$5:$B$200,MATCH(C1800,'DANH MỤC'!$A$5:$A$200,0)),"⚠ Mã chưa có trong DANH MỤC"))</f>
        <v/>
      </c>
      <c r="H1800" s="52"/>
      <c r="I1800" s="52"/>
    </row>
    <row r="1801" customFormat="false" ht="15" hidden="false" customHeight="false" outlineLevel="0" collapsed="false">
      <c r="A1801" s="50"/>
      <c r="B1801" s="51" t="str">
        <f aca="false">IF(A1801="","",MONTH(A1801))</f>
        <v/>
      </c>
      <c r="C1801" s="52"/>
      <c r="D1801" s="52"/>
      <c r="E1801" s="52"/>
      <c r="F1801" s="52"/>
      <c r="G1801" s="55" t="str">
        <f aca="false">IF(C1801="","",IFERROR(INDEX('DANH MỤC'!$B$5:$B$200,MATCH(C1801,'DANH MỤC'!$A$5:$A$200,0)),"⚠ Mã chưa có trong DANH MỤC"))</f>
        <v/>
      </c>
      <c r="H1801" s="52"/>
      <c r="I1801" s="52"/>
    </row>
    <row r="1802" customFormat="false" ht="15" hidden="false" customHeight="false" outlineLevel="0" collapsed="false">
      <c r="A1802" s="50"/>
      <c r="B1802" s="51" t="str">
        <f aca="false">IF(A1802="","",MONTH(A1802))</f>
        <v/>
      </c>
      <c r="C1802" s="52"/>
      <c r="D1802" s="52"/>
      <c r="E1802" s="52"/>
      <c r="F1802" s="52"/>
      <c r="G1802" s="55" t="str">
        <f aca="false">IF(C1802="","",IFERROR(INDEX('DANH MỤC'!$B$5:$B$200,MATCH(C1802,'DANH MỤC'!$A$5:$A$200,0)),"⚠ Mã chưa có trong DANH MỤC"))</f>
        <v/>
      </c>
      <c r="H1802" s="52"/>
      <c r="I1802" s="52"/>
    </row>
    <row r="1803" customFormat="false" ht="15" hidden="false" customHeight="false" outlineLevel="0" collapsed="false">
      <c r="A1803" s="50"/>
      <c r="B1803" s="51" t="str">
        <f aca="false">IF(A1803="","",MONTH(A1803))</f>
        <v/>
      </c>
      <c r="C1803" s="52"/>
      <c r="D1803" s="52"/>
      <c r="E1803" s="52"/>
      <c r="F1803" s="52"/>
      <c r="G1803" s="55" t="str">
        <f aca="false">IF(C1803="","",IFERROR(INDEX('DANH MỤC'!$B$5:$B$200,MATCH(C1803,'DANH MỤC'!$A$5:$A$200,0)),"⚠ Mã chưa có trong DANH MỤC"))</f>
        <v/>
      </c>
      <c r="H1803" s="52"/>
      <c r="I1803" s="52"/>
    </row>
    <row r="1804" customFormat="false" ht="15" hidden="false" customHeight="false" outlineLevel="0" collapsed="false">
      <c r="A1804" s="50"/>
      <c r="B1804" s="51" t="str">
        <f aca="false">IF(A1804="","",MONTH(A1804))</f>
        <v/>
      </c>
      <c r="C1804" s="52"/>
      <c r="D1804" s="52"/>
      <c r="E1804" s="52"/>
      <c r="F1804" s="52"/>
      <c r="G1804" s="55" t="str">
        <f aca="false">IF(C1804="","",IFERROR(INDEX('DANH MỤC'!$B$5:$B$200,MATCH(C1804,'DANH MỤC'!$A$5:$A$200,0)),"⚠ Mã chưa có trong DANH MỤC"))</f>
        <v/>
      </c>
      <c r="H1804" s="52"/>
      <c r="I1804" s="52"/>
    </row>
    <row r="1805" customFormat="false" ht="15" hidden="false" customHeight="false" outlineLevel="0" collapsed="false">
      <c r="A1805" s="50"/>
      <c r="B1805" s="51" t="str">
        <f aca="false">IF(A1805="","",MONTH(A1805))</f>
        <v/>
      </c>
      <c r="C1805" s="52"/>
      <c r="D1805" s="52"/>
      <c r="E1805" s="52"/>
      <c r="F1805" s="52"/>
      <c r="G1805" s="55" t="str">
        <f aca="false">IF(C1805="","",IFERROR(INDEX('DANH MỤC'!$B$5:$B$200,MATCH(C1805,'DANH MỤC'!$A$5:$A$200,0)),"⚠ Mã chưa có trong DANH MỤC"))</f>
        <v/>
      </c>
      <c r="H1805" s="52"/>
      <c r="I1805" s="52"/>
    </row>
    <row r="1806" customFormat="false" ht="15" hidden="false" customHeight="false" outlineLevel="0" collapsed="false">
      <c r="A1806" s="50"/>
      <c r="B1806" s="51" t="str">
        <f aca="false">IF(A1806="","",MONTH(A1806))</f>
        <v/>
      </c>
      <c r="C1806" s="52"/>
      <c r="D1806" s="52"/>
      <c r="E1806" s="52"/>
      <c r="F1806" s="52"/>
      <c r="G1806" s="55" t="str">
        <f aca="false">IF(C1806="","",IFERROR(INDEX('DANH MỤC'!$B$5:$B$200,MATCH(C1806,'DANH MỤC'!$A$5:$A$200,0)),"⚠ Mã chưa có trong DANH MỤC"))</f>
        <v/>
      </c>
      <c r="H1806" s="52"/>
      <c r="I1806" s="52"/>
    </row>
    <row r="1807" customFormat="false" ht="15" hidden="false" customHeight="false" outlineLevel="0" collapsed="false">
      <c r="A1807" s="50"/>
      <c r="B1807" s="51" t="str">
        <f aca="false">IF(A1807="","",MONTH(A1807))</f>
        <v/>
      </c>
      <c r="C1807" s="52"/>
      <c r="D1807" s="52"/>
      <c r="E1807" s="52"/>
      <c r="F1807" s="52"/>
      <c r="G1807" s="55" t="str">
        <f aca="false">IF(C1807="","",IFERROR(INDEX('DANH MỤC'!$B$5:$B$200,MATCH(C1807,'DANH MỤC'!$A$5:$A$200,0)),"⚠ Mã chưa có trong DANH MỤC"))</f>
        <v/>
      </c>
      <c r="H1807" s="52"/>
      <c r="I1807" s="52"/>
    </row>
    <row r="1808" customFormat="false" ht="15" hidden="false" customHeight="false" outlineLevel="0" collapsed="false">
      <c r="A1808" s="50"/>
      <c r="B1808" s="51" t="str">
        <f aca="false">IF(A1808="","",MONTH(A1808))</f>
        <v/>
      </c>
      <c r="C1808" s="52"/>
      <c r="D1808" s="52"/>
      <c r="E1808" s="52"/>
      <c r="F1808" s="52"/>
      <c r="G1808" s="55" t="str">
        <f aca="false">IF(C1808="","",IFERROR(INDEX('DANH MỤC'!$B$5:$B$200,MATCH(C1808,'DANH MỤC'!$A$5:$A$200,0)),"⚠ Mã chưa có trong DANH MỤC"))</f>
        <v/>
      </c>
      <c r="H1808" s="52"/>
      <c r="I1808" s="52"/>
    </row>
    <row r="1809" customFormat="false" ht="15" hidden="false" customHeight="false" outlineLevel="0" collapsed="false">
      <c r="A1809" s="50"/>
      <c r="B1809" s="51" t="str">
        <f aca="false">IF(A1809="","",MONTH(A1809))</f>
        <v/>
      </c>
      <c r="C1809" s="52"/>
      <c r="D1809" s="52"/>
      <c r="E1809" s="52"/>
      <c r="F1809" s="52"/>
      <c r="G1809" s="55" t="str">
        <f aca="false">IF(C1809="","",IFERROR(INDEX('DANH MỤC'!$B$5:$B$200,MATCH(C1809,'DANH MỤC'!$A$5:$A$200,0)),"⚠ Mã chưa có trong DANH MỤC"))</f>
        <v/>
      </c>
      <c r="H1809" s="52"/>
      <c r="I1809" s="52"/>
    </row>
    <row r="1810" customFormat="false" ht="15" hidden="false" customHeight="false" outlineLevel="0" collapsed="false">
      <c r="A1810" s="50"/>
      <c r="B1810" s="51" t="str">
        <f aca="false">IF(A1810="","",MONTH(A1810))</f>
        <v/>
      </c>
      <c r="C1810" s="52"/>
      <c r="D1810" s="52"/>
      <c r="E1810" s="52"/>
      <c r="F1810" s="52"/>
      <c r="G1810" s="55" t="str">
        <f aca="false">IF(C1810="","",IFERROR(INDEX('DANH MỤC'!$B$5:$B$200,MATCH(C1810,'DANH MỤC'!$A$5:$A$200,0)),"⚠ Mã chưa có trong DANH MỤC"))</f>
        <v/>
      </c>
      <c r="H1810" s="52"/>
      <c r="I1810" s="52"/>
    </row>
    <row r="1811" customFormat="false" ht="15" hidden="false" customHeight="false" outlineLevel="0" collapsed="false">
      <c r="A1811" s="50"/>
      <c r="B1811" s="51" t="str">
        <f aca="false">IF(A1811="","",MONTH(A1811))</f>
        <v/>
      </c>
      <c r="C1811" s="52"/>
      <c r="D1811" s="52"/>
      <c r="E1811" s="52"/>
      <c r="F1811" s="52"/>
      <c r="G1811" s="55" t="str">
        <f aca="false">IF(C1811="","",IFERROR(INDEX('DANH MỤC'!$B$5:$B$200,MATCH(C1811,'DANH MỤC'!$A$5:$A$200,0)),"⚠ Mã chưa có trong DANH MỤC"))</f>
        <v/>
      </c>
      <c r="H1811" s="52"/>
      <c r="I1811" s="52"/>
    </row>
    <row r="1812" customFormat="false" ht="15" hidden="false" customHeight="false" outlineLevel="0" collapsed="false">
      <c r="A1812" s="50"/>
      <c r="B1812" s="51" t="str">
        <f aca="false">IF(A1812="","",MONTH(A1812))</f>
        <v/>
      </c>
      <c r="C1812" s="52"/>
      <c r="D1812" s="52"/>
      <c r="E1812" s="52"/>
      <c r="F1812" s="52"/>
      <c r="G1812" s="55" t="str">
        <f aca="false">IF(C1812="","",IFERROR(INDEX('DANH MỤC'!$B$5:$B$200,MATCH(C1812,'DANH MỤC'!$A$5:$A$200,0)),"⚠ Mã chưa có trong DANH MỤC"))</f>
        <v/>
      </c>
      <c r="H1812" s="52"/>
      <c r="I1812" s="52"/>
    </row>
    <row r="1813" customFormat="false" ht="15" hidden="false" customHeight="false" outlineLevel="0" collapsed="false">
      <c r="A1813" s="50"/>
      <c r="B1813" s="51" t="str">
        <f aca="false">IF(A1813="","",MONTH(A1813))</f>
        <v/>
      </c>
      <c r="C1813" s="52"/>
      <c r="D1813" s="52"/>
      <c r="E1813" s="52"/>
      <c r="F1813" s="52"/>
      <c r="G1813" s="55" t="str">
        <f aca="false">IF(C1813="","",IFERROR(INDEX('DANH MỤC'!$B$5:$B$200,MATCH(C1813,'DANH MỤC'!$A$5:$A$200,0)),"⚠ Mã chưa có trong DANH MỤC"))</f>
        <v/>
      </c>
      <c r="H1813" s="52"/>
      <c r="I1813" s="52"/>
    </row>
    <row r="1814" customFormat="false" ht="15" hidden="false" customHeight="false" outlineLevel="0" collapsed="false">
      <c r="A1814" s="50"/>
      <c r="B1814" s="51" t="str">
        <f aca="false">IF(A1814="","",MONTH(A1814))</f>
        <v/>
      </c>
      <c r="C1814" s="52"/>
      <c r="D1814" s="52"/>
      <c r="E1814" s="52"/>
      <c r="F1814" s="52"/>
      <c r="G1814" s="55" t="str">
        <f aca="false">IF(C1814="","",IFERROR(INDEX('DANH MỤC'!$B$5:$B$200,MATCH(C1814,'DANH MỤC'!$A$5:$A$200,0)),"⚠ Mã chưa có trong DANH MỤC"))</f>
        <v/>
      </c>
      <c r="H1814" s="52"/>
      <c r="I1814" s="52"/>
    </row>
    <row r="1815" customFormat="false" ht="15" hidden="false" customHeight="false" outlineLevel="0" collapsed="false">
      <c r="A1815" s="50"/>
      <c r="B1815" s="51" t="str">
        <f aca="false">IF(A1815="","",MONTH(A1815))</f>
        <v/>
      </c>
      <c r="C1815" s="52"/>
      <c r="D1815" s="52"/>
      <c r="E1815" s="52"/>
      <c r="F1815" s="52"/>
      <c r="G1815" s="55" t="str">
        <f aca="false">IF(C1815="","",IFERROR(INDEX('DANH MỤC'!$B$5:$B$200,MATCH(C1815,'DANH MỤC'!$A$5:$A$200,0)),"⚠ Mã chưa có trong DANH MỤC"))</f>
        <v/>
      </c>
      <c r="H1815" s="52"/>
      <c r="I1815" s="52"/>
    </row>
    <row r="1816" customFormat="false" ht="15" hidden="false" customHeight="false" outlineLevel="0" collapsed="false">
      <c r="A1816" s="50"/>
      <c r="B1816" s="51" t="str">
        <f aca="false">IF(A1816="","",MONTH(A1816))</f>
        <v/>
      </c>
      <c r="C1816" s="52"/>
      <c r="D1816" s="52"/>
      <c r="E1816" s="52"/>
      <c r="F1816" s="52"/>
      <c r="G1816" s="55" t="str">
        <f aca="false">IF(C1816="","",IFERROR(INDEX('DANH MỤC'!$B$5:$B$200,MATCH(C1816,'DANH MỤC'!$A$5:$A$200,0)),"⚠ Mã chưa có trong DANH MỤC"))</f>
        <v/>
      </c>
      <c r="H1816" s="52"/>
      <c r="I1816" s="52"/>
    </row>
    <row r="1817" customFormat="false" ht="15" hidden="false" customHeight="false" outlineLevel="0" collapsed="false">
      <c r="A1817" s="50"/>
      <c r="B1817" s="51" t="str">
        <f aca="false">IF(A1817="","",MONTH(A1817))</f>
        <v/>
      </c>
      <c r="C1817" s="52"/>
      <c r="D1817" s="52"/>
      <c r="E1817" s="52"/>
      <c r="F1817" s="52"/>
      <c r="G1817" s="55" t="str">
        <f aca="false">IF(C1817="","",IFERROR(INDEX('DANH MỤC'!$B$5:$B$200,MATCH(C1817,'DANH MỤC'!$A$5:$A$200,0)),"⚠ Mã chưa có trong DANH MỤC"))</f>
        <v/>
      </c>
      <c r="H1817" s="52"/>
      <c r="I1817" s="52"/>
    </row>
    <row r="1818" customFormat="false" ht="15" hidden="false" customHeight="false" outlineLevel="0" collapsed="false">
      <c r="A1818" s="50"/>
      <c r="B1818" s="51" t="str">
        <f aca="false">IF(A1818="","",MONTH(A1818))</f>
        <v/>
      </c>
      <c r="C1818" s="52"/>
      <c r="D1818" s="52"/>
      <c r="E1818" s="52"/>
      <c r="F1818" s="52"/>
      <c r="G1818" s="55" t="str">
        <f aca="false">IF(C1818="","",IFERROR(INDEX('DANH MỤC'!$B$5:$B$200,MATCH(C1818,'DANH MỤC'!$A$5:$A$200,0)),"⚠ Mã chưa có trong DANH MỤC"))</f>
        <v/>
      </c>
      <c r="H1818" s="52"/>
      <c r="I1818" s="52"/>
    </row>
    <row r="1819" customFormat="false" ht="15" hidden="false" customHeight="false" outlineLevel="0" collapsed="false">
      <c r="A1819" s="50"/>
      <c r="B1819" s="51" t="str">
        <f aca="false">IF(A1819="","",MONTH(A1819))</f>
        <v/>
      </c>
      <c r="C1819" s="52"/>
      <c r="D1819" s="52"/>
      <c r="E1819" s="52"/>
      <c r="F1819" s="52"/>
      <c r="G1819" s="55" t="str">
        <f aca="false">IF(C1819="","",IFERROR(INDEX('DANH MỤC'!$B$5:$B$200,MATCH(C1819,'DANH MỤC'!$A$5:$A$200,0)),"⚠ Mã chưa có trong DANH MỤC"))</f>
        <v/>
      </c>
      <c r="H1819" s="52"/>
      <c r="I1819" s="52"/>
    </row>
    <row r="1820" customFormat="false" ht="15" hidden="false" customHeight="false" outlineLevel="0" collapsed="false">
      <c r="A1820" s="50"/>
      <c r="B1820" s="51" t="str">
        <f aca="false">IF(A1820="","",MONTH(A1820))</f>
        <v/>
      </c>
      <c r="C1820" s="52"/>
      <c r="D1820" s="52"/>
      <c r="E1820" s="52"/>
      <c r="F1820" s="52"/>
      <c r="G1820" s="55" t="str">
        <f aca="false">IF(C1820="","",IFERROR(INDEX('DANH MỤC'!$B$5:$B$200,MATCH(C1820,'DANH MỤC'!$A$5:$A$200,0)),"⚠ Mã chưa có trong DANH MỤC"))</f>
        <v/>
      </c>
      <c r="H1820" s="52"/>
      <c r="I1820" s="52"/>
    </row>
    <row r="1821" customFormat="false" ht="15" hidden="false" customHeight="false" outlineLevel="0" collapsed="false">
      <c r="A1821" s="50"/>
      <c r="B1821" s="51" t="str">
        <f aca="false">IF(A1821="","",MONTH(A1821))</f>
        <v/>
      </c>
      <c r="C1821" s="52"/>
      <c r="D1821" s="52"/>
      <c r="E1821" s="52"/>
      <c r="F1821" s="52"/>
      <c r="G1821" s="55" t="str">
        <f aca="false">IF(C1821="","",IFERROR(INDEX('DANH MỤC'!$B$5:$B$200,MATCH(C1821,'DANH MỤC'!$A$5:$A$200,0)),"⚠ Mã chưa có trong DANH MỤC"))</f>
        <v/>
      </c>
      <c r="H1821" s="52"/>
      <c r="I1821" s="52"/>
    </row>
    <row r="1822" customFormat="false" ht="15" hidden="false" customHeight="false" outlineLevel="0" collapsed="false">
      <c r="A1822" s="50"/>
      <c r="B1822" s="51" t="str">
        <f aca="false">IF(A1822="","",MONTH(A1822))</f>
        <v/>
      </c>
      <c r="C1822" s="52"/>
      <c r="D1822" s="52"/>
      <c r="E1822" s="52"/>
      <c r="F1822" s="52"/>
      <c r="G1822" s="55" t="str">
        <f aca="false">IF(C1822="","",IFERROR(INDEX('DANH MỤC'!$B$5:$B$200,MATCH(C1822,'DANH MỤC'!$A$5:$A$200,0)),"⚠ Mã chưa có trong DANH MỤC"))</f>
        <v/>
      </c>
      <c r="H1822" s="52"/>
      <c r="I1822" s="52"/>
    </row>
    <row r="1823" customFormat="false" ht="15" hidden="false" customHeight="false" outlineLevel="0" collapsed="false">
      <c r="A1823" s="50"/>
      <c r="B1823" s="51" t="str">
        <f aca="false">IF(A1823="","",MONTH(A1823))</f>
        <v/>
      </c>
      <c r="C1823" s="52"/>
      <c r="D1823" s="52"/>
      <c r="E1823" s="52"/>
      <c r="F1823" s="52"/>
      <c r="G1823" s="55" t="str">
        <f aca="false">IF(C1823="","",IFERROR(INDEX('DANH MỤC'!$B$5:$B$200,MATCH(C1823,'DANH MỤC'!$A$5:$A$200,0)),"⚠ Mã chưa có trong DANH MỤC"))</f>
        <v/>
      </c>
      <c r="H1823" s="52"/>
      <c r="I1823" s="52"/>
    </row>
    <row r="1824" customFormat="false" ht="15" hidden="false" customHeight="false" outlineLevel="0" collapsed="false">
      <c r="A1824" s="50"/>
      <c r="B1824" s="51" t="str">
        <f aca="false">IF(A1824="","",MONTH(A1824))</f>
        <v/>
      </c>
      <c r="C1824" s="52"/>
      <c r="D1824" s="52"/>
      <c r="E1824" s="52"/>
      <c r="F1824" s="52"/>
      <c r="G1824" s="55" t="str">
        <f aca="false">IF(C1824="","",IFERROR(INDEX('DANH MỤC'!$B$5:$B$200,MATCH(C1824,'DANH MỤC'!$A$5:$A$200,0)),"⚠ Mã chưa có trong DANH MỤC"))</f>
        <v/>
      </c>
      <c r="H1824" s="52"/>
      <c r="I1824" s="52"/>
    </row>
    <row r="1825" customFormat="false" ht="15" hidden="false" customHeight="false" outlineLevel="0" collapsed="false">
      <c r="A1825" s="50"/>
      <c r="B1825" s="51" t="str">
        <f aca="false">IF(A1825="","",MONTH(A1825))</f>
        <v/>
      </c>
      <c r="C1825" s="52"/>
      <c r="D1825" s="52"/>
      <c r="E1825" s="52"/>
      <c r="F1825" s="52"/>
      <c r="G1825" s="55" t="str">
        <f aca="false">IF(C1825="","",IFERROR(INDEX('DANH MỤC'!$B$5:$B$200,MATCH(C1825,'DANH MỤC'!$A$5:$A$200,0)),"⚠ Mã chưa có trong DANH MỤC"))</f>
        <v/>
      </c>
      <c r="H1825" s="52"/>
      <c r="I1825" s="52"/>
    </row>
    <row r="1826" customFormat="false" ht="15" hidden="false" customHeight="false" outlineLevel="0" collapsed="false">
      <c r="A1826" s="50"/>
      <c r="B1826" s="51" t="str">
        <f aca="false">IF(A1826="","",MONTH(A1826))</f>
        <v/>
      </c>
      <c r="C1826" s="52"/>
      <c r="D1826" s="52"/>
      <c r="E1826" s="52"/>
      <c r="F1826" s="52"/>
      <c r="G1826" s="55" t="str">
        <f aca="false">IF(C1826="","",IFERROR(INDEX('DANH MỤC'!$B$5:$B$200,MATCH(C1826,'DANH MỤC'!$A$5:$A$200,0)),"⚠ Mã chưa có trong DANH MỤC"))</f>
        <v/>
      </c>
      <c r="H1826" s="52"/>
      <c r="I1826" s="52"/>
    </row>
    <row r="1827" customFormat="false" ht="15" hidden="false" customHeight="false" outlineLevel="0" collapsed="false">
      <c r="A1827" s="50"/>
      <c r="B1827" s="51" t="str">
        <f aca="false">IF(A1827="","",MONTH(A1827))</f>
        <v/>
      </c>
      <c r="C1827" s="52"/>
      <c r="D1827" s="52"/>
      <c r="E1827" s="52"/>
      <c r="F1827" s="52"/>
      <c r="G1827" s="55" t="str">
        <f aca="false">IF(C1827="","",IFERROR(INDEX('DANH MỤC'!$B$5:$B$200,MATCH(C1827,'DANH MỤC'!$A$5:$A$200,0)),"⚠ Mã chưa có trong DANH MỤC"))</f>
        <v/>
      </c>
      <c r="H1827" s="52"/>
      <c r="I1827" s="52"/>
    </row>
    <row r="1828" customFormat="false" ht="15" hidden="false" customHeight="false" outlineLevel="0" collapsed="false">
      <c r="A1828" s="50"/>
      <c r="B1828" s="51" t="str">
        <f aca="false">IF(A1828="","",MONTH(A1828))</f>
        <v/>
      </c>
      <c r="C1828" s="52"/>
      <c r="D1828" s="52"/>
      <c r="E1828" s="52"/>
      <c r="F1828" s="52"/>
      <c r="G1828" s="55" t="str">
        <f aca="false">IF(C1828="","",IFERROR(INDEX('DANH MỤC'!$B$5:$B$200,MATCH(C1828,'DANH MỤC'!$A$5:$A$200,0)),"⚠ Mã chưa có trong DANH MỤC"))</f>
        <v/>
      </c>
      <c r="H1828" s="52"/>
      <c r="I1828" s="52"/>
    </row>
    <row r="1829" customFormat="false" ht="15" hidden="false" customHeight="false" outlineLevel="0" collapsed="false">
      <c r="A1829" s="50"/>
      <c r="B1829" s="51" t="str">
        <f aca="false">IF(A1829="","",MONTH(A1829))</f>
        <v/>
      </c>
      <c r="C1829" s="52"/>
      <c r="D1829" s="52"/>
      <c r="E1829" s="52"/>
      <c r="F1829" s="52"/>
      <c r="G1829" s="55" t="str">
        <f aca="false">IF(C1829="","",IFERROR(INDEX('DANH MỤC'!$B$5:$B$200,MATCH(C1829,'DANH MỤC'!$A$5:$A$200,0)),"⚠ Mã chưa có trong DANH MỤC"))</f>
        <v/>
      </c>
      <c r="H1829" s="52"/>
      <c r="I1829" s="52"/>
    </row>
    <row r="1830" customFormat="false" ht="15" hidden="false" customHeight="false" outlineLevel="0" collapsed="false">
      <c r="A1830" s="50"/>
      <c r="B1830" s="51" t="str">
        <f aca="false">IF(A1830="","",MONTH(A1830))</f>
        <v/>
      </c>
      <c r="C1830" s="52"/>
      <c r="D1830" s="52"/>
      <c r="E1830" s="52"/>
      <c r="F1830" s="52"/>
      <c r="G1830" s="55" t="str">
        <f aca="false">IF(C1830="","",IFERROR(INDEX('DANH MỤC'!$B$5:$B$200,MATCH(C1830,'DANH MỤC'!$A$5:$A$200,0)),"⚠ Mã chưa có trong DANH MỤC"))</f>
        <v/>
      </c>
      <c r="H1830" s="52"/>
      <c r="I1830" s="52"/>
    </row>
    <row r="1831" customFormat="false" ht="15" hidden="false" customHeight="false" outlineLevel="0" collapsed="false">
      <c r="A1831" s="50"/>
      <c r="B1831" s="51" t="str">
        <f aca="false">IF(A1831="","",MONTH(A1831))</f>
        <v/>
      </c>
      <c r="C1831" s="52"/>
      <c r="D1831" s="52"/>
      <c r="E1831" s="52"/>
      <c r="F1831" s="52"/>
      <c r="G1831" s="55" t="str">
        <f aca="false">IF(C1831="","",IFERROR(INDEX('DANH MỤC'!$B$5:$B$200,MATCH(C1831,'DANH MỤC'!$A$5:$A$200,0)),"⚠ Mã chưa có trong DANH MỤC"))</f>
        <v/>
      </c>
      <c r="H1831" s="52"/>
      <c r="I1831" s="52"/>
    </row>
    <row r="1832" customFormat="false" ht="15" hidden="false" customHeight="false" outlineLevel="0" collapsed="false">
      <c r="A1832" s="50"/>
      <c r="B1832" s="51" t="str">
        <f aca="false">IF(A1832="","",MONTH(A1832))</f>
        <v/>
      </c>
      <c r="C1832" s="52"/>
      <c r="D1832" s="52"/>
      <c r="E1832" s="52"/>
      <c r="F1832" s="52"/>
      <c r="G1832" s="55" t="str">
        <f aca="false">IF(C1832="","",IFERROR(INDEX('DANH MỤC'!$B$5:$B$200,MATCH(C1832,'DANH MỤC'!$A$5:$A$200,0)),"⚠ Mã chưa có trong DANH MỤC"))</f>
        <v/>
      </c>
      <c r="H1832" s="52"/>
      <c r="I1832" s="52"/>
    </row>
    <row r="1833" customFormat="false" ht="15" hidden="false" customHeight="false" outlineLevel="0" collapsed="false">
      <c r="A1833" s="50"/>
      <c r="B1833" s="51" t="str">
        <f aca="false">IF(A1833="","",MONTH(A1833))</f>
        <v/>
      </c>
      <c r="C1833" s="52"/>
      <c r="D1833" s="52"/>
      <c r="E1833" s="52"/>
      <c r="F1833" s="52"/>
      <c r="G1833" s="55" t="str">
        <f aca="false">IF(C1833="","",IFERROR(INDEX('DANH MỤC'!$B$5:$B$200,MATCH(C1833,'DANH MỤC'!$A$5:$A$200,0)),"⚠ Mã chưa có trong DANH MỤC"))</f>
        <v/>
      </c>
      <c r="H1833" s="52"/>
      <c r="I1833" s="52"/>
    </row>
    <row r="1834" customFormat="false" ht="15" hidden="false" customHeight="false" outlineLevel="0" collapsed="false">
      <c r="A1834" s="50"/>
      <c r="B1834" s="51" t="str">
        <f aca="false">IF(A1834="","",MONTH(A1834))</f>
        <v/>
      </c>
      <c r="C1834" s="52"/>
      <c r="D1834" s="52"/>
      <c r="E1834" s="52"/>
      <c r="F1834" s="52"/>
      <c r="G1834" s="55" t="str">
        <f aca="false">IF(C1834="","",IFERROR(INDEX('DANH MỤC'!$B$5:$B$200,MATCH(C1834,'DANH MỤC'!$A$5:$A$200,0)),"⚠ Mã chưa có trong DANH MỤC"))</f>
        <v/>
      </c>
      <c r="H1834" s="52"/>
      <c r="I1834" s="52"/>
    </row>
    <row r="1835" customFormat="false" ht="15" hidden="false" customHeight="false" outlineLevel="0" collapsed="false">
      <c r="A1835" s="50"/>
      <c r="B1835" s="51" t="str">
        <f aca="false">IF(A1835="","",MONTH(A1835))</f>
        <v/>
      </c>
      <c r="C1835" s="52"/>
      <c r="D1835" s="52"/>
      <c r="E1835" s="52"/>
      <c r="F1835" s="52"/>
      <c r="G1835" s="55" t="str">
        <f aca="false">IF(C1835="","",IFERROR(INDEX('DANH MỤC'!$B$5:$B$200,MATCH(C1835,'DANH MỤC'!$A$5:$A$200,0)),"⚠ Mã chưa có trong DANH MỤC"))</f>
        <v/>
      </c>
      <c r="H1835" s="52"/>
      <c r="I1835" s="52"/>
    </row>
    <row r="1836" customFormat="false" ht="15" hidden="false" customHeight="false" outlineLevel="0" collapsed="false">
      <c r="A1836" s="50"/>
      <c r="B1836" s="51" t="str">
        <f aca="false">IF(A1836="","",MONTH(A1836))</f>
        <v/>
      </c>
      <c r="C1836" s="52"/>
      <c r="D1836" s="52"/>
      <c r="E1836" s="52"/>
      <c r="F1836" s="52"/>
      <c r="G1836" s="55" t="str">
        <f aca="false">IF(C1836="","",IFERROR(INDEX('DANH MỤC'!$B$5:$B$200,MATCH(C1836,'DANH MỤC'!$A$5:$A$200,0)),"⚠ Mã chưa có trong DANH MỤC"))</f>
        <v/>
      </c>
      <c r="H1836" s="52"/>
      <c r="I1836" s="52"/>
    </row>
    <row r="1837" customFormat="false" ht="15" hidden="false" customHeight="false" outlineLevel="0" collapsed="false">
      <c r="A1837" s="50"/>
      <c r="B1837" s="51" t="str">
        <f aca="false">IF(A1837="","",MONTH(A1837))</f>
        <v/>
      </c>
      <c r="C1837" s="52"/>
      <c r="D1837" s="52"/>
      <c r="E1837" s="52"/>
      <c r="F1837" s="52"/>
      <c r="G1837" s="55" t="str">
        <f aca="false">IF(C1837="","",IFERROR(INDEX('DANH MỤC'!$B$5:$B$200,MATCH(C1837,'DANH MỤC'!$A$5:$A$200,0)),"⚠ Mã chưa có trong DANH MỤC"))</f>
        <v/>
      </c>
      <c r="H1837" s="52"/>
      <c r="I1837" s="52"/>
    </row>
    <row r="1838" customFormat="false" ht="15" hidden="false" customHeight="false" outlineLevel="0" collapsed="false">
      <c r="A1838" s="50"/>
      <c r="B1838" s="51" t="str">
        <f aca="false">IF(A1838="","",MONTH(A1838))</f>
        <v/>
      </c>
      <c r="C1838" s="52"/>
      <c r="D1838" s="52"/>
      <c r="E1838" s="52"/>
      <c r="F1838" s="52"/>
      <c r="G1838" s="55" t="str">
        <f aca="false">IF(C1838="","",IFERROR(INDEX('DANH MỤC'!$B$5:$B$200,MATCH(C1838,'DANH MỤC'!$A$5:$A$200,0)),"⚠ Mã chưa có trong DANH MỤC"))</f>
        <v/>
      </c>
      <c r="H1838" s="52"/>
      <c r="I1838" s="52"/>
    </row>
    <row r="1839" customFormat="false" ht="15" hidden="false" customHeight="false" outlineLevel="0" collapsed="false">
      <c r="A1839" s="50"/>
      <c r="B1839" s="51" t="str">
        <f aca="false">IF(A1839="","",MONTH(A1839))</f>
        <v/>
      </c>
      <c r="C1839" s="52"/>
      <c r="D1839" s="52"/>
      <c r="E1839" s="52"/>
      <c r="F1839" s="52"/>
      <c r="G1839" s="55" t="str">
        <f aca="false">IF(C1839="","",IFERROR(INDEX('DANH MỤC'!$B$5:$B$200,MATCH(C1839,'DANH MỤC'!$A$5:$A$200,0)),"⚠ Mã chưa có trong DANH MỤC"))</f>
        <v/>
      </c>
      <c r="H1839" s="52"/>
      <c r="I1839" s="52"/>
    </row>
    <row r="1840" customFormat="false" ht="15" hidden="false" customHeight="false" outlineLevel="0" collapsed="false">
      <c r="A1840" s="50"/>
      <c r="B1840" s="51" t="str">
        <f aca="false">IF(A1840="","",MONTH(A1840))</f>
        <v/>
      </c>
      <c r="C1840" s="52"/>
      <c r="D1840" s="52"/>
      <c r="E1840" s="52"/>
      <c r="F1840" s="52"/>
      <c r="G1840" s="55" t="str">
        <f aca="false">IF(C1840="","",IFERROR(INDEX('DANH MỤC'!$B$5:$B$200,MATCH(C1840,'DANH MỤC'!$A$5:$A$200,0)),"⚠ Mã chưa có trong DANH MỤC"))</f>
        <v/>
      </c>
      <c r="H1840" s="52"/>
      <c r="I1840" s="52"/>
    </row>
    <row r="1841" customFormat="false" ht="15" hidden="false" customHeight="false" outlineLevel="0" collapsed="false">
      <c r="A1841" s="50"/>
      <c r="B1841" s="51" t="str">
        <f aca="false">IF(A1841="","",MONTH(A1841))</f>
        <v/>
      </c>
      <c r="C1841" s="52"/>
      <c r="D1841" s="52"/>
      <c r="E1841" s="52"/>
      <c r="F1841" s="52"/>
      <c r="G1841" s="55" t="str">
        <f aca="false">IF(C1841="","",IFERROR(INDEX('DANH MỤC'!$B$5:$B$200,MATCH(C1841,'DANH MỤC'!$A$5:$A$200,0)),"⚠ Mã chưa có trong DANH MỤC"))</f>
        <v/>
      </c>
      <c r="H1841" s="52"/>
      <c r="I1841" s="52"/>
    </row>
    <row r="1842" customFormat="false" ht="15" hidden="false" customHeight="false" outlineLevel="0" collapsed="false">
      <c r="A1842" s="50"/>
      <c r="B1842" s="51" t="str">
        <f aca="false">IF(A1842="","",MONTH(A1842))</f>
        <v/>
      </c>
      <c r="C1842" s="52"/>
      <c r="D1842" s="52"/>
      <c r="E1842" s="52"/>
      <c r="F1842" s="52"/>
      <c r="G1842" s="55" t="str">
        <f aca="false">IF(C1842="","",IFERROR(INDEX('DANH MỤC'!$B$5:$B$200,MATCH(C1842,'DANH MỤC'!$A$5:$A$200,0)),"⚠ Mã chưa có trong DANH MỤC"))</f>
        <v/>
      </c>
      <c r="H1842" s="52"/>
      <c r="I1842" s="52"/>
    </row>
    <row r="1843" customFormat="false" ht="15" hidden="false" customHeight="false" outlineLevel="0" collapsed="false">
      <c r="A1843" s="50"/>
      <c r="B1843" s="51" t="str">
        <f aca="false">IF(A1843="","",MONTH(A1843))</f>
        <v/>
      </c>
      <c r="C1843" s="52"/>
      <c r="D1843" s="52"/>
      <c r="E1843" s="52"/>
      <c r="F1843" s="52"/>
      <c r="G1843" s="55" t="str">
        <f aca="false">IF(C1843="","",IFERROR(INDEX('DANH MỤC'!$B$5:$B$200,MATCH(C1843,'DANH MỤC'!$A$5:$A$200,0)),"⚠ Mã chưa có trong DANH MỤC"))</f>
        <v/>
      </c>
      <c r="H1843" s="52"/>
      <c r="I1843" s="52"/>
    </row>
    <row r="1844" customFormat="false" ht="15" hidden="false" customHeight="false" outlineLevel="0" collapsed="false">
      <c r="A1844" s="50"/>
      <c r="B1844" s="51" t="str">
        <f aca="false">IF(A1844="","",MONTH(A1844))</f>
        <v/>
      </c>
      <c r="C1844" s="52"/>
      <c r="D1844" s="52"/>
      <c r="E1844" s="52"/>
      <c r="F1844" s="52"/>
      <c r="G1844" s="55" t="str">
        <f aca="false">IF(C1844="","",IFERROR(INDEX('DANH MỤC'!$B$5:$B$200,MATCH(C1844,'DANH MỤC'!$A$5:$A$200,0)),"⚠ Mã chưa có trong DANH MỤC"))</f>
        <v/>
      </c>
      <c r="H1844" s="52"/>
      <c r="I1844" s="52"/>
    </row>
    <row r="1845" customFormat="false" ht="15" hidden="false" customHeight="false" outlineLevel="0" collapsed="false">
      <c r="A1845" s="50"/>
      <c r="B1845" s="51" t="str">
        <f aca="false">IF(A1845="","",MONTH(A1845))</f>
        <v/>
      </c>
      <c r="C1845" s="52"/>
      <c r="D1845" s="52"/>
      <c r="E1845" s="52"/>
      <c r="F1845" s="52"/>
      <c r="G1845" s="55" t="str">
        <f aca="false">IF(C1845="","",IFERROR(INDEX('DANH MỤC'!$B$5:$B$200,MATCH(C1845,'DANH MỤC'!$A$5:$A$200,0)),"⚠ Mã chưa có trong DANH MỤC"))</f>
        <v/>
      </c>
      <c r="H1845" s="52"/>
      <c r="I1845" s="52"/>
    </row>
    <row r="1846" customFormat="false" ht="15" hidden="false" customHeight="false" outlineLevel="0" collapsed="false">
      <c r="A1846" s="50"/>
      <c r="B1846" s="51" t="str">
        <f aca="false">IF(A1846="","",MONTH(A1846))</f>
        <v/>
      </c>
      <c r="C1846" s="52"/>
      <c r="D1846" s="52"/>
      <c r="E1846" s="52"/>
      <c r="F1846" s="52"/>
      <c r="G1846" s="55" t="str">
        <f aca="false">IF(C1846="","",IFERROR(INDEX('DANH MỤC'!$B$5:$B$200,MATCH(C1846,'DANH MỤC'!$A$5:$A$200,0)),"⚠ Mã chưa có trong DANH MỤC"))</f>
        <v/>
      </c>
      <c r="H1846" s="52"/>
      <c r="I1846" s="52"/>
    </row>
    <row r="1847" customFormat="false" ht="15" hidden="false" customHeight="false" outlineLevel="0" collapsed="false">
      <c r="A1847" s="50"/>
      <c r="B1847" s="51" t="str">
        <f aca="false">IF(A1847="","",MONTH(A1847))</f>
        <v/>
      </c>
      <c r="C1847" s="52"/>
      <c r="D1847" s="52"/>
      <c r="E1847" s="52"/>
      <c r="F1847" s="52"/>
      <c r="G1847" s="55" t="str">
        <f aca="false">IF(C1847="","",IFERROR(INDEX('DANH MỤC'!$B$5:$B$200,MATCH(C1847,'DANH MỤC'!$A$5:$A$200,0)),"⚠ Mã chưa có trong DANH MỤC"))</f>
        <v/>
      </c>
      <c r="H1847" s="52"/>
      <c r="I1847" s="52"/>
    </row>
    <row r="1848" customFormat="false" ht="15" hidden="false" customHeight="false" outlineLevel="0" collapsed="false">
      <c r="A1848" s="50"/>
      <c r="B1848" s="51" t="str">
        <f aca="false">IF(A1848="","",MONTH(A1848))</f>
        <v/>
      </c>
      <c r="C1848" s="52"/>
      <c r="D1848" s="52"/>
      <c r="E1848" s="52"/>
      <c r="F1848" s="52"/>
      <c r="G1848" s="55" t="str">
        <f aca="false">IF(C1848="","",IFERROR(INDEX('DANH MỤC'!$B$5:$B$200,MATCH(C1848,'DANH MỤC'!$A$5:$A$200,0)),"⚠ Mã chưa có trong DANH MỤC"))</f>
        <v/>
      </c>
      <c r="H1848" s="52"/>
      <c r="I1848" s="52"/>
    </row>
    <row r="1849" customFormat="false" ht="15" hidden="false" customHeight="false" outlineLevel="0" collapsed="false">
      <c r="A1849" s="50"/>
      <c r="B1849" s="51" t="str">
        <f aca="false">IF(A1849="","",MONTH(A1849))</f>
        <v/>
      </c>
      <c r="C1849" s="52"/>
      <c r="D1849" s="52"/>
      <c r="E1849" s="52"/>
      <c r="F1849" s="52"/>
      <c r="G1849" s="55" t="str">
        <f aca="false">IF(C1849="","",IFERROR(INDEX('DANH MỤC'!$B$5:$B$200,MATCH(C1849,'DANH MỤC'!$A$5:$A$200,0)),"⚠ Mã chưa có trong DANH MỤC"))</f>
        <v/>
      </c>
      <c r="H1849" s="52"/>
      <c r="I1849" s="52"/>
    </row>
    <row r="1850" customFormat="false" ht="15" hidden="false" customHeight="false" outlineLevel="0" collapsed="false">
      <c r="A1850" s="50"/>
      <c r="B1850" s="51" t="str">
        <f aca="false">IF(A1850="","",MONTH(A1850))</f>
        <v/>
      </c>
      <c r="C1850" s="52"/>
      <c r="D1850" s="52"/>
      <c r="E1850" s="52"/>
      <c r="F1850" s="52"/>
      <c r="G1850" s="55" t="str">
        <f aca="false">IF(C1850="","",IFERROR(INDEX('DANH MỤC'!$B$5:$B$200,MATCH(C1850,'DANH MỤC'!$A$5:$A$200,0)),"⚠ Mã chưa có trong DANH MỤC"))</f>
        <v/>
      </c>
      <c r="H1850" s="52"/>
      <c r="I1850" s="52"/>
    </row>
    <row r="1851" customFormat="false" ht="15" hidden="false" customHeight="false" outlineLevel="0" collapsed="false">
      <c r="A1851" s="50"/>
      <c r="B1851" s="51" t="str">
        <f aca="false">IF(A1851="","",MONTH(A1851))</f>
        <v/>
      </c>
      <c r="C1851" s="52"/>
      <c r="D1851" s="52"/>
      <c r="E1851" s="52"/>
      <c r="F1851" s="52"/>
      <c r="G1851" s="55" t="str">
        <f aca="false">IF(C1851="","",IFERROR(INDEX('DANH MỤC'!$B$5:$B$200,MATCH(C1851,'DANH MỤC'!$A$5:$A$200,0)),"⚠ Mã chưa có trong DANH MỤC"))</f>
        <v/>
      </c>
      <c r="H1851" s="52"/>
      <c r="I1851" s="52"/>
    </row>
    <row r="1852" customFormat="false" ht="15" hidden="false" customHeight="false" outlineLevel="0" collapsed="false">
      <c r="A1852" s="50"/>
      <c r="B1852" s="51" t="str">
        <f aca="false">IF(A1852="","",MONTH(A1852))</f>
        <v/>
      </c>
      <c r="C1852" s="52"/>
      <c r="D1852" s="52"/>
      <c r="E1852" s="52"/>
      <c r="F1852" s="52"/>
      <c r="G1852" s="55" t="str">
        <f aca="false">IF(C1852="","",IFERROR(INDEX('DANH MỤC'!$B$5:$B$200,MATCH(C1852,'DANH MỤC'!$A$5:$A$200,0)),"⚠ Mã chưa có trong DANH MỤC"))</f>
        <v/>
      </c>
      <c r="H1852" s="52"/>
      <c r="I1852" s="52"/>
    </row>
    <row r="1853" customFormat="false" ht="15" hidden="false" customHeight="false" outlineLevel="0" collapsed="false">
      <c r="A1853" s="50"/>
      <c r="B1853" s="51" t="str">
        <f aca="false">IF(A1853="","",MONTH(A1853))</f>
        <v/>
      </c>
      <c r="C1853" s="52"/>
      <c r="D1853" s="52"/>
      <c r="E1853" s="52"/>
      <c r="F1853" s="52"/>
      <c r="G1853" s="55" t="str">
        <f aca="false">IF(C1853="","",IFERROR(INDEX('DANH MỤC'!$B$5:$B$200,MATCH(C1853,'DANH MỤC'!$A$5:$A$200,0)),"⚠ Mã chưa có trong DANH MỤC"))</f>
        <v/>
      </c>
      <c r="H1853" s="52"/>
      <c r="I1853" s="52"/>
    </row>
    <row r="1854" customFormat="false" ht="15" hidden="false" customHeight="false" outlineLevel="0" collapsed="false">
      <c r="A1854" s="50"/>
      <c r="B1854" s="51" t="str">
        <f aca="false">IF(A1854="","",MONTH(A1854))</f>
        <v/>
      </c>
      <c r="C1854" s="52"/>
      <c r="D1854" s="52"/>
      <c r="E1854" s="52"/>
      <c r="F1854" s="52"/>
      <c r="G1854" s="55" t="str">
        <f aca="false">IF(C1854="","",IFERROR(INDEX('DANH MỤC'!$B$5:$B$200,MATCH(C1854,'DANH MỤC'!$A$5:$A$200,0)),"⚠ Mã chưa có trong DANH MỤC"))</f>
        <v/>
      </c>
      <c r="H1854" s="52"/>
      <c r="I1854" s="52"/>
    </row>
    <row r="1855" customFormat="false" ht="15" hidden="false" customHeight="false" outlineLevel="0" collapsed="false">
      <c r="A1855" s="50"/>
      <c r="B1855" s="51" t="str">
        <f aca="false">IF(A1855="","",MONTH(A1855))</f>
        <v/>
      </c>
      <c r="C1855" s="52"/>
      <c r="D1855" s="52"/>
      <c r="E1855" s="52"/>
      <c r="F1855" s="52"/>
      <c r="G1855" s="55" t="str">
        <f aca="false">IF(C1855="","",IFERROR(INDEX('DANH MỤC'!$B$5:$B$200,MATCH(C1855,'DANH MỤC'!$A$5:$A$200,0)),"⚠ Mã chưa có trong DANH MỤC"))</f>
        <v/>
      </c>
      <c r="H1855" s="52"/>
      <c r="I1855" s="52"/>
    </row>
    <row r="1856" customFormat="false" ht="15" hidden="false" customHeight="false" outlineLevel="0" collapsed="false">
      <c r="A1856" s="50"/>
      <c r="B1856" s="51" t="str">
        <f aca="false">IF(A1856="","",MONTH(A1856))</f>
        <v/>
      </c>
      <c r="C1856" s="52"/>
      <c r="D1856" s="52"/>
      <c r="E1856" s="52"/>
      <c r="F1856" s="52"/>
      <c r="G1856" s="55" t="str">
        <f aca="false">IF(C1856="","",IFERROR(INDEX('DANH MỤC'!$B$5:$B$200,MATCH(C1856,'DANH MỤC'!$A$5:$A$200,0)),"⚠ Mã chưa có trong DANH MỤC"))</f>
        <v/>
      </c>
      <c r="H1856" s="52"/>
      <c r="I1856" s="52"/>
    </row>
    <row r="1857" customFormat="false" ht="15" hidden="false" customHeight="false" outlineLevel="0" collapsed="false">
      <c r="A1857" s="50"/>
      <c r="B1857" s="51" t="str">
        <f aca="false">IF(A1857="","",MONTH(A1857))</f>
        <v/>
      </c>
      <c r="C1857" s="52"/>
      <c r="D1857" s="52"/>
      <c r="E1857" s="52"/>
      <c r="F1857" s="52"/>
      <c r="G1857" s="55" t="str">
        <f aca="false">IF(C1857="","",IFERROR(INDEX('DANH MỤC'!$B$5:$B$200,MATCH(C1857,'DANH MỤC'!$A$5:$A$200,0)),"⚠ Mã chưa có trong DANH MỤC"))</f>
        <v/>
      </c>
      <c r="H1857" s="52"/>
      <c r="I1857" s="52"/>
    </row>
    <row r="1858" customFormat="false" ht="15" hidden="false" customHeight="false" outlineLevel="0" collapsed="false">
      <c r="A1858" s="50"/>
      <c r="B1858" s="51" t="str">
        <f aca="false">IF(A1858="","",MONTH(A1858))</f>
        <v/>
      </c>
      <c r="C1858" s="52"/>
      <c r="D1858" s="52"/>
      <c r="E1858" s="52"/>
      <c r="F1858" s="52"/>
      <c r="G1858" s="55" t="str">
        <f aca="false">IF(C1858="","",IFERROR(INDEX('DANH MỤC'!$B$5:$B$200,MATCH(C1858,'DANH MỤC'!$A$5:$A$200,0)),"⚠ Mã chưa có trong DANH MỤC"))</f>
        <v/>
      </c>
      <c r="H1858" s="52"/>
      <c r="I1858" s="52"/>
    </row>
    <row r="1859" customFormat="false" ht="15" hidden="false" customHeight="false" outlineLevel="0" collapsed="false">
      <c r="A1859" s="50"/>
      <c r="B1859" s="51" t="str">
        <f aca="false">IF(A1859="","",MONTH(A1859))</f>
        <v/>
      </c>
      <c r="C1859" s="52"/>
      <c r="D1859" s="52"/>
      <c r="E1859" s="52"/>
      <c r="F1859" s="52"/>
      <c r="G1859" s="55" t="str">
        <f aca="false">IF(C1859="","",IFERROR(INDEX('DANH MỤC'!$B$5:$B$200,MATCH(C1859,'DANH MỤC'!$A$5:$A$200,0)),"⚠ Mã chưa có trong DANH MỤC"))</f>
        <v/>
      </c>
      <c r="H1859" s="52"/>
      <c r="I1859" s="52"/>
    </row>
    <row r="1860" customFormat="false" ht="15" hidden="false" customHeight="false" outlineLevel="0" collapsed="false">
      <c r="A1860" s="50"/>
      <c r="B1860" s="51" t="str">
        <f aca="false">IF(A1860="","",MONTH(A1860))</f>
        <v/>
      </c>
      <c r="C1860" s="52"/>
      <c r="D1860" s="52"/>
      <c r="E1860" s="52"/>
      <c r="F1860" s="52"/>
      <c r="G1860" s="55" t="str">
        <f aca="false">IF(C1860="","",IFERROR(INDEX('DANH MỤC'!$B$5:$B$200,MATCH(C1860,'DANH MỤC'!$A$5:$A$200,0)),"⚠ Mã chưa có trong DANH MỤC"))</f>
        <v/>
      </c>
      <c r="H1860" s="52"/>
      <c r="I1860" s="52"/>
    </row>
    <row r="1861" customFormat="false" ht="15" hidden="false" customHeight="false" outlineLevel="0" collapsed="false">
      <c r="A1861" s="50"/>
      <c r="B1861" s="51" t="str">
        <f aca="false">IF(A1861="","",MONTH(A1861))</f>
        <v/>
      </c>
      <c r="C1861" s="52"/>
      <c r="D1861" s="52"/>
      <c r="E1861" s="52"/>
      <c r="F1861" s="52"/>
      <c r="G1861" s="55" t="str">
        <f aca="false">IF(C1861="","",IFERROR(INDEX('DANH MỤC'!$B$5:$B$200,MATCH(C1861,'DANH MỤC'!$A$5:$A$200,0)),"⚠ Mã chưa có trong DANH MỤC"))</f>
        <v/>
      </c>
      <c r="H1861" s="52"/>
      <c r="I1861" s="52"/>
    </row>
    <row r="1862" customFormat="false" ht="15" hidden="false" customHeight="false" outlineLevel="0" collapsed="false">
      <c r="A1862" s="50"/>
      <c r="B1862" s="51" t="str">
        <f aca="false">IF(A1862="","",MONTH(A1862))</f>
        <v/>
      </c>
      <c r="C1862" s="52"/>
      <c r="D1862" s="52"/>
      <c r="E1862" s="52"/>
      <c r="F1862" s="52"/>
      <c r="G1862" s="55" t="str">
        <f aca="false">IF(C1862="","",IFERROR(INDEX('DANH MỤC'!$B$5:$B$200,MATCH(C1862,'DANH MỤC'!$A$5:$A$200,0)),"⚠ Mã chưa có trong DANH MỤC"))</f>
        <v/>
      </c>
      <c r="H1862" s="52"/>
      <c r="I1862" s="52"/>
    </row>
    <row r="1863" customFormat="false" ht="15" hidden="false" customHeight="false" outlineLevel="0" collapsed="false">
      <c r="A1863" s="50"/>
      <c r="B1863" s="51" t="str">
        <f aca="false">IF(A1863="","",MONTH(A1863))</f>
        <v/>
      </c>
      <c r="C1863" s="52"/>
      <c r="D1863" s="52"/>
      <c r="E1863" s="52"/>
      <c r="F1863" s="52"/>
      <c r="G1863" s="55" t="str">
        <f aca="false">IF(C1863="","",IFERROR(INDEX('DANH MỤC'!$B$5:$B$200,MATCH(C1863,'DANH MỤC'!$A$5:$A$200,0)),"⚠ Mã chưa có trong DANH MỤC"))</f>
        <v/>
      </c>
      <c r="H1863" s="52"/>
      <c r="I1863" s="52"/>
    </row>
    <row r="1864" customFormat="false" ht="15" hidden="false" customHeight="false" outlineLevel="0" collapsed="false">
      <c r="A1864" s="50"/>
      <c r="B1864" s="51" t="str">
        <f aca="false">IF(A1864="","",MONTH(A1864))</f>
        <v/>
      </c>
      <c r="C1864" s="52"/>
      <c r="D1864" s="52"/>
      <c r="E1864" s="52"/>
      <c r="F1864" s="52"/>
      <c r="G1864" s="55" t="str">
        <f aca="false">IF(C1864="","",IFERROR(INDEX('DANH MỤC'!$B$5:$B$200,MATCH(C1864,'DANH MỤC'!$A$5:$A$200,0)),"⚠ Mã chưa có trong DANH MỤC"))</f>
        <v/>
      </c>
      <c r="H1864" s="52"/>
      <c r="I1864" s="52"/>
    </row>
    <row r="1865" customFormat="false" ht="15" hidden="false" customHeight="false" outlineLevel="0" collapsed="false">
      <c r="A1865" s="50"/>
      <c r="B1865" s="51" t="str">
        <f aca="false">IF(A1865="","",MONTH(A1865))</f>
        <v/>
      </c>
      <c r="C1865" s="52"/>
      <c r="D1865" s="52"/>
      <c r="E1865" s="52"/>
      <c r="F1865" s="52"/>
      <c r="G1865" s="55" t="str">
        <f aca="false">IF(C1865="","",IFERROR(INDEX('DANH MỤC'!$B$5:$B$200,MATCH(C1865,'DANH MỤC'!$A$5:$A$200,0)),"⚠ Mã chưa có trong DANH MỤC"))</f>
        <v/>
      </c>
      <c r="H1865" s="52"/>
      <c r="I1865" s="52"/>
    </row>
    <row r="1866" customFormat="false" ht="15" hidden="false" customHeight="false" outlineLevel="0" collapsed="false">
      <c r="A1866" s="50"/>
      <c r="B1866" s="51" t="str">
        <f aca="false">IF(A1866="","",MONTH(A1866))</f>
        <v/>
      </c>
      <c r="C1866" s="52"/>
      <c r="D1866" s="52"/>
      <c r="E1866" s="52"/>
      <c r="F1866" s="52"/>
      <c r="G1866" s="55" t="str">
        <f aca="false">IF(C1866="","",IFERROR(INDEX('DANH MỤC'!$B$5:$B$200,MATCH(C1866,'DANH MỤC'!$A$5:$A$200,0)),"⚠ Mã chưa có trong DANH MỤC"))</f>
        <v/>
      </c>
      <c r="H1866" s="52"/>
      <c r="I1866" s="52"/>
    </row>
    <row r="1867" customFormat="false" ht="15" hidden="false" customHeight="false" outlineLevel="0" collapsed="false">
      <c r="A1867" s="50"/>
      <c r="B1867" s="51" t="str">
        <f aca="false">IF(A1867="","",MONTH(A1867))</f>
        <v/>
      </c>
      <c r="C1867" s="52"/>
      <c r="D1867" s="52"/>
      <c r="E1867" s="52"/>
      <c r="F1867" s="52"/>
      <c r="G1867" s="55" t="str">
        <f aca="false">IF(C1867="","",IFERROR(INDEX('DANH MỤC'!$B$5:$B$200,MATCH(C1867,'DANH MỤC'!$A$5:$A$200,0)),"⚠ Mã chưa có trong DANH MỤC"))</f>
        <v/>
      </c>
      <c r="H1867" s="52"/>
      <c r="I1867" s="52"/>
    </row>
    <row r="1868" customFormat="false" ht="15" hidden="false" customHeight="false" outlineLevel="0" collapsed="false">
      <c r="A1868" s="50"/>
      <c r="B1868" s="51" t="str">
        <f aca="false">IF(A1868="","",MONTH(A1868))</f>
        <v/>
      </c>
      <c r="C1868" s="52"/>
      <c r="D1868" s="52"/>
      <c r="E1868" s="52"/>
      <c r="F1868" s="52"/>
      <c r="G1868" s="55" t="str">
        <f aca="false">IF(C1868="","",IFERROR(INDEX('DANH MỤC'!$B$5:$B$200,MATCH(C1868,'DANH MỤC'!$A$5:$A$200,0)),"⚠ Mã chưa có trong DANH MỤC"))</f>
        <v/>
      </c>
      <c r="H1868" s="52"/>
      <c r="I1868" s="52"/>
    </row>
    <row r="1869" customFormat="false" ht="15" hidden="false" customHeight="false" outlineLevel="0" collapsed="false">
      <c r="A1869" s="50"/>
      <c r="B1869" s="51" t="str">
        <f aca="false">IF(A1869="","",MONTH(A1869))</f>
        <v/>
      </c>
      <c r="C1869" s="52"/>
      <c r="D1869" s="52"/>
      <c r="E1869" s="52"/>
      <c r="F1869" s="52"/>
      <c r="G1869" s="55" t="str">
        <f aca="false">IF(C1869="","",IFERROR(INDEX('DANH MỤC'!$B$5:$B$200,MATCH(C1869,'DANH MỤC'!$A$5:$A$200,0)),"⚠ Mã chưa có trong DANH MỤC"))</f>
        <v/>
      </c>
      <c r="H1869" s="52"/>
      <c r="I1869" s="52"/>
    </row>
    <row r="1870" customFormat="false" ht="15" hidden="false" customHeight="false" outlineLevel="0" collapsed="false">
      <c r="A1870" s="50"/>
      <c r="B1870" s="51" t="str">
        <f aca="false">IF(A1870="","",MONTH(A1870))</f>
        <v/>
      </c>
      <c r="C1870" s="52"/>
      <c r="D1870" s="52"/>
      <c r="E1870" s="52"/>
      <c r="F1870" s="52"/>
      <c r="G1870" s="55" t="str">
        <f aca="false">IF(C1870="","",IFERROR(INDEX('DANH MỤC'!$B$5:$B$200,MATCH(C1870,'DANH MỤC'!$A$5:$A$200,0)),"⚠ Mã chưa có trong DANH MỤC"))</f>
        <v/>
      </c>
      <c r="H1870" s="52"/>
      <c r="I1870" s="52"/>
    </row>
    <row r="1871" customFormat="false" ht="15" hidden="false" customHeight="false" outlineLevel="0" collapsed="false">
      <c r="A1871" s="50"/>
      <c r="B1871" s="51" t="str">
        <f aca="false">IF(A1871="","",MONTH(A1871))</f>
        <v/>
      </c>
      <c r="C1871" s="52"/>
      <c r="D1871" s="52"/>
      <c r="E1871" s="52"/>
      <c r="F1871" s="52"/>
      <c r="G1871" s="55" t="str">
        <f aca="false">IF(C1871="","",IFERROR(INDEX('DANH MỤC'!$B$5:$B$200,MATCH(C1871,'DANH MỤC'!$A$5:$A$200,0)),"⚠ Mã chưa có trong DANH MỤC"))</f>
        <v/>
      </c>
      <c r="H1871" s="52"/>
      <c r="I1871" s="52"/>
    </row>
    <row r="1872" customFormat="false" ht="15" hidden="false" customHeight="false" outlineLevel="0" collapsed="false">
      <c r="A1872" s="50"/>
      <c r="B1872" s="51" t="str">
        <f aca="false">IF(A1872="","",MONTH(A1872))</f>
        <v/>
      </c>
      <c r="C1872" s="52"/>
      <c r="D1872" s="52"/>
      <c r="E1872" s="52"/>
      <c r="F1872" s="52"/>
      <c r="G1872" s="55" t="str">
        <f aca="false">IF(C1872="","",IFERROR(INDEX('DANH MỤC'!$B$5:$B$200,MATCH(C1872,'DANH MỤC'!$A$5:$A$200,0)),"⚠ Mã chưa có trong DANH MỤC"))</f>
        <v/>
      </c>
      <c r="H1872" s="52"/>
      <c r="I1872" s="52"/>
    </row>
    <row r="1873" customFormat="false" ht="15" hidden="false" customHeight="false" outlineLevel="0" collapsed="false">
      <c r="A1873" s="50"/>
      <c r="B1873" s="51" t="str">
        <f aca="false">IF(A1873="","",MONTH(A1873))</f>
        <v/>
      </c>
      <c r="C1873" s="52"/>
      <c r="D1873" s="52"/>
      <c r="E1873" s="52"/>
      <c r="F1873" s="52"/>
      <c r="G1873" s="55" t="str">
        <f aca="false">IF(C1873="","",IFERROR(INDEX('DANH MỤC'!$B$5:$B$200,MATCH(C1873,'DANH MỤC'!$A$5:$A$200,0)),"⚠ Mã chưa có trong DANH MỤC"))</f>
        <v/>
      </c>
      <c r="H1873" s="52"/>
      <c r="I1873" s="52"/>
    </row>
    <row r="1874" customFormat="false" ht="15" hidden="false" customHeight="false" outlineLevel="0" collapsed="false">
      <c r="A1874" s="50"/>
      <c r="B1874" s="51" t="str">
        <f aca="false">IF(A1874="","",MONTH(A1874))</f>
        <v/>
      </c>
      <c r="C1874" s="52"/>
      <c r="D1874" s="52"/>
      <c r="E1874" s="52"/>
      <c r="F1874" s="52"/>
      <c r="G1874" s="55" t="str">
        <f aca="false">IF(C1874="","",IFERROR(INDEX('DANH MỤC'!$B$5:$B$200,MATCH(C1874,'DANH MỤC'!$A$5:$A$200,0)),"⚠ Mã chưa có trong DANH MỤC"))</f>
        <v/>
      </c>
      <c r="H1874" s="52"/>
      <c r="I1874" s="52"/>
    </row>
    <row r="1875" customFormat="false" ht="15" hidden="false" customHeight="false" outlineLevel="0" collapsed="false">
      <c r="A1875" s="50"/>
      <c r="B1875" s="51" t="str">
        <f aca="false">IF(A1875="","",MONTH(A1875))</f>
        <v/>
      </c>
      <c r="C1875" s="52"/>
      <c r="D1875" s="52"/>
      <c r="E1875" s="52"/>
      <c r="F1875" s="52"/>
      <c r="G1875" s="55" t="str">
        <f aca="false">IF(C1875="","",IFERROR(INDEX('DANH MỤC'!$B$5:$B$200,MATCH(C1875,'DANH MỤC'!$A$5:$A$200,0)),"⚠ Mã chưa có trong DANH MỤC"))</f>
        <v/>
      </c>
      <c r="H1875" s="52"/>
      <c r="I1875" s="52"/>
    </row>
    <row r="1876" customFormat="false" ht="15" hidden="false" customHeight="false" outlineLevel="0" collapsed="false">
      <c r="A1876" s="50"/>
      <c r="B1876" s="51" t="str">
        <f aca="false">IF(A1876="","",MONTH(A1876))</f>
        <v/>
      </c>
      <c r="C1876" s="52"/>
      <c r="D1876" s="52"/>
      <c r="E1876" s="52"/>
      <c r="F1876" s="52"/>
      <c r="G1876" s="55" t="str">
        <f aca="false">IF(C1876="","",IFERROR(INDEX('DANH MỤC'!$B$5:$B$200,MATCH(C1876,'DANH MỤC'!$A$5:$A$200,0)),"⚠ Mã chưa có trong DANH MỤC"))</f>
        <v/>
      </c>
      <c r="H1876" s="52"/>
      <c r="I1876" s="52"/>
    </row>
    <row r="1877" customFormat="false" ht="15" hidden="false" customHeight="false" outlineLevel="0" collapsed="false">
      <c r="A1877" s="50"/>
      <c r="B1877" s="51" t="str">
        <f aca="false">IF(A1877="","",MONTH(A1877))</f>
        <v/>
      </c>
      <c r="C1877" s="52"/>
      <c r="D1877" s="52"/>
      <c r="E1877" s="52"/>
      <c r="F1877" s="52"/>
      <c r="G1877" s="55" t="str">
        <f aca="false">IF(C1877="","",IFERROR(INDEX('DANH MỤC'!$B$5:$B$200,MATCH(C1877,'DANH MỤC'!$A$5:$A$200,0)),"⚠ Mã chưa có trong DANH MỤC"))</f>
        <v/>
      </c>
      <c r="H1877" s="52"/>
      <c r="I1877" s="52"/>
    </row>
    <row r="1878" customFormat="false" ht="15" hidden="false" customHeight="false" outlineLevel="0" collapsed="false">
      <c r="A1878" s="50"/>
      <c r="B1878" s="51" t="str">
        <f aca="false">IF(A1878="","",MONTH(A1878))</f>
        <v/>
      </c>
      <c r="C1878" s="52"/>
      <c r="D1878" s="52"/>
      <c r="E1878" s="52"/>
      <c r="F1878" s="52"/>
      <c r="G1878" s="55" t="str">
        <f aca="false">IF(C1878="","",IFERROR(INDEX('DANH MỤC'!$B$5:$B$200,MATCH(C1878,'DANH MỤC'!$A$5:$A$200,0)),"⚠ Mã chưa có trong DANH MỤC"))</f>
        <v/>
      </c>
      <c r="H1878" s="52"/>
      <c r="I1878" s="52"/>
    </row>
    <row r="1879" customFormat="false" ht="15" hidden="false" customHeight="false" outlineLevel="0" collapsed="false">
      <c r="A1879" s="50"/>
      <c r="B1879" s="51" t="str">
        <f aca="false">IF(A1879="","",MONTH(A1879))</f>
        <v/>
      </c>
      <c r="C1879" s="52"/>
      <c r="D1879" s="52"/>
      <c r="E1879" s="52"/>
      <c r="F1879" s="52"/>
      <c r="G1879" s="55" t="str">
        <f aca="false">IF(C1879="","",IFERROR(INDEX('DANH MỤC'!$B$5:$B$200,MATCH(C1879,'DANH MỤC'!$A$5:$A$200,0)),"⚠ Mã chưa có trong DANH MỤC"))</f>
        <v/>
      </c>
      <c r="H1879" s="52"/>
      <c r="I1879" s="52"/>
    </row>
    <row r="1880" customFormat="false" ht="15" hidden="false" customHeight="false" outlineLevel="0" collapsed="false">
      <c r="A1880" s="50"/>
      <c r="B1880" s="51" t="str">
        <f aca="false">IF(A1880="","",MONTH(A1880))</f>
        <v/>
      </c>
      <c r="C1880" s="52"/>
      <c r="D1880" s="52"/>
      <c r="E1880" s="52"/>
      <c r="F1880" s="52"/>
      <c r="G1880" s="55" t="str">
        <f aca="false">IF(C1880="","",IFERROR(INDEX('DANH MỤC'!$B$5:$B$200,MATCH(C1880,'DANH MỤC'!$A$5:$A$200,0)),"⚠ Mã chưa có trong DANH MỤC"))</f>
        <v/>
      </c>
      <c r="H1880" s="52"/>
      <c r="I1880" s="52"/>
    </row>
    <row r="1881" customFormat="false" ht="15" hidden="false" customHeight="false" outlineLevel="0" collapsed="false">
      <c r="A1881" s="50"/>
      <c r="B1881" s="51" t="str">
        <f aca="false">IF(A1881="","",MONTH(A1881))</f>
        <v/>
      </c>
      <c r="C1881" s="52"/>
      <c r="D1881" s="52"/>
      <c r="E1881" s="52"/>
      <c r="F1881" s="52"/>
      <c r="G1881" s="55" t="str">
        <f aca="false">IF(C1881="","",IFERROR(INDEX('DANH MỤC'!$B$5:$B$200,MATCH(C1881,'DANH MỤC'!$A$5:$A$200,0)),"⚠ Mã chưa có trong DANH MỤC"))</f>
        <v/>
      </c>
      <c r="H1881" s="52"/>
      <c r="I1881" s="52"/>
    </row>
    <row r="1882" customFormat="false" ht="15" hidden="false" customHeight="false" outlineLevel="0" collapsed="false">
      <c r="A1882" s="50"/>
      <c r="B1882" s="51" t="str">
        <f aca="false">IF(A1882="","",MONTH(A1882))</f>
        <v/>
      </c>
      <c r="C1882" s="52"/>
      <c r="D1882" s="52"/>
      <c r="E1882" s="52"/>
      <c r="F1882" s="52"/>
      <c r="G1882" s="55" t="str">
        <f aca="false">IF(C1882="","",IFERROR(INDEX('DANH MỤC'!$B$5:$B$200,MATCH(C1882,'DANH MỤC'!$A$5:$A$200,0)),"⚠ Mã chưa có trong DANH MỤC"))</f>
        <v/>
      </c>
      <c r="H1882" s="52"/>
      <c r="I1882" s="52"/>
    </row>
    <row r="1883" customFormat="false" ht="15" hidden="false" customHeight="false" outlineLevel="0" collapsed="false">
      <c r="A1883" s="50"/>
      <c r="B1883" s="51" t="str">
        <f aca="false">IF(A1883="","",MONTH(A1883))</f>
        <v/>
      </c>
      <c r="C1883" s="52"/>
      <c r="D1883" s="52"/>
      <c r="E1883" s="52"/>
      <c r="F1883" s="52"/>
      <c r="G1883" s="55" t="str">
        <f aca="false">IF(C1883="","",IFERROR(INDEX('DANH MỤC'!$B$5:$B$200,MATCH(C1883,'DANH MỤC'!$A$5:$A$200,0)),"⚠ Mã chưa có trong DANH MỤC"))</f>
        <v/>
      </c>
      <c r="H1883" s="52"/>
      <c r="I1883" s="52"/>
    </row>
    <row r="1884" customFormat="false" ht="15" hidden="false" customHeight="false" outlineLevel="0" collapsed="false">
      <c r="A1884" s="50"/>
      <c r="B1884" s="51" t="str">
        <f aca="false">IF(A1884="","",MONTH(A1884))</f>
        <v/>
      </c>
      <c r="C1884" s="52"/>
      <c r="D1884" s="52"/>
      <c r="E1884" s="52"/>
      <c r="F1884" s="52"/>
      <c r="G1884" s="55" t="str">
        <f aca="false">IF(C1884="","",IFERROR(INDEX('DANH MỤC'!$B$5:$B$200,MATCH(C1884,'DANH MỤC'!$A$5:$A$200,0)),"⚠ Mã chưa có trong DANH MỤC"))</f>
        <v/>
      </c>
      <c r="H1884" s="52"/>
      <c r="I1884" s="52"/>
    </row>
    <row r="1885" customFormat="false" ht="15" hidden="false" customHeight="false" outlineLevel="0" collapsed="false">
      <c r="A1885" s="50"/>
      <c r="B1885" s="51" t="str">
        <f aca="false">IF(A1885="","",MONTH(A1885))</f>
        <v/>
      </c>
      <c r="C1885" s="52"/>
      <c r="D1885" s="52"/>
      <c r="E1885" s="52"/>
      <c r="F1885" s="52"/>
      <c r="G1885" s="55" t="str">
        <f aca="false">IF(C1885="","",IFERROR(INDEX('DANH MỤC'!$B$5:$B$200,MATCH(C1885,'DANH MỤC'!$A$5:$A$200,0)),"⚠ Mã chưa có trong DANH MỤC"))</f>
        <v/>
      </c>
      <c r="H1885" s="52"/>
      <c r="I1885" s="52"/>
    </row>
    <row r="1886" customFormat="false" ht="15" hidden="false" customHeight="false" outlineLevel="0" collapsed="false">
      <c r="A1886" s="50"/>
      <c r="B1886" s="51" t="str">
        <f aca="false">IF(A1886="","",MONTH(A1886))</f>
        <v/>
      </c>
      <c r="C1886" s="52"/>
      <c r="D1886" s="52"/>
      <c r="E1886" s="52"/>
      <c r="F1886" s="52"/>
      <c r="G1886" s="55" t="str">
        <f aca="false">IF(C1886="","",IFERROR(INDEX('DANH MỤC'!$B$5:$B$200,MATCH(C1886,'DANH MỤC'!$A$5:$A$200,0)),"⚠ Mã chưa có trong DANH MỤC"))</f>
        <v/>
      </c>
      <c r="H1886" s="52"/>
      <c r="I1886" s="52"/>
    </row>
    <row r="1887" customFormat="false" ht="15" hidden="false" customHeight="false" outlineLevel="0" collapsed="false">
      <c r="A1887" s="50"/>
      <c r="B1887" s="51" t="str">
        <f aca="false">IF(A1887="","",MONTH(A1887))</f>
        <v/>
      </c>
      <c r="C1887" s="52"/>
      <c r="D1887" s="52"/>
      <c r="E1887" s="52"/>
      <c r="F1887" s="52"/>
      <c r="G1887" s="55" t="str">
        <f aca="false">IF(C1887="","",IFERROR(INDEX('DANH MỤC'!$B$5:$B$200,MATCH(C1887,'DANH MỤC'!$A$5:$A$200,0)),"⚠ Mã chưa có trong DANH MỤC"))</f>
        <v/>
      </c>
      <c r="H1887" s="52"/>
      <c r="I1887" s="52"/>
    </row>
    <row r="1888" customFormat="false" ht="15" hidden="false" customHeight="false" outlineLevel="0" collapsed="false">
      <c r="A1888" s="50"/>
      <c r="B1888" s="51" t="str">
        <f aca="false">IF(A1888="","",MONTH(A1888))</f>
        <v/>
      </c>
      <c r="C1888" s="52"/>
      <c r="D1888" s="52"/>
      <c r="E1888" s="52"/>
      <c r="F1888" s="52"/>
      <c r="G1888" s="55" t="str">
        <f aca="false">IF(C1888="","",IFERROR(INDEX('DANH MỤC'!$B$5:$B$200,MATCH(C1888,'DANH MỤC'!$A$5:$A$200,0)),"⚠ Mã chưa có trong DANH MỤC"))</f>
        <v/>
      </c>
      <c r="H1888" s="52"/>
      <c r="I1888" s="52"/>
    </row>
    <row r="1889" customFormat="false" ht="15" hidden="false" customHeight="false" outlineLevel="0" collapsed="false">
      <c r="A1889" s="50"/>
      <c r="B1889" s="51" t="str">
        <f aca="false">IF(A1889="","",MONTH(A1889))</f>
        <v/>
      </c>
      <c r="C1889" s="52"/>
      <c r="D1889" s="52"/>
      <c r="E1889" s="52"/>
      <c r="F1889" s="52"/>
      <c r="G1889" s="55" t="str">
        <f aca="false">IF(C1889="","",IFERROR(INDEX('DANH MỤC'!$B$5:$B$200,MATCH(C1889,'DANH MỤC'!$A$5:$A$200,0)),"⚠ Mã chưa có trong DANH MỤC"))</f>
        <v/>
      </c>
      <c r="H1889" s="52"/>
      <c r="I1889" s="52"/>
    </row>
    <row r="1890" customFormat="false" ht="15" hidden="false" customHeight="false" outlineLevel="0" collapsed="false">
      <c r="A1890" s="50"/>
      <c r="B1890" s="51" t="str">
        <f aca="false">IF(A1890="","",MONTH(A1890))</f>
        <v/>
      </c>
      <c r="C1890" s="52"/>
      <c r="D1890" s="52"/>
      <c r="E1890" s="52"/>
      <c r="F1890" s="52"/>
      <c r="G1890" s="55" t="str">
        <f aca="false">IF(C1890="","",IFERROR(INDEX('DANH MỤC'!$B$5:$B$200,MATCH(C1890,'DANH MỤC'!$A$5:$A$200,0)),"⚠ Mã chưa có trong DANH MỤC"))</f>
        <v/>
      </c>
      <c r="H1890" s="52"/>
      <c r="I1890" s="52"/>
    </row>
    <row r="1891" customFormat="false" ht="15" hidden="false" customHeight="false" outlineLevel="0" collapsed="false">
      <c r="A1891" s="50"/>
      <c r="B1891" s="51" t="str">
        <f aca="false">IF(A1891="","",MONTH(A1891))</f>
        <v/>
      </c>
      <c r="C1891" s="52"/>
      <c r="D1891" s="52"/>
      <c r="E1891" s="52"/>
      <c r="F1891" s="52"/>
      <c r="G1891" s="55" t="str">
        <f aca="false">IF(C1891="","",IFERROR(INDEX('DANH MỤC'!$B$5:$B$200,MATCH(C1891,'DANH MỤC'!$A$5:$A$200,0)),"⚠ Mã chưa có trong DANH MỤC"))</f>
        <v/>
      </c>
      <c r="H1891" s="52"/>
      <c r="I1891" s="52"/>
    </row>
    <row r="1892" customFormat="false" ht="15" hidden="false" customHeight="false" outlineLevel="0" collapsed="false">
      <c r="A1892" s="50"/>
      <c r="B1892" s="51" t="str">
        <f aca="false">IF(A1892="","",MONTH(A1892))</f>
        <v/>
      </c>
      <c r="C1892" s="52"/>
      <c r="D1892" s="52"/>
      <c r="E1892" s="52"/>
      <c r="F1892" s="52"/>
      <c r="G1892" s="55" t="str">
        <f aca="false">IF(C1892="","",IFERROR(INDEX('DANH MỤC'!$B$5:$B$200,MATCH(C1892,'DANH MỤC'!$A$5:$A$200,0)),"⚠ Mã chưa có trong DANH MỤC"))</f>
        <v/>
      </c>
      <c r="H1892" s="52"/>
      <c r="I1892" s="52"/>
    </row>
    <row r="1893" customFormat="false" ht="15" hidden="false" customHeight="false" outlineLevel="0" collapsed="false">
      <c r="A1893" s="50"/>
      <c r="B1893" s="51" t="str">
        <f aca="false">IF(A1893="","",MONTH(A1893))</f>
        <v/>
      </c>
      <c r="C1893" s="52"/>
      <c r="D1893" s="52"/>
      <c r="E1893" s="52"/>
      <c r="F1893" s="52"/>
      <c r="G1893" s="55" t="str">
        <f aca="false">IF(C1893="","",IFERROR(INDEX('DANH MỤC'!$B$5:$B$200,MATCH(C1893,'DANH MỤC'!$A$5:$A$200,0)),"⚠ Mã chưa có trong DANH MỤC"))</f>
        <v/>
      </c>
      <c r="H1893" s="52"/>
      <c r="I1893" s="52"/>
    </row>
    <row r="1894" customFormat="false" ht="15" hidden="false" customHeight="false" outlineLevel="0" collapsed="false">
      <c r="A1894" s="50"/>
      <c r="B1894" s="51" t="str">
        <f aca="false">IF(A1894="","",MONTH(A1894))</f>
        <v/>
      </c>
      <c r="C1894" s="52"/>
      <c r="D1894" s="52"/>
      <c r="E1894" s="52"/>
      <c r="F1894" s="52"/>
      <c r="G1894" s="55" t="str">
        <f aca="false">IF(C1894="","",IFERROR(INDEX('DANH MỤC'!$B$5:$B$200,MATCH(C1894,'DANH MỤC'!$A$5:$A$200,0)),"⚠ Mã chưa có trong DANH MỤC"))</f>
        <v/>
      </c>
      <c r="H1894" s="52"/>
      <c r="I1894" s="52"/>
    </row>
    <row r="1895" customFormat="false" ht="15" hidden="false" customHeight="false" outlineLevel="0" collapsed="false">
      <c r="A1895" s="50"/>
      <c r="B1895" s="51" t="str">
        <f aca="false">IF(A1895="","",MONTH(A1895))</f>
        <v/>
      </c>
      <c r="C1895" s="52"/>
      <c r="D1895" s="52"/>
      <c r="E1895" s="52"/>
      <c r="F1895" s="52"/>
      <c r="G1895" s="55" t="str">
        <f aca="false">IF(C1895="","",IFERROR(INDEX('DANH MỤC'!$B$5:$B$200,MATCH(C1895,'DANH MỤC'!$A$5:$A$200,0)),"⚠ Mã chưa có trong DANH MỤC"))</f>
        <v/>
      </c>
      <c r="H1895" s="52"/>
      <c r="I1895" s="52"/>
    </row>
    <row r="1896" customFormat="false" ht="15" hidden="false" customHeight="false" outlineLevel="0" collapsed="false">
      <c r="A1896" s="50"/>
      <c r="B1896" s="51" t="str">
        <f aca="false">IF(A1896="","",MONTH(A1896))</f>
        <v/>
      </c>
      <c r="C1896" s="52"/>
      <c r="D1896" s="52"/>
      <c r="E1896" s="52"/>
      <c r="F1896" s="52"/>
      <c r="G1896" s="55" t="str">
        <f aca="false">IF(C1896="","",IFERROR(INDEX('DANH MỤC'!$B$5:$B$200,MATCH(C1896,'DANH MỤC'!$A$5:$A$200,0)),"⚠ Mã chưa có trong DANH MỤC"))</f>
        <v/>
      </c>
      <c r="H1896" s="52"/>
      <c r="I1896" s="52"/>
    </row>
    <row r="1897" customFormat="false" ht="15" hidden="false" customHeight="false" outlineLevel="0" collapsed="false">
      <c r="A1897" s="50"/>
      <c r="B1897" s="51" t="str">
        <f aca="false">IF(A1897="","",MONTH(A1897))</f>
        <v/>
      </c>
      <c r="C1897" s="52"/>
      <c r="D1897" s="52"/>
      <c r="E1897" s="52"/>
      <c r="F1897" s="52"/>
      <c r="G1897" s="55" t="str">
        <f aca="false">IF(C1897="","",IFERROR(INDEX('DANH MỤC'!$B$5:$B$200,MATCH(C1897,'DANH MỤC'!$A$5:$A$200,0)),"⚠ Mã chưa có trong DANH MỤC"))</f>
        <v/>
      </c>
      <c r="H1897" s="52"/>
      <c r="I1897" s="52"/>
    </row>
    <row r="1898" customFormat="false" ht="15" hidden="false" customHeight="false" outlineLevel="0" collapsed="false">
      <c r="A1898" s="50"/>
      <c r="B1898" s="51" t="str">
        <f aca="false">IF(A1898="","",MONTH(A1898))</f>
        <v/>
      </c>
      <c r="C1898" s="52"/>
      <c r="D1898" s="52"/>
      <c r="E1898" s="52"/>
      <c r="F1898" s="52"/>
      <c r="G1898" s="55" t="str">
        <f aca="false">IF(C1898="","",IFERROR(INDEX('DANH MỤC'!$B$5:$B$200,MATCH(C1898,'DANH MỤC'!$A$5:$A$200,0)),"⚠ Mã chưa có trong DANH MỤC"))</f>
        <v/>
      </c>
      <c r="H1898" s="52"/>
      <c r="I1898" s="52"/>
    </row>
    <row r="1899" customFormat="false" ht="15" hidden="false" customHeight="false" outlineLevel="0" collapsed="false">
      <c r="A1899" s="50"/>
      <c r="B1899" s="51" t="str">
        <f aca="false">IF(A1899="","",MONTH(A1899))</f>
        <v/>
      </c>
      <c r="C1899" s="52"/>
      <c r="D1899" s="52"/>
      <c r="E1899" s="52"/>
      <c r="F1899" s="52"/>
      <c r="G1899" s="55" t="str">
        <f aca="false">IF(C1899="","",IFERROR(INDEX('DANH MỤC'!$B$5:$B$200,MATCH(C1899,'DANH MỤC'!$A$5:$A$200,0)),"⚠ Mã chưa có trong DANH MỤC"))</f>
        <v/>
      </c>
      <c r="H1899" s="52"/>
      <c r="I1899" s="52"/>
    </row>
    <row r="1900" customFormat="false" ht="15" hidden="false" customHeight="false" outlineLevel="0" collapsed="false">
      <c r="A1900" s="50"/>
      <c r="B1900" s="51" t="str">
        <f aca="false">IF(A1900="","",MONTH(A1900))</f>
        <v/>
      </c>
      <c r="C1900" s="52"/>
      <c r="D1900" s="52"/>
      <c r="E1900" s="52"/>
      <c r="F1900" s="52"/>
      <c r="G1900" s="55" t="str">
        <f aca="false">IF(C1900="","",IFERROR(INDEX('DANH MỤC'!$B$5:$B$200,MATCH(C1900,'DANH MỤC'!$A$5:$A$200,0)),"⚠ Mã chưa có trong DANH MỤC"))</f>
        <v/>
      </c>
      <c r="H1900" s="52"/>
      <c r="I1900" s="52"/>
    </row>
    <row r="1901" customFormat="false" ht="15" hidden="false" customHeight="false" outlineLevel="0" collapsed="false">
      <c r="A1901" s="50"/>
      <c r="B1901" s="51" t="str">
        <f aca="false">IF(A1901="","",MONTH(A1901))</f>
        <v/>
      </c>
      <c r="C1901" s="52"/>
      <c r="D1901" s="52"/>
      <c r="E1901" s="52"/>
      <c r="F1901" s="52"/>
      <c r="G1901" s="55" t="str">
        <f aca="false">IF(C1901="","",IFERROR(INDEX('DANH MỤC'!$B$5:$B$200,MATCH(C1901,'DANH MỤC'!$A$5:$A$200,0)),"⚠ Mã chưa có trong DANH MỤC"))</f>
        <v/>
      </c>
      <c r="H1901" s="52"/>
      <c r="I1901" s="52"/>
    </row>
    <row r="1902" customFormat="false" ht="15" hidden="false" customHeight="false" outlineLevel="0" collapsed="false">
      <c r="A1902" s="50"/>
      <c r="B1902" s="51" t="str">
        <f aca="false">IF(A1902="","",MONTH(A1902))</f>
        <v/>
      </c>
      <c r="C1902" s="52"/>
      <c r="D1902" s="52"/>
      <c r="E1902" s="52"/>
      <c r="F1902" s="52"/>
      <c r="G1902" s="55" t="str">
        <f aca="false">IF(C1902="","",IFERROR(INDEX('DANH MỤC'!$B$5:$B$200,MATCH(C1902,'DANH MỤC'!$A$5:$A$200,0)),"⚠ Mã chưa có trong DANH MỤC"))</f>
        <v/>
      </c>
      <c r="H1902" s="52"/>
      <c r="I1902" s="52"/>
    </row>
    <row r="1903" customFormat="false" ht="15" hidden="false" customHeight="false" outlineLevel="0" collapsed="false">
      <c r="A1903" s="50"/>
      <c r="B1903" s="51" t="str">
        <f aca="false">IF(A1903="","",MONTH(A1903))</f>
        <v/>
      </c>
      <c r="C1903" s="52"/>
      <c r="D1903" s="52"/>
      <c r="E1903" s="52"/>
      <c r="F1903" s="52"/>
      <c r="G1903" s="55" t="str">
        <f aca="false">IF(C1903="","",IFERROR(INDEX('DANH MỤC'!$B$5:$B$200,MATCH(C1903,'DANH MỤC'!$A$5:$A$200,0)),"⚠ Mã chưa có trong DANH MỤC"))</f>
        <v/>
      </c>
      <c r="H1903" s="52"/>
      <c r="I1903" s="52"/>
    </row>
    <row r="1904" customFormat="false" ht="15" hidden="false" customHeight="false" outlineLevel="0" collapsed="false">
      <c r="A1904" s="50"/>
      <c r="B1904" s="51" t="str">
        <f aca="false">IF(A1904="","",MONTH(A1904))</f>
        <v/>
      </c>
      <c r="C1904" s="52"/>
      <c r="D1904" s="52"/>
      <c r="E1904" s="52"/>
      <c r="F1904" s="52"/>
      <c r="G1904" s="55" t="str">
        <f aca="false">IF(C1904="","",IFERROR(INDEX('DANH MỤC'!$B$5:$B$200,MATCH(C1904,'DANH MỤC'!$A$5:$A$200,0)),"⚠ Mã chưa có trong DANH MỤC"))</f>
        <v/>
      </c>
      <c r="H1904" s="52"/>
      <c r="I1904" s="52"/>
    </row>
    <row r="1905" customFormat="false" ht="15" hidden="false" customHeight="false" outlineLevel="0" collapsed="false">
      <c r="A1905" s="50"/>
      <c r="B1905" s="51" t="str">
        <f aca="false">IF(A1905="","",MONTH(A1905))</f>
        <v/>
      </c>
      <c r="C1905" s="52"/>
      <c r="D1905" s="52"/>
      <c r="E1905" s="52"/>
      <c r="F1905" s="52"/>
      <c r="G1905" s="55" t="str">
        <f aca="false">IF(C1905="","",IFERROR(INDEX('DANH MỤC'!$B$5:$B$200,MATCH(C1905,'DANH MỤC'!$A$5:$A$200,0)),"⚠ Mã chưa có trong DANH MỤC"))</f>
        <v/>
      </c>
      <c r="H1905" s="52"/>
      <c r="I1905" s="52"/>
    </row>
    <row r="1906" customFormat="false" ht="15" hidden="false" customHeight="false" outlineLevel="0" collapsed="false">
      <c r="A1906" s="50"/>
      <c r="B1906" s="51" t="str">
        <f aca="false">IF(A1906="","",MONTH(A1906))</f>
        <v/>
      </c>
      <c r="C1906" s="52"/>
      <c r="D1906" s="52"/>
      <c r="E1906" s="52"/>
      <c r="F1906" s="52"/>
      <c r="G1906" s="55" t="str">
        <f aca="false">IF(C1906="","",IFERROR(INDEX('DANH MỤC'!$B$5:$B$200,MATCH(C1906,'DANH MỤC'!$A$5:$A$200,0)),"⚠ Mã chưa có trong DANH MỤC"))</f>
        <v/>
      </c>
      <c r="H1906" s="52"/>
      <c r="I1906" s="52"/>
    </row>
    <row r="1907" customFormat="false" ht="15" hidden="false" customHeight="false" outlineLevel="0" collapsed="false">
      <c r="A1907" s="50"/>
      <c r="B1907" s="51" t="str">
        <f aca="false">IF(A1907="","",MONTH(A1907))</f>
        <v/>
      </c>
      <c r="C1907" s="52"/>
      <c r="D1907" s="52"/>
      <c r="E1907" s="52"/>
      <c r="F1907" s="52"/>
      <c r="G1907" s="55" t="str">
        <f aca="false">IF(C1907="","",IFERROR(INDEX('DANH MỤC'!$B$5:$B$200,MATCH(C1907,'DANH MỤC'!$A$5:$A$200,0)),"⚠ Mã chưa có trong DANH MỤC"))</f>
        <v/>
      </c>
      <c r="H1907" s="52"/>
      <c r="I1907" s="52"/>
    </row>
    <row r="1908" customFormat="false" ht="15" hidden="false" customHeight="false" outlineLevel="0" collapsed="false">
      <c r="A1908" s="50"/>
      <c r="B1908" s="51" t="str">
        <f aca="false">IF(A1908="","",MONTH(A1908))</f>
        <v/>
      </c>
      <c r="C1908" s="52"/>
      <c r="D1908" s="52"/>
      <c r="E1908" s="52"/>
      <c r="F1908" s="52"/>
      <c r="G1908" s="55" t="str">
        <f aca="false">IF(C1908="","",IFERROR(INDEX('DANH MỤC'!$B$5:$B$200,MATCH(C1908,'DANH MỤC'!$A$5:$A$200,0)),"⚠ Mã chưa có trong DANH MỤC"))</f>
        <v/>
      </c>
      <c r="H1908" s="52"/>
      <c r="I1908" s="52"/>
    </row>
    <row r="1909" customFormat="false" ht="15" hidden="false" customHeight="false" outlineLevel="0" collapsed="false">
      <c r="A1909" s="50"/>
      <c r="B1909" s="51" t="str">
        <f aca="false">IF(A1909="","",MONTH(A1909))</f>
        <v/>
      </c>
      <c r="C1909" s="52"/>
      <c r="D1909" s="52"/>
      <c r="E1909" s="52"/>
      <c r="F1909" s="52"/>
      <c r="G1909" s="55" t="str">
        <f aca="false">IF(C1909="","",IFERROR(INDEX('DANH MỤC'!$B$5:$B$200,MATCH(C1909,'DANH MỤC'!$A$5:$A$200,0)),"⚠ Mã chưa có trong DANH MỤC"))</f>
        <v/>
      </c>
      <c r="H1909" s="52"/>
      <c r="I1909" s="52"/>
    </row>
    <row r="1910" customFormat="false" ht="15" hidden="false" customHeight="false" outlineLevel="0" collapsed="false">
      <c r="A1910" s="50"/>
      <c r="B1910" s="51" t="str">
        <f aca="false">IF(A1910="","",MONTH(A1910))</f>
        <v/>
      </c>
      <c r="C1910" s="52"/>
      <c r="D1910" s="52"/>
      <c r="E1910" s="52"/>
      <c r="F1910" s="52"/>
      <c r="G1910" s="55" t="str">
        <f aca="false">IF(C1910="","",IFERROR(INDEX('DANH MỤC'!$B$5:$B$200,MATCH(C1910,'DANH MỤC'!$A$5:$A$200,0)),"⚠ Mã chưa có trong DANH MỤC"))</f>
        <v/>
      </c>
      <c r="H1910" s="52"/>
      <c r="I1910" s="52"/>
    </row>
    <row r="1911" customFormat="false" ht="15" hidden="false" customHeight="false" outlineLevel="0" collapsed="false">
      <c r="A1911" s="50"/>
      <c r="B1911" s="51" t="str">
        <f aca="false">IF(A1911="","",MONTH(A1911))</f>
        <v/>
      </c>
      <c r="C1911" s="52"/>
      <c r="D1911" s="52"/>
      <c r="E1911" s="52"/>
      <c r="F1911" s="52"/>
      <c r="G1911" s="55" t="str">
        <f aca="false">IF(C1911="","",IFERROR(INDEX('DANH MỤC'!$B$5:$B$200,MATCH(C1911,'DANH MỤC'!$A$5:$A$200,0)),"⚠ Mã chưa có trong DANH MỤC"))</f>
        <v/>
      </c>
      <c r="H1911" s="52"/>
      <c r="I1911" s="52"/>
    </row>
    <row r="1912" customFormat="false" ht="15" hidden="false" customHeight="false" outlineLevel="0" collapsed="false">
      <c r="A1912" s="50"/>
      <c r="B1912" s="51" t="str">
        <f aca="false">IF(A1912="","",MONTH(A1912))</f>
        <v/>
      </c>
      <c r="C1912" s="52"/>
      <c r="D1912" s="52"/>
      <c r="E1912" s="52"/>
      <c r="F1912" s="52"/>
      <c r="G1912" s="55" t="str">
        <f aca="false">IF(C1912="","",IFERROR(INDEX('DANH MỤC'!$B$5:$B$200,MATCH(C1912,'DANH MỤC'!$A$5:$A$200,0)),"⚠ Mã chưa có trong DANH MỤC"))</f>
        <v/>
      </c>
      <c r="H1912" s="52"/>
      <c r="I1912" s="52"/>
    </row>
    <row r="1913" customFormat="false" ht="15" hidden="false" customHeight="false" outlineLevel="0" collapsed="false">
      <c r="A1913" s="50"/>
      <c r="B1913" s="51" t="str">
        <f aca="false">IF(A1913="","",MONTH(A1913))</f>
        <v/>
      </c>
      <c r="C1913" s="52"/>
      <c r="D1913" s="52"/>
      <c r="E1913" s="52"/>
      <c r="F1913" s="52"/>
      <c r="G1913" s="55" t="str">
        <f aca="false">IF(C1913="","",IFERROR(INDEX('DANH MỤC'!$B$5:$B$200,MATCH(C1913,'DANH MỤC'!$A$5:$A$200,0)),"⚠ Mã chưa có trong DANH MỤC"))</f>
        <v/>
      </c>
      <c r="H1913" s="52"/>
      <c r="I1913" s="52"/>
    </row>
    <row r="1914" customFormat="false" ht="15" hidden="false" customHeight="false" outlineLevel="0" collapsed="false">
      <c r="A1914" s="50"/>
      <c r="B1914" s="51" t="str">
        <f aca="false">IF(A1914="","",MONTH(A1914))</f>
        <v/>
      </c>
      <c r="C1914" s="52"/>
      <c r="D1914" s="52"/>
      <c r="E1914" s="52"/>
      <c r="F1914" s="52"/>
      <c r="G1914" s="55" t="str">
        <f aca="false">IF(C1914="","",IFERROR(INDEX('DANH MỤC'!$B$5:$B$200,MATCH(C1914,'DANH MỤC'!$A$5:$A$200,0)),"⚠ Mã chưa có trong DANH MỤC"))</f>
        <v/>
      </c>
      <c r="H1914" s="52"/>
      <c r="I1914" s="52"/>
    </row>
    <row r="1915" customFormat="false" ht="15" hidden="false" customHeight="false" outlineLevel="0" collapsed="false">
      <c r="A1915" s="50"/>
      <c r="B1915" s="51" t="str">
        <f aca="false">IF(A1915="","",MONTH(A1915))</f>
        <v/>
      </c>
      <c r="C1915" s="52"/>
      <c r="D1915" s="52"/>
      <c r="E1915" s="52"/>
      <c r="F1915" s="52"/>
      <c r="G1915" s="55" t="str">
        <f aca="false">IF(C1915="","",IFERROR(INDEX('DANH MỤC'!$B$5:$B$200,MATCH(C1915,'DANH MỤC'!$A$5:$A$200,0)),"⚠ Mã chưa có trong DANH MỤC"))</f>
        <v/>
      </c>
      <c r="H1915" s="52"/>
      <c r="I1915" s="52"/>
    </row>
    <row r="1916" customFormat="false" ht="15" hidden="false" customHeight="false" outlineLevel="0" collapsed="false">
      <c r="A1916" s="50"/>
      <c r="B1916" s="51" t="str">
        <f aca="false">IF(A1916="","",MONTH(A1916))</f>
        <v/>
      </c>
      <c r="C1916" s="52"/>
      <c r="D1916" s="52"/>
      <c r="E1916" s="52"/>
      <c r="F1916" s="52"/>
      <c r="G1916" s="55" t="str">
        <f aca="false">IF(C1916="","",IFERROR(INDEX('DANH MỤC'!$B$5:$B$200,MATCH(C1916,'DANH MỤC'!$A$5:$A$200,0)),"⚠ Mã chưa có trong DANH MỤC"))</f>
        <v/>
      </c>
      <c r="H1916" s="52"/>
      <c r="I1916" s="52"/>
    </row>
    <row r="1917" customFormat="false" ht="15" hidden="false" customHeight="false" outlineLevel="0" collapsed="false">
      <c r="A1917" s="50"/>
      <c r="B1917" s="51" t="str">
        <f aca="false">IF(A1917="","",MONTH(A1917))</f>
        <v/>
      </c>
      <c r="C1917" s="52"/>
      <c r="D1917" s="52"/>
      <c r="E1917" s="52"/>
      <c r="F1917" s="52"/>
      <c r="G1917" s="55" t="str">
        <f aca="false">IF(C1917="","",IFERROR(INDEX('DANH MỤC'!$B$5:$B$200,MATCH(C1917,'DANH MỤC'!$A$5:$A$200,0)),"⚠ Mã chưa có trong DANH MỤC"))</f>
        <v/>
      </c>
      <c r="H1917" s="52"/>
      <c r="I1917" s="52"/>
    </row>
    <row r="1918" customFormat="false" ht="15" hidden="false" customHeight="false" outlineLevel="0" collapsed="false">
      <c r="A1918" s="50"/>
      <c r="B1918" s="51" t="str">
        <f aca="false">IF(A1918="","",MONTH(A1918))</f>
        <v/>
      </c>
      <c r="C1918" s="52"/>
      <c r="D1918" s="52"/>
      <c r="E1918" s="52"/>
      <c r="F1918" s="52"/>
      <c r="G1918" s="55" t="str">
        <f aca="false">IF(C1918="","",IFERROR(INDEX('DANH MỤC'!$B$5:$B$200,MATCH(C1918,'DANH MỤC'!$A$5:$A$200,0)),"⚠ Mã chưa có trong DANH MỤC"))</f>
        <v/>
      </c>
      <c r="H1918" s="52"/>
      <c r="I1918" s="52"/>
    </row>
    <row r="1919" customFormat="false" ht="15" hidden="false" customHeight="false" outlineLevel="0" collapsed="false">
      <c r="A1919" s="50"/>
      <c r="B1919" s="51" t="str">
        <f aca="false">IF(A1919="","",MONTH(A1919))</f>
        <v/>
      </c>
      <c r="C1919" s="52"/>
      <c r="D1919" s="52"/>
      <c r="E1919" s="52"/>
      <c r="F1919" s="52"/>
      <c r="G1919" s="55" t="str">
        <f aca="false">IF(C1919="","",IFERROR(INDEX('DANH MỤC'!$B$5:$B$200,MATCH(C1919,'DANH MỤC'!$A$5:$A$200,0)),"⚠ Mã chưa có trong DANH MỤC"))</f>
        <v/>
      </c>
      <c r="H1919" s="52"/>
      <c r="I1919" s="52"/>
    </row>
    <row r="1920" customFormat="false" ht="15" hidden="false" customHeight="false" outlineLevel="0" collapsed="false">
      <c r="A1920" s="50"/>
      <c r="B1920" s="51" t="str">
        <f aca="false">IF(A1920="","",MONTH(A1920))</f>
        <v/>
      </c>
      <c r="C1920" s="52"/>
      <c r="D1920" s="52"/>
      <c r="E1920" s="52"/>
      <c r="F1920" s="52"/>
      <c r="G1920" s="55" t="str">
        <f aca="false">IF(C1920="","",IFERROR(INDEX('DANH MỤC'!$B$5:$B$200,MATCH(C1920,'DANH MỤC'!$A$5:$A$200,0)),"⚠ Mã chưa có trong DANH MỤC"))</f>
        <v/>
      </c>
      <c r="H1920" s="52"/>
      <c r="I1920" s="52"/>
    </row>
    <row r="1921" customFormat="false" ht="15" hidden="false" customHeight="false" outlineLevel="0" collapsed="false">
      <c r="A1921" s="50"/>
      <c r="B1921" s="51" t="str">
        <f aca="false">IF(A1921="","",MONTH(A1921))</f>
        <v/>
      </c>
      <c r="C1921" s="52"/>
      <c r="D1921" s="52"/>
      <c r="E1921" s="52"/>
      <c r="F1921" s="52"/>
      <c r="G1921" s="55" t="str">
        <f aca="false">IF(C1921="","",IFERROR(INDEX('DANH MỤC'!$B$5:$B$200,MATCH(C1921,'DANH MỤC'!$A$5:$A$200,0)),"⚠ Mã chưa có trong DANH MỤC"))</f>
        <v/>
      </c>
      <c r="H1921" s="52"/>
      <c r="I1921" s="52"/>
    </row>
    <row r="1922" customFormat="false" ht="15" hidden="false" customHeight="false" outlineLevel="0" collapsed="false">
      <c r="A1922" s="50"/>
      <c r="B1922" s="51" t="str">
        <f aca="false">IF(A1922="","",MONTH(A1922))</f>
        <v/>
      </c>
      <c r="C1922" s="52"/>
      <c r="D1922" s="52"/>
      <c r="E1922" s="52"/>
      <c r="F1922" s="52"/>
      <c r="G1922" s="55" t="str">
        <f aca="false">IF(C1922="","",IFERROR(INDEX('DANH MỤC'!$B$5:$B$200,MATCH(C1922,'DANH MỤC'!$A$5:$A$200,0)),"⚠ Mã chưa có trong DANH MỤC"))</f>
        <v/>
      </c>
      <c r="H1922" s="52"/>
      <c r="I1922" s="52"/>
    </row>
    <row r="1923" customFormat="false" ht="15" hidden="false" customHeight="false" outlineLevel="0" collapsed="false">
      <c r="A1923" s="50"/>
      <c r="B1923" s="51" t="str">
        <f aca="false">IF(A1923="","",MONTH(A1923))</f>
        <v/>
      </c>
      <c r="C1923" s="52"/>
      <c r="D1923" s="52"/>
      <c r="E1923" s="52"/>
      <c r="F1923" s="52"/>
      <c r="G1923" s="55" t="str">
        <f aca="false">IF(C1923="","",IFERROR(INDEX('DANH MỤC'!$B$5:$B$200,MATCH(C1923,'DANH MỤC'!$A$5:$A$200,0)),"⚠ Mã chưa có trong DANH MỤC"))</f>
        <v/>
      </c>
      <c r="H1923" s="52"/>
      <c r="I1923" s="52"/>
    </row>
    <row r="1924" customFormat="false" ht="15" hidden="false" customHeight="false" outlineLevel="0" collapsed="false">
      <c r="A1924" s="50"/>
      <c r="B1924" s="51" t="str">
        <f aca="false">IF(A1924="","",MONTH(A1924))</f>
        <v/>
      </c>
      <c r="C1924" s="52"/>
      <c r="D1924" s="52"/>
      <c r="E1924" s="52"/>
      <c r="F1924" s="52"/>
      <c r="G1924" s="55" t="str">
        <f aca="false">IF(C1924="","",IFERROR(INDEX('DANH MỤC'!$B$5:$B$200,MATCH(C1924,'DANH MỤC'!$A$5:$A$200,0)),"⚠ Mã chưa có trong DANH MỤC"))</f>
        <v/>
      </c>
      <c r="H1924" s="52"/>
      <c r="I1924" s="52"/>
    </row>
    <row r="1925" customFormat="false" ht="15" hidden="false" customHeight="false" outlineLevel="0" collapsed="false">
      <c r="A1925" s="50"/>
      <c r="B1925" s="51" t="str">
        <f aca="false">IF(A1925="","",MONTH(A1925))</f>
        <v/>
      </c>
      <c r="C1925" s="52"/>
      <c r="D1925" s="52"/>
      <c r="E1925" s="52"/>
      <c r="F1925" s="52"/>
      <c r="G1925" s="55" t="str">
        <f aca="false">IF(C1925="","",IFERROR(INDEX('DANH MỤC'!$B$5:$B$200,MATCH(C1925,'DANH MỤC'!$A$5:$A$200,0)),"⚠ Mã chưa có trong DANH MỤC"))</f>
        <v/>
      </c>
      <c r="H1925" s="52"/>
      <c r="I1925" s="52"/>
    </row>
    <row r="1926" customFormat="false" ht="15" hidden="false" customHeight="false" outlineLevel="0" collapsed="false">
      <c r="A1926" s="50"/>
      <c r="B1926" s="51" t="str">
        <f aca="false">IF(A1926="","",MONTH(A1926))</f>
        <v/>
      </c>
      <c r="C1926" s="52"/>
      <c r="D1926" s="52"/>
      <c r="E1926" s="52"/>
      <c r="F1926" s="52"/>
      <c r="G1926" s="55" t="str">
        <f aca="false">IF(C1926="","",IFERROR(INDEX('DANH MỤC'!$B$5:$B$200,MATCH(C1926,'DANH MỤC'!$A$5:$A$200,0)),"⚠ Mã chưa có trong DANH MỤC"))</f>
        <v/>
      </c>
      <c r="H1926" s="52"/>
      <c r="I1926" s="52"/>
    </row>
    <row r="1927" customFormat="false" ht="15" hidden="false" customHeight="false" outlineLevel="0" collapsed="false">
      <c r="A1927" s="50"/>
      <c r="B1927" s="51" t="str">
        <f aca="false">IF(A1927="","",MONTH(A1927))</f>
        <v/>
      </c>
      <c r="C1927" s="52"/>
      <c r="D1927" s="52"/>
      <c r="E1927" s="52"/>
      <c r="F1927" s="52"/>
      <c r="G1927" s="55" t="str">
        <f aca="false">IF(C1927="","",IFERROR(INDEX('DANH MỤC'!$B$5:$B$200,MATCH(C1927,'DANH MỤC'!$A$5:$A$200,0)),"⚠ Mã chưa có trong DANH MỤC"))</f>
        <v/>
      </c>
      <c r="H1927" s="52"/>
      <c r="I1927" s="52"/>
    </row>
    <row r="1928" customFormat="false" ht="15" hidden="false" customHeight="false" outlineLevel="0" collapsed="false">
      <c r="A1928" s="50"/>
      <c r="B1928" s="51" t="str">
        <f aca="false">IF(A1928="","",MONTH(A1928))</f>
        <v/>
      </c>
      <c r="C1928" s="52"/>
      <c r="D1928" s="52"/>
      <c r="E1928" s="52"/>
      <c r="F1928" s="52"/>
      <c r="G1928" s="55" t="str">
        <f aca="false">IF(C1928="","",IFERROR(INDEX('DANH MỤC'!$B$5:$B$200,MATCH(C1928,'DANH MỤC'!$A$5:$A$200,0)),"⚠ Mã chưa có trong DANH MỤC"))</f>
        <v/>
      </c>
      <c r="H1928" s="52"/>
      <c r="I1928" s="52"/>
    </row>
    <row r="1929" customFormat="false" ht="15" hidden="false" customHeight="false" outlineLevel="0" collapsed="false">
      <c r="A1929" s="50"/>
      <c r="B1929" s="51" t="str">
        <f aca="false">IF(A1929="","",MONTH(A1929))</f>
        <v/>
      </c>
      <c r="C1929" s="52"/>
      <c r="D1929" s="52"/>
      <c r="E1929" s="52"/>
      <c r="F1929" s="52"/>
      <c r="G1929" s="55" t="str">
        <f aca="false">IF(C1929="","",IFERROR(INDEX('DANH MỤC'!$B$5:$B$200,MATCH(C1929,'DANH MỤC'!$A$5:$A$200,0)),"⚠ Mã chưa có trong DANH MỤC"))</f>
        <v/>
      </c>
      <c r="H1929" s="52"/>
      <c r="I1929" s="52"/>
    </row>
    <row r="1930" customFormat="false" ht="15" hidden="false" customHeight="false" outlineLevel="0" collapsed="false">
      <c r="A1930" s="50"/>
      <c r="B1930" s="51" t="str">
        <f aca="false">IF(A1930="","",MONTH(A1930))</f>
        <v/>
      </c>
      <c r="C1930" s="52"/>
      <c r="D1930" s="52"/>
      <c r="E1930" s="52"/>
      <c r="F1930" s="52"/>
      <c r="G1930" s="55" t="str">
        <f aca="false">IF(C1930="","",IFERROR(INDEX('DANH MỤC'!$B$5:$B$200,MATCH(C1930,'DANH MỤC'!$A$5:$A$200,0)),"⚠ Mã chưa có trong DANH MỤC"))</f>
        <v/>
      </c>
      <c r="H1930" s="52"/>
      <c r="I1930" s="52"/>
    </row>
    <row r="1931" customFormat="false" ht="15" hidden="false" customHeight="false" outlineLevel="0" collapsed="false">
      <c r="A1931" s="50"/>
      <c r="B1931" s="51" t="str">
        <f aca="false">IF(A1931="","",MONTH(A1931))</f>
        <v/>
      </c>
      <c r="C1931" s="52"/>
      <c r="D1931" s="52"/>
      <c r="E1931" s="52"/>
      <c r="F1931" s="52"/>
      <c r="G1931" s="55" t="str">
        <f aca="false">IF(C1931="","",IFERROR(INDEX('DANH MỤC'!$B$5:$B$200,MATCH(C1931,'DANH MỤC'!$A$5:$A$200,0)),"⚠ Mã chưa có trong DANH MỤC"))</f>
        <v/>
      </c>
      <c r="H1931" s="52"/>
      <c r="I1931" s="52"/>
    </row>
    <row r="1932" customFormat="false" ht="15" hidden="false" customHeight="false" outlineLevel="0" collapsed="false">
      <c r="A1932" s="50"/>
      <c r="B1932" s="51" t="str">
        <f aca="false">IF(A1932="","",MONTH(A1932))</f>
        <v/>
      </c>
      <c r="C1932" s="52"/>
      <c r="D1932" s="52"/>
      <c r="E1932" s="52"/>
      <c r="F1932" s="52"/>
      <c r="G1932" s="55" t="str">
        <f aca="false">IF(C1932="","",IFERROR(INDEX('DANH MỤC'!$B$5:$B$200,MATCH(C1932,'DANH MỤC'!$A$5:$A$200,0)),"⚠ Mã chưa có trong DANH MỤC"))</f>
        <v/>
      </c>
      <c r="H1932" s="52"/>
      <c r="I1932" s="52"/>
    </row>
    <row r="1933" customFormat="false" ht="15" hidden="false" customHeight="false" outlineLevel="0" collapsed="false">
      <c r="A1933" s="50"/>
      <c r="B1933" s="51" t="str">
        <f aca="false">IF(A1933="","",MONTH(A1933))</f>
        <v/>
      </c>
      <c r="C1933" s="52"/>
      <c r="D1933" s="52"/>
      <c r="E1933" s="52"/>
      <c r="F1933" s="52"/>
      <c r="G1933" s="55" t="str">
        <f aca="false">IF(C1933="","",IFERROR(INDEX('DANH MỤC'!$B$5:$B$200,MATCH(C1933,'DANH MỤC'!$A$5:$A$200,0)),"⚠ Mã chưa có trong DANH MỤC"))</f>
        <v/>
      </c>
      <c r="H1933" s="52"/>
      <c r="I1933" s="52"/>
    </row>
    <row r="1934" customFormat="false" ht="15" hidden="false" customHeight="false" outlineLevel="0" collapsed="false">
      <c r="A1934" s="50"/>
      <c r="B1934" s="51" t="str">
        <f aca="false">IF(A1934="","",MONTH(A1934))</f>
        <v/>
      </c>
      <c r="C1934" s="52"/>
      <c r="D1934" s="52"/>
      <c r="E1934" s="52"/>
      <c r="F1934" s="52"/>
      <c r="G1934" s="55" t="str">
        <f aca="false">IF(C1934="","",IFERROR(INDEX('DANH MỤC'!$B$5:$B$200,MATCH(C1934,'DANH MỤC'!$A$5:$A$200,0)),"⚠ Mã chưa có trong DANH MỤC"))</f>
        <v/>
      </c>
      <c r="H1934" s="52"/>
      <c r="I1934" s="52"/>
    </row>
    <row r="1935" customFormat="false" ht="15" hidden="false" customHeight="false" outlineLevel="0" collapsed="false">
      <c r="A1935" s="50"/>
      <c r="B1935" s="51" t="str">
        <f aca="false">IF(A1935="","",MONTH(A1935))</f>
        <v/>
      </c>
      <c r="C1935" s="52"/>
      <c r="D1935" s="52"/>
      <c r="E1935" s="52"/>
      <c r="F1935" s="52"/>
      <c r="G1935" s="55" t="str">
        <f aca="false">IF(C1935="","",IFERROR(INDEX('DANH MỤC'!$B$5:$B$200,MATCH(C1935,'DANH MỤC'!$A$5:$A$200,0)),"⚠ Mã chưa có trong DANH MỤC"))</f>
        <v/>
      </c>
      <c r="H1935" s="52"/>
      <c r="I1935" s="52"/>
    </row>
    <row r="1936" customFormat="false" ht="15" hidden="false" customHeight="false" outlineLevel="0" collapsed="false">
      <c r="A1936" s="50"/>
      <c r="B1936" s="51" t="str">
        <f aca="false">IF(A1936="","",MONTH(A1936))</f>
        <v/>
      </c>
      <c r="C1936" s="52"/>
      <c r="D1936" s="52"/>
      <c r="E1936" s="52"/>
      <c r="F1936" s="52"/>
      <c r="G1936" s="55" t="str">
        <f aca="false">IF(C1936="","",IFERROR(INDEX('DANH MỤC'!$B$5:$B$200,MATCH(C1936,'DANH MỤC'!$A$5:$A$200,0)),"⚠ Mã chưa có trong DANH MỤC"))</f>
        <v/>
      </c>
      <c r="H1936" s="52"/>
      <c r="I1936" s="52"/>
    </row>
    <row r="1937" customFormat="false" ht="15" hidden="false" customHeight="false" outlineLevel="0" collapsed="false">
      <c r="A1937" s="50"/>
      <c r="B1937" s="51" t="str">
        <f aca="false">IF(A1937="","",MONTH(A1937))</f>
        <v/>
      </c>
      <c r="C1937" s="52"/>
      <c r="D1937" s="52"/>
      <c r="E1937" s="52"/>
      <c r="F1937" s="52"/>
      <c r="G1937" s="55" t="str">
        <f aca="false">IF(C1937="","",IFERROR(INDEX('DANH MỤC'!$B$5:$B$200,MATCH(C1937,'DANH MỤC'!$A$5:$A$200,0)),"⚠ Mã chưa có trong DANH MỤC"))</f>
        <v/>
      </c>
      <c r="H1937" s="52"/>
      <c r="I1937" s="52"/>
    </row>
    <row r="1938" customFormat="false" ht="15" hidden="false" customHeight="false" outlineLevel="0" collapsed="false">
      <c r="A1938" s="50"/>
      <c r="B1938" s="51" t="str">
        <f aca="false">IF(A1938="","",MONTH(A1938))</f>
        <v/>
      </c>
      <c r="C1938" s="52"/>
      <c r="D1938" s="52"/>
      <c r="E1938" s="52"/>
      <c r="F1938" s="52"/>
      <c r="G1938" s="55" t="str">
        <f aca="false">IF(C1938="","",IFERROR(INDEX('DANH MỤC'!$B$5:$B$200,MATCH(C1938,'DANH MỤC'!$A$5:$A$200,0)),"⚠ Mã chưa có trong DANH MỤC"))</f>
        <v/>
      </c>
      <c r="H1938" s="52"/>
      <c r="I1938" s="52"/>
    </row>
    <row r="1939" customFormat="false" ht="15" hidden="false" customHeight="false" outlineLevel="0" collapsed="false">
      <c r="A1939" s="50"/>
      <c r="B1939" s="51" t="str">
        <f aca="false">IF(A1939="","",MONTH(A1939))</f>
        <v/>
      </c>
      <c r="C1939" s="52"/>
      <c r="D1939" s="52"/>
      <c r="E1939" s="52"/>
      <c r="F1939" s="52"/>
      <c r="G1939" s="55" t="str">
        <f aca="false">IF(C1939="","",IFERROR(INDEX('DANH MỤC'!$B$5:$B$200,MATCH(C1939,'DANH MỤC'!$A$5:$A$200,0)),"⚠ Mã chưa có trong DANH MỤC"))</f>
        <v/>
      </c>
      <c r="H1939" s="52"/>
      <c r="I1939" s="52"/>
    </row>
    <row r="1940" customFormat="false" ht="15" hidden="false" customHeight="false" outlineLevel="0" collapsed="false">
      <c r="A1940" s="50"/>
      <c r="B1940" s="51" t="str">
        <f aca="false">IF(A1940="","",MONTH(A1940))</f>
        <v/>
      </c>
      <c r="C1940" s="52"/>
      <c r="D1940" s="52"/>
      <c r="E1940" s="52"/>
      <c r="F1940" s="52"/>
      <c r="G1940" s="55" t="str">
        <f aca="false">IF(C1940="","",IFERROR(INDEX('DANH MỤC'!$B$5:$B$200,MATCH(C1940,'DANH MỤC'!$A$5:$A$200,0)),"⚠ Mã chưa có trong DANH MỤC"))</f>
        <v/>
      </c>
      <c r="H1940" s="52"/>
      <c r="I1940" s="52"/>
    </row>
    <row r="1941" customFormat="false" ht="15" hidden="false" customHeight="false" outlineLevel="0" collapsed="false">
      <c r="A1941" s="50"/>
      <c r="B1941" s="51" t="str">
        <f aca="false">IF(A1941="","",MONTH(A1941))</f>
        <v/>
      </c>
      <c r="C1941" s="52"/>
      <c r="D1941" s="52"/>
      <c r="E1941" s="52"/>
      <c r="F1941" s="52"/>
      <c r="G1941" s="55" t="str">
        <f aca="false">IF(C1941="","",IFERROR(INDEX('DANH MỤC'!$B$5:$B$200,MATCH(C1941,'DANH MỤC'!$A$5:$A$200,0)),"⚠ Mã chưa có trong DANH MỤC"))</f>
        <v/>
      </c>
      <c r="H1941" s="52"/>
      <c r="I1941" s="52"/>
    </row>
    <row r="1942" customFormat="false" ht="15" hidden="false" customHeight="false" outlineLevel="0" collapsed="false">
      <c r="A1942" s="50"/>
      <c r="B1942" s="51" t="str">
        <f aca="false">IF(A1942="","",MONTH(A1942))</f>
        <v/>
      </c>
      <c r="C1942" s="52"/>
      <c r="D1942" s="52"/>
      <c r="E1942" s="52"/>
      <c r="F1942" s="52"/>
      <c r="G1942" s="55" t="str">
        <f aca="false">IF(C1942="","",IFERROR(INDEX('DANH MỤC'!$B$5:$B$200,MATCH(C1942,'DANH MỤC'!$A$5:$A$200,0)),"⚠ Mã chưa có trong DANH MỤC"))</f>
        <v/>
      </c>
      <c r="H1942" s="52"/>
      <c r="I1942" s="52"/>
    </row>
    <row r="1943" customFormat="false" ht="15" hidden="false" customHeight="false" outlineLevel="0" collapsed="false">
      <c r="A1943" s="50"/>
      <c r="B1943" s="51" t="str">
        <f aca="false">IF(A1943="","",MONTH(A1943))</f>
        <v/>
      </c>
      <c r="C1943" s="52"/>
      <c r="D1943" s="52"/>
      <c r="E1943" s="52"/>
      <c r="F1943" s="52"/>
      <c r="G1943" s="55" t="str">
        <f aca="false">IF(C1943="","",IFERROR(INDEX('DANH MỤC'!$B$5:$B$200,MATCH(C1943,'DANH MỤC'!$A$5:$A$200,0)),"⚠ Mã chưa có trong DANH MỤC"))</f>
        <v/>
      </c>
      <c r="H1943" s="52"/>
      <c r="I1943" s="52"/>
    </row>
    <row r="1944" customFormat="false" ht="15" hidden="false" customHeight="false" outlineLevel="0" collapsed="false">
      <c r="A1944" s="50"/>
      <c r="B1944" s="51" t="str">
        <f aca="false">IF(A1944="","",MONTH(A1944))</f>
        <v/>
      </c>
      <c r="C1944" s="52"/>
      <c r="D1944" s="52"/>
      <c r="E1944" s="52"/>
      <c r="F1944" s="52"/>
      <c r="G1944" s="55" t="str">
        <f aca="false">IF(C1944="","",IFERROR(INDEX('DANH MỤC'!$B$5:$B$200,MATCH(C1944,'DANH MỤC'!$A$5:$A$200,0)),"⚠ Mã chưa có trong DANH MỤC"))</f>
        <v/>
      </c>
      <c r="H1944" s="52"/>
      <c r="I1944" s="52"/>
    </row>
    <row r="1945" customFormat="false" ht="15" hidden="false" customHeight="false" outlineLevel="0" collapsed="false">
      <c r="A1945" s="50"/>
      <c r="B1945" s="51" t="str">
        <f aca="false">IF(A1945="","",MONTH(A1945))</f>
        <v/>
      </c>
      <c r="C1945" s="52"/>
      <c r="D1945" s="52"/>
      <c r="E1945" s="52"/>
      <c r="F1945" s="52"/>
      <c r="G1945" s="55" t="str">
        <f aca="false">IF(C1945="","",IFERROR(INDEX('DANH MỤC'!$B$5:$B$200,MATCH(C1945,'DANH MỤC'!$A$5:$A$200,0)),"⚠ Mã chưa có trong DANH MỤC"))</f>
        <v/>
      </c>
      <c r="H1945" s="52"/>
      <c r="I1945" s="52"/>
    </row>
    <row r="1946" customFormat="false" ht="15" hidden="false" customHeight="false" outlineLevel="0" collapsed="false">
      <c r="A1946" s="50"/>
      <c r="B1946" s="51" t="str">
        <f aca="false">IF(A1946="","",MONTH(A1946))</f>
        <v/>
      </c>
      <c r="C1946" s="52"/>
      <c r="D1946" s="52"/>
      <c r="E1946" s="52"/>
      <c r="F1946" s="52"/>
      <c r="G1946" s="55" t="str">
        <f aca="false">IF(C1946="","",IFERROR(INDEX('DANH MỤC'!$B$5:$B$200,MATCH(C1946,'DANH MỤC'!$A$5:$A$200,0)),"⚠ Mã chưa có trong DANH MỤC"))</f>
        <v/>
      </c>
      <c r="H1946" s="52"/>
      <c r="I1946" s="52"/>
    </row>
    <row r="1947" customFormat="false" ht="15" hidden="false" customHeight="false" outlineLevel="0" collapsed="false">
      <c r="A1947" s="50"/>
      <c r="B1947" s="51" t="str">
        <f aca="false">IF(A1947="","",MONTH(A1947))</f>
        <v/>
      </c>
      <c r="C1947" s="52"/>
      <c r="D1947" s="52"/>
      <c r="E1947" s="52"/>
      <c r="F1947" s="52"/>
      <c r="G1947" s="55" t="str">
        <f aca="false">IF(C1947="","",IFERROR(INDEX('DANH MỤC'!$B$5:$B$200,MATCH(C1947,'DANH MỤC'!$A$5:$A$200,0)),"⚠ Mã chưa có trong DANH MỤC"))</f>
        <v/>
      </c>
      <c r="H1947" s="52"/>
      <c r="I1947" s="52"/>
    </row>
    <row r="1948" customFormat="false" ht="15" hidden="false" customHeight="false" outlineLevel="0" collapsed="false">
      <c r="A1948" s="50"/>
      <c r="B1948" s="51" t="str">
        <f aca="false">IF(A1948="","",MONTH(A1948))</f>
        <v/>
      </c>
      <c r="C1948" s="52"/>
      <c r="D1948" s="52"/>
      <c r="E1948" s="52"/>
      <c r="F1948" s="52"/>
      <c r="G1948" s="55" t="str">
        <f aca="false">IF(C1948="","",IFERROR(INDEX('DANH MỤC'!$B$5:$B$200,MATCH(C1948,'DANH MỤC'!$A$5:$A$200,0)),"⚠ Mã chưa có trong DANH MỤC"))</f>
        <v/>
      </c>
      <c r="H1948" s="52"/>
      <c r="I1948" s="52"/>
    </row>
    <row r="1949" customFormat="false" ht="15" hidden="false" customHeight="false" outlineLevel="0" collapsed="false">
      <c r="A1949" s="50"/>
      <c r="B1949" s="51" t="str">
        <f aca="false">IF(A1949="","",MONTH(A1949))</f>
        <v/>
      </c>
      <c r="C1949" s="52"/>
      <c r="D1949" s="52"/>
      <c r="E1949" s="52"/>
      <c r="F1949" s="52"/>
      <c r="G1949" s="55" t="str">
        <f aca="false">IF(C1949="","",IFERROR(INDEX('DANH MỤC'!$B$5:$B$200,MATCH(C1949,'DANH MỤC'!$A$5:$A$200,0)),"⚠ Mã chưa có trong DANH MỤC"))</f>
        <v/>
      </c>
      <c r="H1949" s="52"/>
      <c r="I1949" s="52"/>
    </row>
    <row r="1950" customFormat="false" ht="15" hidden="false" customHeight="false" outlineLevel="0" collapsed="false">
      <c r="A1950" s="50"/>
      <c r="B1950" s="51" t="str">
        <f aca="false">IF(A1950="","",MONTH(A1950))</f>
        <v/>
      </c>
      <c r="C1950" s="52"/>
      <c r="D1950" s="52"/>
      <c r="E1950" s="52"/>
      <c r="F1950" s="52"/>
      <c r="G1950" s="55" t="str">
        <f aca="false">IF(C1950="","",IFERROR(INDEX('DANH MỤC'!$B$5:$B$200,MATCH(C1950,'DANH MỤC'!$A$5:$A$200,0)),"⚠ Mã chưa có trong DANH MỤC"))</f>
        <v/>
      </c>
      <c r="H1950" s="52"/>
      <c r="I1950" s="52"/>
    </row>
    <row r="1951" customFormat="false" ht="15" hidden="false" customHeight="false" outlineLevel="0" collapsed="false">
      <c r="A1951" s="50"/>
      <c r="B1951" s="51" t="str">
        <f aca="false">IF(A1951="","",MONTH(A1951))</f>
        <v/>
      </c>
      <c r="C1951" s="52"/>
      <c r="D1951" s="52"/>
      <c r="E1951" s="52"/>
      <c r="F1951" s="52"/>
      <c r="G1951" s="55" t="str">
        <f aca="false">IF(C1951="","",IFERROR(INDEX('DANH MỤC'!$B$5:$B$200,MATCH(C1951,'DANH MỤC'!$A$5:$A$200,0)),"⚠ Mã chưa có trong DANH MỤC"))</f>
        <v/>
      </c>
      <c r="H1951" s="52"/>
      <c r="I1951" s="52"/>
    </row>
    <row r="1952" customFormat="false" ht="15" hidden="false" customHeight="false" outlineLevel="0" collapsed="false">
      <c r="A1952" s="50"/>
      <c r="B1952" s="51" t="str">
        <f aca="false">IF(A1952="","",MONTH(A1952))</f>
        <v/>
      </c>
      <c r="C1952" s="52"/>
      <c r="D1952" s="52"/>
      <c r="E1952" s="52"/>
      <c r="F1952" s="52"/>
      <c r="G1952" s="55" t="str">
        <f aca="false">IF(C1952="","",IFERROR(INDEX('DANH MỤC'!$B$5:$B$200,MATCH(C1952,'DANH MỤC'!$A$5:$A$200,0)),"⚠ Mã chưa có trong DANH MỤC"))</f>
        <v/>
      </c>
      <c r="H1952" s="52"/>
      <c r="I1952" s="52"/>
    </row>
    <row r="1953" customFormat="false" ht="15" hidden="false" customHeight="false" outlineLevel="0" collapsed="false">
      <c r="A1953" s="50"/>
      <c r="B1953" s="51" t="str">
        <f aca="false">IF(A1953="","",MONTH(A1953))</f>
        <v/>
      </c>
      <c r="C1953" s="52"/>
      <c r="D1953" s="52"/>
      <c r="E1953" s="52"/>
      <c r="F1953" s="52"/>
      <c r="G1953" s="55" t="str">
        <f aca="false">IF(C1953="","",IFERROR(INDEX('DANH MỤC'!$B$5:$B$200,MATCH(C1953,'DANH MỤC'!$A$5:$A$200,0)),"⚠ Mã chưa có trong DANH MỤC"))</f>
        <v/>
      </c>
      <c r="H1953" s="52"/>
      <c r="I1953" s="52"/>
    </row>
    <row r="1954" customFormat="false" ht="15" hidden="false" customHeight="false" outlineLevel="0" collapsed="false">
      <c r="A1954" s="50"/>
      <c r="B1954" s="51" t="str">
        <f aca="false">IF(A1954="","",MONTH(A1954))</f>
        <v/>
      </c>
      <c r="C1954" s="52"/>
      <c r="D1954" s="52"/>
      <c r="E1954" s="52"/>
      <c r="F1954" s="52"/>
      <c r="G1954" s="55" t="str">
        <f aca="false">IF(C1954="","",IFERROR(INDEX('DANH MỤC'!$B$5:$B$200,MATCH(C1954,'DANH MỤC'!$A$5:$A$200,0)),"⚠ Mã chưa có trong DANH MỤC"))</f>
        <v/>
      </c>
      <c r="H1954" s="52"/>
      <c r="I1954" s="52"/>
    </row>
    <row r="1955" customFormat="false" ht="15" hidden="false" customHeight="false" outlineLevel="0" collapsed="false">
      <c r="A1955" s="50"/>
      <c r="B1955" s="51" t="str">
        <f aca="false">IF(A1955="","",MONTH(A1955))</f>
        <v/>
      </c>
      <c r="C1955" s="52"/>
      <c r="D1955" s="52"/>
      <c r="E1955" s="52"/>
      <c r="F1955" s="52"/>
      <c r="G1955" s="55" t="str">
        <f aca="false">IF(C1955="","",IFERROR(INDEX('DANH MỤC'!$B$5:$B$200,MATCH(C1955,'DANH MỤC'!$A$5:$A$200,0)),"⚠ Mã chưa có trong DANH MỤC"))</f>
        <v/>
      </c>
      <c r="H1955" s="52"/>
      <c r="I1955" s="52"/>
    </row>
    <row r="1956" customFormat="false" ht="15" hidden="false" customHeight="false" outlineLevel="0" collapsed="false">
      <c r="A1956" s="50"/>
      <c r="B1956" s="51" t="str">
        <f aca="false">IF(A1956="","",MONTH(A1956))</f>
        <v/>
      </c>
      <c r="C1956" s="52"/>
      <c r="D1956" s="52"/>
      <c r="E1956" s="52"/>
      <c r="F1956" s="52"/>
      <c r="G1956" s="55" t="str">
        <f aca="false">IF(C1956="","",IFERROR(INDEX('DANH MỤC'!$B$5:$B$200,MATCH(C1956,'DANH MỤC'!$A$5:$A$200,0)),"⚠ Mã chưa có trong DANH MỤC"))</f>
        <v/>
      </c>
      <c r="H1956" s="52"/>
      <c r="I1956" s="52"/>
    </row>
    <row r="1957" customFormat="false" ht="15" hidden="false" customHeight="false" outlineLevel="0" collapsed="false">
      <c r="A1957" s="50"/>
      <c r="B1957" s="51" t="str">
        <f aca="false">IF(A1957="","",MONTH(A1957))</f>
        <v/>
      </c>
      <c r="C1957" s="52"/>
      <c r="D1957" s="52"/>
      <c r="E1957" s="52"/>
      <c r="F1957" s="52"/>
      <c r="G1957" s="55" t="str">
        <f aca="false">IF(C1957="","",IFERROR(INDEX('DANH MỤC'!$B$5:$B$200,MATCH(C1957,'DANH MỤC'!$A$5:$A$200,0)),"⚠ Mã chưa có trong DANH MỤC"))</f>
        <v/>
      </c>
      <c r="H1957" s="52"/>
      <c r="I1957" s="52"/>
    </row>
    <row r="1958" customFormat="false" ht="15" hidden="false" customHeight="false" outlineLevel="0" collapsed="false">
      <c r="A1958" s="50"/>
      <c r="B1958" s="51" t="str">
        <f aca="false">IF(A1958="","",MONTH(A1958))</f>
        <v/>
      </c>
      <c r="C1958" s="52"/>
      <c r="D1958" s="52"/>
      <c r="E1958" s="52"/>
      <c r="F1958" s="52"/>
      <c r="G1958" s="55" t="str">
        <f aca="false">IF(C1958="","",IFERROR(INDEX('DANH MỤC'!$B$5:$B$200,MATCH(C1958,'DANH MỤC'!$A$5:$A$200,0)),"⚠ Mã chưa có trong DANH MỤC"))</f>
        <v/>
      </c>
      <c r="H1958" s="52"/>
      <c r="I1958" s="52"/>
    </row>
    <row r="1959" customFormat="false" ht="15" hidden="false" customHeight="false" outlineLevel="0" collapsed="false">
      <c r="A1959" s="50"/>
      <c r="B1959" s="51" t="str">
        <f aca="false">IF(A1959="","",MONTH(A1959))</f>
        <v/>
      </c>
      <c r="C1959" s="52"/>
      <c r="D1959" s="52"/>
      <c r="E1959" s="52"/>
      <c r="F1959" s="52"/>
      <c r="G1959" s="55" t="str">
        <f aca="false">IF(C1959="","",IFERROR(INDEX('DANH MỤC'!$B$5:$B$200,MATCH(C1959,'DANH MỤC'!$A$5:$A$200,0)),"⚠ Mã chưa có trong DANH MỤC"))</f>
        <v/>
      </c>
      <c r="H1959" s="52"/>
      <c r="I1959" s="52"/>
    </row>
    <row r="1960" customFormat="false" ht="15" hidden="false" customHeight="false" outlineLevel="0" collapsed="false">
      <c r="A1960" s="50"/>
      <c r="B1960" s="51" t="str">
        <f aca="false">IF(A1960="","",MONTH(A1960))</f>
        <v/>
      </c>
      <c r="C1960" s="52"/>
      <c r="D1960" s="52"/>
      <c r="E1960" s="52"/>
      <c r="F1960" s="52"/>
      <c r="G1960" s="55" t="str">
        <f aca="false">IF(C1960="","",IFERROR(INDEX('DANH MỤC'!$B$5:$B$200,MATCH(C1960,'DANH MỤC'!$A$5:$A$200,0)),"⚠ Mã chưa có trong DANH MỤC"))</f>
        <v/>
      </c>
      <c r="H1960" s="52"/>
      <c r="I1960" s="52"/>
    </row>
    <row r="1961" customFormat="false" ht="15" hidden="false" customHeight="false" outlineLevel="0" collapsed="false">
      <c r="A1961" s="50"/>
      <c r="B1961" s="51" t="str">
        <f aca="false">IF(A1961="","",MONTH(A1961))</f>
        <v/>
      </c>
      <c r="C1961" s="52"/>
      <c r="D1961" s="52"/>
      <c r="E1961" s="52"/>
      <c r="F1961" s="52"/>
      <c r="G1961" s="55" t="str">
        <f aca="false">IF(C1961="","",IFERROR(INDEX('DANH MỤC'!$B$5:$B$200,MATCH(C1961,'DANH MỤC'!$A$5:$A$200,0)),"⚠ Mã chưa có trong DANH MỤC"))</f>
        <v/>
      </c>
      <c r="H1961" s="52"/>
      <c r="I1961" s="52"/>
    </row>
    <row r="1962" customFormat="false" ht="15" hidden="false" customHeight="false" outlineLevel="0" collapsed="false">
      <c r="A1962" s="50"/>
      <c r="B1962" s="51" t="str">
        <f aca="false">IF(A1962="","",MONTH(A1962))</f>
        <v/>
      </c>
      <c r="C1962" s="52"/>
      <c r="D1962" s="52"/>
      <c r="E1962" s="52"/>
      <c r="F1962" s="52"/>
      <c r="G1962" s="55" t="str">
        <f aca="false">IF(C1962="","",IFERROR(INDEX('DANH MỤC'!$B$5:$B$200,MATCH(C1962,'DANH MỤC'!$A$5:$A$200,0)),"⚠ Mã chưa có trong DANH MỤC"))</f>
        <v/>
      </c>
      <c r="H1962" s="52"/>
      <c r="I1962" s="52"/>
    </row>
    <row r="1963" customFormat="false" ht="15" hidden="false" customHeight="false" outlineLevel="0" collapsed="false">
      <c r="A1963" s="50"/>
      <c r="B1963" s="51" t="str">
        <f aca="false">IF(A1963="","",MONTH(A1963))</f>
        <v/>
      </c>
      <c r="C1963" s="52"/>
      <c r="D1963" s="52"/>
      <c r="E1963" s="52"/>
      <c r="F1963" s="52"/>
      <c r="G1963" s="55" t="str">
        <f aca="false">IF(C1963="","",IFERROR(INDEX('DANH MỤC'!$B$5:$B$200,MATCH(C1963,'DANH MỤC'!$A$5:$A$200,0)),"⚠ Mã chưa có trong DANH MỤC"))</f>
        <v/>
      </c>
      <c r="H1963" s="52"/>
      <c r="I1963" s="52"/>
    </row>
    <row r="1964" customFormat="false" ht="15" hidden="false" customHeight="false" outlineLevel="0" collapsed="false">
      <c r="A1964" s="50"/>
      <c r="B1964" s="51" t="str">
        <f aca="false">IF(A1964="","",MONTH(A1964))</f>
        <v/>
      </c>
      <c r="C1964" s="52"/>
      <c r="D1964" s="52"/>
      <c r="E1964" s="52"/>
      <c r="F1964" s="52"/>
      <c r="G1964" s="55" t="str">
        <f aca="false">IF(C1964="","",IFERROR(INDEX('DANH MỤC'!$B$5:$B$200,MATCH(C1964,'DANH MỤC'!$A$5:$A$200,0)),"⚠ Mã chưa có trong DANH MỤC"))</f>
        <v/>
      </c>
      <c r="H1964" s="52"/>
      <c r="I1964" s="52"/>
    </row>
    <row r="1965" customFormat="false" ht="15" hidden="false" customHeight="false" outlineLevel="0" collapsed="false">
      <c r="A1965" s="50"/>
      <c r="B1965" s="51" t="str">
        <f aca="false">IF(A1965="","",MONTH(A1965))</f>
        <v/>
      </c>
      <c r="C1965" s="52"/>
      <c r="D1965" s="52"/>
      <c r="E1965" s="52"/>
      <c r="F1965" s="52"/>
      <c r="G1965" s="55" t="str">
        <f aca="false">IF(C1965="","",IFERROR(INDEX('DANH MỤC'!$B$5:$B$200,MATCH(C1965,'DANH MỤC'!$A$5:$A$200,0)),"⚠ Mã chưa có trong DANH MỤC"))</f>
        <v/>
      </c>
      <c r="H1965" s="52"/>
      <c r="I1965" s="52"/>
    </row>
    <row r="1966" customFormat="false" ht="15" hidden="false" customHeight="false" outlineLevel="0" collapsed="false">
      <c r="A1966" s="50"/>
      <c r="B1966" s="51" t="str">
        <f aca="false">IF(A1966="","",MONTH(A1966))</f>
        <v/>
      </c>
      <c r="C1966" s="52"/>
      <c r="D1966" s="52"/>
      <c r="E1966" s="52"/>
      <c r="F1966" s="52"/>
      <c r="G1966" s="55" t="str">
        <f aca="false">IF(C1966="","",IFERROR(INDEX('DANH MỤC'!$B$5:$B$200,MATCH(C1966,'DANH MỤC'!$A$5:$A$200,0)),"⚠ Mã chưa có trong DANH MỤC"))</f>
        <v/>
      </c>
      <c r="H1966" s="52"/>
      <c r="I1966" s="52"/>
    </row>
    <row r="1967" customFormat="false" ht="15" hidden="false" customHeight="false" outlineLevel="0" collapsed="false">
      <c r="A1967" s="50"/>
      <c r="B1967" s="51" t="str">
        <f aca="false">IF(A1967="","",MONTH(A1967))</f>
        <v/>
      </c>
      <c r="C1967" s="52"/>
      <c r="D1967" s="52"/>
      <c r="E1967" s="52"/>
      <c r="F1967" s="52"/>
      <c r="G1967" s="55" t="str">
        <f aca="false">IF(C1967="","",IFERROR(INDEX('DANH MỤC'!$B$5:$B$200,MATCH(C1967,'DANH MỤC'!$A$5:$A$200,0)),"⚠ Mã chưa có trong DANH MỤC"))</f>
        <v/>
      </c>
      <c r="H1967" s="52"/>
      <c r="I1967" s="52"/>
    </row>
    <row r="1968" customFormat="false" ht="15" hidden="false" customHeight="false" outlineLevel="0" collapsed="false">
      <c r="A1968" s="50"/>
      <c r="B1968" s="51" t="str">
        <f aca="false">IF(A1968="","",MONTH(A1968))</f>
        <v/>
      </c>
      <c r="C1968" s="52"/>
      <c r="D1968" s="52"/>
      <c r="E1968" s="52"/>
      <c r="F1968" s="52"/>
      <c r="G1968" s="55" t="str">
        <f aca="false">IF(C1968="","",IFERROR(INDEX('DANH MỤC'!$B$5:$B$200,MATCH(C1968,'DANH MỤC'!$A$5:$A$200,0)),"⚠ Mã chưa có trong DANH MỤC"))</f>
        <v/>
      </c>
      <c r="H1968" s="52"/>
      <c r="I1968" s="52"/>
    </row>
    <row r="1969" customFormat="false" ht="15" hidden="false" customHeight="false" outlineLevel="0" collapsed="false">
      <c r="A1969" s="50"/>
      <c r="B1969" s="51" t="str">
        <f aca="false">IF(A1969="","",MONTH(A1969))</f>
        <v/>
      </c>
      <c r="C1969" s="52"/>
      <c r="D1969" s="52"/>
      <c r="E1969" s="52"/>
      <c r="F1969" s="52"/>
      <c r="G1969" s="55" t="str">
        <f aca="false">IF(C1969="","",IFERROR(INDEX('DANH MỤC'!$B$5:$B$200,MATCH(C1969,'DANH MỤC'!$A$5:$A$200,0)),"⚠ Mã chưa có trong DANH MỤC"))</f>
        <v/>
      </c>
      <c r="H1969" s="52"/>
      <c r="I1969" s="52"/>
    </row>
    <row r="1970" customFormat="false" ht="15" hidden="false" customHeight="false" outlineLevel="0" collapsed="false">
      <c r="A1970" s="50"/>
      <c r="B1970" s="51" t="str">
        <f aca="false">IF(A1970="","",MONTH(A1970))</f>
        <v/>
      </c>
      <c r="C1970" s="52"/>
      <c r="D1970" s="52"/>
      <c r="E1970" s="52"/>
      <c r="F1970" s="52"/>
      <c r="G1970" s="55" t="str">
        <f aca="false">IF(C1970="","",IFERROR(INDEX('DANH MỤC'!$B$5:$B$200,MATCH(C1970,'DANH MỤC'!$A$5:$A$200,0)),"⚠ Mã chưa có trong DANH MỤC"))</f>
        <v/>
      </c>
      <c r="H1970" s="52"/>
      <c r="I1970" s="52"/>
    </row>
    <row r="1971" customFormat="false" ht="15" hidden="false" customHeight="false" outlineLevel="0" collapsed="false">
      <c r="A1971" s="50"/>
      <c r="B1971" s="51" t="str">
        <f aca="false">IF(A1971="","",MONTH(A1971))</f>
        <v/>
      </c>
      <c r="C1971" s="52"/>
      <c r="D1971" s="52"/>
      <c r="E1971" s="52"/>
      <c r="F1971" s="52"/>
      <c r="G1971" s="55" t="str">
        <f aca="false">IF(C1971="","",IFERROR(INDEX('DANH MỤC'!$B$5:$B$200,MATCH(C1971,'DANH MỤC'!$A$5:$A$200,0)),"⚠ Mã chưa có trong DANH MỤC"))</f>
        <v/>
      </c>
      <c r="H1971" s="52"/>
      <c r="I1971" s="52"/>
    </row>
    <row r="1972" customFormat="false" ht="15" hidden="false" customHeight="false" outlineLevel="0" collapsed="false">
      <c r="A1972" s="50"/>
      <c r="B1972" s="51" t="str">
        <f aca="false">IF(A1972="","",MONTH(A1972))</f>
        <v/>
      </c>
      <c r="C1972" s="52"/>
      <c r="D1972" s="52"/>
      <c r="E1972" s="52"/>
      <c r="F1972" s="52"/>
      <c r="G1972" s="55" t="str">
        <f aca="false">IF(C1972="","",IFERROR(INDEX('DANH MỤC'!$B$5:$B$200,MATCH(C1972,'DANH MỤC'!$A$5:$A$200,0)),"⚠ Mã chưa có trong DANH MỤC"))</f>
        <v/>
      </c>
      <c r="H1972" s="52"/>
      <c r="I1972" s="52"/>
    </row>
    <row r="1973" customFormat="false" ht="15" hidden="false" customHeight="false" outlineLevel="0" collapsed="false">
      <c r="A1973" s="50"/>
      <c r="B1973" s="51" t="str">
        <f aca="false">IF(A1973="","",MONTH(A1973))</f>
        <v/>
      </c>
      <c r="C1973" s="52"/>
      <c r="D1973" s="52"/>
      <c r="E1973" s="52"/>
      <c r="F1973" s="52"/>
      <c r="G1973" s="55" t="str">
        <f aca="false">IF(C1973="","",IFERROR(INDEX('DANH MỤC'!$B$5:$B$200,MATCH(C1973,'DANH MỤC'!$A$5:$A$200,0)),"⚠ Mã chưa có trong DANH MỤC"))</f>
        <v/>
      </c>
      <c r="H1973" s="52"/>
      <c r="I1973" s="52"/>
    </row>
    <row r="1974" customFormat="false" ht="15" hidden="false" customHeight="false" outlineLevel="0" collapsed="false">
      <c r="A1974" s="50"/>
      <c r="B1974" s="51" t="str">
        <f aca="false">IF(A1974="","",MONTH(A1974))</f>
        <v/>
      </c>
      <c r="C1974" s="52"/>
      <c r="D1974" s="52"/>
      <c r="E1974" s="52"/>
      <c r="F1974" s="52"/>
      <c r="G1974" s="55" t="str">
        <f aca="false">IF(C1974="","",IFERROR(INDEX('DANH MỤC'!$B$5:$B$200,MATCH(C1974,'DANH MỤC'!$A$5:$A$200,0)),"⚠ Mã chưa có trong DANH MỤC"))</f>
        <v/>
      </c>
      <c r="H1974" s="52"/>
      <c r="I1974" s="52"/>
    </row>
    <row r="1975" customFormat="false" ht="15" hidden="false" customHeight="false" outlineLevel="0" collapsed="false">
      <c r="A1975" s="50"/>
      <c r="B1975" s="51" t="str">
        <f aca="false">IF(A1975="","",MONTH(A1975))</f>
        <v/>
      </c>
      <c r="C1975" s="52"/>
      <c r="D1975" s="52"/>
      <c r="E1975" s="52"/>
      <c r="F1975" s="52"/>
      <c r="G1975" s="55" t="str">
        <f aca="false">IF(C1975="","",IFERROR(INDEX('DANH MỤC'!$B$5:$B$200,MATCH(C1975,'DANH MỤC'!$A$5:$A$200,0)),"⚠ Mã chưa có trong DANH MỤC"))</f>
        <v/>
      </c>
      <c r="H1975" s="52"/>
      <c r="I1975" s="52"/>
    </row>
    <row r="1976" customFormat="false" ht="15" hidden="false" customHeight="false" outlineLevel="0" collapsed="false">
      <c r="A1976" s="50"/>
      <c r="B1976" s="51" t="str">
        <f aca="false">IF(A1976="","",MONTH(A1976))</f>
        <v/>
      </c>
      <c r="C1976" s="52"/>
      <c r="D1976" s="52"/>
      <c r="E1976" s="52"/>
      <c r="F1976" s="52"/>
      <c r="G1976" s="55" t="str">
        <f aca="false">IF(C1976="","",IFERROR(INDEX('DANH MỤC'!$B$5:$B$200,MATCH(C1976,'DANH MỤC'!$A$5:$A$200,0)),"⚠ Mã chưa có trong DANH MỤC"))</f>
        <v/>
      </c>
      <c r="H1976" s="52"/>
      <c r="I1976" s="52"/>
    </row>
    <row r="1977" customFormat="false" ht="15" hidden="false" customHeight="false" outlineLevel="0" collapsed="false">
      <c r="A1977" s="50"/>
      <c r="B1977" s="51" t="str">
        <f aca="false">IF(A1977="","",MONTH(A1977))</f>
        <v/>
      </c>
      <c r="C1977" s="52"/>
      <c r="D1977" s="52"/>
      <c r="E1977" s="52"/>
      <c r="F1977" s="52"/>
      <c r="G1977" s="55" t="str">
        <f aca="false">IF(C1977="","",IFERROR(INDEX('DANH MỤC'!$B$5:$B$200,MATCH(C1977,'DANH MỤC'!$A$5:$A$200,0)),"⚠ Mã chưa có trong DANH MỤC"))</f>
        <v/>
      </c>
      <c r="H1977" s="52"/>
      <c r="I1977" s="52"/>
    </row>
    <row r="1978" customFormat="false" ht="15" hidden="false" customHeight="false" outlineLevel="0" collapsed="false">
      <c r="A1978" s="50"/>
      <c r="B1978" s="51" t="str">
        <f aca="false">IF(A1978="","",MONTH(A1978))</f>
        <v/>
      </c>
      <c r="C1978" s="52"/>
      <c r="D1978" s="52"/>
      <c r="E1978" s="52"/>
      <c r="F1978" s="52"/>
      <c r="G1978" s="55" t="str">
        <f aca="false">IF(C1978="","",IFERROR(INDEX('DANH MỤC'!$B$5:$B$200,MATCH(C1978,'DANH MỤC'!$A$5:$A$200,0)),"⚠ Mã chưa có trong DANH MỤC"))</f>
        <v/>
      </c>
      <c r="H1978" s="52"/>
      <c r="I1978" s="52"/>
    </row>
    <row r="1979" customFormat="false" ht="15" hidden="false" customHeight="false" outlineLevel="0" collapsed="false">
      <c r="A1979" s="50"/>
      <c r="B1979" s="51" t="str">
        <f aca="false">IF(A1979="","",MONTH(A1979))</f>
        <v/>
      </c>
      <c r="C1979" s="52"/>
      <c r="D1979" s="52"/>
      <c r="E1979" s="52"/>
      <c r="F1979" s="52"/>
      <c r="G1979" s="55" t="str">
        <f aca="false">IF(C1979="","",IFERROR(INDEX('DANH MỤC'!$B$5:$B$200,MATCH(C1979,'DANH MỤC'!$A$5:$A$200,0)),"⚠ Mã chưa có trong DANH MỤC"))</f>
        <v/>
      </c>
      <c r="H1979" s="52"/>
      <c r="I1979" s="52"/>
    </row>
    <row r="1980" customFormat="false" ht="15" hidden="false" customHeight="false" outlineLevel="0" collapsed="false">
      <c r="A1980" s="50"/>
      <c r="B1980" s="51" t="str">
        <f aca="false">IF(A1980="","",MONTH(A1980))</f>
        <v/>
      </c>
      <c r="C1980" s="52"/>
      <c r="D1980" s="52"/>
      <c r="E1980" s="52"/>
      <c r="F1980" s="52"/>
      <c r="G1980" s="55" t="str">
        <f aca="false">IF(C1980="","",IFERROR(INDEX('DANH MỤC'!$B$5:$B$200,MATCH(C1980,'DANH MỤC'!$A$5:$A$200,0)),"⚠ Mã chưa có trong DANH MỤC"))</f>
        <v/>
      </c>
      <c r="H1980" s="52"/>
      <c r="I1980" s="52"/>
    </row>
    <row r="1981" customFormat="false" ht="15" hidden="false" customHeight="false" outlineLevel="0" collapsed="false">
      <c r="A1981" s="50"/>
      <c r="B1981" s="51" t="str">
        <f aca="false">IF(A1981="","",MONTH(A1981))</f>
        <v/>
      </c>
      <c r="C1981" s="52"/>
      <c r="D1981" s="52"/>
      <c r="E1981" s="52"/>
      <c r="F1981" s="52"/>
      <c r="G1981" s="55" t="str">
        <f aca="false">IF(C1981="","",IFERROR(INDEX('DANH MỤC'!$B$5:$B$200,MATCH(C1981,'DANH MỤC'!$A$5:$A$200,0)),"⚠ Mã chưa có trong DANH MỤC"))</f>
        <v/>
      </c>
      <c r="H1981" s="52"/>
      <c r="I1981" s="52"/>
    </row>
    <row r="1982" customFormat="false" ht="15" hidden="false" customHeight="false" outlineLevel="0" collapsed="false">
      <c r="A1982" s="50"/>
      <c r="B1982" s="51" t="str">
        <f aca="false">IF(A1982="","",MONTH(A1982))</f>
        <v/>
      </c>
      <c r="C1982" s="52"/>
      <c r="D1982" s="52"/>
      <c r="E1982" s="52"/>
      <c r="F1982" s="52"/>
      <c r="G1982" s="55" t="str">
        <f aca="false">IF(C1982="","",IFERROR(INDEX('DANH MỤC'!$B$5:$B$200,MATCH(C1982,'DANH MỤC'!$A$5:$A$200,0)),"⚠ Mã chưa có trong DANH MỤC"))</f>
        <v/>
      </c>
      <c r="H1982" s="52"/>
      <c r="I1982" s="52"/>
    </row>
    <row r="1983" customFormat="false" ht="15" hidden="false" customHeight="false" outlineLevel="0" collapsed="false">
      <c r="A1983" s="50"/>
      <c r="B1983" s="51" t="str">
        <f aca="false">IF(A1983="","",MONTH(A1983))</f>
        <v/>
      </c>
      <c r="C1983" s="52"/>
      <c r="D1983" s="52"/>
      <c r="E1983" s="52"/>
      <c r="F1983" s="52"/>
      <c r="G1983" s="55" t="str">
        <f aca="false">IF(C1983="","",IFERROR(INDEX('DANH MỤC'!$B$5:$B$200,MATCH(C1983,'DANH MỤC'!$A$5:$A$200,0)),"⚠ Mã chưa có trong DANH MỤC"))</f>
        <v/>
      </c>
      <c r="H1983" s="52"/>
      <c r="I1983" s="52"/>
    </row>
    <row r="1984" customFormat="false" ht="15" hidden="false" customHeight="false" outlineLevel="0" collapsed="false">
      <c r="A1984" s="50"/>
      <c r="B1984" s="51" t="str">
        <f aca="false">IF(A1984="","",MONTH(A1984))</f>
        <v/>
      </c>
      <c r="C1984" s="52"/>
      <c r="D1984" s="52"/>
      <c r="E1984" s="52"/>
      <c r="F1984" s="52"/>
      <c r="G1984" s="55" t="str">
        <f aca="false">IF(C1984="","",IFERROR(INDEX('DANH MỤC'!$B$5:$B$200,MATCH(C1984,'DANH MỤC'!$A$5:$A$200,0)),"⚠ Mã chưa có trong DANH MỤC"))</f>
        <v/>
      </c>
      <c r="H1984" s="52"/>
      <c r="I1984" s="52"/>
    </row>
    <row r="1985" customFormat="false" ht="15" hidden="false" customHeight="false" outlineLevel="0" collapsed="false">
      <c r="A1985" s="50"/>
      <c r="B1985" s="51" t="str">
        <f aca="false">IF(A1985="","",MONTH(A1985))</f>
        <v/>
      </c>
      <c r="C1985" s="52"/>
      <c r="D1985" s="52"/>
      <c r="E1985" s="52"/>
      <c r="F1985" s="52"/>
      <c r="G1985" s="55" t="str">
        <f aca="false">IF(C1985="","",IFERROR(INDEX('DANH MỤC'!$B$5:$B$200,MATCH(C1985,'DANH MỤC'!$A$5:$A$200,0)),"⚠ Mã chưa có trong DANH MỤC"))</f>
        <v/>
      </c>
      <c r="H1985" s="52"/>
      <c r="I1985" s="52"/>
    </row>
    <row r="1986" customFormat="false" ht="15" hidden="false" customHeight="false" outlineLevel="0" collapsed="false">
      <c r="A1986" s="50"/>
      <c r="B1986" s="51" t="str">
        <f aca="false">IF(A1986="","",MONTH(A1986))</f>
        <v/>
      </c>
      <c r="C1986" s="52"/>
      <c r="D1986" s="52"/>
      <c r="E1986" s="52"/>
      <c r="F1986" s="52"/>
      <c r="G1986" s="55" t="str">
        <f aca="false">IF(C1986="","",IFERROR(INDEX('DANH MỤC'!$B$5:$B$200,MATCH(C1986,'DANH MỤC'!$A$5:$A$200,0)),"⚠ Mã chưa có trong DANH MỤC"))</f>
        <v/>
      </c>
      <c r="H1986" s="52"/>
      <c r="I1986" s="52"/>
    </row>
    <row r="1987" customFormat="false" ht="15" hidden="false" customHeight="false" outlineLevel="0" collapsed="false">
      <c r="A1987" s="50"/>
      <c r="B1987" s="51" t="str">
        <f aca="false">IF(A1987="","",MONTH(A1987))</f>
        <v/>
      </c>
      <c r="C1987" s="52"/>
      <c r="D1987" s="52"/>
      <c r="E1987" s="52"/>
      <c r="F1987" s="52"/>
      <c r="G1987" s="55" t="str">
        <f aca="false">IF(C1987="","",IFERROR(INDEX('DANH MỤC'!$B$5:$B$200,MATCH(C1987,'DANH MỤC'!$A$5:$A$200,0)),"⚠ Mã chưa có trong DANH MỤC"))</f>
        <v/>
      </c>
      <c r="H1987" s="52"/>
      <c r="I1987" s="52"/>
    </row>
    <row r="1988" customFormat="false" ht="15" hidden="false" customHeight="false" outlineLevel="0" collapsed="false">
      <c r="A1988" s="50"/>
      <c r="B1988" s="51" t="str">
        <f aca="false">IF(A1988="","",MONTH(A1988))</f>
        <v/>
      </c>
      <c r="C1988" s="52"/>
      <c r="D1988" s="52"/>
      <c r="E1988" s="52"/>
      <c r="F1988" s="52"/>
      <c r="G1988" s="55" t="str">
        <f aca="false">IF(C1988="","",IFERROR(INDEX('DANH MỤC'!$B$5:$B$200,MATCH(C1988,'DANH MỤC'!$A$5:$A$200,0)),"⚠ Mã chưa có trong DANH MỤC"))</f>
        <v/>
      </c>
      <c r="H1988" s="52"/>
      <c r="I1988" s="52"/>
    </row>
    <row r="1989" customFormat="false" ht="15" hidden="false" customHeight="false" outlineLevel="0" collapsed="false">
      <c r="A1989" s="50"/>
      <c r="B1989" s="51" t="str">
        <f aca="false">IF(A1989="","",MONTH(A1989))</f>
        <v/>
      </c>
      <c r="C1989" s="52"/>
      <c r="D1989" s="52"/>
      <c r="E1989" s="52"/>
      <c r="F1989" s="52"/>
      <c r="G1989" s="55" t="str">
        <f aca="false">IF(C1989="","",IFERROR(INDEX('DANH MỤC'!$B$5:$B$200,MATCH(C1989,'DANH MỤC'!$A$5:$A$200,0)),"⚠ Mã chưa có trong DANH MỤC"))</f>
        <v/>
      </c>
      <c r="H1989" s="52"/>
      <c r="I1989" s="52"/>
    </row>
    <row r="1990" customFormat="false" ht="15" hidden="false" customHeight="false" outlineLevel="0" collapsed="false">
      <c r="A1990" s="50"/>
      <c r="B1990" s="51" t="str">
        <f aca="false">IF(A1990="","",MONTH(A1990))</f>
        <v/>
      </c>
      <c r="C1990" s="52"/>
      <c r="D1990" s="52"/>
      <c r="E1990" s="52"/>
      <c r="F1990" s="52"/>
      <c r="G1990" s="55" t="str">
        <f aca="false">IF(C1990="","",IFERROR(INDEX('DANH MỤC'!$B$5:$B$200,MATCH(C1990,'DANH MỤC'!$A$5:$A$200,0)),"⚠ Mã chưa có trong DANH MỤC"))</f>
        <v/>
      </c>
      <c r="H1990" s="52"/>
      <c r="I1990" s="52"/>
    </row>
    <row r="1991" customFormat="false" ht="15" hidden="false" customHeight="false" outlineLevel="0" collapsed="false">
      <c r="A1991" s="50"/>
      <c r="B1991" s="51" t="str">
        <f aca="false">IF(A1991="","",MONTH(A1991))</f>
        <v/>
      </c>
      <c r="C1991" s="52"/>
      <c r="D1991" s="52"/>
      <c r="E1991" s="52"/>
      <c r="F1991" s="52"/>
      <c r="G1991" s="55" t="str">
        <f aca="false">IF(C1991="","",IFERROR(INDEX('DANH MỤC'!$B$5:$B$200,MATCH(C1991,'DANH MỤC'!$A$5:$A$200,0)),"⚠ Mã chưa có trong DANH MỤC"))</f>
        <v/>
      </c>
      <c r="H1991" s="52"/>
      <c r="I1991" s="52"/>
    </row>
    <row r="1992" customFormat="false" ht="15" hidden="false" customHeight="false" outlineLevel="0" collapsed="false">
      <c r="A1992" s="50"/>
      <c r="B1992" s="51" t="str">
        <f aca="false">IF(A1992="","",MONTH(A1992))</f>
        <v/>
      </c>
      <c r="C1992" s="52"/>
      <c r="D1992" s="52"/>
      <c r="E1992" s="52"/>
      <c r="F1992" s="52"/>
      <c r="G1992" s="55" t="str">
        <f aca="false">IF(C1992="","",IFERROR(INDEX('DANH MỤC'!$B$5:$B$200,MATCH(C1992,'DANH MỤC'!$A$5:$A$200,0)),"⚠ Mã chưa có trong DANH MỤC"))</f>
        <v/>
      </c>
      <c r="H1992" s="52"/>
      <c r="I1992" s="52"/>
    </row>
    <row r="1993" customFormat="false" ht="15" hidden="false" customHeight="false" outlineLevel="0" collapsed="false">
      <c r="A1993" s="50"/>
      <c r="B1993" s="51" t="str">
        <f aca="false">IF(A1993="","",MONTH(A1993))</f>
        <v/>
      </c>
      <c r="C1993" s="52"/>
      <c r="D1993" s="52"/>
      <c r="E1993" s="52"/>
      <c r="F1993" s="52"/>
      <c r="G1993" s="55" t="str">
        <f aca="false">IF(C1993="","",IFERROR(INDEX('DANH MỤC'!$B$5:$B$200,MATCH(C1993,'DANH MỤC'!$A$5:$A$200,0)),"⚠ Mã chưa có trong DANH MỤC"))</f>
        <v/>
      </c>
      <c r="H1993" s="52"/>
      <c r="I1993" s="52"/>
    </row>
    <row r="1994" customFormat="false" ht="15" hidden="false" customHeight="false" outlineLevel="0" collapsed="false">
      <c r="A1994" s="50"/>
      <c r="B1994" s="51" t="str">
        <f aca="false">IF(A1994="","",MONTH(A1994))</f>
        <v/>
      </c>
      <c r="C1994" s="52"/>
      <c r="D1994" s="52"/>
      <c r="E1994" s="52"/>
      <c r="F1994" s="52"/>
      <c r="G1994" s="55" t="str">
        <f aca="false">IF(C1994="","",IFERROR(INDEX('DANH MỤC'!$B$5:$B$200,MATCH(C1994,'DANH MỤC'!$A$5:$A$200,0)),"⚠ Mã chưa có trong DANH MỤC"))</f>
        <v/>
      </c>
      <c r="H1994" s="52"/>
      <c r="I1994" s="52"/>
    </row>
    <row r="1995" customFormat="false" ht="15" hidden="false" customHeight="false" outlineLevel="0" collapsed="false">
      <c r="A1995" s="50"/>
      <c r="B1995" s="51" t="str">
        <f aca="false">IF(A1995="","",MONTH(A1995))</f>
        <v/>
      </c>
      <c r="C1995" s="52"/>
      <c r="D1995" s="52"/>
      <c r="E1995" s="52"/>
      <c r="F1995" s="52"/>
      <c r="G1995" s="55" t="str">
        <f aca="false">IF(C1995="","",IFERROR(INDEX('DANH MỤC'!$B$5:$B$200,MATCH(C1995,'DANH MỤC'!$A$5:$A$200,0)),"⚠ Mã chưa có trong DANH MỤC"))</f>
        <v/>
      </c>
      <c r="H1995" s="52"/>
      <c r="I1995" s="52"/>
    </row>
    <row r="1996" customFormat="false" ht="15" hidden="false" customHeight="false" outlineLevel="0" collapsed="false">
      <c r="A1996" s="50"/>
      <c r="B1996" s="51" t="str">
        <f aca="false">IF(A1996="","",MONTH(A1996))</f>
        <v/>
      </c>
      <c r="C1996" s="52"/>
      <c r="D1996" s="52"/>
      <c r="E1996" s="52"/>
      <c r="F1996" s="52"/>
      <c r="G1996" s="55" t="str">
        <f aca="false">IF(C1996="","",IFERROR(INDEX('DANH MỤC'!$B$5:$B$200,MATCH(C1996,'DANH MỤC'!$A$5:$A$200,0)),"⚠ Mã chưa có trong DANH MỤC"))</f>
        <v/>
      </c>
      <c r="H1996" s="52"/>
      <c r="I1996" s="52"/>
    </row>
    <row r="1997" customFormat="false" ht="15" hidden="false" customHeight="false" outlineLevel="0" collapsed="false">
      <c r="A1997" s="50"/>
      <c r="B1997" s="51" t="str">
        <f aca="false">IF(A1997="","",MONTH(A1997))</f>
        <v/>
      </c>
      <c r="C1997" s="52"/>
      <c r="D1997" s="52"/>
      <c r="E1997" s="52"/>
      <c r="F1997" s="52"/>
      <c r="G1997" s="55" t="str">
        <f aca="false">IF(C1997="","",IFERROR(INDEX('DANH MỤC'!$B$5:$B$200,MATCH(C1997,'DANH MỤC'!$A$5:$A$200,0)),"⚠ Mã chưa có trong DANH MỤC"))</f>
        <v/>
      </c>
      <c r="H1997" s="52"/>
      <c r="I1997" s="52"/>
    </row>
    <row r="1998" customFormat="false" ht="15" hidden="false" customHeight="false" outlineLevel="0" collapsed="false">
      <c r="A1998" s="50"/>
      <c r="B1998" s="51" t="str">
        <f aca="false">IF(A1998="","",MONTH(A1998))</f>
        <v/>
      </c>
      <c r="C1998" s="52"/>
      <c r="D1998" s="52"/>
      <c r="E1998" s="52"/>
      <c r="F1998" s="52"/>
      <c r="G1998" s="55" t="str">
        <f aca="false">IF(C1998="","",IFERROR(INDEX('DANH MỤC'!$B$5:$B$200,MATCH(C1998,'DANH MỤC'!$A$5:$A$200,0)),"⚠ Mã chưa có trong DANH MỤC"))</f>
        <v/>
      </c>
      <c r="H1998" s="52"/>
      <c r="I1998" s="52"/>
    </row>
    <row r="1999" customFormat="false" ht="15" hidden="false" customHeight="false" outlineLevel="0" collapsed="false">
      <c r="A1999" s="50"/>
      <c r="B1999" s="51" t="str">
        <f aca="false">IF(A1999="","",MONTH(A1999))</f>
        <v/>
      </c>
      <c r="C1999" s="52"/>
      <c r="D1999" s="52"/>
      <c r="E1999" s="52"/>
      <c r="F1999" s="52"/>
      <c r="G1999" s="55" t="str">
        <f aca="false">IF(C1999="","",IFERROR(INDEX('DANH MỤC'!$B$5:$B$200,MATCH(C1999,'DANH MỤC'!$A$5:$A$200,0)),"⚠ Mã chưa có trong DANH MỤC"))</f>
        <v/>
      </c>
      <c r="H1999" s="52"/>
      <c r="I1999" s="52"/>
    </row>
    <row r="2000" customFormat="false" ht="15" hidden="false" customHeight="false" outlineLevel="0" collapsed="false">
      <c r="A2000" s="50"/>
      <c r="B2000" s="51" t="str">
        <f aca="false">IF(A2000="","",MONTH(A2000))</f>
        <v/>
      </c>
      <c r="C2000" s="52"/>
      <c r="D2000" s="52"/>
      <c r="E2000" s="52"/>
      <c r="F2000" s="52"/>
      <c r="G2000" s="55" t="str">
        <f aca="false">IF(C2000="","",IFERROR(INDEX('DANH MỤC'!$B$5:$B$200,MATCH(C2000,'DANH MỤC'!$A$5:$A$200,0)),"⚠ Mã chưa có trong DANH MỤC"))</f>
        <v/>
      </c>
      <c r="H2000" s="52"/>
      <c r="I2000" s="52"/>
    </row>
    <row r="2001" customFormat="false" ht="15" hidden="false" customHeight="false" outlineLevel="0" collapsed="false">
      <c r="A2001" s="50"/>
      <c r="B2001" s="51" t="str">
        <f aca="false">IF(A2001="","",MONTH(A2001))</f>
        <v/>
      </c>
      <c r="C2001" s="52"/>
      <c r="D2001" s="52"/>
      <c r="E2001" s="52"/>
      <c r="F2001" s="52"/>
      <c r="G2001" s="55" t="str">
        <f aca="false">IF(C2001="","",IFERROR(INDEX('DANH MỤC'!$B$5:$B$200,MATCH(C2001,'DANH MỤC'!$A$5:$A$200,0)),"⚠ Mã chưa có trong DANH MỤC"))</f>
        <v/>
      </c>
      <c r="H2001" s="52"/>
      <c r="I2001" s="52"/>
    </row>
    <row r="2002" customFormat="false" ht="15" hidden="false" customHeight="false" outlineLevel="0" collapsed="false">
      <c r="A2002" s="50"/>
      <c r="B2002" s="51" t="str">
        <f aca="false">IF(A2002="","",MONTH(A2002))</f>
        <v/>
      </c>
      <c r="C2002" s="52"/>
      <c r="D2002" s="52"/>
      <c r="E2002" s="52"/>
      <c r="F2002" s="52"/>
      <c r="G2002" s="55" t="str">
        <f aca="false">IF(C2002="","",IFERROR(INDEX('DANH MỤC'!$B$5:$B$200,MATCH(C2002,'DANH MỤC'!$A$5:$A$200,0)),"⚠ Mã chưa có trong DANH MỤC"))</f>
        <v/>
      </c>
      <c r="H2002" s="52"/>
      <c r="I2002" s="52"/>
    </row>
    <row r="2003" customFormat="false" ht="15" hidden="false" customHeight="false" outlineLevel="0" collapsed="false">
      <c r="A2003" s="50"/>
      <c r="B2003" s="51" t="str">
        <f aca="false">IF(A2003="","",MONTH(A2003))</f>
        <v/>
      </c>
      <c r="C2003" s="52"/>
      <c r="D2003" s="52"/>
      <c r="E2003" s="52"/>
      <c r="F2003" s="52"/>
      <c r="G2003" s="55" t="str">
        <f aca="false">IF(C2003="","",IFERROR(INDEX('DANH MỤC'!$B$5:$B$200,MATCH(C2003,'DANH MỤC'!$A$5:$A$200,0)),"⚠ Mã chưa có trong DANH MỤC"))</f>
        <v/>
      </c>
      <c r="H2003" s="52"/>
      <c r="I2003" s="52"/>
    </row>
    <row r="2004" customFormat="false" ht="15" hidden="false" customHeight="false" outlineLevel="0" collapsed="false">
      <c r="A2004" s="50"/>
      <c r="B2004" s="51" t="str">
        <f aca="false">IF(A2004="","",MONTH(A2004))</f>
        <v/>
      </c>
      <c r="C2004" s="52"/>
      <c r="D2004" s="52"/>
      <c r="E2004" s="52"/>
      <c r="F2004" s="52"/>
      <c r="G2004" s="55" t="str">
        <f aca="false">IF(C2004="","",IFERROR(INDEX('DANH MỤC'!$B$5:$B$200,MATCH(C2004,'DANH MỤC'!$A$5:$A$200,0)),"⚠ Mã chưa có trong DANH MỤC"))</f>
        <v/>
      </c>
      <c r="H2004" s="52"/>
      <c r="I2004" s="52"/>
    </row>
  </sheetData>
  <conditionalFormatting sqref="G5:G2004">
    <cfRule type="expression" priority="2" aboveAverage="0" equalAverage="0" bottom="0" percent="0" rank="0" text="" dxfId="26">
      <formula>LEFT(G5,1)="⚠"</formula>
    </cfRule>
  </conditionalFormatting>
  <dataValidations count="3">
    <dataValidation allowBlank="true" errorStyle="stop" operator="between" showDropDown="false" showErrorMessage="false" showInputMessage="false" sqref="C5:C2004" type="list">
      <formula1>'DANH MỤC'!$A$5:$A$200</formula1>
      <formula2>0</formula2>
    </dataValidation>
    <dataValidation allowBlank="true" errorStyle="stop" operator="between" showDropDown="false" showErrorMessage="false" showInputMessage="false" sqref="D5:D2004" type="list">
      <formula1>"1L,5L,18L,Bao"</formula1>
      <formula2>0</formula2>
    </dataValidation>
    <dataValidation allowBlank="true" errorStyle="stop" operator="greaterThan" showDropDown="false" showErrorMessage="false" showInputMessage="false" sqref="A5:A2004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P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16" min="4" style="0" width="11"/>
  </cols>
  <sheetData>
    <row r="1" customFormat="false" ht="19.7" hidden="false" customHeight="false" outlineLevel="0" collapsed="false">
      <c r="A1" s="23" t="s">
        <v>577</v>
      </c>
    </row>
    <row r="2" customFormat="false" ht="15" hidden="false" customHeight="false" outlineLevel="0" collapsed="false">
      <c r="A2" s="2" t="s">
        <v>578</v>
      </c>
    </row>
    <row r="3" customFormat="false" ht="15" hidden="false" customHeight="false" outlineLevel="0" collapsed="false">
      <c r="A3" s="44" t="s">
        <v>579</v>
      </c>
      <c r="C3" s="58" t="n">
        <v>46174</v>
      </c>
    </row>
    <row r="4" customFormat="false" ht="30" hidden="false" customHeight="true" outlineLevel="0" collapsed="false">
      <c r="A4" s="14" t="s">
        <v>8</v>
      </c>
      <c r="B4" s="14" t="s">
        <v>9</v>
      </c>
      <c r="C4" s="14" t="s">
        <v>10</v>
      </c>
      <c r="D4" s="59" t="n">
        <f aca="false">$C$3</f>
        <v>46174</v>
      </c>
      <c r="E4" s="59" t="n">
        <f aca="false">EDATE(D4,1)</f>
        <v>46204</v>
      </c>
      <c r="F4" s="59" t="n">
        <f aca="false">EDATE(E4,1)</f>
        <v>46235</v>
      </c>
      <c r="G4" s="59" t="n">
        <f aca="false">EDATE(F4,1)</f>
        <v>46266</v>
      </c>
      <c r="H4" s="59" t="n">
        <f aca="false">EDATE(G4,1)</f>
        <v>46296</v>
      </c>
      <c r="I4" s="59" t="n">
        <f aca="false">EDATE(H4,1)</f>
        <v>46327</v>
      </c>
      <c r="J4" s="59" t="n">
        <f aca="false">EDATE(I4,1)</f>
        <v>46357</v>
      </c>
      <c r="K4" s="59" t="n">
        <f aca="false">EDATE(J4,1)</f>
        <v>46388</v>
      </c>
      <c r="L4" s="59" t="n">
        <f aca="false">EDATE(K4,1)</f>
        <v>46419</v>
      </c>
      <c r="M4" s="59" t="n">
        <f aca="false">EDATE(L4,1)</f>
        <v>46447</v>
      </c>
      <c r="N4" s="59" t="n">
        <f aca="false">EDATE(M4,1)</f>
        <v>46478</v>
      </c>
      <c r="O4" s="59" t="n">
        <f aca="false">EDATE(N4,1)</f>
        <v>46508</v>
      </c>
      <c r="P4" s="14" t="s">
        <v>580</v>
      </c>
    </row>
    <row r="5" customFormat="false" ht="15" hidden="false" customHeight="false" outlineLevel="0" collapsed="false">
      <c r="A5" s="16" t="str">
        <f aca="false">IF('TỒN KHO'!C11="","",'TỒN KHO'!C11)</f>
        <v>PI04</v>
      </c>
      <c r="B5" s="16" t="str">
        <f aca="false">IF('TỒN KHO'!C11="","",'TỒN KHO'!E11)</f>
        <v>5L</v>
      </c>
      <c r="C5" s="16" t="str">
        <f aca="false">IF('TỒN KHO'!C11="","",'TỒN KHO'!D11)</f>
        <v>Sơn lót nội thất kháng kiềm cao cấp Imperia PI04</v>
      </c>
      <c r="D5" s="60" t="n">
        <f aca="false">IF($A5="","",SUMIFS('XUẤT KHO'!$E$5:$E$2004,'XUẤT KHO'!$C$5:$C$2004,$A5,'XUẤT KHO'!$D$5:$D$2004,$B5,'XUẤT KHO'!$A$5:$A$2004,"&gt;="&amp;D$4,'XUẤT KHO'!$A$5:$A$2004,"&lt;"&amp;EDATE(D$4,1)))</f>
        <v>4</v>
      </c>
      <c r="E5" s="60" t="n">
        <f aca="false">IF($A5="","",SUMIFS('XUẤT KHO'!$E$5:$E$2004,'XUẤT KHO'!$C$5:$C$2004,$A5,'XUẤT KHO'!$D$5:$D$2004,$B5,'XUẤT KHO'!$A$5:$A$2004,"&gt;="&amp;E$4,'XUẤT KHO'!$A$5:$A$2004,"&lt;"&amp;EDATE(E$4,1)))</f>
        <v>0</v>
      </c>
      <c r="F5" s="60" t="n">
        <f aca="false">IF($A5="","",SUMIFS('XUẤT KHO'!$E$5:$E$2004,'XUẤT KHO'!$C$5:$C$2004,$A5,'XUẤT KHO'!$D$5:$D$2004,$B5,'XUẤT KHO'!$A$5:$A$2004,"&gt;="&amp;F$4,'XUẤT KHO'!$A$5:$A$2004,"&lt;"&amp;EDATE(F$4,1)))</f>
        <v>0</v>
      </c>
      <c r="G5" s="60" t="n">
        <f aca="false">IF($A5="","",SUMIFS('XUẤT KHO'!$E$5:$E$2004,'XUẤT KHO'!$C$5:$C$2004,$A5,'XUẤT KHO'!$D$5:$D$2004,$B5,'XUẤT KHO'!$A$5:$A$2004,"&gt;="&amp;G$4,'XUẤT KHO'!$A$5:$A$2004,"&lt;"&amp;EDATE(G$4,1)))</f>
        <v>0</v>
      </c>
      <c r="H5" s="60" t="n">
        <f aca="false">IF($A5="","",SUMIFS('XUẤT KHO'!$E$5:$E$2004,'XUẤT KHO'!$C$5:$C$2004,$A5,'XUẤT KHO'!$D$5:$D$2004,$B5,'XUẤT KHO'!$A$5:$A$2004,"&gt;="&amp;H$4,'XUẤT KHO'!$A$5:$A$2004,"&lt;"&amp;EDATE(H$4,1)))</f>
        <v>0</v>
      </c>
      <c r="I5" s="60" t="n">
        <f aca="false">IF($A5="","",SUMIFS('XUẤT KHO'!$E$5:$E$2004,'XUẤT KHO'!$C$5:$C$2004,$A5,'XUẤT KHO'!$D$5:$D$2004,$B5,'XUẤT KHO'!$A$5:$A$2004,"&gt;="&amp;I$4,'XUẤT KHO'!$A$5:$A$2004,"&lt;"&amp;EDATE(I$4,1)))</f>
        <v>0</v>
      </c>
      <c r="J5" s="60" t="n">
        <f aca="false">IF($A5="","",SUMIFS('XUẤT KHO'!$E$5:$E$2004,'XUẤT KHO'!$C$5:$C$2004,$A5,'XUẤT KHO'!$D$5:$D$2004,$B5,'XUẤT KHO'!$A$5:$A$2004,"&gt;="&amp;J$4,'XUẤT KHO'!$A$5:$A$2004,"&lt;"&amp;EDATE(J$4,1)))</f>
        <v>0</v>
      </c>
      <c r="K5" s="60" t="n">
        <f aca="false">IF($A5="","",SUMIFS('XUẤT KHO'!$E$5:$E$2004,'XUẤT KHO'!$C$5:$C$2004,$A5,'XUẤT KHO'!$D$5:$D$2004,$B5,'XUẤT KHO'!$A$5:$A$2004,"&gt;="&amp;K$4,'XUẤT KHO'!$A$5:$A$2004,"&lt;"&amp;EDATE(K$4,1)))</f>
        <v>0</v>
      </c>
      <c r="L5" s="60" t="n">
        <f aca="false">IF($A5="","",SUMIFS('XUẤT KHO'!$E$5:$E$2004,'XUẤT KHO'!$C$5:$C$2004,$A5,'XUẤT KHO'!$D$5:$D$2004,$B5,'XUẤT KHO'!$A$5:$A$2004,"&gt;="&amp;L$4,'XUẤT KHO'!$A$5:$A$2004,"&lt;"&amp;EDATE(L$4,1)))</f>
        <v>0</v>
      </c>
      <c r="M5" s="60" t="n">
        <f aca="false">IF($A5="","",SUMIFS('XUẤT KHO'!$E$5:$E$2004,'XUẤT KHO'!$C$5:$C$2004,$A5,'XUẤT KHO'!$D$5:$D$2004,$B5,'XUẤT KHO'!$A$5:$A$2004,"&gt;="&amp;M$4,'XUẤT KHO'!$A$5:$A$2004,"&lt;"&amp;EDATE(M$4,1)))</f>
        <v>0</v>
      </c>
      <c r="N5" s="60" t="n">
        <f aca="false">IF($A5="","",SUMIFS('XUẤT KHO'!$E$5:$E$2004,'XUẤT KHO'!$C$5:$C$2004,$A5,'XUẤT KHO'!$D$5:$D$2004,$B5,'XUẤT KHO'!$A$5:$A$2004,"&gt;="&amp;N$4,'XUẤT KHO'!$A$5:$A$2004,"&lt;"&amp;EDATE(N$4,1)))</f>
        <v>0</v>
      </c>
      <c r="O5" s="60" t="n">
        <f aca="false">IF($A5="","",SUMIFS('XUẤT KHO'!$E$5:$E$2004,'XUẤT KHO'!$C$5:$C$2004,$A5,'XUẤT KHO'!$D$5:$D$2004,$B5,'XUẤT KHO'!$A$5:$A$2004,"&gt;="&amp;O$4,'XUẤT KHO'!$A$5:$A$2004,"&lt;"&amp;EDATE(O$4,1)))</f>
        <v>0</v>
      </c>
      <c r="P5" s="61" t="n">
        <f aca="false">IF($A5="","",SUM(D5:O5))</f>
        <v>4</v>
      </c>
    </row>
    <row r="6" customFormat="false" ht="15" hidden="false" customHeight="false" outlineLevel="0" collapsed="false">
      <c r="A6" s="16" t="str">
        <f aca="false">IF('TỒN KHO'!C12="","",'TỒN KHO'!C12)</f>
        <v>PI04</v>
      </c>
      <c r="B6" s="16" t="str">
        <f aca="false">IF('TỒN KHO'!C12="","",'TỒN KHO'!E12)</f>
        <v>18L</v>
      </c>
      <c r="C6" s="16" t="str">
        <f aca="false">IF('TỒN KHO'!C12="","",'TỒN KHO'!D12)</f>
        <v>Sơn lót nội thất kháng kiềm cao cấp Imperia PI04</v>
      </c>
      <c r="D6" s="60" t="n">
        <f aca="false">IF($A6="","",SUMIFS('XUẤT KHO'!$E$5:$E$2004,'XUẤT KHO'!$C$5:$C$2004,$A6,'XUẤT KHO'!$D$5:$D$2004,$B6,'XUẤT KHO'!$A$5:$A$2004,"&gt;="&amp;D$4,'XUẤT KHO'!$A$5:$A$2004,"&lt;"&amp;EDATE(D$4,1)))</f>
        <v>43</v>
      </c>
      <c r="E6" s="60" t="n">
        <f aca="false">IF($A6="","",SUMIFS('XUẤT KHO'!$E$5:$E$2004,'XUẤT KHO'!$C$5:$C$2004,$A6,'XUẤT KHO'!$D$5:$D$2004,$B6,'XUẤT KHO'!$A$5:$A$2004,"&gt;="&amp;E$4,'XUẤT KHO'!$A$5:$A$2004,"&lt;"&amp;EDATE(E$4,1)))</f>
        <v>19</v>
      </c>
      <c r="F6" s="60" t="n">
        <f aca="false">IF($A6="","",SUMIFS('XUẤT KHO'!$E$5:$E$2004,'XUẤT KHO'!$C$5:$C$2004,$A6,'XUẤT KHO'!$D$5:$D$2004,$B6,'XUẤT KHO'!$A$5:$A$2004,"&gt;="&amp;F$4,'XUẤT KHO'!$A$5:$A$2004,"&lt;"&amp;EDATE(F$4,1)))</f>
        <v>19</v>
      </c>
      <c r="G6" s="60" t="n">
        <f aca="false">IF($A6="","",SUMIFS('XUẤT KHO'!$E$5:$E$2004,'XUẤT KHO'!$C$5:$C$2004,$A6,'XUẤT KHO'!$D$5:$D$2004,$B6,'XUẤT KHO'!$A$5:$A$2004,"&gt;="&amp;G$4,'XUẤT KHO'!$A$5:$A$2004,"&lt;"&amp;EDATE(G$4,1)))</f>
        <v>12</v>
      </c>
      <c r="H6" s="60" t="n">
        <f aca="false">IF($A6="","",SUMIFS('XUẤT KHO'!$E$5:$E$2004,'XUẤT KHO'!$C$5:$C$2004,$A6,'XUẤT KHO'!$D$5:$D$2004,$B6,'XUẤT KHO'!$A$5:$A$2004,"&gt;="&amp;H$4,'XUẤT KHO'!$A$5:$A$2004,"&lt;"&amp;EDATE(H$4,1)))</f>
        <v>0</v>
      </c>
      <c r="I6" s="60" t="n">
        <f aca="false">IF($A6="","",SUMIFS('XUẤT KHO'!$E$5:$E$2004,'XUẤT KHO'!$C$5:$C$2004,$A6,'XUẤT KHO'!$D$5:$D$2004,$B6,'XUẤT KHO'!$A$5:$A$2004,"&gt;="&amp;I$4,'XUẤT KHO'!$A$5:$A$2004,"&lt;"&amp;EDATE(I$4,1)))</f>
        <v>0</v>
      </c>
      <c r="J6" s="60" t="n">
        <f aca="false">IF($A6="","",SUMIFS('XUẤT KHO'!$E$5:$E$2004,'XUẤT KHO'!$C$5:$C$2004,$A6,'XUẤT KHO'!$D$5:$D$2004,$B6,'XUẤT KHO'!$A$5:$A$2004,"&gt;="&amp;J$4,'XUẤT KHO'!$A$5:$A$2004,"&lt;"&amp;EDATE(J$4,1)))</f>
        <v>0</v>
      </c>
      <c r="K6" s="60" t="n">
        <f aca="false">IF($A6="","",SUMIFS('XUẤT KHO'!$E$5:$E$2004,'XUẤT KHO'!$C$5:$C$2004,$A6,'XUẤT KHO'!$D$5:$D$2004,$B6,'XUẤT KHO'!$A$5:$A$2004,"&gt;="&amp;K$4,'XUẤT KHO'!$A$5:$A$2004,"&lt;"&amp;EDATE(K$4,1)))</f>
        <v>0</v>
      </c>
      <c r="L6" s="60" t="n">
        <f aca="false">IF($A6="","",SUMIFS('XUẤT KHO'!$E$5:$E$2004,'XUẤT KHO'!$C$5:$C$2004,$A6,'XUẤT KHO'!$D$5:$D$2004,$B6,'XUẤT KHO'!$A$5:$A$2004,"&gt;="&amp;L$4,'XUẤT KHO'!$A$5:$A$2004,"&lt;"&amp;EDATE(L$4,1)))</f>
        <v>0</v>
      </c>
      <c r="M6" s="60" t="n">
        <f aca="false">IF($A6="","",SUMIFS('XUẤT KHO'!$E$5:$E$2004,'XUẤT KHO'!$C$5:$C$2004,$A6,'XUẤT KHO'!$D$5:$D$2004,$B6,'XUẤT KHO'!$A$5:$A$2004,"&gt;="&amp;M$4,'XUẤT KHO'!$A$5:$A$2004,"&lt;"&amp;EDATE(M$4,1)))</f>
        <v>0</v>
      </c>
      <c r="N6" s="60" t="n">
        <f aca="false">IF($A6="","",SUMIFS('XUẤT KHO'!$E$5:$E$2004,'XUẤT KHO'!$C$5:$C$2004,$A6,'XUẤT KHO'!$D$5:$D$2004,$B6,'XUẤT KHO'!$A$5:$A$2004,"&gt;="&amp;N$4,'XUẤT KHO'!$A$5:$A$2004,"&lt;"&amp;EDATE(N$4,1)))</f>
        <v>0</v>
      </c>
      <c r="O6" s="60" t="n">
        <f aca="false">IF($A6="","",SUMIFS('XUẤT KHO'!$E$5:$E$2004,'XUẤT KHO'!$C$5:$C$2004,$A6,'XUẤT KHO'!$D$5:$D$2004,$B6,'XUẤT KHO'!$A$5:$A$2004,"&gt;="&amp;O$4,'XUẤT KHO'!$A$5:$A$2004,"&lt;"&amp;EDATE(O$4,1)))</f>
        <v>0</v>
      </c>
      <c r="P6" s="61" t="n">
        <f aca="false">IF($A6="","",SUM(D6:O6))</f>
        <v>93</v>
      </c>
    </row>
    <row r="7" customFormat="false" ht="15" hidden="false" customHeight="false" outlineLevel="0" collapsed="false">
      <c r="A7" s="16" t="str">
        <f aca="false">IF('TỒN KHO'!C13="","",'TỒN KHO'!C13)</f>
        <v>PE02</v>
      </c>
      <c r="B7" s="16" t="str">
        <f aca="false">IF('TỒN KHO'!C13="","",'TỒN KHO'!E13)</f>
        <v>5L</v>
      </c>
      <c r="C7" s="16" t="str">
        <f aca="false">IF('TỒN KHO'!C13="","",'TỒN KHO'!D13)</f>
        <v>Sơn lót ngoại thất kháng kiềm cao cấp Imperia PE02</v>
      </c>
      <c r="D7" s="60" t="n">
        <f aca="false">IF($A7="","",SUMIFS('XUẤT KHO'!$E$5:$E$2004,'XUẤT KHO'!$C$5:$C$2004,$A7,'XUẤT KHO'!$D$5:$D$2004,$B7,'XUẤT KHO'!$A$5:$A$2004,"&gt;="&amp;D$4,'XUẤT KHO'!$A$5:$A$2004,"&lt;"&amp;EDATE(D$4,1)))</f>
        <v>0</v>
      </c>
      <c r="E7" s="60" t="n">
        <f aca="false">IF($A7="","",SUMIFS('XUẤT KHO'!$E$5:$E$2004,'XUẤT KHO'!$C$5:$C$2004,$A7,'XUẤT KHO'!$D$5:$D$2004,$B7,'XUẤT KHO'!$A$5:$A$2004,"&gt;="&amp;E$4,'XUẤT KHO'!$A$5:$A$2004,"&lt;"&amp;EDATE(E$4,1)))</f>
        <v>0</v>
      </c>
      <c r="F7" s="60" t="n">
        <f aca="false">IF($A7="","",SUMIFS('XUẤT KHO'!$E$5:$E$2004,'XUẤT KHO'!$C$5:$C$2004,$A7,'XUẤT KHO'!$D$5:$D$2004,$B7,'XUẤT KHO'!$A$5:$A$2004,"&gt;="&amp;F$4,'XUẤT KHO'!$A$5:$A$2004,"&lt;"&amp;EDATE(F$4,1)))</f>
        <v>1</v>
      </c>
      <c r="G7" s="60" t="n">
        <f aca="false">IF($A7="","",SUMIFS('XUẤT KHO'!$E$5:$E$2004,'XUẤT KHO'!$C$5:$C$2004,$A7,'XUẤT KHO'!$D$5:$D$2004,$B7,'XUẤT KHO'!$A$5:$A$2004,"&gt;="&amp;G$4,'XUẤT KHO'!$A$5:$A$2004,"&lt;"&amp;EDATE(G$4,1)))</f>
        <v>3</v>
      </c>
      <c r="H7" s="60" t="n">
        <f aca="false">IF($A7="","",SUMIFS('XUẤT KHO'!$E$5:$E$2004,'XUẤT KHO'!$C$5:$C$2004,$A7,'XUẤT KHO'!$D$5:$D$2004,$B7,'XUẤT KHO'!$A$5:$A$2004,"&gt;="&amp;H$4,'XUẤT KHO'!$A$5:$A$2004,"&lt;"&amp;EDATE(H$4,1)))</f>
        <v>0</v>
      </c>
      <c r="I7" s="60" t="n">
        <f aca="false">IF($A7="","",SUMIFS('XUẤT KHO'!$E$5:$E$2004,'XUẤT KHO'!$C$5:$C$2004,$A7,'XUẤT KHO'!$D$5:$D$2004,$B7,'XUẤT KHO'!$A$5:$A$2004,"&gt;="&amp;I$4,'XUẤT KHO'!$A$5:$A$2004,"&lt;"&amp;EDATE(I$4,1)))</f>
        <v>0</v>
      </c>
      <c r="J7" s="60" t="n">
        <f aca="false">IF($A7="","",SUMIFS('XUẤT KHO'!$E$5:$E$2004,'XUẤT KHO'!$C$5:$C$2004,$A7,'XUẤT KHO'!$D$5:$D$2004,$B7,'XUẤT KHO'!$A$5:$A$2004,"&gt;="&amp;J$4,'XUẤT KHO'!$A$5:$A$2004,"&lt;"&amp;EDATE(J$4,1)))</f>
        <v>0</v>
      </c>
      <c r="K7" s="60" t="n">
        <f aca="false">IF($A7="","",SUMIFS('XUẤT KHO'!$E$5:$E$2004,'XUẤT KHO'!$C$5:$C$2004,$A7,'XUẤT KHO'!$D$5:$D$2004,$B7,'XUẤT KHO'!$A$5:$A$2004,"&gt;="&amp;K$4,'XUẤT KHO'!$A$5:$A$2004,"&lt;"&amp;EDATE(K$4,1)))</f>
        <v>0</v>
      </c>
      <c r="L7" s="60" t="n">
        <f aca="false">IF($A7="","",SUMIFS('XUẤT KHO'!$E$5:$E$2004,'XUẤT KHO'!$C$5:$C$2004,$A7,'XUẤT KHO'!$D$5:$D$2004,$B7,'XUẤT KHO'!$A$5:$A$2004,"&gt;="&amp;L$4,'XUẤT KHO'!$A$5:$A$2004,"&lt;"&amp;EDATE(L$4,1)))</f>
        <v>0</v>
      </c>
      <c r="M7" s="60" t="n">
        <f aca="false">IF($A7="","",SUMIFS('XUẤT KHO'!$E$5:$E$2004,'XUẤT KHO'!$C$5:$C$2004,$A7,'XUẤT KHO'!$D$5:$D$2004,$B7,'XUẤT KHO'!$A$5:$A$2004,"&gt;="&amp;M$4,'XUẤT KHO'!$A$5:$A$2004,"&lt;"&amp;EDATE(M$4,1)))</f>
        <v>0</v>
      </c>
      <c r="N7" s="60" t="n">
        <f aca="false">IF($A7="","",SUMIFS('XUẤT KHO'!$E$5:$E$2004,'XUẤT KHO'!$C$5:$C$2004,$A7,'XUẤT KHO'!$D$5:$D$2004,$B7,'XUẤT KHO'!$A$5:$A$2004,"&gt;="&amp;N$4,'XUẤT KHO'!$A$5:$A$2004,"&lt;"&amp;EDATE(N$4,1)))</f>
        <v>0</v>
      </c>
      <c r="O7" s="60" t="n">
        <f aca="false">IF($A7="","",SUMIFS('XUẤT KHO'!$E$5:$E$2004,'XUẤT KHO'!$C$5:$C$2004,$A7,'XUẤT KHO'!$D$5:$D$2004,$B7,'XUẤT KHO'!$A$5:$A$2004,"&gt;="&amp;O$4,'XUẤT KHO'!$A$5:$A$2004,"&lt;"&amp;EDATE(O$4,1)))</f>
        <v>0</v>
      </c>
      <c r="P7" s="61" t="n">
        <f aca="false">IF($A7="","",SUM(D7:O7))</f>
        <v>4</v>
      </c>
    </row>
    <row r="8" customFormat="false" ht="15" hidden="false" customHeight="false" outlineLevel="0" collapsed="false">
      <c r="A8" s="16" t="str">
        <f aca="false">IF('TỒN KHO'!C14="","",'TỒN KHO'!C14)</f>
        <v>PE02</v>
      </c>
      <c r="B8" s="16" t="str">
        <f aca="false">IF('TỒN KHO'!C14="","",'TỒN KHO'!E14)</f>
        <v>18L</v>
      </c>
      <c r="C8" s="16" t="str">
        <f aca="false">IF('TỒN KHO'!C14="","",'TỒN KHO'!D14)</f>
        <v>Sơn lót ngoại thất kháng kiềm cao cấp Imperia PE02</v>
      </c>
      <c r="D8" s="60" t="n">
        <f aca="false">IF($A8="","",SUMIFS('XUẤT KHO'!$E$5:$E$2004,'XUẤT KHO'!$C$5:$C$2004,$A8,'XUẤT KHO'!$D$5:$D$2004,$B8,'XUẤT KHO'!$A$5:$A$2004,"&gt;="&amp;D$4,'XUẤT KHO'!$A$5:$A$2004,"&lt;"&amp;EDATE(D$4,1)))</f>
        <v>13</v>
      </c>
      <c r="E8" s="60" t="n">
        <f aca="false">IF($A8="","",SUMIFS('XUẤT KHO'!$E$5:$E$2004,'XUẤT KHO'!$C$5:$C$2004,$A8,'XUẤT KHO'!$D$5:$D$2004,$B8,'XUẤT KHO'!$A$5:$A$2004,"&gt;="&amp;E$4,'XUẤT KHO'!$A$5:$A$2004,"&lt;"&amp;EDATE(E$4,1)))</f>
        <v>3</v>
      </c>
      <c r="F8" s="60" t="n">
        <f aca="false">IF($A8="","",SUMIFS('XUẤT KHO'!$E$5:$E$2004,'XUẤT KHO'!$C$5:$C$2004,$A8,'XUẤT KHO'!$D$5:$D$2004,$B8,'XUẤT KHO'!$A$5:$A$2004,"&gt;="&amp;F$4,'XUẤT KHO'!$A$5:$A$2004,"&lt;"&amp;EDATE(F$4,1)))</f>
        <v>11</v>
      </c>
      <c r="G8" s="60" t="n">
        <f aca="false">IF($A8="","",SUMIFS('XUẤT KHO'!$E$5:$E$2004,'XUẤT KHO'!$C$5:$C$2004,$A8,'XUẤT KHO'!$D$5:$D$2004,$B8,'XUẤT KHO'!$A$5:$A$2004,"&gt;="&amp;G$4,'XUẤT KHO'!$A$5:$A$2004,"&lt;"&amp;EDATE(G$4,1)))</f>
        <v>4</v>
      </c>
      <c r="H8" s="60" t="n">
        <f aca="false">IF($A8="","",SUMIFS('XUẤT KHO'!$E$5:$E$2004,'XUẤT KHO'!$C$5:$C$2004,$A8,'XUẤT KHO'!$D$5:$D$2004,$B8,'XUẤT KHO'!$A$5:$A$2004,"&gt;="&amp;H$4,'XUẤT KHO'!$A$5:$A$2004,"&lt;"&amp;EDATE(H$4,1)))</f>
        <v>0</v>
      </c>
      <c r="I8" s="60" t="n">
        <f aca="false">IF($A8="","",SUMIFS('XUẤT KHO'!$E$5:$E$2004,'XUẤT KHO'!$C$5:$C$2004,$A8,'XUẤT KHO'!$D$5:$D$2004,$B8,'XUẤT KHO'!$A$5:$A$2004,"&gt;="&amp;I$4,'XUẤT KHO'!$A$5:$A$2004,"&lt;"&amp;EDATE(I$4,1)))</f>
        <v>0</v>
      </c>
      <c r="J8" s="60" t="n">
        <f aca="false">IF($A8="","",SUMIFS('XUẤT KHO'!$E$5:$E$2004,'XUẤT KHO'!$C$5:$C$2004,$A8,'XUẤT KHO'!$D$5:$D$2004,$B8,'XUẤT KHO'!$A$5:$A$2004,"&gt;="&amp;J$4,'XUẤT KHO'!$A$5:$A$2004,"&lt;"&amp;EDATE(J$4,1)))</f>
        <v>0</v>
      </c>
      <c r="K8" s="60" t="n">
        <f aca="false">IF($A8="","",SUMIFS('XUẤT KHO'!$E$5:$E$2004,'XUẤT KHO'!$C$5:$C$2004,$A8,'XUẤT KHO'!$D$5:$D$2004,$B8,'XUẤT KHO'!$A$5:$A$2004,"&gt;="&amp;K$4,'XUẤT KHO'!$A$5:$A$2004,"&lt;"&amp;EDATE(K$4,1)))</f>
        <v>0</v>
      </c>
      <c r="L8" s="60" t="n">
        <f aca="false">IF($A8="","",SUMIFS('XUẤT KHO'!$E$5:$E$2004,'XUẤT KHO'!$C$5:$C$2004,$A8,'XUẤT KHO'!$D$5:$D$2004,$B8,'XUẤT KHO'!$A$5:$A$2004,"&gt;="&amp;L$4,'XUẤT KHO'!$A$5:$A$2004,"&lt;"&amp;EDATE(L$4,1)))</f>
        <v>0</v>
      </c>
      <c r="M8" s="60" t="n">
        <f aca="false">IF($A8="","",SUMIFS('XUẤT KHO'!$E$5:$E$2004,'XUẤT KHO'!$C$5:$C$2004,$A8,'XUẤT KHO'!$D$5:$D$2004,$B8,'XUẤT KHO'!$A$5:$A$2004,"&gt;="&amp;M$4,'XUẤT KHO'!$A$5:$A$2004,"&lt;"&amp;EDATE(M$4,1)))</f>
        <v>0</v>
      </c>
      <c r="N8" s="60" t="n">
        <f aca="false">IF($A8="","",SUMIFS('XUẤT KHO'!$E$5:$E$2004,'XUẤT KHO'!$C$5:$C$2004,$A8,'XUẤT KHO'!$D$5:$D$2004,$B8,'XUẤT KHO'!$A$5:$A$2004,"&gt;="&amp;N$4,'XUẤT KHO'!$A$5:$A$2004,"&lt;"&amp;EDATE(N$4,1)))</f>
        <v>0</v>
      </c>
      <c r="O8" s="60" t="n">
        <f aca="false">IF($A8="","",SUMIFS('XUẤT KHO'!$E$5:$E$2004,'XUẤT KHO'!$C$5:$C$2004,$A8,'XUẤT KHO'!$D$5:$D$2004,$B8,'XUẤT KHO'!$A$5:$A$2004,"&gt;="&amp;O$4,'XUẤT KHO'!$A$5:$A$2004,"&lt;"&amp;EDATE(O$4,1)))</f>
        <v>0</v>
      </c>
      <c r="P8" s="61" t="n">
        <f aca="false">IF($A8="","",SUM(D8:O8))</f>
        <v>31</v>
      </c>
    </row>
    <row r="9" customFormat="false" ht="15" hidden="false" customHeight="false" outlineLevel="0" collapsed="false">
      <c r="A9" s="16" t="str">
        <f aca="false">IF('TỒN KHO'!C15="","",'TỒN KHO'!C15)</f>
        <v>SPI03</v>
      </c>
      <c r="B9" s="16" t="str">
        <f aca="false">IF('TỒN KHO'!C15="","",'TỒN KHO'!E15)</f>
        <v>5L</v>
      </c>
      <c r="C9" s="16" t="str">
        <f aca="false">IF('TỒN KHO'!C15="","",'TỒN KHO'!D15)</f>
        <v>Sơn lót nội thất kháng kiềm siêu cao cấp SPI03</v>
      </c>
      <c r="D9" s="60" t="n">
        <f aca="false">IF($A9="","",SUMIFS('XUẤT KHO'!$E$5:$E$2004,'XUẤT KHO'!$C$5:$C$2004,$A9,'XUẤT KHO'!$D$5:$D$2004,$B9,'XUẤT KHO'!$A$5:$A$2004,"&gt;="&amp;D$4,'XUẤT KHO'!$A$5:$A$2004,"&lt;"&amp;EDATE(D$4,1)))</f>
        <v>0</v>
      </c>
      <c r="E9" s="60" t="n">
        <f aca="false">IF($A9="","",SUMIFS('XUẤT KHO'!$E$5:$E$2004,'XUẤT KHO'!$C$5:$C$2004,$A9,'XUẤT KHO'!$D$5:$D$2004,$B9,'XUẤT KHO'!$A$5:$A$2004,"&gt;="&amp;E$4,'XUẤT KHO'!$A$5:$A$2004,"&lt;"&amp;EDATE(E$4,1)))</f>
        <v>0</v>
      </c>
      <c r="F9" s="60" t="n">
        <f aca="false">IF($A9="","",SUMIFS('XUẤT KHO'!$E$5:$E$2004,'XUẤT KHO'!$C$5:$C$2004,$A9,'XUẤT KHO'!$D$5:$D$2004,$B9,'XUẤT KHO'!$A$5:$A$2004,"&gt;="&amp;F$4,'XUẤT KHO'!$A$5:$A$2004,"&lt;"&amp;EDATE(F$4,1)))</f>
        <v>0</v>
      </c>
      <c r="G9" s="60" t="n">
        <f aca="false">IF($A9="","",SUMIFS('XUẤT KHO'!$E$5:$E$2004,'XUẤT KHO'!$C$5:$C$2004,$A9,'XUẤT KHO'!$D$5:$D$2004,$B9,'XUẤT KHO'!$A$5:$A$2004,"&gt;="&amp;G$4,'XUẤT KHO'!$A$5:$A$2004,"&lt;"&amp;EDATE(G$4,1)))</f>
        <v>0</v>
      </c>
      <c r="H9" s="60" t="n">
        <f aca="false">IF($A9="","",SUMIFS('XUẤT KHO'!$E$5:$E$2004,'XUẤT KHO'!$C$5:$C$2004,$A9,'XUẤT KHO'!$D$5:$D$2004,$B9,'XUẤT KHO'!$A$5:$A$2004,"&gt;="&amp;H$4,'XUẤT KHO'!$A$5:$A$2004,"&lt;"&amp;EDATE(H$4,1)))</f>
        <v>0</v>
      </c>
      <c r="I9" s="60" t="n">
        <f aca="false">IF($A9="","",SUMIFS('XUẤT KHO'!$E$5:$E$2004,'XUẤT KHO'!$C$5:$C$2004,$A9,'XUẤT KHO'!$D$5:$D$2004,$B9,'XUẤT KHO'!$A$5:$A$2004,"&gt;="&amp;I$4,'XUẤT KHO'!$A$5:$A$2004,"&lt;"&amp;EDATE(I$4,1)))</f>
        <v>0</v>
      </c>
      <c r="J9" s="60" t="n">
        <f aca="false">IF($A9="","",SUMIFS('XUẤT KHO'!$E$5:$E$2004,'XUẤT KHO'!$C$5:$C$2004,$A9,'XUẤT KHO'!$D$5:$D$2004,$B9,'XUẤT KHO'!$A$5:$A$2004,"&gt;="&amp;J$4,'XUẤT KHO'!$A$5:$A$2004,"&lt;"&amp;EDATE(J$4,1)))</f>
        <v>0</v>
      </c>
      <c r="K9" s="60" t="n">
        <f aca="false">IF($A9="","",SUMIFS('XUẤT KHO'!$E$5:$E$2004,'XUẤT KHO'!$C$5:$C$2004,$A9,'XUẤT KHO'!$D$5:$D$2004,$B9,'XUẤT KHO'!$A$5:$A$2004,"&gt;="&amp;K$4,'XUẤT KHO'!$A$5:$A$2004,"&lt;"&amp;EDATE(K$4,1)))</f>
        <v>0</v>
      </c>
      <c r="L9" s="60" t="n">
        <f aca="false">IF($A9="","",SUMIFS('XUẤT KHO'!$E$5:$E$2004,'XUẤT KHO'!$C$5:$C$2004,$A9,'XUẤT KHO'!$D$5:$D$2004,$B9,'XUẤT KHO'!$A$5:$A$2004,"&gt;="&amp;L$4,'XUẤT KHO'!$A$5:$A$2004,"&lt;"&amp;EDATE(L$4,1)))</f>
        <v>0</v>
      </c>
      <c r="M9" s="60" t="n">
        <f aca="false">IF($A9="","",SUMIFS('XUẤT KHO'!$E$5:$E$2004,'XUẤT KHO'!$C$5:$C$2004,$A9,'XUẤT KHO'!$D$5:$D$2004,$B9,'XUẤT KHO'!$A$5:$A$2004,"&gt;="&amp;M$4,'XUẤT KHO'!$A$5:$A$2004,"&lt;"&amp;EDATE(M$4,1)))</f>
        <v>0</v>
      </c>
      <c r="N9" s="60" t="n">
        <f aca="false">IF($A9="","",SUMIFS('XUẤT KHO'!$E$5:$E$2004,'XUẤT KHO'!$C$5:$C$2004,$A9,'XUẤT KHO'!$D$5:$D$2004,$B9,'XUẤT KHO'!$A$5:$A$2004,"&gt;="&amp;N$4,'XUẤT KHO'!$A$5:$A$2004,"&lt;"&amp;EDATE(N$4,1)))</f>
        <v>0</v>
      </c>
      <c r="O9" s="60" t="n">
        <f aca="false">IF($A9="","",SUMIFS('XUẤT KHO'!$E$5:$E$2004,'XUẤT KHO'!$C$5:$C$2004,$A9,'XUẤT KHO'!$D$5:$D$2004,$B9,'XUẤT KHO'!$A$5:$A$2004,"&gt;="&amp;O$4,'XUẤT KHO'!$A$5:$A$2004,"&lt;"&amp;EDATE(O$4,1)))</f>
        <v>0</v>
      </c>
      <c r="P9" s="61" t="n">
        <f aca="false">IF($A9="","",SUM(D9:O9))</f>
        <v>0</v>
      </c>
    </row>
    <row r="10" customFormat="false" ht="15" hidden="false" customHeight="false" outlineLevel="0" collapsed="false">
      <c r="A10" s="16" t="str">
        <f aca="false">IF('TỒN KHO'!C16="","",'TỒN KHO'!C16)</f>
        <v>SPI03</v>
      </c>
      <c r="B10" s="16" t="str">
        <f aca="false">IF('TỒN KHO'!C16="","",'TỒN KHO'!E16)</f>
        <v>18L</v>
      </c>
      <c r="C10" s="16" t="str">
        <f aca="false">IF('TỒN KHO'!C16="","",'TỒN KHO'!D16)</f>
        <v>Sơn lót nội thất kháng kiềm siêu cao cấp SPI03</v>
      </c>
      <c r="D10" s="60" t="n">
        <f aca="false">IF($A10="","",SUMIFS('XUẤT KHO'!$E$5:$E$2004,'XUẤT KHO'!$C$5:$C$2004,$A10,'XUẤT KHO'!$D$5:$D$2004,$B10,'XUẤT KHO'!$A$5:$A$2004,"&gt;="&amp;D$4,'XUẤT KHO'!$A$5:$A$2004,"&lt;"&amp;EDATE(D$4,1)))</f>
        <v>0</v>
      </c>
      <c r="E10" s="60" t="n">
        <f aca="false">IF($A10="","",SUMIFS('XUẤT KHO'!$E$5:$E$2004,'XUẤT KHO'!$C$5:$C$2004,$A10,'XUẤT KHO'!$D$5:$D$2004,$B10,'XUẤT KHO'!$A$5:$A$2004,"&gt;="&amp;E$4,'XUẤT KHO'!$A$5:$A$2004,"&lt;"&amp;EDATE(E$4,1)))</f>
        <v>0</v>
      </c>
      <c r="F10" s="60" t="n">
        <f aca="false">IF($A10="","",SUMIFS('XUẤT KHO'!$E$5:$E$2004,'XUẤT KHO'!$C$5:$C$2004,$A10,'XUẤT KHO'!$D$5:$D$2004,$B10,'XUẤT KHO'!$A$5:$A$2004,"&gt;="&amp;F$4,'XUẤT KHO'!$A$5:$A$2004,"&lt;"&amp;EDATE(F$4,1)))</f>
        <v>0</v>
      </c>
      <c r="G10" s="60" t="n">
        <f aca="false">IF($A10="","",SUMIFS('XUẤT KHO'!$E$5:$E$2004,'XUẤT KHO'!$C$5:$C$2004,$A10,'XUẤT KHO'!$D$5:$D$2004,$B10,'XUẤT KHO'!$A$5:$A$2004,"&gt;="&amp;G$4,'XUẤT KHO'!$A$5:$A$2004,"&lt;"&amp;EDATE(G$4,1)))</f>
        <v>0</v>
      </c>
      <c r="H10" s="60" t="n">
        <f aca="false">IF($A10="","",SUMIFS('XUẤT KHO'!$E$5:$E$2004,'XUẤT KHO'!$C$5:$C$2004,$A10,'XUẤT KHO'!$D$5:$D$2004,$B10,'XUẤT KHO'!$A$5:$A$2004,"&gt;="&amp;H$4,'XUẤT KHO'!$A$5:$A$2004,"&lt;"&amp;EDATE(H$4,1)))</f>
        <v>0</v>
      </c>
      <c r="I10" s="60" t="n">
        <f aca="false">IF($A10="","",SUMIFS('XUẤT KHO'!$E$5:$E$2004,'XUẤT KHO'!$C$5:$C$2004,$A10,'XUẤT KHO'!$D$5:$D$2004,$B10,'XUẤT KHO'!$A$5:$A$2004,"&gt;="&amp;I$4,'XUẤT KHO'!$A$5:$A$2004,"&lt;"&amp;EDATE(I$4,1)))</f>
        <v>0</v>
      </c>
      <c r="J10" s="60" t="n">
        <f aca="false">IF($A10="","",SUMIFS('XUẤT KHO'!$E$5:$E$2004,'XUẤT KHO'!$C$5:$C$2004,$A10,'XUẤT KHO'!$D$5:$D$2004,$B10,'XUẤT KHO'!$A$5:$A$2004,"&gt;="&amp;J$4,'XUẤT KHO'!$A$5:$A$2004,"&lt;"&amp;EDATE(J$4,1)))</f>
        <v>0</v>
      </c>
      <c r="K10" s="60" t="n">
        <f aca="false">IF($A10="","",SUMIFS('XUẤT KHO'!$E$5:$E$2004,'XUẤT KHO'!$C$5:$C$2004,$A10,'XUẤT KHO'!$D$5:$D$2004,$B10,'XUẤT KHO'!$A$5:$A$2004,"&gt;="&amp;K$4,'XUẤT KHO'!$A$5:$A$2004,"&lt;"&amp;EDATE(K$4,1)))</f>
        <v>0</v>
      </c>
      <c r="L10" s="60" t="n">
        <f aca="false">IF($A10="","",SUMIFS('XUẤT KHO'!$E$5:$E$2004,'XUẤT KHO'!$C$5:$C$2004,$A10,'XUẤT KHO'!$D$5:$D$2004,$B10,'XUẤT KHO'!$A$5:$A$2004,"&gt;="&amp;L$4,'XUẤT KHO'!$A$5:$A$2004,"&lt;"&amp;EDATE(L$4,1)))</f>
        <v>0</v>
      </c>
      <c r="M10" s="60" t="n">
        <f aca="false">IF($A10="","",SUMIFS('XUẤT KHO'!$E$5:$E$2004,'XUẤT KHO'!$C$5:$C$2004,$A10,'XUẤT KHO'!$D$5:$D$2004,$B10,'XUẤT KHO'!$A$5:$A$2004,"&gt;="&amp;M$4,'XUẤT KHO'!$A$5:$A$2004,"&lt;"&amp;EDATE(M$4,1)))</f>
        <v>0</v>
      </c>
      <c r="N10" s="60" t="n">
        <f aca="false">IF($A10="","",SUMIFS('XUẤT KHO'!$E$5:$E$2004,'XUẤT KHO'!$C$5:$C$2004,$A10,'XUẤT KHO'!$D$5:$D$2004,$B10,'XUẤT KHO'!$A$5:$A$2004,"&gt;="&amp;N$4,'XUẤT KHO'!$A$5:$A$2004,"&lt;"&amp;EDATE(N$4,1)))</f>
        <v>0</v>
      </c>
      <c r="O10" s="60" t="n">
        <f aca="false">IF($A10="","",SUMIFS('XUẤT KHO'!$E$5:$E$2004,'XUẤT KHO'!$C$5:$C$2004,$A10,'XUẤT KHO'!$D$5:$D$2004,$B10,'XUẤT KHO'!$A$5:$A$2004,"&gt;="&amp;O$4,'XUẤT KHO'!$A$5:$A$2004,"&lt;"&amp;EDATE(O$4,1)))</f>
        <v>0</v>
      </c>
      <c r="P10" s="61" t="n">
        <f aca="false">IF($A10="","",SUM(D10:O10))</f>
        <v>0</v>
      </c>
    </row>
    <row r="11" customFormat="false" ht="15" hidden="false" customHeight="false" outlineLevel="0" collapsed="false">
      <c r="A11" s="16" t="str">
        <f aca="false">IF('TỒN KHO'!C17="","",'TỒN KHO'!C17)</f>
        <v>SPE01</v>
      </c>
      <c r="B11" s="16" t="str">
        <f aca="false">IF('TỒN KHO'!C17="","",'TỒN KHO'!E17)</f>
        <v>5L</v>
      </c>
      <c r="C11" s="16" t="str">
        <f aca="false">IF('TỒN KHO'!C17="","",'TỒN KHO'!D17)</f>
        <v>Sơn lót ngoại thất kháng kiềm siêu cao cấp SPE01</v>
      </c>
      <c r="D11" s="60" t="n">
        <f aca="false">IF($A11="","",SUMIFS('XUẤT KHO'!$E$5:$E$2004,'XUẤT KHO'!$C$5:$C$2004,$A11,'XUẤT KHO'!$D$5:$D$2004,$B11,'XUẤT KHO'!$A$5:$A$2004,"&gt;="&amp;D$4,'XUẤT KHO'!$A$5:$A$2004,"&lt;"&amp;EDATE(D$4,1)))</f>
        <v>0</v>
      </c>
      <c r="E11" s="60" t="n">
        <f aca="false">IF($A11="","",SUMIFS('XUẤT KHO'!$E$5:$E$2004,'XUẤT KHO'!$C$5:$C$2004,$A11,'XUẤT KHO'!$D$5:$D$2004,$B11,'XUẤT KHO'!$A$5:$A$2004,"&gt;="&amp;E$4,'XUẤT KHO'!$A$5:$A$2004,"&lt;"&amp;EDATE(E$4,1)))</f>
        <v>0</v>
      </c>
      <c r="F11" s="60" t="n">
        <f aca="false">IF($A11="","",SUMIFS('XUẤT KHO'!$E$5:$E$2004,'XUẤT KHO'!$C$5:$C$2004,$A11,'XUẤT KHO'!$D$5:$D$2004,$B11,'XUẤT KHO'!$A$5:$A$2004,"&gt;="&amp;F$4,'XUẤT KHO'!$A$5:$A$2004,"&lt;"&amp;EDATE(F$4,1)))</f>
        <v>0</v>
      </c>
      <c r="G11" s="60" t="n">
        <f aca="false">IF($A11="","",SUMIFS('XUẤT KHO'!$E$5:$E$2004,'XUẤT KHO'!$C$5:$C$2004,$A11,'XUẤT KHO'!$D$5:$D$2004,$B11,'XUẤT KHO'!$A$5:$A$2004,"&gt;="&amp;G$4,'XUẤT KHO'!$A$5:$A$2004,"&lt;"&amp;EDATE(G$4,1)))</f>
        <v>0</v>
      </c>
      <c r="H11" s="60" t="n">
        <f aca="false">IF($A11="","",SUMIFS('XUẤT KHO'!$E$5:$E$2004,'XUẤT KHO'!$C$5:$C$2004,$A11,'XUẤT KHO'!$D$5:$D$2004,$B11,'XUẤT KHO'!$A$5:$A$2004,"&gt;="&amp;H$4,'XUẤT KHO'!$A$5:$A$2004,"&lt;"&amp;EDATE(H$4,1)))</f>
        <v>0</v>
      </c>
      <c r="I11" s="60" t="n">
        <f aca="false">IF($A11="","",SUMIFS('XUẤT KHO'!$E$5:$E$2004,'XUẤT KHO'!$C$5:$C$2004,$A11,'XUẤT KHO'!$D$5:$D$2004,$B11,'XUẤT KHO'!$A$5:$A$2004,"&gt;="&amp;I$4,'XUẤT KHO'!$A$5:$A$2004,"&lt;"&amp;EDATE(I$4,1)))</f>
        <v>0</v>
      </c>
      <c r="J11" s="60" t="n">
        <f aca="false">IF($A11="","",SUMIFS('XUẤT KHO'!$E$5:$E$2004,'XUẤT KHO'!$C$5:$C$2004,$A11,'XUẤT KHO'!$D$5:$D$2004,$B11,'XUẤT KHO'!$A$5:$A$2004,"&gt;="&amp;J$4,'XUẤT KHO'!$A$5:$A$2004,"&lt;"&amp;EDATE(J$4,1)))</f>
        <v>0</v>
      </c>
      <c r="K11" s="60" t="n">
        <f aca="false">IF($A11="","",SUMIFS('XUẤT KHO'!$E$5:$E$2004,'XUẤT KHO'!$C$5:$C$2004,$A11,'XUẤT KHO'!$D$5:$D$2004,$B11,'XUẤT KHO'!$A$5:$A$2004,"&gt;="&amp;K$4,'XUẤT KHO'!$A$5:$A$2004,"&lt;"&amp;EDATE(K$4,1)))</f>
        <v>0</v>
      </c>
      <c r="L11" s="60" t="n">
        <f aca="false">IF($A11="","",SUMIFS('XUẤT KHO'!$E$5:$E$2004,'XUẤT KHO'!$C$5:$C$2004,$A11,'XUẤT KHO'!$D$5:$D$2004,$B11,'XUẤT KHO'!$A$5:$A$2004,"&gt;="&amp;L$4,'XUẤT KHO'!$A$5:$A$2004,"&lt;"&amp;EDATE(L$4,1)))</f>
        <v>0</v>
      </c>
      <c r="M11" s="60" t="n">
        <f aca="false">IF($A11="","",SUMIFS('XUẤT KHO'!$E$5:$E$2004,'XUẤT KHO'!$C$5:$C$2004,$A11,'XUẤT KHO'!$D$5:$D$2004,$B11,'XUẤT KHO'!$A$5:$A$2004,"&gt;="&amp;M$4,'XUẤT KHO'!$A$5:$A$2004,"&lt;"&amp;EDATE(M$4,1)))</f>
        <v>0</v>
      </c>
      <c r="N11" s="60" t="n">
        <f aca="false">IF($A11="","",SUMIFS('XUẤT KHO'!$E$5:$E$2004,'XUẤT KHO'!$C$5:$C$2004,$A11,'XUẤT KHO'!$D$5:$D$2004,$B11,'XUẤT KHO'!$A$5:$A$2004,"&gt;="&amp;N$4,'XUẤT KHO'!$A$5:$A$2004,"&lt;"&amp;EDATE(N$4,1)))</f>
        <v>0</v>
      </c>
      <c r="O11" s="60" t="n">
        <f aca="false">IF($A11="","",SUMIFS('XUẤT KHO'!$E$5:$E$2004,'XUẤT KHO'!$C$5:$C$2004,$A11,'XUẤT KHO'!$D$5:$D$2004,$B11,'XUẤT KHO'!$A$5:$A$2004,"&gt;="&amp;O$4,'XUẤT KHO'!$A$5:$A$2004,"&lt;"&amp;EDATE(O$4,1)))</f>
        <v>0</v>
      </c>
      <c r="P11" s="61" t="n">
        <f aca="false">IF($A11="","",SUM(D11:O11))</f>
        <v>0</v>
      </c>
    </row>
    <row r="12" customFormat="false" ht="15" hidden="false" customHeight="false" outlineLevel="0" collapsed="false">
      <c r="A12" s="16" t="str">
        <f aca="false">IF('TỒN KHO'!C18="","",'TỒN KHO'!C18)</f>
        <v>SPE01</v>
      </c>
      <c r="B12" s="16" t="str">
        <f aca="false">IF('TỒN KHO'!C18="","",'TỒN KHO'!E18)</f>
        <v>18L</v>
      </c>
      <c r="C12" s="16" t="str">
        <f aca="false">IF('TỒN KHO'!C18="","",'TỒN KHO'!D18)</f>
        <v>Sơn lót ngoại thất kháng kiềm siêu cao cấp SPE01</v>
      </c>
      <c r="D12" s="60" t="n">
        <f aca="false">IF($A12="","",SUMIFS('XUẤT KHO'!$E$5:$E$2004,'XUẤT KHO'!$C$5:$C$2004,$A12,'XUẤT KHO'!$D$5:$D$2004,$B12,'XUẤT KHO'!$A$5:$A$2004,"&gt;="&amp;D$4,'XUẤT KHO'!$A$5:$A$2004,"&lt;"&amp;EDATE(D$4,1)))</f>
        <v>0</v>
      </c>
      <c r="E12" s="60" t="n">
        <f aca="false">IF($A12="","",SUMIFS('XUẤT KHO'!$E$5:$E$2004,'XUẤT KHO'!$C$5:$C$2004,$A12,'XUẤT KHO'!$D$5:$D$2004,$B12,'XUẤT KHO'!$A$5:$A$2004,"&gt;="&amp;E$4,'XUẤT KHO'!$A$5:$A$2004,"&lt;"&amp;EDATE(E$4,1)))</f>
        <v>0</v>
      </c>
      <c r="F12" s="60" t="n">
        <f aca="false">IF($A12="","",SUMIFS('XUẤT KHO'!$E$5:$E$2004,'XUẤT KHO'!$C$5:$C$2004,$A12,'XUẤT KHO'!$D$5:$D$2004,$B12,'XUẤT KHO'!$A$5:$A$2004,"&gt;="&amp;F$4,'XUẤT KHO'!$A$5:$A$2004,"&lt;"&amp;EDATE(F$4,1)))</f>
        <v>0</v>
      </c>
      <c r="G12" s="60" t="n">
        <f aca="false">IF($A12="","",SUMIFS('XUẤT KHO'!$E$5:$E$2004,'XUẤT KHO'!$C$5:$C$2004,$A12,'XUẤT KHO'!$D$5:$D$2004,$B12,'XUẤT KHO'!$A$5:$A$2004,"&gt;="&amp;G$4,'XUẤT KHO'!$A$5:$A$2004,"&lt;"&amp;EDATE(G$4,1)))</f>
        <v>0</v>
      </c>
      <c r="H12" s="60" t="n">
        <f aca="false">IF($A12="","",SUMIFS('XUẤT KHO'!$E$5:$E$2004,'XUẤT KHO'!$C$5:$C$2004,$A12,'XUẤT KHO'!$D$5:$D$2004,$B12,'XUẤT KHO'!$A$5:$A$2004,"&gt;="&amp;H$4,'XUẤT KHO'!$A$5:$A$2004,"&lt;"&amp;EDATE(H$4,1)))</f>
        <v>0</v>
      </c>
      <c r="I12" s="60" t="n">
        <f aca="false">IF($A12="","",SUMIFS('XUẤT KHO'!$E$5:$E$2004,'XUẤT KHO'!$C$5:$C$2004,$A12,'XUẤT KHO'!$D$5:$D$2004,$B12,'XUẤT KHO'!$A$5:$A$2004,"&gt;="&amp;I$4,'XUẤT KHO'!$A$5:$A$2004,"&lt;"&amp;EDATE(I$4,1)))</f>
        <v>0</v>
      </c>
      <c r="J12" s="60" t="n">
        <f aca="false">IF($A12="","",SUMIFS('XUẤT KHO'!$E$5:$E$2004,'XUẤT KHO'!$C$5:$C$2004,$A12,'XUẤT KHO'!$D$5:$D$2004,$B12,'XUẤT KHO'!$A$5:$A$2004,"&gt;="&amp;J$4,'XUẤT KHO'!$A$5:$A$2004,"&lt;"&amp;EDATE(J$4,1)))</f>
        <v>0</v>
      </c>
      <c r="K12" s="60" t="n">
        <f aca="false">IF($A12="","",SUMIFS('XUẤT KHO'!$E$5:$E$2004,'XUẤT KHO'!$C$5:$C$2004,$A12,'XUẤT KHO'!$D$5:$D$2004,$B12,'XUẤT KHO'!$A$5:$A$2004,"&gt;="&amp;K$4,'XUẤT KHO'!$A$5:$A$2004,"&lt;"&amp;EDATE(K$4,1)))</f>
        <v>0</v>
      </c>
      <c r="L12" s="60" t="n">
        <f aca="false">IF($A12="","",SUMIFS('XUẤT KHO'!$E$5:$E$2004,'XUẤT KHO'!$C$5:$C$2004,$A12,'XUẤT KHO'!$D$5:$D$2004,$B12,'XUẤT KHO'!$A$5:$A$2004,"&gt;="&amp;L$4,'XUẤT KHO'!$A$5:$A$2004,"&lt;"&amp;EDATE(L$4,1)))</f>
        <v>0</v>
      </c>
      <c r="M12" s="60" t="n">
        <f aca="false">IF($A12="","",SUMIFS('XUẤT KHO'!$E$5:$E$2004,'XUẤT KHO'!$C$5:$C$2004,$A12,'XUẤT KHO'!$D$5:$D$2004,$B12,'XUẤT KHO'!$A$5:$A$2004,"&gt;="&amp;M$4,'XUẤT KHO'!$A$5:$A$2004,"&lt;"&amp;EDATE(M$4,1)))</f>
        <v>0</v>
      </c>
      <c r="N12" s="60" t="n">
        <f aca="false">IF($A12="","",SUMIFS('XUẤT KHO'!$E$5:$E$2004,'XUẤT KHO'!$C$5:$C$2004,$A12,'XUẤT KHO'!$D$5:$D$2004,$B12,'XUẤT KHO'!$A$5:$A$2004,"&gt;="&amp;N$4,'XUẤT KHO'!$A$5:$A$2004,"&lt;"&amp;EDATE(N$4,1)))</f>
        <v>0</v>
      </c>
      <c r="O12" s="60" t="n">
        <f aca="false">IF($A12="","",SUMIFS('XUẤT KHO'!$E$5:$E$2004,'XUẤT KHO'!$C$5:$C$2004,$A12,'XUẤT KHO'!$D$5:$D$2004,$B12,'XUẤT KHO'!$A$5:$A$2004,"&gt;="&amp;O$4,'XUẤT KHO'!$A$5:$A$2004,"&lt;"&amp;EDATE(O$4,1)))</f>
        <v>0</v>
      </c>
      <c r="P12" s="61" t="n">
        <f aca="false">IF($A12="","",SUM(D12:O12))</f>
        <v>0</v>
      </c>
    </row>
    <row r="13" customFormat="false" ht="15" hidden="false" customHeight="false" outlineLevel="0" collapsed="false">
      <c r="A13" s="16" t="str">
        <f aca="false">IF('TỒN KHO'!C19="","",'TỒN KHO'!C19)</f>
        <v>IL5</v>
      </c>
      <c r="B13" s="16" t="str">
        <f aca="false">IF('TỒN KHO'!C19="","",'TỒN KHO'!E19)</f>
        <v>5L</v>
      </c>
      <c r="C13" s="16" t="str">
        <f aca="false">IF('TỒN KHO'!C19="","",'TỒN KHO'!D19)</f>
        <v>Sơn lót nội thất kháng kiềm Silver IL5</v>
      </c>
      <c r="D13" s="60" t="n">
        <f aca="false">IF($A13="","",SUMIFS('XUẤT KHO'!$E$5:$E$2004,'XUẤT KHO'!$C$5:$C$2004,$A13,'XUẤT KHO'!$D$5:$D$2004,$B13,'XUẤT KHO'!$A$5:$A$2004,"&gt;="&amp;D$4,'XUẤT KHO'!$A$5:$A$2004,"&lt;"&amp;EDATE(D$4,1)))</f>
        <v>1</v>
      </c>
      <c r="E13" s="60" t="n">
        <f aca="false">IF($A13="","",SUMIFS('XUẤT KHO'!$E$5:$E$2004,'XUẤT KHO'!$C$5:$C$2004,$A13,'XUẤT KHO'!$D$5:$D$2004,$B13,'XUẤT KHO'!$A$5:$A$2004,"&gt;="&amp;E$4,'XUẤT KHO'!$A$5:$A$2004,"&lt;"&amp;EDATE(E$4,1)))</f>
        <v>0</v>
      </c>
      <c r="F13" s="60" t="n">
        <f aca="false">IF($A13="","",SUMIFS('XUẤT KHO'!$E$5:$E$2004,'XUẤT KHO'!$C$5:$C$2004,$A13,'XUẤT KHO'!$D$5:$D$2004,$B13,'XUẤT KHO'!$A$5:$A$2004,"&gt;="&amp;F$4,'XUẤT KHO'!$A$5:$A$2004,"&lt;"&amp;EDATE(F$4,1)))</f>
        <v>0</v>
      </c>
      <c r="G13" s="60" t="n">
        <f aca="false">IF($A13="","",SUMIFS('XUẤT KHO'!$E$5:$E$2004,'XUẤT KHO'!$C$5:$C$2004,$A13,'XUẤT KHO'!$D$5:$D$2004,$B13,'XUẤT KHO'!$A$5:$A$2004,"&gt;="&amp;G$4,'XUẤT KHO'!$A$5:$A$2004,"&lt;"&amp;EDATE(G$4,1)))</f>
        <v>0</v>
      </c>
      <c r="H13" s="60" t="n">
        <f aca="false">IF($A13="","",SUMIFS('XUẤT KHO'!$E$5:$E$2004,'XUẤT KHO'!$C$5:$C$2004,$A13,'XUẤT KHO'!$D$5:$D$2004,$B13,'XUẤT KHO'!$A$5:$A$2004,"&gt;="&amp;H$4,'XUẤT KHO'!$A$5:$A$2004,"&lt;"&amp;EDATE(H$4,1)))</f>
        <v>0</v>
      </c>
      <c r="I13" s="60" t="n">
        <f aca="false">IF($A13="","",SUMIFS('XUẤT KHO'!$E$5:$E$2004,'XUẤT KHO'!$C$5:$C$2004,$A13,'XUẤT KHO'!$D$5:$D$2004,$B13,'XUẤT KHO'!$A$5:$A$2004,"&gt;="&amp;I$4,'XUẤT KHO'!$A$5:$A$2004,"&lt;"&amp;EDATE(I$4,1)))</f>
        <v>0</v>
      </c>
      <c r="J13" s="60" t="n">
        <f aca="false">IF($A13="","",SUMIFS('XUẤT KHO'!$E$5:$E$2004,'XUẤT KHO'!$C$5:$C$2004,$A13,'XUẤT KHO'!$D$5:$D$2004,$B13,'XUẤT KHO'!$A$5:$A$2004,"&gt;="&amp;J$4,'XUẤT KHO'!$A$5:$A$2004,"&lt;"&amp;EDATE(J$4,1)))</f>
        <v>0</v>
      </c>
      <c r="K13" s="60" t="n">
        <f aca="false">IF($A13="","",SUMIFS('XUẤT KHO'!$E$5:$E$2004,'XUẤT KHO'!$C$5:$C$2004,$A13,'XUẤT KHO'!$D$5:$D$2004,$B13,'XUẤT KHO'!$A$5:$A$2004,"&gt;="&amp;K$4,'XUẤT KHO'!$A$5:$A$2004,"&lt;"&amp;EDATE(K$4,1)))</f>
        <v>0</v>
      </c>
      <c r="L13" s="60" t="n">
        <f aca="false">IF($A13="","",SUMIFS('XUẤT KHO'!$E$5:$E$2004,'XUẤT KHO'!$C$5:$C$2004,$A13,'XUẤT KHO'!$D$5:$D$2004,$B13,'XUẤT KHO'!$A$5:$A$2004,"&gt;="&amp;L$4,'XUẤT KHO'!$A$5:$A$2004,"&lt;"&amp;EDATE(L$4,1)))</f>
        <v>0</v>
      </c>
      <c r="M13" s="60" t="n">
        <f aca="false">IF($A13="","",SUMIFS('XUẤT KHO'!$E$5:$E$2004,'XUẤT KHO'!$C$5:$C$2004,$A13,'XUẤT KHO'!$D$5:$D$2004,$B13,'XUẤT KHO'!$A$5:$A$2004,"&gt;="&amp;M$4,'XUẤT KHO'!$A$5:$A$2004,"&lt;"&amp;EDATE(M$4,1)))</f>
        <v>0</v>
      </c>
      <c r="N13" s="60" t="n">
        <f aca="false">IF($A13="","",SUMIFS('XUẤT KHO'!$E$5:$E$2004,'XUẤT KHO'!$C$5:$C$2004,$A13,'XUẤT KHO'!$D$5:$D$2004,$B13,'XUẤT KHO'!$A$5:$A$2004,"&gt;="&amp;N$4,'XUẤT KHO'!$A$5:$A$2004,"&lt;"&amp;EDATE(N$4,1)))</f>
        <v>0</v>
      </c>
      <c r="O13" s="60" t="n">
        <f aca="false">IF($A13="","",SUMIFS('XUẤT KHO'!$E$5:$E$2004,'XUẤT KHO'!$C$5:$C$2004,$A13,'XUẤT KHO'!$D$5:$D$2004,$B13,'XUẤT KHO'!$A$5:$A$2004,"&gt;="&amp;O$4,'XUẤT KHO'!$A$5:$A$2004,"&lt;"&amp;EDATE(O$4,1)))</f>
        <v>0</v>
      </c>
      <c r="P13" s="61" t="n">
        <f aca="false">IF($A13="","",SUM(D13:O13))</f>
        <v>1</v>
      </c>
    </row>
    <row r="14" customFormat="false" ht="15" hidden="false" customHeight="false" outlineLevel="0" collapsed="false">
      <c r="A14" s="16" t="str">
        <f aca="false">IF('TỒN KHO'!C20="","",'TỒN KHO'!C20)</f>
        <v>IL5</v>
      </c>
      <c r="B14" s="16" t="str">
        <f aca="false">IF('TỒN KHO'!C20="","",'TỒN KHO'!E20)</f>
        <v>18L</v>
      </c>
      <c r="C14" s="16" t="str">
        <f aca="false">IF('TỒN KHO'!C20="","",'TỒN KHO'!D20)</f>
        <v>Sơn lót nội thất kháng kiềm Silver IL5</v>
      </c>
      <c r="D14" s="60" t="n">
        <f aca="false">IF($A14="","",SUMIFS('XUẤT KHO'!$E$5:$E$2004,'XUẤT KHO'!$C$5:$C$2004,$A14,'XUẤT KHO'!$D$5:$D$2004,$B14,'XUẤT KHO'!$A$5:$A$2004,"&gt;="&amp;D$4,'XUẤT KHO'!$A$5:$A$2004,"&lt;"&amp;EDATE(D$4,1)))</f>
        <v>12</v>
      </c>
      <c r="E14" s="60" t="n">
        <f aca="false">IF($A14="","",SUMIFS('XUẤT KHO'!$E$5:$E$2004,'XUẤT KHO'!$C$5:$C$2004,$A14,'XUẤT KHO'!$D$5:$D$2004,$B14,'XUẤT KHO'!$A$5:$A$2004,"&gt;="&amp;E$4,'XUẤT KHO'!$A$5:$A$2004,"&lt;"&amp;EDATE(E$4,1)))</f>
        <v>8</v>
      </c>
      <c r="F14" s="60" t="n">
        <f aca="false">IF($A14="","",SUMIFS('XUẤT KHO'!$E$5:$E$2004,'XUẤT KHO'!$C$5:$C$2004,$A14,'XUẤT KHO'!$D$5:$D$2004,$B14,'XUẤT KHO'!$A$5:$A$2004,"&gt;="&amp;F$4,'XUẤT KHO'!$A$5:$A$2004,"&lt;"&amp;EDATE(F$4,1)))</f>
        <v>4</v>
      </c>
      <c r="G14" s="60" t="n">
        <f aca="false">IF($A14="","",SUMIFS('XUẤT KHO'!$E$5:$E$2004,'XUẤT KHO'!$C$5:$C$2004,$A14,'XUẤT KHO'!$D$5:$D$2004,$B14,'XUẤT KHO'!$A$5:$A$2004,"&gt;="&amp;G$4,'XUẤT KHO'!$A$5:$A$2004,"&lt;"&amp;EDATE(G$4,1)))</f>
        <v>8</v>
      </c>
      <c r="H14" s="60" t="n">
        <f aca="false">IF($A14="","",SUMIFS('XUẤT KHO'!$E$5:$E$2004,'XUẤT KHO'!$C$5:$C$2004,$A14,'XUẤT KHO'!$D$5:$D$2004,$B14,'XUẤT KHO'!$A$5:$A$2004,"&gt;="&amp;H$4,'XUẤT KHO'!$A$5:$A$2004,"&lt;"&amp;EDATE(H$4,1)))</f>
        <v>0</v>
      </c>
      <c r="I14" s="60" t="n">
        <f aca="false">IF($A14="","",SUMIFS('XUẤT KHO'!$E$5:$E$2004,'XUẤT KHO'!$C$5:$C$2004,$A14,'XUẤT KHO'!$D$5:$D$2004,$B14,'XUẤT KHO'!$A$5:$A$2004,"&gt;="&amp;I$4,'XUẤT KHO'!$A$5:$A$2004,"&lt;"&amp;EDATE(I$4,1)))</f>
        <v>0</v>
      </c>
      <c r="J14" s="60" t="n">
        <f aca="false">IF($A14="","",SUMIFS('XUẤT KHO'!$E$5:$E$2004,'XUẤT KHO'!$C$5:$C$2004,$A14,'XUẤT KHO'!$D$5:$D$2004,$B14,'XUẤT KHO'!$A$5:$A$2004,"&gt;="&amp;J$4,'XUẤT KHO'!$A$5:$A$2004,"&lt;"&amp;EDATE(J$4,1)))</f>
        <v>0</v>
      </c>
      <c r="K14" s="60" t="n">
        <f aca="false">IF($A14="","",SUMIFS('XUẤT KHO'!$E$5:$E$2004,'XUẤT KHO'!$C$5:$C$2004,$A14,'XUẤT KHO'!$D$5:$D$2004,$B14,'XUẤT KHO'!$A$5:$A$2004,"&gt;="&amp;K$4,'XUẤT KHO'!$A$5:$A$2004,"&lt;"&amp;EDATE(K$4,1)))</f>
        <v>0</v>
      </c>
      <c r="L14" s="60" t="n">
        <f aca="false">IF($A14="","",SUMIFS('XUẤT KHO'!$E$5:$E$2004,'XUẤT KHO'!$C$5:$C$2004,$A14,'XUẤT KHO'!$D$5:$D$2004,$B14,'XUẤT KHO'!$A$5:$A$2004,"&gt;="&amp;L$4,'XUẤT KHO'!$A$5:$A$2004,"&lt;"&amp;EDATE(L$4,1)))</f>
        <v>0</v>
      </c>
      <c r="M14" s="60" t="n">
        <f aca="false">IF($A14="","",SUMIFS('XUẤT KHO'!$E$5:$E$2004,'XUẤT KHO'!$C$5:$C$2004,$A14,'XUẤT KHO'!$D$5:$D$2004,$B14,'XUẤT KHO'!$A$5:$A$2004,"&gt;="&amp;M$4,'XUẤT KHO'!$A$5:$A$2004,"&lt;"&amp;EDATE(M$4,1)))</f>
        <v>0</v>
      </c>
      <c r="N14" s="60" t="n">
        <f aca="false">IF($A14="","",SUMIFS('XUẤT KHO'!$E$5:$E$2004,'XUẤT KHO'!$C$5:$C$2004,$A14,'XUẤT KHO'!$D$5:$D$2004,$B14,'XUẤT KHO'!$A$5:$A$2004,"&gt;="&amp;N$4,'XUẤT KHO'!$A$5:$A$2004,"&lt;"&amp;EDATE(N$4,1)))</f>
        <v>0</v>
      </c>
      <c r="O14" s="60" t="n">
        <f aca="false">IF($A14="","",SUMIFS('XUẤT KHO'!$E$5:$E$2004,'XUẤT KHO'!$C$5:$C$2004,$A14,'XUẤT KHO'!$D$5:$D$2004,$B14,'XUẤT KHO'!$A$5:$A$2004,"&gt;="&amp;O$4,'XUẤT KHO'!$A$5:$A$2004,"&lt;"&amp;EDATE(O$4,1)))</f>
        <v>0</v>
      </c>
      <c r="P14" s="61" t="n">
        <f aca="false">IF($A14="","",SUM(D14:O14))</f>
        <v>32</v>
      </c>
    </row>
    <row r="15" customFormat="false" ht="15" hidden="false" customHeight="false" outlineLevel="0" collapsed="false">
      <c r="A15" s="16" t="str">
        <f aca="false">IF('TỒN KHO'!C21="","",'TỒN KHO'!C21)</f>
        <v>EL5</v>
      </c>
      <c r="B15" s="16" t="str">
        <f aca="false">IF('TỒN KHO'!C21="","",'TỒN KHO'!E21)</f>
        <v>5L</v>
      </c>
      <c r="C15" s="16" t="str">
        <f aca="false">IF('TỒN KHO'!C21="","",'TỒN KHO'!D21)</f>
        <v>Sơn lót ngoại thất kháng kiềm Silver EL5</v>
      </c>
      <c r="D15" s="60" t="n">
        <f aca="false">IF($A15="","",SUMIFS('XUẤT KHO'!$E$5:$E$2004,'XUẤT KHO'!$C$5:$C$2004,$A15,'XUẤT KHO'!$D$5:$D$2004,$B15,'XUẤT KHO'!$A$5:$A$2004,"&gt;="&amp;D$4,'XUẤT KHO'!$A$5:$A$2004,"&lt;"&amp;EDATE(D$4,1)))</f>
        <v>2</v>
      </c>
      <c r="E15" s="60" t="n">
        <f aca="false">IF($A15="","",SUMIFS('XUẤT KHO'!$E$5:$E$2004,'XUẤT KHO'!$C$5:$C$2004,$A15,'XUẤT KHO'!$D$5:$D$2004,$B15,'XUẤT KHO'!$A$5:$A$2004,"&gt;="&amp;E$4,'XUẤT KHO'!$A$5:$A$2004,"&lt;"&amp;EDATE(E$4,1)))</f>
        <v>0</v>
      </c>
      <c r="F15" s="60" t="n">
        <f aca="false">IF($A15="","",SUMIFS('XUẤT KHO'!$E$5:$E$2004,'XUẤT KHO'!$C$5:$C$2004,$A15,'XUẤT KHO'!$D$5:$D$2004,$B15,'XUẤT KHO'!$A$5:$A$2004,"&gt;="&amp;F$4,'XUẤT KHO'!$A$5:$A$2004,"&lt;"&amp;EDATE(F$4,1)))</f>
        <v>0</v>
      </c>
      <c r="G15" s="60" t="n">
        <f aca="false">IF($A15="","",SUMIFS('XUẤT KHO'!$E$5:$E$2004,'XUẤT KHO'!$C$5:$C$2004,$A15,'XUẤT KHO'!$D$5:$D$2004,$B15,'XUẤT KHO'!$A$5:$A$2004,"&gt;="&amp;G$4,'XUẤT KHO'!$A$5:$A$2004,"&lt;"&amp;EDATE(G$4,1)))</f>
        <v>0</v>
      </c>
      <c r="H15" s="60" t="n">
        <f aca="false">IF($A15="","",SUMIFS('XUẤT KHO'!$E$5:$E$2004,'XUẤT KHO'!$C$5:$C$2004,$A15,'XUẤT KHO'!$D$5:$D$2004,$B15,'XUẤT KHO'!$A$5:$A$2004,"&gt;="&amp;H$4,'XUẤT KHO'!$A$5:$A$2004,"&lt;"&amp;EDATE(H$4,1)))</f>
        <v>0</v>
      </c>
      <c r="I15" s="60" t="n">
        <f aca="false">IF($A15="","",SUMIFS('XUẤT KHO'!$E$5:$E$2004,'XUẤT KHO'!$C$5:$C$2004,$A15,'XUẤT KHO'!$D$5:$D$2004,$B15,'XUẤT KHO'!$A$5:$A$2004,"&gt;="&amp;I$4,'XUẤT KHO'!$A$5:$A$2004,"&lt;"&amp;EDATE(I$4,1)))</f>
        <v>0</v>
      </c>
      <c r="J15" s="60" t="n">
        <f aca="false">IF($A15="","",SUMIFS('XUẤT KHO'!$E$5:$E$2004,'XUẤT KHO'!$C$5:$C$2004,$A15,'XUẤT KHO'!$D$5:$D$2004,$B15,'XUẤT KHO'!$A$5:$A$2004,"&gt;="&amp;J$4,'XUẤT KHO'!$A$5:$A$2004,"&lt;"&amp;EDATE(J$4,1)))</f>
        <v>0</v>
      </c>
      <c r="K15" s="60" t="n">
        <f aca="false">IF($A15="","",SUMIFS('XUẤT KHO'!$E$5:$E$2004,'XUẤT KHO'!$C$5:$C$2004,$A15,'XUẤT KHO'!$D$5:$D$2004,$B15,'XUẤT KHO'!$A$5:$A$2004,"&gt;="&amp;K$4,'XUẤT KHO'!$A$5:$A$2004,"&lt;"&amp;EDATE(K$4,1)))</f>
        <v>0</v>
      </c>
      <c r="L15" s="60" t="n">
        <f aca="false">IF($A15="","",SUMIFS('XUẤT KHO'!$E$5:$E$2004,'XUẤT KHO'!$C$5:$C$2004,$A15,'XUẤT KHO'!$D$5:$D$2004,$B15,'XUẤT KHO'!$A$5:$A$2004,"&gt;="&amp;L$4,'XUẤT KHO'!$A$5:$A$2004,"&lt;"&amp;EDATE(L$4,1)))</f>
        <v>0</v>
      </c>
      <c r="M15" s="60" t="n">
        <f aca="false">IF($A15="","",SUMIFS('XUẤT KHO'!$E$5:$E$2004,'XUẤT KHO'!$C$5:$C$2004,$A15,'XUẤT KHO'!$D$5:$D$2004,$B15,'XUẤT KHO'!$A$5:$A$2004,"&gt;="&amp;M$4,'XUẤT KHO'!$A$5:$A$2004,"&lt;"&amp;EDATE(M$4,1)))</f>
        <v>0</v>
      </c>
      <c r="N15" s="60" t="n">
        <f aca="false">IF($A15="","",SUMIFS('XUẤT KHO'!$E$5:$E$2004,'XUẤT KHO'!$C$5:$C$2004,$A15,'XUẤT KHO'!$D$5:$D$2004,$B15,'XUẤT KHO'!$A$5:$A$2004,"&gt;="&amp;N$4,'XUẤT KHO'!$A$5:$A$2004,"&lt;"&amp;EDATE(N$4,1)))</f>
        <v>0</v>
      </c>
      <c r="O15" s="60" t="n">
        <f aca="false">IF($A15="","",SUMIFS('XUẤT KHO'!$E$5:$E$2004,'XUẤT KHO'!$C$5:$C$2004,$A15,'XUẤT KHO'!$D$5:$D$2004,$B15,'XUẤT KHO'!$A$5:$A$2004,"&gt;="&amp;O$4,'XUẤT KHO'!$A$5:$A$2004,"&lt;"&amp;EDATE(O$4,1)))</f>
        <v>0</v>
      </c>
      <c r="P15" s="61" t="n">
        <f aca="false">IF($A15="","",SUM(D15:O15))</f>
        <v>2</v>
      </c>
    </row>
    <row r="16" customFormat="false" ht="15" hidden="false" customHeight="false" outlineLevel="0" collapsed="false">
      <c r="A16" s="16" t="str">
        <f aca="false">IF('TỒN KHO'!C22="","",'TỒN KHO'!C22)</f>
        <v>EL5</v>
      </c>
      <c r="B16" s="16" t="str">
        <f aca="false">IF('TỒN KHO'!C22="","",'TỒN KHO'!E22)</f>
        <v>18L</v>
      </c>
      <c r="C16" s="16" t="str">
        <f aca="false">IF('TỒN KHO'!C22="","",'TỒN KHO'!D22)</f>
        <v>Sơn lót ngoại thất kháng kiềm Silver EL5</v>
      </c>
      <c r="D16" s="60" t="n">
        <f aca="false">IF($A16="","",SUMIFS('XUẤT KHO'!$E$5:$E$2004,'XUẤT KHO'!$C$5:$C$2004,$A16,'XUẤT KHO'!$D$5:$D$2004,$B16,'XUẤT KHO'!$A$5:$A$2004,"&gt;="&amp;D$4,'XUẤT KHO'!$A$5:$A$2004,"&lt;"&amp;EDATE(D$4,1)))</f>
        <v>2</v>
      </c>
      <c r="E16" s="60" t="n">
        <f aca="false">IF($A16="","",SUMIFS('XUẤT KHO'!$E$5:$E$2004,'XUẤT KHO'!$C$5:$C$2004,$A16,'XUẤT KHO'!$D$5:$D$2004,$B16,'XUẤT KHO'!$A$5:$A$2004,"&gt;="&amp;E$4,'XUẤT KHO'!$A$5:$A$2004,"&lt;"&amp;EDATE(E$4,1)))</f>
        <v>4</v>
      </c>
      <c r="F16" s="60" t="n">
        <f aca="false">IF($A16="","",SUMIFS('XUẤT KHO'!$E$5:$E$2004,'XUẤT KHO'!$C$5:$C$2004,$A16,'XUẤT KHO'!$D$5:$D$2004,$B16,'XUẤT KHO'!$A$5:$A$2004,"&gt;="&amp;F$4,'XUẤT KHO'!$A$5:$A$2004,"&lt;"&amp;EDATE(F$4,1)))</f>
        <v>1</v>
      </c>
      <c r="G16" s="60" t="n">
        <f aca="false">IF($A16="","",SUMIFS('XUẤT KHO'!$E$5:$E$2004,'XUẤT KHO'!$C$5:$C$2004,$A16,'XUẤT KHO'!$D$5:$D$2004,$B16,'XUẤT KHO'!$A$5:$A$2004,"&gt;="&amp;G$4,'XUẤT KHO'!$A$5:$A$2004,"&lt;"&amp;EDATE(G$4,1)))</f>
        <v>5</v>
      </c>
      <c r="H16" s="60" t="n">
        <f aca="false">IF($A16="","",SUMIFS('XUẤT KHO'!$E$5:$E$2004,'XUẤT KHO'!$C$5:$C$2004,$A16,'XUẤT KHO'!$D$5:$D$2004,$B16,'XUẤT KHO'!$A$5:$A$2004,"&gt;="&amp;H$4,'XUẤT KHO'!$A$5:$A$2004,"&lt;"&amp;EDATE(H$4,1)))</f>
        <v>0</v>
      </c>
      <c r="I16" s="60" t="n">
        <f aca="false">IF($A16="","",SUMIFS('XUẤT KHO'!$E$5:$E$2004,'XUẤT KHO'!$C$5:$C$2004,$A16,'XUẤT KHO'!$D$5:$D$2004,$B16,'XUẤT KHO'!$A$5:$A$2004,"&gt;="&amp;I$4,'XUẤT KHO'!$A$5:$A$2004,"&lt;"&amp;EDATE(I$4,1)))</f>
        <v>0</v>
      </c>
      <c r="J16" s="60" t="n">
        <f aca="false">IF($A16="","",SUMIFS('XUẤT KHO'!$E$5:$E$2004,'XUẤT KHO'!$C$5:$C$2004,$A16,'XUẤT KHO'!$D$5:$D$2004,$B16,'XUẤT KHO'!$A$5:$A$2004,"&gt;="&amp;J$4,'XUẤT KHO'!$A$5:$A$2004,"&lt;"&amp;EDATE(J$4,1)))</f>
        <v>0</v>
      </c>
      <c r="K16" s="60" t="n">
        <f aca="false">IF($A16="","",SUMIFS('XUẤT KHO'!$E$5:$E$2004,'XUẤT KHO'!$C$5:$C$2004,$A16,'XUẤT KHO'!$D$5:$D$2004,$B16,'XUẤT KHO'!$A$5:$A$2004,"&gt;="&amp;K$4,'XUẤT KHO'!$A$5:$A$2004,"&lt;"&amp;EDATE(K$4,1)))</f>
        <v>0</v>
      </c>
      <c r="L16" s="60" t="n">
        <f aca="false">IF($A16="","",SUMIFS('XUẤT KHO'!$E$5:$E$2004,'XUẤT KHO'!$C$5:$C$2004,$A16,'XUẤT KHO'!$D$5:$D$2004,$B16,'XUẤT KHO'!$A$5:$A$2004,"&gt;="&amp;L$4,'XUẤT KHO'!$A$5:$A$2004,"&lt;"&amp;EDATE(L$4,1)))</f>
        <v>0</v>
      </c>
      <c r="M16" s="60" t="n">
        <f aca="false">IF($A16="","",SUMIFS('XUẤT KHO'!$E$5:$E$2004,'XUẤT KHO'!$C$5:$C$2004,$A16,'XUẤT KHO'!$D$5:$D$2004,$B16,'XUẤT KHO'!$A$5:$A$2004,"&gt;="&amp;M$4,'XUẤT KHO'!$A$5:$A$2004,"&lt;"&amp;EDATE(M$4,1)))</f>
        <v>0</v>
      </c>
      <c r="N16" s="60" t="n">
        <f aca="false">IF($A16="","",SUMIFS('XUẤT KHO'!$E$5:$E$2004,'XUẤT KHO'!$C$5:$C$2004,$A16,'XUẤT KHO'!$D$5:$D$2004,$B16,'XUẤT KHO'!$A$5:$A$2004,"&gt;="&amp;N$4,'XUẤT KHO'!$A$5:$A$2004,"&lt;"&amp;EDATE(N$4,1)))</f>
        <v>0</v>
      </c>
      <c r="O16" s="60" t="n">
        <f aca="false">IF($A16="","",SUMIFS('XUẤT KHO'!$E$5:$E$2004,'XUẤT KHO'!$C$5:$C$2004,$A16,'XUẤT KHO'!$D$5:$D$2004,$B16,'XUẤT KHO'!$A$5:$A$2004,"&gt;="&amp;O$4,'XUẤT KHO'!$A$5:$A$2004,"&lt;"&amp;EDATE(O$4,1)))</f>
        <v>0</v>
      </c>
      <c r="P16" s="61" t="n">
        <f aca="false">IF($A16="","",SUM(D16:O16))</f>
        <v>12</v>
      </c>
    </row>
    <row r="17" customFormat="false" ht="15" hidden="false" customHeight="false" outlineLevel="0" collapsed="false">
      <c r="A17" s="16" t="str">
        <f aca="false">IF('TỒN KHO'!C23="","",'TỒN KHO'!C23)</f>
        <v>IEW</v>
      </c>
      <c r="B17" s="16" t="str">
        <f aca="false">IF('TỒN KHO'!C23="","",'TỒN KHO'!E23)</f>
        <v>5L</v>
      </c>
      <c r="C17" s="16" t="str">
        <f aca="false">IF('TỒN KHO'!C23="","",'TỒN KHO'!D23)</f>
        <v>Sơn nội thất siêu trắng Imperia IEW</v>
      </c>
      <c r="D17" s="60" t="n">
        <f aca="false">IF($A17="","",SUMIFS('XUẤT KHO'!$E$5:$E$2004,'XUẤT KHO'!$C$5:$C$2004,$A17,'XUẤT KHO'!$D$5:$D$2004,$B17,'XUẤT KHO'!$A$5:$A$2004,"&gt;="&amp;D$4,'XUẤT KHO'!$A$5:$A$2004,"&lt;"&amp;EDATE(D$4,1)))</f>
        <v>0</v>
      </c>
      <c r="E17" s="60" t="n">
        <f aca="false">IF($A17="","",SUMIFS('XUẤT KHO'!$E$5:$E$2004,'XUẤT KHO'!$C$5:$C$2004,$A17,'XUẤT KHO'!$D$5:$D$2004,$B17,'XUẤT KHO'!$A$5:$A$2004,"&gt;="&amp;E$4,'XUẤT KHO'!$A$5:$A$2004,"&lt;"&amp;EDATE(E$4,1)))</f>
        <v>3</v>
      </c>
      <c r="F17" s="60" t="n">
        <f aca="false">IF($A17="","",SUMIFS('XUẤT KHO'!$E$5:$E$2004,'XUẤT KHO'!$C$5:$C$2004,$A17,'XUẤT KHO'!$D$5:$D$2004,$B17,'XUẤT KHO'!$A$5:$A$2004,"&gt;="&amp;F$4,'XUẤT KHO'!$A$5:$A$2004,"&lt;"&amp;EDATE(F$4,1)))</f>
        <v>0</v>
      </c>
      <c r="G17" s="60" t="n">
        <f aca="false">IF($A17="","",SUMIFS('XUẤT KHO'!$E$5:$E$2004,'XUẤT KHO'!$C$5:$C$2004,$A17,'XUẤT KHO'!$D$5:$D$2004,$B17,'XUẤT KHO'!$A$5:$A$2004,"&gt;="&amp;G$4,'XUẤT KHO'!$A$5:$A$2004,"&lt;"&amp;EDATE(G$4,1)))</f>
        <v>1</v>
      </c>
      <c r="H17" s="60" t="n">
        <f aca="false">IF($A17="","",SUMIFS('XUẤT KHO'!$E$5:$E$2004,'XUẤT KHO'!$C$5:$C$2004,$A17,'XUẤT KHO'!$D$5:$D$2004,$B17,'XUẤT KHO'!$A$5:$A$2004,"&gt;="&amp;H$4,'XUẤT KHO'!$A$5:$A$2004,"&lt;"&amp;EDATE(H$4,1)))</f>
        <v>0</v>
      </c>
      <c r="I17" s="60" t="n">
        <f aca="false">IF($A17="","",SUMIFS('XUẤT KHO'!$E$5:$E$2004,'XUẤT KHO'!$C$5:$C$2004,$A17,'XUẤT KHO'!$D$5:$D$2004,$B17,'XUẤT KHO'!$A$5:$A$2004,"&gt;="&amp;I$4,'XUẤT KHO'!$A$5:$A$2004,"&lt;"&amp;EDATE(I$4,1)))</f>
        <v>0</v>
      </c>
      <c r="J17" s="60" t="n">
        <f aca="false">IF($A17="","",SUMIFS('XUẤT KHO'!$E$5:$E$2004,'XUẤT KHO'!$C$5:$C$2004,$A17,'XUẤT KHO'!$D$5:$D$2004,$B17,'XUẤT KHO'!$A$5:$A$2004,"&gt;="&amp;J$4,'XUẤT KHO'!$A$5:$A$2004,"&lt;"&amp;EDATE(J$4,1)))</f>
        <v>0</v>
      </c>
      <c r="K17" s="60" t="n">
        <f aca="false">IF($A17="","",SUMIFS('XUẤT KHO'!$E$5:$E$2004,'XUẤT KHO'!$C$5:$C$2004,$A17,'XUẤT KHO'!$D$5:$D$2004,$B17,'XUẤT KHO'!$A$5:$A$2004,"&gt;="&amp;K$4,'XUẤT KHO'!$A$5:$A$2004,"&lt;"&amp;EDATE(K$4,1)))</f>
        <v>0</v>
      </c>
      <c r="L17" s="60" t="n">
        <f aca="false">IF($A17="","",SUMIFS('XUẤT KHO'!$E$5:$E$2004,'XUẤT KHO'!$C$5:$C$2004,$A17,'XUẤT KHO'!$D$5:$D$2004,$B17,'XUẤT KHO'!$A$5:$A$2004,"&gt;="&amp;L$4,'XUẤT KHO'!$A$5:$A$2004,"&lt;"&amp;EDATE(L$4,1)))</f>
        <v>0</v>
      </c>
      <c r="M17" s="60" t="n">
        <f aca="false">IF($A17="","",SUMIFS('XUẤT KHO'!$E$5:$E$2004,'XUẤT KHO'!$C$5:$C$2004,$A17,'XUẤT KHO'!$D$5:$D$2004,$B17,'XUẤT KHO'!$A$5:$A$2004,"&gt;="&amp;M$4,'XUẤT KHO'!$A$5:$A$2004,"&lt;"&amp;EDATE(M$4,1)))</f>
        <v>0</v>
      </c>
      <c r="N17" s="60" t="n">
        <f aca="false">IF($A17="","",SUMIFS('XUẤT KHO'!$E$5:$E$2004,'XUẤT KHO'!$C$5:$C$2004,$A17,'XUẤT KHO'!$D$5:$D$2004,$B17,'XUẤT KHO'!$A$5:$A$2004,"&gt;="&amp;N$4,'XUẤT KHO'!$A$5:$A$2004,"&lt;"&amp;EDATE(N$4,1)))</f>
        <v>0</v>
      </c>
      <c r="O17" s="60" t="n">
        <f aca="false">IF($A17="","",SUMIFS('XUẤT KHO'!$E$5:$E$2004,'XUẤT KHO'!$C$5:$C$2004,$A17,'XUẤT KHO'!$D$5:$D$2004,$B17,'XUẤT KHO'!$A$5:$A$2004,"&gt;="&amp;O$4,'XUẤT KHO'!$A$5:$A$2004,"&lt;"&amp;EDATE(O$4,1)))</f>
        <v>0</v>
      </c>
      <c r="P17" s="61" t="n">
        <f aca="false">IF($A17="","",SUM(D17:O17))</f>
        <v>4</v>
      </c>
    </row>
    <row r="18" customFormat="false" ht="15" hidden="false" customHeight="false" outlineLevel="0" collapsed="false">
      <c r="A18" s="16" t="str">
        <f aca="false">IF('TỒN KHO'!C24="","",'TỒN KHO'!C24)</f>
        <v>IEW</v>
      </c>
      <c r="B18" s="16" t="str">
        <f aca="false">IF('TỒN KHO'!C24="","",'TỒN KHO'!E24)</f>
        <v>18L</v>
      </c>
      <c r="C18" s="16" t="str">
        <f aca="false">IF('TỒN KHO'!C24="","",'TỒN KHO'!D24)</f>
        <v>Sơn nội thất siêu trắng Imperia IEW</v>
      </c>
      <c r="D18" s="60" t="n">
        <f aca="false">IF($A18="","",SUMIFS('XUẤT KHO'!$E$5:$E$2004,'XUẤT KHO'!$C$5:$C$2004,$A18,'XUẤT KHO'!$D$5:$D$2004,$B18,'XUẤT KHO'!$A$5:$A$2004,"&gt;="&amp;D$4,'XUẤT KHO'!$A$5:$A$2004,"&lt;"&amp;EDATE(D$4,1)))</f>
        <v>11</v>
      </c>
      <c r="E18" s="60" t="n">
        <f aca="false">IF($A18="","",SUMIFS('XUẤT KHO'!$E$5:$E$2004,'XUẤT KHO'!$C$5:$C$2004,$A18,'XUẤT KHO'!$D$5:$D$2004,$B18,'XUẤT KHO'!$A$5:$A$2004,"&gt;="&amp;E$4,'XUẤT KHO'!$A$5:$A$2004,"&lt;"&amp;EDATE(E$4,1)))</f>
        <v>2</v>
      </c>
      <c r="F18" s="60" t="n">
        <f aca="false">IF($A18="","",SUMIFS('XUẤT KHO'!$E$5:$E$2004,'XUẤT KHO'!$C$5:$C$2004,$A18,'XUẤT KHO'!$D$5:$D$2004,$B18,'XUẤT KHO'!$A$5:$A$2004,"&gt;="&amp;F$4,'XUẤT KHO'!$A$5:$A$2004,"&lt;"&amp;EDATE(F$4,1)))</f>
        <v>9</v>
      </c>
      <c r="G18" s="60" t="n">
        <f aca="false">IF($A18="","",SUMIFS('XUẤT KHO'!$E$5:$E$2004,'XUẤT KHO'!$C$5:$C$2004,$A18,'XUẤT KHO'!$D$5:$D$2004,$B18,'XUẤT KHO'!$A$5:$A$2004,"&gt;="&amp;G$4,'XUẤT KHO'!$A$5:$A$2004,"&lt;"&amp;EDATE(G$4,1)))</f>
        <v>9</v>
      </c>
      <c r="H18" s="60" t="n">
        <f aca="false">IF($A18="","",SUMIFS('XUẤT KHO'!$E$5:$E$2004,'XUẤT KHO'!$C$5:$C$2004,$A18,'XUẤT KHO'!$D$5:$D$2004,$B18,'XUẤT KHO'!$A$5:$A$2004,"&gt;="&amp;H$4,'XUẤT KHO'!$A$5:$A$2004,"&lt;"&amp;EDATE(H$4,1)))</f>
        <v>0</v>
      </c>
      <c r="I18" s="60" t="n">
        <f aca="false">IF($A18="","",SUMIFS('XUẤT KHO'!$E$5:$E$2004,'XUẤT KHO'!$C$5:$C$2004,$A18,'XUẤT KHO'!$D$5:$D$2004,$B18,'XUẤT KHO'!$A$5:$A$2004,"&gt;="&amp;I$4,'XUẤT KHO'!$A$5:$A$2004,"&lt;"&amp;EDATE(I$4,1)))</f>
        <v>0</v>
      </c>
      <c r="J18" s="60" t="n">
        <f aca="false">IF($A18="","",SUMIFS('XUẤT KHO'!$E$5:$E$2004,'XUẤT KHO'!$C$5:$C$2004,$A18,'XUẤT KHO'!$D$5:$D$2004,$B18,'XUẤT KHO'!$A$5:$A$2004,"&gt;="&amp;J$4,'XUẤT KHO'!$A$5:$A$2004,"&lt;"&amp;EDATE(J$4,1)))</f>
        <v>0</v>
      </c>
      <c r="K18" s="60" t="n">
        <f aca="false">IF($A18="","",SUMIFS('XUẤT KHO'!$E$5:$E$2004,'XUẤT KHO'!$C$5:$C$2004,$A18,'XUẤT KHO'!$D$5:$D$2004,$B18,'XUẤT KHO'!$A$5:$A$2004,"&gt;="&amp;K$4,'XUẤT KHO'!$A$5:$A$2004,"&lt;"&amp;EDATE(K$4,1)))</f>
        <v>0</v>
      </c>
      <c r="L18" s="60" t="n">
        <f aca="false">IF($A18="","",SUMIFS('XUẤT KHO'!$E$5:$E$2004,'XUẤT KHO'!$C$5:$C$2004,$A18,'XUẤT KHO'!$D$5:$D$2004,$B18,'XUẤT KHO'!$A$5:$A$2004,"&gt;="&amp;L$4,'XUẤT KHO'!$A$5:$A$2004,"&lt;"&amp;EDATE(L$4,1)))</f>
        <v>0</v>
      </c>
      <c r="M18" s="60" t="n">
        <f aca="false">IF($A18="","",SUMIFS('XUẤT KHO'!$E$5:$E$2004,'XUẤT KHO'!$C$5:$C$2004,$A18,'XUẤT KHO'!$D$5:$D$2004,$B18,'XUẤT KHO'!$A$5:$A$2004,"&gt;="&amp;M$4,'XUẤT KHO'!$A$5:$A$2004,"&lt;"&amp;EDATE(M$4,1)))</f>
        <v>0</v>
      </c>
      <c r="N18" s="60" t="n">
        <f aca="false">IF($A18="","",SUMIFS('XUẤT KHO'!$E$5:$E$2004,'XUẤT KHO'!$C$5:$C$2004,$A18,'XUẤT KHO'!$D$5:$D$2004,$B18,'XUẤT KHO'!$A$5:$A$2004,"&gt;="&amp;N$4,'XUẤT KHO'!$A$5:$A$2004,"&lt;"&amp;EDATE(N$4,1)))</f>
        <v>0</v>
      </c>
      <c r="O18" s="60" t="n">
        <f aca="false">IF($A18="","",SUMIFS('XUẤT KHO'!$E$5:$E$2004,'XUẤT KHO'!$C$5:$C$2004,$A18,'XUẤT KHO'!$D$5:$D$2004,$B18,'XUẤT KHO'!$A$5:$A$2004,"&gt;="&amp;O$4,'XUẤT KHO'!$A$5:$A$2004,"&lt;"&amp;EDATE(O$4,1)))</f>
        <v>0</v>
      </c>
      <c r="P18" s="61" t="n">
        <f aca="false">IF($A18="","",SUM(D18:O18))</f>
        <v>31</v>
      </c>
    </row>
    <row r="19" customFormat="false" ht="15" hidden="false" customHeight="false" outlineLevel="0" collapsed="false">
      <c r="A19" s="16" t="str">
        <f aca="false">IF('TỒN KHO'!C25="","",'TỒN KHO'!C25)</f>
        <v>ISI</v>
      </c>
      <c r="B19" s="16" t="str">
        <f aca="false">IF('TỒN KHO'!C25="","",'TỒN KHO'!E25)</f>
        <v>5L</v>
      </c>
      <c r="C19" s="16" t="str">
        <f aca="false">IF('TỒN KHO'!C25="","",'TỒN KHO'!D25)</f>
        <v>Sơn nội thất bền màu Silver ISI</v>
      </c>
      <c r="D19" s="60" t="n">
        <f aca="false">IF($A19="","",SUMIFS('XUẤT KHO'!$E$5:$E$2004,'XUẤT KHO'!$C$5:$C$2004,$A19,'XUẤT KHO'!$D$5:$D$2004,$B19,'XUẤT KHO'!$A$5:$A$2004,"&gt;="&amp;D$4,'XUẤT KHO'!$A$5:$A$2004,"&lt;"&amp;EDATE(D$4,1)))</f>
        <v>0</v>
      </c>
      <c r="E19" s="60" t="n">
        <f aca="false">IF($A19="","",SUMIFS('XUẤT KHO'!$E$5:$E$2004,'XUẤT KHO'!$C$5:$C$2004,$A19,'XUẤT KHO'!$D$5:$D$2004,$B19,'XUẤT KHO'!$A$5:$A$2004,"&gt;="&amp;E$4,'XUẤT KHO'!$A$5:$A$2004,"&lt;"&amp;EDATE(E$4,1)))</f>
        <v>0</v>
      </c>
      <c r="F19" s="60" t="n">
        <f aca="false">IF($A19="","",SUMIFS('XUẤT KHO'!$E$5:$E$2004,'XUẤT KHO'!$C$5:$C$2004,$A19,'XUẤT KHO'!$D$5:$D$2004,$B19,'XUẤT KHO'!$A$5:$A$2004,"&gt;="&amp;F$4,'XUẤT KHO'!$A$5:$A$2004,"&lt;"&amp;EDATE(F$4,1)))</f>
        <v>1</v>
      </c>
      <c r="G19" s="60" t="n">
        <f aca="false">IF($A19="","",SUMIFS('XUẤT KHO'!$E$5:$E$2004,'XUẤT KHO'!$C$5:$C$2004,$A19,'XUẤT KHO'!$D$5:$D$2004,$B19,'XUẤT KHO'!$A$5:$A$2004,"&gt;="&amp;G$4,'XUẤT KHO'!$A$5:$A$2004,"&lt;"&amp;EDATE(G$4,1)))</f>
        <v>2</v>
      </c>
      <c r="H19" s="60" t="n">
        <f aca="false">IF($A19="","",SUMIFS('XUẤT KHO'!$E$5:$E$2004,'XUẤT KHO'!$C$5:$C$2004,$A19,'XUẤT KHO'!$D$5:$D$2004,$B19,'XUẤT KHO'!$A$5:$A$2004,"&gt;="&amp;H$4,'XUẤT KHO'!$A$5:$A$2004,"&lt;"&amp;EDATE(H$4,1)))</f>
        <v>0</v>
      </c>
      <c r="I19" s="60" t="n">
        <f aca="false">IF($A19="","",SUMIFS('XUẤT KHO'!$E$5:$E$2004,'XUẤT KHO'!$C$5:$C$2004,$A19,'XUẤT KHO'!$D$5:$D$2004,$B19,'XUẤT KHO'!$A$5:$A$2004,"&gt;="&amp;I$4,'XUẤT KHO'!$A$5:$A$2004,"&lt;"&amp;EDATE(I$4,1)))</f>
        <v>0</v>
      </c>
      <c r="J19" s="60" t="n">
        <f aca="false">IF($A19="","",SUMIFS('XUẤT KHO'!$E$5:$E$2004,'XUẤT KHO'!$C$5:$C$2004,$A19,'XUẤT KHO'!$D$5:$D$2004,$B19,'XUẤT KHO'!$A$5:$A$2004,"&gt;="&amp;J$4,'XUẤT KHO'!$A$5:$A$2004,"&lt;"&amp;EDATE(J$4,1)))</f>
        <v>0</v>
      </c>
      <c r="K19" s="60" t="n">
        <f aca="false">IF($A19="","",SUMIFS('XUẤT KHO'!$E$5:$E$2004,'XUẤT KHO'!$C$5:$C$2004,$A19,'XUẤT KHO'!$D$5:$D$2004,$B19,'XUẤT KHO'!$A$5:$A$2004,"&gt;="&amp;K$4,'XUẤT KHO'!$A$5:$A$2004,"&lt;"&amp;EDATE(K$4,1)))</f>
        <v>0</v>
      </c>
      <c r="L19" s="60" t="n">
        <f aca="false">IF($A19="","",SUMIFS('XUẤT KHO'!$E$5:$E$2004,'XUẤT KHO'!$C$5:$C$2004,$A19,'XUẤT KHO'!$D$5:$D$2004,$B19,'XUẤT KHO'!$A$5:$A$2004,"&gt;="&amp;L$4,'XUẤT KHO'!$A$5:$A$2004,"&lt;"&amp;EDATE(L$4,1)))</f>
        <v>0</v>
      </c>
      <c r="M19" s="60" t="n">
        <f aca="false">IF($A19="","",SUMIFS('XUẤT KHO'!$E$5:$E$2004,'XUẤT KHO'!$C$5:$C$2004,$A19,'XUẤT KHO'!$D$5:$D$2004,$B19,'XUẤT KHO'!$A$5:$A$2004,"&gt;="&amp;M$4,'XUẤT KHO'!$A$5:$A$2004,"&lt;"&amp;EDATE(M$4,1)))</f>
        <v>0</v>
      </c>
      <c r="N19" s="60" t="n">
        <f aca="false">IF($A19="","",SUMIFS('XUẤT KHO'!$E$5:$E$2004,'XUẤT KHO'!$C$5:$C$2004,$A19,'XUẤT KHO'!$D$5:$D$2004,$B19,'XUẤT KHO'!$A$5:$A$2004,"&gt;="&amp;N$4,'XUẤT KHO'!$A$5:$A$2004,"&lt;"&amp;EDATE(N$4,1)))</f>
        <v>0</v>
      </c>
      <c r="O19" s="60" t="n">
        <f aca="false">IF($A19="","",SUMIFS('XUẤT KHO'!$E$5:$E$2004,'XUẤT KHO'!$C$5:$C$2004,$A19,'XUẤT KHO'!$D$5:$D$2004,$B19,'XUẤT KHO'!$A$5:$A$2004,"&gt;="&amp;O$4,'XUẤT KHO'!$A$5:$A$2004,"&lt;"&amp;EDATE(O$4,1)))</f>
        <v>0</v>
      </c>
      <c r="P19" s="61" t="n">
        <f aca="false">IF($A19="","",SUM(D19:O19))</f>
        <v>3</v>
      </c>
    </row>
    <row r="20" customFormat="false" ht="15" hidden="false" customHeight="false" outlineLevel="0" collapsed="false">
      <c r="A20" s="16" t="str">
        <f aca="false">IF('TỒN KHO'!C26="","",'TỒN KHO'!C26)</f>
        <v>ISI</v>
      </c>
      <c r="B20" s="16" t="str">
        <f aca="false">IF('TỒN KHO'!C26="","",'TỒN KHO'!E26)</f>
        <v>18L</v>
      </c>
      <c r="C20" s="16" t="str">
        <f aca="false">IF('TỒN KHO'!C26="","",'TỒN KHO'!D26)</f>
        <v>Sơn nội thất bền màu Silver ISI</v>
      </c>
      <c r="D20" s="60" t="n">
        <f aca="false">IF($A20="","",SUMIFS('XUẤT KHO'!$E$5:$E$2004,'XUẤT KHO'!$C$5:$C$2004,$A20,'XUẤT KHO'!$D$5:$D$2004,$B20,'XUẤT KHO'!$A$5:$A$2004,"&gt;="&amp;D$4,'XUẤT KHO'!$A$5:$A$2004,"&lt;"&amp;EDATE(D$4,1)))</f>
        <v>8</v>
      </c>
      <c r="E20" s="60" t="n">
        <f aca="false">IF($A20="","",SUMIFS('XUẤT KHO'!$E$5:$E$2004,'XUẤT KHO'!$C$5:$C$2004,$A20,'XUẤT KHO'!$D$5:$D$2004,$B20,'XUẤT KHO'!$A$5:$A$2004,"&gt;="&amp;E$4,'XUẤT KHO'!$A$5:$A$2004,"&lt;"&amp;EDATE(E$4,1)))</f>
        <v>3</v>
      </c>
      <c r="F20" s="60" t="n">
        <f aca="false">IF($A20="","",SUMIFS('XUẤT KHO'!$E$5:$E$2004,'XUẤT KHO'!$C$5:$C$2004,$A20,'XUẤT KHO'!$D$5:$D$2004,$B20,'XUẤT KHO'!$A$5:$A$2004,"&gt;="&amp;F$4,'XUẤT KHO'!$A$5:$A$2004,"&lt;"&amp;EDATE(F$4,1)))</f>
        <v>0</v>
      </c>
      <c r="G20" s="60" t="n">
        <f aca="false">IF($A20="","",SUMIFS('XUẤT KHO'!$E$5:$E$2004,'XUẤT KHO'!$C$5:$C$2004,$A20,'XUẤT KHO'!$D$5:$D$2004,$B20,'XUẤT KHO'!$A$5:$A$2004,"&gt;="&amp;G$4,'XUẤT KHO'!$A$5:$A$2004,"&lt;"&amp;EDATE(G$4,1)))</f>
        <v>1</v>
      </c>
      <c r="H20" s="60" t="n">
        <f aca="false">IF($A20="","",SUMIFS('XUẤT KHO'!$E$5:$E$2004,'XUẤT KHO'!$C$5:$C$2004,$A20,'XUẤT KHO'!$D$5:$D$2004,$B20,'XUẤT KHO'!$A$5:$A$2004,"&gt;="&amp;H$4,'XUẤT KHO'!$A$5:$A$2004,"&lt;"&amp;EDATE(H$4,1)))</f>
        <v>0</v>
      </c>
      <c r="I20" s="60" t="n">
        <f aca="false">IF($A20="","",SUMIFS('XUẤT KHO'!$E$5:$E$2004,'XUẤT KHO'!$C$5:$C$2004,$A20,'XUẤT KHO'!$D$5:$D$2004,$B20,'XUẤT KHO'!$A$5:$A$2004,"&gt;="&amp;I$4,'XUẤT KHO'!$A$5:$A$2004,"&lt;"&amp;EDATE(I$4,1)))</f>
        <v>0</v>
      </c>
      <c r="J20" s="60" t="n">
        <f aca="false">IF($A20="","",SUMIFS('XUẤT KHO'!$E$5:$E$2004,'XUẤT KHO'!$C$5:$C$2004,$A20,'XUẤT KHO'!$D$5:$D$2004,$B20,'XUẤT KHO'!$A$5:$A$2004,"&gt;="&amp;J$4,'XUẤT KHO'!$A$5:$A$2004,"&lt;"&amp;EDATE(J$4,1)))</f>
        <v>0</v>
      </c>
      <c r="K20" s="60" t="n">
        <f aca="false">IF($A20="","",SUMIFS('XUẤT KHO'!$E$5:$E$2004,'XUẤT KHO'!$C$5:$C$2004,$A20,'XUẤT KHO'!$D$5:$D$2004,$B20,'XUẤT KHO'!$A$5:$A$2004,"&gt;="&amp;K$4,'XUẤT KHO'!$A$5:$A$2004,"&lt;"&amp;EDATE(K$4,1)))</f>
        <v>0</v>
      </c>
      <c r="L20" s="60" t="n">
        <f aca="false">IF($A20="","",SUMIFS('XUẤT KHO'!$E$5:$E$2004,'XUẤT KHO'!$C$5:$C$2004,$A20,'XUẤT KHO'!$D$5:$D$2004,$B20,'XUẤT KHO'!$A$5:$A$2004,"&gt;="&amp;L$4,'XUẤT KHO'!$A$5:$A$2004,"&lt;"&amp;EDATE(L$4,1)))</f>
        <v>0</v>
      </c>
      <c r="M20" s="60" t="n">
        <f aca="false">IF($A20="","",SUMIFS('XUẤT KHO'!$E$5:$E$2004,'XUẤT KHO'!$C$5:$C$2004,$A20,'XUẤT KHO'!$D$5:$D$2004,$B20,'XUẤT KHO'!$A$5:$A$2004,"&gt;="&amp;M$4,'XUẤT KHO'!$A$5:$A$2004,"&lt;"&amp;EDATE(M$4,1)))</f>
        <v>0</v>
      </c>
      <c r="N20" s="60" t="n">
        <f aca="false">IF($A20="","",SUMIFS('XUẤT KHO'!$E$5:$E$2004,'XUẤT KHO'!$C$5:$C$2004,$A20,'XUẤT KHO'!$D$5:$D$2004,$B20,'XUẤT KHO'!$A$5:$A$2004,"&gt;="&amp;N$4,'XUẤT KHO'!$A$5:$A$2004,"&lt;"&amp;EDATE(N$4,1)))</f>
        <v>0</v>
      </c>
      <c r="O20" s="60" t="n">
        <f aca="false">IF($A20="","",SUMIFS('XUẤT KHO'!$E$5:$E$2004,'XUẤT KHO'!$C$5:$C$2004,$A20,'XUẤT KHO'!$D$5:$D$2004,$B20,'XUẤT KHO'!$A$5:$A$2004,"&gt;="&amp;O$4,'XUẤT KHO'!$A$5:$A$2004,"&lt;"&amp;EDATE(O$4,1)))</f>
        <v>0</v>
      </c>
      <c r="P20" s="61" t="n">
        <f aca="false">IF($A20="","",SUM(D20:O20))</f>
        <v>12</v>
      </c>
    </row>
    <row r="21" customFormat="false" ht="15" hidden="false" customHeight="false" outlineLevel="0" collapsed="false">
      <c r="A21" s="16" t="str">
        <f aca="false">IF('TỒN KHO'!C27="","",'TỒN KHO'!C27)</f>
        <v>ISG06</v>
      </c>
      <c r="B21" s="16" t="str">
        <f aca="false">IF('TỒN KHO'!C27="","",'TỒN KHO'!E27)</f>
        <v>5L</v>
      </c>
      <c r="C21" s="16" t="str">
        <f aca="false">IF('TỒN KHO'!C27="","",'TỒN KHO'!D27)</f>
        <v>Sơn nội thất cao cấp bóng mờ Imperia ISG06</v>
      </c>
      <c r="D21" s="60" t="n">
        <f aca="false">IF($A21="","",SUMIFS('XUẤT KHO'!$E$5:$E$2004,'XUẤT KHO'!$C$5:$C$2004,$A21,'XUẤT KHO'!$D$5:$D$2004,$B21,'XUẤT KHO'!$A$5:$A$2004,"&gt;="&amp;D$4,'XUẤT KHO'!$A$5:$A$2004,"&lt;"&amp;EDATE(D$4,1)))</f>
        <v>13</v>
      </c>
      <c r="E21" s="60" t="n">
        <f aca="false">IF($A21="","",SUMIFS('XUẤT KHO'!$E$5:$E$2004,'XUẤT KHO'!$C$5:$C$2004,$A21,'XUẤT KHO'!$D$5:$D$2004,$B21,'XUẤT KHO'!$A$5:$A$2004,"&gt;="&amp;E$4,'XUẤT KHO'!$A$5:$A$2004,"&lt;"&amp;EDATE(E$4,1)))</f>
        <v>5</v>
      </c>
      <c r="F21" s="60" t="n">
        <f aca="false">IF($A21="","",SUMIFS('XUẤT KHO'!$E$5:$E$2004,'XUẤT KHO'!$C$5:$C$2004,$A21,'XUẤT KHO'!$D$5:$D$2004,$B21,'XUẤT KHO'!$A$5:$A$2004,"&gt;="&amp;F$4,'XUẤT KHO'!$A$5:$A$2004,"&lt;"&amp;EDATE(F$4,1)))</f>
        <v>0</v>
      </c>
      <c r="G21" s="60" t="n">
        <f aca="false">IF($A21="","",SUMIFS('XUẤT KHO'!$E$5:$E$2004,'XUẤT KHO'!$C$5:$C$2004,$A21,'XUẤT KHO'!$D$5:$D$2004,$B21,'XUẤT KHO'!$A$5:$A$2004,"&gt;="&amp;G$4,'XUẤT KHO'!$A$5:$A$2004,"&lt;"&amp;EDATE(G$4,1)))</f>
        <v>5</v>
      </c>
      <c r="H21" s="60" t="n">
        <f aca="false">IF($A21="","",SUMIFS('XUẤT KHO'!$E$5:$E$2004,'XUẤT KHO'!$C$5:$C$2004,$A21,'XUẤT KHO'!$D$5:$D$2004,$B21,'XUẤT KHO'!$A$5:$A$2004,"&gt;="&amp;H$4,'XUẤT KHO'!$A$5:$A$2004,"&lt;"&amp;EDATE(H$4,1)))</f>
        <v>0</v>
      </c>
      <c r="I21" s="60" t="n">
        <f aca="false">IF($A21="","",SUMIFS('XUẤT KHO'!$E$5:$E$2004,'XUẤT KHO'!$C$5:$C$2004,$A21,'XUẤT KHO'!$D$5:$D$2004,$B21,'XUẤT KHO'!$A$5:$A$2004,"&gt;="&amp;I$4,'XUẤT KHO'!$A$5:$A$2004,"&lt;"&amp;EDATE(I$4,1)))</f>
        <v>0</v>
      </c>
      <c r="J21" s="60" t="n">
        <f aca="false">IF($A21="","",SUMIFS('XUẤT KHO'!$E$5:$E$2004,'XUẤT KHO'!$C$5:$C$2004,$A21,'XUẤT KHO'!$D$5:$D$2004,$B21,'XUẤT KHO'!$A$5:$A$2004,"&gt;="&amp;J$4,'XUẤT KHO'!$A$5:$A$2004,"&lt;"&amp;EDATE(J$4,1)))</f>
        <v>0</v>
      </c>
      <c r="K21" s="60" t="n">
        <f aca="false">IF($A21="","",SUMIFS('XUẤT KHO'!$E$5:$E$2004,'XUẤT KHO'!$C$5:$C$2004,$A21,'XUẤT KHO'!$D$5:$D$2004,$B21,'XUẤT KHO'!$A$5:$A$2004,"&gt;="&amp;K$4,'XUẤT KHO'!$A$5:$A$2004,"&lt;"&amp;EDATE(K$4,1)))</f>
        <v>0</v>
      </c>
      <c r="L21" s="60" t="n">
        <f aca="false">IF($A21="","",SUMIFS('XUẤT KHO'!$E$5:$E$2004,'XUẤT KHO'!$C$5:$C$2004,$A21,'XUẤT KHO'!$D$5:$D$2004,$B21,'XUẤT KHO'!$A$5:$A$2004,"&gt;="&amp;L$4,'XUẤT KHO'!$A$5:$A$2004,"&lt;"&amp;EDATE(L$4,1)))</f>
        <v>0</v>
      </c>
      <c r="M21" s="60" t="n">
        <f aca="false">IF($A21="","",SUMIFS('XUẤT KHO'!$E$5:$E$2004,'XUẤT KHO'!$C$5:$C$2004,$A21,'XUẤT KHO'!$D$5:$D$2004,$B21,'XUẤT KHO'!$A$5:$A$2004,"&gt;="&amp;M$4,'XUẤT KHO'!$A$5:$A$2004,"&lt;"&amp;EDATE(M$4,1)))</f>
        <v>0</v>
      </c>
      <c r="N21" s="60" t="n">
        <f aca="false">IF($A21="","",SUMIFS('XUẤT KHO'!$E$5:$E$2004,'XUẤT KHO'!$C$5:$C$2004,$A21,'XUẤT KHO'!$D$5:$D$2004,$B21,'XUẤT KHO'!$A$5:$A$2004,"&gt;="&amp;N$4,'XUẤT KHO'!$A$5:$A$2004,"&lt;"&amp;EDATE(N$4,1)))</f>
        <v>0</v>
      </c>
      <c r="O21" s="60" t="n">
        <f aca="false">IF($A21="","",SUMIFS('XUẤT KHO'!$E$5:$E$2004,'XUẤT KHO'!$C$5:$C$2004,$A21,'XUẤT KHO'!$D$5:$D$2004,$B21,'XUẤT KHO'!$A$5:$A$2004,"&gt;="&amp;O$4,'XUẤT KHO'!$A$5:$A$2004,"&lt;"&amp;EDATE(O$4,1)))</f>
        <v>0</v>
      </c>
      <c r="P21" s="61" t="n">
        <f aca="false">IF($A21="","",SUM(D21:O21))</f>
        <v>23</v>
      </c>
    </row>
    <row r="22" customFormat="false" ht="15" hidden="false" customHeight="false" outlineLevel="0" collapsed="false">
      <c r="A22" s="16" t="str">
        <f aca="false">IF('TỒN KHO'!C28="","",'TỒN KHO'!C28)</f>
        <v>ISG06</v>
      </c>
      <c r="B22" s="16" t="str">
        <f aca="false">IF('TỒN KHO'!C28="","",'TỒN KHO'!E28)</f>
        <v>18L</v>
      </c>
      <c r="C22" s="16" t="str">
        <f aca="false">IF('TỒN KHO'!C28="","",'TỒN KHO'!D28)</f>
        <v>Sơn nội thất cao cấp bóng mờ Imperia ISG06</v>
      </c>
      <c r="D22" s="60" t="n">
        <f aca="false">IF($A22="","",SUMIFS('XUẤT KHO'!$E$5:$E$2004,'XUẤT KHO'!$C$5:$C$2004,$A22,'XUẤT KHO'!$D$5:$D$2004,$B22,'XUẤT KHO'!$A$5:$A$2004,"&gt;="&amp;D$4,'XUẤT KHO'!$A$5:$A$2004,"&lt;"&amp;EDATE(D$4,1)))</f>
        <v>11</v>
      </c>
      <c r="E22" s="60" t="n">
        <f aca="false">IF($A22="","",SUMIFS('XUẤT KHO'!$E$5:$E$2004,'XUẤT KHO'!$C$5:$C$2004,$A22,'XUẤT KHO'!$D$5:$D$2004,$B22,'XUẤT KHO'!$A$5:$A$2004,"&gt;="&amp;E$4,'XUẤT KHO'!$A$5:$A$2004,"&lt;"&amp;EDATE(E$4,1)))</f>
        <v>9</v>
      </c>
      <c r="F22" s="60" t="n">
        <f aca="false">IF($A22="","",SUMIFS('XUẤT KHO'!$E$5:$E$2004,'XUẤT KHO'!$C$5:$C$2004,$A22,'XUẤT KHO'!$D$5:$D$2004,$B22,'XUẤT KHO'!$A$5:$A$2004,"&gt;="&amp;F$4,'XUẤT KHO'!$A$5:$A$2004,"&lt;"&amp;EDATE(F$4,1)))</f>
        <v>0</v>
      </c>
      <c r="G22" s="60" t="n">
        <f aca="false">IF($A22="","",SUMIFS('XUẤT KHO'!$E$5:$E$2004,'XUẤT KHO'!$C$5:$C$2004,$A22,'XUẤT KHO'!$D$5:$D$2004,$B22,'XUẤT KHO'!$A$5:$A$2004,"&gt;="&amp;G$4,'XUẤT KHO'!$A$5:$A$2004,"&lt;"&amp;EDATE(G$4,1)))</f>
        <v>6</v>
      </c>
      <c r="H22" s="60" t="n">
        <f aca="false">IF($A22="","",SUMIFS('XUẤT KHO'!$E$5:$E$2004,'XUẤT KHO'!$C$5:$C$2004,$A22,'XUẤT KHO'!$D$5:$D$2004,$B22,'XUẤT KHO'!$A$5:$A$2004,"&gt;="&amp;H$4,'XUẤT KHO'!$A$5:$A$2004,"&lt;"&amp;EDATE(H$4,1)))</f>
        <v>0</v>
      </c>
      <c r="I22" s="60" t="n">
        <f aca="false">IF($A22="","",SUMIFS('XUẤT KHO'!$E$5:$E$2004,'XUẤT KHO'!$C$5:$C$2004,$A22,'XUẤT KHO'!$D$5:$D$2004,$B22,'XUẤT KHO'!$A$5:$A$2004,"&gt;="&amp;I$4,'XUẤT KHO'!$A$5:$A$2004,"&lt;"&amp;EDATE(I$4,1)))</f>
        <v>0</v>
      </c>
      <c r="J22" s="60" t="n">
        <f aca="false">IF($A22="","",SUMIFS('XUẤT KHO'!$E$5:$E$2004,'XUẤT KHO'!$C$5:$C$2004,$A22,'XUẤT KHO'!$D$5:$D$2004,$B22,'XUẤT KHO'!$A$5:$A$2004,"&gt;="&amp;J$4,'XUẤT KHO'!$A$5:$A$2004,"&lt;"&amp;EDATE(J$4,1)))</f>
        <v>0</v>
      </c>
      <c r="K22" s="60" t="n">
        <f aca="false">IF($A22="","",SUMIFS('XUẤT KHO'!$E$5:$E$2004,'XUẤT KHO'!$C$5:$C$2004,$A22,'XUẤT KHO'!$D$5:$D$2004,$B22,'XUẤT KHO'!$A$5:$A$2004,"&gt;="&amp;K$4,'XUẤT KHO'!$A$5:$A$2004,"&lt;"&amp;EDATE(K$4,1)))</f>
        <v>0</v>
      </c>
      <c r="L22" s="60" t="n">
        <f aca="false">IF($A22="","",SUMIFS('XUẤT KHO'!$E$5:$E$2004,'XUẤT KHO'!$C$5:$C$2004,$A22,'XUẤT KHO'!$D$5:$D$2004,$B22,'XUẤT KHO'!$A$5:$A$2004,"&gt;="&amp;L$4,'XUẤT KHO'!$A$5:$A$2004,"&lt;"&amp;EDATE(L$4,1)))</f>
        <v>0</v>
      </c>
      <c r="M22" s="60" t="n">
        <f aca="false">IF($A22="","",SUMIFS('XUẤT KHO'!$E$5:$E$2004,'XUẤT KHO'!$C$5:$C$2004,$A22,'XUẤT KHO'!$D$5:$D$2004,$B22,'XUẤT KHO'!$A$5:$A$2004,"&gt;="&amp;M$4,'XUẤT KHO'!$A$5:$A$2004,"&lt;"&amp;EDATE(M$4,1)))</f>
        <v>0</v>
      </c>
      <c r="N22" s="60" t="n">
        <f aca="false">IF($A22="","",SUMIFS('XUẤT KHO'!$E$5:$E$2004,'XUẤT KHO'!$C$5:$C$2004,$A22,'XUẤT KHO'!$D$5:$D$2004,$B22,'XUẤT KHO'!$A$5:$A$2004,"&gt;="&amp;N$4,'XUẤT KHO'!$A$5:$A$2004,"&lt;"&amp;EDATE(N$4,1)))</f>
        <v>0</v>
      </c>
      <c r="O22" s="60" t="n">
        <f aca="false">IF($A22="","",SUMIFS('XUẤT KHO'!$E$5:$E$2004,'XUẤT KHO'!$C$5:$C$2004,$A22,'XUẤT KHO'!$D$5:$D$2004,$B22,'XUẤT KHO'!$A$5:$A$2004,"&gt;="&amp;O$4,'XUẤT KHO'!$A$5:$A$2004,"&lt;"&amp;EDATE(O$4,1)))</f>
        <v>0</v>
      </c>
      <c r="P22" s="61" t="n">
        <f aca="false">IF($A22="","",SUM(D22:O22))</f>
        <v>26</v>
      </c>
    </row>
    <row r="23" customFormat="false" ht="15" hidden="false" customHeight="false" outlineLevel="0" collapsed="false">
      <c r="A23" s="16" t="str">
        <f aca="false">IF('TỒN KHO'!C29="","",'TỒN KHO'!C29)</f>
        <v>IG05</v>
      </c>
      <c r="B23" s="16" t="str">
        <f aca="false">IF('TỒN KHO'!C29="","",'TỒN KHO'!E29)</f>
        <v>5L</v>
      </c>
      <c r="C23" s="16" t="str">
        <f aca="false">IF('TỒN KHO'!C29="","",'TỒN KHO'!D29)</f>
        <v>Sơn nội thất siêu bóng cao cấp Imperia IG05</v>
      </c>
      <c r="D23" s="60" t="n">
        <f aca="false">IF($A23="","",SUMIFS('XUẤT KHO'!$E$5:$E$2004,'XUẤT KHO'!$C$5:$C$2004,$A23,'XUẤT KHO'!$D$5:$D$2004,$B23,'XUẤT KHO'!$A$5:$A$2004,"&gt;="&amp;D$4,'XUẤT KHO'!$A$5:$A$2004,"&lt;"&amp;EDATE(D$4,1)))</f>
        <v>9</v>
      </c>
      <c r="E23" s="60" t="n">
        <f aca="false">IF($A23="","",SUMIFS('XUẤT KHO'!$E$5:$E$2004,'XUẤT KHO'!$C$5:$C$2004,$A23,'XUẤT KHO'!$D$5:$D$2004,$B23,'XUẤT KHO'!$A$5:$A$2004,"&gt;="&amp;E$4,'XUẤT KHO'!$A$5:$A$2004,"&lt;"&amp;EDATE(E$4,1)))</f>
        <v>1</v>
      </c>
      <c r="F23" s="60" t="n">
        <f aca="false">IF($A23="","",SUMIFS('XUẤT KHO'!$E$5:$E$2004,'XUẤT KHO'!$C$5:$C$2004,$A23,'XUẤT KHO'!$D$5:$D$2004,$B23,'XUẤT KHO'!$A$5:$A$2004,"&gt;="&amp;F$4,'XUẤT KHO'!$A$5:$A$2004,"&lt;"&amp;EDATE(F$4,1)))</f>
        <v>3</v>
      </c>
      <c r="G23" s="60" t="n">
        <f aca="false">IF($A23="","",SUMIFS('XUẤT KHO'!$E$5:$E$2004,'XUẤT KHO'!$C$5:$C$2004,$A23,'XUẤT KHO'!$D$5:$D$2004,$B23,'XUẤT KHO'!$A$5:$A$2004,"&gt;="&amp;G$4,'XUẤT KHO'!$A$5:$A$2004,"&lt;"&amp;EDATE(G$4,1)))</f>
        <v>1</v>
      </c>
      <c r="H23" s="60" t="n">
        <f aca="false">IF($A23="","",SUMIFS('XUẤT KHO'!$E$5:$E$2004,'XUẤT KHO'!$C$5:$C$2004,$A23,'XUẤT KHO'!$D$5:$D$2004,$B23,'XUẤT KHO'!$A$5:$A$2004,"&gt;="&amp;H$4,'XUẤT KHO'!$A$5:$A$2004,"&lt;"&amp;EDATE(H$4,1)))</f>
        <v>0</v>
      </c>
      <c r="I23" s="60" t="n">
        <f aca="false">IF($A23="","",SUMIFS('XUẤT KHO'!$E$5:$E$2004,'XUẤT KHO'!$C$5:$C$2004,$A23,'XUẤT KHO'!$D$5:$D$2004,$B23,'XUẤT KHO'!$A$5:$A$2004,"&gt;="&amp;I$4,'XUẤT KHO'!$A$5:$A$2004,"&lt;"&amp;EDATE(I$4,1)))</f>
        <v>0</v>
      </c>
      <c r="J23" s="60" t="n">
        <f aca="false">IF($A23="","",SUMIFS('XUẤT KHO'!$E$5:$E$2004,'XUẤT KHO'!$C$5:$C$2004,$A23,'XUẤT KHO'!$D$5:$D$2004,$B23,'XUẤT KHO'!$A$5:$A$2004,"&gt;="&amp;J$4,'XUẤT KHO'!$A$5:$A$2004,"&lt;"&amp;EDATE(J$4,1)))</f>
        <v>0</v>
      </c>
      <c r="K23" s="60" t="n">
        <f aca="false">IF($A23="","",SUMIFS('XUẤT KHO'!$E$5:$E$2004,'XUẤT KHO'!$C$5:$C$2004,$A23,'XUẤT KHO'!$D$5:$D$2004,$B23,'XUẤT KHO'!$A$5:$A$2004,"&gt;="&amp;K$4,'XUẤT KHO'!$A$5:$A$2004,"&lt;"&amp;EDATE(K$4,1)))</f>
        <v>0</v>
      </c>
      <c r="L23" s="60" t="n">
        <f aca="false">IF($A23="","",SUMIFS('XUẤT KHO'!$E$5:$E$2004,'XUẤT KHO'!$C$5:$C$2004,$A23,'XUẤT KHO'!$D$5:$D$2004,$B23,'XUẤT KHO'!$A$5:$A$2004,"&gt;="&amp;L$4,'XUẤT KHO'!$A$5:$A$2004,"&lt;"&amp;EDATE(L$4,1)))</f>
        <v>0</v>
      </c>
      <c r="M23" s="60" t="n">
        <f aca="false">IF($A23="","",SUMIFS('XUẤT KHO'!$E$5:$E$2004,'XUẤT KHO'!$C$5:$C$2004,$A23,'XUẤT KHO'!$D$5:$D$2004,$B23,'XUẤT KHO'!$A$5:$A$2004,"&gt;="&amp;M$4,'XUẤT KHO'!$A$5:$A$2004,"&lt;"&amp;EDATE(M$4,1)))</f>
        <v>0</v>
      </c>
      <c r="N23" s="60" t="n">
        <f aca="false">IF($A23="","",SUMIFS('XUẤT KHO'!$E$5:$E$2004,'XUẤT KHO'!$C$5:$C$2004,$A23,'XUẤT KHO'!$D$5:$D$2004,$B23,'XUẤT KHO'!$A$5:$A$2004,"&gt;="&amp;N$4,'XUẤT KHO'!$A$5:$A$2004,"&lt;"&amp;EDATE(N$4,1)))</f>
        <v>0</v>
      </c>
      <c r="O23" s="60" t="n">
        <f aca="false">IF($A23="","",SUMIFS('XUẤT KHO'!$E$5:$E$2004,'XUẤT KHO'!$C$5:$C$2004,$A23,'XUẤT KHO'!$D$5:$D$2004,$B23,'XUẤT KHO'!$A$5:$A$2004,"&gt;="&amp;O$4,'XUẤT KHO'!$A$5:$A$2004,"&lt;"&amp;EDATE(O$4,1)))</f>
        <v>0</v>
      </c>
      <c r="P23" s="61" t="n">
        <f aca="false">IF($A23="","",SUM(D23:O23))</f>
        <v>14</v>
      </c>
    </row>
    <row r="24" customFormat="false" ht="15" hidden="false" customHeight="false" outlineLevel="0" collapsed="false">
      <c r="A24" s="16" t="str">
        <f aca="false">IF('TỒN KHO'!C30="","",'TỒN KHO'!C30)</f>
        <v>IG05</v>
      </c>
      <c r="B24" s="16" t="str">
        <f aca="false">IF('TỒN KHO'!C30="","",'TỒN KHO'!E30)</f>
        <v>18L</v>
      </c>
      <c r="C24" s="16" t="str">
        <f aca="false">IF('TỒN KHO'!C30="","",'TỒN KHO'!D30)</f>
        <v>Sơn nội thất siêu bóng cao cấp Imperia IG05</v>
      </c>
      <c r="D24" s="60" t="n">
        <f aca="false">IF($A24="","",SUMIFS('XUẤT KHO'!$E$5:$E$2004,'XUẤT KHO'!$C$5:$C$2004,$A24,'XUẤT KHO'!$D$5:$D$2004,$B24,'XUẤT KHO'!$A$5:$A$2004,"&gt;="&amp;D$4,'XUẤT KHO'!$A$5:$A$2004,"&lt;"&amp;EDATE(D$4,1)))</f>
        <v>34</v>
      </c>
      <c r="E24" s="60" t="n">
        <f aca="false">IF($A24="","",SUMIFS('XUẤT KHO'!$E$5:$E$2004,'XUẤT KHO'!$C$5:$C$2004,$A24,'XUẤT KHO'!$D$5:$D$2004,$B24,'XUẤT KHO'!$A$5:$A$2004,"&gt;="&amp;E$4,'XUẤT KHO'!$A$5:$A$2004,"&lt;"&amp;EDATE(E$4,1)))</f>
        <v>19</v>
      </c>
      <c r="F24" s="60" t="n">
        <f aca="false">IF($A24="","",SUMIFS('XUẤT KHO'!$E$5:$E$2004,'XUẤT KHO'!$C$5:$C$2004,$A24,'XUẤT KHO'!$D$5:$D$2004,$B24,'XUẤT KHO'!$A$5:$A$2004,"&gt;="&amp;F$4,'XUẤT KHO'!$A$5:$A$2004,"&lt;"&amp;EDATE(F$4,1)))</f>
        <v>18</v>
      </c>
      <c r="G24" s="60" t="n">
        <f aca="false">IF($A24="","",SUMIFS('XUẤT KHO'!$E$5:$E$2004,'XUẤT KHO'!$C$5:$C$2004,$A24,'XUẤT KHO'!$D$5:$D$2004,$B24,'XUẤT KHO'!$A$5:$A$2004,"&gt;="&amp;G$4,'XUẤT KHO'!$A$5:$A$2004,"&lt;"&amp;EDATE(G$4,1)))</f>
        <v>19</v>
      </c>
      <c r="H24" s="60" t="n">
        <f aca="false">IF($A24="","",SUMIFS('XUẤT KHO'!$E$5:$E$2004,'XUẤT KHO'!$C$5:$C$2004,$A24,'XUẤT KHO'!$D$5:$D$2004,$B24,'XUẤT KHO'!$A$5:$A$2004,"&gt;="&amp;H$4,'XUẤT KHO'!$A$5:$A$2004,"&lt;"&amp;EDATE(H$4,1)))</f>
        <v>0</v>
      </c>
      <c r="I24" s="60" t="n">
        <f aca="false">IF($A24="","",SUMIFS('XUẤT KHO'!$E$5:$E$2004,'XUẤT KHO'!$C$5:$C$2004,$A24,'XUẤT KHO'!$D$5:$D$2004,$B24,'XUẤT KHO'!$A$5:$A$2004,"&gt;="&amp;I$4,'XUẤT KHO'!$A$5:$A$2004,"&lt;"&amp;EDATE(I$4,1)))</f>
        <v>0</v>
      </c>
      <c r="J24" s="60" t="n">
        <f aca="false">IF($A24="","",SUMIFS('XUẤT KHO'!$E$5:$E$2004,'XUẤT KHO'!$C$5:$C$2004,$A24,'XUẤT KHO'!$D$5:$D$2004,$B24,'XUẤT KHO'!$A$5:$A$2004,"&gt;="&amp;J$4,'XUẤT KHO'!$A$5:$A$2004,"&lt;"&amp;EDATE(J$4,1)))</f>
        <v>0</v>
      </c>
      <c r="K24" s="60" t="n">
        <f aca="false">IF($A24="","",SUMIFS('XUẤT KHO'!$E$5:$E$2004,'XUẤT KHO'!$C$5:$C$2004,$A24,'XUẤT KHO'!$D$5:$D$2004,$B24,'XUẤT KHO'!$A$5:$A$2004,"&gt;="&amp;K$4,'XUẤT KHO'!$A$5:$A$2004,"&lt;"&amp;EDATE(K$4,1)))</f>
        <v>0</v>
      </c>
      <c r="L24" s="60" t="n">
        <f aca="false">IF($A24="","",SUMIFS('XUẤT KHO'!$E$5:$E$2004,'XUẤT KHO'!$C$5:$C$2004,$A24,'XUẤT KHO'!$D$5:$D$2004,$B24,'XUẤT KHO'!$A$5:$A$2004,"&gt;="&amp;L$4,'XUẤT KHO'!$A$5:$A$2004,"&lt;"&amp;EDATE(L$4,1)))</f>
        <v>0</v>
      </c>
      <c r="M24" s="60" t="n">
        <f aca="false">IF($A24="","",SUMIFS('XUẤT KHO'!$E$5:$E$2004,'XUẤT KHO'!$C$5:$C$2004,$A24,'XUẤT KHO'!$D$5:$D$2004,$B24,'XUẤT KHO'!$A$5:$A$2004,"&gt;="&amp;M$4,'XUẤT KHO'!$A$5:$A$2004,"&lt;"&amp;EDATE(M$4,1)))</f>
        <v>0</v>
      </c>
      <c r="N24" s="60" t="n">
        <f aca="false">IF($A24="","",SUMIFS('XUẤT KHO'!$E$5:$E$2004,'XUẤT KHO'!$C$5:$C$2004,$A24,'XUẤT KHO'!$D$5:$D$2004,$B24,'XUẤT KHO'!$A$5:$A$2004,"&gt;="&amp;N$4,'XUẤT KHO'!$A$5:$A$2004,"&lt;"&amp;EDATE(N$4,1)))</f>
        <v>0</v>
      </c>
      <c r="O24" s="60" t="n">
        <f aca="false">IF($A24="","",SUMIFS('XUẤT KHO'!$E$5:$E$2004,'XUẤT KHO'!$C$5:$C$2004,$A24,'XUẤT KHO'!$D$5:$D$2004,$B24,'XUẤT KHO'!$A$5:$A$2004,"&gt;="&amp;O$4,'XUẤT KHO'!$A$5:$A$2004,"&lt;"&amp;EDATE(O$4,1)))</f>
        <v>0</v>
      </c>
      <c r="P24" s="61" t="n">
        <f aca="false">IF($A24="","",SUM(D24:O24))</f>
        <v>90</v>
      </c>
    </row>
    <row r="25" customFormat="false" ht="15" hidden="false" customHeight="false" outlineLevel="0" collapsed="false">
      <c r="A25" s="16" t="str">
        <f aca="false">IF('TỒN KHO'!C31="","",'TỒN KHO'!C31)</f>
        <v>I9</v>
      </c>
      <c r="B25" s="16" t="str">
        <f aca="false">IF('TỒN KHO'!C31="","",'TỒN KHO'!E31)</f>
        <v>5L</v>
      </c>
      <c r="C25" s="16" t="str">
        <f aca="false">IF('TỒN KHO'!C31="","",'TỒN KHO'!D31)</f>
        <v>Sơn nội thất siêu bóng cao cấp Saphir I9</v>
      </c>
      <c r="D25" s="60" t="n">
        <f aca="false">IF($A25="","",SUMIFS('XUẤT KHO'!$E$5:$E$2004,'XUẤT KHO'!$C$5:$C$2004,$A25,'XUẤT KHO'!$D$5:$D$2004,$B25,'XUẤT KHO'!$A$5:$A$2004,"&gt;="&amp;D$4,'XUẤT KHO'!$A$5:$A$2004,"&lt;"&amp;EDATE(D$4,1)))</f>
        <v>0</v>
      </c>
      <c r="E25" s="60" t="n">
        <f aca="false">IF($A25="","",SUMIFS('XUẤT KHO'!$E$5:$E$2004,'XUẤT KHO'!$C$5:$C$2004,$A25,'XUẤT KHO'!$D$5:$D$2004,$B25,'XUẤT KHO'!$A$5:$A$2004,"&gt;="&amp;E$4,'XUẤT KHO'!$A$5:$A$2004,"&lt;"&amp;EDATE(E$4,1)))</f>
        <v>1</v>
      </c>
      <c r="F25" s="60" t="n">
        <f aca="false">IF($A25="","",SUMIFS('XUẤT KHO'!$E$5:$E$2004,'XUẤT KHO'!$C$5:$C$2004,$A25,'XUẤT KHO'!$D$5:$D$2004,$B25,'XUẤT KHO'!$A$5:$A$2004,"&gt;="&amp;F$4,'XUẤT KHO'!$A$5:$A$2004,"&lt;"&amp;EDATE(F$4,1)))</f>
        <v>0</v>
      </c>
      <c r="G25" s="60" t="n">
        <f aca="false">IF($A25="","",SUMIFS('XUẤT KHO'!$E$5:$E$2004,'XUẤT KHO'!$C$5:$C$2004,$A25,'XUẤT KHO'!$D$5:$D$2004,$B25,'XUẤT KHO'!$A$5:$A$2004,"&gt;="&amp;G$4,'XUẤT KHO'!$A$5:$A$2004,"&lt;"&amp;EDATE(G$4,1)))</f>
        <v>0</v>
      </c>
      <c r="H25" s="60" t="n">
        <f aca="false">IF($A25="","",SUMIFS('XUẤT KHO'!$E$5:$E$2004,'XUẤT KHO'!$C$5:$C$2004,$A25,'XUẤT KHO'!$D$5:$D$2004,$B25,'XUẤT KHO'!$A$5:$A$2004,"&gt;="&amp;H$4,'XUẤT KHO'!$A$5:$A$2004,"&lt;"&amp;EDATE(H$4,1)))</f>
        <v>0</v>
      </c>
      <c r="I25" s="60" t="n">
        <f aca="false">IF($A25="","",SUMIFS('XUẤT KHO'!$E$5:$E$2004,'XUẤT KHO'!$C$5:$C$2004,$A25,'XUẤT KHO'!$D$5:$D$2004,$B25,'XUẤT KHO'!$A$5:$A$2004,"&gt;="&amp;I$4,'XUẤT KHO'!$A$5:$A$2004,"&lt;"&amp;EDATE(I$4,1)))</f>
        <v>0</v>
      </c>
      <c r="J25" s="60" t="n">
        <f aca="false">IF($A25="","",SUMIFS('XUẤT KHO'!$E$5:$E$2004,'XUẤT KHO'!$C$5:$C$2004,$A25,'XUẤT KHO'!$D$5:$D$2004,$B25,'XUẤT KHO'!$A$5:$A$2004,"&gt;="&amp;J$4,'XUẤT KHO'!$A$5:$A$2004,"&lt;"&amp;EDATE(J$4,1)))</f>
        <v>0</v>
      </c>
      <c r="K25" s="60" t="n">
        <f aca="false">IF($A25="","",SUMIFS('XUẤT KHO'!$E$5:$E$2004,'XUẤT KHO'!$C$5:$C$2004,$A25,'XUẤT KHO'!$D$5:$D$2004,$B25,'XUẤT KHO'!$A$5:$A$2004,"&gt;="&amp;K$4,'XUẤT KHO'!$A$5:$A$2004,"&lt;"&amp;EDATE(K$4,1)))</f>
        <v>0</v>
      </c>
      <c r="L25" s="60" t="n">
        <f aca="false">IF($A25="","",SUMIFS('XUẤT KHO'!$E$5:$E$2004,'XUẤT KHO'!$C$5:$C$2004,$A25,'XUẤT KHO'!$D$5:$D$2004,$B25,'XUẤT KHO'!$A$5:$A$2004,"&gt;="&amp;L$4,'XUẤT KHO'!$A$5:$A$2004,"&lt;"&amp;EDATE(L$4,1)))</f>
        <v>0</v>
      </c>
      <c r="M25" s="60" t="n">
        <f aca="false">IF($A25="","",SUMIFS('XUẤT KHO'!$E$5:$E$2004,'XUẤT KHO'!$C$5:$C$2004,$A25,'XUẤT KHO'!$D$5:$D$2004,$B25,'XUẤT KHO'!$A$5:$A$2004,"&gt;="&amp;M$4,'XUẤT KHO'!$A$5:$A$2004,"&lt;"&amp;EDATE(M$4,1)))</f>
        <v>0</v>
      </c>
      <c r="N25" s="60" t="n">
        <f aca="false">IF($A25="","",SUMIFS('XUẤT KHO'!$E$5:$E$2004,'XUẤT KHO'!$C$5:$C$2004,$A25,'XUẤT KHO'!$D$5:$D$2004,$B25,'XUẤT KHO'!$A$5:$A$2004,"&gt;="&amp;N$4,'XUẤT KHO'!$A$5:$A$2004,"&lt;"&amp;EDATE(N$4,1)))</f>
        <v>0</v>
      </c>
      <c r="O25" s="60" t="n">
        <f aca="false">IF($A25="","",SUMIFS('XUẤT KHO'!$E$5:$E$2004,'XUẤT KHO'!$C$5:$C$2004,$A25,'XUẤT KHO'!$D$5:$D$2004,$B25,'XUẤT KHO'!$A$5:$A$2004,"&gt;="&amp;O$4,'XUẤT KHO'!$A$5:$A$2004,"&lt;"&amp;EDATE(O$4,1)))</f>
        <v>0</v>
      </c>
      <c r="P25" s="61" t="n">
        <f aca="false">IF($A25="","",SUM(D25:O25))</f>
        <v>1</v>
      </c>
    </row>
    <row r="26" customFormat="false" ht="15" hidden="false" customHeight="false" outlineLevel="0" collapsed="false">
      <c r="A26" s="16" t="str">
        <f aca="false">IF('TỒN KHO'!C32="","",'TỒN KHO'!C32)</f>
        <v>I9</v>
      </c>
      <c r="B26" s="16" t="str">
        <f aca="false">IF('TỒN KHO'!C32="","",'TỒN KHO'!E32)</f>
        <v>18L</v>
      </c>
      <c r="C26" s="16" t="str">
        <f aca="false">IF('TỒN KHO'!C32="","",'TỒN KHO'!D32)</f>
        <v>Sơn nội thất siêu bóng cao cấp Saphir I9</v>
      </c>
      <c r="D26" s="60" t="n">
        <f aca="false">IF($A26="","",SUMIFS('XUẤT KHO'!$E$5:$E$2004,'XUẤT KHO'!$C$5:$C$2004,$A26,'XUẤT KHO'!$D$5:$D$2004,$B26,'XUẤT KHO'!$A$5:$A$2004,"&gt;="&amp;D$4,'XUẤT KHO'!$A$5:$A$2004,"&lt;"&amp;EDATE(D$4,1)))</f>
        <v>0</v>
      </c>
      <c r="E26" s="60" t="n">
        <f aca="false">IF($A26="","",SUMIFS('XUẤT KHO'!$E$5:$E$2004,'XUẤT KHO'!$C$5:$C$2004,$A26,'XUẤT KHO'!$D$5:$D$2004,$B26,'XUẤT KHO'!$A$5:$A$2004,"&gt;="&amp;E$4,'XUẤT KHO'!$A$5:$A$2004,"&lt;"&amp;EDATE(E$4,1)))</f>
        <v>0</v>
      </c>
      <c r="F26" s="60" t="n">
        <f aca="false">IF($A26="","",SUMIFS('XUẤT KHO'!$E$5:$E$2004,'XUẤT KHO'!$C$5:$C$2004,$A26,'XUẤT KHO'!$D$5:$D$2004,$B26,'XUẤT KHO'!$A$5:$A$2004,"&gt;="&amp;F$4,'XUẤT KHO'!$A$5:$A$2004,"&lt;"&amp;EDATE(F$4,1)))</f>
        <v>0</v>
      </c>
      <c r="G26" s="60" t="n">
        <f aca="false">IF($A26="","",SUMIFS('XUẤT KHO'!$E$5:$E$2004,'XUẤT KHO'!$C$5:$C$2004,$A26,'XUẤT KHO'!$D$5:$D$2004,$B26,'XUẤT KHO'!$A$5:$A$2004,"&gt;="&amp;G$4,'XUẤT KHO'!$A$5:$A$2004,"&lt;"&amp;EDATE(G$4,1)))</f>
        <v>0</v>
      </c>
      <c r="H26" s="60" t="n">
        <f aca="false">IF($A26="","",SUMIFS('XUẤT KHO'!$E$5:$E$2004,'XUẤT KHO'!$C$5:$C$2004,$A26,'XUẤT KHO'!$D$5:$D$2004,$B26,'XUẤT KHO'!$A$5:$A$2004,"&gt;="&amp;H$4,'XUẤT KHO'!$A$5:$A$2004,"&lt;"&amp;EDATE(H$4,1)))</f>
        <v>0</v>
      </c>
      <c r="I26" s="60" t="n">
        <f aca="false">IF($A26="","",SUMIFS('XUẤT KHO'!$E$5:$E$2004,'XUẤT KHO'!$C$5:$C$2004,$A26,'XUẤT KHO'!$D$5:$D$2004,$B26,'XUẤT KHO'!$A$5:$A$2004,"&gt;="&amp;I$4,'XUẤT KHO'!$A$5:$A$2004,"&lt;"&amp;EDATE(I$4,1)))</f>
        <v>0</v>
      </c>
      <c r="J26" s="60" t="n">
        <f aca="false">IF($A26="","",SUMIFS('XUẤT KHO'!$E$5:$E$2004,'XUẤT KHO'!$C$5:$C$2004,$A26,'XUẤT KHO'!$D$5:$D$2004,$B26,'XUẤT KHO'!$A$5:$A$2004,"&gt;="&amp;J$4,'XUẤT KHO'!$A$5:$A$2004,"&lt;"&amp;EDATE(J$4,1)))</f>
        <v>0</v>
      </c>
      <c r="K26" s="60" t="n">
        <f aca="false">IF($A26="","",SUMIFS('XUẤT KHO'!$E$5:$E$2004,'XUẤT KHO'!$C$5:$C$2004,$A26,'XUẤT KHO'!$D$5:$D$2004,$B26,'XUẤT KHO'!$A$5:$A$2004,"&gt;="&amp;K$4,'XUẤT KHO'!$A$5:$A$2004,"&lt;"&amp;EDATE(K$4,1)))</f>
        <v>0</v>
      </c>
      <c r="L26" s="60" t="n">
        <f aca="false">IF($A26="","",SUMIFS('XUẤT KHO'!$E$5:$E$2004,'XUẤT KHO'!$C$5:$C$2004,$A26,'XUẤT KHO'!$D$5:$D$2004,$B26,'XUẤT KHO'!$A$5:$A$2004,"&gt;="&amp;L$4,'XUẤT KHO'!$A$5:$A$2004,"&lt;"&amp;EDATE(L$4,1)))</f>
        <v>0</v>
      </c>
      <c r="M26" s="60" t="n">
        <f aca="false">IF($A26="","",SUMIFS('XUẤT KHO'!$E$5:$E$2004,'XUẤT KHO'!$C$5:$C$2004,$A26,'XUẤT KHO'!$D$5:$D$2004,$B26,'XUẤT KHO'!$A$5:$A$2004,"&gt;="&amp;M$4,'XUẤT KHO'!$A$5:$A$2004,"&lt;"&amp;EDATE(M$4,1)))</f>
        <v>0</v>
      </c>
      <c r="N26" s="60" t="n">
        <f aca="false">IF($A26="","",SUMIFS('XUẤT KHO'!$E$5:$E$2004,'XUẤT KHO'!$C$5:$C$2004,$A26,'XUẤT KHO'!$D$5:$D$2004,$B26,'XUẤT KHO'!$A$5:$A$2004,"&gt;="&amp;N$4,'XUẤT KHO'!$A$5:$A$2004,"&lt;"&amp;EDATE(N$4,1)))</f>
        <v>0</v>
      </c>
      <c r="O26" s="60" t="n">
        <f aca="false">IF($A26="","",SUMIFS('XUẤT KHO'!$E$5:$E$2004,'XUẤT KHO'!$C$5:$C$2004,$A26,'XUẤT KHO'!$D$5:$D$2004,$B26,'XUẤT KHO'!$A$5:$A$2004,"&gt;="&amp;O$4,'XUẤT KHO'!$A$5:$A$2004,"&lt;"&amp;EDATE(O$4,1)))</f>
        <v>0</v>
      </c>
      <c r="P26" s="61" t="n">
        <f aca="false">IF($A26="","",SUM(D26:O26))</f>
        <v>0</v>
      </c>
    </row>
    <row r="27" customFormat="false" ht="15" hidden="false" customHeight="false" outlineLevel="0" collapsed="false">
      <c r="A27" s="16" t="str">
        <f aca="false">IF('TỒN KHO'!C33="","",'TỒN KHO'!C33)</f>
        <v>IDC</v>
      </c>
      <c r="B27" s="16" t="str">
        <f aca="false">IF('TỒN KHO'!C33="","",'TỒN KHO'!E33)</f>
        <v>18L</v>
      </c>
      <c r="C27" s="16" t="str">
        <f aca="false">IF('TỒN KHO'!C33="","",'TỒN KHO'!D33)</f>
        <v>Sơn nội thất kinh tế Deco IDC</v>
      </c>
      <c r="D27" s="60" t="n">
        <f aca="false">IF($A27="","",SUMIFS('XUẤT KHO'!$E$5:$E$2004,'XUẤT KHO'!$C$5:$C$2004,$A27,'XUẤT KHO'!$D$5:$D$2004,$B27,'XUẤT KHO'!$A$5:$A$2004,"&gt;="&amp;D$4,'XUẤT KHO'!$A$5:$A$2004,"&lt;"&amp;EDATE(D$4,1)))</f>
        <v>5</v>
      </c>
      <c r="E27" s="60" t="n">
        <f aca="false">IF($A27="","",SUMIFS('XUẤT KHO'!$E$5:$E$2004,'XUẤT KHO'!$C$5:$C$2004,$A27,'XUẤT KHO'!$D$5:$D$2004,$B27,'XUẤT KHO'!$A$5:$A$2004,"&gt;="&amp;E$4,'XUẤT KHO'!$A$5:$A$2004,"&lt;"&amp;EDATE(E$4,1)))</f>
        <v>0</v>
      </c>
      <c r="F27" s="60" t="n">
        <f aca="false">IF($A27="","",SUMIFS('XUẤT KHO'!$E$5:$E$2004,'XUẤT KHO'!$C$5:$C$2004,$A27,'XUẤT KHO'!$D$5:$D$2004,$B27,'XUẤT KHO'!$A$5:$A$2004,"&gt;="&amp;F$4,'XUẤT KHO'!$A$5:$A$2004,"&lt;"&amp;EDATE(F$4,1)))</f>
        <v>6</v>
      </c>
      <c r="G27" s="60" t="n">
        <f aca="false">IF($A27="","",SUMIFS('XUẤT KHO'!$E$5:$E$2004,'XUẤT KHO'!$C$5:$C$2004,$A27,'XUẤT KHO'!$D$5:$D$2004,$B27,'XUẤT KHO'!$A$5:$A$2004,"&gt;="&amp;G$4,'XUẤT KHO'!$A$5:$A$2004,"&lt;"&amp;EDATE(G$4,1)))</f>
        <v>0</v>
      </c>
      <c r="H27" s="60" t="n">
        <f aca="false">IF($A27="","",SUMIFS('XUẤT KHO'!$E$5:$E$2004,'XUẤT KHO'!$C$5:$C$2004,$A27,'XUẤT KHO'!$D$5:$D$2004,$B27,'XUẤT KHO'!$A$5:$A$2004,"&gt;="&amp;H$4,'XUẤT KHO'!$A$5:$A$2004,"&lt;"&amp;EDATE(H$4,1)))</f>
        <v>0</v>
      </c>
      <c r="I27" s="60" t="n">
        <f aca="false">IF($A27="","",SUMIFS('XUẤT KHO'!$E$5:$E$2004,'XUẤT KHO'!$C$5:$C$2004,$A27,'XUẤT KHO'!$D$5:$D$2004,$B27,'XUẤT KHO'!$A$5:$A$2004,"&gt;="&amp;I$4,'XUẤT KHO'!$A$5:$A$2004,"&lt;"&amp;EDATE(I$4,1)))</f>
        <v>0</v>
      </c>
      <c r="J27" s="60" t="n">
        <f aca="false">IF($A27="","",SUMIFS('XUẤT KHO'!$E$5:$E$2004,'XUẤT KHO'!$C$5:$C$2004,$A27,'XUẤT KHO'!$D$5:$D$2004,$B27,'XUẤT KHO'!$A$5:$A$2004,"&gt;="&amp;J$4,'XUẤT KHO'!$A$5:$A$2004,"&lt;"&amp;EDATE(J$4,1)))</f>
        <v>0</v>
      </c>
      <c r="K27" s="60" t="n">
        <f aca="false">IF($A27="","",SUMIFS('XUẤT KHO'!$E$5:$E$2004,'XUẤT KHO'!$C$5:$C$2004,$A27,'XUẤT KHO'!$D$5:$D$2004,$B27,'XUẤT KHO'!$A$5:$A$2004,"&gt;="&amp;K$4,'XUẤT KHO'!$A$5:$A$2004,"&lt;"&amp;EDATE(K$4,1)))</f>
        <v>0</v>
      </c>
      <c r="L27" s="60" t="n">
        <f aca="false">IF($A27="","",SUMIFS('XUẤT KHO'!$E$5:$E$2004,'XUẤT KHO'!$C$5:$C$2004,$A27,'XUẤT KHO'!$D$5:$D$2004,$B27,'XUẤT KHO'!$A$5:$A$2004,"&gt;="&amp;L$4,'XUẤT KHO'!$A$5:$A$2004,"&lt;"&amp;EDATE(L$4,1)))</f>
        <v>0</v>
      </c>
      <c r="M27" s="60" t="n">
        <f aca="false">IF($A27="","",SUMIFS('XUẤT KHO'!$E$5:$E$2004,'XUẤT KHO'!$C$5:$C$2004,$A27,'XUẤT KHO'!$D$5:$D$2004,$B27,'XUẤT KHO'!$A$5:$A$2004,"&gt;="&amp;M$4,'XUẤT KHO'!$A$5:$A$2004,"&lt;"&amp;EDATE(M$4,1)))</f>
        <v>0</v>
      </c>
      <c r="N27" s="60" t="n">
        <f aca="false">IF($A27="","",SUMIFS('XUẤT KHO'!$E$5:$E$2004,'XUẤT KHO'!$C$5:$C$2004,$A27,'XUẤT KHO'!$D$5:$D$2004,$B27,'XUẤT KHO'!$A$5:$A$2004,"&gt;="&amp;N$4,'XUẤT KHO'!$A$5:$A$2004,"&lt;"&amp;EDATE(N$4,1)))</f>
        <v>0</v>
      </c>
      <c r="O27" s="60" t="n">
        <f aca="false">IF($A27="","",SUMIFS('XUẤT KHO'!$E$5:$E$2004,'XUẤT KHO'!$C$5:$C$2004,$A27,'XUẤT KHO'!$D$5:$D$2004,$B27,'XUẤT KHO'!$A$5:$A$2004,"&gt;="&amp;O$4,'XUẤT KHO'!$A$5:$A$2004,"&lt;"&amp;EDATE(O$4,1)))</f>
        <v>0</v>
      </c>
      <c r="P27" s="61" t="n">
        <f aca="false">IF($A27="","",SUM(D27:O27))</f>
        <v>11</v>
      </c>
    </row>
    <row r="28" customFormat="false" ht="15" hidden="false" customHeight="false" outlineLevel="0" collapsed="false">
      <c r="A28" s="16" t="str">
        <f aca="false">IF('TỒN KHO'!C34="","",'TỒN KHO'!C34)</f>
        <v>ICL</v>
      </c>
      <c r="B28" s="16" t="str">
        <f aca="false">IF('TỒN KHO'!C34="","",'TỒN KHO'!E34)</f>
        <v>1L</v>
      </c>
      <c r="C28" s="16" t="str">
        <f aca="false">IF('TỒN KHO'!C34="","",'TỒN KHO'!D34)</f>
        <v>Sơn phủ nội thất bóng cao cấp ICL</v>
      </c>
      <c r="D28" s="60" t="n">
        <f aca="false">IF($A28="","",SUMIFS('XUẤT KHO'!$E$5:$E$2004,'XUẤT KHO'!$C$5:$C$2004,$A28,'XUẤT KHO'!$D$5:$D$2004,$B28,'XUẤT KHO'!$A$5:$A$2004,"&gt;="&amp;D$4,'XUẤT KHO'!$A$5:$A$2004,"&lt;"&amp;EDATE(D$4,1)))</f>
        <v>1</v>
      </c>
      <c r="E28" s="60" t="n">
        <f aca="false">IF($A28="","",SUMIFS('XUẤT KHO'!$E$5:$E$2004,'XUẤT KHO'!$C$5:$C$2004,$A28,'XUẤT KHO'!$D$5:$D$2004,$B28,'XUẤT KHO'!$A$5:$A$2004,"&gt;="&amp;E$4,'XUẤT KHO'!$A$5:$A$2004,"&lt;"&amp;EDATE(E$4,1)))</f>
        <v>4</v>
      </c>
      <c r="F28" s="60" t="n">
        <f aca="false">IF($A28="","",SUMIFS('XUẤT KHO'!$E$5:$E$2004,'XUẤT KHO'!$C$5:$C$2004,$A28,'XUẤT KHO'!$D$5:$D$2004,$B28,'XUẤT KHO'!$A$5:$A$2004,"&gt;="&amp;F$4,'XUẤT KHO'!$A$5:$A$2004,"&lt;"&amp;EDATE(F$4,1)))</f>
        <v>0</v>
      </c>
      <c r="G28" s="60" t="n">
        <f aca="false">IF($A28="","",SUMIFS('XUẤT KHO'!$E$5:$E$2004,'XUẤT KHO'!$C$5:$C$2004,$A28,'XUẤT KHO'!$D$5:$D$2004,$B28,'XUẤT KHO'!$A$5:$A$2004,"&gt;="&amp;G$4,'XUẤT KHO'!$A$5:$A$2004,"&lt;"&amp;EDATE(G$4,1)))</f>
        <v>0</v>
      </c>
      <c r="H28" s="60" t="n">
        <f aca="false">IF($A28="","",SUMIFS('XUẤT KHO'!$E$5:$E$2004,'XUẤT KHO'!$C$5:$C$2004,$A28,'XUẤT KHO'!$D$5:$D$2004,$B28,'XUẤT KHO'!$A$5:$A$2004,"&gt;="&amp;H$4,'XUẤT KHO'!$A$5:$A$2004,"&lt;"&amp;EDATE(H$4,1)))</f>
        <v>0</v>
      </c>
      <c r="I28" s="60" t="n">
        <f aca="false">IF($A28="","",SUMIFS('XUẤT KHO'!$E$5:$E$2004,'XUẤT KHO'!$C$5:$C$2004,$A28,'XUẤT KHO'!$D$5:$D$2004,$B28,'XUẤT KHO'!$A$5:$A$2004,"&gt;="&amp;I$4,'XUẤT KHO'!$A$5:$A$2004,"&lt;"&amp;EDATE(I$4,1)))</f>
        <v>0</v>
      </c>
      <c r="J28" s="60" t="n">
        <f aca="false">IF($A28="","",SUMIFS('XUẤT KHO'!$E$5:$E$2004,'XUẤT KHO'!$C$5:$C$2004,$A28,'XUẤT KHO'!$D$5:$D$2004,$B28,'XUẤT KHO'!$A$5:$A$2004,"&gt;="&amp;J$4,'XUẤT KHO'!$A$5:$A$2004,"&lt;"&amp;EDATE(J$4,1)))</f>
        <v>0</v>
      </c>
      <c r="K28" s="60" t="n">
        <f aca="false">IF($A28="","",SUMIFS('XUẤT KHO'!$E$5:$E$2004,'XUẤT KHO'!$C$5:$C$2004,$A28,'XUẤT KHO'!$D$5:$D$2004,$B28,'XUẤT KHO'!$A$5:$A$2004,"&gt;="&amp;K$4,'XUẤT KHO'!$A$5:$A$2004,"&lt;"&amp;EDATE(K$4,1)))</f>
        <v>0</v>
      </c>
      <c r="L28" s="60" t="n">
        <f aca="false">IF($A28="","",SUMIFS('XUẤT KHO'!$E$5:$E$2004,'XUẤT KHO'!$C$5:$C$2004,$A28,'XUẤT KHO'!$D$5:$D$2004,$B28,'XUẤT KHO'!$A$5:$A$2004,"&gt;="&amp;L$4,'XUẤT KHO'!$A$5:$A$2004,"&lt;"&amp;EDATE(L$4,1)))</f>
        <v>0</v>
      </c>
      <c r="M28" s="60" t="n">
        <f aca="false">IF($A28="","",SUMIFS('XUẤT KHO'!$E$5:$E$2004,'XUẤT KHO'!$C$5:$C$2004,$A28,'XUẤT KHO'!$D$5:$D$2004,$B28,'XUẤT KHO'!$A$5:$A$2004,"&gt;="&amp;M$4,'XUẤT KHO'!$A$5:$A$2004,"&lt;"&amp;EDATE(M$4,1)))</f>
        <v>0</v>
      </c>
      <c r="N28" s="60" t="n">
        <f aca="false">IF($A28="","",SUMIFS('XUẤT KHO'!$E$5:$E$2004,'XUẤT KHO'!$C$5:$C$2004,$A28,'XUẤT KHO'!$D$5:$D$2004,$B28,'XUẤT KHO'!$A$5:$A$2004,"&gt;="&amp;N$4,'XUẤT KHO'!$A$5:$A$2004,"&lt;"&amp;EDATE(N$4,1)))</f>
        <v>0</v>
      </c>
      <c r="O28" s="60" t="n">
        <f aca="false">IF($A28="","",SUMIFS('XUẤT KHO'!$E$5:$E$2004,'XUẤT KHO'!$C$5:$C$2004,$A28,'XUẤT KHO'!$D$5:$D$2004,$B28,'XUẤT KHO'!$A$5:$A$2004,"&gt;="&amp;O$4,'XUẤT KHO'!$A$5:$A$2004,"&lt;"&amp;EDATE(O$4,1)))</f>
        <v>0</v>
      </c>
      <c r="P28" s="61" t="n">
        <f aca="false">IF($A28="","",SUM(D28:O28))</f>
        <v>5</v>
      </c>
    </row>
    <row r="29" customFormat="false" ht="15" hidden="false" customHeight="false" outlineLevel="0" collapsed="false">
      <c r="A29" s="16" t="str">
        <f aca="false">IF('TỒN KHO'!C35="","",'TỒN KHO'!C35)</f>
        <v>ESI</v>
      </c>
      <c r="B29" s="16" t="str">
        <f aca="false">IF('TỒN KHO'!C35="","",'TỒN KHO'!E35)</f>
        <v>5L</v>
      </c>
      <c r="C29" s="16" t="str">
        <f aca="false">IF('TỒN KHO'!C35="","",'TỒN KHO'!D35)</f>
        <v>Sơn ngoại thất bền màu Silver ESI</v>
      </c>
      <c r="D29" s="60" t="n">
        <f aca="false">IF($A29="","",SUMIFS('XUẤT KHO'!$E$5:$E$2004,'XUẤT KHO'!$C$5:$C$2004,$A29,'XUẤT KHO'!$D$5:$D$2004,$B29,'XUẤT KHO'!$A$5:$A$2004,"&gt;="&amp;D$4,'XUẤT KHO'!$A$5:$A$2004,"&lt;"&amp;EDATE(D$4,1)))</f>
        <v>0</v>
      </c>
      <c r="E29" s="60" t="n">
        <f aca="false">IF($A29="","",SUMIFS('XUẤT KHO'!$E$5:$E$2004,'XUẤT KHO'!$C$5:$C$2004,$A29,'XUẤT KHO'!$D$5:$D$2004,$B29,'XUẤT KHO'!$A$5:$A$2004,"&gt;="&amp;E$4,'XUẤT KHO'!$A$5:$A$2004,"&lt;"&amp;EDATE(E$4,1)))</f>
        <v>0</v>
      </c>
      <c r="F29" s="60" t="n">
        <f aca="false">IF($A29="","",SUMIFS('XUẤT KHO'!$E$5:$E$2004,'XUẤT KHO'!$C$5:$C$2004,$A29,'XUẤT KHO'!$D$5:$D$2004,$B29,'XUẤT KHO'!$A$5:$A$2004,"&gt;="&amp;F$4,'XUẤT KHO'!$A$5:$A$2004,"&lt;"&amp;EDATE(F$4,1)))</f>
        <v>0</v>
      </c>
      <c r="G29" s="60" t="n">
        <f aca="false">IF($A29="","",SUMIFS('XUẤT KHO'!$E$5:$E$2004,'XUẤT KHO'!$C$5:$C$2004,$A29,'XUẤT KHO'!$D$5:$D$2004,$B29,'XUẤT KHO'!$A$5:$A$2004,"&gt;="&amp;G$4,'XUẤT KHO'!$A$5:$A$2004,"&lt;"&amp;EDATE(G$4,1)))</f>
        <v>0</v>
      </c>
      <c r="H29" s="60" t="n">
        <f aca="false">IF($A29="","",SUMIFS('XUẤT KHO'!$E$5:$E$2004,'XUẤT KHO'!$C$5:$C$2004,$A29,'XUẤT KHO'!$D$5:$D$2004,$B29,'XUẤT KHO'!$A$5:$A$2004,"&gt;="&amp;H$4,'XUẤT KHO'!$A$5:$A$2004,"&lt;"&amp;EDATE(H$4,1)))</f>
        <v>0</v>
      </c>
      <c r="I29" s="60" t="n">
        <f aca="false">IF($A29="","",SUMIFS('XUẤT KHO'!$E$5:$E$2004,'XUẤT KHO'!$C$5:$C$2004,$A29,'XUẤT KHO'!$D$5:$D$2004,$B29,'XUẤT KHO'!$A$5:$A$2004,"&gt;="&amp;I$4,'XUẤT KHO'!$A$5:$A$2004,"&lt;"&amp;EDATE(I$4,1)))</f>
        <v>0</v>
      </c>
      <c r="J29" s="60" t="n">
        <f aca="false">IF($A29="","",SUMIFS('XUẤT KHO'!$E$5:$E$2004,'XUẤT KHO'!$C$5:$C$2004,$A29,'XUẤT KHO'!$D$5:$D$2004,$B29,'XUẤT KHO'!$A$5:$A$2004,"&gt;="&amp;J$4,'XUẤT KHO'!$A$5:$A$2004,"&lt;"&amp;EDATE(J$4,1)))</f>
        <v>0</v>
      </c>
      <c r="K29" s="60" t="n">
        <f aca="false">IF($A29="","",SUMIFS('XUẤT KHO'!$E$5:$E$2004,'XUẤT KHO'!$C$5:$C$2004,$A29,'XUẤT KHO'!$D$5:$D$2004,$B29,'XUẤT KHO'!$A$5:$A$2004,"&gt;="&amp;K$4,'XUẤT KHO'!$A$5:$A$2004,"&lt;"&amp;EDATE(K$4,1)))</f>
        <v>0</v>
      </c>
      <c r="L29" s="60" t="n">
        <f aca="false">IF($A29="","",SUMIFS('XUẤT KHO'!$E$5:$E$2004,'XUẤT KHO'!$C$5:$C$2004,$A29,'XUẤT KHO'!$D$5:$D$2004,$B29,'XUẤT KHO'!$A$5:$A$2004,"&gt;="&amp;L$4,'XUẤT KHO'!$A$5:$A$2004,"&lt;"&amp;EDATE(L$4,1)))</f>
        <v>0</v>
      </c>
      <c r="M29" s="60" t="n">
        <f aca="false">IF($A29="","",SUMIFS('XUẤT KHO'!$E$5:$E$2004,'XUẤT KHO'!$C$5:$C$2004,$A29,'XUẤT KHO'!$D$5:$D$2004,$B29,'XUẤT KHO'!$A$5:$A$2004,"&gt;="&amp;M$4,'XUẤT KHO'!$A$5:$A$2004,"&lt;"&amp;EDATE(M$4,1)))</f>
        <v>0</v>
      </c>
      <c r="N29" s="60" t="n">
        <f aca="false">IF($A29="","",SUMIFS('XUẤT KHO'!$E$5:$E$2004,'XUẤT KHO'!$C$5:$C$2004,$A29,'XUẤT KHO'!$D$5:$D$2004,$B29,'XUẤT KHO'!$A$5:$A$2004,"&gt;="&amp;N$4,'XUẤT KHO'!$A$5:$A$2004,"&lt;"&amp;EDATE(N$4,1)))</f>
        <v>0</v>
      </c>
      <c r="O29" s="60" t="n">
        <f aca="false">IF($A29="","",SUMIFS('XUẤT KHO'!$E$5:$E$2004,'XUẤT KHO'!$C$5:$C$2004,$A29,'XUẤT KHO'!$D$5:$D$2004,$B29,'XUẤT KHO'!$A$5:$A$2004,"&gt;="&amp;O$4,'XUẤT KHO'!$A$5:$A$2004,"&lt;"&amp;EDATE(O$4,1)))</f>
        <v>0</v>
      </c>
      <c r="P29" s="61" t="n">
        <f aca="false">IF($A29="","",SUM(D29:O29))</f>
        <v>0</v>
      </c>
    </row>
    <row r="30" customFormat="false" ht="15" hidden="false" customHeight="false" outlineLevel="0" collapsed="false">
      <c r="A30" s="16" t="str">
        <f aca="false">IF('TỒN KHO'!C36="","",'TỒN KHO'!C36)</f>
        <v>ESI</v>
      </c>
      <c r="B30" s="16" t="str">
        <f aca="false">IF('TỒN KHO'!C36="","",'TỒN KHO'!E36)</f>
        <v>18L</v>
      </c>
      <c r="C30" s="16" t="str">
        <f aca="false">IF('TỒN KHO'!C36="","",'TỒN KHO'!D36)</f>
        <v>Sơn ngoại thất bền màu Silver ESI</v>
      </c>
      <c r="D30" s="60" t="n">
        <f aca="false">IF($A30="","",SUMIFS('XUẤT KHO'!$E$5:$E$2004,'XUẤT KHO'!$C$5:$C$2004,$A30,'XUẤT KHO'!$D$5:$D$2004,$B30,'XUẤT KHO'!$A$5:$A$2004,"&gt;="&amp;D$4,'XUẤT KHO'!$A$5:$A$2004,"&lt;"&amp;EDATE(D$4,1)))</f>
        <v>1</v>
      </c>
      <c r="E30" s="60" t="n">
        <f aca="false">IF($A30="","",SUMIFS('XUẤT KHO'!$E$5:$E$2004,'XUẤT KHO'!$C$5:$C$2004,$A30,'XUẤT KHO'!$D$5:$D$2004,$B30,'XUẤT KHO'!$A$5:$A$2004,"&gt;="&amp;E$4,'XUẤT KHO'!$A$5:$A$2004,"&lt;"&amp;EDATE(E$4,1)))</f>
        <v>4</v>
      </c>
      <c r="F30" s="60" t="n">
        <f aca="false">IF($A30="","",SUMIFS('XUẤT KHO'!$E$5:$E$2004,'XUẤT KHO'!$C$5:$C$2004,$A30,'XUẤT KHO'!$D$5:$D$2004,$B30,'XUẤT KHO'!$A$5:$A$2004,"&gt;="&amp;F$4,'XUẤT KHO'!$A$5:$A$2004,"&lt;"&amp;EDATE(F$4,1)))</f>
        <v>0</v>
      </c>
      <c r="G30" s="60" t="n">
        <f aca="false">IF($A30="","",SUMIFS('XUẤT KHO'!$E$5:$E$2004,'XUẤT KHO'!$C$5:$C$2004,$A30,'XUẤT KHO'!$D$5:$D$2004,$B30,'XUẤT KHO'!$A$5:$A$2004,"&gt;="&amp;G$4,'XUẤT KHO'!$A$5:$A$2004,"&lt;"&amp;EDATE(G$4,1)))</f>
        <v>0</v>
      </c>
      <c r="H30" s="60" t="n">
        <f aca="false">IF($A30="","",SUMIFS('XUẤT KHO'!$E$5:$E$2004,'XUẤT KHO'!$C$5:$C$2004,$A30,'XUẤT KHO'!$D$5:$D$2004,$B30,'XUẤT KHO'!$A$5:$A$2004,"&gt;="&amp;H$4,'XUẤT KHO'!$A$5:$A$2004,"&lt;"&amp;EDATE(H$4,1)))</f>
        <v>0</v>
      </c>
      <c r="I30" s="60" t="n">
        <f aca="false">IF($A30="","",SUMIFS('XUẤT KHO'!$E$5:$E$2004,'XUẤT KHO'!$C$5:$C$2004,$A30,'XUẤT KHO'!$D$5:$D$2004,$B30,'XUẤT KHO'!$A$5:$A$2004,"&gt;="&amp;I$4,'XUẤT KHO'!$A$5:$A$2004,"&lt;"&amp;EDATE(I$4,1)))</f>
        <v>0</v>
      </c>
      <c r="J30" s="60" t="n">
        <f aca="false">IF($A30="","",SUMIFS('XUẤT KHO'!$E$5:$E$2004,'XUẤT KHO'!$C$5:$C$2004,$A30,'XUẤT KHO'!$D$5:$D$2004,$B30,'XUẤT KHO'!$A$5:$A$2004,"&gt;="&amp;J$4,'XUẤT KHO'!$A$5:$A$2004,"&lt;"&amp;EDATE(J$4,1)))</f>
        <v>0</v>
      </c>
      <c r="K30" s="60" t="n">
        <f aca="false">IF($A30="","",SUMIFS('XUẤT KHO'!$E$5:$E$2004,'XUẤT KHO'!$C$5:$C$2004,$A30,'XUẤT KHO'!$D$5:$D$2004,$B30,'XUẤT KHO'!$A$5:$A$2004,"&gt;="&amp;K$4,'XUẤT KHO'!$A$5:$A$2004,"&lt;"&amp;EDATE(K$4,1)))</f>
        <v>0</v>
      </c>
      <c r="L30" s="60" t="n">
        <f aca="false">IF($A30="","",SUMIFS('XUẤT KHO'!$E$5:$E$2004,'XUẤT KHO'!$C$5:$C$2004,$A30,'XUẤT KHO'!$D$5:$D$2004,$B30,'XUẤT KHO'!$A$5:$A$2004,"&gt;="&amp;L$4,'XUẤT KHO'!$A$5:$A$2004,"&lt;"&amp;EDATE(L$4,1)))</f>
        <v>0</v>
      </c>
      <c r="M30" s="60" t="n">
        <f aca="false">IF($A30="","",SUMIFS('XUẤT KHO'!$E$5:$E$2004,'XUẤT KHO'!$C$5:$C$2004,$A30,'XUẤT KHO'!$D$5:$D$2004,$B30,'XUẤT KHO'!$A$5:$A$2004,"&gt;="&amp;M$4,'XUẤT KHO'!$A$5:$A$2004,"&lt;"&amp;EDATE(M$4,1)))</f>
        <v>0</v>
      </c>
      <c r="N30" s="60" t="n">
        <f aca="false">IF($A30="","",SUMIFS('XUẤT KHO'!$E$5:$E$2004,'XUẤT KHO'!$C$5:$C$2004,$A30,'XUẤT KHO'!$D$5:$D$2004,$B30,'XUẤT KHO'!$A$5:$A$2004,"&gt;="&amp;N$4,'XUẤT KHO'!$A$5:$A$2004,"&lt;"&amp;EDATE(N$4,1)))</f>
        <v>0</v>
      </c>
      <c r="O30" s="60" t="n">
        <f aca="false">IF($A30="","",SUMIFS('XUẤT KHO'!$E$5:$E$2004,'XUẤT KHO'!$C$5:$C$2004,$A30,'XUẤT KHO'!$D$5:$D$2004,$B30,'XUẤT KHO'!$A$5:$A$2004,"&gt;="&amp;O$4,'XUẤT KHO'!$A$5:$A$2004,"&lt;"&amp;EDATE(O$4,1)))</f>
        <v>0</v>
      </c>
      <c r="P30" s="61" t="n">
        <f aca="false">IF($A30="","",SUM(D30:O30))</f>
        <v>5</v>
      </c>
    </row>
    <row r="31" customFormat="false" ht="15" hidden="false" customHeight="false" outlineLevel="0" collapsed="false">
      <c r="A31" s="16" t="str">
        <f aca="false">IF('TỒN KHO'!C37="","",'TỒN KHO'!C37)</f>
        <v>ESG10</v>
      </c>
      <c r="B31" s="16" t="str">
        <f aca="false">IF('TỒN KHO'!C37="","",'TỒN KHO'!E37)</f>
        <v>1L</v>
      </c>
      <c r="C31" s="16" t="str">
        <f aca="false">IF('TỒN KHO'!C37="","",'TỒN KHO'!D37)</f>
        <v>Sơn ngoại thất cao cấp bóng mờ Imperia ESG10</v>
      </c>
      <c r="D31" s="60" t="n">
        <f aca="false">IF($A31="","",SUMIFS('XUẤT KHO'!$E$5:$E$2004,'XUẤT KHO'!$C$5:$C$2004,$A31,'XUẤT KHO'!$D$5:$D$2004,$B31,'XUẤT KHO'!$A$5:$A$2004,"&gt;="&amp;D$4,'XUẤT KHO'!$A$5:$A$2004,"&lt;"&amp;EDATE(D$4,1)))</f>
        <v>1</v>
      </c>
      <c r="E31" s="60" t="n">
        <f aca="false">IF($A31="","",SUMIFS('XUẤT KHO'!$E$5:$E$2004,'XUẤT KHO'!$C$5:$C$2004,$A31,'XUẤT KHO'!$D$5:$D$2004,$B31,'XUẤT KHO'!$A$5:$A$2004,"&gt;="&amp;E$4,'XUẤT KHO'!$A$5:$A$2004,"&lt;"&amp;EDATE(E$4,1)))</f>
        <v>1</v>
      </c>
      <c r="F31" s="60" t="n">
        <f aca="false">IF($A31="","",SUMIFS('XUẤT KHO'!$E$5:$E$2004,'XUẤT KHO'!$C$5:$C$2004,$A31,'XUẤT KHO'!$D$5:$D$2004,$B31,'XUẤT KHO'!$A$5:$A$2004,"&gt;="&amp;F$4,'XUẤT KHO'!$A$5:$A$2004,"&lt;"&amp;EDATE(F$4,1)))</f>
        <v>0</v>
      </c>
      <c r="G31" s="60" t="n">
        <f aca="false">IF($A31="","",SUMIFS('XUẤT KHO'!$E$5:$E$2004,'XUẤT KHO'!$C$5:$C$2004,$A31,'XUẤT KHO'!$D$5:$D$2004,$B31,'XUẤT KHO'!$A$5:$A$2004,"&gt;="&amp;G$4,'XUẤT KHO'!$A$5:$A$2004,"&lt;"&amp;EDATE(G$4,1)))</f>
        <v>4</v>
      </c>
      <c r="H31" s="60" t="n">
        <f aca="false">IF($A31="","",SUMIFS('XUẤT KHO'!$E$5:$E$2004,'XUẤT KHO'!$C$5:$C$2004,$A31,'XUẤT KHO'!$D$5:$D$2004,$B31,'XUẤT KHO'!$A$5:$A$2004,"&gt;="&amp;H$4,'XUẤT KHO'!$A$5:$A$2004,"&lt;"&amp;EDATE(H$4,1)))</f>
        <v>0</v>
      </c>
      <c r="I31" s="60" t="n">
        <f aca="false">IF($A31="","",SUMIFS('XUẤT KHO'!$E$5:$E$2004,'XUẤT KHO'!$C$5:$C$2004,$A31,'XUẤT KHO'!$D$5:$D$2004,$B31,'XUẤT KHO'!$A$5:$A$2004,"&gt;="&amp;I$4,'XUẤT KHO'!$A$5:$A$2004,"&lt;"&amp;EDATE(I$4,1)))</f>
        <v>0</v>
      </c>
      <c r="J31" s="60" t="n">
        <f aca="false">IF($A31="","",SUMIFS('XUẤT KHO'!$E$5:$E$2004,'XUẤT KHO'!$C$5:$C$2004,$A31,'XUẤT KHO'!$D$5:$D$2004,$B31,'XUẤT KHO'!$A$5:$A$2004,"&gt;="&amp;J$4,'XUẤT KHO'!$A$5:$A$2004,"&lt;"&amp;EDATE(J$4,1)))</f>
        <v>0</v>
      </c>
      <c r="K31" s="60" t="n">
        <f aca="false">IF($A31="","",SUMIFS('XUẤT KHO'!$E$5:$E$2004,'XUẤT KHO'!$C$5:$C$2004,$A31,'XUẤT KHO'!$D$5:$D$2004,$B31,'XUẤT KHO'!$A$5:$A$2004,"&gt;="&amp;K$4,'XUẤT KHO'!$A$5:$A$2004,"&lt;"&amp;EDATE(K$4,1)))</f>
        <v>0</v>
      </c>
      <c r="L31" s="60" t="n">
        <f aca="false">IF($A31="","",SUMIFS('XUẤT KHO'!$E$5:$E$2004,'XUẤT KHO'!$C$5:$C$2004,$A31,'XUẤT KHO'!$D$5:$D$2004,$B31,'XUẤT KHO'!$A$5:$A$2004,"&gt;="&amp;L$4,'XUẤT KHO'!$A$5:$A$2004,"&lt;"&amp;EDATE(L$4,1)))</f>
        <v>0</v>
      </c>
      <c r="M31" s="60" t="n">
        <f aca="false">IF($A31="","",SUMIFS('XUẤT KHO'!$E$5:$E$2004,'XUẤT KHO'!$C$5:$C$2004,$A31,'XUẤT KHO'!$D$5:$D$2004,$B31,'XUẤT KHO'!$A$5:$A$2004,"&gt;="&amp;M$4,'XUẤT KHO'!$A$5:$A$2004,"&lt;"&amp;EDATE(M$4,1)))</f>
        <v>0</v>
      </c>
      <c r="N31" s="60" t="n">
        <f aca="false">IF($A31="","",SUMIFS('XUẤT KHO'!$E$5:$E$2004,'XUẤT KHO'!$C$5:$C$2004,$A31,'XUẤT KHO'!$D$5:$D$2004,$B31,'XUẤT KHO'!$A$5:$A$2004,"&gt;="&amp;N$4,'XUẤT KHO'!$A$5:$A$2004,"&lt;"&amp;EDATE(N$4,1)))</f>
        <v>0</v>
      </c>
      <c r="O31" s="60" t="n">
        <f aca="false">IF($A31="","",SUMIFS('XUẤT KHO'!$E$5:$E$2004,'XUẤT KHO'!$C$5:$C$2004,$A31,'XUẤT KHO'!$D$5:$D$2004,$B31,'XUẤT KHO'!$A$5:$A$2004,"&gt;="&amp;O$4,'XUẤT KHO'!$A$5:$A$2004,"&lt;"&amp;EDATE(O$4,1)))</f>
        <v>0</v>
      </c>
      <c r="P31" s="61" t="n">
        <f aca="false">IF($A31="","",SUM(D31:O31))</f>
        <v>6</v>
      </c>
    </row>
    <row r="32" customFormat="false" ht="15" hidden="false" customHeight="false" outlineLevel="0" collapsed="false">
      <c r="A32" s="16" t="str">
        <f aca="false">IF('TỒN KHO'!C38="","",'TỒN KHO'!C38)</f>
        <v>ESG10</v>
      </c>
      <c r="B32" s="16" t="str">
        <f aca="false">IF('TỒN KHO'!C38="","",'TỒN KHO'!E38)</f>
        <v>5L</v>
      </c>
      <c r="C32" s="16" t="str">
        <f aca="false">IF('TỒN KHO'!C38="","",'TỒN KHO'!D38)</f>
        <v>Sơn ngoại thất cao cấp bóng mờ Imperia ESG10</v>
      </c>
      <c r="D32" s="60" t="n">
        <f aca="false">IF($A32="","",SUMIFS('XUẤT KHO'!$E$5:$E$2004,'XUẤT KHO'!$C$5:$C$2004,$A32,'XUẤT KHO'!$D$5:$D$2004,$B32,'XUẤT KHO'!$A$5:$A$2004,"&gt;="&amp;D$4,'XUẤT KHO'!$A$5:$A$2004,"&lt;"&amp;EDATE(D$4,1)))</f>
        <v>8</v>
      </c>
      <c r="E32" s="60" t="n">
        <f aca="false">IF($A32="","",SUMIFS('XUẤT KHO'!$E$5:$E$2004,'XUẤT KHO'!$C$5:$C$2004,$A32,'XUẤT KHO'!$D$5:$D$2004,$B32,'XUẤT KHO'!$A$5:$A$2004,"&gt;="&amp;E$4,'XUẤT KHO'!$A$5:$A$2004,"&lt;"&amp;EDATE(E$4,1)))</f>
        <v>3</v>
      </c>
      <c r="F32" s="60" t="n">
        <f aca="false">IF($A32="","",SUMIFS('XUẤT KHO'!$E$5:$E$2004,'XUẤT KHO'!$C$5:$C$2004,$A32,'XUẤT KHO'!$D$5:$D$2004,$B32,'XUẤT KHO'!$A$5:$A$2004,"&gt;="&amp;F$4,'XUẤT KHO'!$A$5:$A$2004,"&lt;"&amp;EDATE(F$4,1)))</f>
        <v>0</v>
      </c>
      <c r="G32" s="60" t="n">
        <f aca="false">IF($A32="","",SUMIFS('XUẤT KHO'!$E$5:$E$2004,'XUẤT KHO'!$C$5:$C$2004,$A32,'XUẤT KHO'!$D$5:$D$2004,$B32,'XUẤT KHO'!$A$5:$A$2004,"&gt;="&amp;G$4,'XUẤT KHO'!$A$5:$A$2004,"&lt;"&amp;EDATE(G$4,1)))</f>
        <v>2</v>
      </c>
      <c r="H32" s="60" t="n">
        <f aca="false">IF($A32="","",SUMIFS('XUẤT KHO'!$E$5:$E$2004,'XUẤT KHO'!$C$5:$C$2004,$A32,'XUẤT KHO'!$D$5:$D$2004,$B32,'XUẤT KHO'!$A$5:$A$2004,"&gt;="&amp;H$4,'XUẤT KHO'!$A$5:$A$2004,"&lt;"&amp;EDATE(H$4,1)))</f>
        <v>0</v>
      </c>
      <c r="I32" s="60" t="n">
        <f aca="false">IF($A32="","",SUMIFS('XUẤT KHO'!$E$5:$E$2004,'XUẤT KHO'!$C$5:$C$2004,$A32,'XUẤT KHO'!$D$5:$D$2004,$B32,'XUẤT KHO'!$A$5:$A$2004,"&gt;="&amp;I$4,'XUẤT KHO'!$A$5:$A$2004,"&lt;"&amp;EDATE(I$4,1)))</f>
        <v>0</v>
      </c>
      <c r="J32" s="60" t="n">
        <f aca="false">IF($A32="","",SUMIFS('XUẤT KHO'!$E$5:$E$2004,'XUẤT KHO'!$C$5:$C$2004,$A32,'XUẤT KHO'!$D$5:$D$2004,$B32,'XUẤT KHO'!$A$5:$A$2004,"&gt;="&amp;J$4,'XUẤT KHO'!$A$5:$A$2004,"&lt;"&amp;EDATE(J$4,1)))</f>
        <v>0</v>
      </c>
      <c r="K32" s="60" t="n">
        <f aca="false">IF($A32="","",SUMIFS('XUẤT KHO'!$E$5:$E$2004,'XUẤT KHO'!$C$5:$C$2004,$A32,'XUẤT KHO'!$D$5:$D$2004,$B32,'XUẤT KHO'!$A$5:$A$2004,"&gt;="&amp;K$4,'XUẤT KHO'!$A$5:$A$2004,"&lt;"&amp;EDATE(K$4,1)))</f>
        <v>0</v>
      </c>
      <c r="L32" s="60" t="n">
        <f aca="false">IF($A32="","",SUMIFS('XUẤT KHO'!$E$5:$E$2004,'XUẤT KHO'!$C$5:$C$2004,$A32,'XUẤT KHO'!$D$5:$D$2004,$B32,'XUẤT KHO'!$A$5:$A$2004,"&gt;="&amp;L$4,'XUẤT KHO'!$A$5:$A$2004,"&lt;"&amp;EDATE(L$4,1)))</f>
        <v>0</v>
      </c>
      <c r="M32" s="60" t="n">
        <f aca="false">IF($A32="","",SUMIFS('XUẤT KHO'!$E$5:$E$2004,'XUẤT KHO'!$C$5:$C$2004,$A32,'XUẤT KHO'!$D$5:$D$2004,$B32,'XUẤT KHO'!$A$5:$A$2004,"&gt;="&amp;M$4,'XUẤT KHO'!$A$5:$A$2004,"&lt;"&amp;EDATE(M$4,1)))</f>
        <v>0</v>
      </c>
      <c r="N32" s="60" t="n">
        <f aca="false">IF($A32="","",SUMIFS('XUẤT KHO'!$E$5:$E$2004,'XUẤT KHO'!$C$5:$C$2004,$A32,'XUẤT KHO'!$D$5:$D$2004,$B32,'XUẤT KHO'!$A$5:$A$2004,"&gt;="&amp;N$4,'XUẤT KHO'!$A$5:$A$2004,"&lt;"&amp;EDATE(N$4,1)))</f>
        <v>0</v>
      </c>
      <c r="O32" s="60" t="n">
        <f aca="false">IF($A32="","",SUMIFS('XUẤT KHO'!$E$5:$E$2004,'XUẤT KHO'!$C$5:$C$2004,$A32,'XUẤT KHO'!$D$5:$D$2004,$B32,'XUẤT KHO'!$A$5:$A$2004,"&gt;="&amp;O$4,'XUẤT KHO'!$A$5:$A$2004,"&lt;"&amp;EDATE(O$4,1)))</f>
        <v>0</v>
      </c>
      <c r="P32" s="61" t="n">
        <f aca="false">IF($A32="","",SUM(D32:O32))</f>
        <v>13</v>
      </c>
    </row>
    <row r="33" customFormat="false" ht="15" hidden="false" customHeight="false" outlineLevel="0" collapsed="false">
      <c r="A33" s="16" t="str">
        <f aca="false">IF('TỒN KHO'!C39="","",'TỒN KHO'!C39)</f>
        <v>ESG10</v>
      </c>
      <c r="B33" s="16" t="str">
        <f aca="false">IF('TỒN KHO'!C39="","",'TỒN KHO'!E39)</f>
        <v>18L</v>
      </c>
      <c r="C33" s="16" t="str">
        <f aca="false">IF('TỒN KHO'!C39="","",'TỒN KHO'!D39)</f>
        <v>Sơn ngoại thất cao cấp bóng mờ Imperia ESG10</v>
      </c>
      <c r="D33" s="60" t="n">
        <f aca="false">IF($A33="","",SUMIFS('XUẤT KHO'!$E$5:$E$2004,'XUẤT KHO'!$C$5:$C$2004,$A33,'XUẤT KHO'!$D$5:$D$2004,$B33,'XUẤT KHO'!$A$5:$A$2004,"&gt;="&amp;D$4,'XUẤT KHO'!$A$5:$A$2004,"&lt;"&amp;EDATE(D$4,1)))</f>
        <v>0</v>
      </c>
      <c r="E33" s="60" t="n">
        <f aca="false">IF($A33="","",SUMIFS('XUẤT KHO'!$E$5:$E$2004,'XUẤT KHO'!$C$5:$C$2004,$A33,'XUẤT KHO'!$D$5:$D$2004,$B33,'XUẤT KHO'!$A$5:$A$2004,"&gt;="&amp;E$4,'XUẤT KHO'!$A$5:$A$2004,"&lt;"&amp;EDATE(E$4,1)))</f>
        <v>6</v>
      </c>
      <c r="F33" s="60" t="n">
        <f aca="false">IF($A33="","",SUMIFS('XUẤT KHO'!$E$5:$E$2004,'XUẤT KHO'!$C$5:$C$2004,$A33,'XUẤT KHO'!$D$5:$D$2004,$B33,'XUẤT KHO'!$A$5:$A$2004,"&gt;="&amp;F$4,'XUẤT KHO'!$A$5:$A$2004,"&lt;"&amp;EDATE(F$4,1)))</f>
        <v>0</v>
      </c>
      <c r="G33" s="60" t="n">
        <f aca="false">IF($A33="","",SUMIFS('XUẤT KHO'!$E$5:$E$2004,'XUẤT KHO'!$C$5:$C$2004,$A33,'XUẤT KHO'!$D$5:$D$2004,$B33,'XUẤT KHO'!$A$5:$A$2004,"&gt;="&amp;G$4,'XUẤT KHO'!$A$5:$A$2004,"&lt;"&amp;EDATE(G$4,1)))</f>
        <v>2</v>
      </c>
      <c r="H33" s="60" t="n">
        <f aca="false">IF($A33="","",SUMIFS('XUẤT KHO'!$E$5:$E$2004,'XUẤT KHO'!$C$5:$C$2004,$A33,'XUẤT KHO'!$D$5:$D$2004,$B33,'XUẤT KHO'!$A$5:$A$2004,"&gt;="&amp;H$4,'XUẤT KHO'!$A$5:$A$2004,"&lt;"&amp;EDATE(H$4,1)))</f>
        <v>0</v>
      </c>
      <c r="I33" s="60" t="n">
        <f aca="false">IF($A33="","",SUMIFS('XUẤT KHO'!$E$5:$E$2004,'XUẤT KHO'!$C$5:$C$2004,$A33,'XUẤT KHO'!$D$5:$D$2004,$B33,'XUẤT KHO'!$A$5:$A$2004,"&gt;="&amp;I$4,'XUẤT KHO'!$A$5:$A$2004,"&lt;"&amp;EDATE(I$4,1)))</f>
        <v>0</v>
      </c>
      <c r="J33" s="60" t="n">
        <f aca="false">IF($A33="","",SUMIFS('XUẤT KHO'!$E$5:$E$2004,'XUẤT KHO'!$C$5:$C$2004,$A33,'XUẤT KHO'!$D$5:$D$2004,$B33,'XUẤT KHO'!$A$5:$A$2004,"&gt;="&amp;J$4,'XUẤT KHO'!$A$5:$A$2004,"&lt;"&amp;EDATE(J$4,1)))</f>
        <v>0</v>
      </c>
      <c r="K33" s="60" t="n">
        <f aca="false">IF($A33="","",SUMIFS('XUẤT KHO'!$E$5:$E$2004,'XUẤT KHO'!$C$5:$C$2004,$A33,'XUẤT KHO'!$D$5:$D$2004,$B33,'XUẤT KHO'!$A$5:$A$2004,"&gt;="&amp;K$4,'XUẤT KHO'!$A$5:$A$2004,"&lt;"&amp;EDATE(K$4,1)))</f>
        <v>0</v>
      </c>
      <c r="L33" s="60" t="n">
        <f aca="false">IF($A33="","",SUMIFS('XUẤT KHO'!$E$5:$E$2004,'XUẤT KHO'!$C$5:$C$2004,$A33,'XUẤT KHO'!$D$5:$D$2004,$B33,'XUẤT KHO'!$A$5:$A$2004,"&gt;="&amp;L$4,'XUẤT KHO'!$A$5:$A$2004,"&lt;"&amp;EDATE(L$4,1)))</f>
        <v>0</v>
      </c>
      <c r="M33" s="60" t="n">
        <f aca="false">IF($A33="","",SUMIFS('XUẤT KHO'!$E$5:$E$2004,'XUẤT KHO'!$C$5:$C$2004,$A33,'XUẤT KHO'!$D$5:$D$2004,$B33,'XUẤT KHO'!$A$5:$A$2004,"&gt;="&amp;M$4,'XUẤT KHO'!$A$5:$A$2004,"&lt;"&amp;EDATE(M$4,1)))</f>
        <v>0</v>
      </c>
      <c r="N33" s="60" t="n">
        <f aca="false">IF($A33="","",SUMIFS('XUẤT KHO'!$E$5:$E$2004,'XUẤT KHO'!$C$5:$C$2004,$A33,'XUẤT KHO'!$D$5:$D$2004,$B33,'XUẤT KHO'!$A$5:$A$2004,"&gt;="&amp;N$4,'XUẤT KHO'!$A$5:$A$2004,"&lt;"&amp;EDATE(N$4,1)))</f>
        <v>0</v>
      </c>
      <c r="O33" s="60" t="n">
        <f aca="false">IF($A33="","",SUMIFS('XUẤT KHO'!$E$5:$E$2004,'XUẤT KHO'!$C$5:$C$2004,$A33,'XUẤT KHO'!$D$5:$D$2004,$B33,'XUẤT KHO'!$A$5:$A$2004,"&gt;="&amp;O$4,'XUẤT KHO'!$A$5:$A$2004,"&lt;"&amp;EDATE(O$4,1)))</f>
        <v>0</v>
      </c>
      <c r="P33" s="61" t="n">
        <f aca="false">IF($A33="","",SUM(D33:O33))</f>
        <v>8</v>
      </c>
    </row>
    <row r="34" customFormat="false" ht="15" hidden="false" customHeight="false" outlineLevel="0" collapsed="false">
      <c r="A34" s="16" t="str">
        <f aca="false">IF('TỒN KHO'!C40="","",'TỒN KHO'!C40)</f>
        <v>EG09</v>
      </c>
      <c r="B34" s="16" t="str">
        <f aca="false">IF('TỒN KHO'!C40="","",'TỒN KHO'!E40)</f>
        <v>1L</v>
      </c>
      <c r="C34" s="16" t="str">
        <f aca="false">IF('TỒN KHO'!C40="","",'TỒN KHO'!D40)</f>
        <v>Sơn ngoại thất siêu bóng cao cấp Imperia EG09</v>
      </c>
      <c r="D34" s="60" t="n">
        <f aca="false">IF($A34="","",SUMIFS('XUẤT KHO'!$E$5:$E$2004,'XUẤT KHO'!$C$5:$C$2004,$A34,'XUẤT KHO'!$D$5:$D$2004,$B34,'XUẤT KHO'!$A$5:$A$2004,"&gt;="&amp;D$4,'XUẤT KHO'!$A$5:$A$2004,"&lt;"&amp;EDATE(D$4,1)))</f>
        <v>26</v>
      </c>
      <c r="E34" s="60" t="n">
        <f aca="false">IF($A34="","",SUMIFS('XUẤT KHO'!$E$5:$E$2004,'XUẤT KHO'!$C$5:$C$2004,$A34,'XUẤT KHO'!$D$5:$D$2004,$B34,'XUẤT KHO'!$A$5:$A$2004,"&gt;="&amp;E$4,'XUẤT KHO'!$A$5:$A$2004,"&lt;"&amp;EDATE(E$4,1)))</f>
        <v>0</v>
      </c>
      <c r="F34" s="60" t="n">
        <f aca="false">IF($A34="","",SUMIFS('XUẤT KHO'!$E$5:$E$2004,'XUẤT KHO'!$C$5:$C$2004,$A34,'XUẤT KHO'!$D$5:$D$2004,$B34,'XUẤT KHO'!$A$5:$A$2004,"&gt;="&amp;F$4,'XUẤT KHO'!$A$5:$A$2004,"&lt;"&amp;EDATE(F$4,1)))</f>
        <v>4</v>
      </c>
      <c r="G34" s="60" t="n">
        <f aca="false">IF($A34="","",SUMIFS('XUẤT KHO'!$E$5:$E$2004,'XUẤT KHO'!$C$5:$C$2004,$A34,'XUẤT KHO'!$D$5:$D$2004,$B34,'XUẤT KHO'!$A$5:$A$2004,"&gt;="&amp;G$4,'XUẤT KHO'!$A$5:$A$2004,"&lt;"&amp;EDATE(G$4,1)))</f>
        <v>4</v>
      </c>
      <c r="H34" s="60" t="n">
        <f aca="false">IF($A34="","",SUMIFS('XUẤT KHO'!$E$5:$E$2004,'XUẤT KHO'!$C$5:$C$2004,$A34,'XUẤT KHO'!$D$5:$D$2004,$B34,'XUẤT KHO'!$A$5:$A$2004,"&gt;="&amp;H$4,'XUẤT KHO'!$A$5:$A$2004,"&lt;"&amp;EDATE(H$4,1)))</f>
        <v>0</v>
      </c>
      <c r="I34" s="60" t="n">
        <f aca="false">IF($A34="","",SUMIFS('XUẤT KHO'!$E$5:$E$2004,'XUẤT KHO'!$C$5:$C$2004,$A34,'XUẤT KHO'!$D$5:$D$2004,$B34,'XUẤT KHO'!$A$5:$A$2004,"&gt;="&amp;I$4,'XUẤT KHO'!$A$5:$A$2004,"&lt;"&amp;EDATE(I$4,1)))</f>
        <v>0</v>
      </c>
      <c r="J34" s="60" t="n">
        <f aca="false">IF($A34="","",SUMIFS('XUẤT KHO'!$E$5:$E$2004,'XUẤT KHO'!$C$5:$C$2004,$A34,'XUẤT KHO'!$D$5:$D$2004,$B34,'XUẤT KHO'!$A$5:$A$2004,"&gt;="&amp;J$4,'XUẤT KHO'!$A$5:$A$2004,"&lt;"&amp;EDATE(J$4,1)))</f>
        <v>0</v>
      </c>
      <c r="K34" s="60" t="n">
        <f aca="false">IF($A34="","",SUMIFS('XUẤT KHO'!$E$5:$E$2004,'XUẤT KHO'!$C$5:$C$2004,$A34,'XUẤT KHO'!$D$5:$D$2004,$B34,'XUẤT KHO'!$A$5:$A$2004,"&gt;="&amp;K$4,'XUẤT KHO'!$A$5:$A$2004,"&lt;"&amp;EDATE(K$4,1)))</f>
        <v>0</v>
      </c>
      <c r="L34" s="60" t="n">
        <f aca="false">IF($A34="","",SUMIFS('XUẤT KHO'!$E$5:$E$2004,'XUẤT KHO'!$C$5:$C$2004,$A34,'XUẤT KHO'!$D$5:$D$2004,$B34,'XUẤT KHO'!$A$5:$A$2004,"&gt;="&amp;L$4,'XUẤT KHO'!$A$5:$A$2004,"&lt;"&amp;EDATE(L$4,1)))</f>
        <v>0</v>
      </c>
      <c r="M34" s="60" t="n">
        <f aca="false">IF($A34="","",SUMIFS('XUẤT KHO'!$E$5:$E$2004,'XUẤT KHO'!$C$5:$C$2004,$A34,'XUẤT KHO'!$D$5:$D$2004,$B34,'XUẤT KHO'!$A$5:$A$2004,"&gt;="&amp;M$4,'XUẤT KHO'!$A$5:$A$2004,"&lt;"&amp;EDATE(M$4,1)))</f>
        <v>0</v>
      </c>
      <c r="N34" s="60" t="n">
        <f aca="false">IF($A34="","",SUMIFS('XUẤT KHO'!$E$5:$E$2004,'XUẤT KHO'!$C$5:$C$2004,$A34,'XUẤT KHO'!$D$5:$D$2004,$B34,'XUẤT KHO'!$A$5:$A$2004,"&gt;="&amp;N$4,'XUẤT KHO'!$A$5:$A$2004,"&lt;"&amp;EDATE(N$4,1)))</f>
        <v>0</v>
      </c>
      <c r="O34" s="60" t="n">
        <f aca="false">IF($A34="","",SUMIFS('XUẤT KHO'!$E$5:$E$2004,'XUẤT KHO'!$C$5:$C$2004,$A34,'XUẤT KHO'!$D$5:$D$2004,$B34,'XUẤT KHO'!$A$5:$A$2004,"&gt;="&amp;O$4,'XUẤT KHO'!$A$5:$A$2004,"&lt;"&amp;EDATE(O$4,1)))</f>
        <v>0</v>
      </c>
      <c r="P34" s="61" t="n">
        <f aca="false">IF($A34="","",SUM(D34:O34))</f>
        <v>34</v>
      </c>
    </row>
    <row r="35" customFormat="false" ht="15" hidden="false" customHeight="false" outlineLevel="0" collapsed="false">
      <c r="A35" s="16" t="str">
        <f aca="false">IF('TỒN KHO'!C41="","",'TỒN KHO'!C41)</f>
        <v>EG09</v>
      </c>
      <c r="B35" s="16" t="str">
        <f aca="false">IF('TỒN KHO'!C41="","",'TỒN KHO'!E41)</f>
        <v>5L</v>
      </c>
      <c r="C35" s="16" t="str">
        <f aca="false">IF('TỒN KHO'!C41="","",'TỒN KHO'!D41)</f>
        <v>Sơn ngoại thất siêu bóng cao cấp Imperia EG09</v>
      </c>
      <c r="D35" s="60" t="n">
        <f aca="false">IF($A35="","",SUMIFS('XUẤT KHO'!$E$5:$E$2004,'XUẤT KHO'!$C$5:$C$2004,$A35,'XUẤT KHO'!$D$5:$D$2004,$B35,'XUẤT KHO'!$A$5:$A$2004,"&gt;="&amp;D$4,'XUẤT KHO'!$A$5:$A$2004,"&lt;"&amp;EDATE(D$4,1)))</f>
        <v>13</v>
      </c>
      <c r="E35" s="60" t="n">
        <f aca="false">IF($A35="","",SUMIFS('XUẤT KHO'!$E$5:$E$2004,'XUẤT KHO'!$C$5:$C$2004,$A35,'XUẤT KHO'!$D$5:$D$2004,$B35,'XUẤT KHO'!$A$5:$A$2004,"&gt;="&amp;E$4,'XUẤT KHO'!$A$5:$A$2004,"&lt;"&amp;EDATE(E$4,1)))</f>
        <v>2</v>
      </c>
      <c r="F35" s="60" t="n">
        <f aca="false">IF($A35="","",SUMIFS('XUẤT KHO'!$E$5:$E$2004,'XUẤT KHO'!$C$5:$C$2004,$A35,'XUẤT KHO'!$D$5:$D$2004,$B35,'XUẤT KHO'!$A$5:$A$2004,"&gt;="&amp;F$4,'XUẤT KHO'!$A$5:$A$2004,"&lt;"&amp;EDATE(F$4,1)))</f>
        <v>7</v>
      </c>
      <c r="G35" s="60" t="n">
        <f aca="false">IF($A35="","",SUMIFS('XUẤT KHO'!$E$5:$E$2004,'XUẤT KHO'!$C$5:$C$2004,$A35,'XUẤT KHO'!$D$5:$D$2004,$B35,'XUẤT KHO'!$A$5:$A$2004,"&gt;="&amp;G$4,'XUẤT KHO'!$A$5:$A$2004,"&lt;"&amp;EDATE(G$4,1)))</f>
        <v>8</v>
      </c>
      <c r="H35" s="60" t="n">
        <f aca="false">IF($A35="","",SUMIFS('XUẤT KHO'!$E$5:$E$2004,'XUẤT KHO'!$C$5:$C$2004,$A35,'XUẤT KHO'!$D$5:$D$2004,$B35,'XUẤT KHO'!$A$5:$A$2004,"&gt;="&amp;H$4,'XUẤT KHO'!$A$5:$A$2004,"&lt;"&amp;EDATE(H$4,1)))</f>
        <v>0</v>
      </c>
      <c r="I35" s="60" t="n">
        <f aca="false">IF($A35="","",SUMIFS('XUẤT KHO'!$E$5:$E$2004,'XUẤT KHO'!$C$5:$C$2004,$A35,'XUẤT KHO'!$D$5:$D$2004,$B35,'XUẤT KHO'!$A$5:$A$2004,"&gt;="&amp;I$4,'XUẤT KHO'!$A$5:$A$2004,"&lt;"&amp;EDATE(I$4,1)))</f>
        <v>0</v>
      </c>
      <c r="J35" s="60" t="n">
        <f aca="false">IF($A35="","",SUMIFS('XUẤT KHO'!$E$5:$E$2004,'XUẤT KHO'!$C$5:$C$2004,$A35,'XUẤT KHO'!$D$5:$D$2004,$B35,'XUẤT KHO'!$A$5:$A$2004,"&gt;="&amp;J$4,'XUẤT KHO'!$A$5:$A$2004,"&lt;"&amp;EDATE(J$4,1)))</f>
        <v>0</v>
      </c>
      <c r="K35" s="60" t="n">
        <f aca="false">IF($A35="","",SUMIFS('XUẤT KHO'!$E$5:$E$2004,'XUẤT KHO'!$C$5:$C$2004,$A35,'XUẤT KHO'!$D$5:$D$2004,$B35,'XUẤT KHO'!$A$5:$A$2004,"&gt;="&amp;K$4,'XUẤT KHO'!$A$5:$A$2004,"&lt;"&amp;EDATE(K$4,1)))</f>
        <v>0</v>
      </c>
      <c r="L35" s="60" t="n">
        <f aca="false">IF($A35="","",SUMIFS('XUẤT KHO'!$E$5:$E$2004,'XUẤT KHO'!$C$5:$C$2004,$A35,'XUẤT KHO'!$D$5:$D$2004,$B35,'XUẤT KHO'!$A$5:$A$2004,"&gt;="&amp;L$4,'XUẤT KHO'!$A$5:$A$2004,"&lt;"&amp;EDATE(L$4,1)))</f>
        <v>0</v>
      </c>
      <c r="M35" s="60" t="n">
        <f aca="false">IF($A35="","",SUMIFS('XUẤT KHO'!$E$5:$E$2004,'XUẤT KHO'!$C$5:$C$2004,$A35,'XUẤT KHO'!$D$5:$D$2004,$B35,'XUẤT KHO'!$A$5:$A$2004,"&gt;="&amp;M$4,'XUẤT KHO'!$A$5:$A$2004,"&lt;"&amp;EDATE(M$4,1)))</f>
        <v>0</v>
      </c>
      <c r="N35" s="60" t="n">
        <f aca="false">IF($A35="","",SUMIFS('XUẤT KHO'!$E$5:$E$2004,'XUẤT KHO'!$C$5:$C$2004,$A35,'XUẤT KHO'!$D$5:$D$2004,$B35,'XUẤT KHO'!$A$5:$A$2004,"&gt;="&amp;N$4,'XUẤT KHO'!$A$5:$A$2004,"&lt;"&amp;EDATE(N$4,1)))</f>
        <v>0</v>
      </c>
      <c r="O35" s="60" t="n">
        <f aca="false">IF($A35="","",SUMIFS('XUẤT KHO'!$E$5:$E$2004,'XUẤT KHO'!$C$5:$C$2004,$A35,'XUẤT KHO'!$D$5:$D$2004,$B35,'XUẤT KHO'!$A$5:$A$2004,"&gt;="&amp;O$4,'XUẤT KHO'!$A$5:$A$2004,"&lt;"&amp;EDATE(O$4,1)))</f>
        <v>0</v>
      </c>
      <c r="P35" s="61" t="n">
        <f aca="false">IF($A35="","",SUM(D35:O35))</f>
        <v>30</v>
      </c>
    </row>
    <row r="36" customFormat="false" ht="15" hidden="false" customHeight="false" outlineLevel="0" collapsed="false">
      <c r="A36" s="16" t="str">
        <f aca="false">IF('TỒN KHO'!C42="","",'TỒN KHO'!C42)</f>
        <v>EG09</v>
      </c>
      <c r="B36" s="16" t="str">
        <f aca="false">IF('TỒN KHO'!C42="","",'TỒN KHO'!E42)</f>
        <v>18L</v>
      </c>
      <c r="C36" s="16" t="str">
        <f aca="false">IF('TỒN KHO'!C42="","",'TỒN KHO'!D42)</f>
        <v>Sơn ngoại thất siêu bóng cao cấp Imperia EG09</v>
      </c>
      <c r="D36" s="60" t="n">
        <f aca="false">IF($A36="","",SUMIFS('XUẤT KHO'!$E$5:$E$2004,'XUẤT KHO'!$C$5:$C$2004,$A36,'XUẤT KHO'!$D$5:$D$2004,$B36,'XUẤT KHO'!$A$5:$A$2004,"&gt;="&amp;D$4,'XUẤT KHO'!$A$5:$A$2004,"&lt;"&amp;EDATE(D$4,1)))</f>
        <v>12</v>
      </c>
      <c r="E36" s="60" t="n">
        <f aca="false">IF($A36="","",SUMIFS('XUẤT KHO'!$E$5:$E$2004,'XUẤT KHO'!$C$5:$C$2004,$A36,'XUẤT KHO'!$D$5:$D$2004,$B36,'XUẤT KHO'!$A$5:$A$2004,"&gt;="&amp;E$4,'XUẤT KHO'!$A$5:$A$2004,"&lt;"&amp;EDATE(E$4,1)))</f>
        <v>4</v>
      </c>
      <c r="F36" s="60" t="n">
        <f aca="false">IF($A36="","",SUMIFS('XUẤT KHO'!$E$5:$E$2004,'XUẤT KHO'!$C$5:$C$2004,$A36,'XUẤT KHO'!$D$5:$D$2004,$B36,'XUẤT KHO'!$A$5:$A$2004,"&gt;="&amp;F$4,'XUẤT KHO'!$A$5:$A$2004,"&lt;"&amp;EDATE(F$4,1)))</f>
        <v>6</v>
      </c>
      <c r="G36" s="60" t="n">
        <f aca="false">IF($A36="","",SUMIFS('XUẤT KHO'!$E$5:$E$2004,'XUẤT KHO'!$C$5:$C$2004,$A36,'XUẤT KHO'!$D$5:$D$2004,$B36,'XUẤT KHO'!$A$5:$A$2004,"&gt;="&amp;G$4,'XUẤT KHO'!$A$5:$A$2004,"&lt;"&amp;EDATE(G$4,1)))</f>
        <v>4</v>
      </c>
      <c r="H36" s="60" t="n">
        <f aca="false">IF($A36="","",SUMIFS('XUẤT KHO'!$E$5:$E$2004,'XUẤT KHO'!$C$5:$C$2004,$A36,'XUẤT KHO'!$D$5:$D$2004,$B36,'XUẤT KHO'!$A$5:$A$2004,"&gt;="&amp;H$4,'XUẤT KHO'!$A$5:$A$2004,"&lt;"&amp;EDATE(H$4,1)))</f>
        <v>0</v>
      </c>
      <c r="I36" s="60" t="n">
        <f aca="false">IF($A36="","",SUMIFS('XUẤT KHO'!$E$5:$E$2004,'XUẤT KHO'!$C$5:$C$2004,$A36,'XUẤT KHO'!$D$5:$D$2004,$B36,'XUẤT KHO'!$A$5:$A$2004,"&gt;="&amp;I$4,'XUẤT KHO'!$A$5:$A$2004,"&lt;"&amp;EDATE(I$4,1)))</f>
        <v>0</v>
      </c>
      <c r="J36" s="60" t="n">
        <f aca="false">IF($A36="","",SUMIFS('XUẤT KHO'!$E$5:$E$2004,'XUẤT KHO'!$C$5:$C$2004,$A36,'XUẤT KHO'!$D$5:$D$2004,$B36,'XUẤT KHO'!$A$5:$A$2004,"&gt;="&amp;J$4,'XUẤT KHO'!$A$5:$A$2004,"&lt;"&amp;EDATE(J$4,1)))</f>
        <v>0</v>
      </c>
      <c r="K36" s="60" t="n">
        <f aca="false">IF($A36="","",SUMIFS('XUẤT KHO'!$E$5:$E$2004,'XUẤT KHO'!$C$5:$C$2004,$A36,'XUẤT KHO'!$D$5:$D$2004,$B36,'XUẤT KHO'!$A$5:$A$2004,"&gt;="&amp;K$4,'XUẤT KHO'!$A$5:$A$2004,"&lt;"&amp;EDATE(K$4,1)))</f>
        <v>0</v>
      </c>
      <c r="L36" s="60" t="n">
        <f aca="false">IF($A36="","",SUMIFS('XUẤT KHO'!$E$5:$E$2004,'XUẤT KHO'!$C$5:$C$2004,$A36,'XUẤT KHO'!$D$5:$D$2004,$B36,'XUẤT KHO'!$A$5:$A$2004,"&gt;="&amp;L$4,'XUẤT KHO'!$A$5:$A$2004,"&lt;"&amp;EDATE(L$4,1)))</f>
        <v>0</v>
      </c>
      <c r="M36" s="60" t="n">
        <f aca="false">IF($A36="","",SUMIFS('XUẤT KHO'!$E$5:$E$2004,'XUẤT KHO'!$C$5:$C$2004,$A36,'XUẤT KHO'!$D$5:$D$2004,$B36,'XUẤT KHO'!$A$5:$A$2004,"&gt;="&amp;M$4,'XUẤT KHO'!$A$5:$A$2004,"&lt;"&amp;EDATE(M$4,1)))</f>
        <v>0</v>
      </c>
      <c r="N36" s="60" t="n">
        <f aca="false">IF($A36="","",SUMIFS('XUẤT KHO'!$E$5:$E$2004,'XUẤT KHO'!$C$5:$C$2004,$A36,'XUẤT KHO'!$D$5:$D$2004,$B36,'XUẤT KHO'!$A$5:$A$2004,"&gt;="&amp;N$4,'XUẤT KHO'!$A$5:$A$2004,"&lt;"&amp;EDATE(N$4,1)))</f>
        <v>0</v>
      </c>
      <c r="O36" s="60" t="n">
        <f aca="false">IF($A36="","",SUMIFS('XUẤT KHO'!$E$5:$E$2004,'XUẤT KHO'!$C$5:$C$2004,$A36,'XUẤT KHO'!$D$5:$D$2004,$B36,'XUẤT KHO'!$A$5:$A$2004,"&gt;="&amp;O$4,'XUẤT KHO'!$A$5:$A$2004,"&lt;"&amp;EDATE(O$4,1)))</f>
        <v>0</v>
      </c>
      <c r="P36" s="61" t="n">
        <f aca="false">IF($A36="","",SUM(D36:O36))</f>
        <v>26</v>
      </c>
    </row>
    <row r="37" customFormat="false" ht="15" hidden="false" customHeight="false" outlineLevel="0" collapsed="false">
      <c r="A37" s="16" t="str">
        <f aca="false">IF('TỒN KHO'!C43="","",'TỒN KHO'!C43)</f>
        <v>E9</v>
      </c>
      <c r="B37" s="16" t="str">
        <f aca="false">IF('TỒN KHO'!C43="","",'TỒN KHO'!E43)</f>
        <v>1L</v>
      </c>
      <c r="C37" s="16" t="str">
        <f aca="false">IF('TỒN KHO'!C43="","",'TỒN KHO'!D43)</f>
        <v>Sơn ngoại thất siêu bóng cao cấp Saphir E9</v>
      </c>
      <c r="D37" s="60" t="n">
        <f aca="false">IF($A37="","",SUMIFS('XUẤT KHO'!$E$5:$E$2004,'XUẤT KHO'!$C$5:$C$2004,$A37,'XUẤT KHO'!$D$5:$D$2004,$B37,'XUẤT KHO'!$A$5:$A$2004,"&gt;="&amp;D$4,'XUẤT KHO'!$A$5:$A$2004,"&lt;"&amp;EDATE(D$4,1)))</f>
        <v>0</v>
      </c>
      <c r="E37" s="60" t="n">
        <f aca="false">IF($A37="","",SUMIFS('XUẤT KHO'!$E$5:$E$2004,'XUẤT KHO'!$C$5:$C$2004,$A37,'XUẤT KHO'!$D$5:$D$2004,$B37,'XUẤT KHO'!$A$5:$A$2004,"&gt;="&amp;E$4,'XUẤT KHO'!$A$5:$A$2004,"&lt;"&amp;EDATE(E$4,1)))</f>
        <v>0</v>
      </c>
      <c r="F37" s="60" t="n">
        <f aca="false">IF($A37="","",SUMIFS('XUẤT KHO'!$E$5:$E$2004,'XUẤT KHO'!$C$5:$C$2004,$A37,'XUẤT KHO'!$D$5:$D$2004,$B37,'XUẤT KHO'!$A$5:$A$2004,"&gt;="&amp;F$4,'XUẤT KHO'!$A$5:$A$2004,"&lt;"&amp;EDATE(F$4,1)))</f>
        <v>0</v>
      </c>
      <c r="G37" s="60" t="n">
        <f aca="false">IF($A37="","",SUMIFS('XUẤT KHO'!$E$5:$E$2004,'XUẤT KHO'!$C$5:$C$2004,$A37,'XUẤT KHO'!$D$5:$D$2004,$B37,'XUẤT KHO'!$A$5:$A$2004,"&gt;="&amp;G$4,'XUẤT KHO'!$A$5:$A$2004,"&lt;"&amp;EDATE(G$4,1)))</f>
        <v>0</v>
      </c>
      <c r="H37" s="60" t="n">
        <f aca="false">IF($A37="","",SUMIFS('XUẤT KHO'!$E$5:$E$2004,'XUẤT KHO'!$C$5:$C$2004,$A37,'XUẤT KHO'!$D$5:$D$2004,$B37,'XUẤT KHO'!$A$5:$A$2004,"&gt;="&amp;H$4,'XUẤT KHO'!$A$5:$A$2004,"&lt;"&amp;EDATE(H$4,1)))</f>
        <v>0</v>
      </c>
      <c r="I37" s="60" t="n">
        <f aca="false">IF($A37="","",SUMIFS('XUẤT KHO'!$E$5:$E$2004,'XUẤT KHO'!$C$5:$C$2004,$A37,'XUẤT KHO'!$D$5:$D$2004,$B37,'XUẤT KHO'!$A$5:$A$2004,"&gt;="&amp;I$4,'XUẤT KHO'!$A$5:$A$2004,"&lt;"&amp;EDATE(I$4,1)))</f>
        <v>0</v>
      </c>
      <c r="J37" s="60" t="n">
        <f aca="false">IF($A37="","",SUMIFS('XUẤT KHO'!$E$5:$E$2004,'XUẤT KHO'!$C$5:$C$2004,$A37,'XUẤT KHO'!$D$5:$D$2004,$B37,'XUẤT KHO'!$A$5:$A$2004,"&gt;="&amp;J$4,'XUẤT KHO'!$A$5:$A$2004,"&lt;"&amp;EDATE(J$4,1)))</f>
        <v>0</v>
      </c>
      <c r="K37" s="60" t="n">
        <f aca="false">IF($A37="","",SUMIFS('XUẤT KHO'!$E$5:$E$2004,'XUẤT KHO'!$C$5:$C$2004,$A37,'XUẤT KHO'!$D$5:$D$2004,$B37,'XUẤT KHO'!$A$5:$A$2004,"&gt;="&amp;K$4,'XUẤT KHO'!$A$5:$A$2004,"&lt;"&amp;EDATE(K$4,1)))</f>
        <v>0</v>
      </c>
      <c r="L37" s="60" t="n">
        <f aca="false">IF($A37="","",SUMIFS('XUẤT KHO'!$E$5:$E$2004,'XUẤT KHO'!$C$5:$C$2004,$A37,'XUẤT KHO'!$D$5:$D$2004,$B37,'XUẤT KHO'!$A$5:$A$2004,"&gt;="&amp;L$4,'XUẤT KHO'!$A$5:$A$2004,"&lt;"&amp;EDATE(L$4,1)))</f>
        <v>0</v>
      </c>
      <c r="M37" s="60" t="n">
        <f aca="false">IF($A37="","",SUMIFS('XUẤT KHO'!$E$5:$E$2004,'XUẤT KHO'!$C$5:$C$2004,$A37,'XUẤT KHO'!$D$5:$D$2004,$B37,'XUẤT KHO'!$A$5:$A$2004,"&gt;="&amp;M$4,'XUẤT KHO'!$A$5:$A$2004,"&lt;"&amp;EDATE(M$4,1)))</f>
        <v>0</v>
      </c>
      <c r="N37" s="60" t="n">
        <f aca="false">IF($A37="","",SUMIFS('XUẤT KHO'!$E$5:$E$2004,'XUẤT KHO'!$C$5:$C$2004,$A37,'XUẤT KHO'!$D$5:$D$2004,$B37,'XUẤT KHO'!$A$5:$A$2004,"&gt;="&amp;N$4,'XUẤT KHO'!$A$5:$A$2004,"&lt;"&amp;EDATE(N$4,1)))</f>
        <v>0</v>
      </c>
      <c r="O37" s="60" t="n">
        <f aca="false">IF($A37="","",SUMIFS('XUẤT KHO'!$E$5:$E$2004,'XUẤT KHO'!$C$5:$C$2004,$A37,'XUẤT KHO'!$D$5:$D$2004,$B37,'XUẤT KHO'!$A$5:$A$2004,"&gt;="&amp;O$4,'XUẤT KHO'!$A$5:$A$2004,"&lt;"&amp;EDATE(O$4,1)))</f>
        <v>0</v>
      </c>
      <c r="P37" s="61" t="n">
        <f aca="false">IF($A37="","",SUM(D37:O37))</f>
        <v>0</v>
      </c>
    </row>
    <row r="38" customFormat="false" ht="15" hidden="false" customHeight="false" outlineLevel="0" collapsed="false">
      <c r="A38" s="16" t="str">
        <f aca="false">IF('TỒN KHO'!C44="","",'TỒN KHO'!C44)</f>
        <v>E9</v>
      </c>
      <c r="B38" s="16" t="str">
        <f aca="false">IF('TỒN KHO'!C44="","",'TỒN KHO'!E44)</f>
        <v>5L</v>
      </c>
      <c r="C38" s="16" t="str">
        <f aca="false">IF('TỒN KHO'!C44="","",'TỒN KHO'!D44)</f>
        <v>Sơn ngoại thất siêu bóng cao cấp Saphir E9</v>
      </c>
      <c r="D38" s="60" t="n">
        <f aca="false">IF($A38="","",SUMIFS('XUẤT KHO'!$E$5:$E$2004,'XUẤT KHO'!$C$5:$C$2004,$A38,'XUẤT KHO'!$D$5:$D$2004,$B38,'XUẤT KHO'!$A$5:$A$2004,"&gt;="&amp;D$4,'XUẤT KHO'!$A$5:$A$2004,"&lt;"&amp;EDATE(D$4,1)))</f>
        <v>0</v>
      </c>
      <c r="E38" s="60" t="n">
        <f aca="false">IF($A38="","",SUMIFS('XUẤT KHO'!$E$5:$E$2004,'XUẤT KHO'!$C$5:$C$2004,$A38,'XUẤT KHO'!$D$5:$D$2004,$B38,'XUẤT KHO'!$A$5:$A$2004,"&gt;="&amp;E$4,'XUẤT KHO'!$A$5:$A$2004,"&lt;"&amp;EDATE(E$4,1)))</f>
        <v>0</v>
      </c>
      <c r="F38" s="60" t="n">
        <f aca="false">IF($A38="","",SUMIFS('XUẤT KHO'!$E$5:$E$2004,'XUẤT KHO'!$C$5:$C$2004,$A38,'XUẤT KHO'!$D$5:$D$2004,$B38,'XUẤT KHO'!$A$5:$A$2004,"&gt;="&amp;F$4,'XUẤT KHO'!$A$5:$A$2004,"&lt;"&amp;EDATE(F$4,1)))</f>
        <v>0</v>
      </c>
      <c r="G38" s="60" t="n">
        <f aca="false">IF($A38="","",SUMIFS('XUẤT KHO'!$E$5:$E$2004,'XUẤT KHO'!$C$5:$C$2004,$A38,'XUẤT KHO'!$D$5:$D$2004,$B38,'XUẤT KHO'!$A$5:$A$2004,"&gt;="&amp;G$4,'XUẤT KHO'!$A$5:$A$2004,"&lt;"&amp;EDATE(G$4,1)))</f>
        <v>0</v>
      </c>
      <c r="H38" s="60" t="n">
        <f aca="false">IF($A38="","",SUMIFS('XUẤT KHO'!$E$5:$E$2004,'XUẤT KHO'!$C$5:$C$2004,$A38,'XUẤT KHO'!$D$5:$D$2004,$B38,'XUẤT KHO'!$A$5:$A$2004,"&gt;="&amp;H$4,'XUẤT KHO'!$A$5:$A$2004,"&lt;"&amp;EDATE(H$4,1)))</f>
        <v>0</v>
      </c>
      <c r="I38" s="60" t="n">
        <f aca="false">IF($A38="","",SUMIFS('XUẤT KHO'!$E$5:$E$2004,'XUẤT KHO'!$C$5:$C$2004,$A38,'XUẤT KHO'!$D$5:$D$2004,$B38,'XUẤT KHO'!$A$5:$A$2004,"&gt;="&amp;I$4,'XUẤT KHO'!$A$5:$A$2004,"&lt;"&amp;EDATE(I$4,1)))</f>
        <v>0</v>
      </c>
      <c r="J38" s="60" t="n">
        <f aca="false">IF($A38="","",SUMIFS('XUẤT KHO'!$E$5:$E$2004,'XUẤT KHO'!$C$5:$C$2004,$A38,'XUẤT KHO'!$D$5:$D$2004,$B38,'XUẤT KHO'!$A$5:$A$2004,"&gt;="&amp;J$4,'XUẤT KHO'!$A$5:$A$2004,"&lt;"&amp;EDATE(J$4,1)))</f>
        <v>0</v>
      </c>
      <c r="K38" s="60" t="n">
        <f aca="false">IF($A38="","",SUMIFS('XUẤT KHO'!$E$5:$E$2004,'XUẤT KHO'!$C$5:$C$2004,$A38,'XUẤT KHO'!$D$5:$D$2004,$B38,'XUẤT KHO'!$A$5:$A$2004,"&gt;="&amp;K$4,'XUẤT KHO'!$A$5:$A$2004,"&lt;"&amp;EDATE(K$4,1)))</f>
        <v>0</v>
      </c>
      <c r="L38" s="60" t="n">
        <f aca="false">IF($A38="","",SUMIFS('XUẤT KHO'!$E$5:$E$2004,'XUẤT KHO'!$C$5:$C$2004,$A38,'XUẤT KHO'!$D$5:$D$2004,$B38,'XUẤT KHO'!$A$5:$A$2004,"&gt;="&amp;L$4,'XUẤT KHO'!$A$5:$A$2004,"&lt;"&amp;EDATE(L$4,1)))</f>
        <v>0</v>
      </c>
      <c r="M38" s="60" t="n">
        <f aca="false">IF($A38="","",SUMIFS('XUẤT KHO'!$E$5:$E$2004,'XUẤT KHO'!$C$5:$C$2004,$A38,'XUẤT KHO'!$D$5:$D$2004,$B38,'XUẤT KHO'!$A$5:$A$2004,"&gt;="&amp;M$4,'XUẤT KHO'!$A$5:$A$2004,"&lt;"&amp;EDATE(M$4,1)))</f>
        <v>0</v>
      </c>
      <c r="N38" s="60" t="n">
        <f aca="false">IF($A38="","",SUMIFS('XUẤT KHO'!$E$5:$E$2004,'XUẤT KHO'!$C$5:$C$2004,$A38,'XUẤT KHO'!$D$5:$D$2004,$B38,'XUẤT KHO'!$A$5:$A$2004,"&gt;="&amp;N$4,'XUẤT KHO'!$A$5:$A$2004,"&lt;"&amp;EDATE(N$4,1)))</f>
        <v>0</v>
      </c>
      <c r="O38" s="60" t="n">
        <f aca="false">IF($A38="","",SUMIFS('XUẤT KHO'!$E$5:$E$2004,'XUẤT KHO'!$C$5:$C$2004,$A38,'XUẤT KHO'!$D$5:$D$2004,$B38,'XUẤT KHO'!$A$5:$A$2004,"&gt;="&amp;O$4,'XUẤT KHO'!$A$5:$A$2004,"&lt;"&amp;EDATE(O$4,1)))</f>
        <v>0</v>
      </c>
      <c r="P38" s="61" t="n">
        <f aca="false">IF($A38="","",SUM(D38:O38))</f>
        <v>0</v>
      </c>
    </row>
    <row r="39" customFormat="false" ht="15" hidden="false" customHeight="false" outlineLevel="0" collapsed="false">
      <c r="A39" s="16" t="str">
        <f aca="false">IF('TỒN KHO'!C45="","",'TỒN KHO'!C45)</f>
        <v>CT12</v>
      </c>
      <c r="B39" s="16" t="str">
        <f aca="false">IF('TỒN KHO'!C45="","",'TỒN KHO'!E45)</f>
        <v>5L</v>
      </c>
      <c r="C39" s="16" t="str">
        <f aca="false">IF('TỒN KHO'!C45="","",'TỒN KHO'!D45)</f>
        <v>Sơn chống thấm đa năng Imperia CT12</v>
      </c>
      <c r="D39" s="60" t="n">
        <f aca="false">IF($A39="","",SUMIFS('XUẤT KHO'!$E$5:$E$2004,'XUẤT KHO'!$C$5:$C$2004,$A39,'XUẤT KHO'!$D$5:$D$2004,$B39,'XUẤT KHO'!$A$5:$A$2004,"&gt;="&amp;D$4,'XUẤT KHO'!$A$5:$A$2004,"&lt;"&amp;EDATE(D$4,1)))</f>
        <v>2</v>
      </c>
      <c r="E39" s="60" t="n">
        <f aca="false">IF($A39="","",SUMIFS('XUẤT KHO'!$E$5:$E$2004,'XUẤT KHO'!$C$5:$C$2004,$A39,'XUẤT KHO'!$D$5:$D$2004,$B39,'XUẤT KHO'!$A$5:$A$2004,"&gt;="&amp;E$4,'XUẤT KHO'!$A$5:$A$2004,"&lt;"&amp;EDATE(E$4,1)))</f>
        <v>1</v>
      </c>
      <c r="F39" s="60" t="n">
        <f aca="false">IF($A39="","",SUMIFS('XUẤT KHO'!$E$5:$E$2004,'XUẤT KHO'!$C$5:$C$2004,$A39,'XUẤT KHO'!$D$5:$D$2004,$B39,'XUẤT KHO'!$A$5:$A$2004,"&gt;="&amp;F$4,'XUẤT KHO'!$A$5:$A$2004,"&lt;"&amp;EDATE(F$4,1)))</f>
        <v>0</v>
      </c>
      <c r="G39" s="60" t="n">
        <f aca="false">IF($A39="","",SUMIFS('XUẤT KHO'!$E$5:$E$2004,'XUẤT KHO'!$C$5:$C$2004,$A39,'XUẤT KHO'!$D$5:$D$2004,$B39,'XUẤT KHO'!$A$5:$A$2004,"&gt;="&amp;G$4,'XUẤT KHO'!$A$5:$A$2004,"&lt;"&amp;EDATE(G$4,1)))</f>
        <v>1</v>
      </c>
      <c r="H39" s="60" t="n">
        <f aca="false">IF($A39="","",SUMIFS('XUẤT KHO'!$E$5:$E$2004,'XUẤT KHO'!$C$5:$C$2004,$A39,'XUẤT KHO'!$D$5:$D$2004,$B39,'XUẤT KHO'!$A$5:$A$2004,"&gt;="&amp;H$4,'XUẤT KHO'!$A$5:$A$2004,"&lt;"&amp;EDATE(H$4,1)))</f>
        <v>0</v>
      </c>
      <c r="I39" s="60" t="n">
        <f aca="false">IF($A39="","",SUMIFS('XUẤT KHO'!$E$5:$E$2004,'XUẤT KHO'!$C$5:$C$2004,$A39,'XUẤT KHO'!$D$5:$D$2004,$B39,'XUẤT KHO'!$A$5:$A$2004,"&gt;="&amp;I$4,'XUẤT KHO'!$A$5:$A$2004,"&lt;"&amp;EDATE(I$4,1)))</f>
        <v>0</v>
      </c>
      <c r="J39" s="60" t="n">
        <f aca="false">IF($A39="","",SUMIFS('XUẤT KHO'!$E$5:$E$2004,'XUẤT KHO'!$C$5:$C$2004,$A39,'XUẤT KHO'!$D$5:$D$2004,$B39,'XUẤT KHO'!$A$5:$A$2004,"&gt;="&amp;J$4,'XUẤT KHO'!$A$5:$A$2004,"&lt;"&amp;EDATE(J$4,1)))</f>
        <v>0</v>
      </c>
      <c r="K39" s="60" t="n">
        <f aca="false">IF($A39="","",SUMIFS('XUẤT KHO'!$E$5:$E$2004,'XUẤT KHO'!$C$5:$C$2004,$A39,'XUẤT KHO'!$D$5:$D$2004,$B39,'XUẤT KHO'!$A$5:$A$2004,"&gt;="&amp;K$4,'XUẤT KHO'!$A$5:$A$2004,"&lt;"&amp;EDATE(K$4,1)))</f>
        <v>0</v>
      </c>
      <c r="L39" s="60" t="n">
        <f aca="false">IF($A39="","",SUMIFS('XUẤT KHO'!$E$5:$E$2004,'XUẤT KHO'!$C$5:$C$2004,$A39,'XUẤT KHO'!$D$5:$D$2004,$B39,'XUẤT KHO'!$A$5:$A$2004,"&gt;="&amp;L$4,'XUẤT KHO'!$A$5:$A$2004,"&lt;"&amp;EDATE(L$4,1)))</f>
        <v>0</v>
      </c>
      <c r="M39" s="60" t="n">
        <f aca="false">IF($A39="","",SUMIFS('XUẤT KHO'!$E$5:$E$2004,'XUẤT KHO'!$C$5:$C$2004,$A39,'XUẤT KHO'!$D$5:$D$2004,$B39,'XUẤT KHO'!$A$5:$A$2004,"&gt;="&amp;M$4,'XUẤT KHO'!$A$5:$A$2004,"&lt;"&amp;EDATE(M$4,1)))</f>
        <v>0</v>
      </c>
      <c r="N39" s="60" t="n">
        <f aca="false">IF($A39="","",SUMIFS('XUẤT KHO'!$E$5:$E$2004,'XUẤT KHO'!$C$5:$C$2004,$A39,'XUẤT KHO'!$D$5:$D$2004,$B39,'XUẤT KHO'!$A$5:$A$2004,"&gt;="&amp;N$4,'XUẤT KHO'!$A$5:$A$2004,"&lt;"&amp;EDATE(N$4,1)))</f>
        <v>0</v>
      </c>
      <c r="O39" s="60" t="n">
        <f aca="false">IF($A39="","",SUMIFS('XUẤT KHO'!$E$5:$E$2004,'XUẤT KHO'!$C$5:$C$2004,$A39,'XUẤT KHO'!$D$5:$D$2004,$B39,'XUẤT KHO'!$A$5:$A$2004,"&gt;="&amp;O$4,'XUẤT KHO'!$A$5:$A$2004,"&lt;"&amp;EDATE(O$4,1)))</f>
        <v>0</v>
      </c>
      <c r="P39" s="61" t="n">
        <f aca="false">IF($A39="","",SUM(D39:O39))</f>
        <v>4</v>
      </c>
    </row>
    <row r="40" customFormat="false" ht="15" hidden="false" customHeight="false" outlineLevel="0" collapsed="false">
      <c r="A40" s="16" t="str">
        <f aca="false">IF('TỒN KHO'!C46="","",'TỒN KHO'!C46)</f>
        <v>CT12</v>
      </c>
      <c r="B40" s="16" t="str">
        <f aca="false">IF('TỒN KHO'!C46="","",'TỒN KHO'!E46)</f>
        <v>18L</v>
      </c>
      <c r="C40" s="16" t="str">
        <f aca="false">IF('TỒN KHO'!C46="","",'TỒN KHO'!D46)</f>
        <v>Sơn chống thấm đa năng Imperia CT12</v>
      </c>
      <c r="D40" s="60" t="n">
        <f aca="false">IF($A40="","",SUMIFS('XUẤT KHO'!$E$5:$E$2004,'XUẤT KHO'!$C$5:$C$2004,$A40,'XUẤT KHO'!$D$5:$D$2004,$B40,'XUẤT KHO'!$A$5:$A$2004,"&gt;="&amp;D$4,'XUẤT KHO'!$A$5:$A$2004,"&lt;"&amp;EDATE(D$4,1)))</f>
        <v>10</v>
      </c>
      <c r="E40" s="60" t="n">
        <f aca="false">IF($A40="","",SUMIFS('XUẤT KHO'!$E$5:$E$2004,'XUẤT KHO'!$C$5:$C$2004,$A40,'XUẤT KHO'!$D$5:$D$2004,$B40,'XUẤT KHO'!$A$5:$A$2004,"&gt;="&amp;E$4,'XUẤT KHO'!$A$5:$A$2004,"&lt;"&amp;EDATE(E$4,1)))</f>
        <v>7</v>
      </c>
      <c r="F40" s="60" t="n">
        <f aca="false">IF($A40="","",SUMIFS('XUẤT KHO'!$E$5:$E$2004,'XUẤT KHO'!$C$5:$C$2004,$A40,'XUẤT KHO'!$D$5:$D$2004,$B40,'XUẤT KHO'!$A$5:$A$2004,"&gt;="&amp;F$4,'XUẤT KHO'!$A$5:$A$2004,"&lt;"&amp;EDATE(F$4,1)))</f>
        <v>7</v>
      </c>
      <c r="G40" s="60" t="n">
        <f aca="false">IF($A40="","",SUMIFS('XUẤT KHO'!$E$5:$E$2004,'XUẤT KHO'!$C$5:$C$2004,$A40,'XUẤT KHO'!$D$5:$D$2004,$B40,'XUẤT KHO'!$A$5:$A$2004,"&gt;="&amp;G$4,'XUẤT KHO'!$A$5:$A$2004,"&lt;"&amp;EDATE(G$4,1)))</f>
        <v>0</v>
      </c>
      <c r="H40" s="60" t="n">
        <f aca="false">IF($A40="","",SUMIFS('XUẤT KHO'!$E$5:$E$2004,'XUẤT KHO'!$C$5:$C$2004,$A40,'XUẤT KHO'!$D$5:$D$2004,$B40,'XUẤT KHO'!$A$5:$A$2004,"&gt;="&amp;H$4,'XUẤT KHO'!$A$5:$A$2004,"&lt;"&amp;EDATE(H$4,1)))</f>
        <v>0</v>
      </c>
      <c r="I40" s="60" t="n">
        <f aca="false">IF($A40="","",SUMIFS('XUẤT KHO'!$E$5:$E$2004,'XUẤT KHO'!$C$5:$C$2004,$A40,'XUẤT KHO'!$D$5:$D$2004,$B40,'XUẤT KHO'!$A$5:$A$2004,"&gt;="&amp;I$4,'XUẤT KHO'!$A$5:$A$2004,"&lt;"&amp;EDATE(I$4,1)))</f>
        <v>0</v>
      </c>
      <c r="J40" s="60" t="n">
        <f aca="false">IF($A40="","",SUMIFS('XUẤT KHO'!$E$5:$E$2004,'XUẤT KHO'!$C$5:$C$2004,$A40,'XUẤT KHO'!$D$5:$D$2004,$B40,'XUẤT KHO'!$A$5:$A$2004,"&gt;="&amp;J$4,'XUẤT KHO'!$A$5:$A$2004,"&lt;"&amp;EDATE(J$4,1)))</f>
        <v>0</v>
      </c>
      <c r="K40" s="60" t="n">
        <f aca="false">IF($A40="","",SUMIFS('XUẤT KHO'!$E$5:$E$2004,'XUẤT KHO'!$C$5:$C$2004,$A40,'XUẤT KHO'!$D$5:$D$2004,$B40,'XUẤT KHO'!$A$5:$A$2004,"&gt;="&amp;K$4,'XUẤT KHO'!$A$5:$A$2004,"&lt;"&amp;EDATE(K$4,1)))</f>
        <v>0</v>
      </c>
      <c r="L40" s="60" t="n">
        <f aca="false">IF($A40="","",SUMIFS('XUẤT KHO'!$E$5:$E$2004,'XUẤT KHO'!$C$5:$C$2004,$A40,'XUẤT KHO'!$D$5:$D$2004,$B40,'XUẤT KHO'!$A$5:$A$2004,"&gt;="&amp;L$4,'XUẤT KHO'!$A$5:$A$2004,"&lt;"&amp;EDATE(L$4,1)))</f>
        <v>0</v>
      </c>
      <c r="M40" s="60" t="n">
        <f aca="false">IF($A40="","",SUMIFS('XUẤT KHO'!$E$5:$E$2004,'XUẤT KHO'!$C$5:$C$2004,$A40,'XUẤT KHO'!$D$5:$D$2004,$B40,'XUẤT KHO'!$A$5:$A$2004,"&gt;="&amp;M$4,'XUẤT KHO'!$A$5:$A$2004,"&lt;"&amp;EDATE(M$4,1)))</f>
        <v>0</v>
      </c>
      <c r="N40" s="60" t="n">
        <f aca="false">IF($A40="","",SUMIFS('XUẤT KHO'!$E$5:$E$2004,'XUẤT KHO'!$C$5:$C$2004,$A40,'XUẤT KHO'!$D$5:$D$2004,$B40,'XUẤT KHO'!$A$5:$A$2004,"&gt;="&amp;N$4,'XUẤT KHO'!$A$5:$A$2004,"&lt;"&amp;EDATE(N$4,1)))</f>
        <v>0</v>
      </c>
      <c r="O40" s="60" t="n">
        <f aca="false">IF($A40="","",SUMIFS('XUẤT KHO'!$E$5:$E$2004,'XUẤT KHO'!$C$5:$C$2004,$A40,'XUẤT KHO'!$D$5:$D$2004,$B40,'XUẤT KHO'!$A$5:$A$2004,"&gt;="&amp;O$4,'XUẤT KHO'!$A$5:$A$2004,"&lt;"&amp;EDATE(O$4,1)))</f>
        <v>0</v>
      </c>
      <c r="P40" s="61" t="n">
        <f aca="false">IF($A40="","",SUM(D40:O40))</f>
        <v>24</v>
      </c>
    </row>
    <row r="41" customFormat="false" ht="15" hidden="false" customHeight="false" outlineLevel="0" collapsed="false">
      <c r="A41" s="16" t="str">
        <f aca="false">IF('TỒN KHO'!C47="","",'TỒN KHO'!C47)</f>
        <v>ETM-309</v>
      </c>
      <c r="B41" s="16" t="str">
        <f aca="false">IF('TỒN KHO'!C47="","",'TỒN KHO'!E47)</f>
        <v>5L</v>
      </c>
      <c r="C41" s="16" t="str">
        <f aca="false">IF('TỒN KHO'!C47="","",'TỒN KHO'!D47)</f>
        <v>Sơn chống thấm màu ETM 309 (ghi đậm)</v>
      </c>
      <c r="D41" s="60" t="n">
        <f aca="false">IF($A41="","",SUMIFS('XUẤT KHO'!$E$5:$E$2004,'XUẤT KHO'!$C$5:$C$2004,$A41,'XUẤT KHO'!$D$5:$D$2004,$B41,'XUẤT KHO'!$A$5:$A$2004,"&gt;="&amp;D$4,'XUẤT KHO'!$A$5:$A$2004,"&lt;"&amp;EDATE(D$4,1)))</f>
        <v>7</v>
      </c>
      <c r="E41" s="60" t="n">
        <f aca="false">IF($A41="","",SUMIFS('XUẤT KHO'!$E$5:$E$2004,'XUẤT KHO'!$C$5:$C$2004,$A41,'XUẤT KHO'!$D$5:$D$2004,$B41,'XUẤT KHO'!$A$5:$A$2004,"&gt;="&amp;E$4,'XUẤT KHO'!$A$5:$A$2004,"&lt;"&amp;EDATE(E$4,1)))</f>
        <v>2</v>
      </c>
      <c r="F41" s="60" t="n">
        <f aca="false">IF($A41="","",SUMIFS('XUẤT KHO'!$E$5:$E$2004,'XUẤT KHO'!$C$5:$C$2004,$A41,'XUẤT KHO'!$D$5:$D$2004,$B41,'XUẤT KHO'!$A$5:$A$2004,"&gt;="&amp;F$4,'XUẤT KHO'!$A$5:$A$2004,"&lt;"&amp;EDATE(F$4,1)))</f>
        <v>0</v>
      </c>
      <c r="G41" s="60" t="n">
        <f aca="false">IF($A41="","",SUMIFS('XUẤT KHO'!$E$5:$E$2004,'XUẤT KHO'!$C$5:$C$2004,$A41,'XUẤT KHO'!$D$5:$D$2004,$B41,'XUẤT KHO'!$A$5:$A$2004,"&gt;="&amp;G$4,'XUẤT KHO'!$A$5:$A$2004,"&lt;"&amp;EDATE(G$4,1)))</f>
        <v>1</v>
      </c>
      <c r="H41" s="60" t="n">
        <f aca="false">IF($A41="","",SUMIFS('XUẤT KHO'!$E$5:$E$2004,'XUẤT KHO'!$C$5:$C$2004,$A41,'XUẤT KHO'!$D$5:$D$2004,$B41,'XUẤT KHO'!$A$5:$A$2004,"&gt;="&amp;H$4,'XUẤT KHO'!$A$5:$A$2004,"&lt;"&amp;EDATE(H$4,1)))</f>
        <v>0</v>
      </c>
      <c r="I41" s="60" t="n">
        <f aca="false">IF($A41="","",SUMIFS('XUẤT KHO'!$E$5:$E$2004,'XUẤT KHO'!$C$5:$C$2004,$A41,'XUẤT KHO'!$D$5:$D$2004,$B41,'XUẤT KHO'!$A$5:$A$2004,"&gt;="&amp;I$4,'XUẤT KHO'!$A$5:$A$2004,"&lt;"&amp;EDATE(I$4,1)))</f>
        <v>0</v>
      </c>
      <c r="J41" s="60" t="n">
        <f aca="false">IF($A41="","",SUMIFS('XUẤT KHO'!$E$5:$E$2004,'XUẤT KHO'!$C$5:$C$2004,$A41,'XUẤT KHO'!$D$5:$D$2004,$B41,'XUẤT KHO'!$A$5:$A$2004,"&gt;="&amp;J$4,'XUẤT KHO'!$A$5:$A$2004,"&lt;"&amp;EDATE(J$4,1)))</f>
        <v>0</v>
      </c>
      <c r="K41" s="60" t="n">
        <f aca="false">IF($A41="","",SUMIFS('XUẤT KHO'!$E$5:$E$2004,'XUẤT KHO'!$C$5:$C$2004,$A41,'XUẤT KHO'!$D$5:$D$2004,$B41,'XUẤT KHO'!$A$5:$A$2004,"&gt;="&amp;K$4,'XUẤT KHO'!$A$5:$A$2004,"&lt;"&amp;EDATE(K$4,1)))</f>
        <v>0</v>
      </c>
      <c r="L41" s="60" t="n">
        <f aca="false">IF($A41="","",SUMIFS('XUẤT KHO'!$E$5:$E$2004,'XUẤT KHO'!$C$5:$C$2004,$A41,'XUẤT KHO'!$D$5:$D$2004,$B41,'XUẤT KHO'!$A$5:$A$2004,"&gt;="&amp;L$4,'XUẤT KHO'!$A$5:$A$2004,"&lt;"&amp;EDATE(L$4,1)))</f>
        <v>0</v>
      </c>
      <c r="M41" s="60" t="n">
        <f aca="false">IF($A41="","",SUMIFS('XUẤT KHO'!$E$5:$E$2004,'XUẤT KHO'!$C$5:$C$2004,$A41,'XUẤT KHO'!$D$5:$D$2004,$B41,'XUẤT KHO'!$A$5:$A$2004,"&gt;="&amp;M$4,'XUẤT KHO'!$A$5:$A$2004,"&lt;"&amp;EDATE(M$4,1)))</f>
        <v>0</v>
      </c>
      <c r="N41" s="60" t="n">
        <f aca="false">IF($A41="","",SUMIFS('XUẤT KHO'!$E$5:$E$2004,'XUẤT KHO'!$C$5:$C$2004,$A41,'XUẤT KHO'!$D$5:$D$2004,$B41,'XUẤT KHO'!$A$5:$A$2004,"&gt;="&amp;N$4,'XUẤT KHO'!$A$5:$A$2004,"&lt;"&amp;EDATE(N$4,1)))</f>
        <v>0</v>
      </c>
      <c r="O41" s="60" t="n">
        <f aca="false">IF($A41="","",SUMIFS('XUẤT KHO'!$E$5:$E$2004,'XUẤT KHO'!$C$5:$C$2004,$A41,'XUẤT KHO'!$D$5:$D$2004,$B41,'XUẤT KHO'!$A$5:$A$2004,"&gt;="&amp;O$4,'XUẤT KHO'!$A$5:$A$2004,"&lt;"&amp;EDATE(O$4,1)))</f>
        <v>0</v>
      </c>
      <c r="P41" s="61" t="n">
        <f aca="false">IF($A41="","",SUM(D41:O41))</f>
        <v>10</v>
      </c>
    </row>
    <row r="42" customFormat="false" ht="15" hidden="false" customHeight="false" outlineLevel="0" collapsed="false">
      <c r="A42" s="16" t="str">
        <f aca="false">IF('TỒN KHO'!C48="","",'TỒN KHO'!C48)</f>
        <v>ETM-309</v>
      </c>
      <c r="B42" s="16" t="str">
        <f aca="false">IF('TỒN KHO'!C48="","",'TỒN KHO'!E48)</f>
        <v>18L</v>
      </c>
      <c r="C42" s="16" t="str">
        <f aca="false">IF('TỒN KHO'!C48="","",'TỒN KHO'!D48)</f>
        <v>Sơn chống thấm màu ETM 309 (ghi đậm)</v>
      </c>
      <c r="D42" s="60" t="n">
        <f aca="false">IF($A42="","",SUMIFS('XUẤT KHO'!$E$5:$E$2004,'XUẤT KHO'!$C$5:$C$2004,$A42,'XUẤT KHO'!$D$5:$D$2004,$B42,'XUẤT KHO'!$A$5:$A$2004,"&gt;="&amp;D$4,'XUẤT KHO'!$A$5:$A$2004,"&lt;"&amp;EDATE(D$4,1)))</f>
        <v>22</v>
      </c>
      <c r="E42" s="60" t="n">
        <f aca="false">IF($A42="","",SUMIFS('XUẤT KHO'!$E$5:$E$2004,'XUẤT KHO'!$C$5:$C$2004,$A42,'XUẤT KHO'!$D$5:$D$2004,$B42,'XUẤT KHO'!$A$5:$A$2004,"&gt;="&amp;E$4,'XUẤT KHO'!$A$5:$A$2004,"&lt;"&amp;EDATE(E$4,1)))</f>
        <v>12</v>
      </c>
      <c r="F42" s="60" t="n">
        <f aca="false">IF($A42="","",SUMIFS('XUẤT KHO'!$E$5:$E$2004,'XUẤT KHO'!$C$5:$C$2004,$A42,'XUẤT KHO'!$D$5:$D$2004,$B42,'XUẤT KHO'!$A$5:$A$2004,"&gt;="&amp;F$4,'XUẤT KHO'!$A$5:$A$2004,"&lt;"&amp;EDATE(F$4,1)))</f>
        <v>13</v>
      </c>
      <c r="G42" s="60" t="n">
        <f aca="false">IF($A42="","",SUMIFS('XUẤT KHO'!$E$5:$E$2004,'XUẤT KHO'!$C$5:$C$2004,$A42,'XUẤT KHO'!$D$5:$D$2004,$B42,'XUẤT KHO'!$A$5:$A$2004,"&gt;="&amp;G$4,'XUẤT KHO'!$A$5:$A$2004,"&lt;"&amp;EDATE(G$4,1)))</f>
        <v>6</v>
      </c>
      <c r="H42" s="60" t="n">
        <f aca="false">IF($A42="","",SUMIFS('XUẤT KHO'!$E$5:$E$2004,'XUẤT KHO'!$C$5:$C$2004,$A42,'XUẤT KHO'!$D$5:$D$2004,$B42,'XUẤT KHO'!$A$5:$A$2004,"&gt;="&amp;H$4,'XUẤT KHO'!$A$5:$A$2004,"&lt;"&amp;EDATE(H$4,1)))</f>
        <v>0</v>
      </c>
      <c r="I42" s="60" t="n">
        <f aca="false">IF($A42="","",SUMIFS('XUẤT KHO'!$E$5:$E$2004,'XUẤT KHO'!$C$5:$C$2004,$A42,'XUẤT KHO'!$D$5:$D$2004,$B42,'XUẤT KHO'!$A$5:$A$2004,"&gt;="&amp;I$4,'XUẤT KHO'!$A$5:$A$2004,"&lt;"&amp;EDATE(I$4,1)))</f>
        <v>0</v>
      </c>
      <c r="J42" s="60" t="n">
        <f aca="false">IF($A42="","",SUMIFS('XUẤT KHO'!$E$5:$E$2004,'XUẤT KHO'!$C$5:$C$2004,$A42,'XUẤT KHO'!$D$5:$D$2004,$B42,'XUẤT KHO'!$A$5:$A$2004,"&gt;="&amp;J$4,'XUẤT KHO'!$A$5:$A$2004,"&lt;"&amp;EDATE(J$4,1)))</f>
        <v>0</v>
      </c>
      <c r="K42" s="60" t="n">
        <f aca="false">IF($A42="","",SUMIFS('XUẤT KHO'!$E$5:$E$2004,'XUẤT KHO'!$C$5:$C$2004,$A42,'XUẤT KHO'!$D$5:$D$2004,$B42,'XUẤT KHO'!$A$5:$A$2004,"&gt;="&amp;K$4,'XUẤT KHO'!$A$5:$A$2004,"&lt;"&amp;EDATE(K$4,1)))</f>
        <v>0</v>
      </c>
      <c r="L42" s="60" t="n">
        <f aca="false">IF($A42="","",SUMIFS('XUẤT KHO'!$E$5:$E$2004,'XUẤT KHO'!$C$5:$C$2004,$A42,'XUẤT KHO'!$D$5:$D$2004,$B42,'XUẤT KHO'!$A$5:$A$2004,"&gt;="&amp;L$4,'XUẤT KHO'!$A$5:$A$2004,"&lt;"&amp;EDATE(L$4,1)))</f>
        <v>0</v>
      </c>
      <c r="M42" s="60" t="n">
        <f aca="false">IF($A42="","",SUMIFS('XUẤT KHO'!$E$5:$E$2004,'XUẤT KHO'!$C$5:$C$2004,$A42,'XUẤT KHO'!$D$5:$D$2004,$B42,'XUẤT KHO'!$A$5:$A$2004,"&gt;="&amp;M$4,'XUẤT KHO'!$A$5:$A$2004,"&lt;"&amp;EDATE(M$4,1)))</f>
        <v>0</v>
      </c>
      <c r="N42" s="60" t="n">
        <f aca="false">IF($A42="","",SUMIFS('XUẤT KHO'!$E$5:$E$2004,'XUẤT KHO'!$C$5:$C$2004,$A42,'XUẤT KHO'!$D$5:$D$2004,$B42,'XUẤT KHO'!$A$5:$A$2004,"&gt;="&amp;N$4,'XUẤT KHO'!$A$5:$A$2004,"&lt;"&amp;EDATE(N$4,1)))</f>
        <v>0</v>
      </c>
      <c r="O42" s="60" t="n">
        <f aca="false">IF($A42="","",SUMIFS('XUẤT KHO'!$E$5:$E$2004,'XUẤT KHO'!$C$5:$C$2004,$A42,'XUẤT KHO'!$D$5:$D$2004,$B42,'XUẤT KHO'!$A$5:$A$2004,"&gt;="&amp;O$4,'XUẤT KHO'!$A$5:$A$2004,"&lt;"&amp;EDATE(O$4,1)))</f>
        <v>0</v>
      </c>
      <c r="P42" s="61" t="n">
        <f aca="false">IF($A42="","",SUM(D42:O42))</f>
        <v>53</v>
      </c>
    </row>
    <row r="43" customFormat="false" ht="15" hidden="false" customHeight="false" outlineLevel="0" collapsed="false">
      <c r="A43" s="16" t="str">
        <f aca="false">IF('TỒN KHO'!C49="","",'TỒN KHO'!C49)</f>
        <v>ETM-99</v>
      </c>
      <c r="B43" s="16" t="str">
        <f aca="false">IF('TỒN KHO'!C49="","",'TỒN KHO'!E49)</f>
        <v>5L</v>
      </c>
      <c r="C43" s="16" t="str">
        <f aca="false">IF('TỒN KHO'!C49="","",'TỒN KHO'!D49)</f>
        <v>Sơn chống thấm ETM 99 (trắng)</v>
      </c>
      <c r="D43" s="60" t="n">
        <f aca="false">IF($A43="","",SUMIFS('XUẤT KHO'!$E$5:$E$2004,'XUẤT KHO'!$C$5:$C$2004,$A43,'XUẤT KHO'!$D$5:$D$2004,$B43,'XUẤT KHO'!$A$5:$A$2004,"&gt;="&amp;D$4,'XUẤT KHO'!$A$5:$A$2004,"&lt;"&amp;EDATE(D$4,1)))</f>
        <v>0</v>
      </c>
      <c r="E43" s="60" t="n">
        <f aca="false">IF($A43="","",SUMIFS('XUẤT KHO'!$E$5:$E$2004,'XUẤT KHO'!$C$5:$C$2004,$A43,'XUẤT KHO'!$D$5:$D$2004,$B43,'XUẤT KHO'!$A$5:$A$2004,"&gt;="&amp;E$4,'XUẤT KHO'!$A$5:$A$2004,"&lt;"&amp;EDATE(E$4,1)))</f>
        <v>0</v>
      </c>
      <c r="F43" s="60" t="n">
        <f aca="false">IF($A43="","",SUMIFS('XUẤT KHO'!$E$5:$E$2004,'XUẤT KHO'!$C$5:$C$2004,$A43,'XUẤT KHO'!$D$5:$D$2004,$B43,'XUẤT KHO'!$A$5:$A$2004,"&gt;="&amp;F$4,'XUẤT KHO'!$A$5:$A$2004,"&lt;"&amp;EDATE(F$4,1)))</f>
        <v>0</v>
      </c>
      <c r="G43" s="60" t="n">
        <f aca="false">IF($A43="","",SUMIFS('XUẤT KHO'!$E$5:$E$2004,'XUẤT KHO'!$C$5:$C$2004,$A43,'XUẤT KHO'!$D$5:$D$2004,$B43,'XUẤT KHO'!$A$5:$A$2004,"&gt;="&amp;G$4,'XUẤT KHO'!$A$5:$A$2004,"&lt;"&amp;EDATE(G$4,1)))</f>
        <v>0</v>
      </c>
      <c r="H43" s="60" t="n">
        <f aca="false">IF($A43="","",SUMIFS('XUẤT KHO'!$E$5:$E$2004,'XUẤT KHO'!$C$5:$C$2004,$A43,'XUẤT KHO'!$D$5:$D$2004,$B43,'XUẤT KHO'!$A$5:$A$2004,"&gt;="&amp;H$4,'XUẤT KHO'!$A$5:$A$2004,"&lt;"&amp;EDATE(H$4,1)))</f>
        <v>0</v>
      </c>
      <c r="I43" s="60" t="n">
        <f aca="false">IF($A43="","",SUMIFS('XUẤT KHO'!$E$5:$E$2004,'XUẤT KHO'!$C$5:$C$2004,$A43,'XUẤT KHO'!$D$5:$D$2004,$B43,'XUẤT KHO'!$A$5:$A$2004,"&gt;="&amp;I$4,'XUẤT KHO'!$A$5:$A$2004,"&lt;"&amp;EDATE(I$4,1)))</f>
        <v>0</v>
      </c>
      <c r="J43" s="60" t="n">
        <f aca="false">IF($A43="","",SUMIFS('XUẤT KHO'!$E$5:$E$2004,'XUẤT KHO'!$C$5:$C$2004,$A43,'XUẤT KHO'!$D$5:$D$2004,$B43,'XUẤT KHO'!$A$5:$A$2004,"&gt;="&amp;J$4,'XUẤT KHO'!$A$5:$A$2004,"&lt;"&amp;EDATE(J$4,1)))</f>
        <v>0</v>
      </c>
      <c r="K43" s="60" t="n">
        <f aca="false">IF($A43="","",SUMIFS('XUẤT KHO'!$E$5:$E$2004,'XUẤT KHO'!$C$5:$C$2004,$A43,'XUẤT KHO'!$D$5:$D$2004,$B43,'XUẤT KHO'!$A$5:$A$2004,"&gt;="&amp;K$4,'XUẤT KHO'!$A$5:$A$2004,"&lt;"&amp;EDATE(K$4,1)))</f>
        <v>0</v>
      </c>
      <c r="L43" s="60" t="n">
        <f aca="false">IF($A43="","",SUMIFS('XUẤT KHO'!$E$5:$E$2004,'XUẤT KHO'!$C$5:$C$2004,$A43,'XUẤT KHO'!$D$5:$D$2004,$B43,'XUẤT KHO'!$A$5:$A$2004,"&gt;="&amp;L$4,'XUẤT KHO'!$A$5:$A$2004,"&lt;"&amp;EDATE(L$4,1)))</f>
        <v>0</v>
      </c>
      <c r="M43" s="60" t="n">
        <f aca="false">IF($A43="","",SUMIFS('XUẤT KHO'!$E$5:$E$2004,'XUẤT KHO'!$C$5:$C$2004,$A43,'XUẤT KHO'!$D$5:$D$2004,$B43,'XUẤT KHO'!$A$5:$A$2004,"&gt;="&amp;M$4,'XUẤT KHO'!$A$5:$A$2004,"&lt;"&amp;EDATE(M$4,1)))</f>
        <v>0</v>
      </c>
      <c r="N43" s="60" t="n">
        <f aca="false">IF($A43="","",SUMIFS('XUẤT KHO'!$E$5:$E$2004,'XUẤT KHO'!$C$5:$C$2004,$A43,'XUẤT KHO'!$D$5:$D$2004,$B43,'XUẤT KHO'!$A$5:$A$2004,"&gt;="&amp;N$4,'XUẤT KHO'!$A$5:$A$2004,"&lt;"&amp;EDATE(N$4,1)))</f>
        <v>0</v>
      </c>
      <c r="O43" s="60" t="n">
        <f aca="false">IF($A43="","",SUMIFS('XUẤT KHO'!$E$5:$E$2004,'XUẤT KHO'!$C$5:$C$2004,$A43,'XUẤT KHO'!$D$5:$D$2004,$B43,'XUẤT KHO'!$A$5:$A$2004,"&gt;="&amp;O$4,'XUẤT KHO'!$A$5:$A$2004,"&lt;"&amp;EDATE(O$4,1)))</f>
        <v>0</v>
      </c>
      <c r="P43" s="61" t="n">
        <f aca="false">IF($A43="","",SUM(D43:O43))</f>
        <v>0</v>
      </c>
    </row>
    <row r="44" customFormat="false" ht="15" hidden="false" customHeight="false" outlineLevel="0" collapsed="false">
      <c r="A44" s="16" t="str">
        <f aca="false">IF('TỒN KHO'!C50="","",'TỒN KHO'!C50)</f>
        <v>ETM-99</v>
      </c>
      <c r="B44" s="16" t="str">
        <f aca="false">IF('TỒN KHO'!C50="","",'TỒN KHO'!E50)</f>
        <v>18L</v>
      </c>
      <c r="C44" s="16" t="str">
        <f aca="false">IF('TỒN KHO'!C50="","",'TỒN KHO'!D50)</f>
        <v>Sơn chống thấm ETM 99 (trắng)</v>
      </c>
      <c r="D44" s="60" t="n">
        <f aca="false">IF($A44="","",SUMIFS('XUẤT KHO'!$E$5:$E$2004,'XUẤT KHO'!$C$5:$C$2004,$A44,'XUẤT KHO'!$D$5:$D$2004,$B44,'XUẤT KHO'!$A$5:$A$2004,"&gt;="&amp;D$4,'XUẤT KHO'!$A$5:$A$2004,"&lt;"&amp;EDATE(D$4,1)))</f>
        <v>3</v>
      </c>
      <c r="E44" s="60" t="n">
        <f aca="false">IF($A44="","",SUMIFS('XUẤT KHO'!$E$5:$E$2004,'XUẤT KHO'!$C$5:$C$2004,$A44,'XUẤT KHO'!$D$5:$D$2004,$B44,'XUẤT KHO'!$A$5:$A$2004,"&gt;="&amp;E$4,'XUẤT KHO'!$A$5:$A$2004,"&lt;"&amp;EDATE(E$4,1)))</f>
        <v>0</v>
      </c>
      <c r="F44" s="60" t="n">
        <f aca="false">IF($A44="","",SUMIFS('XUẤT KHO'!$E$5:$E$2004,'XUẤT KHO'!$C$5:$C$2004,$A44,'XUẤT KHO'!$D$5:$D$2004,$B44,'XUẤT KHO'!$A$5:$A$2004,"&gt;="&amp;F$4,'XUẤT KHO'!$A$5:$A$2004,"&lt;"&amp;EDATE(F$4,1)))</f>
        <v>0</v>
      </c>
      <c r="G44" s="60" t="n">
        <f aca="false">IF($A44="","",SUMIFS('XUẤT KHO'!$E$5:$E$2004,'XUẤT KHO'!$C$5:$C$2004,$A44,'XUẤT KHO'!$D$5:$D$2004,$B44,'XUẤT KHO'!$A$5:$A$2004,"&gt;="&amp;G$4,'XUẤT KHO'!$A$5:$A$2004,"&lt;"&amp;EDATE(G$4,1)))</f>
        <v>0</v>
      </c>
      <c r="H44" s="60" t="n">
        <f aca="false">IF($A44="","",SUMIFS('XUẤT KHO'!$E$5:$E$2004,'XUẤT KHO'!$C$5:$C$2004,$A44,'XUẤT KHO'!$D$5:$D$2004,$B44,'XUẤT KHO'!$A$5:$A$2004,"&gt;="&amp;H$4,'XUẤT KHO'!$A$5:$A$2004,"&lt;"&amp;EDATE(H$4,1)))</f>
        <v>0</v>
      </c>
      <c r="I44" s="60" t="n">
        <f aca="false">IF($A44="","",SUMIFS('XUẤT KHO'!$E$5:$E$2004,'XUẤT KHO'!$C$5:$C$2004,$A44,'XUẤT KHO'!$D$5:$D$2004,$B44,'XUẤT KHO'!$A$5:$A$2004,"&gt;="&amp;I$4,'XUẤT KHO'!$A$5:$A$2004,"&lt;"&amp;EDATE(I$4,1)))</f>
        <v>0</v>
      </c>
      <c r="J44" s="60" t="n">
        <f aca="false">IF($A44="","",SUMIFS('XUẤT KHO'!$E$5:$E$2004,'XUẤT KHO'!$C$5:$C$2004,$A44,'XUẤT KHO'!$D$5:$D$2004,$B44,'XUẤT KHO'!$A$5:$A$2004,"&gt;="&amp;J$4,'XUẤT KHO'!$A$5:$A$2004,"&lt;"&amp;EDATE(J$4,1)))</f>
        <v>0</v>
      </c>
      <c r="K44" s="60" t="n">
        <f aca="false">IF($A44="","",SUMIFS('XUẤT KHO'!$E$5:$E$2004,'XUẤT KHO'!$C$5:$C$2004,$A44,'XUẤT KHO'!$D$5:$D$2004,$B44,'XUẤT KHO'!$A$5:$A$2004,"&gt;="&amp;K$4,'XUẤT KHO'!$A$5:$A$2004,"&lt;"&amp;EDATE(K$4,1)))</f>
        <v>0</v>
      </c>
      <c r="L44" s="60" t="n">
        <f aca="false">IF($A44="","",SUMIFS('XUẤT KHO'!$E$5:$E$2004,'XUẤT KHO'!$C$5:$C$2004,$A44,'XUẤT KHO'!$D$5:$D$2004,$B44,'XUẤT KHO'!$A$5:$A$2004,"&gt;="&amp;L$4,'XUẤT KHO'!$A$5:$A$2004,"&lt;"&amp;EDATE(L$4,1)))</f>
        <v>0</v>
      </c>
      <c r="M44" s="60" t="n">
        <f aca="false">IF($A44="","",SUMIFS('XUẤT KHO'!$E$5:$E$2004,'XUẤT KHO'!$C$5:$C$2004,$A44,'XUẤT KHO'!$D$5:$D$2004,$B44,'XUẤT KHO'!$A$5:$A$2004,"&gt;="&amp;M$4,'XUẤT KHO'!$A$5:$A$2004,"&lt;"&amp;EDATE(M$4,1)))</f>
        <v>0</v>
      </c>
      <c r="N44" s="60" t="n">
        <f aca="false">IF($A44="","",SUMIFS('XUẤT KHO'!$E$5:$E$2004,'XUẤT KHO'!$C$5:$C$2004,$A44,'XUẤT KHO'!$D$5:$D$2004,$B44,'XUẤT KHO'!$A$5:$A$2004,"&gt;="&amp;N$4,'XUẤT KHO'!$A$5:$A$2004,"&lt;"&amp;EDATE(N$4,1)))</f>
        <v>0</v>
      </c>
      <c r="O44" s="60" t="n">
        <f aca="false">IF($A44="","",SUMIFS('XUẤT KHO'!$E$5:$E$2004,'XUẤT KHO'!$C$5:$C$2004,$A44,'XUẤT KHO'!$D$5:$D$2004,$B44,'XUẤT KHO'!$A$5:$A$2004,"&gt;="&amp;O$4,'XUẤT KHO'!$A$5:$A$2004,"&lt;"&amp;EDATE(O$4,1)))</f>
        <v>0</v>
      </c>
      <c r="P44" s="61" t="n">
        <f aca="false">IF($A44="","",SUM(D44:O44))</f>
        <v>3</v>
      </c>
    </row>
    <row r="45" customFormat="false" ht="15" hidden="false" customHeight="false" outlineLevel="0" collapsed="false">
      <c r="A45" s="16" t="str">
        <f aca="false">IF('TỒN KHO'!C51="","",'TỒN KHO'!C51)</f>
        <v>ETM-303</v>
      </c>
      <c r="B45" s="16" t="str">
        <f aca="false">IF('TỒN KHO'!C51="","",'TỒN KHO'!E51)</f>
        <v>5L</v>
      </c>
      <c r="C45" s="16" t="str">
        <f aca="false">IF('TỒN KHO'!C51="","",'TỒN KHO'!D51)</f>
        <v>Sơn chống thấm màu ETM 303 (ghi nhạt)</v>
      </c>
      <c r="D45" s="60" t="n">
        <f aca="false">IF($A45="","",SUMIFS('XUẤT KHO'!$E$5:$E$2004,'XUẤT KHO'!$C$5:$C$2004,$A45,'XUẤT KHO'!$D$5:$D$2004,$B45,'XUẤT KHO'!$A$5:$A$2004,"&gt;="&amp;D$4,'XUẤT KHO'!$A$5:$A$2004,"&lt;"&amp;EDATE(D$4,1)))</f>
        <v>0</v>
      </c>
      <c r="E45" s="60" t="n">
        <f aca="false">IF($A45="","",SUMIFS('XUẤT KHO'!$E$5:$E$2004,'XUẤT KHO'!$C$5:$C$2004,$A45,'XUẤT KHO'!$D$5:$D$2004,$B45,'XUẤT KHO'!$A$5:$A$2004,"&gt;="&amp;E$4,'XUẤT KHO'!$A$5:$A$2004,"&lt;"&amp;EDATE(E$4,1)))</f>
        <v>0</v>
      </c>
      <c r="F45" s="60" t="n">
        <f aca="false">IF($A45="","",SUMIFS('XUẤT KHO'!$E$5:$E$2004,'XUẤT KHO'!$C$5:$C$2004,$A45,'XUẤT KHO'!$D$5:$D$2004,$B45,'XUẤT KHO'!$A$5:$A$2004,"&gt;="&amp;F$4,'XUẤT KHO'!$A$5:$A$2004,"&lt;"&amp;EDATE(F$4,1)))</f>
        <v>0</v>
      </c>
      <c r="G45" s="60" t="n">
        <f aca="false">IF($A45="","",SUMIFS('XUẤT KHO'!$E$5:$E$2004,'XUẤT KHO'!$C$5:$C$2004,$A45,'XUẤT KHO'!$D$5:$D$2004,$B45,'XUẤT KHO'!$A$5:$A$2004,"&gt;="&amp;G$4,'XUẤT KHO'!$A$5:$A$2004,"&lt;"&amp;EDATE(G$4,1)))</f>
        <v>0</v>
      </c>
      <c r="H45" s="60" t="n">
        <f aca="false">IF($A45="","",SUMIFS('XUẤT KHO'!$E$5:$E$2004,'XUẤT KHO'!$C$5:$C$2004,$A45,'XUẤT KHO'!$D$5:$D$2004,$B45,'XUẤT KHO'!$A$5:$A$2004,"&gt;="&amp;H$4,'XUẤT KHO'!$A$5:$A$2004,"&lt;"&amp;EDATE(H$4,1)))</f>
        <v>0</v>
      </c>
      <c r="I45" s="60" t="n">
        <f aca="false">IF($A45="","",SUMIFS('XUẤT KHO'!$E$5:$E$2004,'XUẤT KHO'!$C$5:$C$2004,$A45,'XUẤT KHO'!$D$5:$D$2004,$B45,'XUẤT KHO'!$A$5:$A$2004,"&gt;="&amp;I$4,'XUẤT KHO'!$A$5:$A$2004,"&lt;"&amp;EDATE(I$4,1)))</f>
        <v>0</v>
      </c>
      <c r="J45" s="60" t="n">
        <f aca="false">IF($A45="","",SUMIFS('XUẤT KHO'!$E$5:$E$2004,'XUẤT KHO'!$C$5:$C$2004,$A45,'XUẤT KHO'!$D$5:$D$2004,$B45,'XUẤT KHO'!$A$5:$A$2004,"&gt;="&amp;J$4,'XUẤT KHO'!$A$5:$A$2004,"&lt;"&amp;EDATE(J$4,1)))</f>
        <v>0</v>
      </c>
      <c r="K45" s="60" t="n">
        <f aca="false">IF($A45="","",SUMIFS('XUẤT KHO'!$E$5:$E$2004,'XUẤT KHO'!$C$5:$C$2004,$A45,'XUẤT KHO'!$D$5:$D$2004,$B45,'XUẤT KHO'!$A$5:$A$2004,"&gt;="&amp;K$4,'XUẤT KHO'!$A$5:$A$2004,"&lt;"&amp;EDATE(K$4,1)))</f>
        <v>0</v>
      </c>
      <c r="L45" s="60" t="n">
        <f aca="false">IF($A45="","",SUMIFS('XUẤT KHO'!$E$5:$E$2004,'XUẤT KHO'!$C$5:$C$2004,$A45,'XUẤT KHO'!$D$5:$D$2004,$B45,'XUẤT KHO'!$A$5:$A$2004,"&gt;="&amp;L$4,'XUẤT KHO'!$A$5:$A$2004,"&lt;"&amp;EDATE(L$4,1)))</f>
        <v>0</v>
      </c>
      <c r="M45" s="60" t="n">
        <f aca="false">IF($A45="","",SUMIFS('XUẤT KHO'!$E$5:$E$2004,'XUẤT KHO'!$C$5:$C$2004,$A45,'XUẤT KHO'!$D$5:$D$2004,$B45,'XUẤT KHO'!$A$5:$A$2004,"&gt;="&amp;M$4,'XUẤT KHO'!$A$5:$A$2004,"&lt;"&amp;EDATE(M$4,1)))</f>
        <v>0</v>
      </c>
      <c r="N45" s="60" t="n">
        <f aca="false">IF($A45="","",SUMIFS('XUẤT KHO'!$E$5:$E$2004,'XUẤT KHO'!$C$5:$C$2004,$A45,'XUẤT KHO'!$D$5:$D$2004,$B45,'XUẤT KHO'!$A$5:$A$2004,"&gt;="&amp;N$4,'XUẤT KHO'!$A$5:$A$2004,"&lt;"&amp;EDATE(N$4,1)))</f>
        <v>0</v>
      </c>
      <c r="O45" s="60" t="n">
        <f aca="false">IF($A45="","",SUMIFS('XUẤT KHO'!$E$5:$E$2004,'XUẤT KHO'!$C$5:$C$2004,$A45,'XUẤT KHO'!$D$5:$D$2004,$B45,'XUẤT KHO'!$A$5:$A$2004,"&gt;="&amp;O$4,'XUẤT KHO'!$A$5:$A$2004,"&lt;"&amp;EDATE(O$4,1)))</f>
        <v>0</v>
      </c>
      <c r="P45" s="61" t="n">
        <f aca="false">IF($A45="","",SUM(D45:O45))</f>
        <v>0</v>
      </c>
    </row>
    <row r="46" customFormat="false" ht="15" hidden="false" customHeight="false" outlineLevel="0" collapsed="false">
      <c r="A46" s="16" t="str">
        <f aca="false">IF('TỒN KHO'!C52="","",'TỒN KHO'!C52)</f>
        <v>ETM-303</v>
      </c>
      <c r="B46" s="16" t="str">
        <f aca="false">IF('TỒN KHO'!C52="","",'TỒN KHO'!E52)</f>
        <v>18L</v>
      </c>
      <c r="C46" s="16" t="str">
        <f aca="false">IF('TỒN KHO'!C52="","",'TỒN KHO'!D52)</f>
        <v>Sơn chống thấm màu ETM 303 (ghi nhạt)</v>
      </c>
      <c r="D46" s="60" t="n">
        <f aca="false">IF($A46="","",SUMIFS('XUẤT KHO'!$E$5:$E$2004,'XUẤT KHO'!$C$5:$C$2004,$A46,'XUẤT KHO'!$D$5:$D$2004,$B46,'XUẤT KHO'!$A$5:$A$2004,"&gt;="&amp;D$4,'XUẤT KHO'!$A$5:$A$2004,"&lt;"&amp;EDATE(D$4,1)))</f>
        <v>0</v>
      </c>
      <c r="E46" s="60" t="n">
        <f aca="false">IF($A46="","",SUMIFS('XUẤT KHO'!$E$5:$E$2004,'XUẤT KHO'!$C$5:$C$2004,$A46,'XUẤT KHO'!$D$5:$D$2004,$B46,'XUẤT KHO'!$A$5:$A$2004,"&gt;="&amp;E$4,'XUẤT KHO'!$A$5:$A$2004,"&lt;"&amp;EDATE(E$4,1)))</f>
        <v>0</v>
      </c>
      <c r="F46" s="60" t="n">
        <f aca="false">IF($A46="","",SUMIFS('XUẤT KHO'!$E$5:$E$2004,'XUẤT KHO'!$C$5:$C$2004,$A46,'XUẤT KHO'!$D$5:$D$2004,$B46,'XUẤT KHO'!$A$5:$A$2004,"&gt;="&amp;F$4,'XUẤT KHO'!$A$5:$A$2004,"&lt;"&amp;EDATE(F$4,1)))</f>
        <v>0</v>
      </c>
      <c r="G46" s="60" t="n">
        <f aca="false">IF($A46="","",SUMIFS('XUẤT KHO'!$E$5:$E$2004,'XUẤT KHO'!$C$5:$C$2004,$A46,'XUẤT KHO'!$D$5:$D$2004,$B46,'XUẤT KHO'!$A$5:$A$2004,"&gt;="&amp;G$4,'XUẤT KHO'!$A$5:$A$2004,"&lt;"&amp;EDATE(G$4,1)))</f>
        <v>0</v>
      </c>
      <c r="H46" s="60" t="n">
        <f aca="false">IF($A46="","",SUMIFS('XUẤT KHO'!$E$5:$E$2004,'XUẤT KHO'!$C$5:$C$2004,$A46,'XUẤT KHO'!$D$5:$D$2004,$B46,'XUẤT KHO'!$A$5:$A$2004,"&gt;="&amp;H$4,'XUẤT KHO'!$A$5:$A$2004,"&lt;"&amp;EDATE(H$4,1)))</f>
        <v>0</v>
      </c>
      <c r="I46" s="60" t="n">
        <f aca="false">IF($A46="","",SUMIFS('XUẤT KHO'!$E$5:$E$2004,'XUẤT KHO'!$C$5:$C$2004,$A46,'XUẤT KHO'!$D$5:$D$2004,$B46,'XUẤT KHO'!$A$5:$A$2004,"&gt;="&amp;I$4,'XUẤT KHO'!$A$5:$A$2004,"&lt;"&amp;EDATE(I$4,1)))</f>
        <v>0</v>
      </c>
      <c r="J46" s="60" t="n">
        <f aca="false">IF($A46="","",SUMIFS('XUẤT KHO'!$E$5:$E$2004,'XUẤT KHO'!$C$5:$C$2004,$A46,'XUẤT KHO'!$D$5:$D$2004,$B46,'XUẤT KHO'!$A$5:$A$2004,"&gt;="&amp;J$4,'XUẤT KHO'!$A$5:$A$2004,"&lt;"&amp;EDATE(J$4,1)))</f>
        <v>0</v>
      </c>
      <c r="K46" s="60" t="n">
        <f aca="false">IF($A46="","",SUMIFS('XUẤT KHO'!$E$5:$E$2004,'XUẤT KHO'!$C$5:$C$2004,$A46,'XUẤT KHO'!$D$5:$D$2004,$B46,'XUẤT KHO'!$A$5:$A$2004,"&gt;="&amp;K$4,'XUẤT KHO'!$A$5:$A$2004,"&lt;"&amp;EDATE(K$4,1)))</f>
        <v>0</v>
      </c>
      <c r="L46" s="60" t="n">
        <f aca="false">IF($A46="","",SUMIFS('XUẤT KHO'!$E$5:$E$2004,'XUẤT KHO'!$C$5:$C$2004,$A46,'XUẤT KHO'!$D$5:$D$2004,$B46,'XUẤT KHO'!$A$5:$A$2004,"&gt;="&amp;L$4,'XUẤT KHO'!$A$5:$A$2004,"&lt;"&amp;EDATE(L$4,1)))</f>
        <v>0</v>
      </c>
      <c r="M46" s="60" t="n">
        <f aca="false">IF($A46="","",SUMIFS('XUẤT KHO'!$E$5:$E$2004,'XUẤT KHO'!$C$5:$C$2004,$A46,'XUẤT KHO'!$D$5:$D$2004,$B46,'XUẤT KHO'!$A$5:$A$2004,"&gt;="&amp;M$4,'XUẤT KHO'!$A$5:$A$2004,"&lt;"&amp;EDATE(M$4,1)))</f>
        <v>0</v>
      </c>
      <c r="N46" s="60" t="n">
        <f aca="false">IF($A46="","",SUMIFS('XUẤT KHO'!$E$5:$E$2004,'XUẤT KHO'!$C$5:$C$2004,$A46,'XUẤT KHO'!$D$5:$D$2004,$B46,'XUẤT KHO'!$A$5:$A$2004,"&gt;="&amp;N$4,'XUẤT KHO'!$A$5:$A$2004,"&lt;"&amp;EDATE(N$4,1)))</f>
        <v>0</v>
      </c>
      <c r="O46" s="60" t="n">
        <f aca="false">IF($A46="","",SUMIFS('XUẤT KHO'!$E$5:$E$2004,'XUẤT KHO'!$C$5:$C$2004,$A46,'XUẤT KHO'!$D$5:$D$2004,$B46,'XUẤT KHO'!$A$5:$A$2004,"&gt;="&amp;O$4,'XUẤT KHO'!$A$5:$A$2004,"&lt;"&amp;EDATE(O$4,1)))</f>
        <v>0</v>
      </c>
      <c r="P46" s="61" t="n">
        <f aca="false">IF($A46="","",SUM(D46:O46))</f>
        <v>0</v>
      </c>
    </row>
    <row r="47" customFormat="false" ht="15" hidden="false" customHeight="false" outlineLevel="0" collapsed="false">
      <c r="A47" s="16" t="str">
        <f aca="false">IF('TỒN KHO'!C53="","",'TỒN KHO'!C53)</f>
        <v>CTS</v>
      </c>
      <c r="B47" s="16" t="str">
        <f aca="false">IF('TỒN KHO'!C53="","",'TỒN KHO'!E53)</f>
        <v>5L</v>
      </c>
      <c r="C47" s="16" t="str">
        <f aca="false">IF('TỒN KHO'!C53="","",'TỒN KHO'!D53)</f>
        <v>Sơn chống thấm siêu co giãn CTS-01</v>
      </c>
      <c r="D47" s="60" t="n">
        <f aca="false">IF($A47="","",SUMIFS('XUẤT KHO'!$E$5:$E$2004,'XUẤT KHO'!$C$5:$C$2004,$A47,'XUẤT KHO'!$D$5:$D$2004,$B47,'XUẤT KHO'!$A$5:$A$2004,"&gt;="&amp;D$4,'XUẤT KHO'!$A$5:$A$2004,"&lt;"&amp;EDATE(D$4,1)))</f>
        <v>0</v>
      </c>
      <c r="E47" s="60" t="n">
        <f aca="false">IF($A47="","",SUMIFS('XUẤT KHO'!$E$5:$E$2004,'XUẤT KHO'!$C$5:$C$2004,$A47,'XUẤT KHO'!$D$5:$D$2004,$B47,'XUẤT KHO'!$A$5:$A$2004,"&gt;="&amp;E$4,'XUẤT KHO'!$A$5:$A$2004,"&lt;"&amp;EDATE(E$4,1)))</f>
        <v>0</v>
      </c>
      <c r="F47" s="60" t="n">
        <f aca="false">IF($A47="","",SUMIFS('XUẤT KHO'!$E$5:$E$2004,'XUẤT KHO'!$C$5:$C$2004,$A47,'XUẤT KHO'!$D$5:$D$2004,$B47,'XUẤT KHO'!$A$5:$A$2004,"&gt;="&amp;F$4,'XUẤT KHO'!$A$5:$A$2004,"&lt;"&amp;EDATE(F$4,1)))</f>
        <v>0</v>
      </c>
      <c r="G47" s="60" t="n">
        <f aca="false">IF($A47="","",SUMIFS('XUẤT KHO'!$E$5:$E$2004,'XUẤT KHO'!$C$5:$C$2004,$A47,'XUẤT KHO'!$D$5:$D$2004,$B47,'XUẤT KHO'!$A$5:$A$2004,"&gt;="&amp;G$4,'XUẤT KHO'!$A$5:$A$2004,"&lt;"&amp;EDATE(G$4,1)))</f>
        <v>1</v>
      </c>
      <c r="H47" s="60" t="n">
        <f aca="false">IF($A47="","",SUMIFS('XUẤT KHO'!$E$5:$E$2004,'XUẤT KHO'!$C$5:$C$2004,$A47,'XUẤT KHO'!$D$5:$D$2004,$B47,'XUẤT KHO'!$A$5:$A$2004,"&gt;="&amp;H$4,'XUẤT KHO'!$A$5:$A$2004,"&lt;"&amp;EDATE(H$4,1)))</f>
        <v>0</v>
      </c>
      <c r="I47" s="60" t="n">
        <f aca="false">IF($A47="","",SUMIFS('XUẤT KHO'!$E$5:$E$2004,'XUẤT KHO'!$C$5:$C$2004,$A47,'XUẤT KHO'!$D$5:$D$2004,$B47,'XUẤT KHO'!$A$5:$A$2004,"&gt;="&amp;I$4,'XUẤT KHO'!$A$5:$A$2004,"&lt;"&amp;EDATE(I$4,1)))</f>
        <v>0</v>
      </c>
      <c r="J47" s="60" t="n">
        <f aca="false">IF($A47="","",SUMIFS('XUẤT KHO'!$E$5:$E$2004,'XUẤT KHO'!$C$5:$C$2004,$A47,'XUẤT KHO'!$D$5:$D$2004,$B47,'XUẤT KHO'!$A$5:$A$2004,"&gt;="&amp;J$4,'XUẤT KHO'!$A$5:$A$2004,"&lt;"&amp;EDATE(J$4,1)))</f>
        <v>0</v>
      </c>
      <c r="K47" s="60" t="n">
        <f aca="false">IF($A47="","",SUMIFS('XUẤT KHO'!$E$5:$E$2004,'XUẤT KHO'!$C$5:$C$2004,$A47,'XUẤT KHO'!$D$5:$D$2004,$B47,'XUẤT KHO'!$A$5:$A$2004,"&gt;="&amp;K$4,'XUẤT KHO'!$A$5:$A$2004,"&lt;"&amp;EDATE(K$4,1)))</f>
        <v>0</v>
      </c>
      <c r="L47" s="60" t="n">
        <f aca="false">IF($A47="","",SUMIFS('XUẤT KHO'!$E$5:$E$2004,'XUẤT KHO'!$C$5:$C$2004,$A47,'XUẤT KHO'!$D$5:$D$2004,$B47,'XUẤT KHO'!$A$5:$A$2004,"&gt;="&amp;L$4,'XUẤT KHO'!$A$5:$A$2004,"&lt;"&amp;EDATE(L$4,1)))</f>
        <v>0</v>
      </c>
      <c r="M47" s="60" t="n">
        <f aca="false">IF($A47="","",SUMIFS('XUẤT KHO'!$E$5:$E$2004,'XUẤT KHO'!$C$5:$C$2004,$A47,'XUẤT KHO'!$D$5:$D$2004,$B47,'XUẤT KHO'!$A$5:$A$2004,"&gt;="&amp;M$4,'XUẤT KHO'!$A$5:$A$2004,"&lt;"&amp;EDATE(M$4,1)))</f>
        <v>0</v>
      </c>
      <c r="N47" s="60" t="n">
        <f aca="false">IF($A47="","",SUMIFS('XUẤT KHO'!$E$5:$E$2004,'XUẤT KHO'!$C$5:$C$2004,$A47,'XUẤT KHO'!$D$5:$D$2004,$B47,'XUẤT KHO'!$A$5:$A$2004,"&gt;="&amp;N$4,'XUẤT KHO'!$A$5:$A$2004,"&lt;"&amp;EDATE(N$4,1)))</f>
        <v>0</v>
      </c>
      <c r="O47" s="60" t="n">
        <f aca="false">IF($A47="","",SUMIFS('XUẤT KHO'!$E$5:$E$2004,'XUẤT KHO'!$C$5:$C$2004,$A47,'XUẤT KHO'!$D$5:$D$2004,$B47,'XUẤT KHO'!$A$5:$A$2004,"&gt;="&amp;O$4,'XUẤT KHO'!$A$5:$A$2004,"&lt;"&amp;EDATE(O$4,1)))</f>
        <v>0</v>
      </c>
      <c r="P47" s="61" t="n">
        <f aca="false">IF($A47="","",SUM(D47:O47))</f>
        <v>1</v>
      </c>
    </row>
    <row r="48" customFormat="false" ht="15" hidden="false" customHeight="false" outlineLevel="0" collapsed="false">
      <c r="A48" s="16" t="str">
        <f aca="false">IF('TỒN KHO'!C54="","",'TỒN KHO'!C54)</f>
        <v>CTS</v>
      </c>
      <c r="B48" s="16" t="str">
        <f aca="false">IF('TỒN KHO'!C54="","",'TỒN KHO'!E54)</f>
        <v>18L</v>
      </c>
      <c r="C48" s="16" t="str">
        <f aca="false">IF('TỒN KHO'!C54="","",'TỒN KHO'!D54)</f>
        <v>Sơn chống thấm siêu co giãn CTS-01</v>
      </c>
      <c r="D48" s="60" t="n">
        <f aca="false">IF($A48="","",SUMIFS('XUẤT KHO'!$E$5:$E$2004,'XUẤT KHO'!$C$5:$C$2004,$A48,'XUẤT KHO'!$D$5:$D$2004,$B48,'XUẤT KHO'!$A$5:$A$2004,"&gt;="&amp;D$4,'XUẤT KHO'!$A$5:$A$2004,"&lt;"&amp;EDATE(D$4,1)))</f>
        <v>0</v>
      </c>
      <c r="E48" s="60" t="n">
        <f aca="false">IF($A48="","",SUMIFS('XUẤT KHO'!$E$5:$E$2004,'XUẤT KHO'!$C$5:$C$2004,$A48,'XUẤT KHO'!$D$5:$D$2004,$B48,'XUẤT KHO'!$A$5:$A$2004,"&gt;="&amp;E$4,'XUẤT KHO'!$A$5:$A$2004,"&lt;"&amp;EDATE(E$4,1)))</f>
        <v>0</v>
      </c>
      <c r="F48" s="60" t="n">
        <f aca="false">IF($A48="","",SUMIFS('XUẤT KHO'!$E$5:$E$2004,'XUẤT KHO'!$C$5:$C$2004,$A48,'XUẤT KHO'!$D$5:$D$2004,$B48,'XUẤT KHO'!$A$5:$A$2004,"&gt;="&amp;F$4,'XUẤT KHO'!$A$5:$A$2004,"&lt;"&amp;EDATE(F$4,1)))</f>
        <v>0</v>
      </c>
      <c r="G48" s="60" t="n">
        <f aca="false">IF($A48="","",SUMIFS('XUẤT KHO'!$E$5:$E$2004,'XUẤT KHO'!$C$5:$C$2004,$A48,'XUẤT KHO'!$D$5:$D$2004,$B48,'XUẤT KHO'!$A$5:$A$2004,"&gt;="&amp;G$4,'XUẤT KHO'!$A$5:$A$2004,"&lt;"&amp;EDATE(G$4,1)))</f>
        <v>3</v>
      </c>
      <c r="H48" s="60" t="n">
        <f aca="false">IF($A48="","",SUMIFS('XUẤT KHO'!$E$5:$E$2004,'XUẤT KHO'!$C$5:$C$2004,$A48,'XUẤT KHO'!$D$5:$D$2004,$B48,'XUẤT KHO'!$A$5:$A$2004,"&gt;="&amp;H$4,'XUẤT KHO'!$A$5:$A$2004,"&lt;"&amp;EDATE(H$4,1)))</f>
        <v>0</v>
      </c>
      <c r="I48" s="60" t="n">
        <f aca="false">IF($A48="","",SUMIFS('XUẤT KHO'!$E$5:$E$2004,'XUẤT KHO'!$C$5:$C$2004,$A48,'XUẤT KHO'!$D$5:$D$2004,$B48,'XUẤT KHO'!$A$5:$A$2004,"&gt;="&amp;I$4,'XUẤT KHO'!$A$5:$A$2004,"&lt;"&amp;EDATE(I$4,1)))</f>
        <v>0</v>
      </c>
      <c r="J48" s="60" t="n">
        <f aca="false">IF($A48="","",SUMIFS('XUẤT KHO'!$E$5:$E$2004,'XUẤT KHO'!$C$5:$C$2004,$A48,'XUẤT KHO'!$D$5:$D$2004,$B48,'XUẤT KHO'!$A$5:$A$2004,"&gt;="&amp;J$4,'XUẤT KHO'!$A$5:$A$2004,"&lt;"&amp;EDATE(J$4,1)))</f>
        <v>0</v>
      </c>
      <c r="K48" s="60" t="n">
        <f aca="false">IF($A48="","",SUMIFS('XUẤT KHO'!$E$5:$E$2004,'XUẤT KHO'!$C$5:$C$2004,$A48,'XUẤT KHO'!$D$5:$D$2004,$B48,'XUẤT KHO'!$A$5:$A$2004,"&gt;="&amp;K$4,'XUẤT KHO'!$A$5:$A$2004,"&lt;"&amp;EDATE(K$4,1)))</f>
        <v>0</v>
      </c>
      <c r="L48" s="60" t="n">
        <f aca="false">IF($A48="","",SUMIFS('XUẤT KHO'!$E$5:$E$2004,'XUẤT KHO'!$C$5:$C$2004,$A48,'XUẤT KHO'!$D$5:$D$2004,$B48,'XUẤT KHO'!$A$5:$A$2004,"&gt;="&amp;L$4,'XUẤT KHO'!$A$5:$A$2004,"&lt;"&amp;EDATE(L$4,1)))</f>
        <v>0</v>
      </c>
      <c r="M48" s="60" t="n">
        <f aca="false">IF($A48="","",SUMIFS('XUẤT KHO'!$E$5:$E$2004,'XUẤT KHO'!$C$5:$C$2004,$A48,'XUẤT KHO'!$D$5:$D$2004,$B48,'XUẤT KHO'!$A$5:$A$2004,"&gt;="&amp;M$4,'XUẤT KHO'!$A$5:$A$2004,"&lt;"&amp;EDATE(M$4,1)))</f>
        <v>0</v>
      </c>
      <c r="N48" s="60" t="n">
        <f aca="false">IF($A48="","",SUMIFS('XUẤT KHO'!$E$5:$E$2004,'XUẤT KHO'!$C$5:$C$2004,$A48,'XUẤT KHO'!$D$5:$D$2004,$B48,'XUẤT KHO'!$A$5:$A$2004,"&gt;="&amp;N$4,'XUẤT KHO'!$A$5:$A$2004,"&lt;"&amp;EDATE(N$4,1)))</f>
        <v>0</v>
      </c>
      <c r="O48" s="60" t="n">
        <f aca="false">IF($A48="","",SUMIFS('XUẤT KHO'!$E$5:$E$2004,'XUẤT KHO'!$C$5:$C$2004,$A48,'XUẤT KHO'!$D$5:$D$2004,$B48,'XUẤT KHO'!$A$5:$A$2004,"&gt;="&amp;O$4,'XUẤT KHO'!$A$5:$A$2004,"&lt;"&amp;EDATE(O$4,1)))</f>
        <v>0</v>
      </c>
      <c r="P48" s="61" t="n">
        <f aca="false">IF($A48="","",SUM(D48:O48))</f>
        <v>3</v>
      </c>
    </row>
    <row r="49" customFormat="false" ht="15" hidden="false" customHeight="false" outlineLevel="0" collapsed="false">
      <c r="A49" s="16" t="str">
        <f aca="false">IF('TỒN KHO'!C55="","",'TỒN KHO'!C55)</f>
        <v>BA-NOI</v>
      </c>
      <c r="B49" s="16" t="str">
        <f aca="false">IF('TỒN KHO'!C55="","",'TỒN KHO'!E55)</f>
        <v>Bao</v>
      </c>
      <c r="C49" s="16" t="str">
        <f aca="false">IF('TỒN KHO'!C55="","",'TỒN KHO'!D55)</f>
        <v>Bột bả nội thất Imperia IP15 (40kg)</v>
      </c>
      <c r="D49" s="60" t="n">
        <f aca="false">IF($A49="","",SUMIFS('XUẤT KHO'!$E$5:$E$2004,'XUẤT KHO'!$C$5:$C$2004,$A49,'XUẤT KHO'!$D$5:$D$2004,$B49,'XUẤT KHO'!$A$5:$A$2004,"&gt;="&amp;D$4,'XUẤT KHO'!$A$5:$A$2004,"&lt;"&amp;EDATE(D$4,1)))</f>
        <v>9</v>
      </c>
      <c r="E49" s="60" t="n">
        <f aca="false">IF($A49="","",SUMIFS('XUẤT KHO'!$E$5:$E$2004,'XUẤT KHO'!$C$5:$C$2004,$A49,'XUẤT KHO'!$D$5:$D$2004,$B49,'XUẤT KHO'!$A$5:$A$2004,"&gt;="&amp;E$4,'XUẤT KHO'!$A$5:$A$2004,"&lt;"&amp;EDATE(E$4,1)))</f>
        <v>12</v>
      </c>
      <c r="F49" s="60" t="n">
        <f aca="false">IF($A49="","",SUMIFS('XUẤT KHO'!$E$5:$E$2004,'XUẤT KHO'!$C$5:$C$2004,$A49,'XUẤT KHO'!$D$5:$D$2004,$B49,'XUẤT KHO'!$A$5:$A$2004,"&gt;="&amp;F$4,'XUẤT KHO'!$A$5:$A$2004,"&lt;"&amp;EDATE(F$4,1)))</f>
        <v>3</v>
      </c>
      <c r="G49" s="60" t="n">
        <f aca="false">IF($A49="","",SUMIFS('XUẤT KHO'!$E$5:$E$2004,'XUẤT KHO'!$C$5:$C$2004,$A49,'XUẤT KHO'!$D$5:$D$2004,$B49,'XUẤT KHO'!$A$5:$A$2004,"&gt;="&amp;G$4,'XUẤT KHO'!$A$5:$A$2004,"&lt;"&amp;EDATE(G$4,1)))</f>
        <v>8</v>
      </c>
      <c r="H49" s="60" t="n">
        <f aca="false">IF($A49="","",SUMIFS('XUẤT KHO'!$E$5:$E$2004,'XUẤT KHO'!$C$5:$C$2004,$A49,'XUẤT KHO'!$D$5:$D$2004,$B49,'XUẤT KHO'!$A$5:$A$2004,"&gt;="&amp;H$4,'XUẤT KHO'!$A$5:$A$2004,"&lt;"&amp;EDATE(H$4,1)))</f>
        <v>0</v>
      </c>
      <c r="I49" s="60" t="n">
        <f aca="false">IF($A49="","",SUMIFS('XUẤT KHO'!$E$5:$E$2004,'XUẤT KHO'!$C$5:$C$2004,$A49,'XUẤT KHO'!$D$5:$D$2004,$B49,'XUẤT KHO'!$A$5:$A$2004,"&gt;="&amp;I$4,'XUẤT KHO'!$A$5:$A$2004,"&lt;"&amp;EDATE(I$4,1)))</f>
        <v>0</v>
      </c>
      <c r="J49" s="60" t="n">
        <f aca="false">IF($A49="","",SUMIFS('XUẤT KHO'!$E$5:$E$2004,'XUẤT KHO'!$C$5:$C$2004,$A49,'XUẤT KHO'!$D$5:$D$2004,$B49,'XUẤT KHO'!$A$5:$A$2004,"&gt;="&amp;J$4,'XUẤT KHO'!$A$5:$A$2004,"&lt;"&amp;EDATE(J$4,1)))</f>
        <v>0</v>
      </c>
      <c r="K49" s="60" t="n">
        <f aca="false">IF($A49="","",SUMIFS('XUẤT KHO'!$E$5:$E$2004,'XUẤT KHO'!$C$5:$C$2004,$A49,'XUẤT KHO'!$D$5:$D$2004,$B49,'XUẤT KHO'!$A$5:$A$2004,"&gt;="&amp;K$4,'XUẤT KHO'!$A$5:$A$2004,"&lt;"&amp;EDATE(K$4,1)))</f>
        <v>0</v>
      </c>
      <c r="L49" s="60" t="n">
        <f aca="false">IF($A49="","",SUMIFS('XUẤT KHO'!$E$5:$E$2004,'XUẤT KHO'!$C$5:$C$2004,$A49,'XUẤT KHO'!$D$5:$D$2004,$B49,'XUẤT KHO'!$A$5:$A$2004,"&gt;="&amp;L$4,'XUẤT KHO'!$A$5:$A$2004,"&lt;"&amp;EDATE(L$4,1)))</f>
        <v>0</v>
      </c>
      <c r="M49" s="60" t="n">
        <f aca="false">IF($A49="","",SUMIFS('XUẤT KHO'!$E$5:$E$2004,'XUẤT KHO'!$C$5:$C$2004,$A49,'XUẤT KHO'!$D$5:$D$2004,$B49,'XUẤT KHO'!$A$5:$A$2004,"&gt;="&amp;M$4,'XUẤT KHO'!$A$5:$A$2004,"&lt;"&amp;EDATE(M$4,1)))</f>
        <v>0</v>
      </c>
      <c r="N49" s="60" t="n">
        <f aca="false">IF($A49="","",SUMIFS('XUẤT KHO'!$E$5:$E$2004,'XUẤT KHO'!$C$5:$C$2004,$A49,'XUẤT KHO'!$D$5:$D$2004,$B49,'XUẤT KHO'!$A$5:$A$2004,"&gt;="&amp;N$4,'XUẤT KHO'!$A$5:$A$2004,"&lt;"&amp;EDATE(N$4,1)))</f>
        <v>0</v>
      </c>
      <c r="O49" s="60" t="n">
        <f aca="false">IF($A49="","",SUMIFS('XUẤT KHO'!$E$5:$E$2004,'XUẤT KHO'!$C$5:$C$2004,$A49,'XUẤT KHO'!$D$5:$D$2004,$B49,'XUẤT KHO'!$A$5:$A$2004,"&gt;="&amp;O$4,'XUẤT KHO'!$A$5:$A$2004,"&lt;"&amp;EDATE(O$4,1)))</f>
        <v>0</v>
      </c>
      <c r="P49" s="61" t="n">
        <f aca="false">IF($A49="","",SUM(D49:O49))</f>
        <v>32</v>
      </c>
    </row>
    <row r="50" customFormat="false" ht="15" hidden="false" customHeight="false" outlineLevel="0" collapsed="false">
      <c r="A50" s="16" t="str">
        <f aca="false">IF('TỒN KHO'!C56="","",'TỒN KHO'!C56)</f>
        <v>BA-NGOAI</v>
      </c>
      <c r="B50" s="16" t="str">
        <f aca="false">IF('TỒN KHO'!C56="","",'TỒN KHO'!E56)</f>
        <v>Bao</v>
      </c>
      <c r="C50" s="16" t="str">
        <f aca="false">IF('TỒN KHO'!C56="","",'TỒN KHO'!D56)</f>
        <v>Bột bả ngoại thất Imperia EP14 (40kg)</v>
      </c>
      <c r="D50" s="60" t="n">
        <f aca="false">IF($A50="","",SUMIFS('XUẤT KHO'!$E$5:$E$2004,'XUẤT KHO'!$C$5:$C$2004,$A50,'XUẤT KHO'!$D$5:$D$2004,$B50,'XUẤT KHO'!$A$5:$A$2004,"&gt;="&amp;D$4,'XUẤT KHO'!$A$5:$A$2004,"&lt;"&amp;EDATE(D$4,1)))</f>
        <v>0</v>
      </c>
      <c r="E50" s="60" t="n">
        <f aca="false">IF($A50="","",SUMIFS('XUẤT KHO'!$E$5:$E$2004,'XUẤT KHO'!$C$5:$C$2004,$A50,'XUẤT KHO'!$D$5:$D$2004,$B50,'XUẤT KHO'!$A$5:$A$2004,"&gt;="&amp;E$4,'XUẤT KHO'!$A$5:$A$2004,"&lt;"&amp;EDATE(E$4,1)))</f>
        <v>6</v>
      </c>
      <c r="F50" s="60" t="n">
        <f aca="false">IF($A50="","",SUMIFS('XUẤT KHO'!$E$5:$E$2004,'XUẤT KHO'!$C$5:$C$2004,$A50,'XUẤT KHO'!$D$5:$D$2004,$B50,'XUẤT KHO'!$A$5:$A$2004,"&gt;="&amp;F$4,'XUẤT KHO'!$A$5:$A$2004,"&lt;"&amp;EDATE(F$4,1)))</f>
        <v>0</v>
      </c>
      <c r="G50" s="60" t="n">
        <f aca="false">IF($A50="","",SUMIFS('XUẤT KHO'!$E$5:$E$2004,'XUẤT KHO'!$C$5:$C$2004,$A50,'XUẤT KHO'!$D$5:$D$2004,$B50,'XUẤT KHO'!$A$5:$A$2004,"&gt;="&amp;G$4,'XUẤT KHO'!$A$5:$A$2004,"&lt;"&amp;EDATE(G$4,1)))</f>
        <v>3</v>
      </c>
      <c r="H50" s="60" t="n">
        <f aca="false">IF($A50="","",SUMIFS('XUẤT KHO'!$E$5:$E$2004,'XUẤT KHO'!$C$5:$C$2004,$A50,'XUẤT KHO'!$D$5:$D$2004,$B50,'XUẤT KHO'!$A$5:$A$2004,"&gt;="&amp;H$4,'XUẤT KHO'!$A$5:$A$2004,"&lt;"&amp;EDATE(H$4,1)))</f>
        <v>0</v>
      </c>
      <c r="I50" s="60" t="n">
        <f aca="false">IF($A50="","",SUMIFS('XUẤT KHO'!$E$5:$E$2004,'XUẤT KHO'!$C$5:$C$2004,$A50,'XUẤT KHO'!$D$5:$D$2004,$B50,'XUẤT KHO'!$A$5:$A$2004,"&gt;="&amp;I$4,'XUẤT KHO'!$A$5:$A$2004,"&lt;"&amp;EDATE(I$4,1)))</f>
        <v>0</v>
      </c>
      <c r="J50" s="60" t="n">
        <f aca="false">IF($A50="","",SUMIFS('XUẤT KHO'!$E$5:$E$2004,'XUẤT KHO'!$C$5:$C$2004,$A50,'XUẤT KHO'!$D$5:$D$2004,$B50,'XUẤT KHO'!$A$5:$A$2004,"&gt;="&amp;J$4,'XUẤT KHO'!$A$5:$A$2004,"&lt;"&amp;EDATE(J$4,1)))</f>
        <v>0</v>
      </c>
      <c r="K50" s="60" t="n">
        <f aca="false">IF($A50="","",SUMIFS('XUẤT KHO'!$E$5:$E$2004,'XUẤT KHO'!$C$5:$C$2004,$A50,'XUẤT KHO'!$D$5:$D$2004,$B50,'XUẤT KHO'!$A$5:$A$2004,"&gt;="&amp;K$4,'XUẤT KHO'!$A$5:$A$2004,"&lt;"&amp;EDATE(K$4,1)))</f>
        <v>0</v>
      </c>
      <c r="L50" s="60" t="n">
        <f aca="false">IF($A50="","",SUMIFS('XUẤT KHO'!$E$5:$E$2004,'XUẤT KHO'!$C$5:$C$2004,$A50,'XUẤT KHO'!$D$5:$D$2004,$B50,'XUẤT KHO'!$A$5:$A$2004,"&gt;="&amp;L$4,'XUẤT KHO'!$A$5:$A$2004,"&lt;"&amp;EDATE(L$4,1)))</f>
        <v>0</v>
      </c>
      <c r="M50" s="60" t="n">
        <f aca="false">IF($A50="","",SUMIFS('XUẤT KHO'!$E$5:$E$2004,'XUẤT KHO'!$C$5:$C$2004,$A50,'XUẤT KHO'!$D$5:$D$2004,$B50,'XUẤT KHO'!$A$5:$A$2004,"&gt;="&amp;M$4,'XUẤT KHO'!$A$5:$A$2004,"&lt;"&amp;EDATE(M$4,1)))</f>
        <v>0</v>
      </c>
      <c r="N50" s="60" t="n">
        <f aca="false">IF($A50="","",SUMIFS('XUẤT KHO'!$E$5:$E$2004,'XUẤT KHO'!$C$5:$C$2004,$A50,'XUẤT KHO'!$D$5:$D$2004,$B50,'XUẤT KHO'!$A$5:$A$2004,"&gt;="&amp;N$4,'XUẤT KHO'!$A$5:$A$2004,"&lt;"&amp;EDATE(N$4,1)))</f>
        <v>0</v>
      </c>
      <c r="O50" s="60" t="n">
        <f aca="false">IF($A50="","",SUMIFS('XUẤT KHO'!$E$5:$E$2004,'XUẤT KHO'!$C$5:$C$2004,$A50,'XUẤT KHO'!$D$5:$D$2004,$B50,'XUẤT KHO'!$A$5:$A$2004,"&gt;="&amp;O$4,'XUẤT KHO'!$A$5:$A$2004,"&lt;"&amp;EDATE(O$4,1)))</f>
        <v>0</v>
      </c>
      <c r="P50" s="61" t="n">
        <f aca="false">IF($A50="","",SUM(D50:O50))</f>
        <v>9</v>
      </c>
    </row>
    <row r="51" customFormat="false" ht="15" hidden="false" customHeight="false" outlineLevel="0" collapsed="false">
      <c r="A51" s="16" t="str">
        <f aca="false">IF('TỒN KHO'!C57="","",'TỒN KHO'!C57)</f>
        <v/>
      </c>
      <c r="B51" s="16" t="str">
        <f aca="false">IF('TỒN KHO'!C57="","",'TỒN KHO'!E57)</f>
        <v/>
      </c>
      <c r="C51" s="16" t="str">
        <f aca="false">IF('TỒN KHO'!C57="","",'TỒN KHO'!D57)</f>
        <v/>
      </c>
      <c r="D51" s="60" t="str">
        <f aca="false">IF($A51="","",SUMIFS('XUẤT KHO'!$E$5:$E$2004,'XUẤT KHO'!$C$5:$C$2004,$A51,'XUẤT KHO'!$D$5:$D$2004,$B51,'XUẤT KHO'!$A$5:$A$2004,"&gt;="&amp;D$4,'XUẤT KHO'!$A$5:$A$2004,"&lt;"&amp;EDATE(D$4,1)))</f>
        <v/>
      </c>
      <c r="E51" s="60" t="str">
        <f aca="false">IF($A51="","",SUMIFS('XUẤT KHO'!$E$5:$E$2004,'XUẤT KHO'!$C$5:$C$2004,$A51,'XUẤT KHO'!$D$5:$D$2004,$B51,'XUẤT KHO'!$A$5:$A$2004,"&gt;="&amp;E$4,'XUẤT KHO'!$A$5:$A$2004,"&lt;"&amp;EDATE(E$4,1)))</f>
        <v/>
      </c>
      <c r="F51" s="60" t="str">
        <f aca="false">IF($A51="","",SUMIFS('XUẤT KHO'!$E$5:$E$2004,'XUẤT KHO'!$C$5:$C$2004,$A51,'XUẤT KHO'!$D$5:$D$2004,$B51,'XUẤT KHO'!$A$5:$A$2004,"&gt;="&amp;F$4,'XUẤT KHO'!$A$5:$A$2004,"&lt;"&amp;EDATE(F$4,1)))</f>
        <v/>
      </c>
      <c r="G51" s="60" t="str">
        <f aca="false">IF($A51="","",SUMIFS('XUẤT KHO'!$E$5:$E$2004,'XUẤT KHO'!$C$5:$C$2004,$A51,'XUẤT KHO'!$D$5:$D$2004,$B51,'XUẤT KHO'!$A$5:$A$2004,"&gt;="&amp;G$4,'XUẤT KHO'!$A$5:$A$2004,"&lt;"&amp;EDATE(G$4,1)))</f>
        <v/>
      </c>
      <c r="H51" s="60" t="str">
        <f aca="false">IF($A51="","",SUMIFS('XUẤT KHO'!$E$5:$E$2004,'XUẤT KHO'!$C$5:$C$2004,$A51,'XUẤT KHO'!$D$5:$D$2004,$B51,'XUẤT KHO'!$A$5:$A$2004,"&gt;="&amp;H$4,'XUẤT KHO'!$A$5:$A$2004,"&lt;"&amp;EDATE(H$4,1)))</f>
        <v/>
      </c>
      <c r="I51" s="60" t="str">
        <f aca="false">IF($A51="","",SUMIFS('XUẤT KHO'!$E$5:$E$2004,'XUẤT KHO'!$C$5:$C$2004,$A51,'XUẤT KHO'!$D$5:$D$2004,$B51,'XUẤT KHO'!$A$5:$A$2004,"&gt;="&amp;I$4,'XUẤT KHO'!$A$5:$A$2004,"&lt;"&amp;EDATE(I$4,1)))</f>
        <v/>
      </c>
      <c r="J51" s="60" t="str">
        <f aca="false">IF($A51="","",SUMIFS('XUẤT KHO'!$E$5:$E$2004,'XUẤT KHO'!$C$5:$C$2004,$A51,'XUẤT KHO'!$D$5:$D$2004,$B51,'XUẤT KHO'!$A$5:$A$2004,"&gt;="&amp;J$4,'XUẤT KHO'!$A$5:$A$2004,"&lt;"&amp;EDATE(J$4,1)))</f>
        <v/>
      </c>
      <c r="K51" s="60" t="str">
        <f aca="false">IF($A51="","",SUMIFS('XUẤT KHO'!$E$5:$E$2004,'XUẤT KHO'!$C$5:$C$2004,$A51,'XUẤT KHO'!$D$5:$D$2004,$B51,'XUẤT KHO'!$A$5:$A$2004,"&gt;="&amp;K$4,'XUẤT KHO'!$A$5:$A$2004,"&lt;"&amp;EDATE(K$4,1)))</f>
        <v/>
      </c>
      <c r="L51" s="60" t="str">
        <f aca="false">IF($A51="","",SUMIFS('XUẤT KHO'!$E$5:$E$2004,'XUẤT KHO'!$C$5:$C$2004,$A51,'XUẤT KHO'!$D$5:$D$2004,$B51,'XUẤT KHO'!$A$5:$A$2004,"&gt;="&amp;L$4,'XUẤT KHO'!$A$5:$A$2004,"&lt;"&amp;EDATE(L$4,1)))</f>
        <v/>
      </c>
      <c r="M51" s="60" t="str">
        <f aca="false">IF($A51="","",SUMIFS('XUẤT KHO'!$E$5:$E$2004,'XUẤT KHO'!$C$5:$C$2004,$A51,'XUẤT KHO'!$D$5:$D$2004,$B51,'XUẤT KHO'!$A$5:$A$2004,"&gt;="&amp;M$4,'XUẤT KHO'!$A$5:$A$2004,"&lt;"&amp;EDATE(M$4,1)))</f>
        <v/>
      </c>
      <c r="N51" s="60" t="str">
        <f aca="false">IF($A51="","",SUMIFS('XUẤT KHO'!$E$5:$E$2004,'XUẤT KHO'!$C$5:$C$2004,$A51,'XUẤT KHO'!$D$5:$D$2004,$B51,'XUẤT KHO'!$A$5:$A$2004,"&gt;="&amp;N$4,'XUẤT KHO'!$A$5:$A$2004,"&lt;"&amp;EDATE(N$4,1)))</f>
        <v/>
      </c>
      <c r="O51" s="60" t="str">
        <f aca="false">IF($A51="","",SUMIFS('XUẤT KHO'!$E$5:$E$2004,'XUẤT KHO'!$C$5:$C$2004,$A51,'XUẤT KHO'!$D$5:$D$2004,$B51,'XUẤT KHO'!$A$5:$A$2004,"&gt;="&amp;O$4,'XUẤT KHO'!$A$5:$A$2004,"&lt;"&amp;EDATE(O$4,1)))</f>
        <v/>
      </c>
      <c r="P51" s="61" t="str">
        <f aca="false">IF($A51="","",SUM(D51:O51))</f>
        <v/>
      </c>
    </row>
    <row r="52" customFormat="false" ht="15" hidden="false" customHeight="false" outlineLevel="0" collapsed="false">
      <c r="A52" s="16" t="str">
        <f aca="false">IF('TỒN KHO'!C58="","",'TỒN KHO'!C58)</f>
        <v/>
      </c>
      <c r="B52" s="16" t="str">
        <f aca="false">IF('TỒN KHO'!C58="","",'TỒN KHO'!E58)</f>
        <v/>
      </c>
      <c r="C52" s="16" t="str">
        <f aca="false">IF('TỒN KHO'!C58="","",'TỒN KHO'!D58)</f>
        <v/>
      </c>
      <c r="D52" s="60" t="str">
        <f aca="false">IF($A52="","",SUMIFS('XUẤT KHO'!$E$5:$E$2004,'XUẤT KHO'!$C$5:$C$2004,$A52,'XUẤT KHO'!$D$5:$D$2004,$B52,'XUẤT KHO'!$A$5:$A$2004,"&gt;="&amp;D$4,'XUẤT KHO'!$A$5:$A$2004,"&lt;"&amp;EDATE(D$4,1)))</f>
        <v/>
      </c>
      <c r="E52" s="60" t="str">
        <f aca="false">IF($A52="","",SUMIFS('XUẤT KHO'!$E$5:$E$2004,'XUẤT KHO'!$C$5:$C$2004,$A52,'XUẤT KHO'!$D$5:$D$2004,$B52,'XUẤT KHO'!$A$5:$A$2004,"&gt;="&amp;E$4,'XUẤT KHO'!$A$5:$A$2004,"&lt;"&amp;EDATE(E$4,1)))</f>
        <v/>
      </c>
      <c r="F52" s="60" t="str">
        <f aca="false">IF($A52="","",SUMIFS('XUẤT KHO'!$E$5:$E$2004,'XUẤT KHO'!$C$5:$C$2004,$A52,'XUẤT KHO'!$D$5:$D$2004,$B52,'XUẤT KHO'!$A$5:$A$2004,"&gt;="&amp;F$4,'XUẤT KHO'!$A$5:$A$2004,"&lt;"&amp;EDATE(F$4,1)))</f>
        <v/>
      </c>
      <c r="G52" s="60" t="str">
        <f aca="false">IF($A52="","",SUMIFS('XUẤT KHO'!$E$5:$E$2004,'XUẤT KHO'!$C$5:$C$2004,$A52,'XUẤT KHO'!$D$5:$D$2004,$B52,'XUẤT KHO'!$A$5:$A$2004,"&gt;="&amp;G$4,'XUẤT KHO'!$A$5:$A$2004,"&lt;"&amp;EDATE(G$4,1)))</f>
        <v/>
      </c>
      <c r="H52" s="60" t="str">
        <f aca="false">IF($A52="","",SUMIFS('XUẤT KHO'!$E$5:$E$2004,'XUẤT KHO'!$C$5:$C$2004,$A52,'XUẤT KHO'!$D$5:$D$2004,$B52,'XUẤT KHO'!$A$5:$A$2004,"&gt;="&amp;H$4,'XUẤT KHO'!$A$5:$A$2004,"&lt;"&amp;EDATE(H$4,1)))</f>
        <v/>
      </c>
      <c r="I52" s="60" t="str">
        <f aca="false">IF($A52="","",SUMIFS('XUẤT KHO'!$E$5:$E$2004,'XUẤT KHO'!$C$5:$C$2004,$A52,'XUẤT KHO'!$D$5:$D$2004,$B52,'XUẤT KHO'!$A$5:$A$2004,"&gt;="&amp;I$4,'XUẤT KHO'!$A$5:$A$2004,"&lt;"&amp;EDATE(I$4,1)))</f>
        <v/>
      </c>
      <c r="J52" s="60" t="str">
        <f aca="false">IF($A52="","",SUMIFS('XUẤT KHO'!$E$5:$E$2004,'XUẤT KHO'!$C$5:$C$2004,$A52,'XUẤT KHO'!$D$5:$D$2004,$B52,'XUẤT KHO'!$A$5:$A$2004,"&gt;="&amp;J$4,'XUẤT KHO'!$A$5:$A$2004,"&lt;"&amp;EDATE(J$4,1)))</f>
        <v/>
      </c>
      <c r="K52" s="60" t="str">
        <f aca="false">IF($A52="","",SUMIFS('XUẤT KHO'!$E$5:$E$2004,'XUẤT KHO'!$C$5:$C$2004,$A52,'XUẤT KHO'!$D$5:$D$2004,$B52,'XUẤT KHO'!$A$5:$A$2004,"&gt;="&amp;K$4,'XUẤT KHO'!$A$5:$A$2004,"&lt;"&amp;EDATE(K$4,1)))</f>
        <v/>
      </c>
      <c r="L52" s="60" t="str">
        <f aca="false">IF($A52="","",SUMIFS('XUẤT KHO'!$E$5:$E$2004,'XUẤT KHO'!$C$5:$C$2004,$A52,'XUẤT KHO'!$D$5:$D$2004,$B52,'XUẤT KHO'!$A$5:$A$2004,"&gt;="&amp;L$4,'XUẤT KHO'!$A$5:$A$2004,"&lt;"&amp;EDATE(L$4,1)))</f>
        <v/>
      </c>
      <c r="M52" s="60" t="str">
        <f aca="false">IF($A52="","",SUMIFS('XUẤT KHO'!$E$5:$E$2004,'XUẤT KHO'!$C$5:$C$2004,$A52,'XUẤT KHO'!$D$5:$D$2004,$B52,'XUẤT KHO'!$A$5:$A$2004,"&gt;="&amp;M$4,'XUẤT KHO'!$A$5:$A$2004,"&lt;"&amp;EDATE(M$4,1)))</f>
        <v/>
      </c>
      <c r="N52" s="60" t="str">
        <f aca="false">IF($A52="","",SUMIFS('XUẤT KHO'!$E$5:$E$2004,'XUẤT KHO'!$C$5:$C$2004,$A52,'XUẤT KHO'!$D$5:$D$2004,$B52,'XUẤT KHO'!$A$5:$A$2004,"&gt;="&amp;N$4,'XUẤT KHO'!$A$5:$A$2004,"&lt;"&amp;EDATE(N$4,1)))</f>
        <v/>
      </c>
      <c r="O52" s="60" t="str">
        <f aca="false">IF($A52="","",SUMIFS('XUẤT KHO'!$E$5:$E$2004,'XUẤT KHO'!$C$5:$C$2004,$A52,'XUẤT KHO'!$D$5:$D$2004,$B52,'XUẤT KHO'!$A$5:$A$2004,"&gt;="&amp;O$4,'XUẤT KHO'!$A$5:$A$2004,"&lt;"&amp;EDATE(O$4,1)))</f>
        <v/>
      </c>
      <c r="P52" s="61" t="str">
        <f aca="false">IF($A52="","",SUM(D52:O52))</f>
        <v/>
      </c>
    </row>
    <row r="53" customFormat="false" ht="15" hidden="false" customHeight="false" outlineLevel="0" collapsed="false">
      <c r="A53" s="16" t="str">
        <f aca="false">IF('TỒN KHO'!C59="","",'TỒN KHO'!C59)</f>
        <v/>
      </c>
      <c r="B53" s="16" t="str">
        <f aca="false">IF('TỒN KHO'!C59="","",'TỒN KHO'!E59)</f>
        <v/>
      </c>
      <c r="C53" s="16" t="str">
        <f aca="false">IF('TỒN KHO'!C59="","",'TỒN KHO'!D59)</f>
        <v/>
      </c>
      <c r="D53" s="60" t="str">
        <f aca="false">IF($A53="","",SUMIFS('XUẤT KHO'!$E$5:$E$2004,'XUẤT KHO'!$C$5:$C$2004,$A53,'XUẤT KHO'!$D$5:$D$2004,$B53,'XUẤT KHO'!$A$5:$A$2004,"&gt;="&amp;D$4,'XUẤT KHO'!$A$5:$A$2004,"&lt;"&amp;EDATE(D$4,1)))</f>
        <v/>
      </c>
      <c r="E53" s="60" t="str">
        <f aca="false">IF($A53="","",SUMIFS('XUẤT KHO'!$E$5:$E$2004,'XUẤT KHO'!$C$5:$C$2004,$A53,'XUẤT KHO'!$D$5:$D$2004,$B53,'XUẤT KHO'!$A$5:$A$2004,"&gt;="&amp;E$4,'XUẤT KHO'!$A$5:$A$2004,"&lt;"&amp;EDATE(E$4,1)))</f>
        <v/>
      </c>
      <c r="F53" s="60" t="str">
        <f aca="false">IF($A53="","",SUMIFS('XUẤT KHO'!$E$5:$E$2004,'XUẤT KHO'!$C$5:$C$2004,$A53,'XUẤT KHO'!$D$5:$D$2004,$B53,'XUẤT KHO'!$A$5:$A$2004,"&gt;="&amp;F$4,'XUẤT KHO'!$A$5:$A$2004,"&lt;"&amp;EDATE(F$4,1)))</f>
        <v/>
      </c>
      <c r="G53" s="60" t="str">
        <f aca="false">IF($A53="","",SUMIFS('XUẤT KHO'!$E$5:$E$2004,'XUẤT KHO'!$C$5:$C$2004,$A53,'XUẤT KHO'!$D$5:$D$2004,$B53,'XUẤT KHO'!$A$5:$A$2004,"&gt;="&amp;G$4,'XUẤT KHO'!$A$5:$A$2004,"&lt;"&amp;EDATE(G$4,1)))</f>
        <v/>
      </c>
      <c r="H53" s="60" t="str">
        <f aca="false">IF($A53="","",SUMIFS('XUẤT KHO'!$E$5:$E$2004,'XUẤT KHO'!$C$5:$C$2004,$A53,'XUẤT KHO'!$D$5:$D$2004,$B53,'XUẤT KHO'!$A$5:$A$2004,"&gt;="&amp;H$4,'XUẤT KHO'!$A$5:$A$2004,"&lt;"&amp;EDATE(H$4,1)))</f>
        <v/>
      </c>
      <c r="I53" s="60" t="str">
        <f aca="false">IF($A53="","",SUMIFS('XUẤT KHO'!$E$5:$E$2004,'XUẤT KHO'!$C$5:$C$2004,$A53,'XUẤT KHO'!$D$5:$D$2004,$B53,'XUẤT KHO'!$A$5:$A$2004,"&gt;="&amp;I$4,'XUẤT KHO'!$A$5:$A$2004,"&lt;"&amp;EDATE(I$4,1)))</f>
        <v/>
      </c>
      <c r="J53" s="60" t="str">
        <f aca="false">IF($A53="","",SUMIFS('XUẤT KHO'!$E$5:$E$2004,'XUẤT KHO'!$C$5:$C$2004,$A53,'XUẤT KHO'!$D$5:$D$2004,$B53,'XUẤT KHO'!$A$5:$A$2004,"&gt;="&amp;J$4,'XUẤT KHO'!$A$5:$A$2004,"&lt;"&amp;EDATE(J$4,1)))</f>
        <v/>
      </c>
      <c r="K53" s="60" t="str">
        <f aca="false">IF($A53="","",SUMIFS('XUẤT KHO'!$E$5:$E$2004,'XUẤT KHO'!$C$5:$C$2004,$A53,'XUẤT KHO'!$D$5:$D$2004,$B53,'XUẤT KHO'!$A$5:$A$2004,"&gt;="&amp;K$4,'XUẤT KHO'!$A$5:$A$2004,"&lt;"&amp;EDATE(K$4,1)))</f>
        <v/>
      </c>
      <c r="L53" s="60" t="str">
        <f aca="false">IF($A53="","",SUMIFS('XUẤT KHO'!$E$5:$E$2004,'XUẤT KHO'!$C$5:$C$2004,$A53,'XUẤT KHO'!$D$5:$D$2004,$B53,'XUẤT KHO'!$A$5:$A$2004,"&gt;="&amp;L$4,'XUẤT KHO'!$A$5:$A$2004,"&lt;"&amp;EDATE(L$4,1)))</f>
        <v/>
      </c>
      <c r="M53" s="60" t="str">
        <f aca="false">IF($A53="","",SUMIFS('XUẤT KHO'!$E$5:$E$2004,'XUẤT KHO'!$C$5:$C$2004,$A53,'XUẤT KHO'!$D$5:$D$2004,$B53,'XUẤT KHO'!$A$5:$A$2004,"&gt;="&amp;M$4,'XUẤT KHO'!$A$5:$A$2004,"&lt;"&amp;EDATE(M$4,1)))</f>
        <v/>
      </c>
      <c r="N53" s="60" t="str">
        <f aca="false">IF($A53="","",SUMIFS('XUẤT KHO'!$E$5:$E$2004,'XUẤT KHO'!$C$5:$C$2004,$A53,'XUẤT KHO'!$D$5:$D$2004,$B53,'XUẤT KHO'!$A$5:$A$2004,"&gt;="&amp;N$4,'XUẤT KHO'!$A$5:$A$2004,"&lt;"&amp;EDATE(N$4,1)))</f>
        <v/>
      </c>
      <c r="O53" s="60" t="str">
        <f aca="false">IF($A53="","",SUMIFS('XUẤT KHO'!$E$5:$E$2004,'XUẤT KHO'!$C$5:$C$2004,$A53,'XUẤT KHO'!$D$5:$D$2004,$B53,'XUẤT KHO'!$A$5:$A$2004,"&gt;="&amp;O$4,'XUẤT KHO'!$A$5:$A$2004,"&lt;"&amp;EDATE(O$4,1)))</f>
        <v/>
      </c>
      <c r="P53" s="61" t="str">
        <f aca="false">IF($A53="","",SUM(D53:O53))</f>
        <v/>
      </c>
    </row>
    <row r="54" customFormat="false" ht="15" hidden="false" customHeight="false" outlineLevel="0" collapsed="false">
      <c r="A54" s="16" t="str">
        <f aca="false">IF('TỒN KHO'!C60="","",'TỒN KHO'!C60)</f>
        <v/>
      </c>
      <c r="B54" s="16" t="str">
        <f aca="false">IF('TỒN KHO'!C60="","",'TỒN KHO'!E60)</f>
        <v/>
      </c>
      <c r="C54" s="16" t="str">
        <f aca="false">IF('TỒN KHO'!C60="","",'TỒN KHO'!D60)</f>
        <v/>
      </c>
      <c r="D54" s="60" t="str">
        <f aca="false">IF($A54="","",SUMIFS('XUẤT KHO'!$E$5:$E$2004,'XUẤT KHO'!$C$5:$C$2004,$A54,'XUẤT KHO'!$D$5:$D$2004,$B54,'XUẤT KHO'!$A$5:$A$2004,"&gt;="&amp;D$4,'XUẤT KHO'!$A$5:$A$2004,"&lt;"&amp;EDATE(D$4,1)))</f>
        <v/>
      </c>
      <c r="E54" s="60" t="str">
        <f aca="false">IF($A54="","",SUMIFS('XUẤT KHO'!$E$5:$E$2004,'XUẤT KHO'!$C$5:$C$2004,$A54,'XUẤT KHO'!$D$5:$D$2004,$B54,'XUẤT KHO'!$A$5:$A$2004,"&gt;="&amp;E$4,'XUẤT KHO'!$A$5:$A$2004,"&lt;"&amp;EDATE(E$4,1)))</f>
        <v/>
      </c>
      <c r="F54" s="60" t="str">
        <f aca="false">IF($A54="","",SUMIFS('XUẤT KHO'!$E$5:$E$2004,'XUẤT KHO'!$C$5:$C$2004,$A54,'XUẤT KHO'!$D$5:$D$2004,$B54,'XUẤT KHO'!$A$5:$A$2004,"&gt;="&amp;F$4,'XUẤT KHO'!$A$5:$A$2004,"&lt;"&amp;EDATE(F$4,1)))</f>
        <v/>
      </c>
      <c r="G54" s="60" t="str">
        <f aca="false">IF($A54="","",SUMIFS('XUẤT KHO'!$E$5:$E$2004,'XUẤT KHO'!$C$5:$C$2004,$A54,'XUẤT KHO'!$D$5:$D$2004,$B54,'XUẤT KHO'!$A$5:$A$2004,"&gt;="&amp;G$4,'XUẤT KHO'!$A$5:$A$2004,"&lt;"&amp;EDATE(G$4,1)))</f>
        <v/>
      </c>
      <c r="H54" s="60" t="str">
        <f aca="false">IF($A54="","",SUMIFS('XUẤT KHO'!$E$5:$E$2004,'XUẤT KHO'!$C$5:$C$2004,$A54,'XUẤT KHO'!$D$5:$D$2004,$B54,'XUẤT KHO'!$A$5:$A$2004,"&gt;="&amp;H$4,'XUẤT KHO'!$A$5:$A$2004,"&lt;"&amp;EDATE(H$4,1)))</f>
        <v/>
      </c>
      <c r="I54" s="60" t="str">
        <f aca="false">IF($A54="","",SUMIFS('XUẤT KHO'!$E$5:$E$2004,'XUẤT KHO'!$C$5:$C$2004,$A54,'XUẤT KHO'!$D$5:$D$2004,$B54,'XUẤT KHO'!$A$5:$A$2004,"&gt;="&amp;I$4,'XUẤT KHO'!$A$5:$A$2004,"&lt;"&amp;EDATE(I$4,1)))</f>
        <v/>
      </c>
      <c r="J54" s="60" t="str">
        <f aca="false">IF($A54="","",SUMIFS('XUẤT KHO'!$E$5:$E$2004,'XUẤT KHO'!$C$5:$C$2004,$A54,'XUẤT KHO'!$D$5:$D$2004,$B54,'XUẤT KHO'!$A$5:$A$2004,"&gt;="&amp;J$4,'XUẤT KHO'!$A$5:$A$2004,"&lt;"&amp;EDATE(J$4,1)))</f>
        <v/>
      </c>
      <c r="K54" s="60" t="str">
        <f aca="false">IF($A54="","",SUMIFS('XUẤT KHO'!$E$5:$E$2004,'XUẤT KHO'!$C$5:$C$2004,$A54,'XUẤT KHO'!$D$5:$D$2004,$B54,'XUẤT KHO'!$A$5:$A$2004,"&gt;="&amp;K$4,'XUẤT KHO'!$A$5:$A$2004,"&lt;"&amp;EDATE(K$4,1)))</f>
        <v/>
      </c>
      <c r="L54" s="60" t="str">
        <f aca="false">IF($A54="","",SUMIFS('XUẤT KHO'!$E$5:$E$2004,'XUẤT KHO'!$C$5:$C$2004,$A54,'XUẤT KHO'!$D$5:$D$2004,$B54,'XUẤT KHO'!$A$5:$A$2004,"&gt;="&amp;L$4,'XUẤT KHO'!$A$5:$A$2004,"&lt;"&amp;EDATE(L$4,1)))</f>
        <v/>
      </c>
      <c r="M54" s="60" t="str">
        <f aca="false">IF($A54="","",SUMIFS('XUẤT KHO'!$E$5:$E$2004,'XUẤT KHO'!$C$5:$C$2004,$A54,'XUẤT KHO'!$D$5:$D$2004,$B54,'XUẤT KHO'!$A$5:$A$2004,"&gt;="&amp;M$4,'XUẤT KHO'!$A$5:$A$2004,"&lt;"&amp;EDATE(M$4,1)))</f>
        <v/>
      </c>
      <c r="N54" s="60" t="str">
        <f aca="false">IF($A54="","",SUMIFS('XUẤT KHO'!$E$5:$E$2004,'XUẤT KHO'!$C$5:$C$2004,$A54,'XUẤT KHO'!$D$5:$D$2004,$B54,'XUẤT KHO'!$A$5:$A$2004,"&gt;="&amp;N$4,'XUẤT KHO'!$A$5:$A$2004,"&lt;"&amp;EDATE(N$4,1)))</f>
        <v/>
      </c>
      <c r="O54" s="60" t="str">
        <f aca="false">IF($A54="","",SUMIFS('XUẤT KHO'!$E$5:$E$2004,'XUẤT KHO'!$C$5:$C$2004,$A54,'XUẤT KHO'!$D$5:$D$2004,$B54,'XUẤT KHO'!$A$5:$A$2004,"&gt;="&amp;O$4,'XUẤT KHO'!$A$5:$A$2004,"&lt;"&amp;EDATE(O$4,1)))</f>
        <v/>
      </c>
      <c r="P54" s="61" t="str">
        <f aca="false">IF($A54="","",SUM(D54:O54))</f>
        <v/>
      </c>
    </row>
    <row r="55" customFormat="false" ht="15" hidden="false" customHeight="false" outlineLevel="0" collapsed="false">
      <c r="A55" s="16" t="str">
        <f aca="false">IF('TỒN KHO'!C61="","",'TỒN KHO'!C61)</f>
        <v/>
      </c>
      <c r="B55" s="16" t="str">
        <f aca="false">IF('TỒN KHO'!C61="","",'TỒN KHO'!E61)</f>
        <v/>
      </c>
      <c r="C55" s="16" t="str">
        <f aca="false">IF('TỒN KHO'!C61="","",'TỒN KHO'!D61)</f>
        <v/>
      </c>
      <c r="D55" s="60" t="str">
        <f aca="false">IF($A55="","",SUMIFS('XUẤT KHO'!$E$5:$E$2004,'XUẤT KHO'!$C$5:$C$2004,$A55,'XUẤT KHO'!$D$5:$D$2004,$B55,'XUẤT KHO'!$A$5:$A$2004,"&gt;="&amp;D$4,'XUẤT KHO'!$A$5:$A$2004,"&lt;"&amp;EDATE(D$4,1)))</f>
        <v/>
      </c>
      <c r="E55" s="60" t="str">
        <f aca="false">IF($A55="","",SUMIFS('XUẤT KHO'!$E$5:$E$2004,'XUẤT KHO'!$C$5:$C$2004,$A55,'XUẤT KHO'!$D$5:$D$2004,$B55,'XUẤT KHO'!$A$5:$A$2004,"&gt;="&amp;E$4,'XUẤT KHO'!$A$5:$A$2004,"&lt;"&amp;EDATE(E$4,1)))</f>
        <v/>
      </c>
      <c r="F55" s="60" t="str">
        <f aca="false">IF($A55="","",SUMIFS('XUẤT KHO'!$E$5:$E$2004,'XUẤT KHO'!$C$5:$C$2004,$A55,'XUẤT KHO'!$D$5:$D$2004,$B55,'XUẤT KHO'!$A$5:$A$2004,"&gt;="&amp;F$4,'XUẤT KHO'!$A$5:$A$2004,"&lt;"&amp;EDATE(F$4,1)))</f>
        <v/>
      </c>
      <c r="G55" s="60" t="str">
        <f aca="false">IF($A55="","",SUMIFS('XUẤT KHO'!$E$5:$E$2004,'XUẤT KHO'!$C$5:$C$2004,$A55,'XUẤT KHO'!$D$5:$D$2004,$B55,'XUẤT KHO'!$A$5:$A$2004,"&gt;="&amp;G$4,'XUẤT KHO'!$A$5:$A$2004,"&lt;"&amp;EDATE(G$4,1)))</f>
        <v/>
      </c>
      <c r="H55" s="60" t="str">
        <f aca="false">IF($A55="","",SUMIFS('XUẤT KHO'!$E$5:$E$2004,'XUẤT KHO'!$C$5:$C$2004,$A55,'XUẤT KHO'!$D$5:$D$2004,$B55,'XUẤT KHO'!$A$5:$A$2004,"&gt;="&amp;H$4,'XUẤT KHO'!$A$5:$A$2004,"&lt;"&amp;EDATE(H$4,1)))</f>
        <v/>
      </c>
      <c r="I55" s="60" t="str">
        <f aca="false">IF($A55="","",SUMIFS('XUẤT KHO'!$E$5:$E$2004,'XUẤT KHO'!$C$5:$C$2004,$A55,'XUẤT KHO'!$D$5:$D$2004,$B55,'XUẤT KHO'!$A$5:$A$2004,"&gt;="&amp;I$4,'XUẤT KHO'!$A$5:$A$2004,"&lt;"&amp;EDATE(I$4,1)))</f>
        <v/>
      </c>
      <c r="J55" s="60" t="str">
        <f aca="false">IF($A55="","",SUMIFS('XUẤT KHO'!$E$5:$E$2004,'XUẤT KHO'!$C$5:$C$2004,$A55,'XUẤT KHO'!$D$5:$D$2004,$B55,'XUẤT KHO'!$A$5:$A$2004,"&gt;="&amp;J$4,'XUẤT KHO'!$A$5:$A$2004,"&lt;"&amp;EDATE(J$4,1)))</f>
        <v/>
      </c>
      <c r="K55" s="60" t="str">
        <f aca="false">IF($A55="","",SUMIFS('XUẤT KHO'!$E$5:$E$2004,'XUẤT KHO'!$C$5:$C$2004,$A55,'XUẤT KHO'!$D$5:$D$2004,$B55,'XUẤT KHO'!$A$5:$A$2004,"&gt;="&amp;K$4,'XUẤT KHO'!$A$5:$A$2004,"&lt;"&amp;EDATE(K$4,1)))</f>
        <v/>
      </c>
      <c r="L55" s="60" t="str">
        <f aca="false">IF($A55="","",SUMIFS('XUẤT KHO'!$E$5:$E$2004,'XUẤT KHO'!$C$5:$C$2004,$A55,'XUẤT KHO'!$D$5:$D$2004,$B55,'XUẤT KHO'!$A$5:$A$2004,"&gt;="&amp;L$4,'XUẤT KHO'!$A$5:$A$2004,"&lt;"&amp;EDATE(L$4,1)))</f>
        <v/>
      </c>
      <c r="M55" s="60" t="str">
        <f aca="false">IF($A55="","",SUMIFS('XUẤT KHO'!$E$5:$E$2004,'XUẤT KHO'!$C$5:$C$2004,$A55,'XUẤT KHO'!$D$5:$D$2004,$B55,'XUẤT KHO'!$A$5:$A$2004,"&gt;="&amp;M$4,'XUẤT KHO'!$A$5:$A$2004,"&lt;"&amp;EDATE(M$4,1)))</f>
        <v/>
      </c>
      <c r="N55" s="60" t="str">
        <f aca="false">IF($A55="","",SUMIFS('XUẤT KHO'!$E$5:$E$2004,'XUẤT KHO'!$C$5:$C$2004,$A55,'XUẤT KHO'!$D$5:$D$2004,$B55,'XUẤT KHO'!$A$5:$A$2004,"&gt;="&amp;N$4,'XUẤT KHO'!$A$5:$A$2004,"&lt;"&amp;EDATE(N$4,1)))</f>
        <v/>
      </c>
      <c r="O55" s="60" t="str">
        <f aca="false">IF($A55="","",SUMIFS('XUẤT KHO'!$E$5:$E$2004,'XUẤT KHO'!$C$5:$C$2004,$A55,'XUẤT KHO'!$D$5:$D$2004,$B55,'XUẤT KHO'!$A$5:$A$2004,"&gt;="&amp;O$4,'XUẤT KHO'!$A$5:$A$2004,"&lt;"&amp;EDATE(O$4,1)))</f>
        <v/>
      </c>
      <c r="P55" s="61" t="str">
        <f aca="false">IF($A55="","",SUM(D55:O55))</f>
        <v/>
      </c>
    </row>
    <row r="56" customFormat="false" ht="15" hidden="false" customHeight="false" outlineLevel="0" collapsed="false">
      <c r="A56" s="16" t="str">
        <f aca="false">IF('TỒN KHO'!C62="","",'TỒN KHO'!C62)</f>
        <v/>
      </c>
      <c r="B56" s="16" t="str">
        <f aca="false">IF('TỒN KHO'!C62="","",'TỒN KHO'!E62)</f>
        <v/>
      </c>
      <c r="C56" s="16" t="str">
        <f aca="false">IF('TỒN KHO'!C62="","",'TỒN KHO'!D62)</f>
        <v/>
      </c>
      <c r="D56" s="60" t="str">
        <f aca="false">IF($A56="","",SUMIFS('XUẤT KHO'!$E$5:$E$2004,'XUẤT KHO'!$C$5:$C$2004,$A56,'XUẤT KHO'!$D$5:$D$2004,$B56,'XUẤT KHO'!$A$5:$A$2004,"&gt;="&amp;D$4,'XUẤT KHO'!$A$5:$A$2004,"&lt;"&amp;EDATE(D$4,1)))</f>
        <v/>
      </c>
      <c r="E56" s="60" t="str">
        <f aca="false">IF($A56="","",SUMIFS('XUẤT KHO'!$E$5:$E$2004,'XUẤT KHO'!$C$5:$C$2004,$A56,'XUẤT KHO'!$D$5:$D$2004,$B56,'XUẤT KHO'!$A$5:$A$2004,"&gt;="&amp;E$4,'XUẤT KHO'!$A$5:$A$2004,"&lt;"&amp;EDATE(E$4,1)))</f>
        <v/>
      </c>
      <c r="F56" s="60" t="str">
        <f aca="false">IF($A56="","",SUMIFS('XUẤT KHO'!$E$5:$E$2004,'XUẤT KHO'!$C$5:$C$2004,$A56,'XUẤT KHO'!$D$5:$D$2004,$B56,'XUẤT KHO'!$A$5:$A$2004,"&gt;="&amp;F$4,'XUẤT KHO'!$A$5:$A$2004,"&lt;"&amp;EDATE(F$4,1)))</f>
        <v/>
      </c>
      <c r="G56" s="60" t="str">
        <f aca="false">IF($A56="","",SUMIFS('XUẤT KHO'!$E$5:$E$2004,'XUẤT KHO'!$C$5:$C$2004,$A56,'XUẤT KHO'!$D$5:$D$2004,$B56,'XUẤT KHO'!$A$5:$A$2004,"&gt;="&amp;G$4,'XUẤT KHO'!$A$5:$A$2004,"&lt;"&amp;EDATE(G$4,1)))</f>
        <v/>
      </c>
      <c r="H56" s="60" t="str">
        <f aca="false">IF($A56="","",SUMIFS('XUẤT KHO'!$E$5:$E$2004,'XUẤT KHO'!$C$5:$C$2004,$A56,'XUẤT KHO'!$D$5:$D$2004,$B56,'XUẤT KHO'!$A$5:$A$2004,"&gt;="&amp;H$4,'XUẤT KHO'!$A$5:$A$2004,"&lt;"&amp;EDATE(H$4,1)))</f>
        <v/>
      </c>
      <c r="I56" s="60" t="str">
        <f aca="false">IF($A56="","",SUMIFS('XUẤT KHO'!$E$5:$E$2004,'XUẤT KHO'!$C$5:$C$2004,$A56,'XUẤT KHO'!$D$5:$D$2004,$B56,'XUẤT KHO'!$A$5:$A$2004,"&gt;="&amp;I$4,'XUẤT KHO'!$A$5:$A$2004,"&lt;"&amp;EDATE(I$4,1)))</f>
        <v/>
      </c>
      <c r="J56" s="60" t="str">
        <f aca="false">IF($A56="","",SUMIFS('XUẤT KHO'!$E$5:$E$2004,'XUẤT KHO'!$C$5:$C$2004,$A56,'XUẤT KHO'!$D$5:$D$2004,$B56,'XUẤT KHO'!$A$5:$A$2004,"&gt;="&amp;J$4,'XUẤT KHO'!$A$5:$A$2004,"&lt;"&amp;EDATE(J$4,1)))</f>
        <v/>
      </c>
      <c r="K56" s="60" t="str">
        <f aca="false">IF($A56="","",SUMIFS('XUẤT KHO'!$E$5:$E$2004,'XUẤT KHO'!$C$5:$C$2004,$A56,'XUẤT KHO'!$D$5:$D$2004,$B56,'XUẤT KHO'!$A$5:$A$2004,"&gt;="&amp;K$4,'XUẤT KHO'!$A$5:$A$2004,"&lt;"&amp;EDATE(K$4,1)))</f>
        <v/>
      </c>
      <c r="L56" s="60" t="str">
        <f aca="false">IF($A56="","",SUMIFS('XUẤT KHO'!$E$5:$E$2004,'XUẤT KHO'!$C$5:$C$2004,$A56,'XUẤT KHO'!$D$5:$D$2004,$B56,'XUẤT KHO'!$A$5:$A$2004,"&gt;="&amp;L$4,'XUẤT KHO'!$A$5:$A$2004,"&lt;"&amp;EDATE(L$4,1)))</f>
        <v/>
      </c>
      <c r="M56" s="60" t="str">
        <f aca="false">IF($A56="","",SUMIFS('XUẤT KHO'!$E$5:$E$2004,'XUẤT KHO'!$C$5:$C$2004,$A56,'XUẤT KHO'!$D$5:$D$2004,$B56,'XUẤT KHO'!$A$5:$A$2004,"&gt;="&amp;M$4,'XUẤT KHO'!$A$5:$A$2004,"&lt;"&amp;EDATE(M$4,1)))</f>
        <v/>
      </c>
      <c r="N56" s="60" t="str">
        <f aca="false">IF($A56="","",SUMIFS('XUẤT KHO'!$E$5:$E$2004,'XUẤT KHO'!$C$5:$C$2004,$A56,'XUẤT KHO'!$D$5:$D$2004,$B56,'XUẤT KHO'!$A$5:$A$2004,"&gt;="&amp;N$4,'XUẤT KHO'!$A$5:$A$2004,"&lt;"&amp;EDATE(N$4,1)))</f>
        <v/>
      </c>
      <c r="O56" s="60" t="str">
        <f aca="false">IF($A56="","",SUMIFS('XUẤT KHO'!$E$5:$E$2004,'XUẤT KHO'!$C$5:$C$2004,$A56,'XUẤT KHO'!$D$5:$D$2004,$B56,'XUẤT KHO'!$A$5:$A$2004,"&gt;="&amp;O$4,'XUẤT KHO'!$A$5:$A$2004,"&lt;"&amp;EDATE(O$4,1)))</f>
        <v/>
      </c>
      <c r="P56" s="61" t="str">
        <f aca="false">IF($A56="","",SUM(D56:O56))</f>
        <v/>
      </c>
    </row>
    <row r="57" customFormat="false" ht="15" hidden="false" customHeight="false" outlineLevel="0" collapsed="false">
      <c r="A57" s="16" t="str">
        <f aca="false">IF('TỒN KHO'!C63="","",'TỒN KHO'!C63)</f>
        <v/>
      </c>
      <c r="B57" s="16" t="str">
        <f aca="false">IF('TỒN KHO'!C63="","",'TỒN KHO'!E63)</f>
        <v/>
      </c>
      <c r="C57" s="16" t="str">
        <f aca="false">IF('TỒN KHO'!C63="","",'TỒN KHO'!D63)</f>
        <v/>
      </c>
      <c r="D57" s="60" t="str">
        <f aca="false">IF($A57="","",SUMIFS('XUẤT KHO'!$E$5:$E$2004,'XUẤT KHO'!$C$5:$C$2004,$A57,'XUẤT KHO'!$D$5:$D$2004,$B57,'XUẤT KHO'!$A$5:$A$2004,"&gt;="&amp;D$4,'XUẤT KHO'!$A$5:$A$2004,"&lt;"&amp;EDATE(D$4,1)))</f>
        <v/>
      </c>
      <c r="E57" s="60" t="str">
        <f aca="false">IF($A57="","",SUMIFS('XUẤT KHO'!$E$5:$E$2004,'XUẤT KHO'!$C$5:$C$2004,$A57,'XUẤT KHO'!$D$5:$D$2004,$B57,'XUẤT KHO'!$A$5:$A$2004,"&gt;="&amp;E$4,'XUẤT KHO'!$A$5:$A$2004,"&lt;"&amp;EDATE(E$4,1)))</f>
        <v/>
      </c>
      <c r="F57" s="60" t="str">
        <f aca="false">IF($A57="","",SUMIFS('XUẤT KHO'!$E$5:$E$2004,'XUẤT KHO'!$C$5:$C$2004,$A57,'XUẤT KHO'!$D$5:$D$2004,$B57,'XUẤT KHO'!$A$5:$A$2004,"&gt;="&amp;F$4,'XUẤT KHO'!$A$5:$A$2004,"&lt;"&amp;EDATE(F$4,1)))</f>
        <v/>
      </c>
      <c r="G57" s="60" t="str">
        <f aca="false">IF($A57="","",SUMIFS('XUẤT KHO'!$E$5:$E$2004,'XUẤT KHO'!$C$5:$C$2004,$A57,'XUẤT KHO'!$D$5:$D$2004,$B57,'XUẤT KHO'!$A$5:$A$2004,"&gt;="&amp;G$4,'XUẤT KHO'!$A$5:$A$2004,"&lt;"&amp;EDATE(G$4,1)))</f>
        <v/>
      </c>
      <c r="H57" s="60" t="str">
        <f aca="false">IF($A57="","",SUMIFS('XUẤT KHO'!$E$5:$E$2004,'XUẤT KHO'!$C$5:$C$2004,$A57,'XUẤT KHO'!$D$5:$D$2004,$B57,'XUẤT KHO'!$A$5:$A$2004,"&gt;="&amp;H$4,'XUẤT KHO'!$A$5:$A$2004,"&lt;"&amp;EDATE(H$4,1)))</f>
        <v/>
      </c>
      <c r="I57" s="60" t="str">
        <f aca="false">IF($A57="","",SUMIFS('XUẤT KHO'!$E$5:$E$2004,'XUẤT KHO'!$C$5:$C$2004,$A57,'XUẤT KHO'!$D$5:$D$2004,$B57,'XUẤT KHO'!$A$5:$A$2004,"&gt;="&amp;I$4,'XUẤT KHO'!$A$5:$A$2004,"&lt;"&amp;EDATE(I$4,1)))</f>
        <v/>
      </c>
      <c r="J57" s="60" t="str">
        <f aca="false">IF($A57="","",SUMIFS('XUẤT KHO'!$E$5:$E$2004,'XUẤT KHO'!$C$5:$C$2004,$A57,'XUẤT KHO'!$D$5:$D$2004,$B57,'XUẤT KHO'!$A$5:$A$2004,"&gt;="&amp;J$4,'XUẤT KHO'!$A$5:$A$2004,"&lt;"&amp;EDATE(J$4,1)))</f>
        <v/>
      </c>
      <c r="K57" s="60" t="str">
        <f aca="false">IF($A57="","",SUMIFS('XUẤT KHO'!$E$5:$E$2004,'XUẤT KHO'!$C$5:$C$2004,$A57,'XUẤT KHO'!$D$5:$D$2004,$B57,'XUẤT KHO'!$A$5:$A$2004,"&gt;="&amp;K$4,'XUẤT KHO'!$A$5:$A$2004,"&lt;"&amp;EDATE(K$4,1)))</f>
        <v/>
      </c>
      <c r="L57" s="60" t="str">
        <f aca="false">IF($A57="","",SUMIFS('XUẤT KHO'!$E$5:$E$2004,'XUẤT KHO'!$C$5:$C$2004,$A57,'XUẤT KHO'!$D$5:$D$2004,$B57,'XUẤT KHO'!$A$5:$A$2004,"&gt;="&amp;L$4,'XUẤT KHO'!$A$5:$A$2004,"&lt;"&amp;EDATE(L$4,1)))</f>
        <v/>
      </c>
      <c r="M57" s="60" t="str">
        <f aca="false">IF($A57="","",SUMIFS('XUẤT KHO'!$E$5:$E$2004,'XUẤT KHO'!$C$5:$C$2004,$A57,'XUẤT KHO'!$D$5:$D$2004,$B57,'XUẤT KHO'!$A$5:$A$2004,"&gt;="&amp;M$4,'XUẤT KHO'!$A$5:$A$2004,"&lt;"&amp;EDATE(M$4,1)))</f>
        <v/>
      </c>
      <c r="N57" s="60" t="str">
        <f aca="false">IF($A57="","",SUMIFS('XUẤT KHO'!$E$5:$E$2004,'XUẤT KHO'!$C$5:$C$2004,$A57,'XUẤT KHO'!$D$5:$D$2004,$B57,'XUẤT KHO'!$A$5:$A$2004,"&gt;="&amp;N$4,'XUẤT KHO'!$A$5:$A$2004,"&lt;"&amp;EDATE(N$4,1)))</f>
        <v/>
      </c>
      <c r="O57" s="60" t="str">
        <f aca="false">IF($A57="","",SUMIFS('XUẤT KHO'!$E$5:$E$2004,'XUẤT KHO'!$C$5:$C$2004,$A57,'XUẤT KHO'!$D$5:$D$2004,$B57,'XUẤT KHO'!$A$5:$A$2004,"&gt;="&amp;O$4,'XUẤT KHO'!$A$5:$A$2004,"&lt;"&amp;EDATE(O$4,1)))</f>
        <v/>
      </c>
      <c r="P57" s="61" t="str">
        <f aca="false">IF($A57="","",SUM(D57:O57))</f>
        <v/>
      </c>
    </row>
    <row r="58" customFormat="false" ht="15" hidden="false" customHeight="false" outlineLevel="0" collapsed="false">
      <c r="A58" s="16" t="str">
        <f aca="false">IF('TỒN KHO'!C64="","",'TỒN KHO'!C64)</f>
        <v/>
      </c>
      <c r="B58" s="16" t="str">
        <f aca="false">IF('TỒN KHO'!C64="","",'TỒN KHO'!E64)</f>
        <v/>
      </c>
      <c r="C58" s="16" t="str">
        <f aca="false">IF('TỒN KHO'!C64="","",'TỒN KHO'!D64)</f>
        <v/>
      </c>
      <c r="D58" s="60" t="str">
        <f aca="false">IF($A58="","",SUMIFS('XUẤT KHO'!$E$5:$E$2004,'XUẤT KHO'!$C$5:$C$2004,$A58,'XUẤT KHO'!$D$5:$D$2004,$B58,'XUẤT KHO'!$A$5:$A$2004,"&gt;="&amp;D$4,'XUẤT KHO'!$A$5:$A$2004,"&lt;"&amp;EDATE(D$4,1)))</f>
        <v/>
      </c>
      <c r="E58" s="60" t="str">
        <f aca="false">IF($A58="","",SUMIFS('XUẤT KHO'!$E$5:$E$2004,'XUẤT KHO'!$C$5:$C$2004,$A58,'XUẤT KHO'!$D$5:$D$2004,$B58,'XUẤT KHO'!$A$5:$A$2004,"&gt;="&amp;E$4,'XUẤT KHO'!$A$5:$A$2004,"&lt;"&amp;EDATE(E$4,1)))</f>
        <v/>
      </c>
      <c r="F58" s="60" t="str">
        <f aca="false">IF($A58="","",SUMIFS('XUẤT KHO'!$E$5:$E$2004,'XUẤT KHO'!$C$5:$C$2004,$A58,'XUẤT KHO'!$D$5:$D$2004,$B58,'XUẤT KHO'!$A$5:$A$2004,"&gt;="&amp;F$4,'XUẤT KHO'!$A$5:$A$2004,"&lt;"&amp;EDATE(F$4,1)))</f>
        <v/>
      </c>
      <c r="G58" s="60" t="str">
        <f aca="false">IF($A58="","",SUMIFS('XUẤT KHO'!$E$5:$E$2004,'XUẤT KHO'!$C$5:$C$2004,$A58,'XUẤT KHO'!$D$5:$D$2004,$B58,'XUẤT KHO'!$A$5:$A$2004,"&gt;="&amp;G$4,'XUẤT KHO'!$A$5:$A$2004,"&lt;"&amp;EDATE(G$4,1)))</f>
        <v/>
      </c>
      <c r="H58" s="60" t="str">
        <f aca="false">IF($A58="","",SUMIFS('XUẤT KHO'!$E$5:$E$2004,'XUẤT KHO'!$C$5:$C$2004,$A58,'XUẤT KHO'!$D$5:$D$2004,$B58,'XUẤT KHO'!$A$5:$A$2004,"&gt;="&amp;H$4,'XUẤT KHO'!$A$5:$A$2004,"&lt;"&amp;EDATE(H$4,1)))</f>
        <v/>
      </c>
      <c r="I58" s="60" t="str">
        <f aca="false">IF($A58="","",SUMIFS('XUẤT KHO'!$E$5:$E$2004,'XUẤT KHO'!$C$5:$C$2004,$A58,'XUẤT KHO'!$D$5:$D$2004,$B58,'XUẤT KHO'!$A$5:$A$2004,"&gt;="&amp;I$4,'XUẤT KHO'!$A$5:$A$2004,"&lt;"&amp;EDATE(I$4,1)))</f>
        <v/>
      </c>
      <c r="J58" s="60" t="str">
        <f aca="false">IF($A58="","",SUMIFS('XUẤT KHO'!$E$5:$E$2004,'XUẤT KHO'!$C$5:$C$2004,$A58,'XUẤT KHO'!$D$5:$D$2004,$B58,'XUẤT KHO'!$A$5:$A$2004,"&gt;="&amp;J$4,'XUẤT KHO'!$A$5:$A$2004,"&lt;"&amp;EDATE(J$4,1)))</f>
        <v/>
      </c>
      <c r="K58" s="60" t="str">
        <f aca="false">IF($A58="","",SUMIFS('XUẤT KHO'!$E$5:$E$2004,'XUẤT KHO'!$C$5:$C$2004,$A58,'XUẤT KHO'!$D$5:$D$2004,$B58,'XUẤT KHO'!$A$5:$A$2004,"&gt;="&amp;K$4,'XUẤT KHO'!$A$5:$A$2004,"&lt;"&amp;EDATE(K$4,1)))</f>
        <v/>
      </c>
      <c r="L58" s="60" t="str">
        <f aca="false">IF($A58="","",SUMIFS('XUẤT KHO'!$E$5:$E$2004,'XUẤT KHO'!$C$5:$C$2004,$A58,'XUẤT KHO'!$D$5:$D$2004,$B58,'XUẤT KHO'!$A$5:$A$2004,"&gt;="&amp;L$4,'XUẤT KHO'!$A$5:$A$2004,"&lt;"&amp;EDATE(L$4,1)))</f>
        <v/>
      </c>
      <c r="M58" s="60" t="str">
        <f aca="false">IF($A58="","",SUMIFS('XUẤT KHO'!$E$5:$E$2004,'XUẤT KHO'!$C$5:$C$2004,$A58,'XUẤT KHO'!$D$5:$D$2004,$B58,'XUẤT KHO'!$A$5:$A$2004,"&gt;="&amp;M$4,'XUẤT KHO'!$A$5:$A$2004,"&lt;"&amp;EDATE(M$4,1)))</f>
        <v/>
      </c>
      <c r="N58" s="60" t="str">
        <f aca="false">IF($A58="","",SUMIFS('XUẤT KHO'!$E$5:$E$2004,'XUẤT KHO'!$C$5:$C$2004,$A58,'XUẤT KHO'!$D$5:$D$2004,$B58,'XUẤT KHO'!$A$5:$A$2004,"&gt;="&amp;N$4,'XUẤT KHO'!$A$5:$A$2004,"&lt;"&amp;EDATE(N$4,1)))</f>
        <v/>
      </c>
      <c r="O58" s="60" t="str">
        <f aca="false">IF($A58="","",SUMIFS('XUẤT KHO'!$E$5:$E$2004,'XUẤT KHO'!$C$5:$C$2004,$A58,'XUẤT KHO'!$D$5:$D$2004,$B58,'XUẤT KHO'!$A$5:$A$2004,"&gt;="&amp;O$4,'XUẤT KHO'!$A$5:$A$2004,"&lt;"&amp;EDATE(O$4,1)))</f>
        <v/>
      </c>
      <c r="P58" s="61" t="str">
        <f aca="false">IF($A58="","",SUM(D58:O58))</f>
        <v/>
      </c>
    </row>
    <row r="59" customFormat="false" ht="15" hidden="false" customHeight="false" outlineLevel="0" collapsed="false">
      <c r="A59" s="16" t="str">
        <f aca="false">IF('TỒN KHO'!C65="","",'TỒN KHO'!C65)</f>
        <v/>
      </c>
      <c r="B59" s="16" t="str">
        <f aca="false">IF('TỒN KHO'!C65="","",'TỒN KHO'!E65)</f>
        <v/>
      </c>
      <c r="C59" s="16" t="str">
        <f aca="false">IF('TỒN KHO'!C65="","",'TỒN KHO'!D65)</f>
        <v/>
      </c>
      <c r="D59" s="60" t="str">
        <f aca="false">IF($A59="","",SUMIFS('XUẤT KHO'!$E$5:$E$2004,'XUẤT KHO'!$C$5:$C$2004,$A59,'XUẤT KHO'!$D$5:$D$2004,$B59,'XUẤT KHO'!$A$5:$A$2004,"&gt;="&amp;D$4,'XUẤT KHO'!$A$5:$A$2004,"&lt;"&amp;EDATE(D$4,1)))</f>
        <v/>
      </c>
      <c r="E59" s="60" t="str">
        <f aca="false">IF($A59="","",SUMIFS('XUẤT KHO'!$E$5:$E$2004,'XUẤT KHO'!$C$5:$C$2004,$A59,'XUẤT KHO'!$D$5:$D$2004,$B59,'XUẤT KHO'!$A$5:$A$2004,"&gt;="&amp;E$4,'XUẤT KHO'!$A$5:$A$2004,"&lt;"&amp;EDATE(E$4,1)))</f>
        <v/>
      </c>
      <c r="F59" s="60" t="str">
        <f aca="false">IF($A59="","",SUMIFS('XUẤT KHO'!$E$5:$E$2004,'XUẤT KHO'!$C$5:$C$2004,$A59,'XUẤT KHO'!$D$5:$D$2004,$B59,'XUẤT KHO'!$A$5:$A$2004,"&gt;="&amp;F$4,'XUẤT KHO'!$A$5:$A$2004,"&lt;"&amp;EDATE(F$4,1)))</f>
        <v/>
      </c>
      <c r="G59" s="60" t="str">
        <f aca="false">IF($A59="","",SUMIFS('XUẤT KHO'!$E$5:$E$2004,'XUẤT KHO'!$C$5:$C$2004,$A59,'XUẤT KHO'!$D$5:$D$2004,$B59,'XUẤT KHO'!$A$5:$A$2004,"&gt;="&amp;G$4,'XUẤT KHO'!$A$5:$A$2004,"&lt;"&amp;EDATE(G$4,1)))</f>
        <v/>
      </c>
      <c r="H59" s="60" t="str">
        <f aca="false">IF($A59="","",SUMIFS('XUẤT KHO'!$E$5:$E$2004,'XUẤT KHO'!$C$5:$C$2004,$A59,'XUẤT KHO'!$D$5:$D$2004,$B59,'XUẤT KHO'!$A$5:$A$2004,"&gt;="&amp;H$4,'XUẤT KHO'!$A$5:$A$2004,"&lt;"&amp;EDATE(H$4,1)))</f>
        <v/>
      </c>
      <c r="I59" s="60" t="str">
        <f aca="false">IF($A59="","",SUMIFS('XUẤT KHO'!$E$5:$E$2004,'XUẤT KHO'!$C$5:$C$2004,$A59,'XUẤT KHO'!$D$5:$D$2004,$B59,'XUẤT KHO'!$A$5:$A$2004,"&gt;="&amp;I$4,'XUẤT KHO'!$A$5:$A$2004,"&lt;"&amp;EDATE(I$4,1)))</f>
        <v/>
      </c>
      <c r="J59" s="60" t="str">
        <f aca="false">IF($A59="","",SUMIFS('XUẤT KHO'!$E$5:$E$2004,'XUẤT KHO'!$C$5:$C$2004,$A59,'XUẤT KHO'!$D$5:$D$2004,$B59,'XUẤT KHO'!$A$5:$A$2004,"&gt;="&amp;J$4,'XUẤT KHO'!$A$5:$A$2004,"&lt;"&amp;EDATE(J$4,1)))</f>
        <v/>
      </c>
      <c r="K59" s="60" t="str">
        <f aca="false">IF($A59="","",SUMIFS('XUẤT KHO'!$E$5:$E$2004,'XUẤT KHO'!$C$5:$C$2004,$A59,'XUẤT KHO'!$D$5:$D$2004,$B59,'XUẤT KHO'!$A$5:$A$2004,"&gt;="&amp;K$4,'XUẤT KHO'!$A$5:$A$2004,"&lt;"&amp;EDATE(K$4,1)))</f>
        <v/>
      </c>
      <c r="L59" s="60" t="str">
        <f aca="false">IF($A59="","",SUMIFS('XUẤT KHO'!$E$5:$E$2004,'XUẤT KHO'!$C$5:$C$2004,$A59,'XUẤT KHO'!$D$5:$D$2004,$B59,'XUẤT KHO'!$A$5:$A$2004,"&gt;="&amp;L$4,'XUẤT KHO'!$A$5:$A$2004,"&lt;"&amp;EDATE(L$4,1)))</f>
        <v/>
      </c>
      <c r="M59" s="60" t="str">
        <f aca="false">IF($A59="","",SUMIFS('XUẤT KHO'!$E$5:$E$2004,'XUẤT KHO'!$C$5:$C$2004,$A59,'XUẤT KHO'!$D$5:$D$2004,$B59,'XUẤT KHO'!$A$5:$A$2004,"&gt;="&amp;M$4,'XUẤT KHO'!$A$5:$A$2004,"&lt;"&amp;EDATE(M$4,1)))</f>
        <v/>
      </c>
      <c r="N59" s="60" t="str">
        <f aca="false">IF($A59="","",SUMIFS('XUẤT KHO'!$E$5:$E$2004,'XUẤT KHO'!$C$5:$C$2004,$A59,'XUẤT KHO'!$D$5:$D$2004,$B59,'XUẤT KHO'!$A$5:$A$2004,"&gt;="&amp;N$4,'XUẤT KHO'!$A$5:$A$2004,"&lt;"&amp;EDATE(N$4,1)))</f>
        <v/>
      </c>
      <c r="O59" s="60" t="str">
        <f aca="false">IF($A59="","",SUMIFS('XUẤT KHO'!$E$5:$E$2004,'XUẤT KHO'!$C$5:$C$2004,$A59,'XUẤT KHO'!$D$5:$D$2004,$B59,'XUẤT KHO'!$A$5:$A$2004,"&gt;="&amp;O$4,'XUẤT KHO'!$A$5:$A$2004,"&lt;"&amp;EDATE(O$4,1)))</f>
        <v/>
      </c>
      <c r="P59" s="61" t="str">
        <f aca="false">IF($A59="","",SUM(D59:O59))</f>
        <v/>
      </c>
    </row>
    <row r="60" customFormat="false" ht="15" hidden="false" customHeight="false" outlineLevel="0" collapsed="false">
      <c r="A60" s="16" t="str">
        <f aca="false">IF('TỒN KHO'!C66="","",'TỒN KHO'!C66)</f>
        <v/>
      </c>
      <c r="B60" s="16" t="str">
        <f aca="false">IF('TỒN KHO'!C66="","",'TỒN KHO'!E66)</f>
        <v/>
      </c>
      <c r="C60" s="16" t="str">
        <f aca="false">IF('TỒN KHO'!C66="","",'TỒN KHO'!D66)</f>
        <v/>
      </c>
      <c r="D60" s="60" t="str">
        <f aca="false">IF($A60="","",SUMIFS('XUẤT KHO'!$E$5:$E$2004,'XUẤT KHO'!$C$5:$C$2004,$A60,'XUẤT KHO'!$D$5:$D$2004,$B60,'XUẤT KHO'!$A$5:$A$2004,"&gt;="&amp;D$4,'XUẤT KHO'!$A$5:$A$2004,"&lt;"&amp;EDATE(D$4,1)))</f>
        <v/>
      </c>
      <c r="E60" s="60" t="str">
        <f aca="false">IF($A60="","",SUMIFS('XUẤT KHO'!$E$5:$E$2004,'XUẤT KHO'!$C$5:$C$2004,$A60,'XUẤT KHO'!$D$5:$D$2004,$B60,'XUẤT KHO'!$A$5:$A$2004,"&gt;="&amp;E$4,'XUẤT KHO'!$A$5:$A$2004,"&lt;"&amp;EDATE(E$4,1)))</f>
        <v/>
      </c>
      <c r="F60" s="60" t="str">
        <f aca="false">IF($A60="","",SUMIFS('XUẤT KHO'!$E$5:$E$2004,'XUẤT KHO'!$C$5:$C$2004,$A60,'XUẤT KHO'!$D$5:$D$2004,$B60,'XUẤT KHO'!$A$5:$A$2004,"&gt;="&amp;F$4,'XUẤT KHO'!$A$5:$A$2004,"&lt;"&amp;EDATE(F$4,1)))</f>
        <v/>
      </c>
      <c r="G60" s="60" t="str">
        <f aca="false">IF($A60="","",SUMIFS('XUẤT KHO'!$E$5:$E$2004,'XUẤT KHO'!$C$5:$C$2004,$A60,'XUẤT KHO'!$D$5:$D$2004,$B60,'XUẤT KHO'!$A$5:$A$2004,"&gt;="&amp;G$4,'XUẤT KHO'!$A$5:$A$2004,"&lt;"&amp;EDATE(G$4,1)))</f>
        <v/>
      </c>
      <c r="H60" s="60" t="str">
        <f aca="false">IF($A60="","",SUMIFS('XUẤT KHO'!$E$5:$E$2004,'XUẤT KHO'!$C$5:$C$2004,$A60,'XUẤT KHO'!$D$5:$D$2004,$B60,'XUẤT KHO'!$A$5:$A$2004,"&gt;="&amp;H$4,'XUẤT KHO'!$A$5:$A$2004,"&lt;"&amp;EDATE(H$4,1)))</f>
        <v/>
      </c>
      <c r="I60" s="60" t="str">
        <f aca="false">IF($A60="","",SUMIFS('XUẤT KHO'!$E$5:$E$2004,'XUẤT KHO'!$C$5:$C$2004,$A60,'XUẤT KHO'!$D$5:$D$2004,$B60,'XUẤT KHO'!$A$5:$A$2004,"&gt;="&amp;I$4,'XUẤT KHO'!$A$5:$A$2004,"&lt;"&amp;EDATE(I$4,1)))</f>
        <v/>
      </c>
      <c r="J60" s="60" t="str">
        <f aca="false">IF($A60="","",SUMIFS('XUẤT KHO'!$E$5:$E$2004,'XUẤT KHO'!$C$5:$C$2004,$A60,'XUẤT KHO'!$D$5:$D$2004,$B60,'XUẤT KHO'!$A$5:$A$2004,"&gt;="&amp;J$4,'XUẤT KHO'!$A$5:$A$2004,"&lt;"&amp;EDATE(J$4,1)))</f>
        <v/>
      </c>
      <c r="K60" s="60" t="str">
        <f aca="false">IF($A60="","",SUMIFS('XUẤT KHO'!$E$5:$E$2004,'XUẤT KHO'!$C$5:$C$2004,$A60,'XUẤT KHO'!$D$5:$D$2004,$B60,'XUẤT KHO'!$A$5:$A$2004,"&gt;="&amp;K$4,'XUẤT KHO'!$A$5:$A$2004,"&lt;"&amp;EDATE(K$4,1)))</f>
        <v/>
      </c>
      <c r="L60" s="60" t="str">
        <f aca="false">IF($A60="","",SUMIFS('XUẤT KHO'!$E$5:$E$2004,'XUẤT KHO'!$C$5:$C$2004,$A60,'XUẤT KHO'!$D$5:$D$2004,$B60,'XUẤT KHO'!$A$5:$A$2004,"&gt;="&amp;L$4,'XUẤT KHO'!$A$5:$A$2004,"&lt;"&amp;EDATE(L$4,1)))</f>
        <v/>
      </c>
      <c r="M60" s="60" t="str">
        <f aca="false">IF($A60="","",SUMIFS('XUẤT KHO'!$E$5:$E$2004,'XUẤT KHO'!$C$5:$C$2004,$A60,'XUẤT KHO'!$D$5:$D$2004,$B60,'XUẤT KHO'!$A$5:$A$2004,"&gt;="&amp;M$4,'XUẤT KHO'!$A$5:$A$2004,"&lt;"&amp;EDATE(M$4,1)))</f>
        <v/>
      </c>
      <c r="N60" s="60" t="str">
        <f aca="false">IF($A60="","",SUMIFS('XUẤT KHO'!$E$5:$E$2004,'XUẤT KHO'!$C$5:$C$2004,$A60,'XUẤT KHO'!$D$5:$D$2004,$B60,'XUẤT KHO'!$A$5:$A$2004,"&gt;="&amp;N$4,'XUẤT KHO'!$A$5:$A$2004,"&lt;"&amp;EDATE(N$4,1)))</f>
        <v/>
      </c>
      <c r="O60" s="60" t="str">
        <f aca="false">IF($A60="","",SUMIFS('XUẤT KHO'!$E$5:$E$2004,'XUẤT KHO'!$C$5:$C$2004,$A60,'XUẤT KHO'!$D$5:$D$2004,$B60,'XUẤT KHO'!$A$5:$A$2004,"&gt;="&amp;O$4,'XUẤT KHO'!$A$5:$A$2004,"&lt;"&amp;EDATE(O$4,1)))</f>
        <v/>
      </c>
      <c r="P60" s="61" t="str">
        <f aca="false">IF($A60="","",SUM(D60:O60))</f>
        <v/>
      </c>
    </row>
    <row r="61" customFormat="false" ht="15" hidden="false" customHeight="false" outlineLevel="0" collapsed="false">
      <c r="A61" s="16" t="str">
        <f aca="false">IF('TỒN KHO'!C67="","",'TỒN KHO'!C67)</f>
        <v/>
      </c>
      <c r="B61" s="16" t="str">
        <f aca="false">IF('TỒN KHO'!C67="","",'TỒN KHO'!E67)</f>
        <v/>
      </c>
      <c r="C61" s="16" t="str">
        <f aca="false">IF('TỒN KHO'!C67="","",'TỒN KHO'!D67)</f>
        <v/>
      </c>
      <c r="D61" s="60" t="str">
        <f aca="false">IF($A61="","",SUMIFS('XUẤT KHO'!$E$5:$E$2004,'XUẤT KHO'!$C$5:$C$2004,$A61,'XUẤT KHO'!$D$5:$D$2004,$B61,'XUẤT KHO'!$A$5:$A$2004,"&gt;="&amp;D$4,'XUẤT KHO'!$A$5:$A$2004,"&lt;"&amp;EDATE(D$4,1)))</f>
        <v/>
      </c>
      <c r="E61" s="60" t="str">
        <f aca="false">IF($A61="","",SUMIFS('XUẤT KHO'!$E$5:$E$2004,'XUẤT KHO'!$C$5:$C$2004,$A61,'XUẤT KHO'!$D$5:$D$2004,$B61,'XUẤT KHO'!$A$5:$A$2004,"&gt;="&amp;E$4,'XUẤT KHO'!$A$5:$A$2004,"&lt;"&amp;EDATE(E$4,1)))</f>
        <v/>
      </c>
      <c r="F61" s="60" t="str">
        <f aca="false">IF($A61="","",SUMIFS('XUẤT KHO'!$E$5:$E$2004,'XUẤT KHO'!$C$5:$C$2004,$A61,'XUẤT KHO'!$D$5:$D$2004,$B61,'XUẤT KHO'!$A$5:$A$2004,"&gt;="&amp;F$4,'XUẤT KHO'!$A$5:$A$2004,"&lt;"&amp;EDATE(F$4,1)))</f>
        <v/>
      </c>
      <c r="G61" s="60" t="str">
        <f aca="false">IF($A61="","",SUMIFS('XUẤT KHO'!$E$5:$E$2004,'XUẤT KHO'!$C$5:$C$2004,$A61,'XUẤT KHO'!$D$5:$D$2004,$B61,'XUẤT KHO'!$A$5:$A$2004,"&gt;="&amp;G$4,'XUẤT KHO'!$A$5:$A$2004,"&lt;"&amp;EDATE(G$4,1)))</f>
        <v/>
      </c>
      <c r="H61" s="60" t="str">
        <f aca="false">IF($A61="","",SUMIFS('XUẤT KHO'!$E$5:$E$2004,'XUẤT KHO'!$C$5:$C$2004,$A61,'XUẤT KHO'!$D$5:$D$2004,$B61,'XUẤT KHO'!$A$5:$A$2004,"&gt;="&amp;H$4,'XUẤT KHO'!$A$5:$A$2004,"&lt;"&amp;EDATE(H$4,1)))</f>
        <v/>
      </c>
      <c r="I61" s="60" t="str">
        <f aca="false">IF($A61="","",SUMIFS('XUẤT KHO'!$E$5:$E$2004,'XUẤT KHO'!$C$5:$C$2004,$A61,'XUẤT KHO'!$D$5:$D$2004,$B61,'XUẤT KHO'!$A$5:$A$2004,"&gt;="&amp;I$4,'XUẤT KHO'!$A$5:$A$2004,"&lt;"&amp;EDATE(I$4,1)))</f>
        <v/>
      </c>
      <c r="J61" s="60" t="str">
        <f aca="false">IF($A61="","",SUMIFS('XUẤT KHO'!$E$5:$E$2004,'XUẤT KHO'!$C$5:$C$2004,$A61,'XUẤT KHO'!$D$5:$D$2004,$B61,'XUẤT KHO'!$A$5:$A$2004,"&gt;="&amp;J$4,'XUẤT KHO'!$A$5:$A$2004,"&lt;"&amp;EDATE(J$4,1)))</f>
        <v/>
      </c>
      <c r="K61" s="60" t="str">
        <f aca="false">IF($A61="","",SUMIFS('XUẤT KHO'!$E$5:$E$2004,'XUẤT KHO'!$C$5:$C$2004,$A61,'XUẤT KHO'!$D$5:$D$2004,$B61,'XUẤT KHO'!$A$5:$A$2004,"&gt;="&amp;K$4,'XUẤT KHO'!$A$5:$A$2004,"&lt;"&amp;EDATE(K$4,1)))</f>
        <v/>
      </c>
      <c r="L61" s="60" t="str">
        <f aca="false">IF($A61="","",SUMIFS('XUẤT KHO'!$E$5:$E$2004,'XUẤT KHO'!$C$5:$C$2004,$A61,'XUẤT KHO'!$D$5:$D$2004,$B61,'XUẤT KHO'!$A$5:$A$2004,"&gt;="&amp;L$4,'XUẤT KHO'!$A$5:$A$2004,"&lt;"&amp;EDATE(L$4,1)))</f>
        <v/>
      </c>
      <c r="M61" s="60" t="str">
        <f aca="false">IF($A61="","",SUMIFS('XUẤT KHO'!$E$5:$E$2004,'XUẤT KHO'!$C$5:$C$2004,$A61,'XUẤT KHO'!$D$5:$D$2004,$B61,'XUẤT KHO'!$A$5:$A$2004,"&gt;="&amp;M$4,'XUẤT KHO'!$A$5:$A$2004,"&lt;"&amp;EDATE(M$4,1)))</f>
        <v/>
      </c>
      <c r="N61" s="60" t="str">
        <f aca="false">IF($A61="","",SUMIFS('XUẤT KHO'!$E$5:$E$2004,'XUẤT KHO'!$C$5:$C$2004,$A61,'XUẤT KHO'!$D$5:$D$2004,$B61,'XUẤT KHO'!$A$5:$A$2004,"&gt;="&amp;N$4,'XUẤT KHO'!$A$5:$A$2004,"&lt;"&amp;EDATE(N$4,1)))</f>
        <v/>
      </c>
      <c r="O61" s="60" t="str">
        <f aca="false">IF($A61="","",SUMIFS('XUẤT KHO'!$E$5:$E$2004,'XUẤT KHO'!$C$5:$C$2004,$A61,'XUẤT KHO'!$D$5:$D$2004,$B61,'XUẤT KHO'!$A$5:$A$2004,"&gt;="&amp;O$4,'XUẤT KHO'!$A$5:$A$2004,"&lt;"&amp;EDATE(O$4,1)))</f>
        <v/>
      </c>
      <c r="P61" s="61" t="str">
        <f aca="false">IF($A61="","",SUM(D61:O61))</f>
        <v/>
      </c>
    </row>
    <row r="62" customFormat="false" ht="15" hidden="false" customHeight="false" outlineLevel="0" collapsed="false">
      <c r="A62" s="16" t="str">
        <f aca="false">IF('TỒN KHO'!C68="","",'TỒN KHO'!C68)</f>
        <v/>
      </c>
      <c r="B62" s="16" t="str">
        <f aca="false">IF('TỒN KHO'!C68="","",'TỒN KHO'!E68)</f>
        <v/>
      </c>
      <c r="C62" s="16" t="str">
        <f aca="false">IF('TỒN KHO'!C68="","",'TỒN KHO'!D68)</f>
        <v/>
      </c>
      <c r="D62" s="60" t="str">
        <f aca="false">IF($A62="","",SUMIFS('XUẤT KHO'!$E$5:$E$2004,'XUẤT KHO'!$C$5:$C$2004,$A62,'XUẤT KHO'!$D$5:$D$2004,$B62,'XUẤT KHO'!$A$5:$A$2004,"&gt;="&amp;D$4,'XUẤT KHO'!$A$5:$A$2004,"&lt;"&amp;EDATE(D$4,1)))</f>
        <v/>
      </c>
      <c r="E62" s="60" t="str">
        <f aca="false">IF($A62="","",SUMIFS('XUẤT KHO'!$E$5:$E$2004,'XUẤT KHO'!$C$5:$C$2004,$A62,'XUẤT KHO'!$D$5:$D$2004,$B62,'XUẤT KHO'!$A$5:$A$2004,"&gt;="&amp;E$4,'XUẤT KHO'!$A$5:$A$2004,"&lt;"&amp;EDATE(E$4,1)))</f>
        <v/>
      </c>
      <c r="F62" s="60" t="str">
        <f aca="false">IF($A62="","",SUMIFS('XUẤT KHO'!$E$5:$E$2004,'XUẤT KHO'!$C$5:$C$2004,$A62,'XUẤT KHO'!$D$5:$D$2004,$B62,'XUẤT KHO'!$A$5:$A$2004,"&gt;="&amp;F$4,'XUẤT KHO'!$A$5:$A$2004,"&lt;"&amp;EDATE(F$4,1)))</f>
        <v/>
      </c>
      <c r="G62" s="60" t="str">
        <f aca="false">IF($A62="","",SUMIFS('XUẤT KHO'!$E$5:$E$2004,'XUẤT KHO'!$C$5:$C$2004,$A62,'XUẤT KHO'!$D$5:$D$2004,$B62,'XUẤT KHO'!$A$5:$A$2004,"&gt;="&amp;G$4,'XUẤT KHO'!$A$5:$A$2004,"&lt;"&amp;EDATE(G$4,1)))</f>
        <v/>
      </c>
      <c r="H62" s="60" t="str">
        <f aca="false">IF($A62="","",SUMIFS('XUẤT KHO'!$E$5:$E$2004,'XUẤT KHO'!$C$5:$C$2004,$A62,'XUẤT KHO'!$D$5:$D$2004,$B62,'XUẤT KHO'!$A$5:$A$2004,"&gt;="&amp;H$4,'XUẤT KHO'!$A$5:$A$2004,"&lt;"&amp;EDATE(H$4,1)))</f>
        <v/>
      </c>
      <c r="I62" s="60" t="str">
        <f aca="false">IF($A62="","",SUMIFS('XUẤT KHO'!$E$5:$E$2004,'XUẤT KHO'!$C$5:$C$2004,$A62,'XUẤT KHO'!$D$5:$D$2004,$B62,'XUẤT KHO'!$A$5:$A$2004,"&gt;="&amp;I$4,'XUẤT KHO'!$A$5:$A$2004,"&lt;"&amp;EDATE(I$4,1)))</f>
        <v/>
      </c>
      <c r="J62" s="60" t="str">
        <f aca="false">IF($A62="","",SUMIFS('XUẤT KHO'!$E$5:$E$2004,'XUẤT KHO'!$C$5:$C$2004,$A62,'XUẤT KHO'!$D$5:$D$2004,$B62,'XUẤT KHO'!$A$5:$A$2004,"&gt;="&amp;J$4,'XUẤT KHO'!$A$5:$A$2004,"&lt;"&amp;EDATE(J$4,1)))</f>
        <v/>
      </c>
      <c r="K62" s="60" t="str">
        <f aca="false">IF($A62="","",SUMIFS('XUẤT KHO'!$E$5:$E$2004,'XUẤT KHO'!$C$5:$C$2004,$A62,'XUẤT KHO'!$D$5:$D$2004,$B62,'XUẤT KHO'!$A$5:$A$2004,"&gt;="&amp;K$4,'XUẤT KHO'!$A$5:$A$2004,"&lt;"&amp;EDATE(K$4,1)))</f>
        <v/>
      </c>
      <c r="L62" s="60" t="str">
        <f aca="false">IF($A62="","",SUMIFS('XUẤT KHO'!$E$5:$E$2004,'XUẤT KHO'!$C$5:$C$2004,$A62,'XUẤT KHO'!$D$5:$D$2004,$B62,'XUẤT KHO'!$A$5:$A$2004,"&gt;="&amp;L$4,'XUẤT KHO'!$A$5:$A$2004,"&lt;"&amp;EDATE(L$4,1)))</f>
        <v/>
      </c>
      <c r="M62" s="60" t="str">
        <f aca="false">IF($A62="","",SUMIFS('XUẤT KHO'!$E$5:$E$2004,'XUẤT KHO'!$C$5:$C$2004,$A62,'XUẤT KHO'!$D$5:$D$2004,$B62,'XUẤT KHO'!$A$5:$A$2004,"&gt;="&amp;M$4,'XUẤT KHO'!$A$5:$A$2004,"&lt;"&amp;EDATE(M$4,1)))</f>
        <v/>
      </c>
      <c r="N62" s="60" t="str">
        <f aca="false">IF($A62="","",SUMIFS('XUẤT KHO'!$E$5:$E$2004,'XUẤT KHO'!$C$5:$C$2004,$A62,'XUẤT KHO'!$D$5:$D$2004,$B62,'XUẤT KHO'!$A$5:$A$2004,"&gt;="&amp;N$4,'XUẤT KHO'!$A$5:$A$2004,"&lt;"&amp;EDATE(N$4,1)))</f>
        <v/>
      </c>
      <c r="O62" s="60" t="str">
        <f aca="false">IF($A62="","",SUMIFS('XUẤT KHO'!$E$5:$E$2004,'XUẤT KHO'!$C$5:$C$2004,$A62,'XUẤT KHO'!$D$5:$D$2004,$B62,'XUẤT KHO'!$A$5:$A$2004,"&gt;="&amp;O$4,'XUẤT KHO'!$A$5:$A$2004,"&lt;"&amp;EDATE(O$4,1)))</f>
        <v/>
      </c>
      <c r="P62" s="61" t="str">
        <f aca="false">IF($A62="","",SUM(D62:O62))</f>
        <v/>
      </c>
    </row>
    <row r="63" customFormat="false" ht="15" hidden="false" customHeight="false" outlineLevel="0" collapsed="false">
      <c r="A63" s="16" t="str">
        <f aca="false">IF('TỒN KHO'!C69="","",'TỒN KHO'!C69)</f>
        <v/>
      </c>
      <c r="B63" s="16" t="str">
        <f aca="false">IF('TỒN KHO'!C69="","",'TỒN KHO'!E69)</f>
        <v/>
      </c>
      <c r="C63" s="16" t="str">
        <f aca="false">IF('TỒN KHO'!C69="","",'TỒN KHO'!D69)</f>
        <v/>
      </c>
      <c r="D63" s="60" t="str">
        <f aca="false">IF($A63="","",SUMIFS('XUẤT KHO'!$E$5:$E$2004,'XUẤT KHO'!$C$5:$C$2004,$A63,'XUẤT KHO'!$D$5:$D$2004,$B63,'XUẤT KHO'!$A$5:$A$2004,"&gt;="&amp;D$4,'XUẤT KHO'!$A$5:$A$2004,"&lt;"&amp;EDATE(D$4,1)))</f>
        <v/>
      </c>
      <c r="E63" s="60" t="str">
        <f aca="false">IF($A63="","",SUMIFS('XUẤT KHO'!$E$5:$E$2004,'XUẤT KHO'!$C$5:$C$2004,$A63,'XUẤT KHO'!$D$5:$D$2004,$B63,'XUẤT KHO'!$A$5:$A$2004,"&gt;="&amp;E$4,'XUẤT KHO'!$A$5:$A$2004,"&lt;"&amp;EDATE(E$4,1)))</f>
        <v/>
      </c>
      <c r="F63" s="60" t="str">
        <f aca="false">IF($A63="","",SUMIFS('XUẤT KHO'!$E$5:$E$2004,'XUẤT KHO'!$C$5:$C$2004,$A63,'XUẤT KHO'!$D$5:$D$2004,$B63,'XUẤT KHO'!$A$5:$A$2004,"&gt;="&amp;F$4,'XUẤT KHO'!$A$5:$A$2004,"&lt;"&amp;EDATE(F$4,1)))</f>
        <v/>
      </c>
      <c r="G63" s="60" t="str">
        <f aca="false">IF($A63="","",SUMIFS('XUẤT KHO'!$E$5:$E$2004,'XUẤT KHO'!$C$5:$C$2004,$A63,'XUẤT KHO'!$D$5:$D$2004,$B63,'XUẤT KHO'!$A$5:$A$2004,"&gt;="&amp;G$4,'XUẤT KHO'!$A$5:$A$2004,"&lt;"&amp;EDATE(G$4,1)))</f>
        <v/>
      </c>
      <c r="H63" s="60" t="str">
        <f aca="false">IF($A63="","",SUMIFS('XUẤT KHO'!$E$5:$E$2004,'XUẤT KHO'!$C$5:$C$2004,$A63,'XUẤT KHO'!$D$5:$D$2004,$B63,'XUẤT KHO'!$A$5:$A$2004,"&gt;="&amp;H$4,'XUẤT KHO'!$A$5:$A$2004,"&lt;"&amp;EDATE(H$4,1)))</f>
        <v/>
      </c>
      <c r="I63" s="60" t="str">
        <f aca="false">IF($A63="","",SUMIFS('XUẤT KHO'!$E$5:$E$2004,'XUẤT KHO'!$C$5:$C$2004,$A63,'XUẤT KHO'!$D$5:$D$2004,$B63,'XUẤT KHO'!$A$5:$A$2004,"&gt;="&amp;I$4,'XUẤT KHO'!$A$5:$A$2004,"&lt;"&amp;EDATE(I$4,1)))</f>
        <v/>
      </c>
      <c r="J63" s="60" t="str">
        <f aca="false">IF($A63="","",SUMIFS('XUẤT KHO'!$E$5:$E$2004,'XUẤT KHO'!$C$5:$C$2004,$A63,'XUẤT KHO'!$D$5:$D$2004,$B63,'XUẤT KHO'!$A$5:$A$2004,"&gt;="&amp;J$4,'XUẤT KHO'!$A$5:$A$2004,"&lt;"&amp;EDATE(J$4,1)))</f>
        <v/>
      </c>
      <c r="K63" s="60" t="str">
        <f aca="false">IF($A63="","",SUMIFS('XUẤT KHO'!$E$5:$E$2004,'XUẤT KHO'!$C$5:$C$2004,$A63,'XUẤT KHO'!$D$5:$D$2004,$B63,'XUẤT KHO'!$A$5:$A$2004,"&gt;="&amp;K$4,'XUẤT KHO'!$A$5:$A$2004,"&lt;"&amp;EDATE(K$4,1)))</f>
        <v/>
      </c>
      <c r="L63" s="60" t="str">
        <f aca="false">IF($A63="","",SUMIFS('XUẤT KHO'!$E$5:$E$2004,'XUẤT KHO'!$C$5:$C$2004,$A63,'XUẤT KHO'!$D$5:$D$2004,$B63,'XUẤT KHO'!$A$5:$A$2004,"&gt;="&amp;L$4,'XUẤT KHO'!$A$5:$A$2004,"&lt;"&amp;EDATE(L$4,1)))</f>
        <v/>
      </c>
      <c r="M63" s="60" t="str">
        <f aca="false">IF($A63="","",SUMIFS('XUẤT KHO'!$E$5:$E$2004,'XUẤT KHO'!$C$5:$C$2004,$A63,'XUẤT KHO'!$D$5:$D$2004,$B63,'XUẤT KHO'!$A$5:$A$2004,"&gt;="&amp;M$4,'XUẤT KHO'!$A$5:$A$2004,"&lt;"&amp;EDATE(M$4,1)))</f>
        <v/>
      </c>
      <c r="N63" s="60" t="str">
        <f aca="false">IF($A63="","",SUMIFS('XUẤT KHO'!$E$5:$E$2004,'XUẤT KHO'!$C$5:$C$2004,$A63,'XUẤT KHO'!$D$5:$D$2004,$B63,'XUẤT KHO'!$A$5:$A$2004,"&gt;="&amp;N$4,'XUẤT KHO'!$A$5:$A$2004,"&lt;"&amp;EDATE(N$4,1)))</f>
        <v/>
      </c>
      <c r="O63" s="60" t="str">
        <f aca="false">IF($A63="","",SUMIFS('XUẤT KHO'!$E$5:$E$2004,'XUẤT KHO'!$C$5:$C$2004,$A63,'XUẤT KHO'!$D$5:$D$2004,$B63,'XUẤT KHO'!$A$5:$A$2004,"&gt;="&amp;O$4,'XUẤT KHO'!$A$5:$A$2004,"&lt;"&amp;EDATE(O$4,1)))</f>
        <v/>
      </c>
      <c r="P63" s="61" t="str">
        <f aca="false">IF($A63="","",SUM(D63:O63))</f>
        <v/>
      </c>
    </row>
    <row r="64" customFormat="false" ht="15" hidden="false" customHeight="false" outlineLevel="0" collapsed="false">
      <c r="A64" s="16" t="str">
        <f aca="false">IF('TỒN KHO'!C70="","",'TỒN KHO'!C70)</f>
        <v/>
      </c>
      <c r="B64" s="16" t="str">
        <f aca="false">IF('TỒN KHO'!C70="","",'TỒN KHO'!E70)</f>
        <v/>
      </c>
      <c r="C64" s="16" t="str">
        <f aca="false">IF('TỒN KHO'!C70="","",'TỒN KHO'!D70)</f>
        <v/>
      </c>
      <c r="D64" s="60" t="str">
        <f aca="false">IF($A64="","",SUMIFS('XUẤT KHO'!$E$5:$E$2004,'XUẤT KHO'!$C$5:$C$2004,$A64,'XUẤT KHO'!$D$5:$D$2004,$B64,'XUẤT KHO'!$A$5:$A$2004,"&gt;="&amp;D$4,'XUẤT KHO'!$A$5:$A$2004,"&lt;"&amp;EDATE(D$4,1)))</f>
        <v/>
      </c>
      <c r="E64" s="60" t="str">
        <f aca="false">IF($A64="","",SUMIFS('XUẤT KHO'!$E$5:$E$2004,'XUẤT KHO'!$C$5:$C$2004,$A64,'XUẤT KHO'!$D$5:$D$2004,$B64,'XUẤT KHO'!$A$5:$A$2004,"&gt;="&amp;E$4,'XUẤT KHO'!$A$5:$A$2004,"&lt;"&amp;EDATE(E$4,1)))</f>
        <v/>
      </c>
      <c r="F64" s="60" t="str">
        <f aca="false">IF($A64="","",SUMIFS('XUẤT KHO'!$E$5:$E$2004,'XUẤT KHO'!$C$5:$C$2004,$A64,'XUẤT KHO'!$D$5:$D$2004,$B64,'XUẤT KHO'!$A$5:$A$2004,"&gt;="&amp;F$4,'XUẤT KHO'!$A$5:$A$2004,"&lt;"&amp;EDATE(F$4,1)))</f>
        <v/>
      </c>
      <c r="G64" s="60" t="str">
        <f aca="false">IF($A64="","",SUMIFS('XUẤT KHO'!$E$5:$E$2004,'XUẤT KHO'!$C$5:$C$2004,$A64,'XUẤT KHO'!$D$5:$D$2004,$B64,'XUẤT KHO'!$A$5:$A$2004,"&gt;="&amp;G$4,'XUẤT KHO'!$A$5:$A$2004,"&lt;"&amp;EDATE(G$4,1)))</f>
        <v/>
      </c>
      <c r="H64" s="60" t="str">
        <f aca="false">IF($A64="","",SUMIFS('XUẤT KHO'!$E$5:$E$2004,'XUẤT KHO'!$C$5:$C$2004,$A64,'XUẤT KHO'!$D$5:$D$2004,$B64,'XUẤT KHO'!$A$5:$A$2004,"&gt;="&amp;H$4,'XUẤT KHO'!$A$5:$A$2004,"&lt;"&amp;EDATE(H$4,1)))</f>
        <v/>
      </c>
      <c r="I64" s="60" t="str">
        <f aca="false">IF($A64="","",SUMIFS('XUẤT KHO'!$E$5:$E$2004,'XUẤT KHO'!$C$5:$C$2004,$A64,'XUẤT KHO'!$D$5:$D$2004,$B64,'XUẤT KHO'!$A$5:$A$2004,"&gt;="&amp;I$4,'XUẤT KHO'!$A$5:$A$2004,"&lt;"&amp;EDATE(I$4,1)))</f>
        <v/>
      </c>
      <c r="J64" s="60" t="str">
        <f aca="false">IF($A64="","",SUMIFS('XUẤT KHO'!$E$5:$E$2004,'XUẤT KHO'!$C$5:$C$2004,$A64,'XUẤT KHO'!$D$5:$D$2004,$B64,'XUẤT KHO'!$A$5:$A$2004,"&gt;="&amp;J$4,'XUẤT KHO'!$A$5:$A$2004,"&lt;"&amp;EDATE(J$4,1)))</f>
        <v/>
      </c>
      <c r="K64" s="60" t="str">
        <f aca="false">IF($A64="","",SUMIFS('XUẤT KHO'!$E$5:$E$2004,'XUẤT KHO'!$C$5:$C$2004,$A64,'XUẤT KHO'!$D$5:$D$2004,$B64,'XUẤT KHO'!$A$5:$A$2004,"&gt;="&amp;K$4,'XUẤT KHO'!$A$5:$A$2004,"&lt;"&amp;EDATE(K$4,1)))</f>
        <v/>
      </c>
      <c r="L64" s="60" t="str">
        <f aca="false">IF($A64="","",SUMIFS('XUẤT KHO'!$E$5:$E$2004,'XUẤT KHO'!$C$5:$C$2004,$A64,'XUẤT KHO'!$D$5:$D$2004,$B64,'XUẤT KHO'!$A$5:$A$2004,"&gt;="&amp;L$4,'XUẤT KHO'!$A$5:$A$2004,"&lt;"&amp;EDATE(L$4,1)))</f>
        <v/>
      </c>
      <c r="M64" s="60" t="str">
        <f aca="false">IF($A64="","",SUMIFS('XUẤT KHO'!$E$5:$E$2004,'XUẤT KHO'!$C$5:$C$2004,$A64,'XUẤT KHO'!$D$5:$D$2004,$B64,'XUẤT KHO'!$A$5:$A$2004,"&gt;="&amp;M$4,'XUẤT KHO'!$A$5:$A$2004,"&lt;"&amp;EDATE(M$4,1)))</f>
        <v/>
      </c>
      <c r="N64" s="60" t="str">
        <f aca="false">IF($A64="","",SUMIFS('XUẤT KHO'!$E$5:$E$2004,'XUẤT KHO'!$C$5:$C$2004,$A64,'XUẤT KHO'!$D$5:$D$2004,$B64,'XUẤT KHO'!$A$5:$A$2004,"&gt;="&amp;N$4,'XUẤT KHO'!$A$5:$A$2004,"&lt;"&amp;EDATE(N$4,1)))</f>
        <v/>
      </c>
      <c r="O64" s="60" t="str">
        <f aca="false">IF($A64="","",SUMIFS('XUẤT KHO'!$E$5:$E$2004,'XUẤT KHO'!$C$5:$C$2004,$A64,'XUẤT KHO'!$D$5:$D$2004,$B64,'XUẤT KHO'!$A$5:$A$2004,"&gt;="&amp;O$4,'XUẤT KHO'!$A$5:$A$2004,"&lt;"&amp;EDATE(O$4,1)))</f>
        <v/>
      </c>
      <c r="P64" s="61" t="str">
        <f aca="false">IF($A64="","",SUM(D64:O64))</f>
        <v/>
      </c>
    </row>
    <row r="65" customFormat="false" ht="15" hidden="false" customHeight="false" outlineLevel="0" collapsed="false">
      <c r="A65" s="16" t="str">
        <f aca="false">IF('TỒN KHO'!C71="","",'TỒN KHO'!C71)</f>
        <v/>
      </c>
      <c r="B65" s="16" t="str">
        <f aca="false">IF('TỒN KHO'!C71="","",'TỒN KHO'!E71)</f>
        <v/>
      </c>
      <c r="C65" s="16" t="str">
        <f aca="false">IF('TỒN KHO'!C71="","",'TỒN KHO'!D71)</f>
        <v/>
      </c>
      <c r="D65" s="60" t="str">
        <f aca="false">IF($A65="","",SUMIFS('XUẤT KHO'!$E$5:$E$2004,'XUẤT KHO'!$C$5:$C$2004,$A65,'XUẤT KHO'!$D$5:$D$2004,$B65,'XUẤT KHO'!$A$5:$A$2004,"&gt;="&amp;D$4,'XUẤT KHO'!$A$5:$A$2004,"&lt;"&amp;EDATE(D$4,1)))</f>
        <v/>
      </c>
      <c r="E65" s="60" t="str">
        <f aca="false">IF($A65="","",SUMIFS('XUẤT KHO'!$E$5:$E$2004,'XUẤT KHO'!$C$5:$C$2004,$A65,'XUẤT KHO'!$D$5:$D$2004,$B65,'XUẤT KHO'!$A$5:$A$2004,"&gt;="&amp;E$4,'XUẤT KHO'!$A$5:$A$2004,"&lt;"&amp;EDATE(E$4,1)))</f>
        <v/>
      </c>
      <c r="F65" s="60" t="str">
        <f aca="false">IF($A65="","",SUMIFS('XUẤT KHO'!$E$5:$E$2004,'XUẤT KHO'!$C$5:$C$2004,$A65,'XUẤT KHO'!$D$5:$D$2004,$B65,'XUẤT KHO'!$A$5:$A$2004,"&gt;="&amp;F$4,'XUẤT KHO'!$A$5:$A$2004,"&lt;"&amp;EDATE(F$4,1)))</f>
        <v/>
      </c>
      <c r="G65" s="60" t="str">
        <f aca="false">IF($A65="","",SUMIFS('XUẤT KHO'!$E$5:$E$2004,'XUẤT KHO'!$C$5:$C$2004,$A65,'XUẤT KHO'!$D$5:$D$2004,$B65,'XUẤT KHO'!$A$5:$A$2004,"&gt;="&amp;G$4,'XUẤT KHO'!$A$5:$A$2004,"&lt;"&amp;EDATE(G$4,1)))</f>
        <v/>
      </c>
      <c r="H65" s="60" t="str">
        <f aca="false">IF($A65="","",SUMIFS('XUẤT KHO'!$E$5:$E$2004,'XUẤT KHO'!$C$5:$C$2004,$A65,'XUẤT KHO'!$D$5:$D$2004,$B65,'XUẤT KHO'!$A$5:$A$2004,"&gt;="&amp;H$4,'XUẤT KHO'!$A$5:$A$2004,"&lt;"&amp;EDATE(H$4,1)))</f>
        <v/>
      </c>
      <c r="I65" s="60" t="str">
        <f aca="false">IF($A65="","",SUMIFS('XUẤT KHO'!$E$5:$E$2004,'XUẤT KHO'!$C$5:$C$2004,$A65,'XUẤT KHO'!$D$5:$D$2004,$B65,'XUẤT KHO'!$A$5:$A$2004,"&gt;="&amp;I$4,'XUẤT KHO'!$A$5:$A$2004,"&lt;"&amp;EDATE(I$4,1)))</f>
        <v/>
      </c>
      <c r="J65" s="60" t="str">
        <f aca="false">IF($A65="","",SUMIFS('XUẤT KHO'!$E$5:$E$2004,'XUẤT KHO'!$C$5:$C$2004,$A65,'XUẤT KHO'!$D$5:$D$2004,$B65,'XUẤT KHO'!$A$5:$A$2004,"&gt;="&amp;J$4,'XUẤT KHO'!$A$5:$A$2004,"&lt;"&amp;EDATE(J$4,1)))</f>
        <v/>
      </c>
      <c r="K65" s="60" t="str">
        <f aca="false">IF($A65="","",SUMIFS('XUẤT KHO'!$E$5:$E$2004,'XUẤT KHO'!$C$5:$C$2004,$A65,'XUẤT KHO'!$D$5:$D$2004,$B65,'XUẤT KHO'!$A$5:$A$2004,"&gt;="&amp;K$4,'XUẤT KHO'!$A$5:$A$2004,"&lt;"&amp;EDATE(K$4,1)))</f>
        <v/>
      </c>
      <c r="L65" s="60" t="str">
        <f aca="false">IF($A65="","",SUMIFS('XUẤT KHO'!$E$5:$E$2004,'XUẤT KHO'!$C$5:$C$2004,$A65,'XUẤT KHO'!$D$5:$D$2004,$B65,'XUẤT KHO'!$A$5:$A$2004,"&gt;="&amp;L$4,'XUẤT KHO'!$A$5:$A$2004,"&lt;"&amp;EDATE(L$4,1)))</f>
        <v/>
      </c>
      <c r="M65" s="60" t="str">
        <f aca="false">IF($A65="","",SUMIFS('XUẤT KHO'!$E$5:$E$2004,'XUẤT KHO'!$C$5:$C$2004,$A65,'XUẤT KHO'!$D$5:$D$2004,$B65,'XUẤT KHO'!$A$5:$A$2004,"&gt;="&amp;M$4,'XUẤT KHO'!$A$5:$A$2004,"&lt;"&amp;EDATE(M$4,1)))</f>
        <v/>
      </c>
      <c r="N65" s="60" t="str">
        <f aca="false">IF($A65="","",SUMIFS('XUẤT KHO'!$E$5:$E$2004,'XUẤT KHO'!$C$5:$C$2004,$A65,'XUẤT KHO'!$D$5:$D$2004,$B65,'XUẤT KHO'!$A$5:$A$2004,"&gt;="&amp;N$4,'XUẤT KHO'!$A$5:$A$2004,"&lt;"&amp;EDATE(N$4,1)))</f>
        <v/>
      </c>
      <c r="O65" s="60" t="str">
        <f aca="false">IF($A65="","",SUMIFS('XUẤT KHO'!$E$5:$E$2004,'XUẤT KHO'!$C$5:$C$2004,$A65,'XUẤT KHO'!$D$5:$D$2004,$B65,'XUẤT KHO'!$A$5:$A$2004,"&gt;="&amp;O$4,'XUẤT KHO'!$A$5:$A$2004,"&lt;"&amp;EDATE(O$4,1)))</f>
        <v/>
      </c>
      <c r="P65" s="61" t="str">
        <f aca="false">IF($A65="","",SUM(D65:O65))</f>
        <v/>
      </c>
    </row>
    <row r="66" customFormat="false" ht="15" hidden="false" customHeight="false" outlineLevel="0" collapsed="false">
      <c r="A66" s="16" t="str">
        <f aca="false">IF('TỒN KHO'!C72="","",'TỒN KHO'!C72)</f>
        <v/>
      </c>
      <c r="B66" s="16" t="str">
        <f aca="false">IF('TỒN KHO'!C72="","",'TỒN KHO'!E72)</f>
        <v/>
      </c>
      <c r="C66" s="16" t="str">
        <f aca="false">IF('TỒN KHO'!C72="","",'TỒN KHO'!D72)</f>
        <v/>
      </c>
      <c r="D66" s="60" t="str">
        <f aca="false">IF($A66="","",SUMIFS('XUẤT KHO'!$E$5:$E$2004,'XUẤT KHO'!$C$5:$C$2004,$A66,'XUẤT KHO'!$D$5:$D$2004,$B66,'XUẤT KHO'!$A$5:$A$2004,"&gt;="&amp;D$4,'XUẤT KHO'!$A$5:$A$2004,"&lt;"&amp;EDATE(D$4,1)))</f>
        <v/>
      </c>
      <c r="E66" s="60" t="str">
        <f aca="false">IF($A66="","",SUMIFS('XUẤT KHO'!$E$5:$E$2004,'XUẤT KHO'!$C$5:$C$2004,$A66,'XUẤT KHO'!$D$5:$D$2004,$B66,'XUẤT KHO'!$A$5:$A$2004,"&gt;="&amp;E$4,'XUẤT KHO'!$A$5:$A$2004,"&lt;"&amp;EDATE(E$4,1)))</f>
        <v/>
      </c>
      <c r="F66" s="60" t="str">
        <f aca="false">IF($A66="","",SUMIFS('XUẤT KHO'!$E$5:$E$2004,'XUẤT KHO'!$C$5:$C$2004,$A66,'XUẤT KHO'!$D$5:$D$2004,$B66,'XUẤT KHO'!$A$5:$A$2004,"&gt;="&amp;F$4,'XUẤT KHO'!$A$5:$A$2004,"&lt;"&amp;EDATE(F$4,1)))</f>
        <v/>
      </c>
      <c r="G66" s="60" t="str">
        <f aca="false">IF($A66="","",SUMIFS('XUẤT KHO'!$E$5:$E$2004,'XUẤT KHO'!$C$5:$C$2004,$A66,'XUẤT KHO'!$D$5:$D$2004,$B66,'XUẤT KHO'!$A$5:$A$2004,"&gt;="&amp;G$4,'XUẤT KHO'!$A$5:$A$2004,"&lt;"&amp;EDATE(G$4,1)))</f>
        <v/>
      </c>
      <c r="H66" s="60" t="str">
        <f aca="false">IF($A66="","",SUMIFS('XUẤT KHO'!$E$5:$E$2004,'XUẤT KHO'!$C$5:$C$2004,$A66,'XUẤT KHO'!$D$5:$D$2004,$B66,'XUẤT KHO'!$A$5:$A$2004,"&gt;="&amp;H$4,'XUẤT KHO'!$A$5:$A$2004,"&lt;"&amp;EDATE(H$4,1)))</f>
        <v/>
      </c>
      <c r="I66" s="60" t="str">
        <f aca="false">IF($A66="","",SUMIFS('XUẤT KHO'!$E$5:$E$2004,'XUẤT KHO'!$C$5:$C$2004,$A66,'XUẤT KHO'!$D$5:$D$2004,$B66,'XUẤT KHO'!$A$5:$A$2004,"&gt;="&amp;I$4,'XUẤT KHO'!$A$5:$A$2004,"&lt;"&amp;EDATE(I$4,1)))</f>
        <v/>
      </c>
      <c r="J66" s="60" t="str">
        <f aca="false">IF($A66="","",SUMIFS('XUẤT KHO'!$E$5:$E$2004,'XUẤT KHO'!$C$5:$C$2004,$A66,'XUẤT KHO'!$D$5:$D$2004,$B66,'XUẤT KHO'!$A$5:$A$2004,"&gt;="&amp;J$4,'XUẤT KHO'!$A$5:$A$2004,"&lt;"&amp;EDATE(J$4,1)))</f>
        <v/>
      </c>
      <c r="K66" s="60" t="str">
        <f aca="false">IF($A66="","",SUMIFS('XUẤT KHO'!$E$5:$E$2004,'XUẤT KHO'!$C$5:$C$2004,$A66,'XUẤT KHO'!$D$5:$D$2004,$B66,'XUẤT KHO'!$A$5:$A$2004,"&gt;="&amp;K$4,'XUẤT KHO'!$A$5:$A$2004,"&lt;"&amp;EDATE(K$4,1)))</f>
        <v/>
      </c>
      <c r="L66" s="60" t="str">
        <f aca="false">IF($A66="","",SUMIFS('XUẤT KHO'!$E$5:$E$2004,'XUẤT KHO'!$C$5:$C$2004,$A66,'XUẤT KHO'!$D$5:$D$2004,$B66,'XUẤT KHO'!$A$5:$A$2004,"&gt;="&amp;L$4,'XUẤT KHO'!$A$5:$A$2004,"&lt;"&amp;EDATE(L$4,1)))</f>
        <v/>
      </c>
      <c r="M66" s="60" t="str">
        <f aca="false">IF($A66="","",SUMIFS('XUẤT KHO'!$E$5:$E$2004,'XUẤT KHO'!$C$5:$C$2004,$A66,'XUẤT KHO'!$D$5:$D$2004,$B66,'XUẤT KHO'!$A$5:$A$2004,"&gt;="&amp;M$4,'XUẤT KHO'!$A$5:$A$2004,"&lt;"&amp;EDATE(M$4,1)))</f>
        <v/>
      </c>
      <c r="N66" s="60" t="str">
        <f aca="false">IF($A66="","",SUMIFS('XUẤT KHO'!$E$5:$E$2004,'XUẤT KHO'!$C$5:$C$2004,$A66,'XUẤT KHO'!$D$5:$D$2004,$B66,'XUẤT KHO'!$A$5:$A$2004,"&gt;="&amp;N$4,'XUẤT KHO'!$A$5:$A$2004,"&lt;"&amp;EDATE(N$4,1)))</f>
        <v/>
      </c>
      <c r="O66" s="60" t="str">
        <f aca="false">IF($A66="","",SUMIFS('XUẤT KHO'!$E$5:$E$2004,'XUẤT KHO'!$C$5:$C$2004,$A66,'XUẤT KHO'!$D$5:$D$2004,$B66,'XUẤT KHO'!$A$5:$A$2004,"&gt;="&amp;O$4,'XUẤT KHO'!$A$5:$A$2004,"&lt;"&amp;EDATE(O$4,1)))</f>
        <v/>
      </c>
      <c r="P66" s="61" t="str">
        <f aca="false">IF($A66="","",SUM(D66:O66))</f>
        <v/>
      </c>
    </row>
    <row r="67" customFormat="false" ht="15" hidden="false" customHeight="false" outlineLevel="0" collapsed="false">
      <c r="A67" s="16" t="str">
        <f aca="false">IF('TỒN KHO'!C73="","",'TỒN KHO'!C73)</f>
        <v/>
      </c>
      <c r="B67" s="16" t="str">
        <f aca="false">IF('TỒN KHO'!C73="","",'TỒN KHO'!E73)</f>
        <v/>
      </c>
      <c r="C67" s="16" t="str">
        <f aca="false">IF('TỒN KHO'!C73="","",'TỒN KHO'!D73)</f>
        <v/>
      </c>
      <c r="D67" s="60" t="str">
        <f aca="false">IF($A67="","",SUMIFS('XUẤT KHO'!$E$5:$E$2004,'XUẤT KHO'!$C$5:$C$2004,$A67,'XUẤT KHO'!$D$5:$D$2004,$B67,'XUẤT KHO'!$A$5:$A$2004,"&gt;="&amp;D$4,'XUẤT KHO'!$A$5:$A$2004,"&lt;"&amp;EDATE(D$4,1)))</f>
        <v/>
      </c>
      <c r="E67" s="60" t="str">
        <f aca="false">IF($A67="","",SUMIFS('XUẤT KHO'!$E$5:$E$2004,'XUẤT KHO'!$C$5:$C$2004,$A67,'XUẤT KHO'!$D$5:$D$2004,$B67,'XUẤT KHO'!$A$5:$A$2004,"&gt;="&amp;E$4,'XUẤT KHO'!$A$5:$A$2004,"&lt;"&amp;EDATE(E$4,1)))</f>
        <v/>
      </c>
      <c r="F67" s="60" t="str">
        <f aca="false">IF($A67="","",SUMIFS('XUẤT KHO'!$E$5:$E$2004,'XUẤT KHO'!$C$5:$C$2004,$A67,'XUẤT KHO'!$D$5:$D$2004,$B67,'XUẤT KHO'!$A$5:$A$2004,"&gt;="&amp;F$4,'XUẤT KHO'!$A$5:$A$2004,"&lt;"&amp;EDATE(F$4,1)))</f>
        <v/>
      </c>
      <c r="G67" s="60" t="str">
        <f aca="false">IF($A67="","",SUMIFS('XUẤT KHO'!$E$5:$E$2004,'XUẤT KHO'!$C$5:$C$2004,$A67,'XUẤT KHO'!$D$5:$D$2004,$B67,'XUẤT KHO'!$A$5:$A$2004,"&gt;="&amp;G$4,'XUẤT KHO'!$A$5:$A$2004,"&lt;"&amp;EDATE(G$4,1)))</f>
        <v/>
      </c>
      <c r="H67" s="60" t="str">
        <f aca="false">IF($A67="","",SUMIFS('XUẤT KHO'!$E$5:$E$2004,'XUẤT KHO'!$C$5:$C$2004,$A67,'XUẤT KHO'!$D$5:$D$2004,$B67,'XUẤT KHO'!$A$5:$A$2004,"&gt;="&amp;H$4,'XUẤT KHO'!$A$5:$A$2004,"&lt;"&amp;EDATE(H$4,1)))</f>
        <v/>
      </c>
      <c r="I67" s="60" t="str">
        <f aca="false">IF($A67="","",SUMIFS('XUẤT KHO'!$E$5:$E$2004,'XUẤT KHO'!$C$5:$C$2004,$A67,'XUẤT KHO'!$D$5:$D$2004,$B67,'XUẤT KHO'!$A$5:$A$2004,"&gt;="&amp;I$4,'XUẤT KHO'!$A$5:$A$2004,"&lt;"&amp;EDATE(I$4,1)))</f>
        <v/>
      </c>
      <c r="J67" s="60" t="str">
        <f aca="false">IF($A67="","",SUMIFS('XUẤT KHO'!$E$5:$E$2004,'XUẤT KHO'!$C$5:$C$2004,$A67,'XUẤT KHO'!$D$5:$D$2004,$B67,'XUẤT KHO'!$A$5:$A$2004,"&gt;="&amp;J$4,'XUẤT KHO'!$A$5:$A$2004,"&lt;"&amp;EDATE(J$4,1)))</f>
        <v/>
      </c>
      <c r="K67" s="60" t="str">
        <f aca="false">IF($A67="","",SUMIFS('XUẤT KHO'!$E$5:$E$2004,'XUẤT KHO'!$C$5:$C$2004,$A67,'XUẤT KHO'!$D$5:$D$2004,$B67,'XUẤT KHO'!$A$5:$A$2004,"&gt;="&amp;K$4,'XUẤT KHO'!$A$5:$A$2004,"&lt;"&amp;EDATE(K$4,1)))</f>
        <v/>
      </c>
      <c r="L67" s="60" t="str">
        <f aca="false">IF($A67="","",SUMIFS('XUẤT KHO'!$E$5:$E$2004,'XUẤT KHO'!$C$5:$C$2004,$A67,'XUẤT KHO'!$D$5:$D$2004,$B67,'XUẤT KHO'!$A$5:$A$2004,"&gt;="&amp;L$4,'XUẤT KHO'!$A$5:$A$2004,"&lt;"&amp;EDATE(L$4,1)))</f>
        <v/>
      </c>
      <c r="M67" s="60" t="str">
        <f aca="false">IF($A67="","",SUMIFS('XUẤT KHO'!$E$5:$E$2004,'XUẤT KHO'!$C$5:$C$2004,$A67,'XUẤT KHO'!$D$5:$D$2004,$B67,'XUẤT KHO'!$A$5:$A$2004,"&gt;="&amp;M$4,'XUẤT KHO'!$A$5:$A$2004,"&lt;"&amp;EDATE(M$4,1)))</f>
        <v/>
      </c>
      <c r="N67" s="60" t="str">
        <f aca="false">IF($A67="","",SUMIFS('XUẤT KHO'!$E$5:$E$2004,'XUẤT KHO'!$C$5:$C$2004,$A67,'XUẤT KHO'!$D$5:$D$2004,$B67,'XUẤT KHO'!$A$5:$A$2004,"&gt;="&amp;N$4,'XUẤT KHO'!$A$5:$A$2004,"&lt;"&amp;EDATE(N$4,1)))</f>
        <v/>
      </c>
      <c r="O67" s="60" t="str">
        <f aca="false">IF($A67="","",SUMIFS('XUẤT KHO'!$E$5:$E$2004,'XUẤT KHO'!$C$5:$C$2004,$A67,'XUẤT KHO'!$D$5:$D$2004,$B67,'XUẤT KHO'!$A$5:$A$2004,"&gt;="&amp;O$4,'XUẤT KHO'!$A$5:$A$2004,"&lt;"&amp;EDATE(O$4,1)))</f>
        <v/>
      </c>
      <c r="P67" s="61" t="str">
        <f aca="false">IF($A67="","",SUM(D67:O67))</f>
        <v/>
      </c>
    </row>
    <row r="68" customFormat="false" ht="15" hidden="false" customHeight="false" outlineLevel="0" collapsed="false">
      <c r="A68" s="16" t="str">
        <f aca="false">IF('TỒN KHO'!C74="","",'TỒN KHO'!C74)</f>
        <v/>
      </c>
      <c r="B68" s="16" t="str">
        <f aca="false">IF('TỒN KHO'!C74="","",'TỒN KHO'!E74)</f>
        <v/>
      </c>
      <c r="C68" s="16" t="str">
        <f aca="false">IF('TỒN KHO'!C74="","",'TỒN KHO'!D74)</f>
        <v/>
      </c>
      <c r="D68" s="60" t="str">
        <f aca="false">IF($A68="","",SUMIFS('XUẤT KHO'!$E$5:$E$2004,'XUẤT KHO'!$C$5:$C$2004,$A68,'XUẤT KHO'!$D$5:$D$2004,$B68,'XUẤT KHO'!$A$5:$A$2004,"&gt;="&amp;D$4,'XUẤT KHO'!$A$5:$A$2004,"&lt;"&amp;EDATE(D$4,1)))</f>
        <v/>
      </c>
      <c r="E68" s="60" t="str">
        <f aca="false">IF($A68="","",SUMIFS('XUẤT KHO'!$E$5:$E$2004,'XUẤT KHO'!$C$5:$C$2004,$A68,'XUẤT KHO'!$D$5:$D$2004,$B68,'XUẤT KHO'!$A$5:$A$2004,"&gt;="&amp;E$4,'XUẤT KHO'!$A$5:$A$2004,"&lt;"&amp;EDATE(E$4,1)))</f>
        <v/>
      </c>
      <c r="F68" s="60" t="str">
        <f aca="false">IF($A68="","",SUMIFS('XUẤT KHO'!$E$5:$E$2004,'XUẤT KHO'!$C$5:$C$2004,$A68,'XUẤT KHO'!$D$5:$D$2004,$B68,'XUẤT KHO'!$A$5:$A$2004,"&gt;="&amp;F$4,'XUẤT KHO'!$A$5:$A$2004,"&lt;"&amp;EDATE(F$4,1)))</f>
        <v/>
      </c>
      <c r="G68" s="60" t="str">
        <f aca="false">IF($A68="","",SUMIFS('XUẤT KHO'!$E$5:$E$2004,'XUẤT KHO'!$C$5:$C$2004,$A68,'XUẤT KHO'!$D$5:$D$2004,$B68,'XUẤT KHO'!$A$5:$A$2004,"&gt;="&amp;G$4,'XUẤT KHO'!$A$5:$A$2004,"&lt;"&amp;EDATE(G$4,1)))</f>
        <v/>
      </c>
      <c r="H68" s="60" t="str">
        <f aca="false">IF($A68="","",SUMIFS('XUẤT KHO'!$E$5:$E$2004,'XUẤT KHO'!$C$5:$C$2004,$A68,'XUẤT KHO'!$D$5:$D$2004,$B68,'XUẤT KHO'!$A$5:$A$2004,"&gt;="&amp;H$4,'XUẤT KHO'!$A$5:$A$2004,"&lt;"&amp;EDATE(H$4,1)))</f>
        <v/>
      </c>
      <c r="I68" s="60" t="str">
        <f aca="false">IF($A68="","",SUMIFS('XUẤT KHO'!$E$5:$E$2004,'XUẤT KHO'!$C$5:$C$2004,$A68,'XUẤT KHO'!$D$5:$D$2004,$B68,'XUẤT KHO'!$A$5:$A$2004,"&gt;="&amp;I$4,'XUẤT KHO'!$A$5:$A$2004,"&lt;"&amp;EDATE(I$4,1)))</f>
        <v/>
      </c>
      <c r="J68" s="60" t="str">
        <f aca="false">IF($A68="","",SUMIFS('XUẤT KHO'!$E$5:$E$2004,'XUẤT KHO'!$C$5:$C$2004,$A68,'XUẤT KHO'!$D$5:$D$2004,$B68,'XUẤT KHO'!$A$5:$A$2004,"&gt;="&amp;J$4,'XUẤT KHO'!$A$5:$A$2004,"&lt;"&amp;EDATE(J$4,1)))</f>
        <v/>
      </c>
      <c r="K68" s="60" t="str">
        <f aca="false">IF($A68="","",SUMIFS('XUẤT KHO'!$E$5:$E$2004,'XUẤT KHO'!$C$5:$C$2004,$A68,'XUẤT KHO'!$D$5:$D$2004,$B68,'XUẤT KHO'!$A$5:$A$2004,"&gt;="&amp;K$4,'XUẤT KHO'!$A$5:$A$2004,"&lt;"&amp;EDATE(K$4,1)))</f>
        <v/>
      </c>
      <c r="L68" s="60" t="str">
        <f aca="false">IF($A68="","",SUMIFS('XUẤT KHO'!$E$5:$E$2004,'XUẤT KHO'!$C$5:$C$2004,$A68,'XUẤT KHO'!$D$5:$D$2004,$B68,'XUẤT KHO'!$A$5:$A$2004,"&gt;="&amp;L$4,'XUẤT KHO'!$A$5:$A$2004,"&lt;"&amp;EDATE(L$4,1)))</f>
        <v/>
      </c>
      <c r="M68" s="60" t="str">
        <f aca="false">IF($A68="","",SUMIFS('XUẤT KHO'!$E$5:$E$2004,'XUẤT KHO'!$C$5:$C$2004,$A68,'XUẤT KHO'!$D$5:$D$2004,$B68,'XUẤT KHO'!$A$5:$A$2004,"&gt;="&amp;M$4,'XUẤT KHO'!$A$5:$A$2004,"&lt;"&amp;EDATE(M$4,1)))</f>
        <v/>
      </c>
      <c r="N68" s="60" t="str">
        <f aca="false">IF($A68="","",SUMIFS('XUẤT KHO'!$E$5:$E$2004,'XUẤT KHO'!$C$5:$C$2004,$A68,'XUẤT KHO'!$D$5:$D$2004,$B68,'XUẤT KHO'!$A$5:$A$2004,"&gt;="&amp;N$4,'XUẤT KHO'!$A$5:$A$2004,"&lt;"&amp;EDATE(N$4,1)))</f>
        <v/>
      </c>
      <c r="O68" s="60" t="str">
        <f aca="false">IF($A68="","",SUMIFS('XUẤT KHO'!$E$5:$E$2004,'XUẤT KHO'!$C$5:$C$2004,$A68,'XUẤT KHO'!$D$5:$D$2004,$B68,'XUẤT KHO'!$A$5:$A$2004,"&gt;="&amp;O$4,'XUẤT KHO'!$A$5:$A$2004,"&lt;"&amp;EDATE(O$4,1)))</f>
        <v/>
      </c>
      <c r="P68" s="61" t="str">
        <f aca="false">IF($A68="","",SUM(D68:O68))</f>
        <v/>
      </c>
    </row>
    <row r="69" customFormat="false" ht="15" hidden="false" customHeight="false" outlineLevel="0" collapsed="false">
      <c r="A69" s="16" t="str">
        <f aca="false">IF('TỒN KHO'!C75="","",'TỒN KHO'!C75)</f>
        <v/>
      </c>
      <c r="B69" s="16" t="str">
        <f aca="false">IF('TỒN KHO'!C75="","",'TỒN KHO'!E75)</f>
        <v/>
      </c>
      <c r="C69" s="16" t="str">
        <f aca="false">IF('TỒN KHO'!C75="","",'TỒN KHO'!D75)</f>
        <v/>
      </c>
      <c r="D69" s="60" t="str">
        <f aca="false">IF($A69="","",SUMIFS('XUẤT KHO'!$E$5:$E$2004,'XUẤT KHO'!$C$5:$C$2004,$A69,'XUẤT KHO'!$D$5:$D$2004,$B69,'XUẤT KHO'!$A$5:$A$2004,"&gt;="&amp;D$4,'XUẤT KHO'!$A$5:$A$2004,"&lt;"&amp;EDATE(D$4,1)))</f>
        <v/>
      </c>
      <c r="E69" s="60" t="str">
        <f aca="false">IF($A69="","",SUMIFS('XUẤT KHO'!$E$5:$E$2004,'XUẤT KHO'!$C$5:$C$2004,$A69,'XUẤT KHO'!$D$5:$D$2004,$B69,'XUẤT KHO'!$A$5:$A$2004,"&gt;="&amp;E$4,'XUẤT KHO'!$A$5:$A$2004,"&lt;"&amp;EDATE(E$4,1)))</f>
        <v/>
      </c>
      <c r="F69" s="60" t="str">
        <f aca="false">IF($A69="","",SUMIFS('XUẤT KHO'!$E$5:$E$2004,'XUẤT KHO'!$C$5:$C$2004,$A69,'XUẤT KHO'!$D$5:$D$2004,$B69,'XUẤT KHO'!$A$5:$A$2004,"&gt;="&amp;F$4,'XUẤT KHO'!$A$5:$A$2004,"&lt;"&amp;EDATE(F$4,1)))</f>
        <v/>
      </c>
      <c r="G69" s="60" t="str">
        <f aca="false">IF($A69="","",SUMIFS('XUẤT KHO'!$E$5:$E$2004,'XUẤT KHO'!$C$5:$C$2004,$A69,'XUẤT KHO'!$D$5:$D$2004,$B69,'XUẤT KHO'!$A$5:$A$2004,"&gt;="&amp;G$4,'XUẤT KHO'!$A$5:$A$2004,"&lt;"&amp;EDATE(G$4,1)))</f>
        <v/>
      </c>
      <c r="H69" s="60" t="str">
        <f aca="false">IF($A69="","",SUMIFS('XUẤT KHO'!$E$5:$E$2004,'XUẤT KHO'!$C$5:$C$2004,$A69,'XUẤT KHO'!$D$5:$D$2004,$B69,'XUẤT KHO'!$A$5:$A$2004,"&gt;="&amp;H$4,'XUẤT KHO'!$A$5:$A$2004,"&lt;"&amp;EDATE(H$4,1)))</f>
        <v/>
      </c>
      <c r="I69" s="60" t="str">
        <f aca="false">IF($A69="","",SUMIFS('XUẤT KHO'!$E$5:$E$2004,'XUẤT KHO'!$C$5:$C$2004,$A69,'XUẤT KHO'!$D$5:$D$2004,$B69,'XUẤT KHO'!$A$5:$A$2004,"&gt;="&amp;I$4,'XUẤT KHO'!$A$5:$A$2004,"&lt;"&amp;EDATE(I$4,1)))</f>
        <v/>
      </c>
      <c r="J69" s="60" t="str">
        <f aca="false">IF($A69="","",SUMIFS('XUẤT KHO'!$E$5:$E$2004,'XUẤT KHO'!$C$5:$C$2004,$A69,'XUẤT KHO'!$D$5:$D$2004,$B69,'XUẤT KHO'!$A$5:$A$2004,"&gt;="&amp;J$4,'XUẤT KHO'!$A$5:$A$2004,"&lt;"&amp;EDATE(J$4,1)))</f>
        <v/>
      </c>
      <c r="K69" s="60" t="str">
        <f aca="false">IF($A69="","",SUMIFS('XUẤT KHO'!$E$5:$E$2004,'XUẤT KHO'!$C$5:$C$2004,$A69,'XUẤT KHO'!$D$5:$D$2004,$B69,'XUẤT KHO'!$A$5:$A$2004,"&gt;="&amp;K$4,'XUẤT KHO'!$A$5:$A$2004,"&lt;"&amp;EDATE(K$4,1)))</f>
        <v/>
      </c>
      <c r="L69" s="60" t="str">
        <f aca="false">IF($A69="","",SUMIFS('XUẤT KHO'!$E$5:$E$2004,'XUẤT KHO'!$C$5:$C$2004,$A69,'XUẤT KHO'!$D$5:$D$2004,$B69,'XUẤT KHO'!$A$5:$A$2004,"&gt;="&amp;L$4,'XUẤT KHO'!$A$5:$A$2004,"&lt;"&amp;EDATE(L$4,1)))</f>
        <v/>
      </c>
      <c r="M69" s="60" t="str">
        <f aca="false">IF($A69="","",SUMIFS('XUẤT KHO'!$E$5:$E$2004,'XUẤT KHO'!$C$5:$C$2004,$A69,'XUẤT KHO'!$D$5:$D$2004,$B69,'XUẤT KHO'!$A$5:$A$2004,"&gt;="&amp;M$4,'XUẤT KHO'!$A$5:$A$2004,"&lt;"&amp;EDATE(M$4,1)))</f>
        <v/>
      </c>
      <c r="N69" s="60" t="str">
        <f aca="false">IF($A69="","",SUMIFS('XUẤT KHO'!$E$5:$E$2004,'XUẤT KHO'!$C$5:$C$2004,$A69,'XUẤT KHO'!$D$5:$D$2004,$B69,'XUẤT KHO'!$A$5:$A$2004,"&gt;="&amp;N$4,'XUẤT KHO'!$A$5:$A$2004,"&lt;"&amp;EDATE(N$4,1)))</f>
        <v/>
      </c>
      <c r="O69" s="60" t="str">
        <f aca="false">IF($A69="","",SUMIFS('XUẤT KHO'!$E$5:$E$2004,'XUẤT KHO'!$C$5:$C$2004,$A69,'XUẤT KHO'!$D$5:$D$2004,$B69,'XUẤT KHO'!$A$5:$A$2004,"&gt;="&amp;O$4,'XUẤT KHO'!$A$5:$A$2004,"&lt;"&amp;EDATE(O$4,1)))</f>
        <v/>
      </c>
      <c r="P69" s="61" t="str">
        <f aca="false">IF($A69="","",SUM(D69:O69))</f>
        <v/>
      </c>
    </row>
    <row r="70" customFormat="false" ht="15" hidden="false" customHeight="false" outlineLevel="0" collapsed="false">
      <c r="A70" s="16" t="str">
        <f aca="false">IF('TỒN KHO'!C76="","",'TỒN KHO'!C76)</f>
        <v/>
      </c>
      <c r="B70" s="16" t="str">
        <f aca="false">IF('TỒN KHO'!C76="","",'TỒN KHO'!E76)</f>
        <v/>
      </c>
      <c r="C70" s="16" t="str">
        <f aca="false">IF('TỒN KHO'!C76="","",'TỒN KHO'!D76)</f>
        <v/>
      </c>
      <c r="D70" s="60" t="str">
        <f aca="false">IF($A70="","",SUMIFS('XUẤT KHO'!$E$5:$E$2004,'XUẤT KHO'!$C$5:$C$2004,$A70,'XUẤT KHO'!$D$5:$D$2004,$B70,'XUẤT KHO'!$A$5:$A$2004,"&gt;="&amp;D$4,'XUẤT KHO'!$A$5:$A$2004,"&lt;"&amp;EDATE(D$4,1)))</f>
        <v/>
      </c>
      <c r="E70" s="60" t="str">
        <f aca="false">IF($A70="","",SUMIFS('XUẤT KHO'!$E$5:$E$2004,'XUẤT KHO'!$C$5:$C$2004,$A70,'XUẤT KHO'!$D$5:$D$2004,$B70,'XUẤT KHO'!$A$5:$A$2004,"&gt;="&amp;E$4,'XUẤT KHO'!$A$5:$A$2004,"&lt;"&amp;EDATE(E$4,1)))</f>
        <v/>
      </c>
      <c r="F70" s="60" t="str">
        <f aca="false">IF($A70="","",SUMIFS('XUẤT KHO'!$E$5:$E$2004,'XUẤT KHO'!$C$5:$C$2004,$A70,'XUẤT KHO'!$D$5:$D$2004,$B70,'XUẤT KHO'!$A$5:$A$2004,"&gt;="&amp;F$4,'XUẤT KHO'!$A$5:$A$2004,"&lt;"&amp;EDATE(F$4,1)))</f>
        <v/>
      </c>
      <c r="G70" s="60" t="str">
        <f aca="false">IF($A70="","",SUMIFS('XUẤT KHO'!$E$5:$E$2004,'XUẤT KHO'!$C$5:$C$2004,$A70,'XUẤT KHO'!$D$5:$D$2004,$B70,'XUẤT KHO'!$A$5:$A$2004,"&gt;="&amp;G$4,'XUẤT KHO'!$A$5:$A$2004,"&lt;"&amp;EDATE(G$4,1)))</f>
        <v/>
      </c>
      <c r="H70" s="60" t="str">
        <f aca="false">IF($A70="","",SUMIFS('XUẤT KHO'!$E$5:$E$2004,'XUẤT KHO'!$C$5:$C$2004,$A70,'XUẤT KHO'!$D$5:$D$2004,$B70,'XUẤT KHO'!$A$5:$A$2004,"&gt;="&amp;H$4,'XUẤT KHO'!$A$5:$A$2004,"&lt;"&amp;EDATE(H$4,1)))</f>
        <v/>
      </c>
      <c r="I70" s="60" t="str">
        <f aca="false">IF($A70="","",SUMIFS('XUẤT KHO'!$E$5:$E$2004,'XUẤT KHO'!$C$5:$C$2004,$A70,'XUẤT KHO'!$D$5:$D$2004,$B70,'XUẤT KHO'!$A$5:$A$2004,"&gt;="&amp;I$4,'XUẤT KHO'!$A$5:$A$2004,"&lt;"&amp;EDATE(I$4,1)))</f>
        <v/>
      </c>
      <c r="J70" s="60" t="str">
        <f aca="false">IF($A70="","",SUMIFS('XUẤT KHO'!$E$5:$E$2004,'XUẤT KHO'!$C$5:$C$2004,$A70,'XUẤT KHO'!$D$5:$D$2004,$B70,'XUẤT KHO'!$A$5:$A$2004,"&gt;="&amp;J$4,'XUẤT KHO'!$A$5:$A$2004,"&lt;"&amp;EDATE(J$4,1)))</f>
        <v/>
      </c>
      <c r="K70" s="60" t="str">
        <f aca="false">IF($A70="","",SUMIFS('XUẤT KHO'!$E$5:$E$2004,'XUẤT KHO'!$C$5:$C$2004,$A70,'XUẤT KHO'!$D$5:$D$2004,$B70,'XUẤT KHO'!$A$5:$A$2004,"&gt;="&amp;K$4,'XUẤT KHO'!$A$5:$A$2004,"&lt;"&amp;EDATE(K$4,1)))</f>
        <v/>
      </c>
      <c r="L70" s="60" t="str">
        <f aca="false">IF($A70="","",SUMIFS('XUẤT KHO'!$E$5:$E$2004,'XUẤT KHO'!$C$5:$C$2004,$A70,'XUẤT KHO'!$D$5:$D$2004,$B70,'XUẤT KHO'!$A$5:$A$2004,"&gt;="&amp;L$4,'XUẤT KHO'!$A$5:$A$2004,"&lt;"&amp;EDATE(L$4,1)))</f>
        <v/>
      </c>
      <c r="M70" s="60" t="str">
        <f aca="false">IF($A70="","",SUMIFS('XUẤT KHO'!$E$5:$E$2004,'XUẤT KHO'!$C$5:$C$2004,$A70,'XUẤT KHO'!$D$5:$D$2004,$B70,'XUẤT KHO'!$A$5:$A$2004,"&gt;="&amp;M$4,'XUẤT KHO'!$A$5:$A$2004,"&lt;"&amp;EDATE(M$4,1)))</f>
        <v/>
      </c>
      <c r="N70" s="60" t="str">
        <f aca="false">IF($A70="","",SUMIFS('XUẤT KHO'!$E$5:$E$2004,'XUẤT KHO'!$C$5:$C$2004,$A70,'XUẤT KHO'!$D$5:$D$2004,$B70,'XUẤT KHO'!$A$5:$A$2004,"&gt;="&amp;N$4,'XUẤT KHO'!$A$5:$A$2004,"&lt;"&amp;EDATE(N$4,1)))</f>
        <v/>
      </c>
      <c r="O70" s="60" t="str">
        <f aca="false">IF($A70="","",SUMIFS('XUẤT KHO'!$E$5:$E$2004,'XUẤT KHO'!$C$5:$C$2004,$A70,'XUẤT KHO'!$D$5:$D$2004,$B70,'XUẤT KHO'!$A$5:$A$2004,"&gt;="&amp;O$4,'XUẤT KHO'!$A$5:$A$2004,"&lt;"&amp;EDATE(O$4,1)))</f>
        <v/>
      </c>
      <c r="P70" s="61" t="str">
        <f aca="false">IF($A70="","",SUM(D70:O70))</f>
        <v/>
      </c>
    </row>
    <row r="71" customFormat="false" ht="15" hidden="false" customHeight="false" outlineLevel="0" collapsed="false">
      <c r="A71" s="62"/>
      <c r="B71" s="62"/>
      <c r="C71" s="62" t="s">
        <v>581</v>
      </c>
      <c r="D71" s="63" t="n">
        <f aca="false">SUM(D5:D70)</f>
        <v>283</v>
      </c>
      <c r="E71" s="63" t="n">
        <f aca="false">SUM(E5:E70)</f>
        <v>141</v>
      </c>
      <c r="F71" s="63" t="n">
        <f aca="false">SUM(F5:F70)</f>
        <v>113</v>
      </c>
      <c r="G71" s="63" t="n">
        <f aca="false">SUM(G5:G70)</f>
        <v>123</v>
      </c>
      <c r="H71" s="63" t="n">
        <f aca="false">SUM(H5:H70)</f>
        <v>0</v>
      </c>
      <c r="I71" s="63" t="n">
        <f aca="false">SUM(I5:I70)</f>
        <v>0</v>
      </c>
      <c r="J71" s="63" t="n">
        <f aca="false">SUM(J5:J70)</f>
        <v>0</v>
      </c>
      <c r="K71" s="63" t="n">
        <f aca="false">SUM(K5:K70)</f>
        <v>0</v>
      </c>
      <c r="L71" s="63" t="n">
        <f aca="false">SUM(L5:L70)</f>
        <v>0</v>
      </c>
      <c r="M71" s="63" t="n">
        <f aca="false">SUM(M5:M70)</f>
        <v>0</v>
      </c>
      <c r="N71" s="63" t="n">
        <f aca="false">SUM(N5:N70)</f>
        <v>0</v>
      </c>
      <c r="O71" s="63" t="n">
        <f aca="false">SUM(O5:O70)</f>
        <v>0</v>
      </c>
      <c r="P71" s="63" t="n">
        <f aca="false">SUM(P5:P70)</f>
        <v>660</v>
      </c>
    </row>
    <row r="72" customFormat="false" ht="15" hidden="false" customHeight="false" outlineLevel="0" collapsed="false">
      <c r="A72" s="62"/>
      <c r="B72" s="62"/>
      <c r="C72" s="62" t="s">
        <v>582</v>
      </c>
      <c r="D72" s="63" t="n">
        <f aca="false">SUMIFS('XUẤT KHO'!$H$5:$H$2004,'XUẤT KHO'!$A$5:$A$2004,"&gt;="&amp;D$4,'XUẤT KHO'!$A$5:$A$2004,"&lt;"&amp;EDATE(D$4,1))</f>
        <v>856465350</v>
      </c>
      <c r="E72" s="63" t="n">
        <f aca="false">SUMIFS('XUẤT KHO'!$H$5:$H$2004,'XUẤT KHO'!$A$5:$A$2004,"&gt;="&amp;E$4,'XUẤT KHO'!$A$5:$A$2004,"&lt;"&amp;EDATE(E$4,1))</f>
        <v>492462400</v>
      </c>
      <c r="F72" s="63" t="n">
        <f aca="false">SUMIFS('XUẤT KHO'!$H$5:$H$2004,'XUẤT KHO'!$A$5:$A$2004,"&gt;="&amp;F$4,'XUẤT KHO'!$A$5:$A$2004,"&lt;"&amp;EDATE(F$4,1))</f>
        <v>399198050</v>
      </c>
      <c r="G72" s="63" t="n">
        <f aca="false">SUMIFS('XUẤT KHO'!$H$5:$H$2004,'XUẤT KHO'!$A$5:$A$2004,"&gt;="&amp;G$4,'XUẤT KHO'!$A$5:$A$2004,"&lt;"&amp;EDATE(G$4,1))</f>
        <v>368195300</v>
      </c>
      <c r="H72" s="63" t="n">
        <f aca="false">SUMIFS('XUẤT KHO'!$H$5:$H$2004,'XUẤT KHO'!$A$5:$A$2004,"&gt;="&amp;H$4,'XUẤT KHO'!$A$5:$A$2004,"&lt;"&amp;EDATE(H$4,1))</f>
        <v>0</v>
      </c>
      <c r="I72" s="63" t="n">
        <f aca="false">SUMIFS('XUẤT KHO'!$H$5:$H$2004,'XUẤT KHO'!$A$5:$A$2004,"&gt;="&amp;I$4,'XUẤT KHO'!$A$5:$A$2004,"&lt;"&amp;EDATE(I$4,1))</f>
        <v>0</v>
      </c>
      <c r="J72" s="63" t="n">
        <f aca="false">SUMIFS('XUẤT KHO'!$H$5:$H$2004,'XUẤT KHO'!$A$5:$A$2004,"&gt;="&amp;J$4,'XUẤT KHO'!$A$5:$A$2004,"&lt;"&amp;EDATE(J$4,1))</f>
        <v>0</v>
      </c>
      <c r="K72" s="63" t="n">
        <f aca="false">SUMIFS('XUẤT KHO'!$H$5:$H$2004,'XUẤT KHO'!$A$5:$A$2004,"&gt;="&amp;K$4,'XUẤT KHO'!$A$5:$A$2004,"&lt;"&amp;EDATE(K$4,1))</f>
        <v>0</v>
      </c>
      <c r="L72" s="63" t="n">
        <f aca="false">SUMIFS('XUẤT KHO'!$H$5:$H$2004,'XUẤT KHO'!$A$5:$A$2004,"&gt;="&amp;L$4,'XUẤT KHO'!$A$5:$A$2004,"&lt;"&amp;EDATE(L$4,1))</f>
        <v>0</v>
      </c>
      <c r="M72" s="63" t="n">
        <f aca="false">SUMIFS('XUẤT KHO'!$H$5:$H$2004,'XUẤT KHO'!$A$5:$A$2004,"&gt;="&amp;M$4,'XUẤT KHO'!$A$5:$A$2004,"&lt;"&amp;EDATE(M$4,1))</f>
        <v>0</v>
      </c>
      <c r="N72" s="63" t="n">
        <f aca="false">SUMIFS('XUẤT KHO'!$H$5:$H$2004,'XUẤT KHO'!$A$5:$A$2004,"&gt;="&amp;N$4,'XUẤT KHO'!$A$5:$A$2004,"&lt;"&amp;EDATE(N$4,1))</f>
        <v>0</v>
      </c>
      <c r="O72" s="63" t="n">
        <f aca="false">SUMIFS('XUẤT KHO'!$H$5:$H$2004,'XUẤT KHO'!$A$5:$A$2004,"&gt;="&amp;O$4,'XUẤT KHO'!$A$5:$A$2004,"&lt;"&amp;EDATE(O$4,1))</f>
        <v>0</v>
      </c>
      <c r="P72" s="63" t="n">
        <f aca="false">SUM(D72:O72)</f>
        <v>2116321100</v>
      </c>
    </row>
    <row r="74" customFormat="false" ht="15" hidden="false" customHeight="false" outlineLevel="0" collapsed="false">
      <c r="A74" s="2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52"/>
    <col collapsed="false" customWidth="true" hidden="false" outlineLevel="0" max="4" min="4" style="0" width="11"/>
    <col collapsed="false" customWidth="true" hidden="false" outlineLevel="0" max="5" min="5" style="0" width="14"/>
  </cols>
  <sheetData>
    <row r="1" customFormat="false" ht="19.7" hidden="false" customHeight="false" outlineLevel="0" collapsed="false">
      <c r="A1" s="23" t="s">
        <v>584</v>
      </c>
    </row>
    <row r="2" customFormat="false" ht="15" hidden="false" customHeight="false" outlineLevel="0" collapsed="false">
      <c r="A2" s="2" t="s">
        <v>585</v>
      </c>
    </row>
    <row r="4" customFormat="false" ht="31.5" hidden="false" customHeight="true" outlineLevel="0" collapsed="false">
      <c r="A4" s="14" t="s">
        <v>586</v>
      </c>
      <c r="B4" s="14" t="s">
        <v>8</v>
      </c>
      <c r="C4" s="14" t="s">
        <v>88</v>
      </c>
      <c r="D4" s="14" t="s">
        <v>9</v>
      </c>
      <c r="E4" s="14" t="s">
        <v>587</v>
      </c>
    </row>
    <row r="5" customFormat="false" ht="15" hidden="false" customHeight="false" outlineLevel="0" collapsed="false">
      <c r="A5" s="29" t="s">
        <v>51</v>
      </c>
      <c r="B5" s="29" t="s">
        <v>51</v>
      </c>
      <c r="C5" s="28" t="str">
        <f aca="false">IF(B5="","",IFERROR(INDEX('DANH MỤC'!$B$5:$B$200,MATCH(B5,'DANH MỤC'!$A$5:$A$200,0)),"⚠ Mã chưa có trong DANH MỤC"))</f>
        <v>Sơn lót nội thất kháng kiềm cao cấp Imperia PI04</v>
      </c>
      <c r="D5" s="29" t="s">
        <v>53</v>
      </c>
      <c r="E5" s="29" t="n">
        <v>195</v>
      </c>
    </row>
    <row r="6" customFormat="false" ht="15" hidden="false" customHeight="false" outlineLevel="0" collapsed="false">
      <c r="A6" s="29" t="s">
        <v>51</v>
      </c>
      <c r="B6" s="29" t="s">
        <v>51</v>
      </c>
      <c r="C6" s="28" t="str">
        <f aca="false">IF(B6="","",IFERROR(INDEX('DANH MỤC'!$B$5:$B$200,MATCH(B6,'DANH MỤC'!$A$5:$A$200,0)),"⚠ Mã chưa có trong DANH MỤC"))</f>
        <v>Sơn lót nội thất kháng kiềm cao cấp Imperia PI04</v>
      </c>
      <c r="D6" s="29" t="s">
        <v>52</v>
      </c>
      <c r="E6" s="29" t="n">
        <v>6</v>
      </c>
    </row>
    <row r="7" customFormat="false" ht="15" hidden="false" customHeight="false" outlineLevel="0" collapsed="false">
      <c r="A7" s="29" t="s">
        <v>54</v>
      </c>
      <c r="B7" s="29" t="s">
        <v>54</v>
      </c>
      <c r="C7" s="28" t="str">
        <f aca="false">IF(B7="","",IFERROR(INDEX('DANH MỤC'!$B$5:$B$200,MATCH(B7,'DANH MỤC'!$A$5:$A$200,0)),"⚠ Mã chưa có trong DANH MỤC"))</f>
        <v>Sơn lót ngoại thất kháng kiềm cao cấp Imperia PE02</v>
      </c>
      <c r="D7" s="29" t="s">
        <v>53</v>
      </c>
      <c r="E7" s="29" t="n">
        <v>253</v>
      </c>
    </row>
    <row r="8" customFormat="false" ht="15" hidden="false" customHeight="false" outlineLevel="0" collapsed="false">
      <c r="A8" s="29" t="s">
        <v>55</v>
      </c>
      <c r="B8" s="29" t="s">
        <v>55</v>
      </c>
      <c r="C8" s="28" t="str">
        <f aca="false">IF(B8="","",IFERROR(INDEX('DANH MỤC'!$B$5:$B$200,MATCH(B8,'DANH MỤC'!$A$5:$A$200,0)),"⚠ Mã chưa có trong DANH MỤC"))</f>
        <v>Sơn lót nội thất kháng kiềm siêu cao cấp SPI03</v>
      </c>
      <c r="D8" s="29" t="s">
        <v>53</v>
      </c>
      <c r="E8" s="29" t="n">
        <v>25</v>
      </c>
    </row>
    <row r="9" customFormat="false" ht="15" hidden="false" customHeight="false" outlineLevel="0" collapsed="false">
      <c r="A9" s="29" t="s">
        <v>55</v>
      </c>
      <c r="B9" s="29" t="s">
        <v>55</v>
      </c>
      <c r="C9" s="28" t="str">
        <f aca="false">IF(B9="","",IFERROR(INDEX('DANH MỤC'!$B$5:$B$200,MATCH(B9,'DANH MỤC'!$A$5:$A$200,0)),"⚠ Mã chưa có trong DANH MỤC"))</f>
        <v>Sơn lót nội thất kháng kiềm siêu cao cấp SPI03</v>
      </c>
      <c r="D9" s="29" t="s">
        <v>52</v>
      </c>
      <c r="E9" s="29" t="n">
        <v>7</v>
      </c>
    </row>
    <row r="10" customFormat="false" ht="15" hidden="false" customHeight="false" outlineLevel="0" collapsed="false">
      <c r="A10" s="29" t="s">
        <v>56</v>
      </c>
      <c r="B10" s="29" t="s">
        <v>56</v>
      </c>
      <c r="C10" s="28" t="str">
        <f aca="false">IF(B10="","",IFERROR(INDEX('DANH MỤC'!$B$5:$B$200,MATCH(B10,'DANH MỤC'!$A$5:$A$200,0)),"⚠ Mã chưa có trong DANH MỤC"))</f>
        <v>Sơn lót ngoại thất kháng kiềm siêu cao cấp SPE01</v>
      </c>
      <c r="D10" s="29" t="s">
        <v>53</v>
      </c>
      <c r="E10" s="29" t="n">
        <v>14</v>
      </c>
    </row>
    <row r="11" customFormat="false" ht="15" hidden="false" customHeight="false" outlineLevel="0" collapsed="false">
      <c r="A11" s="29" t="s">
        <v>56</v>
      </c>
      <c r="B11" s="29" t="s">
        <v>56</v>
      </c>
      <c r="C11" s="28" t="str">
        <f aca="false">IF(B11="","",IFERROR(INDEX('DANH MỤC'!$B$5:$B$200,MATCH(B11,'DANH MỤC'!$A$5:$A$200,0)),"⚠ Mã chưa có trong DANH MỤC"))</f>
        <v>Sơn lót ngoại thất kháng kiềm siêu cao cấp SPE01</v>
      </c>
      <c r="D11" s="29" t="s">
        <v>52</v>
      </c>
      <c r="E11" s="29" t="n">
        <v>4</v>
      </c>
    </row>
    <row r="12" customFormat="false" ht="15" hidden="false" customHeight="false" outlineLevel="0" collapsed="false">
      <c r="A12" s="29" t="s">
        <v>59</v>
      </c>
      <c r="B12" s="29" t="s">
        <v>59</v>
      </c>
      <c r="C12" s="28" t="str">
        <f aca="false">IF(B12="","",IFERROR(INDEX('DANH MỤC'!$B$5:$B$200,MATCH(B12,'DANH MỤC'!$A$5:$A$200,0)),"⚠ Mã chưa có trong DANH MỤC"))</f>
        <v>Sơn nội thất siêu trắng Imperia IEW</v>
      </c>
      <c r="D12" s="29" t="s">
        <v>53</v>
      </c>
      <c r="E12" s="29" t="n">
        <v>34</v>
      </c>
    </row>
    <row r="13" customFormat="false" ht="15" hidden="false" customHeight="false" outlineLevel="0" collapsed="false">
      <c r="A13" s="29" t="s">
        <v>59</v>
      </c>
      <c r="B13" s="29" t="s">
        <v>59</v>
      </c>
      <c r="C13" s="28" t="str">
        <f aca="false">IF(B13="","",IFERROR(INDEX('DANH MỤC'!$B$5:$B$200,MATCH(B13,'DANH MỤC'!$A$5:$A$200,0)),"⚠ Mã chưa có trong DANH MỤC"))</f>
        <v>Sơn nội thất siêu trắng Imperia IEW</v>
      </c>
      <c r="D13" s="29" t="s">
        <v>52</v>
      </c>
      <c r="E13" s="29" t="n">
        <v>12</v>
      </c>
    </row>
    <row r="14" customFormat="false" ht="15" hidden="false" customHeight="false" outlineLevel="0" collapsed="false">
      <c r="A14" s="29" t="s">
        <v>71</v>
      </c>
      <c r="B14" s="29" t="s">
        <v>71</v>
      </c>
      <c r="C14" s="28" t="str">
        <f aca="false">IF(B14="","",IFERROR(INDEX('DANH MỤC'!$B$5:$B$200,MATCH(B14,'DANH MỤC'!$A$5:$A$200,0)),"⚠ Mã chưa có trong DANH MỤC"))</f>
        <v>Sơn chống thấm đa năng Imperia CT12</v>
      </c>
      <c r="D14" s="29" t="s">
        <v>53</v>
      </c>
      <c r="E14" s="29" t="n">
        <v>46</v>
      </c>
    </row>
    <row r="15" customFormat="false" ht="15" hidden="false" customHeight="false" outlineLevel="0" collapsed="false">
      <c r="A15" s="29" t="s">
        <v>71</v>
      </c>
      <c r="B15" s="29" t="s">
        <v>71</v>
      </c>
      <c r="C15" s="28" t="str">
        <f aca="false">IF(B15="","",IFERROR(INDEX('DANH MỤC'!$B$5:$B$200,MATCH(B15,'DANH MỤC'!$A$5:$A$200,0)),"⚠ Mã chưa có trong DANH MỤC"))</f>
        <v>Sơn chống thấm đa năng Imperia CT12</v>
      </c>
      <c r="D15" s="29" t="s">
        <v>52</v>
      </c>
      <c r="E15" s="29" t="n">
        <v>33</v>
      </c>
    </row>
    <row r="16" customFormat="false" ht="15" hidden="false" customHeight="false" outlineLevel="0" collapsed="false">
      <c r="A16" s="29" t="s">
        <v>72</v>
      </c>
      <c r="B16" s="29" t="s">
        <v>72</v>
      </c>
      <c r="C16" s="28" t="str">
        <f aca="false">IF(B16="","",IFERROR(INDEX('DANH MỤC'!$B$5:$B$200,MATCH(B16,'DANH MỤC'!$A$5:$A$200,0)),"⚠ Mã chưa có trong DANH MỤC"))</f>
        <v>Sơn chống thấm màu ETM 309 (ghi đậm)</v>
      </c>
      <c r="D16" s="29" t="s">
        <v>53</v>
      </c>
      <c r="E16" s="29" t="n">
        <v>120</v>
      </c>
    </row>
    <row r="17" customFormat="false" ht="15" hidden="false" customHeight="false" outlineLevel="0" collapsed="false">
      <c r="A17" s="29" t="s">
        <v>72</v>
      </c>
      <c r="B17" s="29" t="s">
        <v>72</v>
      </c>
      <c r="C17" s="28" t="str">
        <f aca="false">IF(B17="","",IFERROR(INDEX('DANH MỤC'!$B$5:$B$200,MATCH(B17,'DANH MỤC'!$A$5:$A$200,0)),"⚠ Mã chưa có trong DANH MỤC"))</f>
        <v>Sơn chống thấm màu ETM 309 (ghi đậm)</v>
      </c>
      <c r="D17" s="29" t="s">
        <v>52</v>
      </c>
      <c r="E17" s="29" t="n">
        <v>23</v>
      </c>
    </row>
    <row r="18" customFormat="false" ht="15" hidden="false" customHeight="false" outlineLevel="0" collapsed="false">
      <c r="A18" s="29" t="s">
        <v>75</v>
      </c>
      <c r="B18" s="29" t="s">
        <v>75</v>
      </c>
      <c r="C18" s="28" t="str">
        <f aca="false">IF(B18="","",IFERROR(INDEX('DANH MỤC'!$B$5:$B$200,MATCH(B18,'DANH MỤC'!$A$5:$A$200,0)),"⚠ Mã chưa có trong DANH MỤC"))</f>
        <v>Sơn chống thấm siêu co giãn CTS-01</v>
      </c>
      <c r="D18" s="29" t="s">
        <v>53</v>
      </c>
      <c r="E18" s="29" t="n">
        <v>9</v>
      </c>
    </row>
    <row r="19" customFormat="false" ht="15" hidden="false" customHeight="false" outlineLevel="0" collapsed="false">
      <c r="A19" s="29" t="s">
        <v>588</v>
      </c>
      <c r="B19" s="29" t="s">
        <v>60</v>
      </c>
      <c r="C19" s="28" t="str">
        <f aca="false">IF(B19="","",IFERROR(INDEX('DANH MỤC'!$B$5:$B$200,MATCH(B19,'DANH MỤC'!$A$5:$A$200,0)),"⚠ Mã chưa có trong DANH MỤC"))</f>
        <v>Sơn nội thất bền màu Silver ISI</v>
      </c>
      <c r="D19" s="29" t="s">
        <v>53</v>
      </c>
      <c r="E19" s="29" t="n">
        <v>71</v>
      </c>
    </row>
    <row r="20" customFormat="false" ht="15" hidden="false" customHeight="false" outlineLevel="0" collapsed="false">
      <c r="A20" s="29" t="s">
        <v>588</v>
      </c>
      <c r="B20" s="29" t="s">
        <v>60</v>
      </c>
      <c r="C20" s="28" t="str">
        <f aca="false">IF(B20="","",IFERROR(INDEX('DANH MỤC'!$B$5:$B$200,MATCH(B20,'DANH MỤC'!$A$5:$A$200,0)),"⚠ Mã chưa có trong DANH MỤC"))</f>
        <v>Sơn nội thất bền màu Silver ISI</v>
      </c>
      <c r="D20" s="29" t="s">
        <v>52</v>
      </c>
      <c r="E20" s="29" t="n">
        <v>24</v>
      </c>
    </row>
    <row r="21" customFormat="false" ht="15" hidden="false" customHeight="false" outlineLevel="0" collapsed="false">
      <c r="A21" s="29" t="s">
        <v>589</v>
      </c>
      <c r="B21" s="29" t="s">
        <v>67</v>
      </c>
      <c r="C21" s="28" t="str">
        <f aca="false">IF(B21="","",IFERROR(INDEX('DANH MỤC'!$B$5:$B$200,MATCH(B21,'DANH MỤC'!$A$5:$A$200,0)),"⚠ Mã chưa có trong DANH MỤC"))</f>
        <v>Sơn ngoại thất bền màu Silver ESI</v>
      </c>
      <c r="D21" s="29" t="s">
        <v>53</v>
      </c>
      <c r="E21" s="29" t="n">
        <v>72</v>
      </c>
    </row>
    <row r="22" customFormat="false" ht="15" hidden="false" customHeight="false" outlineLevel="0" collapsed="false">
      <c r="A22" s="29" t="s">
        <v>589</v>
      </c>
      <c r="B22" s="29" t="s">
        <v>67</v>
      </c>
      <c r="C22" s="28" t="str">
        <f aca="false">IF(B22="","",IFERROR(INDEX('DANH MỤC'!$B$5:$B$200,MATCH(B22,'DANH MỤC'!$A$5:$A$200,0)),"⚠ Mã chưa có trong DANH MỤC"))</f>
        <v>Sơn ngoại thất bền màu Silver ESI</v>
      </c>
      <c r="D22" s="29" t="s">
        <v>52</v>
      </c>
      <c r="E22" s="29" t="n">
        <v>22</v>
      </c>
    </row>
    <row r="23" customFormat="false" ht="15" hidden="false" customHeight="false" outlineLevel="0" collapsed="false">
      <c r="A23" s="29" t="s">
        <v>590</v>
      </c>
      <c r="B23" s="29" t="s">
        <v>67</v>
      </c>
      <c r="C23" s="28" t="str">
        <f aca="false">IF(B23="","",IFERROR(INDEX('DANH MỤC'!$B$5:$B$200,MATCH(B23,'DANH MỤC'!$A$5:$A$200,0)),"⚠ Mã chưa có trong DANH MỤC"))</f>
        <v>Sơn ngoại thất bền màu Silver ESI</v>
      </c>
      <c r="D23" s="29" t="s">
        <v>52</v>
      </c>
      <c r="E23" s="29" t="n">
        <v>3</v>
      </c>
    </row>
    <row r="24" customFormat="false" ht="15" hidden="false" customHeight="false" outlineLevel="0" collapsed="false">
      <c r="A24" s="29" t="s">
        <v>57</v>
      </c>
      <c r="B24" s="29" t="s">
        <v>57</v>
      </c>
      <c r="C24" s="28" t="str">
        <f aca="false">IF(B24="","",IFERROR(INDEX('DANH MỤC'!$B$5:$B$200,MATCH(B24,'DANH MỤC'!$A$5:$A$200,0)),"⚠ Mã chưa có trong DANH MỤC"))</f>
        <v>Sơn lót nội thất kháng kiềm Silver IL5</v>
      </c>
      <c r="D24" s="29" t="s">
        <v>53</v>
      </c>
      <c r="E24" s="29" t="n">
        <v>94</v>
      </c>
    </row>
    <row r="25" customFormat="false" ht="15" hidden="false" customHeight="false" outlineLevel="0" collapsed="false">
      <c r="A25" s="29" t="s">
        <v>57</v>
      </c>
      <c r="B25" s="29" t="s">
        <v>57</v>
      </c>
      <c r="C25" s="28" t="str">
        <f aca="false">IF(B25="","",IFERROR(INDEX('DANH MỤC'!$B$5:$B$200,MATCH(B25,'DANH MỤC'!$A$5:$A$200,0)),"⚠ Mã chưa có trong DANH MỤC"))</f>
        <v>Sơn lót nội thất kháng kiềm Silver IL5</v>
      </c>
      <c r="D25" s="29" t="s">
        <v>52</v>
      </c>
      <c r="E25" s="29" t="n">
        <v>21</v>
      </c>
    </row>
    <row r="26" customFormat="false" ht="15" hidden="false" customHeight="false" outlineLevel="0" collapsed="false">
      <c r="A26" s="29" t="s">
        <v>58</v>
      </c>
      <c r="B26" s="29" t="s">
        <v>58</v>
      </c>
      <c r="C26" s="28" t="str">
        <f aca="false">IF(B26="","",IFERROR(INDEX('DANH MỤC'!$B$5:$B$200,MATCH(B26,'DANH MỤC'!$A$5:$A$200,0)),"⚠ Mã chưa có trong DANH MỤC"))</f>
        <v>Sơn lót ngoại thất kháng kiềm Silver EL5</v>
      </c>
      <c r="D26" s="29" t="s">
        <v>53</v>
      </c>
      <c r="E26" s="29" t="n">
        <v>68</v>
      </c>
    </row>
    <row r="27" customFormat="false" ht="15" hidden="false" customHeight="false" outlineLevel="0" collapsed="false">
      <c r="A27" s="29" t="s">
        <v>58</v>
      </c>
      <c r="B27" s="29" t="s">
        <v>58</v>
      </c>
      <c r="C27" s="28" t="str">
        <f aca="false">IF(B27="","",IFERROR(INDEX('DANH MỤC'!$B$5:$B$200,MATCH(B27,'DANH MỤC'!$A$5:$A$200,0)),"⚠ Mã chưa có trong DANH MỤC"))</f>
        <v>Sơn lót ngoại thất kháng kiềm Silver EL5</v>
      </c>
      <c r="D27" s="29" t="s">
        <v>52</v>
      </c>
      <c r="E27" s="29" t="n">
        <v>21</v>
      </c>
    </row>
    <row r="28" customFormat="false" ht="15" hidden="false" customHeight="false" outlineLevel="0" collapsed="false">
      <c r="A28" s="29" t="s">
        <v>591</v>
      </c>
      <c r="B28" s="29" t="s">
        <v>62</v>
      </c>
      <c r="C28" s="28" t="str">
        <f aca="false">IF(B28="","",IFERROR(INDEX('DANH MỤC'!$B$5:$B$200,MATCH(B28,'DANH MỤC'!$A$5:$A$200,0)),"⚠ Mã chưa có trong DANH MỤC"))</f>
        <v>Sơn nội thất siêu bóng cao cấp Imperia IG05</v>
      </c>
      <c r="D28" s="29" t="s">
        <v>53</v>
      </c>
      <c r="E28" s="29" t="n">
        <v>185</v>
      </c>
    </row>
    <row r="29" customFormat="false" ht="15" hidden="false" customHeight="false" outlineLevel="0" collapsed="false">
      <c r="A29" s="29" t="s">
        <v>591</v>
      </c>
      <c r="B29" s="29" t="s">
        <v>62</v>
      </c>
      <c r="C29" s="28" t="str">
        <f aca="false">IF(B29="","",IFERROR(INDEX('DANH MỤC'!$B$5:$B$200,MATCH(B29,'DANH MỤC'!$A$5:$A$200,0)),"⚠ Mã chưa có trong DANH MỤC"))</f>
        <v>Sơn nội thất siêu bóng cao cấp Imperia IG05</v>
      </c>
      <c r="D29" s="29" t="s">
        <v>52</v>
      </c>
      <c r="E29" s="29" t="n">
        <v>107</v>
      </c>
    </row>
    <row r="30" customFormat="false" ht="15" hidden="false" customHeight="false" outlineLevel="0" collapsed="false">
      <c r="A30" s="29" t="s">
        <v>592</v>
      </c>
      <c r="B30" s="29" t="s">
        <v>61</v>
      </c>
      <c r="C30" s="28" t="str">
        <f aca="false">IF(B30="","",IFERROR(INDEX('DANH MỤC'!$B$5:$B$200,MATCH(B30,'DANH MỤC'!$A$5:$A$200,0)),"⚠ Mã chưa có trong DANH MỤC"))</f>
        <v>Sơn nội thất cao cấp bóng mờ Imperia ISG06</v>
      </c>
      <c r="D30" s="29" t="s">
        <v>53</v>
      </c>
      <c r="E30" s="29" t="n">
        <v>52</v>
      </c>
    </row>
    <row r="31" customFormat="false" ht="15" hidden="false" customHeight="false" outlineLevel="0" collapsed="false">
      <c r="A31" s="29" t="s">
        <v>592</v>
      </c>
      <c r="B31" s="29" t="s">
        <v>61</v>
      </c>
      <c r="C31" s="28" t="str">
        <f aca="false">IF(B31="","",IFERROR(INDEX('DANH MỤC'!$B$5:$B$200,MATCH(B31,'DANH MỤC'!$A$5:$A$200,0)),"⚠ Mã chưa có trong DANH MỤC"))</f>
        <v>Sơn nội thất cao cấp bóng mờ Imperia ISG06</v>
      </c>
      <c r="D31" s="29" t="s">
        <v>52</v>
      </c>
      <c r="E31" s="29" t="n">
        <v>44</v>
      </c>
    </row>
    <row r="32" customFormat="false" ht="15" hidden="false" customHeight="false" outlineLevel="0" collapsed="false">
      <c r="A32" s="29" t="s">
        <v>593</v>
      </c>
      <c r="B32" s="29" t="s">
        <v>69</v>
      </c>
      <c r="C32" s="28" t="str">
        <f aca="false">IF(B32="","",IFERROR(INDEX('DANH MỤC'!$B$5:$B$200,MATCH(B32,'DANH MỤC'!$A$5:$A$200,0)),"⚠ Mã chưa có trong DANH MỤC"))</f>
        <v>Sơn ngoại thất siêu bóng cao cấp Imperia EG09</v>
      </c>
      <c r="D32" s="29" t="s">
        <v>53</v>
      </c>
      <c r="E32" s="29" t="n">
        <v>239</v>
      </c>
    </row>
    <row r="33" customFormat="false" ht="15" hidden="false" customHeight="false" outlineLevel="0" collapsed="false">
      <c r="A33" s="29" t="s">
        <v>593</v>
      </c>
      <c r="B33" s="29" t="s">
        <v>69</v>
      </c>
      <c r="C33" s="28" t="str">
        <f aca="false">IF(B33="","",IFERROR(INDEX('DANH MỤC'!$B$5:$B$200,MATCH(B33,'DANH MỤC'!$A$5:$A$200,0)),"⚠ Mã chưa có trong DANH MỤC"))</f>
        <v>Sơn ngoại thất siêu bóng cao cấp Imperia EG09</v>
      </c>
      <c r="D33" s="29" t="s">
        <v>52</v>
      </c>
      <c r="E33" s="29" t="n">
        <v>65</v>
      </c>
    </row>
    <row r="34" customFormat="false" ht="15" hidden="false" customHeight="false" outlineLevel="0" collapsed="false">
      <c r="A34" s="29" t="s">
        <v>593</v>
      </c>
      <c r="B34" s="29" t="s">
        <v>69</v>
      </c>
      <c r="C34" s="28" t="str">
        <f aca="false">IF(B34="","",IFERROR(INDEX('DANH MỤC'!$B$5:$B$200,MATCH(B34,'DANH MỤC'!$A$5:$A$200,0)),"⚠ Mã chưa có trong DANH MỤC"))</f>
        <v>Sơn ngoại thất siêu bóng cao cấp Imperia EG09</v>
      </c>
      <c r="D34" s="29" t="s">
        <v>66</v>
      </c>
      <c r="E34" s="29" t="n">
        <v>83</v>
      </c>
    </row>
    <row r="35" customFormat="false" ht="15" hidden="false" customHeight="false" outlineLevel="0" collapsed="false">
      <c r="A35" s="29" t="s">
        <v>594</v>
      </c>
      <c r="B35" s="29" t="s">
        <v>69</v>
      </c>
      <c r="C35" s="28" t="str">
        <f aca="false">IF(B35="","",IFERROR(INDEX('DANH MỤC'!$B$5:$B$200,MATCH(B35,'DANH MỤC'!$A$5:$A$200,0)),"⚠ Mã chưa có trong DANH MỤC"))</f>
        <v>Sơn ngoại thất siêu bóng cao cấp Imperia EG09</v>
      </c>
      <c r="D35" s="29" t="s">
        <v>52</v>
      </c>
      <c r="E35" s="29" t="n">
        <v>58</v>
      </c>
    </row>
    <row r="36" customFormat="false" ht="15" hidden="false" customHeight="false" outlineLevel="0" collapsed="false">
      <c r="A36" s="29" t="s">
        <v>594</v>
      </c>
      <c r="B36" s="29" t="s">
        <v>69</v>
      </c>
      <c r="C36" s="28" t="str">
        <f aca="false">IF(B36="","",IFERROR(INDEX('DANH MỤC'!$B$5:$B$200,MATCH(B36,'DANH MỤC'!$A$5:$A$200,0)),"⚠ Mã chưa có trong DANH MỤC"))</f>
        <v>Sơn ngoại thất siêu bóng cao cấp Imperia EG09</v>
      </c>
      <c r="D36" s="29" t="s">
        <v>66</v>
      </c>
      <c r="E36" s="29" t="n">
        <v>50</v>
      </c>
    </row>
    <row r="37" customFormat="false" ht="15" hidden="false" customHeight="false" outlineLevel="0" collapsed="false">
      <c r="A37" s="29" t="s">
        <v>595</v>
      </c>
      <c r="B37" s="29" t="s">
        <v>69</v>
      </c>
      <c r="C37" s="28" t="str">
        <f aca="false">IF(B37="","",IFERROR(INDEX('DANH MỤC'!$B$5:$B$200,MATCH(B37,'DANH MỤC'!$A$5:$A$200,0)),"⚠ Mã chưa có trong DANH MỤC"))</f>
        <v>Sơn ngoại thất siêu bóng cao cấp Imperia EG09</v>
      </c>
      <c r="D37" s="29" t="s">
        <v>52</v>
      </c>
      <c r="E37" s="29" t="n">
        <v>57</v>
      </c>
    </row>
    <row r="38" customFormat="false" ht="15" hidden="false" customHeight="false" outlineLevel="0" collapsed="false">
      <c r="A38" s="29" t="s">
        <v>595</v>
      </c>
      <c r="B38" s="29" t="s">
        <v>69</v>
      </c>
      <c r="C38" s="28" t="str">
        <f aca="false">IF(B38="","",IFERROR(INDEX('DANH MỤC'!$B$5:$B$200,MATCH(B38,'DANH MỤC'!$A$5:$A$200,0)),"⚠ Mã chưa có trong DANH MỤC"))</f>
        <v>Sơn ngoại thất siêu bóng cao cấp Imperia EG09</v>
      </c>
      <c r="D38" s="29" t="s">
        <v>66</v>
      </c>
      <c r="E38" s="29" t="n">
        <v>53</v>
      </c>
    </row>
    <row r="39" customFormat="false" ht="15" hidden="false" customHeight="false" outlineLevel="0" collapsed="false">
      <c r="A39" s="29" t="s">
        <v>596</v>
      </c>
      <c r="B39" s="29" t="s">
        <v>69</v>
      </c>
      <c r="C39" s="28" t="str">
        <f aca="false">IF(B39="","",IFERROR(INDEX('DANH MỤC'!$B$5:$B$200,MATCH(B39,'DANH MỤC'!$A$5:$A$200,0)),"⚠ Mã chưa có trong DANH MỤC"))</f>
        <v>Sơn ngoại thất siêu bóng cao cấp Imperia EG09</v>
      </c>
      <c r="D39" s="29" t="s">
        <v>52</v>
      </c>
      <c r="E39" s="29" t="n">
        <v>50</v>
      </c>
    </row>
    <row r="40" customFormat="false" ht="15" hidden="false" customHeight="false" outlineLevel="0" collapsed="false">
      <c r="A40" s="29" t="s">
        <v>596</v>
      </c>
      <c r="B40" s="29" t="s">
        <v>69</v>
      </c>
      <c r="C40" s="28" t="str">
        <f aca="false">IF(B40="","",IFERROR(INDEX('DANH MỤC'!$B$5:$B$200,MATCH(B40,'DANH MỤC'!$A$5:$A$200,0)),"⚠ Mã chưa có trong DANH MỤC"))</f>
        <v>Sơn ngoại thất siêu bóng cao cấp Imperia EG09</v>
      </c>
      <c r="D40" s="29" t="s">
        <v>66</v>
      </c>
      <c r="E40" s="29" t="n">
        <v>39</v>
      </c>
    </row>
    <row r="41" customFormat="false" ht="15" hidden="false" customHeight="false" outlineLevel="0" collapsed="false">
      <c r="A41" s="29" t="s">
        <v>597</v>
      </c>
      <c r="B41" s="29" t="s">
        <v>68</v>
      </c>
      <c r="C41" s="28" t="str">
        <f aca="false">IF(B41="","",IFERROR(INDEX('DANH MỤC'!$B$5:$B$200,MATCH(B41,'DANH MỤC'!$A$5:$A$200,0)),"⚠ Mã chưa có trong DANH MỤC"))</f>
        <v>Sơn ngoại thất cao cấp bóng mờ Imperia ESG10</v>
      </c>
      <c r="D41" s="29" t="s">
        <v>53</v>
      </c>
      <c r="E41" s="29" t="n">
        <v>30</v>
      </c>
    </row>
    <row r="42" customFormat="false" ht="15" hidden="false" customHeight="false" outlineLevel="0" collapsed="false">
      <c r="A42" s="29" t="s">
        <v>597</v>
      </c>
      <c r="B42" s="29" t="s">
        <v>68</v>
      </c>
      <c r="C42" s="28" t="str">
        <f aca="false">IF(B42="","",IFERROR(INDEX('DANH MỤC'!$B$5:$B$200,MATCH(B42,'DANH MỤC'!$A$5:$A$200,0)),"⚠ Mã chưa có trong DANH MỤC"))</f>
        <v>Sơn ngoại thất cao cấp bóng mờ Imperia ESG10</v>
      </c>
      <c r="D42" s="29" t="s">
        <v>52</v>
      </c>
      <c r="E42" s="29" t="n">
        <v>36</v>
      </c>
    </row>
    <row r="43" customFormat="false" ht="15" hidden="false" customHeight="false" outlineLevel="0" collapsed="false">
      <c r="A43" s="29" t="s">
        <v>598</v>
      </c>
      <c r="B43" s="29" t="s">
        <v>68</v>
      </c>
      <c r="C43" s="28" t="str">
        <f aca="false">IF(B43="","",IFERROR(INDEX('DANH MỤC'!$B$5:$B$200,MATCH(B43,'DANH MỤC'!$A$5:$A$200,0)),"⚠ Mã chưa có trong DANH MỤC"))</f>
        <v>Sơn ngoại thất cao cấp bóng mờ Imperia ESG10</v>
      </c>
      <c r="D43" s="29" t="s">
        <v>52</v>
      </c>
      <c r="E43" s="29" t="n">
        <v>31</v>
      </c>
    </row>
    <row r="44" customFormat="false" ht="15" hidden="false" customHeight="false" outlineLevel="0" collapsed="false">
      <c r="A44" s="29" t="s">
        <v>598</v>
      </c>
      <c r="B44" s="29" t="s">
        <v>68</v>
      </c>
      <c r="C44" s="28" t="str">
        <f aca="false">IF(B44="","",IFERROR(INDEX('DANH MỤC'!$B$5:$B$200,MATCH(B44,'DANH MỤC'!$A$5:$A$200,0)),"⚠ Mã chưa có trong DANH MỤC"))</f>
        <v>Sơn ngoại thất cao cấp bóng mờ Imperia ESG10</v>
      </c>
      <c r="D44" s="29" t="s">
        <v>66</v>
      </c>
      <c r="E44" s="29" t="n">
        <v>46</v>
      </c>
    </row>
    <row r="45" customFormat="false" ht="15" hidden="false" customHeight="false" outlineLevel="0" collapsed="false">
      <c r="A45" s="29" t="s">
        <v>599</v>
      </c>
      <c r="B45" s="29" t="s">
        <v>68</v>
      </c>
      <c r="C45" s="28" t="str">
        <f aca="false">IF(B45="","",IFERROR(INDEX('DANH MỤC'!$B$5:$B$200,MATCH(B45,'DANH MỤC'!$A$5:$A$200,0)),"⚠ Mã chưa có trong DANH MỤC"))</f>
        <v>Sơn ngoại thất cao cấp bóng mờ Imperia ESG10</v>
      </c>
      <c r="D45" s="29" t="s">
        <v>52</v>
      </c>
      <c r="E45" s="29" t="n">
        <v>44</v>
      </c>
    </row>
    <row r="46" customFormat="false" ht="15" hidden="false" customHeight="false" outlineLevel="0" collapsed="false">
      <c r="A46" s="29" t="s">
        <v>599</v>
      </c>
      <c r="B46" s="29" t="s">
        <v>68</v>
      </c>
      <c r="C46" s="28" t="str">
        <f aca="false">IF(B46="","",IFERROR(INDEX('DANH MỤC'!$B$5:$B$200,MATCH(B46,'DANH MỤC'!$A$5:$A$200,0)),"⚠ Mã chưa có trong DANH MỤC"))</f>
        <v>Sơn ngoại thất cao cấp bóng mờ Imperia ESG10</v>
      </c>
      <c r="D46" s="29" t="s">
        <v>66</v>
      </c>
      <c r="E46" s="29" t="n">
        <v>32</v>
      </c>
    </row>
    <row r="47" customFormat="false" ht="15" hidden="false" customHeight="false" outlineLevel="0" collapsed="false">
      <c r="A47" s="29" t="s">
        <v>600</v>
      </c>
      <c r="B47" s="29" t="s">
        <v>68</v>
      </c>
      <c r="C47" s="28" t="str">
        <f aca="false">IF(B47="","",IFERROR(INDEX('DANH MỤC'!$B$5:$B$200,MATCH(B47,'DANH MỤC'!$A$5:$A$200,0)),"⚠ Mã chưa có trong DANH MỤC"))</f>
        <v>Sơn ngoại thất cao cấp bóng mờ Imperia ESG10</v>
      </c>
      <c r="D47" s="29" t="s">
        <v>52</v>
      </c>
      <c r="E47" s="29" t="n">
        <v>29</v>
      </c>
    </row>
    <row r="48" customFormat="false" ht="15" hidden="false" customHeight="false" outlineLevel="0" collapsed="false">
      <c r="A48" s="29" t="s">
        <v>600</v>
      </c>
      <c r="B48" s="29" t="s">
        <v>68</v>
      </c>
      <c r="C48" s="28" t="str">
        <f aca="false">IF(B48="","",IFERROR(INDEX('DANH MỤC'!$B$5:$B$200,MATCH(B48,'DANH MỤC'!$A$5:$A$200,0)),"⚠ Mã chưa có trong DANH MỤC"))</f>
        <v>Sơn ngoại thất cao cấp bóng mờ Imperia ESG10</v>
      </c>
      <c r="D48" s="29" t="s">
        <v>66</v>
      </c>
      <c r="E48" s="29" t="n">
        <v>33</v>
      </c>
    </row>
    <row r="49" customFormat="false" ht="15" hidden="false" customHeight="false" outlineLevel="0" collapsed="false">
      <c r="A49" s="29" t="s">
        <v>601</v>
      </c>
      <c r="B49" s="29" t="s">
        <v>63</v>
      </c>
      <c r="C49" s="28" t="str">
        <f aca="false">IF(B49="","",IFERROR(INDEX('DANH MỤC'!$B$5:$B$200,MATCH(B49,'DANH MỤC'!$A$5:$A$200,0)),"⚠ Mã chưa có trong DANH MỤC"))</f>
        <v>Sơn nội thất siêu bóng cao cấp Saphir I9</v>
      </c>
      <c r="D49" s="29" t="s">
        <v>53</v>
      </c>
      <c r="E49" s="29" t="n">
        <v>24</v>
      </c>
    </row>
    <row r="50" customFormat="false" ht="15" hidden="false" customHeight="false" outlineLevel="0" collapsed="false">
      <c r="A50" s="29" t="s">
        <v>601</v>
      </c>
      <c r="B50" s="29" t="s">
        <v>63</v>
      </c>
      <c r="C50" s="28" t="str">
        <f aca="false">IF(B50="","",IFERROR(INDEX('DANH MỤC'!$B$5:$B$200,MATCH(B50,'DANH MỤC'!$A$5:$A$200,0)),"⚠ Mã chưa có trong DANH MỤC"))</f>
        <v>Sơn nội thất siêu bóng cao cấp Saphir I9</v>
      </c>
      <c r="D50" s="29" t="s">
        <v>52</v>
      </c>
      <c r="E50" s="29" t="n">
        <v>12</v>
      </c>
    </row>
    <row r="51" customFormat="false" ht="15" hidden="false" customHeight="false" outlineLevel="0" collapsed="false">
      <c r="A51" s="29" t="s">
        <v>602</v>
      </c>
      <c r="B51" s="29" t="s">
        <v>70</v>
      </c>
      <c r="C51" s="28" t="str">
        <f aca="false">IF(B51="","",IFERROR(INDEX('DANH MỤC'!$B$5:$B$200,MATCH(B51,'DANH MỤC'!$A$5:$A$200,0)),"⚠ Mã chưa có trong DANH MỤC"))</f>
        <v>Sơn ngoại thất siêu bóng cao cấp Saphir E9</v>
      </c>
      <c r="D51" s="29" t="s">
        <v>52</v>
      </c>
      <c r="E51" s="29" t="n">
        <v>35</v>
      </c>
    </row>
    <row r="52" customFormat="false" ht="15" hidden="false" customHeight="false" outlineLevel="0" collapsed="false">
      <c r="A52" s="29" t="s">
        <v>602</v>
      </c>
      <c r="B52" s="29" t="s">
        <v>70</v>
      </c>
      <c r="C52" s="28" t="str">
        <f aca="false">IF(B52="","",IFERROR(INDEX('DANH MỤC'!$B$5:$B$200,MATCH(B52,'DANH MỤC'!$A$5:$A$200,0)),"⚠ Mã chưa có trong DANH MỤC"))</f>
        <v>Sơn ngoại thất siêu bóng cao cấp Saphir E9</v>
      </c>
      <c r="D52" s="29" t="s">
        <v>66</v>
      </c>
      <c r="E52" s="29" t="n">
        <v>1</v>
      </c>
    </row>
    <row r="53" customFormat="false" ht="15" hidden="false" customHeight="false" outlineLevel="0" collapsed="false">
      <c r="A53" s="29" t="s">
        <v>603</v>
      </c>
      <c r="B53" s="29" t="s">
        <v>70</v>
      </c>
      <c r="C53" s="28" t="str">
        <f aca="false">IF(B53="","",IFERROR(INDEX('DANH MỤC'!$B$5:$B$200,MATCH(B53,'DANH MỤC'!$A$5:$A$200,0)),"⚠ Mã chưa có trong DANH MỤC"))</f>
        <v>Sơn ngoại thất siêu bóng cao cấp Saphir E9</v>
      </c>
      <c r="D53" s="29" t="s">
        <v>52</v>
      </c>
      <c r="E53" s="29" t="n">
        <v>18</v>
      </c>
    </row>
    <row r="54" customFormat="false" ht="15" hidden="false" customHeight="false" outlineLevel="0" collapsed="false">
      <c r="A54" s="29" t="s">
        <v>604</v>
      </c>
      <c r="B54" s="29" t="s">
        <v>70</v>
      </c>
      <c r="C54" s="28" t="str">
        <f aca="false">IF(B54="","",IFERROR(INDEX('DANH MỤC'!$B$5:$B$200,MATCH(B54,'DANH MỤC'!$A$5:$A$200,0)),"⚠ Mã chưa có trong DANH MỤC"))</f>
        <v>Sơn ngoại thất siêu bóng cao cấp Saphir E9</v>
      </c>
      <c r="D54" s="29" t="s">
        <v>52</v>
      </c>
      <c r="E54" s="29" t="n">
        <v>9</v>
      </c>
    </row>
    <row r="55" customFormat="false" ht="15" hidden="false" customHeight="false" outlineLevel="0" collapsed="false">
      <c r="A55" s="29" t="s">
        <v>605</v>
      </c>
      <c r="B55" s="29" t="s">
        <v>70</v>
      </c>
      <c r="C55" s="28" t="str">
        <f aca="false">IF(B55="","",IFERROR(INDEX('DANH MỤC'!$B$5:$B$200,MATCH(B55,'DANH MỤC'!$A$5:$A$200,0)),"⚠ Mã chưa có trong DANH MỤC"))</f>
        <v>Sơn ngoại thất siêu bóng cao cấp Saphir E9</v>
      </c>
      <c r="D55" s="29" t="s">
        <v>52</v>
      </c>
      <c r="E55" s="29" t="n">
        <v>19</v>
      </c>
    </row>
    <row r="56" customFormat="false" ht="15" hidden="false" customHeight="false" outlineLevel="0" collapsed="false">
      <c r="A56" s="29" t="s">
        <v>605</v>
      </c>
      <c r="B56" s="29" t="s">
        <v>70</v>
      </c>
      <c r="C56" s="28" t="str">
        <f aca="false">IF(B56="","",IFERROR(INDEX('DANH MỤC'!$B$5:$B$200,MATCH(B56,'DANH MỤC'!$A$5:$A$200,0)),"⚠ Mã chưa có trong DANH MỤC"))</f>
        <v>Sơn ngoại thất siêu bóng cao cấp Saphir E9</v>
      </c>
      <c r="D56" s="29" t="s">
        <v>66</v>
      </c>
      <c r="E56" s="29" t="n">
        <v>5</v>
      </c>
    </row>
    <row r="57" customFormat="false" ht="15" hidden="false" customHeight="false" outlineLevel="0" collapsed="false">
      <c r="A57" s="29" t="s">
        <v>65</v>
      </c>
      <c r="B57" s="29" t="s">
        <v>65</v>
      </c>
      <c r="C57" s="28" t="str">
        <f aca="false">IF(B57="","",IFERROR(INDEX('DANH MỤC'!$B$5:$B$200,MATCH(B57,'DANH MỤC'!$A$5:$A$200,0)),"⚠ Mã chưa có trong DANH MỤC"))</f>
        <v>Sơn phủ nội thất bóng cao cấp ICL</v>
      </c>
      <c r="D57" s="29" t="s">
        <v>66</v>
      </c>
      <c r="E57" s="29" t="n">
        <v>11</v>
      </c>
    </row>
    <row r="58" customFormat="false" ht="15" hidden="false" customHeight="false" outlineLevel="0" collapsed="false">
      <c r="A58" s="29" t="s">
        <v>64</v>
      </c>
      <c r="B58" s="29" t="s">
        <v>64</v>
      </c>
      <c r="C58" s="28" t="str">
        <f aca="false">IF(B58="","",IFERROR(INDEX('DANH MỤC'!$B$5:$B$200,MATCH(B58,'DANH MỤC'!$A$5:$A$200,0)),"⚠ Mã chưa có trong DANH MỤC"))</f>
        <v>Sơn nội thất kinh tế Deco IDC</v>
      </c>
      <c r="D58" s="29" t="s">
        <v>53</v>
      </c>
      <c r="E58" s="29" t="n">
        <v>22</v>
      </c>
    </row>
    <row r="59" customFormat="false" ht="15" hidden="false" customHeight="false" outlineLevel="0" collapsed="false">
      <c r="A59" s="29" t="s">
        <v>606</v>
      </c>
      <c r="B59" s="29" t="s">
        <v>73</v>
      </c>
      <c r="C59" s="28" t="str">
        <f aca="false">IF(B59="","",IFERROR(INDEX('DANH MỤC'!$B$5:$B$200,MATCH(B59,'DANH MỤC'!$A$5:$A$200,0)),"⚠ Mã chưa có trong DANH MỤC"))</f>
        <v>Sơn chống thấm ETM 99 (trắng)</v>
      </c>
      <c r="D59" s="29" t="s">
        <v>53</v>
      </c>
      <c r="E59" s="29" t="n">
        <v>7</v>
      </c>
    </row>
    <row r="60" customFormat="false" ht="15" hidden="false" customHeight="false" outlineLevel="0" collapsed="false">
      <c r="A60" s="29" t="s">
        <v>74</v>
      </c>
      <c r="B60" s="29" t="s">
        <v>74</v>
      </c>
      <c r="C60" s="28" t="str">
        <f aca="false">IF(B60="","",IFERROR(INDEX('DANH MỤC'!$B$5:$B$200,MATCH(B60,'DANH MỤC'!$A$5:$A$200,0)),"⚠ Mã chưa có trong DANH MỤC"))</f>
        <v>Sơn chống thấm màu ETM 303 (ghi nhạt)</v>
      </c>
      <c r="D60" s="29" t="s">
        <v>52</v>
      </c>
      <c r="E60" s="29" t="n">
        <v>3</v>
      </c>
    </row>
    <row r="61" customFormat="false" ht="15" hidden="false" customHeight="false" outlineLevel="0" collapsed="false">
      <c r="A61" s="29" t="s">
        <v>607</v>
      </c>
      <c r="B61" s="29" t="s">
        <v>76</v>
      </c>
      <c r="C61" s="28" t="str">
        <f aca="false">IF(B61="","",IFERROR(INDEX('DANH MỤC'!$B$5:$B$200,MATCH(B61,'DANH MỤC'!$A$5:$A$200,0)),"⚠ Mã chưa có trong DANH MỤC"))</f>
        <v>Bột bả nội thất Imperia IP15 (40kg)</v>
      </c>
      <c r="D61" s="29" t="s">
        <v>77</v>
      </c>
      <c r="E61" s="29" t="n">
        <v>11</v>
      </c>
    </row>
    <row r="62" customFormat="false" ht="15" hidden="false" customHeight="false" outlineLevel="0" collapsed="false">
      <c r="A62" s="29" t="s">
        <v>608</v>
      </c>
      <c r="B62" s="29" t="s">
        <v>78</v>
      </c>
      <c r="C62" s="28" t="str">
        <f aca="false">IF(B62="","",IFERROR(INDEX('DANH MỤC'!$B$5:$B$200,MATCH(B62,'DANH MỤC'!$A$5:$A$200,0)),"⚠ Mã chưa có trong DANH MỤC"))</f>
        <v>Bột bả ngoại thất Imperia EP14 (40kg)</v>
      </c>
      <c r="D62" s="29" t="s">
        <v>77</v>
      </c>
      <c r="E62" s="29" t="n">
        <v>13</v>
      </c>
    </row>
    <row r="63" customFormat="false" ht="15" hidden="false" customHeight="false" outlineLevel="0" collapsed="false">
      <c r="A63" s="29"/>
      <c r="B63" s="29"/>
      <c r="C63" s="28" t="str">
        <f aca="false">IF(B63="","",IFERROR(INDEX('DANH MỤC'!$B$5:$B$200,MATCH(B63,'DANH MỤC'!$A$5:$A$200,0)),"⚠ Mã chưa có trong DANH MỤC"))</f>
        <v/>
      </c>
      <c r="D63" s="29"/>
      <c r="E63" s="29"/>
    </row>
    <row r="64" customFormat="false" ht="15" hidden="false" customHeight="false" outlineLevel="0" collapsed="false">
      <c r="A64" s="29"/>
      <c r="B64" s="29"/>
      <c r="C64" s="28" t="str">
        <f aca="false">IF(B64="","",IFERROR(INDEX('DANH MỤC'!$B$5:$B$200,MATCH(B64,'DANH MỤC'!$A$5:$A$200,0)),"⚠ Mã chưa có trong DANH MỤC"))</f>
        <v/>
      </c>
      <c r="D64" s="29"/>
      <c r="E64" s="29"/>
    </row>
    <row r="65" customFormat="false" ht="15" hidden="false" customHeight="false" outlineLevel="0" collapsed="false">
      <c r="A65" s="29"/>
      <c r="B65" s="29"/>
      <c r="C65" s="28" t="str">
        <f aca="false">IF(B65="","",IFERROR(INDEX('DANH MỤC'!$B$5:$B$200,MATCH(B65,'DANH MỤC'!$A$5:$A$200,0)),"⚠ Mã chưa có trong DANH MỤC"))</f>
        <v/>
      </c>
      <c r="D65" s="29"/>
      <c r="E65" s="29"/>
    </row>
    <row r="66" customFormat="false" ht="15" hidden="false" customHeight="false" outlineLevel="0" collapsed="false">
      <c r="A66" s="29"/>
      <c r="B66" s="29"/>
      <c r="C66" s="28" t="str">
        <f aca="false">IF(B66="","",IFERROR(INDEX('DANH MỤC'!$B$5:$B$200,MATCH(B66,'DANH MỤC'!$A$5:$A$200,0)),"⚠ Mã chưa có trong DANH MỤC"))</f>
        <v/>
      </c>
      <c r="D66" s="29"/>
      <c r="E66" s="29"/>
    </row>
    <row r="67" customFormat="false" ht="15" hidden="false" customHeight="false" outlineLevel="0" collapsed="false">
      <c r="A67" s="29"/>
      <c r="B67" s="29"/>
      <c r="C67" s="28" t="str">
        <f aca="false">IF(B67="","",IFERROR(INDEX('DANH MỤC'!$B$5:$B$200,MATCH(B67,'DANH MỤC'!$A$5:$A$200,0)),"⚠ Mã chưa có trong DANH MỤC"))</f>
        <v/>
      </c>
      <c r="D67" s="29"/>
      <c r="E67" s="29"/>
    </row>
    <row r="68" customFormat="false" ht="15" hidden="false" customHeight="false" outlineLevel="0" collapsed="false">
      <c r="A68" s="29"/>
      <c r="B68" s="29"/>
      <c r="C68" s="28" t="str">
        <f aca="false">IF(B68="","",IFERROR(INDEX('DANH MỤC'!$B$5:$B$200,MATCH(B68,'DANH MỤC'!$A$5:$A$200,0)),"⚠ Mã chưa có trong DANH MỤC"))</f>
        <v/>
      </c>
      <c r="D68" s="29"/>
      <c r="E68" s="29"/>
    </row>
    <row r="69" customFormat="false" ht="15" hidden="false" customHeight="false" outlineLevel="0" collapsed="false">
      <c r="A69" s="29"/>
      <c r="B69" s="29"/>
      <c r="C69" s="28" t="str">
        <f aca="false">IF(B69="","",IFERROR(INDEX('DANH MỤC'!$B$5:$B$200,MATCH(B69,'DANH MỤC'!$A$5:$A$200,0)),"⚠ Mã chưa có trong DANH MỤC"))</f>
        <v/>
      </c>
      <c r="D69" s="29"/>
      <c r="E69" s="29"/>
    </row>
    <row r="70" customFormat="false" ht="15" hidden="false" customHeight="false" outlineLevel="0" collapsed="false">
      <c r="A70" s="29"/>
      <c r="B70" s="29"/>
      <c r="C70" s="28" t="str">
        <f aca="false">IF(B70="","",IFERROR(INDEX('DANH MỤC'!$B$5:$B$200,MATCH(B70,'DANH MỤC'!$A$5:$A$200,0)),"⚠ Mã chưa có trong DANH MỤC"))</f>
        <v/>
      </c>
      <c r="D70" s="29"/>
      <c r="E70" s="29"/>
    </row>
    <row r="71" customFormat="false" ht="15" hidden="false" customHeight="false" outlineLevel="0" collapsed="false">
      <c r="A71" s="29"/>
      <c r="B71" s="29"/>
      <c r="C71" s="28" t="str">
        <f aca="false">IF(B71="","",IFERROR(INDEX('DANH MỤC'!$B$5:$B$200,MATCH(B71,'DANH MỤC'!$A$5:$A$200,0)),"⚠ Mã chưa có trong DANH MỤC"))</f>
        <v/>
      </c>
      <c r="D71" s="29"/>
      <c r="E71" s="29"/>
    </row>
    <row r="72" customFormat="false" ht="15" hidden="false" customHeight="false" outlineLevel="0" collapsed="false">
      <c r="A72" s="29"/>
      <c r="B72" s="29"/>
      <c r="C72" s="28" t="str">
        <f aca="false">IF(B72="","",IFERROR(INDEX('DANH MỤC'!$B$5:$B$200,MATCH(B72,'DANH MỤC'!$A$5:$A$200,0)),"⚠ Mã chưa có trong DANH MỤC"))</f>
        <v/>
      </c>
      <c r="D72" s="29"/>
      <c r="E72" s="29"/>
    </row>
    <row r="73" customFormat="false" ht="15" hidden="false" customHeight="false" outlineLevel="0" collapsed="false">
      <c r="A73" s="29"/>
      <c r="B73" s="29"/>
      <c r="C73" s="28" t="str">
        <f aca="false">IF(B73="","",IFERROR(INDEX('DANH MỤC'!$B$5:$B$200,MATCH(B73,'DANH MỤC'!$A$5:$A$200,0)),"⚠ Mã chưa có trong DANH MỤC"))</f>
        <v/>
      </c>
      <c r="D73" s="29"/>
      <c r="E73" s="29"/>
    </row>
    <row r="74" customFormat="false" ht="15" hidden="false" customHeight="false" outlineLevel="0" collapsed="false">
      <c r="A74" s="29"/>
      <c r="B74" s="29"/>
      <c r="C74" s="28" t="str">
        <f aca="false">IF(B74="","",IFERROR(INDEX('DANH MỤC'!$B$5:$B$200,MATCH(B74,'DANH MỤC'!$A$5:$A$200,0)),"⚠ Mã chưa có trong DANH MỤC"))</f>
        <v/>
      </c>
      <c r="D74" s="29"/>
      <c r="E74" s="29"/>
    </row>
    <row r="75" customFormat="false" ht="15" hidden="false" customHeight="false" outlineLevel="0" collapsed="false">
      <c r="A75" s="29"/>
      <c r="B75" s="29"/>
      <c r="C75" s="28" t="str">
        <f aca="false">IF(B75="","",IFERROR(INDEX('DANH MỤC'!$B$5:$B$200,MATCH(B75,'DANH MỤC'!$A$5:$A$200,0)),"⚠ Mã chưa có trong DANH MỤC"))</f>
        <v/>
      </c>
      <c r="D75" s="29"/>
      <c r="E75" s="29"/>
    </row>
    <row r="76" customFormat="false" ht="15" hidden="false" customHeight="false" outlineLevel="0" collapsed="false">
      <c r="A76" s="29"/>
      <c r="B76" s="29"/>
      <c r="C76" s="28" t="str">
        <f aca="false">IF(B76="","",IFERROR(INDEX('DANH MỤC'!$B$5:$B$200,MATCH(B76,'DANH MỤC'!$A$5:$A$200,0)),"⚠ Mã chưa có trong DANH MỤC"))</f>
        <v/>
      </c>
      <c r="D76" s="29"/>
      <c r="E76" s="29"/>
    </row>
    <row r="77" customFormat="false" ht="15" hidden="false" customHeight="false" outlineLevel="0" collapsed="false">
      <c r="A77" s="29"/>
      <c r="B77" s="29"/>
      <c r="C77" s="28" t="str">
        <f aca="false">IF(B77="","",IFERROR(INDEX('DANH MỤC'!$B$5:$B$200,MATCH(B77,'DANH MỤC'!$A$5:$A$200,0)),"⚠ Mã chưa có trong DANH MỤC"))</f>
        <v/>
      </c>
      <c r="D77" s="29"/>
      <c r="E77" s="29"/>
    </row>
    <row r="78" customFormat="false" ht="15" hidden="false" customHeight="false" outlineLevel="0" collapsed="false">
      <c r="A78" s="29"/>
      <c r="B78" s="29"/>
      <c r="C78" s="28" t="str">
        <f aca="false">IF(B78="","",IFERROR(INDEX('DANH MỤC'!$B$5:$B$200,MATCH(B78,'DANH MỤC'!$A$5:$A$200,0)),"⚠ Mã chưa có trong DANH MỤC"))</f>
        <v/>
      </c>
      <c r="D78" s="29"/>
      <c r="E78" s="29"/>
    </row>
    <row r="79" customFormat="false" ht="15" hidden="false" customHeight="false" outlineLevel="0" collapsed="false">
      <c r="A79" s="29"/>
      <c r="B79" s="29"/>
      <c r="C79" s="28" t="str">
        <f aca="false">IF(B79="","",IFERROR(INDEX('DANH MỤC'!$B$5:$B$200,MATCH(B79,'DANH MỤC'!$A$5:$A$200,0)),"⚠ Mã chưa có trong DANH MỤC"))</f>
        <v/>
      </c>
      <c r="D79" s="29"/>
      <c r="E79" s="29"/>
    </row>
    <row r="80" customFormat="false" ht="15" hidden="false" customHeight="false" outlineLevel="0" collapsed="false">
      <c r="A80" s="29"/>
      <c r="B80" s="29"/>
      <c r="C80" s="28" t="str">
        <f aca="false">IF(B80="","",IFERROR(INDEX('DANH MỤC'!$B$5:$B$200,MATCH(B80,'DANH MỤC'!$A$5:$A$200,0)),"⚠ Mã chưa có trong DANH MỤC"))</f>
        <v/>
      </c>
      <c r="D80" s="29"/>
      <c r="E80" s="29"/>
    </row>
    <row r="81" customFormat="false" ht="15" hidden="false" customHeight="false" outlineLevel="0" collapsed="false">
      <c r="A81" s="29"/>
      <c r="B81" s="29"/>
      <c r="C81" s="28" t="str">
        <f aca="false">IF(B81="","",IFERROR(INDEX('DANH MỤC'!$B$5:$B$200,MATCH(B81,'DANH MỤC'!$A$5:$A$200,0)),"⚠ Mã chưa có trong DANH MỤC"))</f>
        <v/>
      </c>
      <c r="D81" s="29"/>
      <c r="E81" s="29"/>
    </row>
    <row r="82" customFormat="false" ht="15" hidden="false" customHeight="false" outlineLevel="0" collapsed="false">
      <c r="A82" s="29"/>
      <c r="B82" s="29"/>
      <c r="C82" s="28" t="str">
        <f aca="false">IF(B82="","",IFERROR(INDEX('DANH MỤC'!$B$5:$B$200,MATCH(B82,'DANH MỤC'!$A$5:$A$200,0)),"⚠ Mã chưa có trong DANH MỤC"))</f>
        <v/>
      </c>
      <c r="D82" s="29"/>
      <c r="E82" s="29"/>
    </row>
    <row r="83" customFormat="false" ht="15" hidden="false" customHeight="false" outlineLevel="0" collapsed="false">
      <c r="A83" s="29"/>
      <c r="B83" s="29"/>
      <c r="C83" s="28" t="str">
        <f aca="false">IF(B83="","",IFERROR(INDEX('DANH MỤC'!$B$5:$B$200,MATCH(B83,'DANH MỤC'!$A$5:$A$200,0)),"⚠ Mã chưa có trong DANH MỤC"))</f>
        <v/>
      </c>
      <c r="D83" s="29"/>
      <c r="E83" s="29"/>
    </row>
    <row r="84" customFormat="false" ht="15" hidden="false" customHeight="false" outlineLevel="0" collapsed="false">
      <c r="A84" s="29"/>
      <c r="B84" s="29"/>
      <c r="C84" s="28" t="str">
        <f aca="false">IF(B84="","",IFERROR(INDEX('DANH MỤC'!$B$5:$B$200,MATCH(B84,'DANH MỤC'!$A$5:$A$200,0)),"⚠ Mã chưa có trong DANH MỤC"))</f>
        <v/>
      </c>
      <c r="D84" s="29"/>
      <c r="E84" s="29"/>
    </row>
    <row r="85" customFormat="false" ht="15" hidden="false" customHeight="false" outlineLevel="0" collapsed="false">
      <c r="A85" s="29"/>
      <c r="B85" s="29"/>
      <c r="C85" s="28" t="str">
        <f aca="false">IF(B85="","",IFERROR(INDEX('DANH MỤC'!$B$5:$B$200,MATCH(B85,'DANH MỤC'!$A$5:$A$200,0)),"⚠ Mã chưa có trong DANH MỤC"))</f>
        <v/>
      </c>
      <c r="D85" s="29"/>
      <c r="E85" s="29"/>
    </row>
    <row r="86" customFormat="false" ht="15" hidden="false" customHeight="false" outlineLevel="0" collapsed="false">
      <c r="A86" s="29"/>
      <c r="B86" s="29"/>
      <c r="C86" s="28" t="str">
        <f aca="false">IF(B86="","",IFERROR(INDEX('DANH MỤC'!$B$5:$B$200,MATCH(B86,'DANH MỤC'!$A$5:$A$200,0)),"⚠ Mã chưa có trong DANH MỤC"))</f>
        <v/>
      </c>
      <c r="D86" s="29"/>
      <c r="E86" s="29"/>
    </row>
    <row r="87" customFormat="false" ht="15" hidden="false" customHeight="false" outlineLevel="0" collapsed="false">
      <c r="A87" s="29"/>
      <c r="B87" s="29"/>
      <c r="C87" s="28" t="str">
        <f aca="false">IF(B87="","",IFERROR(INDEX('DANH MỤC'!$B$5:$B$200,MATCH(B87,'DANH MỤC'!$A$5:$A$200,0)),"⚠ Mã chưa có trong DANH MỤC"))</f>
        <v/>
      </c>
      <c r="D87" s="29"/>
      <c r="E87" s="29"/>
    </row>
    <row r="88" customFormat="false" ht="15" hidden="false" customHeight="false" outlineLevel="0" collapsed="false">
      <c r="A88" s="29"/>
      <c r="B88" s="29"/>
      <c r="C88" s="28" t="str">
        <f aca="false">IF(B88="","",IFERROR(INDEX('DANH MỤC'!$B$5:$B$200,MATCH(B88,'DANH MỤC'!$A$5:$A$200,0)),"⚠ Mã chưa có trong DANH MỤC"))</f>
        <v/>
      </c>
      <c r="D88" s="29"/>
      <c r="E88" s="29"/>
    </row>
    <row r="89" customFormat="false" ht="15" hidden="false" customHeight="false" outlineLevel="0" collapsed="false">
      <c r="A89" s="29"/>
      <c r="B89" s="29"/>
      <c r="C89" s="28" t="str">
        <f aca="false">IF(B89="","",IFERROR(INDEX('DANH MỤC'!$B$5:$B$200,MATCH(B89,'DANH MỤC'!$A$5:$A$200,0)),"⚠ Mã chưa có trong DANH MỤC"))</f>
        <v/>
      </c>
      <c r="D89" s="29"/>
      <c r="E89" s="29"/>
    </row>
    <row r="90" customFormat="false" ht="15" hidden="false" customHeight="false" outlineLevel="0" collapsed="false">
      <c r="A90" s="29"/>
      <c r="B90" s="29"/>
      <c r="C90" s="28" t="str">
        <f aca="false">IF(B90="","",IFERROR(INDEX('DANH MỤC'!$B$5:$B$200,MATCH(B90,'DANH MỤC'!$A$5:$A$200,0)),"⚠ Mã chưa có trong DANH MỤC"))</f>
        <v/>
      </c>
      <c r="D90" s="29"/>
      <c r="E90" s="29"/>
    </row>
    <row r="91" customFormat="false" ht="15" hidden="false" customHeight="false" outlineLevel="0" collapsed="false">
      <c r="A91" s="29"/>
      <c r="B91" s="29"/>
      <c r="C91" s="28" t="str">
        <f aca="false">IF(B91="","",IFERROR(INDEX('DANH MỤC'!$B$5:$B$200,MATCH(B91,'DANH MỤC'!$A$5:$A$200,0)),"⚠ Mã chưa có trong DANH MỤC"))</f>
        <v/>
      </c>
      <c r="D91" s="29"/>
      <c r="E91" s="29"/>
    </row>
    <row r="92" customFormat="false" ht="15" hidden="false" customHeight="false" outlineLevel="0" collapsed="false">
      <c r="A92" s="29"/>
      <c r="B92" s="29"/>
      <c r="C92" s="28" t="str">
        <f aca="false">IF(B92="","",IFERROR(INDEX('DANH MỤC'!$B$5:$B$200,MATCH(B92,'DANH MỤC'!$A$5:$A$200,0)),"⚠ Mã chưa có trong DANH MỤC"))</f>
        <v/>
      </c>
      <c r="D92" s="29"/>
      <c r="E92" s="29"/>
    </row>
    <row r="93" customFormat="false" ht="15" hidden="false" customHeight="false" outlineLevel="0" collapsed="false">
      <c r="A93" s="29"/>
      <c r="B93" s="29"/>
      <c r="C93" s="28" t="str">
        <f aca="false">IF(B93="","",IFERROR(INDEX('DANH MỤC'!$B$5:$B$200,MATCH(B93,'DANH MỤC'!$A$5:$A$200,0)),"⚠ Mã chưa có trong DANH MỤC"))</f>
        <v/>
      </c>
      <c r="D93" s="29"/>
      <c r="E93" s="29"/>
    </row>
    <row r="94" customFormat="false" ht="15" hidden="false" customHeight="false" outlineLevel="0" collapsed="false">
      <c r="A94" s="29"/>
      <c r="B94" s="29"/>
      <c r="C94" s="28" t="str">
        <f aca="false">IF(B94="","",IFERROR(INDEX('DANH MỤC'!$B$5:$B$200,MATCH(B94,'DANH MỤC'!$A$5:$A$200,0)),"⚠ Mã chưa có trong DANH MỤC"))</f>
        <v/>
      </c>
      <c r="D94" s="29"/>
      <c r="E94" s="29"/>
    </row>
    <row r="95" customFormat="false" ht="15" hidden="false" customHeight="false" outlineLevel="0" collapsed="false">
      <c r="A95" s="29"/>
      <c r="B95" s="29"/>
      <c r="C95" s="28" t="str">
        <f aca="false">IF(B95="","",IFERROR(INDEX('DANH MỤC'!$B$5:$B$200,MATCH(B95,'DANH MỤC'!$A$5:$A$200,0)),"⚠ Mã chưa có trong DANH MỤC"))</f>
        <v/>
      </c>
      <c r="D95" s="29"/>
      <c r="E95" s="29"/>
    </row>
    <row r="96" customFormat="false" ht="15" hidden="false" customHeight="false" outlineLevel="0" collapsed="false">
      <c r="A96" s="29"/>
      <c r="B96" s="29"/>
      <c r="C96" s="28" t="str">
        <f aca="false">IF(B96="","",IFERROR(INDEX('DANH MỤC'!$B$5:$B$200,MATCH(B96,'DANH MỤC'!$A$5:$A$200,0)),"⚠ Mã chưa có trong DANH MỤC"))</f>
        <v/>
      </c>
      <c r="D96" s="29"/>
      <c r="E96" s="29"/>
    </row>
    <row r="97" customFormat="false" ht="15" hidden="false" customHeight="false" outlineLevel="0" collapsed="false">
      <c r="A97" s="29"/>
      <c r="B97" s="29"/>
      <c r="C97" s="28" t="str">
        <f aca="false">IF(B97="","",IFERROR(INDEX('DANH MỤC'!$B$5:$B$200,MATCH(B97,'DANH MỤC'!$A$5:$A$200,0)),"⚠ Mã chưa có trong DANH MỤC"))</f>
        <v/>
      </c>
      <c r="D97" s="29"/>
      <c r="E97" s="29"/>
    </row>
    <row r="98" customFormat="false" ht="15" hidden="false" customHeight="false" outlineLevel="0" collapsed="false">
      <c r="A98" s="29"/>
      <c r="B98" s="29"/>
      <c r="C98" s="28" t="str">
        <f aca="false">IF(B98="","",IFERROR(INDEX('DANH MỤC'!$B$5:$B$200,MATCH(B98,'DANH MỤC'!$A$5:$A$200,0)),"⚠ Mã chưa có trong DANH MỤC"))</f>
        <v/>
      </c>
      <c r="D98" s="29"/>
      <c r="E98" s="29"/>
    </row>
    <row r="99" customFormat="false" ht="15" hidden="false" customHeight="false" outlineLevel="0" collapsed="false">
      <c r="A99" s="29"/>
      <c r="B99" s="29"/>
      <c r="C99" s="28" t="str">
        <f aca="false">IF(B99="","",IFERROR(INDEX('DANH MỤC'!$B$5:$B$200,MATCH(B99,'DANH MỤC'!$A$5:$A$200,0)),"⚠ Mã chưa có trong DANH MỤC"))</f>
        <v/>
      </c>
      <c r="D99" s="29"/>
      <c r="E99" s="29"/>
    </row>
    <row r="100" customFormat="false" ht="15" hidden="false" customHeight="false" outlineLevel="0" collapsed="false">
      <c r="A100" s="29"/>
      <c r="B100" s="29"/>
      <c r="C100" s="28" t="str">
        <f aca="false">IF(B100="","",IFERROR(INDEX('DANH MỤC'!$B$5:$B$200,MATCH(B100,'DANH MỤC'!$A$5:$A$200,0)),"⚠ Mã chưa có trong DANH MỤC"))</f>
        <v/>
      </c>
      <c r="D100" s="29"/>
      <c r="E100" s="29"/>
    </row>
    <row r="101" customFormat="false" ht="15" hidden="false" customHeight="false" outlineLevel="0" collapsed="false">
      <c r="A101" s="29"/>
      <c r="B101" s="29"/>
      <c r="C101" s="28" t="str">
        <f aca="false">IF(B101="","",IFERROR(INDEX('DANH MỤC'!$B$5:$B$200,MATCH(B101,'DANH MỤC'!$A$5:$A$200,0)),"⚠ Mã chưa có trong DANH MỤC"))</f>
        <v/>
      </c>
      <c r="D101" s="29"/>
      <c r="E101" s="29"/>
    </row>
    <row r="102" customFormat="false" ht="15" hidden="false" customHeight="false" outlineLevel="0" collapsed="false">
      <c r="A102" s="29"/>
      <c r="B102" s="29"/>
      <c r="C102" s="28" t="str">
        <f aca="false">IF(B102="","",IFERROR(INDEX('DANH MỤC'!$B$5:$B$200,MATCH(B102,'DANH MỤC'!$A$5:$A$200,0)),"⚠ Mã chưa có trong DANH MỤC"))</f>
        <v/>
      </c>
      <c r="D102" s="29"/>
      <c r="E102" s="29"/>
    </row>
    <row r="103" customFormat="false" ht="15" hidden="false" customHeight="false" outlineLevel="0" collapsed="false">
      <c r="A103" s="29"/>
      <c r="B103" s="29"/>
      <c r="C103" s="28" t="str">
        <f aca="false">IF(B103="","",IFERROR(INDEX('DANH MỤC'!$B$5:$B$200,MATCH(B103,'DANH MỤC'!$A$5:$A$200,0)),"⚠ Mã chưa có trong DANH MỤC"))</f>
        <v/>
      </c>
      <c r="D103" s="29"/>
      <c r="E103" s="29"/>
    </row>
    <row r="104" customFormat="false" ht="15" hidden="false" customHeight="false" outlineLevel="0" collapsed="false">
      <c r="A104" s="29"/>
      <c r="B104" s="29"/>
      <c r="C104" s="28" t="str">
        <f aca="false">IF(B104="","",IFERROR(INDEX('DANH MỤC'!$B$5:$B$200,MATCH(B104,'DANH MỤC'!$A$5:$A$200,0)),"⚠ Mã chưa có trong DANH MỤC"))</f>
        <v/>
      </c>
      <c r="D104" s="29"/>
      <c r="E104" s="29"/>
    </row>
    <row r="105" customFormat="false" ht="15" hidden="false" customHeight="false" outlineLevel="0" collapsed="false">
      <c r="A105" s="29"/>
      <c r="B105" s="29"/>
      <c r="C105" s="28" t="str">
        <f aca="false">IF(B105="","",IFERROR(INDEX('DANH MỤC'!$B$5:$B$200,MATCH(B105,'DANH MỤC'!$A$5:$A$200,0)),"⚠ Mã chưa có trong DANH MỤC"))</f>
        <v/>
      </c>
      <c r="D105" s="29"/>
      <c r="E105" s="29"/>
    </row>
    <row r="106" customFormat="false" ht="15" hidden="false" customHeight="false" outlineLevel="0" collapsed="false">
      <c r="A106" s="29"/>
      <c r="B106" s="29"/>
      <c r="C106" s="28" t="str">
        <f aca="false">IF(B106="","",IFERROR(INDEX('DANH MỤC'!$B$5:$B$200,MATCH(B106,'DANH MỤC'!$A$5:$A$200,0)),"⚠ Mã chưa có trong DANH MỤC"))</f>
        <v/>
      </c>
      <c r="D106" s="29"/>
      <c r="E106" s="29"/>
    </row>
    <row r="107" customFormat="false" ht="15" hidden="false" customHeight="false" outlineLevel="0" collapsed="false">
      <c r="A107" s="29"/>
      <c r="B107" s="29"/>
      <c r="C107" s="28" t="str">
        <f aca="false">IF(B107="","",IFERROR(INDEX('DANH MỤC'!$B$5:$B$200,MATCH(B107,'DANH MỤC'!$A$5:$A$200,0)),"⚠ Mã chưa có trong DANH MỤC"))</f>
        <v/>
      </c>
      <c r="D107" s="29"/>
      <c r="E107" s="29"/>
    </row>
    <row r="108" customFormat="false" ht="15" hidden="false" customHeight="false" outlineLevel="0" collapsed="false">
      <c r="A108" s="29"/>
      <c r="B108" s="29"/>
      <c r="C108" s="28" t="str">
        <f aca="false">IF(B108="","",IFERROR(INDEX('DANH MỤC'!$B$5:$B$200,MATCH(B108,'DANH MỤC'!$A$5:$A$200,0)),"⚠ Mã chưa có trong DANH MỤC"))</f>
        <v/>
      </c>
      <c r="D108" s="29"/>
      <c r="E108" s="29"/>
    </row>
    <row r="109" customFormat="false" ht="15" hidden="false" customHeight="false" outlineLevel="0" collapsed="false">
      <c r="A109" s="29"/>
      <c r="B109" s="29"/>
      <c r="C109" s="28" t="str">
        <f aca="false">IF(B109="","",IFERROR(INDEX('DANH MỤC'!$B$5:$B$200,MATCH(B109,'DANH MỤC'!$A$5:$A$200,0)),"⚠ Mã chưa có trong DANH MỤC"))</f>
        <v/>
      </c>
      <c r="D109" s="29"/>
      <c r="E109" s="29"/>
    </row>
    <row r="110" customFormat="false" ht="15" hidden="false" customHeight="false" outlineLevel="0" collapsed="false">
      <c r="A110" s="29"/>
      <c r="B110" s="29"/>
      <c r="C110" s="28" t="str">
        <f aca="false">IF(B110="","",IFERROR(INDEX('DANH MỤC'!$B$5:$B$200,MATCH(B110,'DANH MỤC'!$A$5:$A$200,0)),"⚠ Mã chưa có trong DANH MỤC"))</f>
        <v/>
      </c>
      <c r="D110" s="29"/>
      <c r="E110" s="29"/>
    </row>
    <row r="111" customFormat="false" ht="15" hidden="false" customHeight="false" outlineLevel="0" collapsed="false">
      <c r="A111" s="29"/>
      <c r="B111" s="29"/>
      <c r="C111" s="28" t="str">
        <f aca="false">IF(B111="","",IFERROR(INDEX('DANH MỤC'!$B$5:$B$200,MATCH(B111,'DANH MỤC'!$A$5:$A$200,0)),"⚠ Mã chưa có trong DANH MỤC"))</f>
        <v/>
      </c>
      <c r="D111" s="29"/>
      <c r="E111" s="29"/>
    </row>
    <row r="112" customFormat="false" ht="15" hidden="false" customHeight="false" outlineLevel="0" collapsed="false">
      <c r="A112" s="29"/>
      <c r="B112" s="29"/>
      <c r="C112" s="28" t="str">
        <f aca="false">IF(B112="","",IFERROR(INDEX('DANH MỤC'!$B$5:$B$200,MATCH(B112,'DANH MỤC'!$A$5:$A$200,0)),"⚠ Mã chưa có trong DANH MỤC"))</f>
        <v/>
      </c>
      <c r="D112" s="29"/>
      <c r="E112" s="29"/>
    </row>
    <row r="113" customFormat="false" ht="15" hidden="false" customHeight="false" outlineLevel="0" collapsed="false">
      <c r="A113" s="29"/>
      <c r="B113" s="29"/>
      <c r="C113" s="28" t="str">
        <f aca="false">IF(B113="","",IFERROR(INDEX('DANH MỤC'!$B$5:$B$200,MATCH(B113,'DANH MỤC'!$A$5:$A$200,0)),"⚠ Mã chưa có trong DANH MỤC"))</f>
        <v/>
      </c>
      <c r="D113" s="29"/>
      <c r="E113" s="29"/>
    </row>
    <row r="114" customFormat="false" ht="15" hidden="false" customHeight="false" outlineLevel="0" collapsed="false">
      <c r="A114" s="29"/>
      <c r="B114" s="29"/>
      <c r="C114" s="28" t="str">
        <f aca="false">IF(B114="","",IFERROR(INDEX('DANH MỤC'!$B$5:$B$200,MATCH(B114,'DANH MỤC'!$A$5:$A$200,0)),"⚠ Mã chưa có trong DANH MỤC"))</f>
        <v/>
      </c>
      <c r="D114" s="29"/>
      <c r="E114" s="29"/>
    </row>
    <row r="115" customFormat="false" ht="15" hidden="false" customHeight="false" outlineLevel="0" collapsed="false">
      <c r="A115" s="29"/>
      <c r="B115" s="29"/>
      <c r="C115" s="28" t="str">
        <f aca="false">IF(B115="","",IFERROR(INDEX('DANH MỤC'!$B$5:$B$200,MATCH(B115,'DANH MỤC'!$A$5:$A$200,0)),"⚠ Mã chưa có trong DANH MỤC"))</f>
        <v/>
      </c>
      <c r="D115" s="29"/>
      <c r="E115" s="29"/>
    </row>
    <row r="116" customFormat="false" ht="15" hidden="false" customHeight="false" outlineLevel="0" collapsed="false">
      <c r="A116" s="29"/>
      <c r="B116" s="29"/>
      <c r="C116" s="28" t="str">
        <f aca="false">IF(B116="","",IFERROR(INDEX('DANH MỤC'!$B$5:$B$200,MATCH(B116,'DANH MỤC'!$A$5:$A$200,0)),"⚠ Mã chưa có trong DANH MỤC"))</f>
        <v/>
      </c>
      <c r="D116" s="29"/>
      <c r="E116" s="29"/>
    </row>
    <row r="117" customFormat="false" ht="15" hidden="false" customHeight="false" outlineLevel="0" collapsed="false">
      <c r="A117" s="29"/>
      <c r="B117" s="29"/>
      <c r="C117" s="28" t="str">
        <f aca="false">IF(B117="","",IFERROR(INDEX('DANH MỤC'!$B$5:$B$200,MATCH(B117,'DANH MỤC'!$A$5:$A$200,0)),"⚠ Mã chưa có trong DANH MỤC"))</f>
        <v/>
      </c>
      <c r="D117" s="29"/>
      <c r="E117" s="29"/>
    </row>
    <row r="118" customFormat="false" ht="15" hidden="false" customHeight="false" outlineLevel="0" collapsed="false">
      <c r="A118" s="29"/>
      <c r="B118" s="29"/>
      <c r="C118" s="28" t="str">
        <f aca="false">IF(B118="","",IFERROR(INDEX('DANH MỤC'!$B$5:$B$200,MATCH(B118,'DANH MỤC'!$A$5:$A$200,0)),"⚠ Mã chưa có trong DANH MỤC"))</f>
        <v/>
      </c>
      <c r="D118" s="29"/>
      <c r="E118" s="29"/>
    </row>
    <row r="119" customFormat="false" ht="15" hidden="false" customHeight="false" outlineLevel="0" collapsed="false">
      <c r="A119" s="29"/>
      <c r="B119" s="29"/>
      <c r="C119" s="28" t="str">
        <f aca="false">IF(B119="","",IFERROR(INDEX('DANH MỤC'!$B$5:$B$200,MATCH(B119,'DANH MỤC'!$A$5:$A$200,0)),"⚠ Mã chưa có trong DANH MỤC"))</f>
        <v/>
      </c>
      <c r="D119" s="29"/>
      <c r="E119" s="29"/>
    </row>
    <row r="120" customFormat="false" ht="15" hidden="false" customHeight="false" outlineLevel="0" collapsed="false">
      <c r="A120" s="29"/>
      <c r="B120" s="29"/>
      <c r="C120" s="28" t="str">
        <f aca="false">IF(B120="","",IFERROR(INDEX('DANH MỤC'!$B$5:$B$200,MATCH(B120,'DANH MỤC'!$A$5:$A$200,0)),"⚠ Mã chưa có trong DANH MỤC"))</f>
        <v/>
      </c>
      <c r="D120" s="29"/>
      <c r="E120" s="29"/>
    </row>
    <row r="121" customFormat="false" ht="15" hidden="false" customHeight="false" outlineLevel="0" collapsed="false">
      <c r="A121" s="29"/>
      <c r="B121" s="29"/>
      <c r="C121" s="28" t="str">
        <f aca="false">IF(B121="","",IFERROR(INDEX('DANH MỤC'!$B$5:$B$200,MATCH(B121,'DANH MỤC'!$A$5:$A$200,0)),"⚠ Mã chưa có trong DANH MỤC"))</f>
        <v/>
      </c>
      <c r="D121" s="29"/>
      <c r="E121" s="29"/>
    </row>
    <row r="122" customFormat="false" ht="15" hidden="false" customHeight="false" outlineLevel="0" collapsed="false">
      <c r="A122" s="29"/>
      <c r="B122" s="29"/>
      <c r="C122" s="28" t="str">
        <f aca="false">IF(B122="","",IFERROR(INDEX('DANH MỤC'!$B$5:$B$200,MATCH(B122,'DANH MỤC'!$A$5:$A$200,0)),"⚠ Mã chưa có trong DANH MỤC"))</f>
        <v/>
      </c>
      <c r="D122" s="29"/>
      <c r="E122" s="29"/>
    </row>
    <row r="123" customFormat="false" ht="15" hidden="false" customHeight="false" outlineLevel="0" collapsed="false">
      <c r="A123" s="29"/>
      <c r="B123" s="29"/>
      <c r="C123" s="28" t="str">
        <f aca="false">IF(B123="","",IFERROR(INDEX('DANH MỤC'!$B$5:$B$200,MATCH(B123,'DANH MỤC'!$A$5:$A$200,0)),"⚠ Mã chưa có trong DANH MỤC"))</f>
        <v/>
      </c>
      <c r="D123" s="29"/>
      <c r="E123" s="29"/>
    </row>
  </sheetData>
  <dataValidations count="2">
    <dataValidation allowBlank="true" errorStyle="stop" operator="between" showDropDown="false" showErrorMessage="false" showInputMessage="false" sqref="B5:B123" type="list">
      <formula1>'DANH MỤC'!$A$5:$A$200</formula1>
      <formula2>0</formula2>
    </dataValidation>
    <dataValidation allowBlank="true" errorStyle="stop" operator="between" showDropDown="false" showErrorMessage="false" showInputMessage="false" sqref="D5:D123" type="list">
      <formula1>"1L,5L,18L,Bao"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C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14"/>
  </cols>
  <sheetData>
    <row r="1" customFormat="false" ht="19.7" hidden="false" customHeight="false" outlineLevel="0" collapsed="false">
      <c r="A1" s="23" t="s">
        <v>609</v>
      </c>
    </row>
    <row r="2" customFormat="false" ht="15" hidden="false" customHeight="false" outlineLevel="0" collapsed="false">
      <c r="A2" s="2" t="s">
        <v>610</v>
      </c>
    </row>
    <row r="3" customFormat="false" ht="15" hidden="false" customHeight="false" outlineLevel="0" collapsed="false">
      <c r="A3" s="2" t="s">
        <v>611</v>
      </c>
    </row>
    <row r="4" customFormat="false" ht="31.5" hidden="false" customHeight="true" outlineLevel="0" collapsed="false">
      <c r="A4" s="14" t="s">
        <v>8</v>
      </c>
      <c r="B4" s="14" t="s">
        <v>10</v>
      </c>
      <c r="C4" s="14" t="s">
        <v>21</v>
      </c>
    </row>
    <row r="5" customFormat="false" ht="15" hidden="false" customHeight="false" outlineLevel="0" collapsed="false">
      <c r="A5" s="16" t="s">
        <v>51</v>
      </c>
      <c r="B5" s="16" t="s">
        <v>612</v>
      </c>
      <c r="C5" s="16" t="s">
        <v>25</v>
      </c>
    </row>
    <row r="6" customFormat="false" ht="15" hidden="false" customHeight="false" outlineLevel="0" collapsed="false">
      <c r="A6" s="16" t="s">
        <v>54</v>
      </c>
      <c r="B6" s="16" t="s">
        <v>613</v>
      </c>
      <c r="C6" s="16" t="s">
        <v>25</v>
      </c>
    </row>
    <row r="7" customFormat="false" ht="15" hidden="false" customHeight="false" outlineLevel="0" collapsed="false">
      <c r="A7" s="16" t="s">
        <v>55</v>
      </c>
      <c r="B7" s="16" t="s">
        <v>614</v>
      </c>
      <c r="C7" s="16" t="s">
        <v>25</v>
      </c>
    </row>
    <row r="8" customFormat="false" ht="15" hidden="false" customHeight="false" outlineLevel="0" collapsed="false">
      <c r="A8" s="16" t="s">
        <v>56</v>
      </c>
      <c r="B8" s="16" t="s">
        <v>615</v>
      </c>
      <c r="C8" s="16" t="s">
        <v>25</v>
      </c>
    </row>
    <row r="9" customFormat="false" ht="15" hidden="false" customHeight="false" outlineLevel="0" collapsed="false">
      <c r="A9" s="16" t="s">
        <v>57</v>
      </c>
      <c r="B9" s="16" t="s">
        <v>616</v>
      </c>
      <c r="C9" s="16" t="s">
        <v>25</v>
      </c>
    </row>
    <row r="10" customFormat="false" ht="15" hidden="false" customHeight="false" outlineLevel="0" collapsed="false">
      <c r="A10" s="16" t="s">
        <v>58</v>
      </c>
      <c r="B10" s="16" t="s">
        <v>617</v>
      </c>
      <c r="C10" s="16" t="s">
        <v>25</v>
      </c>
    </row>
    <row r="11" customFormat="false" ht="15" hidden="false" customHeight="false" outlineLevel="0" collapsed="false">
      <c r="A11" s="16" t="s">
        <v>59</v>
      </c>
      <c r="B11" s="16" t="s">
        <v>618</v>
      </c>
      <c r="C11" s="16" t="s">
        <v>26</v>
      </c>
    </row>
    <row r="12" customFormat="false" ht="15" hidden="false" customHeight="false" outlineLevel="0" collapsed="false">
      <c r="A12" s="16" t="s">
        <v>60</v>
      </c>
      <c r="B12" s="16" t="s">
        <v>619</v>
      </c>
      <c r="C12" s="16" t="s">
        <v>26</v>
      </c>
    </row>
    <row r="13" customFormat="false" ht="15" hidden="false" customHeight="false" outlineLevel="0" collapsed="false">
      <c r="A13" s="16" t="s">
        <v>61</v>
      </c>
      <c r="B13" s="16" t="s">
        <v>620</v>
      </c>
      <c r="C13" s="16" t="s">
        <v>26</v>
      </c>
    </row>
    <row r="14" customFormat="false" ht="15" hidden="false" customHeight="false" outlineLevel="0" collapsed="false">
      <c r="A14" s="16" t="s">
        <v>62</v>
      </c>
      <c r="B14" s="16" t="s">
        <v>621</v>
      </c>
      <c r="C14" s="16" t="s">
        <v>26</v>
      </c>
    </row>
    <row r="15" customFormat="false" ht="15" hidden="false" customHeight="false" outlineLevel="0" collapsed="false">
      <c r="A15" s="16" t="s">
        <v>63</v>
      </c>
      <c r="B15" s="16" t="s">
        <v>622</v>
      </c>
      <c r="C15" s="16" t="s">
        <v>26</v>
      </c>
    </row>
    <row r="16" customFormat="false" ht="15" hidden="false" customHeight="false" outlineLevel="0" collapsed="false">
      <c r="A16" s="16" t="s">
        <v>64</v>
      </c>
      <c r="B16" s="16" t="s">
        <v>623</v>
      </c>
      <c r="C16" s="16" t="s">
        <v>26</v>
      </c>
    </row>
    <row r="17" customFormat="false" ht="15" hidden="false" customHeight="false" outlineLevel="0" collapsed="false">
      <c r="A17" s="16" t="s">
        <v>65</v>
      </c>
      <c r="B17" s="16" t="s">
        <v>624</v>
      </c>
      <c r="C17" s="16" t="s">
        <v>26</v>
      </c>
    </row>
    <row r="18" customFormat="false" ht="15" hidden="false" customHeight="false" outlineLevel="0" collapsed="false">
      <c r="A18" s="16" t="s">
        <v>67</v>
      </c>
      <c r="B18" s="16" t="s">
        <v>625</v>
      </c>
      <c r="C18" s="16" t="s">
        <v>27</v>
      </c>
    </row>
    <row r="19" customFormat="false" ht="15" hidden="false" customHeight="false" outlineLevel="0" collapsed="false">
      <c r="A19" s="16" t="s">
        <v>68</v>
      </c>
      <c r="B19" s="16" t="s">
        <v>626</v>
      </c>
      <c r="C19" s="16" t="s">
        <v>27</v>
      </c>
    </row>
    <row r="20" customFormat="false" ht="15" hidden="false" customHeight="false" outlineLevel="0" collapsed="false">
      <c r="A20" s="16" t="s">
        <v>69</v>
      </c>
      <c r="B20" s="16" t="s">
        <v>627</v>
      </c>
      <c r="C20" s="16" t="s">
        <v>27</v>
      </c>
    </row>
    <row r="21" customFormat="false" ht="15" hidden="false" customHeight="false" outlineLevel="0" collapsed="false">
      <c r="A21" s="16" t="s">
        <v>70</v>
      </c>
      <c r="B21" s="16" t="s">
        <v>628</v>
      </c>
      <c r="C21" s="16" t="s">
        <v>27</v>
      </c>
    </row>
    <row r="22" customFormat="false" ht="15" hidden="false" customHeight="false" outlineLevel="0" collapsed="false">
      <c r="A22" s="16" t="s">
        <v>71</v>
      </c>
      <c r="B22" s="16" t="s">
        <v>629</v>
      </c>
      <c r="C22" s="16" t="s">
        <v>28</v>
      </c>
    </row>
    <row r="23" customFormat="false" ht="15" hidden="false" customHeight="false" outlineLevel="0" collapsed="false">
      <c r="A23" s="16" t="s">
        <v>72</v>
      </c>
      <c r="B23" s="16" t="s">
        <v>630</v>
      </c>
      <c r="C23" s="16" t="s">
        <v>28</v>
      </c>
    </row>
    <row r="24" customFormat="false" ht="15" hidden="false" customHeight="false" outlineLevel="0" collapsed="false">
      <c r="A24" s="16" t="s">
        <v>73</v>
      </c>
      <c r="B24" s="16" t="s">
        <v>631</v>
      </c>
      <c r="C24" s="16" t="s">
        <v>28</v>
      </c>
    </row>
    <row r="25" customFormat="false" ht="15" hidden="false" customHeight="false" outlineLevel="0" collapsed="false">
      <c r="A25" s="16" t="s">
        <v>74</v>
      </c>
      <c r="B25" s="16" t="s">
        <v>632</v>
      </c>
      <c r="C25" s="16" t="s">
        <v>28</v>
      </c>
    </row>
    <row r="26" customFormat="false" ht="15" hidden="false" customHeight="false" outlineLevel="0" collapsed="false">
      <c r="A26" s="16" t="s">
        <v>75</v>
      </c>
      <c r="B26" s="16" t="s">
        <v>633</v>
      </c>
      <c r="C26" s="16" t="s">
        <v>28</v>
      </c>
    </row>
    <row r="27" customFormat="false" ht="15" hidden="false" customHeight="false" outlineLevel="0" collapsed="false">
      <c r="A27" s="16" t="s">
        <v>76</v>
      </c>
      <c r="B27" s="16" t="s">
        <v>634</v>
      </c>
      <c r="C27" s="16" t="s">
        <v>29</v>
      </c>
    </row>
    <row r="28" customFormat="false" ht="15" hidden="false" customHeight="false" outlineLevel="0" collapsed="false">
      <c r="A28" s="16" t="s">
        <v>78</v>
      </c>
      <c r="B28" s="16" t="s">
        <v>635</v>
      </c>
      <c r="C28" s="16" t="s">
        <v>29</v>
      </c>
    </row>
    <row r="29" customFormat="false" ht="15" hidden="false" customHeight="false" outlineLevel="0" collapsed="false">
      <c r="A29" s="38"/>
      <c r="B29" s="38"/>
      <c r="C29" s="38"/>
    </row>
    <row r="30" customFormat="false" ht="15" hidden="false" customHeight="false" outlineLevel="0" collapsed="false">
      <c r="A30" s="38"/>
      <c r="B30" s="38"/>
      <c r="C30" s="38"/>
    </row>
    <row r="31" customFormat="false" ht="15" hidden="false" customHeight="false" outlineLevel="0" collapsed="false">
      <c r="A31" s="38"/>
      <c r="B31" s="38"/>
      <c r="C31" s="38"/>
    </row>
    <row r="32" customFormat="false" ht="15" hidden="false" customHeight="false" outlineLevel="0" collapsed="false">
      <c r="A32" s="38"/>
      <c r="B32" s="38"/>
      <c r="C32" s="38"/>
    </row>
    <row r="33" customFormat="false" ht="15" hidden="false" customHeight="false" outlineLevel="0" collapsed="false">
      <c r="A33" s="38"/>
      <c r="B33" s="38"/>
      <c r="C33" s="38"/>
    </row>
    <row r="34" customFormat="false" ht="15" hidden="false" customHeight="false" outlineLevel="0" collapsed="false">
      <c r="A34" s="38"/>
      <c r="B34" s="38"/>
      <c r="C34" s="38"/>
    </row>
    <row r="35" customFormat="false" ht="15" hidden="false" customHeight="false" outlineLevel="0" collapsed="false">
      <c r="A35" s="38"/>
      <c r="B35" s="38"/>
      <c r="C35" s="38"/>
    </row>
    <row r="36" customFormat="false" ht="15" hidden="false" customHeight="false" outlineLevel="0" collapsed="false">
      <c r="A36" s="38"/>
      <c r="B36" s="38"/>
      <c r="C36" s="38"/>
    </row>
    <row r="37" customFormat="false" ht="15" hidden="false" customHeight="false" outlineLevel="0" collapsed="false">
      <c r="A37" s="38"/>
      <c r="B37" s="38"/>
      <c r="C37" s="38"/>
    </row>
    <row r="38" customFormat="false" ht="15" hidden="false" customHeight="false" outlineLevel="0" collapsed="false">
      <c r="A38" s="38"/>
      <c r="B38" s="38"/>
      <c r="C38" s="38"/>
    </row>
    <row r="39" customFormat="false" ht="15" hidden="false" customHeight="false" outlineLevel="0" collapsed="false">
      <c r="A39" s="38"/>
      <c r="B39" s="38"/>
      <c r="C39" s="38"/>
    </row>
    <row r="40" customFormat="false" ht="15" hidden="false" customHeight="false" outlineLevel="0" collapsed="false">
      <c r="A40" s="38"/>
      <c r="B40" s="38"/>
      <c r="C40" s="38"/>
    </row>
    <row r="41" customFormat="false" ht="15" hidden="false" customHeight="false" outlineLevel="0" collapsed="false">
      <c r="A41" s="38"/>
      <c r="B41" s="38"/>
      <c r="C41" s="38"/>
    </row>
    <row r="42" customFormat="false" ht="15" hidden="false" customHeight="false" outlineLevel="0" collapsed="false">
      <c r="A42" s="38"/>
      <c r="B42" s="38"/>
      <c r="C42" s="38"/>
    </row>
    <row r="43" customFormat="false" ht="15" hidden="false" customHeight="false" outlineLevel="0" collapsed="false">
      <c r="A43" s="38"/>
      <c r="B43" s="38"/>
      <c r="C43" s="38"/>
    </row>
    <row r="44" customFormat="false" ht="15" hidden="false" customHeight="false" outlineLevel="0" collapsed="false">
      <c r="A44" s="38"/>
      <c r="B44" s="38"/>
      <c r="C44" s="38"/>
    </row>
    <row r="45" customFormat="false" ht="15" hidden="false" customHeight="false" outlineLevel="0" collapsed="false">
      <c r="A45" s="38"/>
      <c r="B45" s="38"/>
      <c r="C45" s="38"/>
    </row>
    <row r="46" customFormat="false" ht="15" hidden="false" customHeight="false" outlineLevel="0" collapsed="false">
      <c r="A46" s="38"/>
      <c r="B46" s="38"/>
      <c r="C46" s="38"/>
    </row>
    <row r="47" customFormat="false" ht="15" hidden="false" customHeight="false" outlineLevel="0" collapsed="false">
      <c r="A47" s="38"/>
      <c r="B47" s="38"/>
      <c r="C47" s="38"/>
    </row>
    <row r="48" customFormat="false" ht="15" hidden="false" customHeight="false" outlineLevel="0" collapsed="false">
      <c r="A48" s="38"/>
      <c r="B48" s="38"/>
      <c r="C48" s="38"/>
    </row>
    <row r="49" customFormat="false" ht="15" hidden="false" customHeight="false" outlineLevel="0" collapsed="false">
      <c r="A49" s="38"/>
      <c r="B49" s="38"/>
      <c r="C49" s="38"/>
    </row>
    <row r="50" customFormat="false" ht="15" hidden="false" customHeight="false" outlineLevel="0" collapsed="false">
      <c r="A50" s="38"/>
      <c r="B50" s="38"/>
      <c r="C50" s="38"/>
    </row>
    <row r="51" customFormat="false" ht="15" hidden="false" customHeight="false" outlineLevel="0" collapsed="false">
      <c r="A51" s="38"/>
      <c r="B51" s="38"/>
      <c r="C51" s="38"/>
    </row>
    <row r="52" customFormat="false" ht="15" hidden="false" customHeight="false" outlineLevel="0" collapsed="false">
      <c r="A52" s="38"/>
      <c r="B52" s="38"/>
      <c r="C52" s="38"/>
    </row>
    <row r="53" customFormat="false" ht="15" hidden="false" customHeight="false" outlineLevel="0" collapsed="false">
      <c r="A53" s="38"/>
      <c r="B53" s="38"/>
      <c r="C53" s="38"/>
    </row>
    <row r="54" customFormat="false" ht="15" hidden="false" customHeight="false" outlineLevel="0" collapsed="false">
      <c r="A54" s="38"/>
      <c r="B54" s="38"/>
      <c r="C54" s="38"/>
    </row>
    <row r="55" customFormat="false" ht="15" hidden="false" customHeight="false" outlineLevel="0" collapsed="false">
      <c r="A55" s="38"/>
      <c r="B55" s="38"/>
      <c r="C55" s="38"/>
    </row>
    <row r="56" customFormat="false" ht="15" hidden="false" customHeight="false" outlineLevel="0" collapsed="false">
      <c r="A56" s="38"/>
      <c r="B56" s="38"/>
      <c r="C56" s="38"/>
    </row>
    <row r="57" customFormat="false" ht="15" hidden="false" customHeight="false" outlineLevel="0" collapsed="false">
      <c r="A57" s="38"/>
      <c r="B57" s="38"/>
      <c r="C57" s="38"/>
    </row>
    <row r="58" customFormat="false" ht="15" hidden="false" customHeight="false" outlineLevel="0" collapsed="false">
      <c r="A58" s="38"/>
      <c r="B58" s="38"/>
      <c r="C58" s="38"/>
    </row>
    <row r="59" customFormat="false" ht="15" hidden="false" customHeight="false" outlineLevel="0" collapsed="false">
      <c r="A59" s="38"/>
      <c r="B59" s="38"/>
      <c r="C59" s="38"/>
    </row>
    <row r="60" customFormat="false" ht="15" hidden="false" customHeight="false" outlineLevel="0" collapsed="false">
      <c r="A60" s="38"/>
      <c r="B60" s="38"/>
      <c r="C60" s="38"/>
    </row>
    <row r="61" customFormat="false" ht="15" hidden="false" customHeight="false" outlineLevel="0" collapsed="false">
      <c r="A61" s="38"/>
      <c r="B61" s="38"/>
      <c r="C61" s="38"/>
    </row>
    <row r="62" customFormat="false" ht="15" hidden="false" customHeight="false" outlineLevel="0" collapsed="false">
      <c r="A62" s="38"/>
      <c r="B62" s="38"/>
      <c r="C62" s="38"/>
    </row>
    <row r="63" customFormat="false" ht="15" hidden="false" customHeight="false" outlineLevel="0" collapsed="false">
      <c r="A63" s="38"/>
      <c r="B63" s="38"/>
      <c r="C63" s="38"/>
    </row>
    <row r="64" customFormat="false" ht="15" hidden="false" customHeight="false" outlineLevel="0" collapsed="false">
      <c r="A64" s="38"/>
      <c r="B64" s="38"/>
      <c r="C64" s="38"/>
    </row>
    <row r="65" customFormat="false" ht="15" hidden="false" customHeight="false" outlineLevel="0" collapsed="false">
      <c r="A65" s="38"/>
      <c r="B65" s="38"/>
      <c r="C65" s="38"/>
    </row>
    <row r="66" customFormat="false" ht="15" hidden="false" customHeight="false" outlineLevel="0" collapsed="false">
      <c r="A66" s="38"/>
      <c r="B66" s="38"/>
      <c r="C66" s="38"/>
    </row>
    <row r="67" customFormat="false" ht="15" hidden="false" customHeight="false" outlineLevel="0" collapsed="false">
      <c r="A67" s="38"/>
      <c r="B67" s="38"/>
      <c r="C67" s="38"/>
    </row>
    <row r="68" customFormat="false" ht="15" hidden="false" customHeight="false" outlineLevel="0" collapsed="false">
      <c r="A68" s="38"/>
      <c r="B68" s="38"/>
      <c r="C68" s="3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70"/>
    <col collapsed="false" customWidth="true" hidden="false" outlineLevel="0" max="4" min="4" style="0" width="26"/>
  </cols>
  <sheetData>
    <row r="1" customFormat="false" ht="19.7" hidden="false" customHeight="false" outlineLevel="0" collapsed="false">
      <c r="A1" s="23" t="s">
        <v>636</v>
      </c>
    </row>
    <row r="2" customFormat="false" ht="15" hidden="false" customHeight="false" outlineLevel="0" collapsed="false">
      <c r="A2" s="2" t="s">
        <v>637</v>
      </c>
    </row>
    <row r="4" customFormat="false" ht="27.75" hidden="false" customHeight="true" outlineLevel="0" collapsed="false">
      <c r="A4" s="14" t="s">
        <v>7</v>
      </c>
      <c r="B4" s="14" t="s">
        <v>638</v>
      </c>
      <c r="C4" s="14" t="s">
        <v>639</v>
      </c>
      <c r="D4" s="14" t="s">
        <v>640</v>
      </c>
    </row>
    <row r="5" customFormat="false" ht="35.05" hidden="false" customHeight="false" outlineLevel="0" collapsed="false">
      <c r="A5" s="64" t="n">
        <v>1</v>
      </c>
      <c r="B5" s="64" t="s">
        <v>641</v>
      </c>
      <c r="C5" s="64" t="s">
        <v>642</v>
      </c>
      <c r="D5" s="64" t="s">
        <v>643</v>
      </c>
    </row>
    <row r="6" customFormat="false" ht="23.85" hidden="false" customHeight="false" outlineLevel="0" collapsed="false">
      <c r="A6" s="64" t="n">
        <v>2</v>
      </c>
      <c r="B6" s="64" t="s">
        <v>644</v>
      </c>
      <c r="C6" s="64" t="s">
        <v>645</v>
      </c>
      <c r="D6" s="64" t="s">
        <v>646</v>
      </c>
    </row>
    <row r="7" customFormat="false" ht="23.85" hidden="false" customHeight="false" outlineLevel="0" collapsed="false">
      <c r="A7" s="64" t="n">
        <v>3</v>
      </c>
      <c r="B7" s="64" t="s">
        <v>647</v>
      </c>
      <c r="C7" s="64" t="s">
        <v>648</v>
      </c>
      <c r="D7" s="64" t="s">
        <v>649</v>
      </c>
    </row>
    <row r="8" customFormat="false" ht="23.85" hidden="false" customHeight="false" outlineLevel="0" collapsed="false">
      <c r="A8" s="64" t="n">
        <v>4</v>
      </c>
      <c r="B8" s="64" t="s">
        <v>650</v>
      </c>
      <c r="C8" s="64" t="s">
        <v>651</v>
      </c>
      <c r="D8" s="64" t="s">
        <v>652</v>
      </c>
    </row>
    <row r="9" customFormat="false" ht="23.85" hidden="false" customHeight="false" outlineLevel="0" collapsed="false">
      <c r="A9" s="64" t="n">
        <v>5</v>
      </c>
      <c r="B9" s="64" t="s">
        <v>653</v>
      </c>
      <c r="C9" s="64" t="s">
        <v>654</v>
      </c>
      <c r="D9" s="64" t="s">
        <v>649</v>
      </c>
    </row>
    <row r="10" customFormat="false" ht="23.85" hidden="false" customHeight="false" outlineLevel="0" collapsed="false">
      <c r="A10" s="64" t="n">
        <v>6</v>
      </c>
      <c r="B10" s="64" t="s">
        <v>655</v>
      </c>
      <c r="C10" s="64" t="s">
        <v>656</v>
      </c>
      <c r="D10" s="64" t="s">
        <v>649</v>
      </c>
    </row>
    <row r="11" customFormat="false" ht="23.85" hidden="false" customHeight="false" outlineLevel="0" collapsed="false">
      <c r="A11" s="64" t="n">
        <v>7</v>
      </c>
      <c r="B11" s="64" t="s">
        <v>657</v>
      </c>
      <c r="C11" s="64" t="s">
        <v>658</v>
      </c>
      <c r="D11" s="64" t="s">
        <v>649</v>
      </c>
    </row>
    <row r="12" customFormat="false" ht="23.85" hidden="false" customHeight="false" outlineLevel="0" collapsed="false">
      <c r="A12" s="64" t="n">
        <v>8</v>
      </c>
      <c r="B12" s="64" t="s">
        <v>659</v>
      </c>
      <c r="C12" s="64" t="s">
        <v>660</v>
      </c>
      <c r="D12" s="64" t="s">
        <v>661</v>
      </c>
    </row>
    <row r="13" customFormat="false" ht="23.85" hidden="false" customHeight="false" outlineLevel="0" collapsed="false">
      <c r="A13" s="64" t="n">
        <v>9</v>
      </c>
      <c r="B13" s="64" t="s">
        <v>662</v>
      </c>
      <c r="C13" s="64" t="s">
        <v>663</v>
      </c>
      <c r="D13" s="64" t="s">
        <v>664</v>
      </c>
    </row>
    <row r="14" customFormat="false" ht="15" hidden="false" customHeight="false" outlineLevel="0" collapsed="false">
      <c r="A14" s="64" t="n">
        <v>10</v>
      </c>
      <c r="B14" s="64" t="s">
        <v>665</v>
      </c>
      <c r="C14" s="64" t="s">
        <v>666</v>
      </c>
      <c r="D14" s="64" t="s">
        <v>667</v>
      </c>
    </row>
    <row r="16" customFormat="false" ht="15" hidden="false" customHeight="false" outlineLevel="0" collapsed="false">
      <c r="B16" s="2" t="s">
        <v>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23" t="s">
        <v>669</v>
      </c>
    </row>
    <row r="2" customFormat="false" ht="15" hidden="false" customHeight="false" outlineLevel="0" collapsed="false">
      <c r="A2" s="2" t="s">
        <v>670</v>
      </c>
    </row>
    <row r="4" customFormat="false" ht="39.75" hidden="false" customHeight="true" outlineLevel="0" collapsed="false">
      <c r="A4" s="65" t="s">
        <v>671</v>
      </c>
    </row>
    <row r="5" customFormat="false" ht="39.75" hidden="false" customHeight="true" outlineLevel="0" collapsed="false">
      <c r="A5" s="65" t="s">
        <v>672</v>
      </c>
    </row>
    <row r="6" customFormat="false" ht="39.75" hidden="false" customHeight="true" outlineLevel="0" collapsed="false">
      <c r="A6" s="65" t="s">
        <v>673</v>
      </c>
    </row>
    <row r="7" customFormat="false" ht="39.75" hidden="false" customHeight="true" outlineLevel="0" collapsed="false">
      <c r="A7" s="65" t="s">
        <v>674</v>
      </c>
    </row>
    <row r="8" customFormat="false" ht="39.75" hidden="false" customHeight="true" outlineLevel="0" collapsed="false">
      <c r="A8" s="65" t="s">
        <v>675</v>
      </c>
    </row>
    <row r="9" customFormat="false" ht="39.75" hidden="false" customHeight="true" outlineLevel="0" collapsed="false">
      <c r="A9" s="65" t="s">
        <v>676</v>
      </c>
    </row>
    <row r="10" customFormat="false" ht="39.75" hidden="false" customHeight="true" outlineLevel="0" collapsed="false">
      <c r="A10" s="65" t="s">
        <v>677</v>
      </c>
    </row>
    <row r="11" customFormat="false" ht="39.75" hidden="false" customHeight="true" outlineLevel="0" collapsed="false">
      <c r="A11" s="65" t="s">
        <v>678</v>
      </c>
    </row>
    <row r="12" customFormat="false" ht="39.75" hidden="false" customHeight="true" outlineLevel="0" collapsed="false">
      <c r="A12" s="65" t="s">
        <v>679</v>
      </c>
    </row>
    <row r="13" customFormat="false" ht="39.75" hidden="false" customHeight="true" outlineLevel="0" collapsed="false">
      <c r="A13" s="65" t="s">
        <v>680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2026-10-08T16:27:11Z</dcterms:created>
  <dc:creator>openpyxl</dc:creator>
  <dc:description/>
  <dc:language>en-US</dc:language>
  <cp:lastModifiedBy/>
  <dcterms:modified xsi:type="dcterms:W3CDTF">2026-10-08T16:27:17Z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