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ỒN KHO" sheetId="2" state="visible" r:id="rId4"/>
    <sheet name="XUẤT KHO" sheetId="3" state="visible" r:id="rId5"/>
    <sheet name="NHẬP KHO" sheetId="4" state="visible" r:id="rId6"/>
    <sheet name="THEO THÁNG" sheetId="5" state="visible" r:id="rId7"/>
    <sheet name="TỒN ĐẦU KỲ" sheetId="6" state="visible" r:id="rId8"/>
    <sheet name="DANH MỤC" sheetId="7" state="visible" r:id="rId9"/>
    <sheet name="KIỂM TRA DỮ LIỆU" sheetId="8" state="visible" r:id="rId10"/>
    <sheet name="HƯỚNG DẪN" sheetId="9" state="visible" r:id="rId11"/>
  </sheets>
  <definedNames>
    <definedName function="false" hidden="true" localSheetId="1" name="_xlnm._FilterDatabase" vbProcedure="false">'TỒN KHO'!$A$10:$P$56</definedName>
    <definedName function="false" hidden="true" localSheetId="2" name="_xlnm._FilterDatabase" vbProcedure="false">'XUẤT KHO'!$A$4:$K$1004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<sst xmlns="http://schemas.openxmlformats.org/spreadsheetml/2006/main" count="1836" uniqueCount="663">
  <si>
    <t xml:space="preserve">THEO DÕI KHO SƠN</t>
  </si>
  <si>
    <t xml:space="preserve">TỔNG TỒN (thùng/lon/bao)</t>
  </si>
  <si>
    <t xml:space="preserve">GIÁ TRỊ TỒN (theo giá KN)</t>
  </si>
  <si>
    <t xml:space="preserve">MÃ HẾT HÀNG</t>
  </si>
  <si>
    <t xml:space="preserve">MÃ SẮP HẾT</t>
  </si>
  <si>
    <t xml:space="preserve">MÃ ÂM KHO (cần kiểm)</t>
  </si>
  <si>
    <t xml:space="preserve">▶ CẦN ĐẶT HÀNG NGAY (hết hàng / sắp hết – xếp theo mức khẩn cấp)</t>
  </si>
  <si>
    <t xml:space="preserve">#</t>
  </si>
  <si>
    <t xml:space="preserve">Mã SP</t>
  </si>
  <si>
    <t xml:space="preserve">Dung tích</t>
  </si>
  <si>
    <t xml:space="preserve">Tên sản phẩm</t>
  </si>
  <si>
    <t xml:space="preserve">Tồn</t>
  </si>
  <si>
    <t xml:space="preserve">Bán TB/ngày</t>
  </si>
  <si>
    <t xml:space="preserve">Đủ bán (ngày)</t>
  </si>
  <si>
    <t xml:space="preserve">Gợi ý đặt thêm</t>
  </si>
  <si>
    <t xml:space="preserve">Trạng thái</t>
  </si>
  <si>
    <t xml:space="preserve">(hỗ trợ)</t>
  </si>
  <si>
    <t xml:space="preserve">▶ BÁN CHẠY NHẤT (theo số ngày tính tốc độ bán ở sheet TỒN KHO)</t>
  </si>
  <si>
    <t xml:space="preserve">Đã bán</t>
  </si>
  <si>
    <t xml:space="preserve">Tồn hiện tại</t>
  </si>
  <si>
    <t xml:space="preserve">▶ TỒN THEO NHÓM HÀNG</t>
  </si>
  <si>
    <t xml:space="preserve">Nhóm</t>
  </si>
  <si>
    <t xml:space="preserve">Tồn (số lượng)</t>
  </si>
  <si>
    <t xml:space="preserve">Giá trị tồn (VNĐ)</t>
  </si>
  <si>
    <t xml:space="preserve">Số mã hết / sắp hết</t>
  </si>
  <si>
    <t xml:space="preserve">Sơn lót</t>
  </si>
  <si>
    <t xml:space="preserve">Nội thất</t>
  </si>
  <si>
    <t xml:space="preserve">Ngoại thất</t>
  </si>
  <si>
    <t xml:space="preserve">Chống thấm</t>
  </si>
  <si>
    <t xml:space="preserve">Bột bả</t>
  </si>
  <si>
    <t xml:space="preserve">TỒN KHO – NHẬP / XUẤT / TỒN</t>
  </si>
  <si>
    <t xml:space="preserve">Tồn hiện tại = Tồn đầu kỳ + Nhập − Xuất (chỉ tính phiếu SAU ngày chốt tồn đầu kỳ). Các ô vàng là thông số chị có thể đổi.</t>
  </si>
  <si>
    <t xml:space="preserve">Ngày chốt báo cáo</t>
  </si>
  <si>
    <t xml:space="preserve">Tồn đầu kỳ tính đến hết ngày</t>
  </si>
  <si>
    <t xml:space="preserve">Tính tốc độ bán theo (số ngày gần nhất)</t>
  </si>
  <si>
    <t xml:space="preserve">Cảnh báo SẮP HẾT khi đủ bán dưới (ngày)</t>
  </si>
  <si>
    <t xml:space="preserve">Gợi ý đặt hàng để đủ bán (ngày)</t>
  </si>
  <si>
    <t xml:space="preserve">STT</t>
  </si>
  <si>
    <t xml:space="preserve">Giá KN
(VNĐ)</t>
  </si>
  <si>
    <t xml:space="preserve">Tồn đầu kỳ</t>
  </si>
  <si>
    <t xml:space="preserve">Nhập</t>
  </si>
  <si>
    <t xml:space="preserve">Xuất</t>
  </si>
  <si>
    <t xml:space="preserve">TỒN HIỆN TẠI</t>
  </si>
  <si>
    <t xml:space="preserve">Xuất trong
kỳ tính
tốc độ</t>
  </si>
  <si>
    <t xml:space="preserve">Bán TB
/ ngày</t>
  </si>
  <si>
    <t xml:space="preserve">Đủ bán
(ngày)</t>
  </si>
  <si>
    <t xml:space="preserve">Gợi ý
đặt thêm</t>
  </si>
  <si>
    <t xml:space="preserve">Giá trị tồn
(theo giá KN)</t>
  </si>
  <si>
    <t xml:space="preserve">TRẠNG THÁI</t>
  </si>
  <si>
    <t xml:space="preserve">(hỗ trợ
đặt hàng)</t>
  </si>
  <si>
    <t xml:space="preserve">(hỗ trợ
bán chạy)</t>
  </si>
  <si>
    <t xml:space="preserve">PI04</t>
  </si>
  <si>
    <t xml:space="preserve">Sơn lót nội thất kháng kiềm cao cấp Imperia PI04</t>
  </si>
  <si>
    <t xml:space="preserve">5L</t>
  </si>
  <si>
    <t xml:space="preserve">18L</t>
  </si>
  <si>
    <t xml:space="preserve">PE02</t>
  </si>
  <si>
    <t xml:space="preserve">Sơn lót ngoại thất kháng kiềm cao cấp Imperia PE02</t>
  </si>
  <si>
    <t xml:space="preserve">SPI03</t>
  </si>
  <si>
    <t xml:space="preserve">Sơn lót nội thất kháng kiềm siêu cao cấp SPI03</t>
  </si>
  <si>
    <t xml:space="preserve">SPE01</t>
  </si>
  <si>
    <t xml:space="preserve">Sơn lót ngoại thất kháng kiềm siêu cao cấp SPE01</t>
  </si>
  <si>
    <t xml:space="preserve">IL5</t>
  </si>
  <si>
    <t xml:space="preserve">Sơn lót nội thất kháng kiềm Silver IL5</t>
  </si>
  <si>
    <t xml:space="preserve">EL5</t>
  </si>
  <si>
    <t xml:space="preserve">Sơn lót ngoại thất kháng kiềm Silver EL5</t>
  </si>
  <si>
    <t xml:space="preserve">IEW</t>
  </si>
  <si>
    <t xml:space="preserve">Sơn nội thất siêu trắng Imperia IEW</t>
  </si>
  <si>
    <t xml:space="preserve">ISI</t>
  </si>
  <si>
    <t xml:space="preserve">Sơn nội thất bền màu Silver ISI</t>
  </si>
  <si>
    <t xml:space="preserve">ISG06</t>
  </si>
  <si>
    <t xml:space="preserve">Sơn nội thất cao cấp bóng mờ Imperia ISG06</t>
  </si>
  <si>
    <t xml:space="preserve">IG05</t>
  </si>
  <si>
    <t xml:space="preserve">Sơn nội thất siêu bóng cao cấp Imperia IG05</t>
  </si>
  <si>
    <t xml:space="preserve">I9</t>
  </si>
  <si>
    <t xml:space="preserve">Sơn nội thất siêu bóng cao cấp Saphir I9</t>
  </si>
  <si>
    <t xml:space="preserve">IDC</t>
  </si>
  <si>
    <t xml:space="preserve">Sơn nội thất kinh tế Deco IDC</t>
  </si>
  <si>
    <t xml:space="preserve">ICL</t>
  </si>
  <si>
    <t xml:space="preserve">Sơn phủ nội thất bóng cao cấp ICL</t>
  </si>
  <si>
    <t xml:space="preserve">1L</t>
  </si>
  <si>
    <t xml:space="preserve">ESI</t>
  </si>
  <si>
    <t xml:space="preserve">Sơn ngoại thất bền màu Silver ESI</t>
  </si>
  <si>
    <t xml:space="preserve">ESG10</t>
  </si>
  <si>
    <t xml:space="preserve">Sơn ngoại thất cao cấp bóng mờ Imperia ESG10</t>
  </si>
  <si>
    <t xml:space="preserve">EG09</t>
  </si>
  <si>
    <t xml:space="preserve">Sơn ngoại thất siêu bóng cao cấp Imperia EG09</t>
  </si>
  <si>
    <t xml:space="preserve">E9</t>
  </si>
  <si>
    <t xml:space="preserve">Sơn ngoại thất siêu bóng cao cấp Saphir E9</t>
  </si>
  <si>
    <t xml:space="preserve">CT12</t>
  </si>
  <si>
    <t xml:space="preserve">Sơn chống thấm đa năng Imperia CT12</t>
  </si>
  <si>
    <t xml:space="preserve">ETM-309</t>
  </si>
  <si>
    <t xml:space="preserve">Sơn chống thấm màu ETM 309 (ghi đậm)</t>
  </si>
  <si>
    <t xml:space="preserve">ETM-99</t>
  </si>
  <si>
    <t xml:space="preserve">Sơn chống thấm ETM 99 (trắng)</t>
  </si>
  <si>
    <t xml:space="preserve">ETM-303</t>
  </si>
  <si>
    <t xml:space="preserve">Sơn chống thấm màu ETM 303 (ghi nhạt)</t>
  </si>
  <si>
    <t xml:space="preserve">CTS</t>
  </si>
  <si>
    <t xml:space="preserve">Sơn chống thấm siêu co giãn CTS-01</t>
  </si>
  <si>
    <t xml:space="preserve">BA-NOI</t>
  </si>
  <si>
    <t xml:space="preserve">Bột bả nội thất Imperia IP15 (40kg)</t>
  </si>
  <si>
    <t xml:space="preserve">Bao</t>
  </si>
  <si>
    <t xml:space="preserve">BA-NGOAI</t>
  </si>
  <si>
    <t xml:space="preserve">Bột bả ngoại thất Imperia EP14 (40kg)</t>
  </si>
  <si>
    <t xml:space="preserve">TỔNG</t>
  </si>
  <si>
    <t xml:space="preserve">Giá trị tồn tính theo giá khuyến nghị 01/4/2026 (không phải giá vốn). Tồn mới chỉ trừ phiếu xuất sau ngày chốt; chưa có phiếu nhập → nhập hàng thì ghi ở sheet NHẬP KHO.</t>
  </si>
  <si>
    <t xml:space="preserve">NHẬT KÝ XUẤT KHO</t>
  </si>
  <si>
    <t xml:space="preserve">Mỗi dòng = một mặt hàng bán ra. Thêm dòng mới ngay dưới dòng cuối. Cột xám (Tháng, Thành tiền) tự tính.</t>
  </si>
  <si>
    <t xml:space="preserve">Ngày</t>
  </si>
  <si>
    <t xml:space="preserve">Tháng</t>
  </si>
  <si>
    <t xml:space="preserve">Số lượng</t>
  </si>
  <si>
    <t xml:space="preserve">Đơn giá (VNĐ)</t>
  </si>
  <si>
    <t xml:space="preserve">Hệ số
(màu * / **)</t>
  </si>
  <si>
    <t xml:space="preserve">Thành tiền (VNĐ)</t>
  </si>
  <si>
    <t xml:space="preserve">Mã màu / Ghi chú</t>
  </si>
  <si>
    <t xml:space="preserve">Nguồn (sheet gốc)</t>
  </si>
  <si>
    <t xml:space="preserve">Kiểm tra / lưu ý</t>
  </si>
  <si>
    <t xml:space="preserve">332</t>
  </si>
  <si>
    <t xml:space="preserve">XK T6 d.98</t>
  </si>
  <si>
    <t xml:space="preserve">134</t>
  </si>
  <si>
    <t xml:space="preserve">XK T6 d.99</t>
  </si>
  <si>
    <t xml:space="preserve">trắng trần</t>
  </si>
  <si>
    <t xml:space="preserve">XK T6 d.100</t>
  </si>
  <si>
    <t xml:space="preserve">0.16</t>
  </si>
  <si>
    <t xml:space="preserve">XK T6 d.101</t>
  </si>
  <si>
    <t xml:space="preserve">0.67</t>
  </si>
  <si>
    <t xml:space="preserve">XK T6 d.102</t>
  </si>
  <si>
    <t xml:space="preserve">209-b3 (**)</t>
  </si>
  <si>
    <t xml:space="preserve">XK T6 d.103</t>
  </si>
  <si>
    <t xml:space="preserve">XK T6 d.111</t>
  </si>
  <si>
    <t xml:space="preserve">XK T6 d.112</t>
  </si>
  <si>
    <t xml:space="preserve">XK T6 d.113</t>
  </si>
  <si>
    <t xml:space="preserve">360</t>
  </si>
  <si>
    <t xml:space="preserve">XK T6 d.134</t>
  </si>
  <si>
    <t xml:space="preserve">XK T6 d.135</t>
  </si>
  <si>
    <t xml:space="preserve">069B2 (*)</t>
  </si>
  <si>
    <t xml:space="preserve">XK T6 d.136</t>
  </si>
  <si>
    <t xml:space="preserve">T Sứ</t>
  </si>
  <si>
    <t xml:space="preserve">XK T6 d.137</t>
  </si>
  <si>
    <t xml:space="preserve">XK T6 d.75</t>
  </si>
  <si>
    <t xml:space="preserve">XK T6 d.76</t>
  </si>
  <si>
    <t xml:space="preserve">XK T6 d.77</t>
  </si>
  <si>
    <t xml:space="preserve">333</t>
  </si>
  <si>
    <t xml:space="preserve">XK T6 d.78</t>
  </si>
  <si>
    <t xml:space="preserve">B1</t>
  </si>
  <si>
    <t xml:space="preserve">XK T6 d.79</t>
  </si>
  <si>
    <t xml:space="preserve">343</t>
  </si>
  <si>
    <t xml:space="preserve">XK T6 d.80</t>
  </si>
  <si>
    <t xml:space="preserve">069- B2</t>
  </si>
  <si>
    <t xml:space="preserve">XK T6 d.81</t>
  </si>
  <si>
    <t xml:space="preserve">350</t>
  </si>
  <si>
    <t xml:space="preserve">XK T6 d.82</t>
  </si>
  <si>
    <t xml:space="preserve">216-B4 (*)</t>
  </si>
  <si>
    <t xml:space="preserve">XK T6 d.83</t>
  </si>
  <si>
    <t xml:space="preserve">XK T6 d.114</t>
  </si>
  <si>
    <t xml:space="preserve">XK T6 d.138</t>
  </si>
  <si>
    <t xml:space="preserve">XK T6 d.84</t>
  </si>
  <si>
    <t xml:space="preserve">XK T6 d.85</t>
  </si>
  <si>
    <t xml:space="preserve">350-b1</t>
  </si>
  <si>
    <t xml:space="preserve">XK T6 d.86</t>
  </si>
  <si>
    <t xml:space="preserve">309</t>
  </si>
  <si>
    <t xml:space="preserve">XK T6 d.115</t>
  </si>
  <si>
    <t xml:space="preserve">XK T6 d.104</t>
  </si>
  <si>
    <t xml:space="preserve">XK T6 d.105</t>
  </si>
  <si>
    <t xml:space="preserve">XK T6 d.116</t>
  </si>
  <si>
    <t xml:space="preserve">XK T6 d.43</t>
  </si>
  <si>
    <t xml:space="preserve">XK T6 d.44</t>
  </si>
  <si>
    <t xml:space="preserve">XK T6 d.45</t>
  </si>
  <si>
    <t xml:space="preserve">XK T6 d.46</t>
  </si>
  <si>
    <t xml:space="preserve">T.sứ</t>
  </si>
  <si>
    <t xml:space="preserve">XK T6 d.47</t>
  </si>
  <si>
    <t xml:space="preserve">XK T6 d.48</t>
  </si>
  <si>
    <t xml:space="preserve">XK T6 d.49</t>
  </si>
  <si>
    <t xml:space="preserve">T SỨ</t>
  </si>
  <si>
    <t xml:space="preserve">XK T6 d.50</t>
  </si>
  <si>
    <t xml:space="preserve">XK T6 d.87</t>
  </si>
  <si>
    <t xml:space="preserve">XK T6 d.88</t>
  </si>
  <si>
    <t xml:space="preserve">243</t>
  </si>
  <si>
    <t xml:space="preserve">XK T6 d.106</t>
  </si>
  <si>
    <t xml:space="preserve">119</t>
  </si>
  <si>
    <t xml:space="preserve">XK T6 d.107</t>
  </si>
  <si>
    <t xml:space="preserve">XK T6 d.89</t>
  </si>
  <si>
    <t xml:space="preserve">XK T6 d.117</t>
  </si>
  <si>
    <t xml:space="preserve">BASE</t>
  </si>
  <si>
    <t xml:space="preserve">XK T6 d.118</t>
  </si>
  <si>
    <t xml:space="preserve">XK T6 d.119</t>
  </si>
  <si>
    <t xml:space="preserve">338</t>
  </si>
  <si>
    <t xml:space="preserve">XK T6 d.120</t>
  </si>
  <si>
    <t xml:space="preserve">128-4 (**)</t>
  </si>
  <si>
    <t xml:space="preserve">XK T6 d.121</t>
  </si>
  <si>
    <t xml:space="preserve">Trắng sứ</t>
  </si>
  <si>
    <t xml:space="preserve">XK T6 d.122</t>
  </si>
  <si>
    <t xml:space="preserve">XK T6 d.123</t>
  </si>
  <si>
    <t xml:space="preserve">XK T6 d.124</t>
  </si>
  <si>
    <t xml:space="preserve">XK T6 d.51</t>
  </si>
  <si>
    <t xml:space="preserve">XK T6 d.52</t>
  </si>
  <si>
    <t xml:space="preserve">ký hiệu PE02 ≠ tên hàng (PI04)</t>
  </si>
  <si>
    <t xml:space="preserve">XK T6 d.53</t>
  </si>
  <si>
    <t xml:space="preserve">XK T6 d.54</t>
  </si>
  <si>
    <t xml:space="preserve">XK T6 d.55</t>
  </si>
  <si>
    <t xml:space="preserve">359-B3 (**)</t>
  </si>
  <si>
    <t xml:space="preserve">XK T6 d.56</t>
  </si>
  <si>
    <t xml:space="preserve">XK T6 d.57</t>
  </si>
  <si>
    <t xml:space="preserve">XK T6 d.58</t>
  </si>
  <si>
    <t xml:space="preserve">1286</t>
  </si>
  <si>
    <t xml:space="preserve">XK T6 d.125</t>
  </si>
  <si>
    <t xml:space="preserve">XK T6 d.126</t>
  </si>
  <si>
    <t xml:space="preserve">XK T6 d.7</t>
  </si>
  <si>
    <t xml:space="preserve">AP169-6 (**)</t>
  </si>
  <si>
    <t xml:space="preserve">XK T6 d.8</t>
  </si>
  <si>
    <t xml:space="preserve">AP32-5</t>
  </si>
  <si>
    <t xml:space="preserve">XK T6 d.9</t>
  </si>
  <si>
    <t xml:space="preserve">AP100-1</t>
  </si>
  <si>
    <t xml:space="preserve">XK T6 d.10</t>
  </si>
  <si>
    <t xml:space="preserve">XK T6 d.14</t>
  </si>
  <si>
    <t xml:space="preserve">Nghi trùng với dòng 7 (sheet XK T6)</t>
  </si>
  <si>
    <t xml:space="preserve">XK T6 d.15</t>
  </si>
  <si>
    <t xml:space="preserve">Nghi trùng với dòng 8 (sheet XK T6)</t>
  </si>
  <si>
    <t xml:space="preserve">XK T6 d.16</t>
  </si>
  <si>
    <t xml:space="preserve">Nghi trùng với dòng 9 (sheet XK T6)</t>
  </si>
  <si>
    <t xml:space="preserve">XK T6 d.17</t>
  </si>
  <si>
    <t xml:space="preserve">Nghi trùng với dòng 10 (sheet XK T6)</t>
  </si>
  <si>
    <t xml:space="preserve">XK T6 d.73</t>
  </si>
  <si>
    <t xml:space="preserve">XK T6 d.66</t>
  </si>
  <si>
    <t xml:space="preserve">XK T6 d.67</t>
  </si>
  <si>
    <t xml:space="preserve">357</t>
  </si>
  <si>
    <t xml:space="preserve">XK T6 d.68</t>
  </si>
  <si>
    <t xml:space="preserve">b1</t>
  </si>
  <si>
    <t xml:space="preserve">XK T6 d.69</t>
  </si>
  <si>
    <t xml:space="preserve">XK T6 d.127</t>
  </si>
  <si>
    <t xml:space="preserve">XK T6 d.128</t>
  </si>
  <si>
    <t xml:space="preserve">XK T6 d.129</t>
  </si>
  <si>
    <t xml:space="preserve">XK T6 d.28</t>
  </si>
  <si>
    <t xml:space="preserve">ký hiệu EG09 ≠ tên hàng (ETM-309)</t>
  </si>
  <si>
    <t xml:space="preserve">Lót ngoài </t>
  </si>
  <si>
    <t xml:space="preserve">XK T6 d.29</t>
  </si>
  <si>
    <t xml:space="preserve">XK T6 d.70</t>
  </si>
  <si>
    <t xml:space="preserve">XK T6 d.71</t>
  </si>
  <si>
    <t xml:space="preserve">XK T6 d.72</t>
  </si>
  <si>
    <t xml:space="preserve">XK T6 d.130</t>
  </si>
  <si>
    <t xml:space="preserve">99</t>
  </si>
  <si>
    <t xml:space="preserve">XK T6 d.30</t>
  </si>
  <si>
    <t xml:space="preserve">XK T6 d.31</t>
  </si>
  <si>
    <t xml:space="preserve">293-B4 (**)</t>
  </si>
  <si>
    <t xml:space="preserve">XK T6 d.32</t>
  </si>
  <si>
    <t xml:space="preserve">XK T6 d.59</t>
  </si>
  <si>
    <t xml:space="preserve">XK T6 d.60</t>
  </si>
  <si>
    <t xml:space="preserve">359-B3 (*)</t>
  </si>
  <si>
    <t xml:space="preserve">XK T6 d.61</t>
  </si>
  <si>
    <t xml:space="preserve">XK T6 d.131</t>
  </si>
  <si>
    <t xml:space="preserve">XK T6 d.132</t>
  </si>
  <si>
    <t xml:space="preserve">XK T6 d.133</t>
  </si>
  <si>
    <t xml:space="preserve">XK T6 d.62</t>
  </si>
  <si>
    <t xml:space="preserve">XK T6 d.63</t>
  </si>
  <si>
    <t xml:space="preserve">XK T6 d.74</t>
  </si>
  <si>
    <t xml:space="preserve">XK T6 d.90</t>
  </si>
  <si>
    <t xml:space="preserve">74</t>
  </si>
  <si>
    <t xml:space="preserve">XK T6 d.91</t>
  </si>
  <si>
    <t xml:space="preserve">XK T6 d.92</t>
  </si>
  <si>
    <t xml:space="preserve">XK T6 d.93</t>
  </si>
  <si>
    <t xml:space="preserve">XK T6 d.94</t>
  </si>
  <si>
    <t xml:space="preserve">340</t>
  </si>
  <si>
    <t xml:space="preserve">XK T6 d.95</t>
  </si>
  <si>
    <t xml:space="preserve">310 B2</t>
  </si>
  <si>
    <t xml:space="preserve">XK T6 d.96</t>
  </si>
  <si>
    <t xml:space="preserve">XK T6 d.139</t>
  </si>
  <si>
    <t xml:space="preserve">XK T6 d.140</t>
  </si>
  <si>
    <t xml:space="preserve">Lót trong</t>
  </si>
  <si>
    <t xml:space="preserve">XK T6 d.18</t>
  </si>
  <si>
    <t xml:space="preserve">Màu trong </t>
  </si>
  <si>
    <t xml:space="preserve">XK T6 d.19</t>
  </si>
  <si>
    <t xml:space="preserve">XK T6 d.20</t>
  </si>
  <si>
    <t xml:space="preserve">Màu ngoài</t>
  </si>
  <si>
    <t xml:space="preserve">XK T6 d.21</t>
  </si>
  <si>
    <t xml:space="preserve">Trắng trần </t>
  </si>
  <si>
    <t xml:space="preserve">XK T6 d.22</t>
  </si>
  <si>
    <t xml:space="preserve">ký hiệu IEW ≠ tên hàng (ISG06)</t>
  </si>
  <si>
    <t xml:space="preserve">Chỉ</t>
  </si>
  <si>
    <t xml:space="preserve">XK T6 d.23</t>
  </si>
  <si>
    <t xml:space="preserve">Lót ngoại</t>
  </si>
  <si>
    <t xml:space="preserve">XK T6 d.41</t>
  </si>
  <si>
    <t xml:space="preserve">Màu ngoại</t>
  </si>
  <si>
    <t xml:space="preserve">XK T6 d.42</t>
  </si>
  <si>
    <t xml:space="preserve">XK T6 d.148</t>
  </si>
  <si>
    <t xml:space="preserve">XK T6 d.11</t>
  </si>
  <si>
    <t xml:space="preserve">XK T6 d.64</t>
  </si>
  <si>
    <t xml:space="preserve">XK T6 d.97</t>
  </si>
  <si>
    <t xml:space="preserve">XK T6 d.12</t>
  </si>
  <si>
    <t xml:space="preserve">XK T6 d.24</t>
  </si>
  <si>
    <t xml:space="preserve">XK T6 d.25</t>
  </si>
  <si>
    <t xml:space="preserve">XK T6 d.26</t>
  </si>
  <si>
    <t xml:space="preserve">XK T6 d.27</t>
  </si>
  <si>
    <t xml:space="preserve">XK T6 d.13</t>
  </si>
  <si>
    <t xml:space="preserve">XK T6 d.33</t>
  </si>
  <si>
    <t xml:space="preserve">XK T6 d.34</t>
  </si>
  <si>
    <t xml:space="preserve">XK T6 d.35</t>
  </si>
  <si>
    <t xml:space="preserve">XK T6 d.36</t>
  </si>
  <si>
    <t xml:space="preserve">XK T6 d.37</t>
  </si>
  <si>
    <t xml:space="preserve">XK T6 d.38</t>
  </si>
  <si>
    <t xml:space="preserve">XK T6 d.39</t>
  </si>
  <si>
    <t xml:space="preserve">XK T6 d.40</t>
  </si>
  <si>
    <t xml:space="preserve">289</t>
  </si>
  <si>
    <t xml:space="preserve">XK T6 d.65</t>
  </si>
  <si>
    <t xml:space="preserve">LÓT NỘI</t>
  </si>
  <si>
    <t xml:space="preserve">XK T6 d.108</t>
  </si>
  <si>
    <t xml:space="preserve">MÀU TRONG</t>
  </si>
  <si>
    <t xml:space="preserve">XK T6 d.109</t>
  </si>
  <si>
    <t xml:space="preserve">THẤM</t>
  </si>
  <si>
    <t xml:space="preserve">XK T6 d.110</t>
  </si>
  <si>
    <t xml:space="preserve">XK T6 d.6</t>
  </si>
  <si>
    <t xml:space="preserve">XK T6 d.141</t>
  </si>
  <si>
    <t xml:space="preserve">XK T6 d.142</t>
  </si>
  <si>
    <t xml:space="preserve">XK T6 d.143</t>
  </si>
  <si>
    <t xml:space="preserve">XK T6 d.144</t>
  </si>
  <si>
    <t xml:space="preserve">69</t>
  </si>
  <si>
    <t xml:space="preserve">XK T6 d.145</t>
  </si>
  <si>
    <t xml:space="preserve">93</t>
  </si>
  <si>
    <t xml:space="preserve">XK T6 d.146</t>
  </si>
  <si>
    <t xml:space="preserve">XK T6 d.147</t>
  </si>
  <si>
    <t xml:space="preserve">35 (*)</t>
  </si>
  <si>
    <t xml:space="preserve">XK T7 d.6</t>
  </si>
  <si>
    <t xml:space="preserve">XK T7 d.64</t>
  </si>
  <si>
    <t xml:space="preserve">XK T7 d.63</t>
  </si>
  <si>
    <t xml:space="preserve">XK T7 d.65</t>
  </si>
  <si>
    <t xml:space="preserve">XK T7 d.66</t>
  </si>
  <si>
    <t xml:space="preserve">138</t>
  </si>
  <si>
    <t xml:space="preserve">XK T7 d.7</t>
  </si>
  <si>
    <t xml:space="preserve">XK T7 d.8</t>
  </si>
  <si>
    <t xml:space="preserve">XK T7 d.9</t>
  </si>
  <si>
    <t xml:space="preserve">Lót Trong </t>
  </si>
  <si>
    <t xml:space="preserve">XK T7 d.11</t>
  </si>
  <si>
    <t xml:space="preserve">Màu Trong </t>
  </si>
  <si>
    <t xml:space="preserve">XK T7 d.12</t>
  </si>
  <si>
    <t xml:space="preserve">XK T7 d.13</t>
  </si>
  <si>
    <t xml:space="preserve">Màu ngoài </t>
  </si>
  <si>
    <t xml:space="preserve">XK T7 d.14</t>
  </si>
  <si>
    <t xml:space="preserve">XK T7 d.67</t>
  </si>
  <si>
    <t xml:space="preserve">XK T7 d.68</t>
  </si>
  <si>
    <t xml:space="preserve">Trắng Sứ </t>
  </si>
  <si>
    <t xml:space="preserve">XK T7 d.69</t>
  </si>
  <si>
    <t xml:space="preserve">XK T7 d.70</t>
  </si>
  <si>
    <t xml:space="preserve">XK T7 d.71</t>
  </si>
  <si>
    <t xml:space="preserve">XK T7 d.72</t>
  </si>
  <si>
    <t xml:space="preserve">XK T7 d.10</t>
  </si>
  <si>
    <t xml:space="preserve">XK T7 d.15</t>
  </si>
  <si>
    <t xml:space="preserve">XK T7 d.44</t>
  </si>
  <si>
    <t xml:space="preserve">Lót Trong</t>
  </si>
  <si>
    <t xml:space="preserve">XK T7 d.28</t>
  </si>
  <si>
    <t xml:space="preserve">Lót Ngoái </t>
  </si>
  <si>
    <t xml:space="preserve">XK T7 d.29</t>
  </si>
  <si>
    <t xml:space="preserve">Màu Ngoài </t>
  </si>
  <si>
    <t xml:space="preserve">XK T7 d.30</t>
  </si>
  <si>
    <t xml:space="preserve">XK T7 d.31</t>
  </si>
  <si>
    <t xml:space="preserve">Chống Thấm </t>
  </si>
  <si>
    <t xml:space="preserve">XK T7 d.32</t>
  </si>
  <si>
    <t xml:space="preserve">r</t>
  </si>
  <si>
    <t xml:space="preserve">XK T7 d.16</t>
  </si>
  <si>
    <t xml:space="preserve">XK T7 d.17</t>
  </si>
  <si>
    <t xml:space="preserve">XK T7 d.38</t>
  </si>
  <si>
    <t xml:space="preserve">XK T7 d.39</t>
  </si>
  <si>
    <t xml:space="preserve">XK T7 d.40</t>
  </si>
  <si>
    <t xml:space="preserve">XK T7 d.41</t>
  </si>
  <si>
    <t xml:space="preserve">XK T7 d.42</t>
  </si>
  <si>
    <t xml:space="preserve">XK T7 d.43</t>
  </si>
  <si>
    <t xml:space="preserve">B3</t>
  </si>
  <si>
    <t xml:space="preserve">XK T7 d.73</t>
  </si>
  <si>
    <t xml:space="preserve">357 r</t>
  </si>
  <si>
    <t xml:space="preserve">XK T7 d.18</t>
  </si>
  <si>
    <t xml:space="preserve">343 r</t>
  </si>
  <si>
    <t xml:space="preserve">XK T7 d.19</t>
  </si>
  <si>
    <t xml:space="preserve">XK T7 d.20</t>
  </si>
  <si>
    <t xml:space="preserve">XK T7 d.21</t>
  </si>
  <si>
    <t xml:space="preserve">XK T7 d.22</t>
  </si>
  <si>
    <t xml:space="preserve">XK T7 d.23</t>
  </si>
  <si>
    <t xml:space="preserve">346-B1 r</t>
  </si>
  <si>
    <t xml:space="preserve">XK T7 d.24</t>
  </si>
  <si>
    <t xml:space="preserve">309 r</t>
  </si>
  <si>
    <t xml:space="preserve">XK T7 d.25</t>
  </si>
  <si>
    <t xml:space="preserve">181 r</t>
  </si>
  <si>
    <t xml:space="preserve">XK T7 d.26</t>
  </si>
  <si>
    <t xml:space="preserve">181</t>
  </si>
  <si>
    <t xml:space="preserve">XK T7 d.27</t>
  </si>
  <si>
    <t xml:space="preserve">XK T7 d.45</t>
  </si>
  <si>
    <t xml:space="preserve">XK T7 d.74</t>
  </si>
  <si>
    <t xml:space="preserve">LÓT NỘI </t>
  </si>
  <si>
    <t xml:space="preserve">XK T7 d.52</t>
  </si>
  <si>
    <t xml:space="preserve">CHÔNG THẤM MÀU </t>
  </si>
  <si>
    <t xml:space="preserve">XK T7 d.53</t>
  </si>
  <si>
    <t xml:space="preserve">LÓT NGOẠI </t>
  </si>
  <si>
    <t xml:space="preserve">XK T7 d.54</t>
  </si>
  <si>
    <t xml:space="preserve">XK T7 d.55</t>
  </si>
  <si>
    <t xml:space="preserve">XK T7 d.34</t>
  </si>
  <si>
    <t xml:space="preserve">LÓT NGOÀI </t>
  </si>
  <si>
    <t xml:space="preserve">XK T7 d.35</t>
  </si>
  <si>
    <t xml:space="preserve">310-B3 </t>
  </si>
  <si>
    <t xml:space="preserve">XK T7 d.36</t>
  </si>
  <si>
    <t xml:space="preserve">T SỨ </t>
  </si>
  <si>
    <t xml:space="preserve">XK T7 d.56</t>
  </si>
  <si>
    <t xml:space="preserve">CHỐNG THẤM MÀU</t>
  </si>
  <si>
    <t xml:space="preserve">XK T7 d.57</t>
  </si>
  <si>
    <t xml:space="preserve">XK T7 d.58</t>
  </si>
  <si>
    <t xml:space="preserve">XK T7 d.33</t>
  </si>
  <si>
    <t xml:space="preserve">XK T7 d.37</t>
  </si>
  <si>
    <t xml:space="preserve">XK T7 d.46</t>
  </si>
  <si>
    <t xml:space="preserve">XK T7 d.47</t>
  </si>
  <si>
    <t xml:space="preserve">XK T7 d.48</t>
  </si>
  <si>
    <t xml:space="preserve">XK T7 d.49</t>
  </si>
  <si>
    <t xml:space="preserve">XK T7 d.50</t>
  </si>
  <si>
    <t xml:space="preserve">XK T7 d.51</t>
  </si>
  <si>
    <t xml:space="preserve">XK T7 d.59</t>
  </si>
  <si>
    <t xml:space="preserve">LÓT TRONG</t>
  </si>
  <si>
    <t xml:space="preserve">XK T7 d.60</t>
  </si>
  <si>
    <t xml:space="preserve">293 B4</t>
  </si>
  <si>
    <t xml:space="preserve">XK T7 d.61</t>
  </si>
  <si>
    <t xml:space="preserve">XK T7 d.75</t>
  </si>
  <si>
    <t xml:space="preserve">XK T7 d.62</t>
  </si>
  <si>
    <t xml:space="preserve">Hệ số 10 – nghi gõ nhầm (có thể là 1)</t>
  </si>
  <si>
    <t xml:space="preserve">XK T7 d.76</t>
  </si>
  <si>
    <t xml:space="preserve">XK T8 d.7</t>
  </si>
  <si>
    <t xml:space="preserve">XK T8 d.8</t>
  </si>
  <si>
    <t xml:space="preserve">XK T8 d.9</t>
  </si>
  <si>
    <t xml:space="preserve">XK T8 d.10</t>
  </si>
  <si>
    <t xml:space="preserve">XK T8 d.40</t>
  </si>
  <si>
    <t xml:space="preserve">XK T8 d.41</t>
  </si>
  <si>
    <t xml:space="preserve">XK T8 d.42</t>
  </si>
  <si>
    <t xml:space="preserve">135</t>
  </si>
  <si>
    <t xml:space="preserve">XK T8 d.43</t>
  </si>
  <si>
    <t xml:space="preserve">XK T8 d.44</t>
  </si>
  <si>
    <t xml:space="preserve">365-B4</t>
  </si>
  <si>
    <t xml:space="preserve">XK T8 d.45</t>
  </si>
  <si>
    <t xml:space="preserve">XK T8 d.46</t>
  </si>
  <si>
    <t xml:space="preserve">337</t>
  </si>
  <si>
    <t xml:space="preserve">XK T8 d.47</t>
  </si>
  <si>
    <t xml:space="preserve">359-B3</t>
  </si>
  <si>
    <t xml:space="preserve">XK T8 d.48</t>
  </si>
  <si>
    <t xml:space="preserve">303-B1</t>
  </si>
  <si>
    <t xml:space="preserve">XK T8 d.49</t>
  </si>
  <si>
    <t xml:space="preserve">XK T8 d.6</t>
  </si>
  <si>
    <t xml:space="preserve">XK T8 d.35</t>
  </si>
  <si>
    <t xml:space="preserve">XK T8 d.36</t>
  </si>
  <si>
    <t xml:space="preserve">XK T8 d.37</t>
  </si>
  <si>
    <t xml:space="preserve">XK T8 d.38</t>
  </si>
  <si>
    <t xml:space="preserve">298-B3</t>
  </si>
  <si>
    <t xml:space="preserve">XK T8 d.39</t>
  </si>
  <si>
    <t xml:space="preserve">303</t>
  </si>
  <si>
    <t xml:space="preserve">XK T8 d.50</t>
  </si>
  <si>
    <t xml:space="preserve">XK T8 d.33</t>
  </si>
  <si>
    <t xml:space="preserve">XK T8 d.34</t>
  </si>
  <si>
    <t xml:space="preserve">XK T8 d.51</t>
  </si>
  <si>
    <t xml:space="preserve">XK T8 d.11</t>
  </si>
  <si>
    <t xml:space="preserve">XK T8 d.12</t>
  </si>
  <si>
    <t xml:space="preserve">XK T8 d.13</t>
  </si>
  <si>
    <t xml:space="preserve">XK T8 d.14</t>
  </si>
  <si>
    <t xml:space="preserve">XK T8 d.15</t>
  </si>
  <si>
    <t xml:space="preserve">XK T8 d.16</t>
  </si>
  <si>
    <t xml:space="preserve">XK T8 d.17</t>
  </si>
  <si>
    <t xml:space="preserve">XK T8 d.18</t>
  </si>
  <si>
    <t xml:space="preserve">XK T8 d.19</t>
  </si>
  <si>
    <t xml:space="preserve">XK T8 d.20</t>
  </si>
  <si>
    <t xml:space="preserve">XK T8 d.21</t>
  </si>
  <si>
    <t xml:space="preserve">XK T8 d.22</t>
  </si>
  <si>
    <t xml:space="preserve">311-B3</t>
  </si>
  <si>
    <t xml:space="preserve">XK T8 d.23</t>
  </si>
  <si>
    <t xml:space="preserve">XK T8 d.24</t>
  </si>
  <si>
    <t xml:space="preserve">331</t>
  </si>
  <si>
    <t xml:space="preserve">XK T8 d.25</t>
  </si>
  <si>
    <t xml:space="preserve">XK T8 d.26</t>
  </si>
  <si>
    <t xml:space="preserve">Trắng sứ Bảo hành</t>
  </si>
  <si>
    <t xml:space="preserve">XK T8 d.27</t>
  </si>
  <si>
    <t xml:space="preserve">84</t>
  </si>
  <si>
    <t xml:space="preserve">XK T8 d.28</t>
  </si>
  <si>
    <t xml:space="preserve">XK T8 d.29</t>
  </si>
  <si>
    <t xml:space="preserve">217</t>
  </si>
  <si>
    <t xml:space="preserve">XK T8 d.30</t>
  </si>
  <si>
    <t xml:space="preserve">XK T8 d.31</t>
  </si>
  <si>
    <t xml:space="preserve">XK T8 d.32</t>
  </si>
  <si>
    <t xml:space="preserve">Không có đơn giá (khuyến mại/bảo hành?): </t>
  </si>
  <si>
    <t xml:space="preserve">XK T9 d.51</t>
  </si>
  <si>
    <t xml:space="preserve">XK T9 d.19</t>
  </si>
  <si>
    <t xml:space="preserve">XK T9 d.25</t>
  </si>
  <si>
    <t xml:space="preserve">XK T9 d.20</t>
  </si>
  <si>
    <t xml:space="preserve">XK T9 d.26</t>
  </si>
  <si>
    <t xml:space="preserve">XK T9 d.27</t>
  </si>
  <si>
    <t xml:space="preserve">XK T9 d.28</t>
  </si>
  <si>
    <t xml:space="preserve">XK T9 d.29</t>
  </si>
  <si>
    <t xml:space="preserve">XK T9 d.30</t>
  </si>
  <si>
    <t xml:space="preserve">"Bột bả nội + ngoại" – ghi tạm vào bả nội</t>
  </si>
  <si>
    <t xml:space="preserve">XK T9 d.52</t>
  </si>
  <si>
    <t xml:space="preserve">XK T9 d.53</t>
  </si>
  <si>
    <t xml:space="preserve">XK T9 d.54</t>
  </si>
  <si>
    <t xml:space="preserve">XK T9 d.55</t>
  </si>
  <si>
    <t xml:space="preserve">XK T9 d.56</t>
  </si>
  <si>
    <t xml:space="preserve">XK T9 d.57</t>
  </si>
  <si>
    <t xml:space="preserve">XK T9 d.58</t>
  </si>
  <si>
    <t xml:space="preserve">XK T9 d.59</t>
  </si>
  <si>
    <t xml:space="preserve">XK T9 d.60</t>
  </si>
  <si>
    <t xml:space="preserve">Trắng sứ r</t>
  </si>
  <si>
    <t xml:space="preserve">XK T9 d.31</t>
  </si>
  <si>
    <t xml:space="preserve">359-b3 r</t>
  </si>
  <si>
    <t xml:space="preserve">XK T9 d.32</t>
  </si>
  <si>
    <t xml:space="preserve">333-B1 r</t>
  </si>
  <si>
    <t xml:space="preserve">XK T9 d.33</t>
  </si>
  <si>
    <t xml:space="preserve">339-B1 r</t>
  </si>
  <si>
    <t xml:space="preserve">XK T9 d.34</t>
  </si>
  <si>
    <t xml:space="preserve">Khuyến mại</t>
  </si>
  <si>
    <t xml:space="preserve">XK T9 d.35</t>
  </si>
  <si>
    <t xml:space="preserve">Không có đơn giá (khuyến mại/bảo hành?): Khuyến mại</t>
  </si>
  <si>
    <t xml:space="preserve">XK T9 d.36</t>
  </si>
  <si>
    <t xml:space="preserve">XK T9 d.37</t>
  </si>
  <si>
    <t xml:space="preserve">XK T9 d.38</t>
  </si>
  <si>
    <t xml:space="preserve">XK T9 d.12</t>
  </si>
  <si>
    <t xml:space="preserve">339</t>
  </si>
  <si>
    <t xml:space="preserve">XK T9 d.13</t>
  </si>
  <si>
    <t xml:space="preserve">XK T9 d.21</t>
  </si>
  <si>
    <t xml:space="preserve">309-B2</t>
  </si>
  <si>
    <t xml:space="preserve">XK T9 d.61</t>
  </si>
  <si>
    <t xml:space="preserve">XK T9 d.18</t>
  </si>
  <si>
    <t xml:space="preserve">XK T9 d.62</t>
  </si>
  <si>
    <t xml:space="preserve">XK T9 d.63</t>
  </si>
  <si>
    <t xml:space="preserve">XK T9 d.14</t>
  </si>
  <si>
    <t xml:space="preserve">069-B2</t>
  </si>
  <si>
    <t xml:space="preserve">XK T9 d.15</t>
  </si>
  <si>
    <t xml:space="preserve">XK T9 d.16</t>
  </si>
  <si>
    <t xml:space="preserve">XK T9 d.22</t>
  </si>
  <si>
    <t xml:space="preserve">XK T9 d.23</t>
  </si>
  <si>
    <t xml:space="preserve">XK T9 d.17</t>
  </si>
  <si>
    <t xml:space="preserve">XK T9 d.39</t>
  </si>
  <si>
    <t xml:space="preserve">XK T9 d.40</t>
  </si>
  <si>
    <t xml:space="preserve">XK T9 d.41</t>
  </si>
  <si>
    <t xml:space="preserve">XK T9 d.42</t>
  </si>
  <si>
    <t xml:space="preserve">XK T9 d.43</t>
  </si>
  <si>
    <t xml:space="preserve">XK T9 d.44</t>
  </si>
  <si>
    <t xml:space="preserve">XK T9 d.45</t>
  </si>
  <si>
    <t xml:space="preserve">071-b1</t>
  </si>
  <si>
    <t xml:space="preserve">XK T9 d.46</t>
  </si>
  <si>
    <t xml:space="preserve">XK T9 d.24</t>
  </si>
  <si>
    <t xml:space="preserve">AP01</t>
  </si>
  <si>
    <t xml:space="preserve">XK T9 d.9</t>
  </si>
  <si>
    <t xml:space="preserve">AP50-6</t>
  </si>
  <si>
    <t xml:space="preserve">XK T9 d.10</t>
  </si>
  <si>
    <t xml:space="preserve">AP67-2</t>
  </si>
  <si>
    <t xml:space="preserve">XK T9 d.11</t>
  </si>
  <si>
    <t xml:space="preserve">XK T9 d.64</t>
  </si>
  <si>
    <t xml:space="preserve">XK T9 d.65</t>
  </si>
  <si>
    <t xml:space="preserve">127-B2</t>
  </si>
  <si>
    <t xml:space="preserve">XK T9 d.66</t>
  </si>
  <si>
    <t xml:space="preserve">XK T9 d.67</t>
  </si>
  <si>
    <t xml:space="preserve">R</t>
  </si>
  <si>
    <t xml:space="preserve">XK T9 d.47</t>
  </si>
  <si>
    <t xml:space="preserve">309 R</t>
  </si>
  <si>
    <t xml:space="preserve">XK T9 d.48</t>
  </si>
  <si>
    <t xml:space="preserve">XK T9 d.68</t>
  </si>
  <si>
    <t xml:space="preserve">14_1</t>
  </si>
  <si>
    <t xml:space="preserve">XK T9 d.6</t>
  </si>
  <si>
    <t xml:space="preserve">XK T9 d.7</t>
  </si>
  <si>
    <t xml:space="preserve">68_2</t>
  </si>
  <si>
    <t xml:space="preserve">XK T9 d.8</t>
  </si>
  <si>
    <t xml:space="preserve">XK T9 d.49</t>
  </si>
  <si>
    <t xml:space="preserve">XK T9 d.50</t>
  </si>
  <si>
    <t xml:space="preserve">NHẬT KÝ NHẬP KHO</t>
  </si>
  <si>
    <t xml:space="preserve">Mỗi lần hàng về kho (nhập từ nhà cung cấp hoặc khách trả lại), ghi 1 dòng/mặt hàng ở bảng dưới. Tồn kho tự cộng.</t>
  </si>
  <si>
    <t xml:space="preserve">VÍ DỤ (không tính, chỉ để tham khảo):   15/10/2026 | PI04 | 18L | 20 | Nhập từ NCC, phiếu số 123</t>
  </si>
  <si>
    <t xml:space="preserve">Ngày nhập</t>
  </si>
  <si>
    <t xml:space="preserve">Ghi chú / số phiếu</t>
  </si>
  <si>
    <t xml:space="preserve">Khách trả lại 309</t>
  </si>
  <si>
    <t xml:space="preserve">NK T6 d.12</t>
  </si>
  <si>
    <t xml:space="preserve">Khách trả lại</t>
  </si>
  <si>
    <t xml:space="preserve">NK T6 d.9</t>
  </si>
  <si>
    <t xml:space="preserve">NK T6 d.10</t>
  </si>
  <si>
    <t xml:space="preserve">NK T6 d.11</t>
  </si>
  <si>
    <t xml:space="preserve">Khách trả lại Màu trắng</t>
  </si>
  <si>
    <t xml:space="preserve">NK T6 d.6</t>
  </si>
  <si>
    <t xml:space="preserve">Khách trả lại Lót trong</t>
  </si>
  <si>
    <t xml:space="preserve">NK T6 d.7</t>
  </si>
  <si>
    <t xml:space="preserve">NK T6 d.8</t>
  </si>
  <si>
    <t xml:space="preserve">Không có ngày – lấy theo dòng trên (22/06)</t>
  </si>
  <si>
    <t xml:space="preserve">NK T7 d.6</t>
  </si>
  <si>
    <t xml:space="preserve">Khách trả lại 331</t>
  </si>
  <si>
    <t xml:space="preserve">NK T7 d.7</t>
  </si>
  <si>
    <t xml:space="preserve">ký hiệu EG09 ≠ tên hàng (PE02); Tên hàng ghi lót ngoại thất nhưng đơn giá 6.504.000 = EG09 18L → lấy EG09</t>
  </si>
  <si>
    <t xml:space="preserve">NK T7 d.8</t>
  </si>
  <si>
    <t xml:space="preserve">Khách trả lại LÓT TRONG</t>
  </si>
  <si>
    <t xml:space="preserve">NK T7 d.10</t>
  </si>
  <si>
    <t xml:space="preserve">Khách trả lại T SƯ</t>
  </si>
  <si>
    <t xml:space="preserve">NK T7 d.11</t>
  </si>
  <si>
    <t xml:space="preserve">NK T7 d.12</t>
  </si>
  <si>
    <t xml:space="preserve">Khách trả lại 333</t>
  </si>
  <si>
    <t xml:space="preserve">NK T7 d.9</t>
  </si>
  <si>
    <t xml:space="preserve">XUẤT KHO THEO THÁNG</t>
  </si>
  <si>
    <t xml:space="preserve">Số lượng bán ra (toàn bộ phiếu xuất trong tháng, kể cả trước 07/06). Ô vàng ở dòng tiêu đề là ngày đầu tháng.</t>
  </si>
  <si>
    <t xml:space="preserve">Tổng</t>
  </si>
  <si>
    <t xml:space="preserve">TỔNG SỐ LƯỢNG (thùng/lon/bao)</t>
  </si>
  <si>
    <t xml:space="preserve">DOANH THU XUẤT (VNĐ, theo đơn giá ghi trên phiếu)</t>
  </si>
  <si>
    <t xml:space="preserve">Tháng 6 chỉ có số liệu từ các phiếu đã nhập; tháng 10 trở đi sẽ tự cập nhật khi thêm phiếu vào XUẤT KHO.</t>
  </si>
  <si>
    <t xml:space="preserve">TỒN ĐẦU KỲ – hết ngày 07/06/2026</t>
  </si>
  <si>
    <t xml:space="preserve">Nguồn: sheet DMHH_07_06 (chia theo base B1–B4). Số lượng ở đây được cộng gộp theo Mã SP + Dung tích sang sheet TỒN KHO.</t>
  </si>
  <si>
    <t xml:space="preserve">Mã gốc (kèm base)</t>
  </si>
  <si>
    <t xml:space="preserve">Số lượng tồn</t>
  </si>
  <si>
    <t xml:space="preserve">ISI B1</t>
  </si>
  <si>
    <t xml:space="preserve">ESI B1</t>
  </si>
  <si>
    <t xml:space="preserve">ESI B2</t>
  </si>
  <si>
    <t xml:space="preserve">IG05-B1</t>
  </si>
  <si>
    <t xml:space="preserve">ISG06 B1</t>
  </si>
  <si>
    <t xml:space="preserve">EG09-B1</t>
  </si>
  <si>
    <t xml:space="preserve">EG09-B2</t>
  </si>
  <si>
    <t xml:space="preserve">EG09-B3</t>
  </si>
  <si>
    <t xml:space="preserve">EG09-B4</t>
  </si>
  <si>
    <t xml:space="preserve">ESG10-B1</t>
  </si>
  <si>
    <t xml:space="preserve">ESG10-B2</t>
  </si>
  <si>
    <t xml:space="preserve">ESG10-B3</t>
  </si>
  <si>
    <t xml:space="preserve">ESG10-B4</t>
  </si>
  <si>
    <t xml:space="preserve">I9-B1</t>
  </si>
  <si>
    <t xml:space="preserve">E9-B1</t>
  </si>
  <si>
    <t xml:space="preserve">E9-B2</t>
  </si>
  <si>
    <t xml:space="preserve">E9-B3</t>
  </si>
  <si>
    <t xml:space="preserve">E9-B4</t>
  </si>
  <si>
    <t xml:space="preserve">ETM -99</t>
  </si>
  <si>
    <t xml:space="preserve">Bả nội</t>
  </si>
  <si>
    <t xml:space="preserve">Bả ngoại</t>
  </si>
  <si>
    <t xml:space="preserve">DANH MỤC SẢN PHẨM</t>
  </si>
  <si>
    <t xml:space="preserve">Danh sách mã dùng cho ô chọn (dropdown) ở sheet XUẤT KHO / NHẬP KHO. Thêm sản phẩm mới: thêm dòng ở cuối.</t>
  </si>
  <si>
    <t xml:space="preserve">CÁC ĐIỂM CẦN CHỊ XÁC NHẬN</t>
  </si>
  <si>
    <t xml:space="preserve">Em phát hiện khi làm sạch số liệu. Chỗ nào sửa trong file này thì chị sửa ở ô tương ứng (nguồn ở cột "Ở đâu").</t>
  </si>
  <si>
    <t xml:space="preserve">Vấn đề</t>
  </si>
  <si>
    <t xml:space="preserve">Em đã xử lý thế nào</t>
  </si>
  <si>
    <t xml:space="preserve">Ở đâu</t>
  </si>
  <si>
    <t xml:space="preserve">3 mã bị đảo số giữa 2 sheet gốc (18L↔5L): ETM-309 (Gộp: 5L=120, 18L=23 | 07_06: 18L=120, 5L=23), SPI03 (Gộp: 5L=25, 18L=7 | 07_06: 18L=25, 5L=7), SPE01 (Gộp: 5L=14, 18L=4 | 07_06: 18L=14, 5L=4).</t>
  </si>
  <si>
    <t xml:space="preserve">Dùng DMHH_07_06 (số liên kết từ file kho gốc 18 LÍT / 5 LÍT). Nếu thực tế ngược lại, đổi dung tích ở sheet TỒN ĐẦU KỲ (cột C).</t>
  </si>
  <si>
    <t xml:space="preserve">TỒN ĐẦU KỲ</t>
  </si>
  <si>
    <t xml:space="preserve">Các sheet NK T6–T9 chỉ có hàng khách trả lại (ghi "NHẬP lại"); chưa thấy phiếu nhập hàng từ nhà cung cấp sau 07/06/2026.</t>
  </si>
  <si>
    <t xml:space="preserve">Em ghi các dòng NK vào sheet NHẬP KHO. Nếu có hàng về từ nhà cung cấp, chị ghi tiếp vào NHẬP KHO; chưa ghi thì mã bán nhiều sẽ báo âm kho.</t>
  </si>
  <si>
    <t xml:space="preserve">NHẬP KHO</t>
  </si>
  <si>
    <t xml:space="preserve">28 dòng xuất của sheet XK T6 có ngày từ 07/06 trở về trước (đã nằm trong tồn đầu kỳ).</t>
  </si>
  <si>
    <t xml:space="preserve">Vẫn giữ trong nhật ký xuất (để báo cáo doanh thu tháng 6) nhưng KHÔNG trừ tồn kho (chỉ trừ phiếu sau ngày chốt ở TỒN KHO!E4).</t>
  </si>
  <si>
    <t xml:space="preserve">XUẤT KHO</t>
  </si>
  <si>
    <t xml:space="preserve">XK T6 dòng 7–10 trùng hệt dòng 14–17 (cùng ngày 14/6, cùng mặt hàng, số lượng).</t>
  </si>
  <si>
    <t xml:space="preserve">Giữ cả hai, tô cam cột "Kiểm tra". Nếu là nhập trùng, xóa 4 dòng sau để tồn đúng.</t>
  </si>
  <si>
    <t xml:space="preserve">XUẤT KHO (lọc cột Kiểm tra)</t>
  </si>
  <si>
    <t xml:space="preserve">XK T7 dòng 62: hệ số = 10 (ETM 18L, 27/7) → thành tiền 48.210.000, có thể chỉ là hệ số 1.</t>
  </si>
  <si>
    <t xml:space="preserve">Giữ nguyên như file gốc, đã đánh dấu. Sửa cột "Hệ số" nếu gõ nhầm.</t>
  </si>
  <si>
    <t xml:space="preserve">Một số dòng ghi sai ký hiệu so với tên hàng (XK T6 dòng 28 ghi EG09 nhưng là chống thấm ETM; dòng 22/52 ký hiệu khác tên).</t>
  </si>
  <si>
    <t xml:space="preserve">Lấy theo ký hiệu/đơn giá khớp nhất (dòng 28 → ETM-309). "ETM" không ghi mã → tính ETM-309; "Mã 99" → ETM-99.</t>
  </si>
  <si>
    <t xml:space="preserve">Các dòng không có đơn giá (khuyến mại / bảo hành) và "Bột bả nội + ngoại" gộp 1 dòng.</t>
  </si>
  <si>
    <t xml:space="preserve">Vẫn trừ tồn nhưng thành tiền = 0; bột bả nội+ngoại ghi tạm vào bả nội.</t>
  </si>
  <si>
    <t xml:space="preserve">Tồn chia theo base B1–B4, còn phiếu xuất chỉ ghi tên sơn + dung tích.</t>
  </si>
  <si>
    <t xml:space="preserve">Cộng gộp B1–B4 thành 1 dòng cho mỗi Mã SP + dung tích (chi tiết base vẫn xem được ở TỒN ĐẦU KỲ).</t>
  </si>
  <si>
    <t xml:space="preserve">TỒN KHO</t>
  </si>
  <si>
    <t xml:space="preserve">Sheet "nxt 156_T6" cũ đang lỗi công thức (báo lỗi N/A và REF), tiêu đề năm 2016.</t>
  </si>
  <si>
    <t xml:space="preserve">Không dùng nữa; sheet TỒN KHO thay thế.</t>
  </si>
  <si>
    <t xml:space="preserve">—</t>
  </si>
  <si>
    <t xml:space="preserve">Bảng giá khuyến nghị EG09 5L ghi 2.089.999.</t>
  </si>
  <si>
    <t xml:space="preserve">Dùng 2.089.000 (giống giá bán thực tế trên phiếu).</t>
  </si>
  <si>
    <t xml:space="preserve">TỒN KHO cột Giá KN</t>
  </si>
  <si>
    <t xml:space="preserve">Mã đang ÂM KHO theo số liệu hiện có (sẽ tự cập nhật ở TỔNG QUAN – ô "MÃ ÂM KHO").</t>
  </si>
  <si>
    <t xml:space="preserve">HƯỚNG DẪN SỬ DỤNG</t>
  </si>
  <si>
    <t xml:space="preserve">Chị chỉ cần nhập 2 chỗ: XUẤT KHO (bán hàng) và NHẬP KHO (hàng về). Mọi thứ khác tự tính.</t>
  </si>
  <si>
    <t xml:space="preserve">1. Hằng ngày: vào sheet XUẤT KHO, thêm dòng ngay dưới dòng cuối: Ngày – Mã SP (chọn từ danh sách) – Dung tích – Số lượng – Đơn giá. Thành tiền tự tính.</t>
  </si>
  <si>
    <t xml:space="preserve">2. Khi hàng về kho: vào sheet NHẬP KHO, ghi tương tự (không cần đơn giá).</t>
  </si>
  <si>
    <t xml:space="preserve">3. Xem TỔNG QUAN: các thẻ trên cùng cho biết bao nhiêu mã hết / sắp hết; bảng "CẦN ĐẶT HÀNG" liệt kê mã cần đặt kèm số lượng gợi ý.</t>
  </si>
  <si>
    <t xml:space="preserve">4. Xem chi tiết từng mã ở TỒN KHO (đầu kỳ, nhập, xuất, tồn, số ngày còn bán được). Bấm mũi tên ở tiêu đề để lọc, ví dụ chỉ xem "HẾT HÀNG".</t>
  </si>
  <si>
    <t xml:space="preserve">5. Muốn đổi ngưỡng cảnh báo: đổi các ô VÀNG ở đầu sheet TỒN KHO (ngày chốt, số ngày tính tốc độ bán, ngưỡng sắp hết, số ngày muốn đủ hàng).</t>
  </si>
  <si>
    <t xml:space="preserve">6. Có sản phẩm mới: thêm vào DANH MỤC, rồi thêm 1 dòng ở cuối bảng TỒN KHO (copy công thức của dòng trên, chèn dòng TRƯỚC dòng TỔNG).</t>
  </si>
  <si>
    <t xml:space="preserve">7. Chữ xanh / ô vàng = số chị nhập tay. Chữ đen / ô xám = công thức, không sửa.</t>
  </si>
  <si>
    <t xml:space="preserve">Màu trạng thái: ĐỎ = hết hàng (đang có người mua), VÀNG = sắp hết, TÍM = âm kho (thiếu phiếu nhập hoặc nhập sai), XÁM = chậm bán, XANH = đủ hàng.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</si>
</sst>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#,##0&quot; đ&quot;"/>
    <numFmt numFmtId="167" formatCode="0"/>
    <numFmt numFmtId="168" formatCode="#,##0;[RED]\-#,##0;\-"/>
    <numFmt numFmtId="169" formatCode="0.00"/>
    <numFmt numFmtId="170" formatCode="General"/>
    <numFmt numFmtId="171" formatCode="#,##0,,&quot;tr&quot;"/>
    <numFmt numFmtId="172" formatCode="dd/mm/yyyy"/>
    <numFmt numFmtId="173" formatCode="0.0"/>
    <numFmt numFmtId="174" formatCode="#,##0;\-#,##0;\-"/>
    <numFmt numFmtId="175" formatCode="\T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color rgb="FFC00000"/>
      <name val="Arial"/>
      <family val="0"/>
      <charset val="1"/>
    </font>
    <font>
      <b val="true"/>
      <sz val="18"/>
      <color rgb="FFBF8F00"/>
      <name val="Arial"/>
      <family val="0"/>
      <charset val="1"/>
    </font>
    <font>
      <b val="true"/>
      <sz val="18"/>
      <color rgb="FF7030A0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A6A6A6"/>
      <name val="Arial"/>
      <family val="0"/>
      <charset val="1"/>
    </font>
    <font>
      <sz val="10"/>
      <name val="Arial"/>
      <family val="0"/>
      <charset val="1"/>
    </font>
    <font>
      <sz val="10"/>
      <color rgb="FFA6A6A6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C00000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sz val="10"/>
      <color rgb="FF000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BF8F00"/>
        <bgColor rgb="FFC55A11"/>
      </patternFill>
    </fill>
    <fill>
      <patternFill patternType="solid">
        <fgColor rgb="FF7030A0"/>
        <bgColor rgb="FF333399"/>
      </patternFill>
    </fill>
    <fill>
      <patternFill patternType="solid">
        <fgColor rgb="FFF2F2F2"/>
        <bgColor rgb="FFF9F9F9"/>
      </patternFill>
    </fill>
    <fill>
      <patternFill patternType="solid">
        <fgColor rgb="FFFFF2CC"/>
        <bgColor rgb="FFFDE9D9"/>
      </patternFill>
    </fill>
    <fill>
      <patternFill patternType="solid">
        <fgColor rgb="FFD9E1F2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</font>
      <fill>
        <patternFill>
          <bgColor rgb="FFFFC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30A0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D9D9D9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4B6B6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>
          <bgColor rgb="FFFDE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548235"/>
      <rgbColor rgb="FF800080"/>
      <rgbColor rgb="FF008080"/>
      <rgbColor rgb="FFBFBFBF"/>
      <rgbColor rgb="FF7F7F7F"/>
      <rgbColor rgb="FFA6A6A6"/>
      <rgbColor rgb="FF7030A0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DE9D9"/>
      <rgbColor rgb="FFF9F9F9"/>
      <rgbColor rgb="FFFF99CC"/>
      <rgbColor rgb="FFCC99FF"/>
      <rgbColor rgb="FFF4B6B6"/>
      <rgbColor rgb="FF4F81BD"/>
      <rgbColor rgb="FF33CCCC"/>
      <rgbColor rgb="FF99CC00"/>
      <rgbColor rgb="FFFFC000"/>
      <rgbColor rgb="FFBF8F00"/>
      <rgbColor rgb="FFC55A11"/>
      <rgbColor rgb="FF595959"/>
      <rgbColor rgb="FF878787"/>
      <rgbColor rgb="FF1F3864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Số lượng xuất theo tháng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'THEO THÁNG'!$D$4:$J$4</c:f>
              <c:strCache>
                <c:ptCount val="7"/>
                <c:pt idx="0">
                  <c:v>T6/2026</c:v>
                </c:pt>
                <c:pt idx="1">
                  <c:v>T7/2026</c:v>
                </c:pt>
                <c:pt idx="2">
                  <c:v>T8/2026</c:v>
                </c:pt>
                <c:pt idx="3">
                  <c:v>T9/2026</c:v>
                </c:pt>
                <c:pt idx="4">
                  <c:v>T10/2026</c:v>
                </c:pt>
                <c:pt idx="5">
                  <c:v>T11/2026</c:v>
                </c:pt>
                <c:pt idx="6">
                  <c:v>T12/2026</c:v>
                </c:pt>
              </c:strCache>
            </c:strRef>
          </c:cat>
          <c:val>
            <c:numRef>
              <c:f>'THEO THÁNG'!$D$51:$J$51</c:f>
              <c:numCache>
                <c:formatCode>#,##0</c:formatCode>
                <c:ptCount val="7"/>
                <c:pt idx="0">
                  <c:v>283</c:v>
                </c:pt>
                <c:pt idx="1">
                  <c:v>141</c:v>
                </c:pt>
                <c:pt idx="2">
                  <c:v>113</c:v>
                </c:pt>
                <c:pt idx="3">
                  <c:v>123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28034116"/>
        <c:axId val="11923553"/>
      </c:barChart>
      <c:catAx>
        <c:axId val="28034116"/>
        <c:scaling>
          <c:orientation val="minMax"/>
        </c:scaling>
        <c:delete val="0"/>
        <c:axPos val="b"/>
        <c:numFmt formatCode="\T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923553"/>
        <c:crosses val="autoZero"/>
        <c:auto val="1"/>
        <c:lblAlgn val="ctr"/>
        <c:lblOffset val="100"/>
        <c:noMultiLvlLbl val="0"/>
      </c:catAx>
      <c:valAx>
        <c:axId val="11923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03411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Doanh thu xuất theo tháng (VNĐ)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'THEO THÁNG'!$D$4:$J$4</c:f>
              <c:strCache>
                <c:ptCount val="7"/>
                <c:pt idx="0">
                  <c:v>T6/2026</c:v>
                </c:pt>
                <c:pt idx="1">
                  <c:v>T7/2026</c:v>
                </c:pt>
                <c:pt idx="2">
                  <c:v>T8/2026</c:v>
                </c:pt>
                <c:pt idx="3">
                  <c:v>T9/2026</c:v>
                </c:pt>
                <c:pt idx="4">
                  <c:v>T10/2026</c:v>
                </c:pt>
                <c:pt idx="5">
                  <c:v>T11/2026</c:v>
                </c:pt>
                <c:pt idx="6">
                  <c:v>T12/2026</c:v>
                </c:pt>
              </c:strCache>
            </c:strRef>
          </c:cat>
          <c:val>
            <c:numRef>
              <c:f>'THEO THÁNG'!$D$52:$J$52</c:f>
              <c:numCache>
                <c:formatCode>#,##0</c:formatCode>
                <c:ptCount val="7"/>
                <c:pt idx="0">
                  <c:v>856465350</c:v>
                </c:pt>
                <c:pt idx="1">
                  <c:v>492462400</c:v>
                </c:pt>
                <c:pt idx="2">
                  <c:v>399198050</c:v>
                </c:pt>
                <c:pt idx="3">
                  <c:v>368195300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2678464"/>
        <c:axId val="7959842"/>
      </c:barChart>
      <c:catAx>
        <c:axId val="2678464"/>
        <c:scaling>
          <c:orientation val="minMax"/>
        </c:scaling>
        <c:delete val="0"/>
        <c:axPos val="b"/>
        <c:numFmt formatCode="\T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59842"/>
        <c:crosses val="autoZero"/>
        <c:auto val="1"/>
        <c:lblAlgn val="ctr"/>
        <c:lblOffset val="100"/>
        <c:noMultiLvlLbl val="0"/>
      </c:catAx>
      <c:valAx>
        <c:axId val="79598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,&quot;tr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784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101160</xdr:rowOff>
    </xdr:from>
    <xdr:to>
      <xdr:col>19</xdr:col>
      <xdr:colOff>547560</xdr:colOff>
      <xdr:row>13</xdr:row>
      <xdr:rowOff>114840</xdr:rowOff>
    </xdr:to>
    <xdr:graphicFrame>
      <xdr:nvGraphicFramePr>
        <xdr:cNvPr id="0" name="Chart 1"/>
        <xdr:cNvGraphicFramePr/>
      </xdr:nvGraphicFramePr>
      <xdr:xfrm>
        <a:off x="10008720" y="57168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18</xdr:row>
      <xdr:rowOff>101160</xdr:rowOff>
    </xdr:from>
    <xdr:to>
      <xdr:col>19</xdr:col>
      <xdr:colOff>547560</xdr:colOff>
      <xdr:row>31</xdr:row>
      <xdr:rowOff>133920</xdr:rowOff>
    </xdr:to>
    <xdr:graphicFrame>
      <xdr:nvGraphicFramePr>
        <xdr:cNvPr id="1" name="Chart 2"/>
        <xdr:cNvGraphicFramePr/>
      </xdr:nvGraphicFramePr>
      <xdr:xfrm>
        <a:off x="10008720" y="421020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L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46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8"/>
    <col collapsed="false" customWidth="true" hidden="false" outlineLevel="0" max="11" min="10" style="0" width="3"/>
    <col collapsed="false" customWidth="true" hidden="true" outlineLevel="0" max="12" min="12" style="0" width="8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"Số liệu đến ngày "&amp;TEXT('TỒN KHO'!$E$3,"dd/mm/yyyy")&amp;"  |  Tồn đầu kỳ hết "&amp;TEXT('TỒN KHO'!$E$4,"dd/mm/yyyy")&amp;"  |  Đã ghi "&amp;TEXT(SUMIFS('NHẬP KHO'!$E$5:$E$1004,'NHẬP KHO'!$A$5:$A$1004,"&gt;"&amp;'TỒN KHO'!$E$4),"#,##0")&amp;" thùng/lon nhập sau đó"</f>
        <v>Số liệu đến ngày 08/10/2026  |  Tồn đầu kỳ hết 07/06/2026  |  Đã ghi 19 thùng/lon nhập sau đó</v>
      </c>
    </row>
    <row r="4" customFormat="false" ht="25.5" hidden="false" customHeight="true" outlineLevel="0" collapsed="false">
      <c r="A4" s="3" t="s">
        <v>1</v>
      </c>
      <c r="B4" s="3"/>
      <c r="C4" s="3" t="s">
        <v>2</v>
      </c>
      <c r="D4" s="3"/>
      <c r="E4" s="4" t="s">
        <v>3</v>
      </c>
      <c r="F4" s="4"/>
      <c r="G4" s="5" t="s">
        <v>4</v>
      </c>
      <c r="H4" s="5"/>
      <c r="I4" s="6" t="s">
        <v>5</v>
      </c>
      <c r="J4" s="6"/>
    </row>
    <row r="5" customFormat="false" ht="36" hidden="false" customHeight="true" outlineLevel="0" collapsed="false">
      <c r="A5" s="7" t="n">
        <f aca="false">SUM('TỒN KHO'!$J$11:$J$56)</f>
        <v>2143</v>
      </c>
      <c r="B5" s="7"/>
      <c r="C5" s="8" t="n">
        <f aca="false">SUM('TỒN KHO'!$O$11:$O$56)</f>
        <v>6388899000</v>
      </c>
      <c r="D5" s="8"/>
      <c r="E5" s="9" t="n">
        <f aca="false">COUNTIF('TỒN KHO'!$P$11:$P$56,"HẾT HÀNG")</f>
        <v>0</v>
      </c>
      <c r="F5" s="9"/>
      <c r="G5" s="10" t="n">
        <f aca="false">COUNTIF('TỒN KHO'!$P$11:$P$56,"SẮP HẾT")</f>
        <v>1</v>
      </c>
      <c r="H5" s="10"/>
      <c r="I5" s="11" t="n">
        <f aca="false">COUNTIF('TỒN KHO'!$P$11:$P$56,"ÂM*")</f>
        <v>3</v>
      </c>
      <c r="J5" s="11"/>
    </row>
    <row r="7" customFormat="false" ht="15" hidden="false" customHeight="false" outlineLevel="0" collapsed="false">
      <c r="A7" s="12" t="s">
        <v>6</v>
      </c>
    </row>
    <row r="8" customFormat="false" ht="30" hidden="false" customHeight="true" outlineLevel="0" collapsed="false">
      <c r="A8" s="13" t="s">
        <v>7</v>
      </c>
      <c r="B8" s="13" t="s">
        <v>8</v>
      </c>
      <c r="C8" s="13" t="s">
        <v>9</v>
      </c>
      <c r="D8" s="13" t="s">
        <v>10</v>
      </c>
      <c r="E8" s="13" t="s">
        <v>11</v>
      </c>
      <c r="F8" s="13" t="s">
        <v>12</v>
      </c>
      <c r="G8" s="13" t="s">
        <v>13</v>
      </c>
      <c r="H8" s="13" t="s">
        <v>14</v>
      </c>
      <c r="I8" s="13" t="s">
        <v>15</v>
      </c>
      <c r="L8" s="14" t="s">
        <v>16</v>
      </c>
    </row>
    <row r="9" customFormat="false" ht="15" hidden="false" customHeight="false" outlineLevel="0" collapsed="false">
      <c r="A9" s="15" t="n">
        <v>1</v>
      </c>
      <c r="B9" s="15" t="str">
        <f aca="false">IF($L9="","",INDEX('TỒN KHO'!$C$11:$C$56,$L9))</f>
        <v>IEW</v>
      </c>
      <c r="C9" s="15" t="str">
        <f aca="false">IF($L9="","",INDEX('TỒN KHO'!$E$11:$E$56,$L9))</f>
        <v>18L</v>
      </c>
      <c r="D9" s="15" t="str">
        <f aca="false">IF($L9="","",INDEX('TỒN KHO'!$D$11:$D$56,$L9))</f>
        <v>Sơn nội thất siêu trắng Imperia IEW</v>
      </c>
      <c r="E9" s="16" t="n">
        <f aca="false">IF($L9="","",INDEX('TỒN KHO'!$J$11:$J$56,$L9))</f>
        <v>3</v>
      </c>
      <c r="F9" s="17" t="n">
        <f aca="false">IF($L9="","",INDEX('TỒN KHO'!$L$11:$L$56,$L9))</f>
        <v>0.222222222222222</v>
      </c>
      <c r="G9" s="18" t="n">
        <f aca="false">IF($L9="","",INDEX('TỒN KHO'!$M$11:$M$56,$L9))</f>
        <v>13.5</v>
      </c>
      <c r="H9" s="19" t="n">
        <f aca="false">IF($L9="","",INDEX('TỒN KHO'!$N$11:$N$56,$L9))</f>
        <v>7</v>
      </c>
      <c r="I9" s="15" t="str">
        <f aca="false">IF($L9="","",INDEX('TỒN KHO'!$P$11:$P$56,$L9))</f>
        <v>SẮP HẾT</v>
      </c>
      <c r="L9" s="20" t="n">
        <f aca="false">IFERROR(MATCH(SMALL('TỒN KHO'!$Q$11:$Q$56,A9),'TỒN KHO'!$Q$11:$Q$56,0),"")</f>
        <v>14</v>
      </c>
    </row>
    <row r="10" customFormat="false" ht="15" hidden="false" customHeight="false" outlineLevel="0" collapsed="false">
      <c r="A10" s="15" t="n">
        <v>2</v>
      </c>
      <c r="B10" s="15" t="str">
        <f aca="false">IF($L10="","",INDEX('TỒN KHO'!$C$11:$C$56,$L10))</f>
        <v/>
      </c>
      <c r="C10" s="15" t="str">
        <f aca="false">IF($L10="","",INDEX('TỒN KHO'!$E$11:$E$56,$L10))</f>
        <v/>
      </c>
      <c r="D10" s="15" t="str">
        <f aca="false">IF($L10="","",INDEX('TỒN KHO'!$D$11:$D$56,$L10))</f>
        <v/>
      </c>
      <c r="E10" s="15" t="str">
        <f aca="false">IF($L10="","",INDEX('TỒN KHO'!$J$11:$J$56,$L10))</f>
        <v/>
      </c>
      <c r="F10" s="17" t="str">
        <f aca="false">IF($L10="","",INDEX('TỒN KHO'!$L$11:$L$56,$L10))</f>
        <v/>
      </c>
      <c r="G10" s="18" t="str">
        <f aca="false">IF($L10="","",INDEX('TỒN KHO'!$M$11:$M$56,$L10))</f>
        <v/>
      </c>
      <c r="H10" s="19" t="str">
        <f aca="false">IF($L10="","",INDEX('TỒN KHO'!$N$11:$N$56,$L10))</f>
        <v/>
      </c>
      <c r="I10" s="15" t="str">
        <f aca="false">IF($L10="","",INDEX('TỒN KHO'!$P$11:$P$56,$L10))</f>
        <v/>
      </c>
      <c r="L10" s="20" t="str">
        <f aca="false">IFERROR(MATCH(SMALL('TỒN KHO'!$Q$11:$Q$56,A10),'TỒN KHO'!$Q$11:$Q$56,0),"")</f>
        <v/>
      </c>
    </row>
    <row r="11" customFormat="false" ht="15" hidden="false" customHeight="false" outlineLevel="0" collapsed="false">
      <c r="A11" s="15" t="n">
        <v>3</v>
      </c>
      <c r="B11" s="15" t="str">
        <f aca="false">IF($L11="","",INDEX('TỒN KHO'!$C$11:$C$56,$L11))</f>
        <v/>
      </c>
      <c r="C11" s="15" t="str">
        <f aca="false">IF($L11="","",INDEX('TỒN KHO'!$E$11:$E$56,$L11))</f>
        <v/>
      </c>
      <c r="D11" s="15" t="str">
        <f aca="false">IF($L11="","",INDEX('TỒN KHO'!$D$11:$D$56,$L11))</f>
        <v/>
      </c>
      <c r="E11" s="15" t="str">
        <f aca="false">IF($L11="","",INDEX('TỒN KHO'!$J$11:$J$56,$L11))</f>
        <v/>
      </c>
      <c r="F11" s="17" t="str">
        <f aca="false">IF($L11="","",INDEX('TỒN KHO'!$L$11:$L$56,$L11))</f>
        <v/>
      </c>
      <c r="G11" s="18" t="str">
        <f aca="false">IF($L11="","",INDEX('TỒN KHO'!$M$11:$M$56,$L11))</f>
        <v/>
      </c>
      <c r="H11" s="19" t="str">
        <f aca="false">IF($L11="","",INDEX('TỒN KHO'!$N$11:$N$56,$L11))</f>
        <v/>
      </c>
      <c r="I11" s="15" t="str">
        <f aca="false">IF($L11="","",INDEX('TỒN KHO'!$P$11:$P$56,$L11))</f>
        <v/>
      </c>
      <c r="L11" s="20" t="str">
        <f aca="false">IFERROR(MATCH(SMALL('TỒN KHO'!$Q$11:$Q$56,A11),'TỒN KHO'!$Q$11:$Q$56,0),"")</f>
        <v/>
      </c>
    </row>
    <row r="12" customFormat="false" ht="15" hidden="false" customHeight="false" outlineLevel="0" collapsed="false">
      <c r="A12" s="15" t="n">
        <v>4</v>
      </c>
      <c r="B12" s="15" t="str">
        <f aca="false">IF($L12="","",INDEX('TỒN KHO'!$C$11:$C$56,$L12))</f>
        <v/>
      </c>
      <c r="C12" s="15" t="str">
        <f aca="false">IF($L12="","",INDEX('TỒN KHO'!$E$11:$E$56,$L12))</f>
        <v/>
      </c>
      <c r="D12" s="15" t="str">
        <f aca="false">IF($L12="","",INDEX('TỒN KHO'!$D$11:$D$56,$L12))</f>
        <v/>
      </c>
      <c r="E12" s="15" t="str">
        <f aca="false">IF($L12="","",INDEX('TỒN KHO'!$J$11:$J$56,$L12))</f>
        <v/>
      </c>
      <c r="F12" s="17" t="str">
        <f aca="false">IF($L12="","",INDEX('TỒN KHO'!$L$11:$L$56,$L12))</f>
        <v/>
      </c>
      <c r="G12" s="18" t="str">
        <f aca="false">IF($L12="","",INDEX('TỒN KHO'!$M$11:$M$56,$L12))</f>
        <v/>
      </c>
      <c r="H12" s="19" t="str">
        <f aca="false">IF($L12="","",INDEX('TỒN KHO'!$N$11:$N$56,$L12))</f>
        <v/>
      </c>
      <c r="I12" s="15" t="str">
        <f aca="false">IF($L12="","",INDEX('TỒN KHO'!$P$11:$P$56,$L12))</f>
        <v/>
      </c>
      <c r="L12" s="20" t="str">
        <f aca="false">IFERROR(MATCH(SMALL('TỒN KHO'!$Q$11:$Q$56,A12),'TỒN KHO'!$Q$11:$Q$56,0),"")</f>
        <v/>
      </c>
    </row>
    <row r="13" customFormat="false" ht="15" hidden="false" customHeight="false" outlineLevel="0" collapsed="false">
      <c r="A13" s="15" t="n">
        <v>5</v>
      </c>
      <c r="B13" s="15" t="str">
        <f aca="false">IF($L13="","",INDEX('TỒN KHO'!$C$11:$C$56,$L13))</f>
        <v/>
      </c>
      <c r="C13" s="15" t="str">
        <f aca="false">IF($L13="","",INDEX('TỒN KHO'!$E$11:$E$56,$L13))</f>
        <v/>
      </c>
      <c r="D13" s="15" t="str">
        <f aca="false">IF($L13="","",INDEX('TỒN KHO'!$D$11:$D$56,$L13))</f>
        <v/>
      </c>
      <c r="E13" s="15" t="str">
        <f aca="false">IF($L13="","",INDEX('TỒN KHO'!$J$11:$J$56,$L13))</f>
        <v/>
      </c>
      <c r="F13" s="17" t="str">
        <f aca="false">IF($L13="","",INDEX('TỒN KHO'!$L$11:$L$56,$L13))</f>
        <v/>
      </c>
      <c r="G13" s="18" t="str">
        <f aca="false">IF($L13="","",INDEX('TỒN KHO'!$M$11:$M$56,$L13))</f>
        <v/>
      </c>
      <c r="H13" s="19" t="str">
        <f aca="false">IF($L13="","",INDEX('TỒN KHO'!$N$11:$N$56,$L13))</f>
        <v/>
      </c>
      <c r="I13" s="15" t="str">
        <f aca="false">IF($L13="","",INDEX('TỒN KHO'!$P$11:$P$56,$L13))</f>
        <v/>
      </c>
      <c r="L13" s="20" t="str">
        <f aca="false">IFERROR(MATCH(SMALL('TỒN KHO'!$Q$11:$Q$56,A13),'TỒN KHO'!$Q$11:$Q$56,0),"")</f>
        <v/>
      </c>
    </row>
    <row r="14" customFormat="false" ht="15" hidden="false" customHeight="false" outlineLevel="0" collapsed="false">
      <c r="A14" s="15" t="n">
        <v>6</v>
      </c>
      <c r="B14" s="15" t="str">
        <f aca="false">IF($L14="","",INDEX('TỒN KHO'!$C$11:$C$56,$L14))</f>
        <v/>
      </c>
      <c r="C14" s="15" t="str">
        <f aca="false">IF($L14="","",INDEX('TỒN KHO'!$E$11:$E$56,$L14))</f>
        <v/>
      </c>
      <c r="D14" s="15" t="str">
        <f aca="false">IF($L14="","",INDEX('TỒN KHO'!$D$11:$D$56,$L14))</f>
        <v/>
      </c>
      <c r="E14" s="15" t="str">
        <f aca="false">IF($L14="","",INDEX('TỒN KHO'!$J$11:$J$56,$L14))</f>
        <v/>
      </c>
      <c r="F14" s="17" t="str">
        <f aca="false">IF($L14="","",INDEX('TỒN KHO'!$L$11:$L$56,$L14))</f>
        <v/>
      </c>
      <c r="G14" s="18" t="str">
        <f aca="false">IF($L14="","",INDEX('TỒN KHO'!$M$11:$M$56,$L14))</f>
        <v/>
      </c>
      <c r="H14" s="19" t="str">
        <f aca="false">IF($L14="","",INDEX('TỒN KHO'!$N$11:$N$56,$L14))</f>
        <v/>
      </c>
      <c r="I14" s="15" t="str">
        <f aca="false">IF($L14="","",INDEX('TỒN KHO'!$P$11:$P$56,$L14))</f>
        <v/>
      </c>
      <c r="L14" s="20" t="str">
        <f aca="false">IFERROR(MATCH(SMALL('TỒN KHO'!$Q$11:$Q$56,A14),'TỒN KHO'!$Q$11:$Q$56,0),"")</f>
        <v/>
      </c>
    </row>
    <row r="15" customFormat="false" ht="15" hidden="false" customHeight="false" outlineLevel="0" collapsed="false">
      <c r="A15" s="15" t="n">
        <v>7</v>
      </c>
      <c r="B15" s="15" t="str">
        <f aca="false">IF($L15="","",INDEX('TỒN KHO'!$C$11:$C$56,$L15))</f>
        <v/>
      </c>
      <c r="C15" s="15" t="str">
        <f aca="false">IF($L15="","",INDEX('TỒN KHO'!$E$11:$E$56,$L15))</f>
        <v/>
      </c>
      <c r="D15" s="15" t="str">
        <f aca="false">IF($L15="","",INDEX('TỒN KHO'!$D$11:$D$56,$L15))</f>
        <v/>
      </c>
      <c r="E15" s="15" t="str">
        <f aca="false">IF($L15="","",INDEX('TỒN KHO'!$J$11:$J$56,$L15))</f>
        <v/>
      </c>
      <c r="F15" s="17" t="str">
        <f aca="false">IF($L15="","",INDEX('TỒN KHO'!$L$11:$L$56,$L15))</f>
        <v/>
      </c>
      <c r="G15" s="18" t="str">
        <f aca="false">IF($L15="","",INDEX('TỒN KHO'!$M$11:$M$56,$L15))</f>
        <v/>
      </c>
      <c r="H15" s="19" t="str">
        <f aca="false">IF($L15="","",INDEX('TỒN KHO'!$N$11:$N$56,$L15))</f>
        <v/>
      </c>
      <c r="I15" s="15" t="str">
        <f aca="false">IF($L15="","",INDEX('TỒN KHO'!$P$11:$P$56,$L15))</f>
        <v/>
      </c>
      <c r="L15" s="20" t="str">
        <f aca="false">IFERROR(MATCH(SMALL('TỒN KHO'!$Q$11:$Q$56,A15),'TỒN KHO'!$Q$11:$Q$56,0),"")</f>
        <v/>
      </c>
    </row>
    <row r="16" customFormat="false" ht="15" hidden="false" customHeight="false" outlineLevel="0" collapsed="false">
      <c r="A16" s="15" t="n">
        <v>8</v>
      </c>
      <c r="B16" s="15" t="str">
        <f aca="false">IF($L16="","",INDEX('TỒN KHO'!$C$11:$C$56,$L16))</f>
        <v/>
      </c>
      <c r="C16" s="15" t="str">
        <f aca="false">IF($L16="","",INDEX('TỒN KHO'!$E$11:$E$56,$L16))</f>
        <v/>
      </c>
      <c r="D16" s="15" t="str">
        <f aca="false">IF($L16="","",INDEX('TỒN KHO'!$D$11:$D$56,$L16))</f>
        <v/>
      </c>
      <c r="E16" s="15" t="str">
        <f aca="false">IF($L16="","",INDEX('TỒN KHO'!$J$11:$J$56,$L16))</f>
        <v/>
      </c>
      <c r="F16" s="17" t="str">
        <f aca="false">IF($L16="","",INDEX('TỒN KHO'!$L$11:$L$56,$L16))</f>
        <v/>
      </c>
      <c r="G16" s="18" t="str">
        <f aca="false">IF($L16="","",INDEX('TỒN KHO'!$M$11:$M$56,$L16))</f>
        <v/>
      </c>
      <c r="H16" s="19" t="str">
        <f aca="false">IF($L16="","",INDEX('TỒN KHO'!$N$11:$N$56,$L16))</f>
        <v/>
      </c>
      <c r="I16" s="15" t="str">
        <f aca="false">IF($L16="","",INDEX('TỒN KHO'!$P$11:$P$56,$L16))</f>
        <v/>
      </c>
      <c r="L16" s="20" t="str">
        <f aca="false">IFERROR(MATCH(SMALL('TỒN KHO'!$Q$11:$Q$56,A16),'TỒN KHO'!$Q$11:$Q$56,0),"")</f>
        <v/>
      </c>
    </row>
    <row r="17" customFormat="false" ht="15" hidden="false" customHeight="false" outlineLevel="0" collapsed="false">
      <c r="A17" s="15" t="n">
        <v>9</v>
      </c>
      <c r="B17" s="15" t="str">
        <f aca="false">IF($L17="","",INDEX('TỒN KHO'!$C$11:$C$56,$L17))</f>
        <v/>
      </c>
      <c r="C17" s="15" t="str">
        <f aca="false">IF($L17="","",INDEX('TỒN KHO'!$E$11:$E$56,$L17))</f>
        <v/>
      </c>
      <c r="D17" s="15" t="str">
        <f aca="false">IF($L17="","",INDEX('TỒN KHO'!$D$11:$D$56,$L17))</f>
        <v/>
      </c>
      <c r="E17" s="15" t="str">
        <f aca="false">IF($L17="","",INDEX('TỒN KHO'!$J$11:$J$56,$L17))</f>
        <v/>
      </c>
      <c r="F17" s="17" t="str">
        <f aca="false">IF($L17="","",INDEX('TỒN KHO'!$L$11:$L$56,$L17))</f>
        <v/>
      </c>
      <c r="G17" s="18" t="str">
        <f aca="false">IF($L17="","",INDEX('TỒN KHO'!$M$11:$M$56,$L17))</f>
        <v/>
      </c>
      <c r="H17" s="19" t="str">
        <f aca="false">IF($L17="","",INDEX('TỒN KHO'!$N$11:$N$56,$L17))</f>
        <v/>
      </c>
      <c r="I17" s="15" t="str">
        <f aca="false">IF($L17="","",INDEX('TỒN KHO'!$P$11:$P$56,$L17))</f>
        <v/>
      </c>
      <c r="L17" s="20" t="str">
        <f aca="false">IFERROR(MATCH(SMALL('TỒN KHO'!$Q$11:$Q$56,A17),'TỒN KHO'!$Q$11:$Q$56,0),"")</f>
        <v/>
      </c>
    </row>
    <row r="18" customFormat="false" ht="15" hidden="false" customHeight="false" outlineLevel="0" collapsed="false">
      <c r="A18" s="15" t="n">
        <v>10</v>
      </c>
      <c r="B18" s="15" t="str">
        <f aca="false">IF($L18="","",INDEX('TỒN KHO'!$C$11:$C$56,$L18))</f>
        <v/>
      </c>
      <c r="C18" s="15" t="str">
        <f aca="false">IF($L18="","",INDEX('TỒN KHO'!$E$11:$E$56,$L18))</f>
        <v/>
      </c>
      <c r="D18" s="15" t="str">
        <f aca="false">IF($L18="","",INDEX('TỒN KHO'!$D$11:$D$56,$L18))</f>
        <v/>
      </c>
      <c r="E18" s="15" t="str">
        <f aca="false">IF($L18="","",INDEX('TỒN KHO'!$J$11:$J$56,$L18))</f>
        <v/>
      </c>
      <c r="F18" s="17" t="str">
        <f aca="false">IF($L18="","",INDEX('TỒN KHO'!$L$11:$L$56,$L18))</f>
        <v/>
      </c>
      <c r="G18" s="18" t="str">
        <f aca="false">IF($L18="","",INDEX('TỒN KHO'!$M$11:$M$56,$L18))</f>
        <v/>
      </c>
      <c r="H18" s="19" t="str">
        <f aca="false">IF($L18="","",INDEX('TỒN KHO'!$N$11:$N$56,$L18))</f>
        <v/>
      </c>
      <c r="I18" s="15" t="str">
        <f aca="false">IF($L18="","",INDEX('TỒN KHO'!$P$11:$P$56,$L18))</f>
        <v/>
      </c>
      <c r="L18" s="20" t="str">
        <f aca="false">IFERROR(MATCH(SMALL('TỒN KHO'!$Q$11:$Q$56,A18),'TỒN KHO'!$Q$11:$Q$56,0),"")</f>
        <v/>
      </c>
    </row>
    <row r="19" customFormat="false" ht="15" hidden="false" customHeight="false" outlineLevel="0" collapsed="false">
      <c r="A19" s="15" t="n">
        <v>11</v>
      </c>
      <c r="B19" s="15" t="str">
        <f aca="false">IF($L19="","",INDEX('TỒN KHO'!$C$11:$C$56,$L19))</f>
        <v/>
      </c>
      <c r="C19" s="15" t="str">
        <f aca="false">IF($L19="","",INDEX('TỒN KHO'!$E$11:$E$56,$L19))</f>
        <v/>
      </c>
      <c r="D19" s="15" t="str">
        <f aca="false">IF($L19="","",INDEX('TỒN KHO'!$D$11:$D$56,$L19))</f>
        <v/>
      </c>
      <c r="E19" s="15" t="str">
        <f aca="false">IF($L19="","",INDEX('TỒN KHO'!$J$11:$J$56,$L19))</f>
        <v/>
      </c>
      <c r="F19" s="17" t="str">
        <f aca="false">IF($L19="","",INDEX('TỒN KHO'!$L$11:$L$56,$L19))</f>
        <v/>
      </c>
      <c r="G19" s="18" t="str">
        <f aca="false">IF($L19="","",INDEX('TỒN KHO'!$M$11:$M$56,$L19))</f>
        <v/>
      </c>
      <c r="H19" s="19" t="str">
        <f aca="false">IF($L19="","",INDEX('TỒN KHO'!$N$11:$N$56,$L19))</f>
        <v/>
      </c>
      <c r="I19" s="15" t="str">
        <f aca="false">IF($L19="","",INDEX('TỒN KHO'!$P$11:$P$56,$L19))</f>
        <v/>
      </c>
      <c r="L19" s="20" t="str">
        <f aca="false">IFERROR(MATCH(SMALL('TỒN KHO'!$Q$11:$Q$56,A19),'TỒN KHO'!$Q$11:$Q$56,0),"")</f>
        <v/>
      </c>
    </row>
    <row r="20" customFormat="false" ht="15" hidden="false" customHeight="false" outlineLevel="0" collapsed="false">
      <c r="A20" s="15" t="n">
        <v>12</v>
      </c>
      <c r="B20" s="15" t="str">
        <f aca="false">IF($L20="","",INDEX('TỒN KHO'!$C$11:$C$56,$L20))</f>
        <v/>
      </c>
      <c r="C20" s="15" t="str">
        <f aca="false">IF($L20="","",INDEX('TỒN KHO'!$E$11:$E$56,$L20))</f>
        <v/>
      </c>
      <c r="D20" s="15" t="str">
        <f aca="false">IF($L20="","",INDEX('TỒN KHO'!$D$11:$D$56,$L20))</f>
        <v/>
      </c>
      <c r="E20" s="15" t="str">
        <f aca="false">IF($L20="","",INDEX('TỒN KHO'!$J$11:$J$56,$L20))</f>
        <v/>
      </c>
      <c r="F20" s="17" t="str">
        <f aca="false">IF($L20="","",INDEX('TỒN KHO'!$L$11:$L$56,$L20))</f>
        <v/>
      </c>
      <c r="G20" s="18" t="str">
        <f aca="false">IF($L20="","",INDEX('TỒN KHO'!$M$11:$M$56,$L20))</f>
        <v/>
      </c>
      <c r="H20" s="19" t="str">
        <f aca="false">IF($L20="","",INDEX('TỒN KHO'!$N$11:$N$56,$L20))</f>
        <v/>
      </c>
      <c r="I20" s="15" t="str">
        <f aca="false">IF($L20="","",INDEX('TỒN KHO'!$P$11:$P$56,$L20))</f>
        <v/>
      </c>
      <c r="L20" s="20" t="str">
        <f aca="false">IFERROR(MATCH(SMALL('TỒN KHO'!$Q$11:$Q$56,A20),'TỒN KHO'!$Q$11:$Q$56,0),"")</f>
        <v/>
      </c>
    </row>
    <row r="21" customFormat="false" ht="15" hidden="false" customHeight="false" outlineLevel="0" collapsed="false">
      <c r="A21" s="15" t="n">
        <v>13</v>
      </c>
      <c r="B21" s="15" t="str">
        <f aca="false">IF($L21="","",INDEX('TỒN KHO'!$C$11:$C$56,$L21))</f>
        <v/>
      </c>
      <c r="C21" s="15" t="str">
        <f aca="false">IF($L21="","",INDEX('TỒN KHO'!$E$11:$E$56,$L21))</f>
        <v/>
      </c>
      <c r="D21" s="15" t="str">
        <f aca="false">IF($L21="","",INDEX('TỒN KHO'!$D$11:$D$56,$L21))</f>
        <v/>
      </c>
      <c r="E21" s="15" t="str">
        <f aca="false">IF($L21="","",INDEX('TỒN KHO'!$J$11:$J$56,$L21))</f>
        <v/>
      </c>
      <c r="F21" s="17" t="str">
        <f aca="false">IF($L21="","",INDEX('TỒN KHO'!$L$11:$L$56,$L21))</f>
        <v/>
      </c>
      <c r="G21" s="18" t="str">
        <f aca="false">IF($L21="","",INDEX('TỒN KHO'!$M$11:$M$56,$L21))</f>
        <v/>
      </c>
      <c r="H21" s="19" t="str">
        <f aca="false">IF($L21="","",INDEX('TỒN KHO'!$N$11:$N$56,$L21))</f>
        <v/>
      </c>
      <c r="I21" s="15" t="str">
        <f aca="false">IF($L21="","",INDEX('TỒN KHO'!$P$11:$P$56,$L21))</f>
        <v/>
      </c>
      <c r="L21" s="20" t="str">
        <f aca="false">IFERROR(MATCH(SMALL('TỒN KHO'!$Q$11:$Q$56,A21),'TỒN KHO'!$Q$11:$Q$56,0),"")</f>
        <v/>
      </c>
    </row>
    <row r="22" customFormat="false" ht="15" hidden="false" customHeight="false" outlineLevel="0" collapsed="false">
      <c r="A22" s="15" t="n">
        <v>14</v>
      </c>
      <c r="B22" s="15" t="str">
        <f aca="false">IF($L22="","",INDEX('TỒN KHO'!$C$11:$C$56,$L22))</f>
        <v/>
      </c>
      <c r="C22" s="15" t="str">
        <f aca="false">IF($L22="","",INDEX('TỒN KHO'!$E$11:$E$56,$L22))</f>
        <v/>
      </c>
      <c r="D22" s="15" t="str">
        <f aca="false">IF($L22="","",INDEX('TỒN KHO'!$D$11:$D$56,$L22))</f>
        <v/>
      </c>
      <c r="E22" s="15" t="str">
        <f aca="false">IF($L22="","",INDEX('TỒN KHO'!$J$11:$J$56,$L22))</f>
        <v/>
      </c>
      <c r="F22" s="17" t="str">
        <f aca="false">IF($L22="","",INDEX('TỒN KHO'!$L$11:$L$56,$L22))</f>
        <v/>
      </c>
      <c r="G22" s="18" t="str">
        <f aca="false">IF($L22="","",INDEX('TỒN KHO'!$M$11:$M$56,$L22))</f>
        <v/>
      </c>
      <c r="H22" s="19" t="str">
        <f aca="false">IF($L22="","",INDEX('TỒN KHO'!$N$11:$N$56,$L22))</f>
        <v/>
      </c>
      <c r="I22" s="15" t="str">
        <f aca="false">IF($L22="","",INDEX('TỒN KHO'!$P$11:$P$56,$L22))</f>
        <v/>
      </c>
      <c r="L22" s="20" t="str">
        <f aca="false">IFERROR(MATCH(SMALL('TỒN KHO'!$Q$11:$Q$56,A22),'TỒN KHO'!$Q$11:$Q$56,0),"")</f>
        <v/>
      </c>
    </row>
    <row r="23" customFormat="false" ht="15" hidden="false" customHeight="false" outlineLevel="0" collapsed="false">
      <c r="A23" s="15" t="n">
        <v>15</v>
      </c>
      <c r="B23" s="15" t="str">
        <f aca="false">IF($L23="","",INDEX('TỒN KHO'!$C$11:$C$56,$L23))</f>
        <v/>
      </c>
      <c r="C23" s="15" t="str">
        <f aca="false">IF($L23="","",INDEX('TỒN KHO'!$E$11:$E$56,$L23))</f>
        <v/>
      </c>
      <c r="D23" s="15" t="str">
        <f aca="false">IF($L23="","",INDEX('TỒN KHO'!$D$11:$D$56,$L23))</f>
        <v/>
      </c>
      <c r="E23" s="15" t="str">
        <f aca="false">IF($L23="","",INDEX('TỒN KHO'!$J$11:$J$56,$L23))</f>
        <v/>
      </c>
      <c r="F23" s="17" t="str">
        <f aca="false">IF($L23="","",INDEX('TỒN KHO'!$L$11:$L$56,$L23))</f>
        <v/>
      </c>
      <c r="G23" s="18" t="str">
        <f aca="false">IF($L23="","",INDEX('TỒN KHO'!$M$11:$M$56,$L23))</f>
        <v/>
      </c>
      <c r="H23" s="19" t="str">
        <f aca="false">IF($L23="","",INDEX('TỒN KHO'!$N$11:$N$56,$L23))</f>
        <v/>
      </c>
      <c r="I23" s="15" t="str">
        <f aca="false">IF($L23="","",INDEX('TỒN KHO'!$P$11:$P$56,$L23))</f>
        <v/>
      </c>
      <c r="L23" s="20" t="str">
        <f aca="false">IFERROR(MATCH(SMALL('TỒN KHO'!$Q$11:$Q$56,A23),'TỒN KHO'!$Q$11:$Q$56,0),"")</f>
        <v/>
      </c>
    </row>
    <row r="25" customFormat="false" ht="15" hidden="false" customHeight="false" outlineLevel="0" collapsed="false">
      <c r="A25" s="21" t="s">
        <v>17</v>
      </c>
    </row>
    <row r="26" customFormat="false" ht="30" hidden="false" customHeight="true" outlineLevel="0" collapsed="false">
      <c r="A26" s="13" t="s">
        <v>7</v>
      </c>
      <c r="B26" s="13" t="s">
        <v>8</v>
      </c>
      <c r="C26" s="13" t="s">
        <v>9</v>
      </c>
      <c r="D26" s="13" t="s">
        <v>10</v>
      </c>
      <c r="E26" s="13" t="s">
        <v>18</v>
      </c>
      <c r="F26" s="13" t="s">
        <v>19</v>
      </c>
      <c r="G26" s="13" t="s">
        <v>13</v>
      </c>
      <c r="H26" s="13" t="s">
        <v>15</v>
      </c>
    </row>
    <row r="27" customFormat="false" ht="15" hidden="false" customHeight="false" outlineLevel="0" collapsed="false">
      <c r="A27" s="15" t="n">
        <v>1</v>
      </c>
      <c r="B27" s="15" t="str">
        <f aca="false">IF($L27="","",INDEX('TỒN KHO'!$C$11:$C$56,$L27))</f>
        <v>IG05</v>
      </c>
      <c r="C27" s="15" t="str">
        <f aca="false">IF($L27="","",INDEX('TỒN KHO'!$E$11:$E$56,$L27))</f>
        <v>18L</v>
      </c>
      <c r="D27" s="15" t="str">
        <f aca="false">IF($L27="","",INDEX('TỒN KHO'!$D$11:$D$56,$L27))</f>
        <v>Sơn nội thất siêu bóng cao cấp Imperia IG05</v>
      </c>
      <c r="E27" s="16" t="n">
        <f aca="false">IF($L27="","",INDEX('TỒN KHO'!$K$11:$K$56,$L27))</f>
        <v>49</v>
      </c>
      <c r="F27" s="16" t="n">
        <f aca="false">IF($L27="","",INDEX('TỒN KHO'!$J$11:$J$56,$L27))</f>
        <v>107</v>
      </c>
      <c r="G27" s="18" t="n">
        <f aca="false">IF($L27="","",INDEX('TỒN KHO'!$M$11:$M$56,$L27))</f>
        <v>196.530612244898</v>
      </c>
      <c r="H27" s="15" t="str">
        <f aca="false">IF($L27="","",INDEX('TỒN KHO'!$P$11:$P$56,$L27))</f>
        <v>Đủ hàng</v>
      </c>
      <c r="L27" s="20" t="n">
        <f aca="false">IFERROR(MATCH(LARGE('TỒN KHO'!$R$11:$R$56,A27),'TỒN KHO'!$R$11:$R$56,0),"")</f>
        <v>20</v>
      </c>
    </row>
    <row r="28" customFormat="false" ht="15" hidden="false" customHeight="false" outlineLevel="0" collapsed="false">
      <c r="A28" s="15" t="n">
        <v>2</v>
      </c>
      <c r="B28" s="15" t="str">
        <f aca="false">IF($L28="","",INDEX('TỒN KHO'!$C$11:$C$56,$L28))</f>
        <v>PI04</v>
      </c>
      <c r="C28" s="15" t="str">
        <f aca="false">IF($L28="","",INDEX('TỒN KHO'!$E$11:$E$56,$L28))</f>
        <v>18L</v>
      </c>
      <c r="D28" s="15" t="str">
        <f aca="false">IF($L28="","",INDEX('TỒN KHO'!$D$11:$D$56,$L28))</f>
        <v>Sơn lót nội thất kháng kiềm cao cấp Imperia PI04</v>
      </c>
      <c r="E28" s="16" t="n">
        <f aca="false">IF($L28="","",INDEX('TỒN KHO'!$K$11:$K$56,$L28))</f>
        <v>46</v>
      </c>
      <c r="F28" s="16" t="n">
        <f aca="false">IF($L28="","",INDEX('TỒN KHO'!$J$11:$J$56,$L28))</f>
        <v>117</v>
      </c>
      <c r="G28" s="18" t="n">
        <f aca="false">IF($L28="","",INDEX('TỒN KHO'!$M$11:$M$56,$L28))</f>
        <v>228.913043478261</v>
      </c>
      <c r="H28" s="15" t="str">
        <f aca="false">IF($L28="","",INDEX('TỒN KHO'!$P$11:$P$56,$L28))</f>
        <v>Đủ hàng</v>
      </c>
      <c r="L28" s="20" t="n">
        <f aca="false">IFERROR(MATCH(LARGE('TỒN KHO'!$R$11:$R$56,A28),'TỒN KHO'!$R$11:$R$56,0),"")</f>
        <v>2</v>
      </c>
    </row>
    <row r="29" customFormat="false" ht="15" hidden="false" customHeight="false" outlineLevel="0" collapsed="false">
      <c r="A29" s="15" t="n">
        <v>3</v>
      </c>
      <c r="B29" s="15" t="str">
        <f aca="false">IF($L29="","",INDEX('TỒN KHO'!$C$11:$C$56,$L29))</f>
        <v>ETM-309</v>
      </c>
      <c r="C29" s="15" t="str">
        <f aca="false">IF($L29="","",INDEX('TỒN KHO'!$E$11:$E$56,$L29))</f>
        <v>18L</v>
      </c>
      <c r="D29" s="15" t="str">
        <f aca="false">IF($L29="","",INDEX('TỒN KHO'!$D$11:$D$56,$L29))</f>
        <v>Sơn chống thấm màu ETM 309 (ghi đậm)</v>
      </c>
      <c r="E29" s="16" t="n">
        <f aca="false">IF($L29="","",INDEX('TỒN KHO'!$K$11:$K$56,$L29))</f>
        <v>31</v>
      </c>
      <c r="F29" s="16" t="n">
        <f aca="false">IF($L29="","",INDEX('TỒN KHO'!$J$11:$J$56,$L29))</f>
        <v>81</v>
      </c>
      <c r="G29" s="18" t="n">
        <f aca="false">IF($L29="","",INDEX('TỒN KHO'!$M$11:$M$56,$L29))</f>
        <v>235.161290322581</v>
      </c>
      <c r="H29" s="15" t="str">
        <f aca="false">IF($L29="","",INDEX('TỒN KHO'!$P$11:$P$56,$L29))</f>
        <v>Đủ hàng</v>
      </c>
      <c r="L29" s="20" t="n">
        <f aca="false">IFERROR(MATCH(LARGE('TỒN KHO'!$R$11:$R$56,A29),'TỒN KHO'!$R$11:$R$56,0),"")</f>
        <v>38</v>
      </c>
    </row>
    <row r="30" customFormat="false" ht="15" hidden="false" customHeight="false" outlineLevel="0" collapsed="false">
      <c r="A30" s="15" t="n">
        <v>4</v>
      </c>
      <c r="B30" s="15" t="str">
        <f aca="false">IF($L30="","",INDEX('TỒN KHO'!$C$11:$C$56,$L30))</f>
        <v>BA-NOI</v>
      </c>
      <c r="C30" s="15" t="str">
        <f aca="false">IF($L30="","",INDEX('TỒN KHO'!$E$11:$E$56,$L30))</f>
        <v>Bao</v>
      </c>
      <c r="D30" s="15" t="str">
        <f aca="false">IF($L30="","",INDEX('TỒN KHO'!$D$11:$D$56,$L30))</f>
        <v>Bột bả nội thất Imperia IP15 (40kg)</v>
      </c>
      <c r="E30" s="16" t="n">
        <f aca="false">IF($L30="","",INDEX('TỒN KHO'!$K$11:$K$56,$L30))</f>
        <v>21</v>
      </c>
      <c r="F30" s="16" t="n">
        <f aca="false">IF($L30="","",INDEX('TỒN KHO'!$J$11:$J$56,$L30))</f>
        <v>-21</v>
      </c>
      <c r="G30" s="18" t="n">
        <f aca="false">IF($L30="","",INDEX('TỒN KHO'!$M$11:$M$56,$L30))</f>
        <v>0</v>
      </c>
      <c r="H30" s="15" t="str">
        <f aca="false">IF($L30="","",INDEX('TỒN KHO'!$P$11:$P$56,$L30))</f>
        <v>ÂM KHO – kiểm tra</v>
      </c>
      <c r="L30" s="20" t="n">
        <f aca="false">IFERROR(MATCH(LARGE('TỒN KHO'!$R$11:$R$56,A30),'TỒN KHO'!$R$11:$R$56,0),"")</f>
        <v>45</v>
      </c>
    </row>
    <row r="31" customFormat="false" ht="15" hidden="false" customHeight="false" outlineLevel="0" collapsed="false">
      <c r="A31" s="15" t="n">
        <v>5</v>
      </c>
      <c r="B31" s="15" t="str">
        <f aca="false">IF($L31="","",INDEX('TỒN KHO'!$C$11:$C$56,$L31))</f>
        <v>IEW</v>
      </c>
      <c r="C31" s="15" t="str">
        <f aca="false">IF($L31="","",INDEX('TỒN KHO'!$E$11:$E$56,$L31))</f>
        <v>18L</v>
      </c>
      <c r="D31" s="15" t="str">
        <f aca="false">IF($L31="","",INDEX('TỒN KHO'!$D$11:$D$56,$L31))</f>
        <v>Sơn nội thất siêu trắng Imperia IEW</v>
      </c>
      <c r="E31" s="16" t="n">
        <f aca="false">IF($L31="","",INDEX('TỒN KHO'!$K$11:$K$56,$L31))</f>
        <v>20</v>
      </c>
      <c r="F31" s="16" t="n">
        <f aca="false">IF($L31="","",INDEX('TỒN KHO'!$J$11:$J$56,$L31))</f>
        <v>3</v>
      </c>
      <c r="G31" s="18" t="n">
        <f aca="false">IF($L31="","",INDEX('TỒN KHO'!$M$11:$M$56,$L31))</f>
        <v>13.5</v>
      </c>
      <c r="H31" s="15" t="str">
        <f aca="false">IF($L31="","",INDEX('TỒN KHO'!$P$11:$P$56,$L31))</f>
        <v>SẮP HẾT</v>
      </c>
      <c r="L31" s="20" t="n">
        <f aca="false">IFERROR(MATCH(LARGE('TỒN KHO'!$R$11:$R$56,A31),'TỒN KHO'!$R$11:$R$56,0),"")</f>
        <v>14</v>
      </c>
    </row>
    <row r="32" customFormat="false" ht="15" hidden="false" customHeight="false" outlineLevel="0" collapsed="false">
      <c r="A32" s="15" t="n">
        <v>6</v>
      </c>
      <c r="B32" s="15" t="str">
        <f aca="false">IF($L32="","",INDEX('TỒN KHO'!$C$11:$C$56,$L32))</f>
        <v>IL5</v>
      </c>
      <c r="C32" s="15" t="str">
        <f aca="false">IF($L32="","",INDEX('TỒN KHO'!$E$11:$E$56,$L32))</f>
        <v>18L</v>
      </c>
      <c r="D32" s="15" t="str">
        <f aca="false">IF($L32="","",INDEX('TỒN KHO'!$D$11:$D$56,$L32))</f>
        <v>Sơn lót nội thất kháng kiềm Silver IL5</v>
      </c>
      <c r="E32" s="16" t="n">
        <f aca="false">IF($L32="","",INDEX('TỒN KHO'!$K$11:$K$56,$L32))</f>
        <v>18</v>
      </c>
      <c r="F32" s="16" t="n">
        <f aca="false">IF($L32="","",INDEX('TỒN KHO'!$J$11:$J$56,$L32))</f>
        <v>62</v>
      </c>
      <c r="G32" s="18" t="n">
        <f aca="false">IF($L32="","",INDEX('TỒN KHO'!$M$11:$M$56,$L32))</f>
        <v>310</v>
      </c>
      <c r="H32" s="15" t="str">
        <f aca="false">IF($L32="","",INDEX('TỒN KHO'!$P$11:$P$56,$L32))</f>
        <v>Đủ hàng</v>
      </c>
      <c r="L32" s="20" t="n">
        <f aca="false">IFERROR(MATCH(LARGE('TỒN KHO'!$R$11:$R$56,A32),'TỒN KHO'!$R$11:$R$56,0),"")</f>
        <v>10</v>
      </c>
    </row>
    <row r="33" customFormat="false" ht="15" hidden="false" customHeight="false" outlineLevel="0" collapsed="false">
      <c r="A33" s="15" t="n">
        <v>7</v>
      </c>
      <c r="B33" s="15" t="str">
        <f aca="false">IF($L33="","",INDEX('TỒN KHO'!$C$11:$C$56,$L33))</f>
        <v>PE02</v>
      </c>
      <c r="C33" s="15" t="str">
        <f aca="false">IF($L33="","",INDEX('TỒN KHO'!$E$11:$E$56,$L33))</f>
        <v>18L</v>
      </c>
      <c r="D33" s="15" t="str">
        <f aca="false">IF($L33="","",INDEX('TỒN KHO'!$D$11:$D$56,$L33))</f>
        <v>Sơn lót ngoại thất kháng kiềm cao cấp Imperia PE02</v>
      </c>
      <c r="E33" s="16" t="n">
        <f aca="false">IF($L33="","",INDEX('TỒN KHO'!$K$11:$K$56,$L33))</f>
        <v>18</v>
      </c>
      <c r="F33" s="16" t="n">
        <f aca="false">IF($L33="","",INDEX('TỒN KHO'!$J$11:$J$56,$L33))</f>
        <v>225</v>
      </c>
      <c r="G33" s="18" t="n">
        <f aca="false">IF($L33="","",INDEX('TỒN KHO'!$M$11:$M$56,$L33))</f>
        <v>1125</v>
      </c>
      <c r="H33" s="15" t="str">
        <f aca="false">IF($L33="","",INDEX('TỒN KHO'!$P$11:$P$56,$L33))</f>
        <v>Đủ hàng</v>
      </c>
      <c r="L33" s="20" t="n">
        <f aca="false">IFERROR(MATCH(LARGE('TỒN KHO'!$R$11:$R$56,A33),'TỒN KHO'!$R$11:$R$56,0),"")</f>
        <v>4</v>
      </c>
    </row>
    <row r="34" customFormat="false" ht="15" hidden="false" customHeight="false" outlineLevel="0" collapsed="false">
      <c r="A34" s="15" t="n">
        <v>8</v>
      </c>
      <c r="B34" s="15" t="str">
        <f aca="false">IF($L34="","",INDEX('TỒN KHO'!$C$11:$C$56,$L34))</f>
        <v>EG09</v>
      </c>
      <c r="C34" s="15" t="str">
        <f aca="false">IF($L34="","",INDEX('TỒN KHO'!$E$11:$E$56,$L34))</f>
        <v>5L</v>
      </c>
      <c r="D34" s="15" t="str">
        <f aca="false">IF($L34="","",INDEX('TỒN KHO'!$D$11:$D$56,$L34))</f>
        <v>Sơn ngoại thất siêu bóng cao cấp Imperia EG09</v>
      </c>
      <c r="E34" s="16" t="n">
        <f aca="false">IF($L34="","",INDEX('TỒN KHO'!$K$11:$K$56,$L34))</f>
        <v>17</v>
      </c>
      <c r="F34" s="16" t="n">
        <f aca="false">IF($L34="","",INDEX('TỒN KHO'!$J$11:$J$56,$L34))</f>
        <v>203</v>
      </c>
      <c r="G34" s="18" t="n">
        <f aca="false">IF($L34="","",INDEX('TỒN KHO'!$M$11:$M$56,$L34))</f>
        <v>1074.70588235294</v>
      </c>
      <c r="H34" s="15" t="str">
        <f aca="false">IF($L34="","",INDEX('TỒN KHO'!$P$11:$P$56,$L34))</f>
        <v>Đủ hàng</v>
      </c>
      <c r="L34" s="20" t="n">
        <f aca="false">IFERROR(MATCH(LARGE('TỒN KHO'!$R$11:$R$56,A34),'TỒN KHO'!$R$11:$R$56,0),"")</f>
        <v>31</v>
      </c>
    </row>
    <row r="35" customFormat="false" ht="15" hidden="false" customHeight="false" outlineLevel="0" collapsed="false">
      <c r="A35" s="15" t="n">
        <v>9</v>
      </c>
      <c r="B35" s="15" t="str">
        <f aca="false">IF($L35="","",INDEX('TỒN KHO'!$C$11:$C$56,$L35))</f>
        <v>ISG06</v>
      </c>
      <c r="C35" s="15" t="str">
        <f aca="false">IF($L35="","",INDEX('TỒN KHO'!$E$11:$E$56,$L35))</f>
        <v>18L</v>
      </c>
      <c r="D35" s="15" t="str">
        <f aca="false">IF($L35="","",INDEX('TỒN KHO'!$D$11:$D$56,$L35))</f>
        <v>Sơn nội thất cao cấp bóng mờ Imperia ISG06</v>
      </c>
      <c r="E35" s="16" t="n">
        <f aca="false">IF($L35="","",INDEX('TỒN KHO'!$K$11:$K$56,$L35))</f>
        <v>15</v>
      </c>
      <c r="F35" s="16" t="n">
        <f aca="false">IF($L35="","",INDEX('TỒN KHO'!$J$11:$J$56,$L35))</f>
        <v>29</v>
      </c>
      <c r="G35" s="18" t="n">
        <f aca="false">IF($L35="","",INDEX('TỒN KHO'!$M$11:$M$56,$L35))</f>
        <v>174</v>
      </c>
      <c r="H35" s="15" t="str">
        <f aca="false">IF($L35="","",INDEX('TỒN KHO'!$P$11:$P$56,$L35))</f>
        <v>Đủ hàng</v>
      </c>
      <c r="L35" s="20" t="n">
        <f aca="false">IFERROR(MATCH(LARGE('TỒN KHO'!$R$11:$R$56,A35),'TỒN KHO'!$R$11:$R$56,0),"")</f>
        <v>18</v>
      </c>
    </row>
    <row r="36" customFormat="false" ht="15" hidden="false" customHeight="false" outlineLevel="0" collapsed="false">
      <c r="A36" s="15" t="n">
        <v>10</v>
      </c>
      <c r="B36" s="15" t="str">
        <f aca="false">IF($L36="","",INDEX('TỒN KHO'!$C$11:$C$56,$L36))</f>
        <v>CT12</v>
      </c>
      <c r="C36" s="15" t="str">
        <f aca="false">IF($L36="","",INDEX('TỒN KHO'!$E$11:$E$56,$L36))</f>
        <v>18L</v>
      </c>
      <c r="D36" s="15" t="str">
        <f aca="false">IF($L36="","",INDEX('TỒN KHO'!$D$11:$D$56,$L36))</f>
        <v>Sơn chống thấm đa năng Imperia CT12</v>
      </c>
      <c r="E36" s="16" t="n">
        <f aca="false">IF($L36="","",INDEX('TỒN KHO'!$K$11:$K$56,$L36))</f>
        <v>14</v>
      </c>
      <c r="F36" s="16" t="n">
        <f aca="false">IF($L36="","",INDEX('TỒN KHO'!$J$11:$J$56,$L36))</f>
        <v>23</v>
      </c>
      <c r="G36" s="18" t="n">
        <f aca="false">IF($L36="","",INDEX('TỒN KHO'!$M$11:$M$56,$L36))</f>
        <v>147.857142857143</v>
      </c>
      <c r="H36" s="15" t="str">
        <f aca="false">IF($L36="","",INDEX('TỒN KHO'!$P$11:$P$56,$L36))</f>
        <v>Đủ hàng</v>
      </c>
      <c r="L36" s="20" t="n">
        <f aca="false">IFERROR(MATCH(LARGE('TỒN KHO'!$R$11:$R$56,A36),'TỒN KHO'!$R$11:$R$56,0),"")</f>
        <v>36</v>
      </c>
    </row>
    <row r="39" customFormat="false" ht="15" hidden="false" customHeight="false" outlineLevel="0" collapsed="false">
      <c r="A39" s="21" t="s">
        <v>20</v>
      </c>
    </row>
    <row r="40" customFormat="false" ht="30" hidden="false" customHeight="true" outlineLevel="0" collapsed="false">
      <c r="A40" s="13"/>
      <c r="B40" s="13" t="s">
        <v>21</v>
      </c>
      <c r="C40" s="13"/>
      <c r="D40" s="13"/>
      <c r="E40" s="13" t="s">
        <v>22</v>
      </c>
      <c r="F40" s="13" t="s">
        <v>23</v>
      </c>
      <c r="G40" s="13" t="s">
        <v>24</v>
      </c>
    </row>
    <row r="41" customFormat="false" ht="15" hidden="false" customHeight="false" outlineLevel="0" collapsed="false">
      <c r="A41" s="15"/>
      <c r="B41" s="15" t="s">
        <v>25</v>
      </c>
      <c r="C41" s="15"/>
      <c r="D41" s="15"/>
      <c r="E41" s="19" t="n">
        <f aca="false">SUMIFS('TỒN KHO'!$J$11:$J$56,'TỒN KHO'!$B$11:$B$56,$B41)</f>
        <v>549</v>
      </c>
      <c r="F41" s="19" t="n">
        <f aca="false">SUMIFS('TỒN KHO'!$O$11:$O$56,'TỒN KHO'!$B$11:$B$56,$B41)</f>
        <v>1793191000</v>
      </c>
      <c r="G41" s="15" t="n">
        <f aca="false">COUNTIFS('TỒN KHO'!$B$11:$B$56,$B41,'TỒN KHO'!$P$11:$P$56,"HẾT HÀNG")+COUNTIFS('TỒN KHO'!$B$11:$B$56,$B41,'TỒN KHO'!$P$11:$P$56,"SẮP HẾT")</f>
        <v>0</v>
      </c>
    </row>
    <row r="42" customFormat="false" ht="15" hidden="false" customHeight="false" outlineLevel="0" collapsed="false">
      <c r="A42" s="15"/>
      <c r="B42" s="15" t="s">
        <v>26</v>
      </c>
      <c r="C42" s="15"/>
      <c r="D42" s="15"/>
      <c r="E42" s="19" t="n">
        <f aca="false">SUMIFS('TỒN KHO'!$J$11:$J$56,'TỒN KHO'!$B$11:$B$56,$B42)</f>
        <v>398</v>
      </c>
      <c r="F42" s="19" t="n">
        <f aca="false">SUMIFS('TỒN KHO'!$O$11:$O$56,'TỒN KHO'!$B$11:$B$56,$B42)</f>
        <v>1277705000</v>
      </c>
      <c r="G42" s="15" t="n">
        <f aca="false">COUNTIFS('TỒN KHO'!$B$11:$B$56,$B42,'TỒN KHO'!$P$11:$P$56,"HẾT HÀNG")+COUNTIFS('TỒN KHO'!$B$11:$B$56,$B42,'TỒN KHO'!$P$11:$P$56,"SẮP HẾT")</f>
        <v>1</v>
      </c>
    </row>
    <row r="43" customFormat="false" ht="15" hidden="false" customHeight="false" outlineLevel="0" collapsed="false">
      <c r="A43" s="15"/>
      <c r="B43" s="15" t="s">
        <v>27</v>
      </c>
      <c r="C43" s="15"/>
      <c r="D43" s="15"/>
      <c r="E43" s="19" t="n">
        <f aca="false">SUMIFS('TỒN KHO'!$J$11:$J$56,'TỒN KHO'!$B$11:$B$56,$B43)</f>
        <v>1055</v>
      </c>
      <c r="F43" s="19" t="n">
        <f aca="false">SUMIFS('TỒN KHO'!$O$11:$O$56,'TỒN KHO'!$B$11:$B$56,$B43)</f>
        <v>2719271000</v>
      </c>
      <c r="G43" s="15" t="n">
        <f aca="false">COUNTIFS('TỒN KHO'!$B$11:$B$56,$B43,'TỒN KHO'!$P$11:$P$56,"HẾT HÀNG")+COUNTIFS('TỒN KHO'!$B$11:$B$56,$B43,'TỒN KHO'!$P$11:$P$56,"SẮP HẾT")</f>
        <v>0</v>
      </c>
    </row>
    <row r="44" customFormat="false" ht="15" hidden="false" customHeight="false" outlineLevel="0" collapsed="false">
      <c r="A44" s="15"/>
      <c r="B44" s="15" t="s">
        <v>28</v>
      </c>
      <c r="C44" s="15"/>
      <c r="D44" s="15"/>
      <c r="E44" s="19" t="n">
        <f aca="false">SUMIFS('TỒN KHO'!$J$11:$J$56,'TỒN KHO'!$B$11:$B$56,$B44)</f>
        <v>158</v>
      </c>
      <c r="F44" s="19" t="n">
        <f aca="false">SUMIFS('TỒN KHO'!$O$11:$O$56,'TỒN KHO'!$B$11:$B$56,$B44)</f>
        <v>596356000</v>
      </c>
      <c r="G44" s="15" t="n">
        <f aca="false">COUNTIFS('TỒN KHO'!$B$11:$B$56,$B44,'TỒN KHO'!$P$11:$P$56,"HẾT HÀNG")+COUNTIFS('TỒN KHO'!$B$11:$B$56,$B44,'TỒN KHO'!$P$11:$P$56,"SẮP HẾT")</f>
        <v>0</v>
      </c>
    </row>
    <row r="45" customFormat="false" ht="15" hidden="false" customHeight="false" outlineLevel="0" collapsed="false">
      <c r="A45" s="15"/>
      <c r="B45" s="15" t="s">
        <v>29</v>
      </c>
      <c r="C45" s="15"/>
      <c r="D45" s="15"/>
      <c r="E45" s="19" t="n">
        <f aca="false">SUMIFS('TỒN KHO'!$J$11:$J$56,'TỒN KHO'!$B$11:$B$56,$B45)</f>
        <v>-17</v>
      </c>
      <c r="F45" s="19" t="n">
        <f aca="false">SUMIFS('TỒN KHO'!$O$11:$O$56,'TỒN KHO'!$B$11:$B$56,$B45)</f>
        <v>2376000</v>
      </c>
      <c r="G45" s="15" t="n">
        <f aca="false">COUNTIFS('TỒN KHO'!$B$11:$B$56,$B45,'TỒN KHO'!$P$11:$P$56,"HẾT HÀNG")+COUNTIFS('TỒN KHO'!$B$11:$B$56,$B45,'TỒN KHO'!$P$11:$P$56,"SẮP HẾT")</f>
        <v>0</v>
      </c>
    </row>
  </sheetData>
  <mergeCells count="1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</mergeCells>
  <conditionalFormatting sqref="I9:I23">
    <cfRule type="expression" priority="2" aboveAverage="0" equalAverage="0" bottom="0" percent="0" rank="0" text="" dxfId="0">
      <formula>I9="HẾT HÀNG"</formula>
    </cfRule>
    <cfRule type="expression" priority="3" aboveAverage="0" equalAverage="0" bottom="0" percent="0" rank="0" text="" dxfId="1">
      <formula>I9="SẮP HẾT"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R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44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9" min="8" style="0" width="9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3" min="12" style="0" width="9"/>
    <col collapsed="false" customWidth="true" hidden="false" outlineLevel="0" max="14" min="14" style="0" width="10"/>
    <col collapsed="false" customWidth="true" hidden="false" outlineLevel="0" max="15" min="15" style="0" width="15"/>
    <col collapsed="false" customWidth="true" hidden="false" outlineLevel="0" max="16" min="16" style="0" width="19"/>
    <col collapsed="false" customWidth="true" hidden="true" outlineLevel="0" max="18" min="17" style="0" width="9"/>
  </cols>
  <sheetData>
    <row r="1" customFormat="false" ht="19.7" hidden="false" customHeight="false" outlineLevel="0" collapsed="false">
      <c r="A1" s="22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A3" s="23" t="s">
        <v>32</v>
      </c>
      <c r="B3" s="23"/>
      <c r="C3" s="23"/>
      <c r="D3" s="23"/>
      <c r="E3" s="24" t="n">
        <v>46303</v>
      </c>
    </row>
    <row r="4" customFormat="false" ht="15" hidden="false" customHeight="false" outlineLevel="0" collapsed="false">
      <c r="A4" s="23" t="s">
        <v>33</v>
      </c>
      <c r="B4" s="23"/>
      <c r="C4" s="23"/>
      <c r="D4" s="23"/>
      <c r="E4" s="24" t="n">
        <v>46180</v>
      </c>
    </row>
    <row r="5" customFormat="false" ht="15" hidden="false" customHeight="false" outlineLevel="0" collapsed="false">
      <c r="A5" s="23" t="s">
        <v>34</v>
      </c>
      <c r="B5" s="23"/>
      <c r="C5" s="23"/>
      <c r="D5" s="23"/>
      <c r="E5" s="25" t="n">
        <v>90</v>
      </c>
    </row>
    <row r="6" customFormat="false" ht="15" hidden="false" customHeight="false" outlineLevel="0" collapsed="false">
      <c r="A6" s="23" t="s">
        <v>35</v>
      </c>
      <c r="B6" s="23"/>
      <c r="C6" s="23"/>
      <c r="D6" s="23"/>
      <c r="E6" s="25" t="n">
        <v>30</v>
      </c>
    </row>
    <row r="7" customFormat="false" ht="15" hidden="false" customHeight="false" outlineLevel="0" collapsed="false">
      <c r="A7" s="23" t="s">
        <v>36</v>
      </c>
      <c r="B7" s="23"/>
      <c r="C7" s="23"/>
      <c r="D7" s="23"/>
      <c r="E7" s="25" t="n">
        <v>45</v>
      </c>
    </row>
    <row r="10" customFormat="false" ht="48" hidden="false" customHeight="true" outlineLevel="0" collapsed="false">
      <c r="A10" s="13" t="s">
        <v>37</v>
      </c>
      <c r="B10" s="13" t="s">
        <v>21</v>
      </c>
      <c r="C10" s="13" t="s">
        <v>8</v>
      </c>
      <c r="D10" s="13" t="s">
        <v>10</v>
      </c>
      <c r="E10" s="13" t="s">
        <v>9</v>
      </c>
      <c r="F10" s="13" t="s">
        <v>38</v>
      </c>
      <c r="G10" s="13" t="s">
        <v>39</v>
      </c>
      <c r="H10" s="13" t="s">
        <v>40</v>
      </c>
      <c r="I10" s="13" t="s">
        <v>41</v>
      </c>
      <c r="J10" s="13" t="s">
        <v>42</v>
      </c>
      <c r="K10" s="13" t="s">
        <v>43</v>
      </c>
      <c r="L10" s="13" t="s">
        <v>44</v>
      </c>
      <c r="M10" s="13" t="s">
        <v>45</v>
      </c>
      <c r="N10" s="13" t="s">
        <v>46</v>
      </c>
      <c r="O10" s="13" t="s">
        <v>47</v>
      </c>
      <c r="P10" s="13" t="s">
        <v>48</v>
      </c>
      <c r="Q10" s="13" t="s">
        <v>49</v>
      </c>
      <c r="R10" s="13" t="s">
        <v>50</v>
      </c>
    </row>
    <row r="11" customFormat="false" ht="15" hidden="false" customHeight="false" outlineLevel="0" collapsed="false">
      <c r="A11" s="26" t="n">
        <v>1</v>
      </c>
      <c r="B11" s="15" t="s">
        <v>25</v>
      </c>
      <c r="C11" s="15" t="s">
        <v>51</v>
      </c>
      <c r="D11" s="15" t="s">
        <v>52</v>
      </c>
      <c r="E11" s="26" t="s">
        <v>53</v>
      </c>
      <c r="F11" s="27" t="n">
        <v>999000</v>
      </c>
      <c r="G11" s="16" t="n">
        <f aca="false">SUMIFS('TỒN ĐẦU KỲ'!$D$5:$D$123,'TỒN ĐẦU KỲ'!$B$5:$B$123,$C11,'TỒN ĐẦU KỲ'!$C$5:$C$123,$E11)</f>
        <v>6</v>
      </c>
      <c r="H11" s="16" t="n">
        <f aca="false">SUMIFS('NHẬP KHO'!$E$5:$E$1004,'NHẬP KHO'!$C$5:$C$1004,$C11,'NHẬP KHO'!$D$5:$D$1004,$E11,'NHẬP KHO'!$A$5:$A$1004,"&gt;"&amp;$E$4)</f>
        <v>0</v>
      </c>
      <c r="I11" s="16" t="n">
        <f aca="false">SUMIFS('XUẤT KHO'!$E$5:$E$1004,'XUẤT KHO'!$C$5:$C$1004,$C11,'XUẤT KHO'!$D$5:$D$1004,$E11,'XUẤT KHO'!$A$5:$A$1004,"&gt;"&amp;$E$4)</f>
        <v>4</v>
      </c>
      <c r="J11" s="28" t="n">
        <f aca="false">G11+H11-I11</f>
        <v>2</v>
      </c>
      <c r="K11" s="16" t="n">
        <f aca="false">SUMIFS('XUẤT KHO'!$E$5:$E$1004,'XUẤT KHO'!$C$5:$C$1004,$C11,'XUẤT KHO'!$D$5:$D$1004,$E11,'XUẤT KHO'!$A$5:$A$1004,"&gt;"&amp;($E$3-$E$5),'XUẤT KHO'!$A$5:$A$1004,"&lt;="&amp;$E$3)</f>
        <v>0</v>
      </c>
      <c r="L11" s="17" t="n">
        <f aca="false">K11/$E$5</f>
        <v>0</v>
      </c>
      <c r="M11" s="29" t="str">
        <f aca="false">IF(L11=0,"-",IF(J11&lt;=0,0,J11/L11))</f>
        <v>-</v>
      </c>
      <c r="N11" s="16" t="n">
        <f aca="false">IF(L11=0,0,MAX(0,ROUNDUP(L11*$E$7,0)-J11))</f>
        <v>0</v>
      </c>
      <c r="O11" s="16" t="n">
        <f aca="false">IF(F11="",0,MAX(J11,0)*F11)</f>
        <v>1998000</v>
      </c>
      <c r="P11" s="30" t="str">
        <f aca="false">IF(J11&lt;0,"ÂM KHO – kiểm tra",IF(AND(J11=0,K11&gt;0),"HẾT HÀNG",IF(J11=0,"Hết (ít bán)",IF(K11=0,"Chậm bán",IF(M11&lt;$E$6,"SẮP HẾT","Đủ hàng")))))</f>
        <v>Chậm bán</v>
      </c>
      <c r="Q11" s="31" t="str">
        <f aca="false">IF(OR(P11="HẾT HÀNG",P11="SẮP HẾT"),IF(ISNUMBER(M11),M11,0)+ROW()/100000,"")</f>
        <v/>
      </c>
      <c r="R11" s="31" t="str">
        <f aca="false">IF(K11&gt;0,K11+ROW()/100000,"")</f>
        <v/>
      </c>
    </row>
    <row r="12" customFormat="false" ht="15" hidden="false" customHeight="false" outlineLevel="0" collapsed="false">
      <c r="A12" s="26" t="n">
        <v>2</v>
      </c>
      <c r="B12" s="15" t="s">
        <v>25</v>
      </c>
      <c r="C12" s="15" t="s">
        <v>51</v>
      </c>
      <c r="D12" s="15" t="s">
        <v>52</v>
      </c>
      <c r="E12" s="26" t="s">
        <v>54</v>
      </c>
      <c r="F12" s="27" t="n">
        <v>3012000</v>
      </c>
      <c r="G12" s="16" t="n">
        <f aca="false">SUMIFS('TỒN ĐẦU KỲ'!$D$5:$D$123,'TỒN ĐẦU KỲ'!$B$5:$B$123,$C12,'TỒN ĐẦU KỲ'!$C$5:$C$123,$E12)</f>
        <v>195</v>
      </c>
      <c r="H12" s="16" t="n">
        <f aca="false">SUMIFS('NHẬP KHO'!$E$5:$E$1004,'NHẬP KHO'!$C$5:$C$1004,$C12,'NHẬP KHO'!$D$5:$D$1004,$E12,'NHẬP KHO'!$A$5:$A$1004,"&gt;"&amp;$E$4)</f>
        <v>5</v>
      </c>
      <c r="I12" s="16" t="n">
        <f aca="false">SUMIFS('XUẤT KHO'!$E$5:$E$1004,'XUẤT KHO'!$C$5:$C$1004,$C12,'XUẤT KHO'!$D$5:$D$1004,$E12,'XUẤT KHO'!$A$5:$A$1004,"&gt;"&amp;$E$4)</f>
        <v>83</v>
      </c>
      <c r="J12" s="28" t="n">
        <f aca="false">G12+H12-I12</f>
        <v>117</v>
      </c>
      <c r="K12" s="16" t="n">
        <f aca="false">SUMIFS('XUẤT KHO'!$E$5:$E$1004,'XUẤT KHO'!$C$5:$C$1004,$C12,'XUẤT KHO'!$D$5:$D$1004,$E12,'XUẤT KHO'!$A$5:$A$1004,"&gt;"&amp;($E$3-$E$5),'XUẤT KHO'!$A$5:$A$1004,"&lt;="&amp;$E$3)</f>
        <v>46</v>
      </c>
      <c r="L12" s="17" t="n">
        <f aca="false">K12/$E$5</f>
        <v>0.511111111111111</v>
      </c>
      <c r="M12" s="29" t="n">
        <f aca="false">IF(L12=0,"-",IF(J12&lt;=0,0,J12/L12))</f>
        <v>228.913043478261</v>
      </c>
      <c r="N12" s="16" t="n">
        <f aca="false">IF(L12=0,0,MAX(0,ROUNDUP(L12*$E$7,0)-J12))</f>
        <v>0</v>
      </c>
      <c r="O12" s="16" t="n">
        <f aca="false">IF(F12="",0,MAX(J12,0)*F12)</f>
        <v>352404000</v>
      </c>
      <c r="P12" s="30" t="str">
        <f aca="false">IF(J12&lt;0,"ÂM KHO – kiểm tra",IF(AND(J12=0,K12&gt;0),"HẾT HÀNG",IF(J12=0,"Hết (ít bán)",IF(K12=0,"Chậm bán",IF(M12&lt;$E$6,"SẮP HẾT","Đủ hàng")))))</f>
        <v>Đủ hàng</v>
      </c>
      <c r="Q12" s="31" t="str">
        <f aca="false">IF(OR(P12="HẾT HÀNG",P12="SẮP HẾT"),IF(ISNUMBER(M12),M12,0)+ROW()/100000,"")</f>
        <v/>
      </c>
      <c r="R12" s="31" t="n">
        <f aca="false">IF(K12&gt;0,K12+ROW()/100000,"")</f>
        <v>46.00012</v>
      </c>
    </row>
    <row r="13" customFormat="false" ht="15" hidden="false" customHeight="false" outlineLevel="0" collapsed="false">
      <c r="A13" s="26" t="n">
        <v>3</v>
      </c>
      <c r="B13" s="15" t="s">
        <v>25</v>
      </c>
      <c r="C13" s="15" t="s">
        <v>55</v>
      </c>
      <c r="D13" s="15" t="s">
        <v>56</v>
      </c>
      <c r="E13" s="26" t="s">
        <v>53</v>
      </c>
      <c r="F13" s="27" t="n">
        <v>1419000</v>
      </c>
      <c r="G13" s="16" t="n">
        <f aca="false">SUMIFS('TỒN ĐẦU KỲ'!$D$5:$D$123,'TỒN ĐẦU KỲ'!$B$5:$B$123,$C13,'TỒN ĐẦU KỲ'!$C$5:$C$123,$E13)</f>
        <v>0</v>
      </c>
      <c r="H13" s="16" t="n">
        <f aca="false">SUMIFS('NHẬP KHO'!$E$5:$E$1004,'NHẬP KHO'!$C$5:$C$1004,$C13,'NHẬP KHO'!$D$5:$D$1004,$E13,'NHẬP KHO'!$A$5:$A$1004,"&gt;"&amp;$E$4)</f>
        <v>0</v>
      </c>
      <c r="I13" s="16" t="n">
        <f aca="false">SUMIFS('XUẤT KHO'!$E$5:$E$1004,'XUẤT KHO'!$C$5:$C$1004,$C13,'XUẤT KHO'!$D$5:$D$1004,$E13,'XUẤT KHO'!$A$5:$A$1004,"&gt;"&amp;$E$4)</f>
        <v>4</v>
      </c>
      <c r="J13" s="28" t="n">
        <f aca="false">G13+H13-I13</f>
        <v>-4</v>
      </c>
      <c r="K13" s="16" t="n">
        <f aca="false">SUMIFS('XUẤT KHO'!$E$5:$E$1004,'XUẤT KHO'!$C$5:$C$1004,$C13,'XUẤT KHO'!$D$5:$D$1004,$E13,'XUẤT KHO'!$A$5:$A$1004,"&gt;"&amp;($E$3-$E$5),'XUẤT KHO'!$A$5:$A$1004,"&lt;="&amp;$E$3)</f>
        <v>4</v>
      </c>
      <c r="L13" s="17" t="n">
        <f aca="false">K13/$E$5</f>
        <v>0.0444444444444444</v>
      </c>
      <c r="M13" s="29" t="n">
        <f aca="false">IF(L13=0,"-",IF(J13&lt;=0,0,J13/L13))</f>
        <v>0</v>
      </c>
      <c r="N13" s="16" t="n">
        <f aca="false">IF(L13=0,0,MAX(0,ROUNDUP(L13*$E$7,0)-J13))</f>
        <v>6</v>
      </c>
      <c r="O13" s="16" t="n">
        <f aca="false">IF(F13="",0,MAX(J13,0)*F13)</f>
        <v>0</v>
      </c>
      <c r="P13" s="30" t="str">
        <f aca="false">IF(J13&lt;0,"ÂM KHO – kiểm tra",IF(AND(J13=0,K13&gt;0),"HẾT HÀNG",IF(J13=0,"Hết (ít bán)",IF(K13=0,"Chậm bán",IF(M13&lt;$E$6,"SẮP HẾT","Đủ hàng")))))</f>
        <v>ÂM KHO – kiểm tra</v>
      </c>
      <c r="Q13" s="31" t="str">
        <f aca="false">IF(OR(P13="HẾT HÀNG",P13="SẮP HẾT"),IF(ISNUMBER(M13),M13,0)+ROW()/100000,"")</f>
        <v/>
      </c>
      <c r="R13" s="31" t="n">
        <f aca="false">IF(K13&gt;0,K13+ROW()/100000,"")</f>
        <v>4.00013</v>
      </c>
    </row>
    <row r="14" customFormat="false" ht="15" hidden="false" customHeight="false" outlineLevel="0" collapsed="false">
      <c r="A14" s="26" t="n">
        <v>4</v>
      </c>
      <c r="B14" s="15" t="s">
        <v>25</v>
      </c>
      <c r="C14" s="15" t="s">
        <v>55</v>
      </c>
      <c r="D14" s="15" t="s">
        <v>56</v>
      </c>
      <c r="E14" s="26" t="s">
        <v>54</v>
      </c>
      <c r="F14" s="27" t="n">
        <v>4106000</v>
      </c>
      <c r="G14" s="16" t="n">
        <f aca="false">SUMIFS('TỒN ĐẦU KỲ'!$D$5:$D$123,'TỒN ĐẦU KỲ'!$B$5:$B$123,$C14,'TỒN ĐẦU KỲ'!$C$5:$C$123,$E14)</f>
        <v>253</v>
      </c>
      <c r="H14" s="16" t="n">
        <f aca="false">SUMIFS('NHẬP KHO'!$E$5:$E$1004,'NHẬP KHO'!$C$5:$C$1004,$C14,'NHẬP KHO'!$D$5:$D$1004,$E14,'NHẬP KHO'!$A$5:$A$1004,"&gt;"&amp;$E$4)</f>
        <v>1</v>
      </c>
      <c r="I14" s="16" t="n">
        <f aca="false">SUMIFS('XUẤT KHO'!$E$5:$E$1004,'XUẤT KHO'!$C$5:$C$1004,$C14,'XUẤT KHO'!$D$5:$D$1004,$E14,'XUẤT KHO'!$A$5:$A$1004,"&gt;"&amp;$E$4)</f>
        <v>29</v>
      </c>
      <c r="J14" s="28" t="n">
        <f aca="false">G14+H14-I14</f>
        <v>225</v>
      </c>
      <c r="K14" s="16" t="n">
        <f aca="false">SUMIFS('XUẤT KHO'!$E$5:$E$1004,'XUẤT KHO'!$C$5:$C$1004,$C14,'XUẤT KHO'!$D$5:$D$1004,$E14,'XUẤT KHO'!$A$5:$A$1004,"&gt;"&amp;($E$3-$E$5),'XUẤT KHO'!$A$5:$A$1004,"&lt;="&amp;$E$3)</f>
        <v>18</v>
      </c>
      <c r="L14" s="17" t="n">
        <f aca="false">K14/$E$5</f>
        <v>0.2</v>
      </c>
      <c r="M14" s="29" t="n">
        <f aca="false">IF(L14=0,"-",IF(J14&lt;=0,0,J14/L14))</f>
        <v>1125</v>
      </c>
      <c r="N14" s="16" t="n">
        <f aca="false">IF(L14=0,0,MAX(0,ROUNDUP(L14*$E$7,0)-J14))</f>
        <v>0</v>
      </c>
      <c r="O14" s="16" t="n">
        <f aca="false">IF(F14="",0,MAX(J14,0)*F14)</f>
        <v>923850000</v>
      </c>
      <c r="P14" s="30" t="str">
        <f aca="false">IF(J14&lt;0,"ÂM KHO – kiểm tra",IF(AND(J14=0,K14&gt;0),"HẾT HÀNG",IF(J14=0,"Hết (ít bán)",IF(K14=0,"Chậm bán",IF(M14&lt;$E$6,"SẮP HẾT","Đủ hàng")))))</f>
        <v>Đủ hàng</v>
      </c>
      <c r="Q14" s="31" t="str">
        <f aca="false">IF(OR(P14="HẾT HÀNG",P14="SẮP HẾT"),IF(ISNUMBER(M14),M14,0)+ROW()/100000,"")</f>
        <v/>
      </c>
      <c r="R14" s="31" t="n">
        <f aca="false">IF(K14&gt;0,K14+ROW()/100000,"")</f>
        <v>18.00014</v>
      </c>
    </row>
    <row r="15" customFormat="false" ht="15" hidden="false" customHeight="false" outlineLevel="0" collapsed="false">
      <c r="A15" s="26" t="n">
        <v>5</v>
      </c>
      <c r="B15" s="15" t="s">
        <v>25</v>
      </c>
      <c r="C15" s="15" t="s">
        <v>57</v>
      </c>
      <c r="D15" s="15" t="s">
        <v>58</v>
      </c>
      <c r="E15" s="26" t="s">
        <v>53</v>
      </c>
      <c r="F15" s="27" t="n">
        <v>1181000</v>
      </c>
      <c r="G15" s="16" t="n">
        <f aca="false">SUMIFS('TỒN ĐẦU KỲ'!$D$5:$D$123,'TỒN ĐẦU KỲ'!$B$5:$B$123,$C15,'TỒN ĐẦU KỲ'!$C$5:$C$123,$E15)</f>
        <v>7</v>
      </c>
      <c r="H15" s="16" t="n">
        <f aca="false">SUMIFS('NHẬP KHO'!$E$5:$E$1004,'NHẬP KHO'!$C$5:$C$1004,$C15,'NHẬP KHO'!$D$5:$D$1004,$E15,'NHẬP KHO'!$A$5:$A$1004,"&gt;"&amp;$E$4)</f>
        <v>0</v>
      </c>
      <c r="I15" s="16" t="n">
        <f aca="false">SUMIFS('XUẤT KHO'!$E$5:$E$1004,'XUẤT KHO'!$C$5:$C$1004,$C15,'XUẤT KHO'!$D$5:$D$1004,$E15,'XUẤT KHO'!$A$5:$A$1004,"&gt;"&amp;$E$4)</f>
        <v>0</v>
      </c>
      <c r="J15" s="28" t="n">
        <f aca="false">G15+H15-I15</f>
        <v>7</v>
      </c>
      <c r="K15" s="16" t="n">
        <f aca="false">SUMIFS('XUẤT KHO'!$E$5:$E$1004,'XUẤT KHO'!$C$5:$C$1004,$C15,'XUẤT KHO'!$D$5:$D$1004,$E15,'XUẤT KHO'!$A$5:$A$1004,"&gt;"&amp;($E$3-$E$5),'XUẤT KHO'!$A$5:$A$1004,"&lt;="&amp;$E$3)</f>
        <v>0</v>
      </c>
      <c r="L15" s="17" t="n">
        <f aca="false">K15/$E$5</f>
        <v>0</v>
      </c>
      <c r="M15" s="29" t="str">
        <f aca="false">IF(L15=0,"-",IF(J15&lt;=0,0,J15/L15))</f>
        <v>-</v>
      </c>
      <c r="N15" s="16" t="n">
        <f aca="false">IF(L15=0,0,MAX(0,ROUNDUP(L15*$E$7,0)-J15))</f>
        <v>0</v>
      </c>
      <c r="O15" s="16" t="n">
        <f aca="false">IF(F15="",0,MAX(J15,0)*F15)</f>
        <v>8267000</v>
      </c>
      <c r="P15" s="30" t="str">
        <f aca="false">IF(J15&lt;0,"ÂM KHO – kiểm tra",IF(AND(J15=0,K15&gt;0),"HẾT HÀNG",IF(J15=0,"Hết (ít bán)",IF(K15=0,"Chậm bán",IF(M15&lt;$E$6,"SẮP HẾT","Đủ hàng")))))</f>
        <v>Chậm bán</v>
      </c>
      <c r="Q15" s="31" t="str">
        <f aca="false">IF(OR(P15="HẾT HÀNG",P15="SẮP HẾT"),IF(ISNUMBER(M15),M15,0)+ROW()/100000,"")</f>
        <v/>
      </c>
      <c r="R15" s="31" t="str">
        <f aca="false">IF(K15&gt;0,K15+ROW()/100000,"")</f>
        <v/>
      </c>
    </row>
    <row r="16" customFormat="false" ht="15" hidden="false" customHeight="false" outlineLevel="0" collapsed="false">
      <c r="A16" s="26" t="n">
        <v>6</v>
      </c>
      <c r="B16" s="15" t="s">
        <v>25</v>
      </c>
      <c r="C16" s="15" t="s">
        <v>57</v>
      </c>
      <c r="D16" s="15" t="s">
        <v>58</v>
      </c>
      <c r="E16" s="26" t="s">
        <v>54</v>
      </c>
      <c r="F16" s="27" t="n">
        <v>3596000</v>
      </c>
      <c r="G16" s="16" t="n">
        <f aca="false">SUMIFS('TỒN ĐẦU KỲ'!$D$5:$D$123,'TỒN ĐẦU KỲ'!$B$5:$B$123,$C16,'TỒN ĐẦU KỲ'!$C$5:$C$123,$E16)</f>
        <v>25</v>
      </c>
      <c r="H16" s="16" t="n">
        <f aca="false">SUMIFS('NHẬP KHO'!$E$5:$E$1004,'NHẬP KHO'!$C$5:$C$1004,$C16,'NHẬP KHO'!$D$5:$D$1004,$E16,'NHẬP KHO'!$A$5:$A$1004,"&gt;"&amp;$E$4)</f>
        <v>0</v>
      </c>
      <c r="I16" s="16" t="n">
        <f aca="false">SUMIFS('XUẤT KHO'!$E$5:$E$1004,'XUẤT KHO'!$C$5:$C$1004,$C16,'XUẤT KHO'!$D$5:$D$1004,$E16,'XUẤT KHO'!$A$5:$A$1004,"&gt;"&amp;$E$4)</f>
        <v>0</v>
      </c>
      <c r="J16" s="28" t="n">
        <f aca="false">G16+H16-I16</f>
        <v>25</v>
      </c>
      <c r="K16" s="16" t="n">
        <f aca="false">SUMIFS('XUẤT KHO'!$E$5:$E$1004,'XUẤT KHO'!$C$5:$C$1004,$C16,'XUẤT KHO'!$D$5:$D$1004,$E16,'XUẤT KHO'!$A$5:$A$1004,"&gt;"&amp;($E$3-$E$5),'XUẤT KHO'!$A$5:$A$1004,"&lt;="&amp;$E$3)</f>
        <v>0</v>
      </c>
      <c r="L16" s="17" t="n">
        <f aca="false">K16/$E$5</f>
        <v>0</v>
      </c>
      <c r="M16" s="29" t="str">
        <f aca="false">IF(L16=0,"-",IF(J16&lt;=0,0,J16/L16))</f>
        <v>-</v>
      </c>
      <c r="N16" s="16" t="n">
        <f aca="false">IF(L16=0,0,MAX(0,ROUNDUP(L16*$E$7,0)-J16))</f>
        <v>0</v>
      </c>
      <c r="O16" s="16" t="n">
        <f aca="false">IF(F16="",0,MAX(J16,0)*F16)</f>
        <v>89900000</v>
      </c>
      <c r="P16" s="30" t="str">
        <f aca="false">IF(J16&lt;0,"ÂM KHO – kiểm tra",IF(AND(J16=0,K16&gt;0),"HẾT HÀNG",IF(J16=0,"Hết (ít bán)",IF(K16=0,"Chậm bán",IF(M16&lt;$E$6,"SẮP HẾT","Đủ hàng")))))</f>
        <v>Chậm bán</v>
      </c>
      <c r="Q16" s="31" t="str">
        <f aca="false">IF(OR(P16="HẾT HÀNG",P16="SẮP HẾT"),IF(ISNUMBER(M16),M16,0)+ROW()/100000,"")</f>
        <v/>
      </c>
      <c r="R16" s="31" t="str">
        <f aca="false">IF(K16&gt;0,K16+ROW()/100000,"")</f>
        <v/>
      </c>
    </row>
    <row r="17" customFormat="false" ht="15" hidden="false" customHeight="false" outlineLevel="0" collapsed="false">
      <c r="A17" s="26" t="n">
        <v>7</v>
      </c>
      <c r="B17" s="15" t="s">
        <v>25</v>
      </c>
      <c r="C17" s="15" t="s">
        <v>59</v>
      </c>
      <c r="D17" s="15" t="s">
        <v>60</v>
      </c>
      <c r="E17" s="26" t="s">
        <v>53</v>
      </c>
      <c r="F17" s="27" t="n">
        <v>1555000</v>
      </c>
      <c r="G17" s="16" t="n">
        <f aca="false">SUMIFS('TỒN ĐẦU KỲ'!$D$5:$D$123,'TỒN ĐẦU KỲ'!$B$5:$B$123,$C17,'TỒN ĐẦU KỲ'!$C$5:$C$123,$E17)</f>
        <v>4</v>
      </c>
      <c r="H17" s="16" t="n">
        <f aca="false">SUMIFS('NHẬP KHO'!$E$5:$E$1004,'NHẬP KHO'!$C$5:$C$1004,$C17,'NHẬP KHO'!$D$5:$D$1004,$E17,'NHẬP KHO'!$A$5:$A$1004,"&gt;"&amp;$E$4)</f>
        <v>0</v>
      </c>
      <c r="I17" s="16" t="n">
        <f aca="false">SUMIFS('XUẤT KHO'!$E$5:$E$1004,'XUẤT KHO'!$C$5:$C$1004,$C17,'XUẤT KHO'!$D$5:$D$1004,$E17,'XUẤT KHO'!$A$5:$A$1004,"&gt;"&amp;$E$4)</f>
        <v>0</v>
      </c>
      <c r="J17" s="28" t="n">
        <f aca="false">G17+H17-I17</f>
        <v>4</v>
      </c>
      <c r="K17" s="16" t="n">
        <f aca="false">SUMIFS('XUẤT KHO'!$E$5:$E$1004,'XUẤT KHO'!$C$5:$C$1004,$C17,'XUẤT KHO'!$D$5:$D$1004,$E17,'XUẤT KHO'!$A$5:$A$1004,"&gt;"&amp;($E$3-$E$5),'XUẤT KHO'!$A$5:$A$1004,"&lt;="&amp;$E$3)</f>
        <v>0</v>
      </c>
      <c r="L17" s="17" t="n">
        <f aca="false">K17/$E$5</f>
        <v>0</v>
      </c>
      <c r="M17" s="29" t="str">
        <f aca="false">IF(L17=0,"-",IF(J17&lt;=0,0,J17/L17))</f>
        <v>-</v>
      </c>
      <c r="N17" s="16" t="n">
        <f aca="false">IF(L17=0,0,MAX(0,ROUNDUP(L17*$E$7,0)-J17))</f>
        <v>0</v>
      </c>
      <c r="O17" s="16" t="n">
        <f aca="false">IF(F17="",0,MAX(J17,0)*F17)</f>
        <v>6220000</v>
      </c>
      <c r="P17" s="30" t="str">
        <f aca="false">IF(J17&lt;0,"ÂM KHO – kiểm tra",IF(AND(J17=0,K17&gt;0),"HẾT HÀNG",IF(J17=0,"Hết (ít bán)",IF(K17=0,"Chậm bán",IF(M17&lt;$E$6,"SẮP HẾT","Đủ hàng")))))</f>
        <v>Chậm bán</v>
      </c>
      <c r="Q17" s="31" t="str">
        <f aca="false">IF(OR(P17="HẾT HÀNG",P17="SẮP HẾT"),IF(ISNUMBER(M17),M17,0)+ROW()/100000,"")</f>
        <v/>
      </c>
      <c r="R17" s="31" t="str">
        <f aca="false">IF(K17&gt;0,K17+ROW()/100000,"")</f>
        <v/>
      </c>
    </row>
    <row r="18" customFormat="false" ht="15" hidden="false" customHeight="false" outlineLevel="0" collapsed="false">
      <c r="A18" s="26" t="n">
        <v>8</v>
      </c>
      <c r="B18" s="15" t="s">
        <v>25</v>
      </c>
      <c r="C18" s="15" t="s">
        <v>59</v>
      </c>
      <c r="D18" s="15" t="s">
        <v>60</v>
      </c>
      <c r="E18" s="26" t="s">
        <v>54</v>
      </c>
      <c r="F18" s="27" t="n">
        <v>4725000</v>
      </c>
      <c r="G18" s="16" t="n">
        <f aca="false">SUMIFS('TỒN ĐẦU KỲ'!$D$5:$D$123,'TỒN ĐẦU KỲ'!$B$5:$B$123,$C18,'TỒN ĐẦU KỲ'!$C$5:$C$123,$E18)</f>
        <v>14</v>
      </c>
      <c r="H18" s="16" t="n">
        <f aca="false">SUMIFS('NHẬP KHO'!$E$5:$E$1004,'NHẬP KHO'!$C$5:$C$1004,$C18,'NHẬP KHO'!$D$5:$D$1004,$E18,'NHẬP KHO'!$A$5:$A$1004,"&gt;"&amp;$E$4)</f>
        <v>0</v>
      </c>
      <c r="I18" s="16" t="n">
        <f aca="false">SUMIFS('XUẤT KHO'!$E$5:$E$1004,'XUẤT KHO'!$C$5:$C$1004,$C18,'XUẤT KHO'!$D$5:$D$1004,$E18,'XUẤT KHO'!$A$5:$A$1004,"&gt;"&amp;$E$4)</f>
        <v>0</v>
      </c>
      <c r="J18" s="28" t="n">
        <f aca="false">G18+H18-I18</f>
        <v>14</v>
      </c>
      <c r="K18" s="16" t="n">
        <f aca="false">SUMIFS('XUẤT KHO'!$E$5:$E$1004,'XUẤT KHO'!$C$5:$C$1004,$C18,'XUẤT KHO'!$D$5:$D$1004,$E18,'XUẤT KHO'!$A$5:$A$1004,"&gt;"&amp;($E$3-$E$5),'XUẤT KHO'!$A$5:$A$1004,"&lt;="&amp;$E$3)</f>
        <v>0</v>
      </c>
      <c r="L18" s="17" t="n">
        <f aca="false">K18/$E$5</f>
        <v>0</v>
      </c>
      <c r="M18" s="29" t="str">
        <f aca="false">IF(L18=0,"-",IF(J18&lt;=0,0,J18/L18))</f>
        <v>-</v>
      </c>
      <c r="N18" s="16" t="n">
        <f aca="false">IF(L18=0,0,MAX(0,ROUNDUP(L18*$E$7,0)-J18))</f>
        <v>0</v>
      </c>
      <c r="O18" s="16" t="n">
        <f aca="false">IF(F18="",0,MAX(J18,0)*F18)</f>
        <v>66150000</v>
      </c>
      <c r="P18" s="30" t="str">
        <f aca="false">IF(J18&lt;0,"ÂM KHO – kiểm tra",IF(AND(J18=0,K18&gt;0),"HẾT HÀNG",IF(J18=0,"Hết (ít bán)",IF(K18=0,"Chậm bán",IF(M18&lt;$E$6,"SẮP HẾT","Đủ hàng")))))</f>
        <v>Chậm bán</v>
      </c>
      <c r="Q18" s="31" t="str">
        <f aca="false">IF(OR(P18="HẾT HÀNG",P18="SẮP HẾT"),IF(ISNUMBER(M18),M18,0)+ROW()/100000,"")</f>
        <v/>
      </c>
      <c r="R18" s="31" t="str">
        <f aca="false">IF(K18&gt;0,K18+ROW()/100000,"")</f>
        <v/>
      </c>
    </row>
    <row r="19" customFormat="false" ht="15" hidden="false" customHeight="false" outlineLevel="0" collapsed="false">
      <c r="A19" s="26" t="n">
        <v>9</v>
      </c>
      <c r="B19" s="15" t="s">
        <v>25</v>
      </c>
      <c r="C19" s="15" t="s">
        <v>61</v>
      </c>
      <c r="D19" s="15" t="s">
        <v>62</v>
      </c>
      <c r="E19" s="26" t="s">
        <v>53</v>
      </c>
      <c r="F19" s="27" t="n">
        <v>767000</v>
      </c>
      <c r="G19" s="16" t="n">
        <f aca="false">SUMIFS('TỒN ĐẦU KỲ'!$D$5:$D$123,'TỒN ĐẦU KỲ'!$B$5:$B$123,$C19,'TỒN ĐẦU KỲ'!$C$5:$C$123,$E19)</f>
        <v>21</v>
      </c>
      <c r="H19" s="16" t="n">
        <f aca="false">SUMIFS('NHẬP KHO'!$E$5:$E$1004,'NHẬP KHO'!$C$5:$C$1004,$C19,'NHẬP KHO'!$D$5:$D$1004,$E19,'NHẬP KHO'!$A$5:$A$1004,"&gt;"&amp;$E$4)</f>
        <v>0</v>
      </c>
      <c r="I19" s="16" t="n">
        <f aca="false">SUMIFS('XUẤT KHO'!$E$5:$E$1004,'XUẤT KHO'!$C$5:$C$1004,$C19,'XUẤT KHO'!$D$5:$D$1004,$E19,'XUẤT KHO'!$A$5:$A$1004,"&gt;"&amp;$E$4)</f>
        <v>1</v>
      </c>
      <c r="J19" s="28" t="n">
        <f aca="false">G19+H19-I19</f>
        <v>20</v>
      </c>
      <c r="K19" s="16" t="n">
        <f aca="false">SUMIFS('XUẤT KHO'!$E$5:$E$1004,'XUẤT KHO'!$C$5:$C$1004,$C19,'XUẤT KHO'!$D$5:$D$1004,$E19,'XUẤT KHO'!$A$5:$A$1004,"&gt;"&amp;($E$3-$E$5),'XUẤT KHO'!$A$5:$A$1004,"&lt;="&amp;$E$3)</f>
        <v>0</v>
      </c>
      <c r="L19" s="17" t="n">
        <f aca="false">K19/$E$5</f>
        <v>0</v>
      </c>
      <c r="M19" s="29" t="str">
        <f aca="false">IF(L19=0,"-",IF(J19&lt;=0,0,J19/L19))</f>
        <v>-</v>
      </c>
      <c r="N19" s="16" t="n">
        <f aca="false">IF(L19=0,0,MAX(0,ROUNDUP(L19*$E$7,0)-J19))</f>
        <v>0</v>
      </c>
      <c r="O19" s="16" t="n">
        <f aca="false">IF(F19="",0,MAX(J19,0)*F19)</f>
        <v>15340000</v>
      </c>
      <c r="P19" s="30" t="str">
        <f aca="false">IF(J19&lt;0,"ÂM KHO – kiểm tra",IF(AND(J19=0,K19&gt;0),"HẾT HÀNG",IF(J19=0,"Hết (ít bán)",IF(K19=0,"Chậm bán",IF(M19&lt;$E$6,"SẮP HẾT","Đủ hàng")))))</f>
        <v>Chậm bán</v>
      </c>
      <c r="Q19" s="31" t="str">
        <f aca="false">IF(OR(P19="HẾT HÀNG",P19="SẮP HẾT"),IF(ISNUMBER(M19),M19,0)+ROW()/100000,"")</f>
        <v/>
      </c>
      <c r="R19" s="31" t="str">
        <f aca="false">IF(K19&gt;0,K19+ROW()/100000,"")</f>
        <v/>
      </c>
    </row>
    <row r="20" customFormat="false" ht="15" hidden="false" customHeight="false" outlineLevel="0" collapsed="false">
      <c r="A20" s="26" t="n">
        <v>10</v>
      </c>
      <c r="B20" s="15" t="s">
        <v>25</v>
      </c>
      <c r="C20" s="15" t="s">
        <v>61</v>
      </c>
      <c r="D20" s="15" t="s">
        <v>62</v>
      </c>
      <c r="E20" s="26" t="s">
        <v>54</v>
      </c>
      <c r="F20" s="27" t="n">
        <v>2185000</v>
      </c>
      <c r="G20" s="16" t="n">
        <f aca="false">SUMIFS('TỒN ĐẦU KỲ'!$D$5:$D$123,'TỒN ĐẦU KỲ'!$B$5:$B$123,$C20,'TỒN ĐẦU KỲ'!$C$5:$C$123,$E20)</f>
        <v>94</v>
      </c>
      <c r="H20" s="16" t="n">
        <f aca="false">SUMIFS('NHẬP KHO'!$E$5:$E$1004,'NHẬP KHO'!$C$5:$C$1004,$C20,'NHẬP KHO'!$D$5:$D$1004,$E20,'NHẬP KHO'!$A$5:$A$1004,"&gt;"&amp;$E$4)</f>
        <v>0</v>
      </c>
      <c r="I20" s="16" t="n">
        <f aca="false">SUMIFS('XUẤT KHO'!$E$5:$E$1004,'XUẤT KHO'!$C$5:$C$1004,$C20,'XUẤT KHO'!$D$5:$D$1004,$E20,'XUẤT KHO'!$A$5:$A$1004,"&gt;"&amp;$E$4)</f>
        <v>32</v>
      </c>
      <c r="J20" s="28" t="n">
        <f aca="false">G20+H20-I20</f>
        <v>62</v>
      </c>
      <c r="K20" s="16" t="n">
        <f aca="false">SUMIFS('XUẤT KHO'!$E$5:$E$1004,'XUẤT KHO'!$C$5:$C$1004,$C20,'XUẤT KHO'!$D$5:$D$1004,$E20,'XUẤT KHO'!$A$5:$A$1004,"&gt;"&amp;($E$3-$E$5),'XUẤT KHO'!$A$5:$A$1004,"&lt;="&amp;$E$3)</f>
        <v>18</v>
      </c>
      <c r="L20" s="17" t="n">
        <f aca="false">K20/$E$5</f>
        <v>0.2</v>
      </c>
      <c r="M20" s="29" t="n">
        <f aca="false">IF(L20=0,"-",IF(J20&lt;=0,0,J20/L20))</f>
        <v>310</v>
      </c>
      <c r="N20" s="16" t="n">
        <f aca="false">IF(L20=0,0,MAX(0,ROUNDUP(L20*$E$7,0)-J20))</f>
        <v>0</v>
      </c>
      <c r="O20" s="16" t="n">
        <f aca="false">IF(F20="",0,MAX(J20,0)*F20)</f>
        <v>135470000</v>
      </c>
      <c r="P20" s="30" t="str">
        <f aca="false">IF(J20&lt;0,"ÂM KHO – kiểm tra",IF(AND(J20=0,K20&gt;0),"HẾT HÀNG",IF(J20=0,"Hết (ít bán)",IF(K20=0,"Chậm bán",IF(M20&lt;$E$6,"SẮP HẾT","Đủ hàng")))))</f>
        <v>Đủ hàng</v>
      </c>
      <c r="Q20" s="31" t="str">
        <f aca="false">IF(OR(P20="HẾT HÀNG",P20="SẮP HẾT"),IF(ISNUMBER(M20),M20,0)+ROW()/100000,"")</f>
        <v/>
      </c>
      <c r="R20" s="31" t="n">
        <f aca="false">IF(K20&gt;0,K20+ROW()/100000,"")</f>
        <v>18.0002</v>
      </c>
    </row>
    <row r="21" customFormat="false" ht="15" hidden="false" customHeight="false" outlineLevel="0" collapsed="false">
      <c r="A21" s="26" t="n">
        <v>11</v>
      </c>
      <c r="B21" s="15" t="s">
        <v>25</v>
      </c>
      <c r="C21" s="15" t="s">
        <v>63</v>
      </c>
      <c r="D21" s="15" t="s">
        <v>64</v>
      </c>
      <c r="E21" s="26" t="s">
        <v>53</v>
      </c>
      <c r="F21" s="27" t="n">
        <v>960000</v>
      </c>
      <c r="G21" s="16" t="n">
        <f aca="false">SUMIFS('TỒN ĐẦU KỲ'!$D$5:$D$123,'TỒN ĐẦU KỲ'!$B$5:$B$123,$C21,'TỒN ĐẦU KỲ'!$C$5:$C$123,$E21)</f>
        <v>21</v>
      </c>
      <c r="H21" s="16" t="n">
        <f aca="false">SUMIFS('NHẬP KHO'!$E$5:$E$1004,'NHẬP KHO'!$C$5:$C$1004,$C21,'NHẬP KHO'!$D$5:$D$1004,$E21,'NHẬP KHO'!$A$5:$A$1004,"&gt;"&amp;$E$4)</f>
        <v>2</v>
      </c>
      <c r="I21" s="16" t="n">
        <f aca="false">SUMIFS('XUẤT KHO'!$E$5:$E$1004,'XUẤT KHO'!$C$5:$C$1004,$C21,'XUẤT KHO'!$D$5:$D$1004,$E21,'XUẤT KHO'!$A$5:$A$1004,"&gt;"&amp;$E$4)</f>
        <v>2</v>
      </c>
      <c r="J21" s="28" t="n">
        <f aca="false">G21+H21-I21</f>
        <v>21</v>
      </c>
      <c r="K21" s="16" t="n">
        <f aca="false">SUMIFS('XUẤT KHO'!$E$5:$E$1004,'XUẤT KHO'!$C$5:$C$1004,$C21,'XUẤT KHO'!$D$5:$D$1004,$E21,'XUẤT KHO'!$A$5:$A$1004,"&gt;"&amp;($E$3-$E$5),'XUẤT KHO'!$A$5:$A$1004,"&lt;="&amp;$E$3)</f>
        <v>0</v>
      </c>
      <c r="L21" s="17" t="n">
        <f aca="false">K21/$E$5</f>
        <v>0</v>
      </c>
      <c r="M21" s="29" t="str">
        <f aca="false">IF(L21=0,"-",IF(J21&lt;=0,0,J21/L21))</f>
        <v>-</v>
      </c>
      <c r="N21" s="16" t="n">
        <f aca="false">IF(L21=0,0,MAX(0,ROUNDUP(L21*$E$7,0)-J21))</f>
        <v>0</v>
      </c>
      <c r="O21" s="16" t="n">
        <f aca="false">IF(F21="",0,MAX(J21,0)*F21)</f>
        <v>20160000</v>
      </c>
      <c r="P21" s="30" t="str">
        <f aca="false">IF(J21&lt;0,"ÂM KHO – kiểm tra",IF(AND(J21=0,K21&gt;0),"HẾT HÀNG",IF(J21=0,"Hết (ít bán)",IF(K21=0,"Chậm bán",IF(M21&lt;$E$6,"SẮP HẾT","Đủ hàng")))))</f>
        <v>Chậm bán</v>
      </c>
      <c r="Q21" s="31" t="str">
        <f aca="false">IF(OR(P21="HẾT HÀNG",P21="SẮP HẾT"),IF(ISNUMBER(M21),M21,0)+ROW()/100000,"")</f>
        <v/>
      </c>
      <c r="R21" s="31" t="str">
        <f aca="false">IF(K21&gt;0,K21+ROW()/100000,"")</f>
        <v/>
      </c>
    </row>
    <row r="22" customFormat="false" ht="15" hidden="false" customHeight="false" outlineLevel="0" collapsed="false">
      <c r="A22" s="26" t="n">
        <v>12</v>
      </c>
      <c r="B22" s="15" t="s">
        <v>25</v>
      </c>
      <c r="C22" s="15" t="s">
        <v>63</v>
      </c>
      <c r="D22" s="15" t="s">
        <v>64</v>
      </c>
      <c r="E22" s="26" t="s">
        <v>54</v>
      </c>
      <c r="F22" s="27" t="n">
        <v>3097000</v>
      </c>
      <c r="G22" s="16" t="n">
        <f aca="false">SUMIFS('TỒN ĐẦU KỲ'!$D$5:$D$123,'TỒN ĐẦU KỲ'!$B$5:$B$123,$C22,'TỒN ĐẦU KỲ'!$C$5:$C$123,$E22)</f>
        <v>68</v>
      </c>
      <c r="H22" s="16" t="n">
        <f aca="false">SUMIFS('NHẬP KHO'!$E$5:$E$1004,'NHẬP KHO'!$C$5:$C$1004,$C22,'NHẬP KHO'!$D$5:$D$1004,$E22,'NHẬP KHO'!$A$5:$A$1004,"&gt;"&amp;$E$4)</f>
        <v>0</v>
      </c>
      <c r="I22" s="16" t="n">
        <f aca="false">SUMIFS('XUẤT KHO'!$E$5:$E$1004,'XUẤT KHO'!$C$5:$C$1004,$C22,'XUẤT KHO'!$D$5:$D$1004,$E22,'XUẤT KHO'!$A$5:$A$1004,"&gt;"&amp;$E$4)</f>
        <v>12</v>
      </c>
      <c r="J22" s="28" t="n">
        <f aca="false">G22+H22-I22</f>
        <v>56</v>
      </c>
      <c r="K22" s="16" t="n">
        <f aca="false">SUMIFS('XUẤT KHO'!$E$5:$E$1004,'XUẤT KHO'!$C$5:$C$1004,$C22,'XUẤT KHO'!$D$5:$D$1004,$E22,'XUẤT KHO'!$A$5:$A$1004,"&gt;"&amp;($E$3-$E$5),'XUẤT KHO'!$A$5:$A$1004,"&lt;="&amp;$E$3)</f>
        <v>9</v>
      </c>
      <c r="L22" s="17" t="n">
        <f aca="false">K22/$E$5</f>
        <v>0.1</v>
      </c>
      <c r="M22" s="29" t="n">
        <f aca="false">IF(L22=0,"-",IF(J22&lt;=0,0,J22/L22))</f>
        <v>560</v>
      </c>
      <c r="N22" s="16" t="n">
        <f aca="false">IF(L22=0,0,MAX(0,ROUNDUP(L22*$E$7,0)-J22))</f>
        <v>0</v>
      </c>
      <c r="O22" s="16" t="n">
        <f aca="false">IF(F22="",0,MAX(J22,0)*F22)</f>
        <v>173432000</v>
      </c>
      <c r="P22" s="30" t="str">
        <f aca="false">IF(J22&lt;0,"ÂM KHO – kiểm tra",IF(AND(J22=0,K22&gt;0),"HẾT HÀNG",IF(J22=0,"Hết (ít bán)",IF(K22=0,"Chậm bán",IF(M22&lt;$E$6,"SẮP HẾT","Đủ hàng")))))</f>
        <v>Đủ hàng</v>
      </c>
      <c r="Q22" s="31" t="str">
        <f aca="false">IF(OR(P22="HẾT HÀNG",P22="SẮP HẾT"),IF(ISNUMBER(M22),M22,0)+ROW()/100000,"")</f>
        <v/>
      </c>
      <c r="R22" s="31" t="n">
        <f aca="false">IF(K22&gt;0,K22+ROW()/100000,"")</f>
        <v>9.00022</v>
      </c>
    </row>
    <row r="23" customFormat="false" ht="15" hidden="false" customHeight="false" outlineLevel="0" collapsed="false">
      <c r="A23" s="26" t="n">
        <v>13</v>
      </c>
      <c r="B23" s="15" t="s">
        <v>26</v>
      </c>
      <c r="C23" s="15" t="s">
        <v>65</v>
      </c>
      <c r="D23" s="15" t="s">
        <v>66</v>
      </c>
      <c r="E23" s="26" t="s">
        <v>53</v>
      </c>
      <c r="F23" s="27" t="n">
        <v>867000</v>
      </c>
      <c r="G23" s="16" t="n">
        <f aca="false">SUMIFS('TỒN ĐẦU KỲ'!$D$5:$D$123,'TỒN ĐẦU KỲ'!$B$5:$B$123,$C23,'TỒN ĐẦU KỲ'!$C$5:$C$123,$E23)</f>
        <v>12</v>
      </c>
      <c r="H23" s="16" t="n">
        <f aca="false">SUMIFS('NHẬP KHO'!$E$5:$E$1004,'NHẬP KHO'!$C$5:$C$1004,$C23,'NHẬP KHO'!$D$5:$D$1004,$E23,'NHẬP KHO'!$A$5:$A$1004,"&gt;"&amp;$E$4)</f>
        <v>2</v>
      </c>
      <c r="I23" s="16" t="n">
        <f aca="false">SUMIFS('XUẤT KHO'!$E$5:$E$1004,'XUẤT KHO'!$C$5:$C$1004,$C23,'XUẤT KHO'!$D$5:$D$1004,$E23,'XUẤT KHO'!$A$5:$A$1004,"&gt;"&amp;$E$4)</f>
        <v>4</v>
      </c>
      <c r="J23" s="28" t="n">
        <f aca="false">G23+H23-I23</f>
        <v>10</v>
      </c>
      <c r="K23" s="16" t="n">
        <f aca="false">SUMIFS('XUẤT KHO'!$E$5:$E$1004,'XUẤT KHO'!$C$5:$C$1004,$C23,'XUẤT KHO'!$D$5:$D$1004,$E23,'XUẤT KHO'!$A$5:$A$1004,"&gt;"&amp;($E$3-$E$5),'XUẤT KHO'!$A$5:$A$1004,"&lt;="&amp;$E$3)</f>
        <v>3</v>
      </c>
      <c r="L23" s="17" t="n">
        <f aca="false">K23/$E$5</f>
        <v>0.0333333333333333</v>
      </c>
      <c r="M23" s="29" t="n">
        <f aca="false">IF(L23=0,"-",IF(J23&lt;=0,0,J23/L23))</f>
        <v>300</v>
      </c>
      <c r="N23" s="16" t="n">
        <f aca="false">IF(L23=0,0,MAX(0,ROUNDUP(L23*$E$7,0)-J23))</f>
        <v>0</v>
      </c>
      <c r="O23" s="16" t="n">
        <f aca="false">IF(F23="",0,MAX(J23,0)*F23)</f>
        <v>8670000</v>
      </c>
      <c r="P23" s="30" t="str">
        <f aca="false">IF(J23&lt;0,"ÂM KHO – kiểm tra",IF(AND(J23=0,K23&gt;0),"HẾT HÀNG",IF(J23=0,"Hết (ít bán)",IF(K23=0,"Chậm bán",IF(M23&lt;$E$6,"SẮP HẾT","Đủ hàng")))))</f>
        <v>Đủ hàng</v>
      </c>
      <c r="Q23" s="31" t="str">
        <f aca="false">IF(OR(P23="HẾT HÀNG",P23="SẮP HẾT"),IF(ISNUMBER(M23),M23,0)+ROW()/100000,"")</f>
        <v/>
      </c>
      <c r="R23" s="31" t="n">
        <f aca="false">IF(K23&gt;0,K23+ROW()/100000,"")</f>
        <v>3.00023</v>
      </c>
    </row>
    <row r="24" customFormat="false" ht="15" hidden="false" customHeight="false" outlineLevel="0" collapsed="false">
      <c r="A24" s="26" t="n">
        <v>14</v>
      </c>
      <c r="B24" s="15" t="s">
        <v>26</v>
      </c>
      <c r="C24" s="15" t="s">
        <v>65</v>
      </c>
      <c r="D24" s="15" t="s">
        <v>66</v>
      </c>
      <c r="E24" s="26" t="s">
        <v>54</v>
      </c>
      <c r="F24" s="27" t="n">
        <v>2465000</v>
      </c>
      <c r="G24" s="16" t="n">
        <f aca="false">SUMIFS('TỒN ĐẦU KỲ'!$D$5:$D$123,'TỒN ĐẦU KỲ'!$B$5:$B$123,$C24,'TỒN ĐẦU KỲ'!$C$5:$C$123,$E24)</f>
        <v>34</v>
      </c>
      <c r="H24" s="16" t="n">
        <f aca="false">SUMIFS('NHẬP KHO'!$E$5:$E$1004,'NHẬP KHO'!$C$5:$C$1004,$C24,'NHẬP KHO'!$D$5:$D$1004,$E24,'NHẬP KHO'!$A$5:$A$1004,"&gt;"&amp;$E$4)</f>
        <v>0</v>
      </c>
      <c r="I24" s="16" t="n">
        <f aca="false">SUMIFS('XUẤT KHO'!$E$5:$E$1004,'XUẤT KHO'!$C$5:$C$1004,$C24,'XUẤT KHO'!$D$5:$D$1004,$E24,'XUẤT KHO'!$A$5:$A$1004,"&gt;"&amp;$E$4)</f>
        <v>31</v>
      </c>
      <c r="J24" s="28" t="n">
        <f aca="false">G24+H24-I24</f>
        <v>3</v>
      </c>
      <c r="K24" s="16" t="n">
        <f aca="false">SUMIFS('XUẤT KHO'!$E$5:$E$1004,'XUẤT KHO'!$C$5:$C$1004,$C24,'XUẤT KHO'!$D$5:$D$1004,$E24,'XUẤT KHO'!$A$5:$A$1004,"&gt;"&amp;($E$3-$E$5),'XUẤT KHO'!$A$5:$A$1004,"&lt;="&amp;$E$3)</f>
        <v>20</v>
      </c>
      <c r="L24" s="17" t="n">
        <f aca="false">K24/$E$5</f>
        <v>0.222222222222222</v>
      </c>
      <c r="M24" s="29" t="n">
        <f aca="false">IF(L24=0,"-",IF(J24&lt;=0,0,J24/L24))</f>
        <v>13.5</v>
      </c>
      <c r="N24" s="16" t="n">
        <f aca="false">IF(L24=0,0,MAX(0,ROUNDUP(L24*$E$7,0)-J24))</f>
        <v>7</v>
      </c>
      <c r="O24" s="16" t="n">
        <f aca="false">IF(F24="",0,MAX(J24,0)*F24)</f>
        <v>7395000</v>
      </c>
      <c r="P24" s="30" t="str">
        <f aca="false">IF(J24&lt;0,"ÂM KHO – kiểm tra",IF(AND(J24=0,K24&gt;0),"HẾT HÀNG",IF(J24=0,"Hết (ít bán)",IF(K24=0,"Chậm bán",IF(M24&lt;$E$6,"SẮP HẾT","Đủ hàng")))))</f>
        <v>SẮP HẾT</v>
      </c>
      <c r="Q24" s="31" t="n">
        <f aca="false">IF(OR(P24="HẾT HÀNG",P24="SẮP HẾT"),IF(ISNUMBER(M24),M24,0)+ROW()/100000,"")</f>
        <v>13.50024</v>
      </c>
      <c r="R24" s="31" t="n">
        <f aca="false">IF(K24&gt;0,K24+ROW()/100000,"")</f>
        <v>20.00024</v>
      </c>
    </row>
    <row r="25" customFormat="false" ht="15" hidden="false" customHeight="false" outlineLevel="0" collapsed="false">
      <c r="A25" s="26" t="n">
        <v>15</v>
      </c>
      <c r="B25" s="15" t="s">
        <v>26</v>
      </c>
      <c r="C25" s="15" t="s">
        <v>67</v>
      </c>
      <c r="D25" s="15" t="s">
        <v>68</v>
      </c>
      <c r="E25" s="26" t="s">
        <v>53</v>
      </c>
      <c r="F25" s="27" t="n">
        <v>631000</v>
      </c>
      <c r="G25" s="16" t="n">
        <f aca="false">SUMIFS('TỒN ĐẦU KỲ'!$D$5:$D$123,'TỒN ĐẦU KỲ'!$B$5:$B$123,$C25,'TỒN ĐẦU KỲ'!$C$5:$C$123,$E25)</f>
        <v>24</v>
      </c>
      <c r="H25" s="16" t="n">
        <f aca="false">SUMIFS('NHẬP KHO'!$E$5:$E$1004,'NHẬP KHO'!$C$5:$C$1004,$C25,'NHẬP KHO'!$D$5:$D$1004,$E25,'NHẬP KHO'!$A$5:$A$1004,"&gt;"&amp;$E$4)</f>
        <v>0</v>
      </c>
      <c r="I25" s="16" t="n">
        <f aca="false">SUMIFS('XUẤT KHO'!$E$5:$E$1004,'XUẤT KHO'!$C$5:$C$1004,$C25,'XUẤT KHO'!$D$5:$D$1004,$E25,'XUẤT KHO'!$A$5:$A$1004,"&gt;"&amp;$E$4)</f>
        <v>3</v>
      </c>
      <c r="J25" s="28" t="n">
        <f aca="false">G25+H25-I25</f>
        <v>21</v>
      </c>
      <c r="K25" s="16" t="n">
        <f aca="false">SUMIFS('XUẤT KHO'!$E$5:$E$1004,'XUẤT KHO'!$C$5:$C$1004,$C25,'XUẤT KHO'!$D$5:$D$1004,$E25,'XUẤT KHO'!$A$5:$A$1004,"&gt;"&amp;($E$3-$E$5),'XUẤT KHO'!$A$5:$A$1004,"&lt;="&amp;$E$3)</f>
        <v>3</v>
      </c>
      <c r="L25" s="17" t="n">
        <f aca="false">K25/$E$5</f>
        <v>0.0333333333333333</v>
      </c>
      <c r="M25" s="29" t="n">
        <f aca="false">IF(L25=0,"-",IF(J25&lt;=0,0,J25/L25))</f>
        <v>630</v>
      </c>
      <c r="N25" s="16" t="n">
        <f aca="false">IF(L25=0,0,MAX(0,ROUNDUP(L25*$E$7,0)-J25))</f>
        <v>0</v>
      </c>
      <c r="O25" s="16" t="n">
        <f aca="false">IF(F25="",0,MAX(J25,0)*F25)</f>
        <v>13251000</v>
      </c>
      <c r="P25" s="30" t="str">
        <f aca="false">IF(J25&lt;0,"ÂM KHO – kiểm tra",IF(AND(J25=0,K25&gt;0),"HẾT HÀNG",IF(J25=0,"Hết (ít bán)",IF(K25=0,"Chậm bán",IF(M25&lt;$E$6,"SẮP HẾT","Đủ hàng")))))</f>
        <v>Đủ hàng</v>
      </c>
      <c r="Q25" s="31" t="str">
        <f aca="false">IF(OR(P25="HẾT HÀNG",P25="SẮP HẾT"),IF(ISNUMBER(M25),M25,0)+ROW()/100000,"")</f>
        <v/>
      </c>
      <c r="R25" s="31" t="n">
        <f aca="false">IF(K25&gt;0,K25+ROW()/100000,"")</f>
        <v>3.00025</v>
      </c>
    </row>
    <row r="26" customFormat="false" ht="15" hidden="false" customHeight="false" outlineLevel="0" collapsed="false">
      <c r="A26" s="26" t="n">
        <v>16</v>
      </c>
      <c r="B26" s="15" t="s">
        <v>26</v>
      </c>
      <c r="C26" s="15" t="s">
        <v>67</v>
      </c>
      <c r="D26" s="15" t="s">
        <v>68</v>
      </c>
      <c r="E26" s="26" t="s">
        <v>54</v>
      </c>
      <c r="F26" s="27" t="n">
        <v>2128000</v>
      </c>
      <c r="G26" s="16" t="n">
        <f aca="false">SUMIFS('TỒN ĐẦU KỲ'!$D$5:$D$123,'TỒN ĐẦU KỲ'!$B$5:$B$123,$C26,'TỒN ĐẦU KỲ'!$C$5:$C$123,$E26)</f>
        <v>71</v>
      </c>
      <c r="H26" s="16" t="n">
        <f aca="false">SUMIFS('NHẬP KHO'!$E$5:$E$1004,'NHẬP KHO'!$C$5:$C$1004,$C26,'NHẬP KHO'!$D$5:$D$1004,$E26,'NHẬP KHO'!$A$5:$A$1004,"&gt;"&amp;$E$4)</f>
        <v>0</v>
      </c>
      <c r="I26" s="16" t="n">
        <f aca="false">SUMIFS('XUẤT KHO'!$E$5:$E$1004,'XUẤT KHO'!$C$5:$C$1004,$C26,'XUẤT KHO'!$D$5:$D$1004,$E26,'XUẤT KHO'!$A$5:$A$1004,"&gt;"&amp;$E$4)</f>
        <v>12</v>
      </c>
      <c r="J26" s="28" t="n">
        <f aca="false">G26+H26-I26</f>
        <v>59</v>
      </c>
      <c r="K26" s="16" t="n">
        <f aca="false">SUMIFS('XUẤT KHO'!$E$5:$E$1004,'XUẤT KHO'!$C$5:$C$1004,$C26,'XUẤT KHO'!$D$5:$D$1004,$E26,'XUẤT KHO'!$A$5:$A$1004,"&gt;"&amp;($E$3-$E$5),'XUẤT KHO'!$A$5:$A$1004,"&lt;="&amp;$E$3)</f>
        <v>1</v>
      </c>
      <c r="L26" s="17" t="n">
        <f aca="false">K26/$E$5</f>
        <v>0.0111111111111111</v>
      </c>
      <c r="M26" s="29" t="n">
        <f aca="false">IF(L26=0,"-",IF(J26&lt;=0,0,J26/L26))</f>
        <v>5310</v>
      </c>
      <c r="N26" s="16" t="n">
        <f aca="false">IF(L26=0,0,MAX(0,ROUNDUP(L26*$E$7,0)-J26))</f>
        <v>0</v>
      </c>
      <c r="O26" s="16" t="n">
        <f aca="false">IF(F26="",0,MAX(J26,0)*F26)</f>
        <v>125552000</v>
      </c>
      <c r="P26" s="30" t="str">
        <f aca="false">IF(J26&lt;0,"ÂM KHO – kiểm tra",IF(AND(J26=0,K26&gt;0),"HẾT HÀNG",IF(J26=0,"Hết (ít bán)",IF(K26=0,"Chậm bán",IF(M26&lt;$E$6,"SẮP HẾT","Đủ hàng")))))</f>
        <v>Đủ hàng</v>
      </c>
      <c r="Q26" s="31" t="str">
        <f aca="false">IF(OR(P26="HẾT HÀNG",P26="SẮP HẾT"),IF(ISNUMBER(M26),M26,0)+ROW()/100000,"")</f>
        <v/>
      </c>
      <c r="R26" s="31" t="n">
        <f aca="false">IF(K26&gt;0,K26+ROW()/100000,"")</f>
        <v>1.00026</v>
      </c>
    </row>
    <row r="27" customFormat="false" ht="15" hidden="false" customHeight="false" outlineLevel="0" collapsed="false">
      <c r="A27" s="26" t="n">
        <v>17</v>
      </c>
      <c r="B27" s="15" t="s">
        <v>26</v>
      </c>
      <c r="C27" s="15" t="s">
        <v>69</v>
      </c>
      <c r="D27" s="15" t="s">
        <v>70</v>
      </c>
      <c r="E27" s="26" t="s">
        <v>53</v>
      </c>
      <c r="F27" s="27" t="n">
        <v>1302000</v>
      </c>
      <c r="G27" s="16" t="n">
        <f aca="false">SUMIFS('TỒN ĐẦU KỲ'!$D$5:$D$123,'TỒN ĐẦU KỲ'!$B$5:$B$123,$C27,'TỒN ĐẦU KỲ'!$C$5:$C$123,$E27)</f>
        <v>44</v>
      </c>
      <c r="H27" s="16" t="n">
        <f aca="false">SUMIFS('NHẬP KHO'!$E$5:$E$1004,'NHẬP KHO'!$C$5:$C$1004,$C27,'NHẬP KHO'!$D$5:$D$1004,$E27,'NHẬP KHO'!$A$5:$A$1004,"&gt;"&amp;$E$4)</f>
        <v>0</v>
      </c>
      <c r="I27" s="16" t="n">
        <f aca="false">SUMIFS('XUẤT KHO'!$E$5:$E$1004,'XUẤT KHO'!$C$5:$C$1004,$C27,'XUẤT KHO'!$D$5:$D$1004,$E27,'XUẤT KHO'!$A$5:$A$1004,"&gt;"&amp;$E$4)</f>
        <v>23</v>
      </c>
      <c r="J27" s="28" t="n">
        <f aca="false">G27+H27-I27</f>
        <v>21</v>
      </c>
      <c r="K27" s="16" t="n">
        <f aca="false">SUMIFS('XUẤT KHO'!$E$5:$E$1004,'XUẤT KHO'!$C$5:$C$1004,$C27,'XUẤT KHO'!$D$5:$D$1004,$E27,'XUẤT KHO'!$A$5:$A$1004,"&gt;"&amp;($E$3-$E$5),'XUẤT KHO'!$A$5:$A$1004,"&lt;="&amp;$E$3)</f>
        <v>9</v>
      </c>
      <c r="L27" s="17" t="n">
        <f aca="false">K27/$E$5</f>
        <v>0.1</v>
      </c>
      <c r="M27" s="29" t="n">
        <f aca="false">IF(L27=0,"-",IF(J27&lt;=0,0,J27/L27))</f>
        <v>210</v>
      </c>
      <c r="N27" s="16" t="n">
        <f aca="false">IF(L27=0,0,MAX(0,ROUNDUP(L27*$E$7,0)-J27))</f>
        <v>0</v>
      </c>
      <c r="O27" s="16" t="n">
        <f aca="false">IF(F27="",0,MAX(J27,0)*F27)</f>
        <v>27342000</v>
      </c>
      <c r="P27" s="30" t="str">
        <f aca="false">IF(J27&lt;0,"ÂM KHO – kiểm tra",IF(AND(J27=0,K27&gt;0),"HẾT HÀNG",IF(J27=0,"Hết (ít bán)",IF(K27=0,"Chậm bán",IF(M27&lt;$E$6,"SẮP HẾT","Đủ hàng")))))</f>
        <v>Đủ hàng</v>
      </c>
      <c r="Q27" s="31" t="str">
        <f aca="false">IF(OR(P27="HẾT HÀNG",P27="SẮP HẾT"),IF(ISNUMBER(M27),M27,0)+ROW()/100000,"")</f>
        <v/>
      </c>
      <c r="R27" s="31" t="n">
        <f aca="false">IF(K27&gt;0,K27+ROW()/100000,"")</f>
        <v>9.00027</v>
      </c>
    </row>
    <row r="28" customFormat="false" ht="15" hidden="false" customHeight="false" outlineLevel="0" collapsed="false">
      <c r="A28" s="26" t="n">
        <v>18</v>
      </c>
      <c r="B28" s="15" t="s">
        <v>26</v>
      </c>
      <c r="C28" s="15" t="s">
        <v>69</v>
      </c>
      <c r="D28" s="15" t="s">
        <v>70</v>
      </c>
      <c r="E28" s="26" t="s">
        <v>54</v>
      </c>
      <c r="F28" s="27" t="n">
        <v>4597000</v>
      </c>
      <c r="G28" s="16" t="n">
        <f aca="false">SUMIFS('TỒN ĐẦU KỲ'!$D$5:$D$123,'TỒN ĐẦU KỲ'!$B$5:$B$123,$C28,'TỒN ĐẦU KỲ'!$C$5:$C$123,$E28)</f>
        <v>52</v>
      </c>
      <c r="H28" s="16" t="n">
        <f aca="false">SUMIFS('NHẬP KHO'!$E$5:$E$1004,'NHẬP KHO'!$C$5:$C$1004,$C28,'NHẬP KHO'!$D$5:$D$1004,$E28,'NHẬP KHO'!$A$5:$A$1004,"&gt;"&amp;$E$4)</f>
        <v>3</v>
      </c>
      <c r="I28" s="16" t="n">
        <f aca="false">SUMIFS('XUẤT KHO'!$E$5:$E$1004,'XUẤT KHO'!$C$5:$C$1004,$C28,'XUẤT KHO'!$D$5:$D$1004,$E28,'XUẤT KHO'!$A$5:$A$1004,"&gt;"&amp;$E$4)</f>
        <v>26</v>
      </c>
      <c r="J28" s="28" t="n">
        <f aca="false">G28+H28-I28</f>
        <v>29</v>
      </c>
      <c r="K28" s="16" t="n">
        <f aca="false">SUMIFS('XUẤT KHO'!$E$5:$E$1004,'XUẤT KHO'!$C$5:$C$1004,$C28,'XUẤT KHO'!$D$5:$D$1004,$E28,'XUẤT KHO'!$A$5:$A$1004,"&gt;"&amp;($E$3-$E$5),'XUẤT KHO'!$A$5:$A$1004,"&lt;="&amp;$E$3)</f>
        <v>15</v>
      </c>
      <c r="L28" s="17" t="n">
        <f aca="false">K28/$E$5</f>
        <v>0.166666666666667</v>
      </c>
      <c r="M28" s="29" t="n">
        <f aca="false">IF(L28=0,"-",IF(J28&lt;=0,0,J28/L28))</f>
        <v>174</v>
      </c>
      <c r="N28" s="16" t="n">
        <f aca="false">IF(L28=0,0,MAX(0,ROUNDUP(L28*$E$7,0)-J28))</f>
        <v>0</v>
      </c>
      <c r="O28" s="16" t="n">
        <f aca="false">IF(F28="",0,MAX(J28,0)*F28)</f>
        <v>133313000</v>
      </c>
      <c r="P28" s="30" t="str">
        <f aca="false">IF(J28&lt;0,"ÂM KHO – kiểm tra",IF(AND(J28=0,K28&gt;0),"HẾT HÀNG",IF(J28=0,"Hết (ít bán)",IF(K28=0,"Chậm bán",IF(M28&lt;$E$6,"SẮP HẾT","Đủ hàng")))))</f>
        <v>Đủ hàng</v>
      </c>
      <c r="Q28" s="31" t="str">
        <f aca="false">IF(OR(P28="HẾT HÀNG",P28="SẮP HẾT"),IF(ISNUMBER(M28),M28,0)+ROW()/100000,"")</f>
        <v/>
      </c>
      <c r="R28" s="31" t="n">
        <f aca="false">IF(K28&gt;0,K28+ROW()/100000,"")</f>
        <v>15.00028</v>
      </c>
    </row>
    <row r="29" customFormat="false" ht="15" hidden="false" customHeight="false" outlineLevel="0" collapsed="false">
      <c r="A29" s="26" t="n">
        <v>19</v>
      </c>
      <c r="B29" s="15" t="s">
        <v>26</v>
      </c>
      <c r="C29" s="15" t="s">
        <v>71</v>
      </c>
      <c r="D29" s="15" t="s">
        <v>72</v>
      </c>
      <c r="E29" s="26" t="s">
        <v>53</v>
      </c>
      <c r="F29" s="27" t="n">
        <v>1874000</v>
      </c>
      <c r="G29" s="16" t="n">
        <f aca="false">SUMIFS('TỒN ĐẦU KỲ'!$D$5:$D$123,'TỒN ĐẦU KỲ'!$B$5:$B$123,$C29,'TỒN ĐẦU KỲ'!$C$5:$C$123,$E29)</f>
        <v>107</v>
      </c>
      <c r="H29" s="16" t="n">
        <f aca="false">SUMIFS('NHẬP KHO'!$E$5:$E$1004,'NHẬP KHO'!$C$5:$C$1004,$C29,'NHẬP KHO'!$D$5:$D$1004,$E29,'NHẬP KHO'!$A$5:$A$1004,"&gt;"&amp;$E$4)</f>
        <v>0</v>
      </c>
      <c r="I29" s="16" t="n">
        <f aca="false">SUMIFS('XUẤT KHO'!$E$5:$E$1004,'XUẤT KHO'!$C$5:$C$1004,$C29,'XUẤT KHO'!$D$5:$D$1004,$E29,'XUẤT KHO'!$A$5:$A$1004,"&gt;"&amp;$E$4)</f>
        <v>12</v>
      </c>
      <c r="J29" s="28" t="n">
        <f aca="false">G29+H29-I29</f>
        <v>95</v>
      </c>
      <c r="K29" s="16" t="n">
        <f aca="false">SUMIFS('XUẤT KHO'!$E$5:$E$1004,'XUẤT KHO'!$C$5:$C$1004,$C29,'XUẤT KHO'!$D$5:$D$1004,$E29,'XUẤT KHO'!$A$5:$A$1004,"&gt;"&amp;($E$3-$E$5),'XUẤT KHO'!$A$5:$A$1004,"&lt;="&amp;$E$3)</f>
        <v>4</v>
      </c>
      <c r="L29" s="17" t="n">
        <f aca="false">K29/$E$5</f>
        <v>0.0444444444444444</v>
      </c>
      <c r="M29" s="29" t="n">
        <f aca="false">IF(L29=0,"-",IF(J29&lt;=0,0,J29/L29))</f>
        <v>2137.5</v>
      </c>
      <c r="N29" s="16" t="n">
        <f aca="false">IF(L29=0,0,MAX(0,ROUNDUP(L29*$E$7,0)-J29))</f>
        <v>0</v>
      </c>
      <c r="O29" s="16" t="n">
        <f aca="false">IF(F29="",0,MAX(J29,0)*F29)</f>
        <v>178030000</v>
      </c>
      <c r="P29" s="30" t="str">
        <f aca="false">IF(J29&lt;0,"ÂM KHO – kiểm tra",IF(AND(J29=0,K29&gt;0),"HẾT HÀNG",IF(J29=0,"Hết (ít bán)",IF(K29=0,"Chậm bán",IF(M29&lt;$E$6,"SẮP HẾT","Đủ hàng")))))</f>
        <v>Đủ hàng</v>
      </c>
      <c r="Q29" s="31" t="str">
        <f aca="false">IF(OR(P29="HẾT HÀNG",P29="SẮP HẾT"),IF(ISNUMBER(M29),M29,0)+ROW()/100000,"")</f>
        <v/>
      </c>
      <c r="R29" s="31" t="n">
        <f aca="false">IF(K29&gt;0,K29+ROW()/100000,"")</f>
        <v>4.00029</v>
      </c>
    </row>
    <row r="30" customFormat="false" ht="15" hidden="false" customHeight="false" outlineLevel="0" collapsed="false">
      <c r="A30" s="26" t="n">
        <v>20</v>
      </c>
      <c r="B30" s="15" t="s">
        <v>26</v>
      </c>
      <c r="C30" s="15" t="s">
        <v>71</v>
      </c>
      <c r="D30" s="15" t="s">
        <v>72</v>
      </c>
      <c r="E30" s="26" t="s">
        <v>54</v>
      </c>
      <c r="F30" s="27" t="n">
        <v>5530000</v>
      </c>
      <c r="G30" s="16" t="n">
        <f aca="false">SUMIFS('TỒN ĐẦU KỲ'!$D$5:$D$123,'TỒN ĐẦU KỲ'!$B$5:$B$123,$C30,'TỒN ĐẦU KỲ'!$C$5:$C$123,$E30)</f>
        <v>185</v>
      </c>
      <c r="H30" s="16" t="n">
        <f aca="false">SUMIFS('NHẬP KHO'!$E$5:$E$1004,'NHẬP KHO'!$C$5:$C$1004,$C30,'NHẬP KHO'!$D$5:$D$1004,$E30,'NHẬP KHO'!$A$5:$A$1004,"&gt;"&amp;$E$4)</f>
        <v>1</v>
      </c>
      <c r="I30" s="16" t="n">
        <f aca="false">SUMIFS('XUẤT KHO'!$E$5:$E$1004,'XUẤT KHO'!$C$5:$C$1004,$C30,'XUẤT KHO'!$D$5:$D$1004,$E30,'XUẤT KHO'!$A$5:$A$1004,"&gt;"&amp;$E$4)</f>
        <v>79</v>
      </c>
      <c r="J30" s="28" t="n">
        <f aca="false">G30+H30-I30</f>
        <v>107</v>
      </c>
      <c r="K30" s="16" t="n">
        <f aca="false">SUMIFS('XUẤT KHO'!$E$5:$E$1004,'XUẤT KHO'!$C$5:$C$1004,$C30,'XUẤT KHO'!$D$5:$D$1004,$E30,'XUẤT KHO'!$A$5:$A$1004,"&gt;"&amp;($E$3-$E$5),'XUẤT KHO'!$A$5:$A$1004,"&lt;="&amp;$E$3)</f>
        <v>49</v>
      </c>
      <c r="L30" s="17" t="n">
        <f aca="false">K30/$E$5</f>
        <v>0.544444444444444</v>
      </c>
      <c r="M30" s="29" t="n">
        <f aca="false">IF(L30=0,"-",IF(J30&lt;=0,0,J30/L30))</f>
        <v>196.530612244898</v>
      </c>
      <c r="N30" s="16" t="n">
        <f aca="false">IF(L30=0,0,MAX(0,ROUNDUP(L30*$E$7,0)-J30))</f>
        <v>0</v>
      </c>
      <c r="O30" s="16" t="n">
        <f aca="false">IF(F30="",0,MAX(J30,0)*F30)</f>
        <v>591710000</v>
      </c>
      <c r="P30" s="30" t="str">
        <f aca="false">IF(J30&lt;0,"ÂM KHO – kiểm tra",IF(AND(J30=0,K30&gt;0),"HẾT HÀNG",IF(J30=0,"Hết (ít bán)",IF(K30=0,"Chậm bán",IF(M30&lt;$E$6,"SẮP HẾT","Đủ hàng")))))</f>
        <v>Đủ hàng</v>
      </c>
      <c r="Q30" s="31" t="str">
        <f aca="false">IF(OR(P30="HẾT HÀNG",P30="SẮP HẾT"),IF(ISNUMBER(M30),M30,0)+ROW()/100000,"")</f>
        <v/>
      </c>
      <c r="R30" s="31" t="n">
        <f aca="false">IF(K30&gt;0,K30+ROW()/100000,"")</f>
        <v>49.0003</v>
      </c>
    </row>
    <row r="31" customFormat="false" ht="15" hidden="false" customHeight="false" outlineLevel="0" collapsed="false">
      <c r="A31" s="26" t="n">
        <v>21</v>
      </c>
      <c r="B31" s="15" t="s">
        <v>26</v>
      </c>
      <c r="C31" s="15" t="s">
        <v>73</v>
      </c>
      <c r="D31" s="15" t="s">
        <v>74</v>
      </c>
      <c r="E31" s="26" t="s">
        <v>53</v>
      </c>
      <c r="F31" s="27" t="n">
        <v>2078000</v>
      </c>
      <c r="G31" s="16" t="n">
        <f aca="false">SUMIFS('TỒN ĐẦU KỲ'!$D$5:$D$123,'TỒN ĐẦU KỲ'!$B$5:$B$123,$C31,'TỒN ĐẦU KỲ'!$C$5:$C$123,$E31)</f>
        <v>12</v>
      </c>
      <c r="H31" s="16" t="n">
        <f aca="false">SUMIFS('NHẬP KHO'!$E$5:$E$1004,'NHẬP KHO'!$C$5:$C$1004,$C31,'NHẬP KHO'!$D$5:$D$1004,$E31,'NHẬP KHO'!$A$5:$A$1004,"&gt;"&amp;$E$4)</f>
        <v>0</v>
      </c>
      <c r="I31" s="16" t="n">
        <f aca="false">SUMIFS('XUẤT KHO'!$E$5:$E$1004,'XUẤT KHO'!$C$5:$C$1004,$C31,'XUẤT KHO'!$D$5:$D$1004,$E31,'XUẤT KHO'!$A$5:$A$1004,"&gt;"&amp;$E$4)</f>
        <v>1</v>
      </c>
      <c r="J31" s="28" t="n">
        <f aca="false">G31+H31-I31</f>
        <v>11</v>
      </c>
      <c r="K31" s="16" t="n">
        <f aca="false">SUMIFS('XUẤT KHO'!$E$5:$E$1004,'XUẤT KHO'!$C$5:$C$1004,$C31,'XUẤT KHO'!$D$5:$D$1004,$E31,'XUẤT KHO'!$A$5:$A$1004,"&gt;"&amp;($E$3-$E$5),'XUẤT KHO'!$A$5:$A$1004,"&lt;="&amp;$E$3)</f>
        <v>0</v>
      </c>
      <c r="L31" s="17" t="n">
        <f aca="false">K31/$E$5</f>
        <v>0</v>
      </c>
      <c r="M31" s="29" t="str">
        <f aca="false">IF(L31=0,"-",IF(J31&lt;=0,0,J31/L31))</f>
        <v>-</v>
      </c>
      <c r="N31" s="16" t="n">
        <f aca="false">IF(L31=0,0,MAX(0,ROUNDUP(L31*$E$7,0)-J31))</f>
        <v>0</v>
      </c>
      <c r="O31" s="16" t="n">
        <f aca="false">IF(F31="",0,MAX(J31,0)*F31)</f>
        <v>22858000</v>
      </c>
      <c r="P31" s="30" t="str">
        <f aca="false">IF(J31&lt;0,"ÂM KHO – kiểm tra",IF(AND(J31=0,K31&gt;0),"HẾT HÀNG",IF(J31=0,"Hết (ít bán)",IF(K31=0,"Chậm bán",IF(M31&lt;$E$6,"SẮP HẾT","Đủ hàng")))))</f>
        <v>Chậm bán</v>
      </c>
      <c r="Q31" s="31" t="str">
        <f aca="false">IF(OR(P31="HẾT HÀNG",P31="SẮP HẾT"),IF(ISNUMBER(M31),M31,0)+ROW()/100000,"")</f>
        <v/>
      </c>
      <c r="R31" s="31" t="str">
        <f aca="false">IF(K31&gt;0,K31+ROW()/100000,"")</f>
        <v/>
      </c>
    </row>
    <row r="32" customFormat="false" ht="15" hidden="false" customHeight="false" outlineLevel="0" collapsed="false">
      <c r="A32" s="26" t="n">
        <v>22</v>
      </c>
      <c r="B32" s="15" t="s">
        <v>26</v>
      </c>
      <c r="C32" s="15" t="s">
        <v>73</v>
      </c>
      <c r="D32" s="15" t="s">
        <v>74</v>
      </c>
      <c r="E32" s="26" t="s">
        <v>54</v>
      </c>
      <c r="F32" s="27" t="n">
        <v>6394000</v>
      </c>
      <c r="G32" s="16" t="n">
        <f aca="false">SUMIFS('TỒN ĐẦU KỲ'!$D$5:$D$123,'TỒN ĐẦU KỲ'!$B$5:$B$123,$C32,'TỒN ĐẦU KỲ'!$C$5:$C$123,$E32)</f>
        <v>24</v>
      </c>
      <c r="H32" s="16" t="n">
        <f aca="false">SUMIFS('NHẬP KHO'!$E$5:$E$1004,'NHẬP KHO'!$C$5:$C$1004,$C32,'NHẬP KHO'!$D$5:$D$1004,$E32,'NHẬP KHO'!$A$5:$A$1004,"&gt;"&amp;$E$4)</f>
        <v>0</v>
      </c>
      <c r="I32" s="16" t="n">
        <f aca="false">SUMIFS('XUẤT KHO'!$E$5:$E$1004,'XUẤT KHO'!$C$5:$C$1004,$C32,'XUẤT KHO'!$D$5:$D$1004,$E32,'XUẤT KHO'!$A$5:$A$1004,"&gt;"&amp;$E$4)</f>
        <v>0</v>
      </c>
      <c r="J32" s="28" t="n">
        <f aca="false">G32+H32-I32</f>
        <v>24</v>
      </c>
      <c r="K32" s="16" t="n">
        <f aca="false">SUMIFS('XUẤT KHO'!$E$5:$E$1004,'XUẤT KHO'!$C$5:$C$1004,$C32,'XUẤT KHO'!$D$5:$D$1004,$E32,'XUẤT KHO'!$A$5:$A$1004,"&gt;"&amp;($E$3-$E$5),'XUẤT KHO'!$A$5:$A$1004,"&lt;="&amp;$E$3)</f>
        <v>0</v>
      </c>
      <c r="L32" s="17" t="n">
        <f aca="false">K32/$E$5</f>
        <v>0</v>
      </c>
      <c r="M32" s="29" t="str">
        <f aca="false">IF(L32=0,"-",IF(J32&lt;=0,0,J32/L32))</f>
        <v>-</v>
      </c>
      <c r="N32" s="16" t="n">
        <f aca="false">IF(L32=0,0,MAX(0,ROUNDUP(L32*$E$7,0)-J32))</f>
        <v>0</v>
      </c>
      <c r="O32" s="16" t="n">
        <f aca="false">IF(F32="",0,MAX(J32,0)*F32)</f>
        <v>153456000</v>
      </c>
      <c r="P32" s="30" t="str">
        <f aca="false">IF(J32&lt;0,"ÂM KHO – kiểm tra",IF(AND(J32=0,K32&gt;0),"HẾT HÀNG",IF(J32=0,"Hết (ít bán)",IF(K32=0,"Chậm bán",IF(M32&lt;$E$6,"SẮP HẾT","Đủ hàng")))))</f>
        <v>Chậm bán</v>
      </c>
      <c r="Q32" s="31" t="str">
        <f aca="false">IF(OR(P32="HẾT HÀNG",P32="SẮP HẾT"),IF(ISNUMBER(M32),M32,0)+ROW()/100000,"")</f>
        <v/>
      </c>
      <c r="R32" s="31" t="str">
        <f aca="false">IF(K32&gt;0,K32+ROW()/100000,"")</f>
        <v/>
      </c>
    </row>
    <row r="33" customFormat="false" ht="15" hidden="false" customHeight="false" outlineLevel="0" collapsed="false">
      <c r="A33" s="26" t="n">
        <v>23</v>
      </c>
      <c r="B33" s="15" t="s">
        <v>26</v>
      </c>
      <c r="C33" s="15" t="s">
        <v>75</v>
      </c>
      <c r="D33" s="15" t="s">
        <v>76</v>
      </c>
      <c r="E33" s="26" t="s">
        <v>54</v>
      </c>
      <c r="F33" s="27" t="n">
        <v>1113000</v>
      </c>
      <c r="G33" s="16" t="n">
        <f aca="false">SUMIFS('TỒN ĐẦU KỲ'!$D$5:$D$123,'TỒN ĐẦU KỲ'!$B$5:$B$123,$C33,'TỒN ĐẦU KỲ'!$C$5:$C$123,$E33)</f>
        <v>22</v>
      </c>
      <c r="H33" s="16" t="n">
        <f aca="false">SUMIFS('NHẬP KHO'!$E$5:$E$1004,'NHẬP KHO'!$C$5:$C$1004,$C33,'NHẬP KHO'!$D$5:$D$1004,$E33,'NHẬP KHO'!$A$5:$A$1004,"&gt;"&amp;$E$4)</f>
        <v>1</v>
      </c>
      <c r="I33" s="16" t="n">
        <f aca="false">SUMIFS('XUẤT KHO'!$E$5:$E$1004,'XUẤT KHO'!$C$5:$C$1004,$C33,'XUẤT KHO'!$D$5:$D$1004,$E33,'XUẤT KHO'!$A$5:$A$1004,"&gt;"&amp;$E$4)</f>
        <v>11</v>
      </c>
      <c r="J33" s="28" t="n">
        <f aca="false">G33+H33-I33</f>
        <v>12</v>
      </c>
      <c r="K33" s="16" t="n">
        <f aca="false">SUMIFS('XUẤT KHO'!$E$5:$E$1004,'XUẤT KHO'!$C$5:$C$1004,$C33,'XUẤT KHO'!$D$5:$D$1004,$E33,'XUẤT KHO'!$A$5:$A$1004,"&gt;"&amp;($E$3-$E$5),'XUẤT KHO'!$A$5:$A$1004,"&lt;="&amp;$E$3)</f>
        <v>6</v>
      </c>
      <c r="L33" s="17" t="n">
        <f aca="false">K33/$E$5</f>
        <v>0.0666666666666667</v>
      </c>
      <c r="M33" s="29" t="n">
        <f aca="false">IF(L33=0,"-",IF(J33&lt;=0,0,J33/L33))</f>
        <v>180</v>
      </c>
      <c r="N33" s="16" t="n">
        <f aca="false">IF(L33=0,0,MAX(0,ROUNDUP(L33*$E$7,0)-J33))</f>
        <v>0</v>
      </c>
      <c r="O33" s="16" t="n">
        <f aca="false">IF(F33="",0,MAX(J33,0)*F33)</f>
        <v>13356000</v>
      </c>
      <c r="P33" s="30" t="str">
        <f aca="false">IF(J33&lt;0,"ÂM KHO – kiểm tra",IF(AND(J33=0,K33&gt;0),"HẾT HÀNG",IF(J33=0,"Hết (ít bán)",IF(K33=0,"Chậm bán",IF(M33&lt;$E$6,"SẮP HẾT","Đủ hàng")))))</f>
        <v>Đủ hàng</v>
      </c>
      <c r="Q33" s="31" t="str">
        <f aca="false">IF(OR(P33="HẾT HÀNG",P33="SẮP HẾT"),IF(ISNUMBER(M33),M33,0)+ROW()/100000,"")</f>
        <v/>
      </c>
      <c r="R33" s="31" t="n">
        <f aca="false">IF(K33&gt;0,K33+ROW()/100000,"")</f>
        <v>6.00033</v>
      </c>
    </row>
    <row r="34" customFormat="false" ht="15" hidden="false" customHeight="false" outlineLevel="0" collapsed="false">
      <c r="A34" s="26" t="n">
        <v>24</v>
      </c>
      <c r="B34" s="15" t="s">
        <v>26</v>
      </c>
      <c r="C34" s="15" t="s">
        <v>77</v>
      </c>
      <c r="D34" s="15" t="s">
        <v>78</v>
      </c>
      <c r="E34" s="26" t="s">
        <v>79</v>
      </c>
      <c r="F34" s="27" t="n">
        <v>462000</v>
      </c>
      <c r="G34" s="16" t="n">
        <f aca="false">SUMIFS('TỒN ĐẦU KỲ'!$D$5:$D$123,'TỒN ĐẦU KỲ'!$B$5:$B$123,$C34,'TỒN ĐẦU KỲ'!$C$5:$C$123,$E34)</f>
        <v>11</v>
      </c>
      <c r="H34" s="16" t="n">
        <f aca="false">SUMIFS('NHẬP KHO'!$E$5:$E$1004,'NHẬP KHO'!$C$5:$C$1004,$C34,'NHẬP KHO'!$D$5:$D$1004,$E34,'NHẬP KHO'!$A$5:$A$1004,"&gt;"&amp;$E$4)</f>
        <v>0</v>
      </c>
      <c r="I34" s="16" t="n">
        <f aca="false">SUMIFS('XUẤT KHO'!$E$5:$E$1004,'XUẤT KHO'!$C$5:$C$1004,$C34,'XUẤT KHO'!$D$5:$D$1004,$E34,'XUẤT KHO'!$A$5:$A$1004,"&gt;"&amp;$E$4)</f>
        <v>5</v>
      </c>
      <c r="J34" s="28" t="n">
        <f aca="false">G34+H34-I34</f>
        <v>6</v>
      </c>
      <c r="K34" s="16" t="n">
        <f aca="false">SUMIFS('XUẤT KHO'!$E$5:$E$1004,'XUẤT KHO'!$C$5:$C$1004,$C34,'XUẤT KHO'!$D$5:$D$1004,$E34,'XUẤT KHO'!$A$5:$A$1004,"&gt;"&amp;($E$3-$E$5),'XUẤT KHO'!$A$5:$A$1004,"&lt;="&amp;$E$3)</f>
        <v>0</v>
      </c>
      <c r="L34" s="17" t="n">
        <f aca="false">K34/$E$5</f>
        <v>0</v>
      </c>
      <c r="M34" s="29" t="str">
        <f aca="false">IF(L34=0,"-",IF(J34&lt;=0,0,J34/L34))</f>
        <v>-</v>
      </c>
      <c r="N34" s="16" t="n">
        <f aca="false">IF(L34=0,0,MAX(0,ROUNDUP(L34*$E$7,0)-J34))</f>
        <v>0</v>
      </c>
      <c r="O34" s="16" t="n">
        <f aca="false">IF(F34="",0,MAX(J34,0)*F34)</f>
        <v>2772000</v>
      </c>
      <c r="P34" s="30" t="str">
        <f aca="false">IF(J34&lt;0,"ÂM KHO – kiểm tra",IF(AND(J34=0,K34&gt;0),"HẾT HÀNG",IF(J34=0,"Hết (ít bán)",IF(K34=0,"Chậm bán",IF(M34&lt;$E$6,"SẮP HẾT","Đủ hàng")))))</f>
        <v>Chậm bán</v>
      </c>
      <c r="Q34" s="31" t="str">
        <f aca="false">IF(OR(P34="HẾT HÀNG",P34="SẮP HẾT"),IF(ISNUMBER(M34),M34,0)+ROW()/100000,"")</f>
        <v/>
      </c>
      <c r="R34" s="31" t="str">
        <f aca="false">IF(K34&gt;0,K34+ROW()/100000,"")</f>
        <v/>
      </c>
    </row>
    <row r="35" customFormat="false" ht="15" hidden="false" customHeight="false" outlineLevel="0" collapsed="false">
      <c r="A35" s="26" t="n">
        <v>25</v>
      </c>
      <c r="B35" s="15" t="s">
        <v>27</v>
      </c>
      <c r="C35" s="15" t="s">
        <v>80</v>
      </c>
      <c r="D35" s="15" t="s">
        <v>81</v>
      </c>
      <c r="E35" s="26" t="s">
        <v>53</v>
      </c>
      <c r="F35" s="27" t="n">
        <v>971000</v>
      </c>
      <c r="G35" s="16" t="n">
        <f aca="false">SUMIFS('TỒN ĐẦU KỲ'!$D$5:$D$123,'TỒN ĐẦU KỲ'!$B$5:$B$123,$C35,'TỒN ĐẦU KỲ'!$C$5:$C$123,$E35)</f>
        <v>25</v>
      </c>
      <c r="H35" s="16" t="n">
        <f aca="false">SUMIFS('NHẬP KHO'!$E$5:$E$1004,'NHẬP KHO'!$C$5:$C$1004,$C35,'NHẬP KHO'!$D$5:$D$1004,$E35,'NHẬP KHO'!$A$5:$A$1004,"&gt;"&amp;$E$4)</f>
        <v>0</v>
      </c>
      <c r="I35" s="16" t="n">
        <f aca="false">SUMIFS('XUẤT KHO'!$E$5:$E$1004,'XUẤT KHO'!$C$5:$C$1004,$C35,'XUẤT KHO'!$D$5:$D$1004,$E35,'XUẤT KHO'!$A$5:$A$1004,"&gt;"&amp;$E$4)</f>
        <v>0</v>
      </c>
      <c r="J35" s="28" t="n">
        <f aca="false">G35+H35-I35</f>
        <v>25</v>
      </c>
      <c r="K35" s="16" t="n">
        <f aca="false">SUMIFS('XUẤT KHO'!$E$5:$E$1004,'XUẤT KHO'!$C$5:$C$1004,$C35,'XUẤT KHO'!$D$5:$D$1004,$E35,'XUẤT KHO'!$A$5:$A$1004,"&gt;"&amp;($E$3-$E$5),'XUẤT KHO'!$A$5:$A$1004,"&lt;="&amp;$E$3)</f>
        <v>0</v>
      </c>
      <c r="L35" s="17" t="n">
        <f aca="false">K35/$E$5</f>
        <v>0</v>
      </c>
      <c r="M35" s="29" t="str">
        <f aca="false">IF(L35=0,"-",IF(J35&lt;=0,0,J35/L35))</f>
        <v>-</v>
      </c>
      <c r="N35" s="16" t="n">
        <f aca="false">IF(L35=0,0,MAX(0,ROUNDUP(L35*$E$7,0)-J35))</f>
        <v>0</v>
      </c>
      <c r="O35" s="16" t="n">
        <f aca="false">IF(F35="",0,MAX(J35,0)*F35)</f>
        <v>24275000</v>
      </c>
      <c r="P35" s="30" t="str">
        <f aca="false">IF(J35&lt;0,"ÂM KHO – kiểm tra",IF(AND(J35=0,K35&gt;0),"HẾT HÀNG",IF(J35=0,"Hết (ít bán)",IF(K35=0,"Chậm bán",IF(M35&lt;$E$6,"SẮP HẾT","Đủ hàng")))))</f>
        <v>Chậm bán</v>
      </c>
      <c r="Q35" s="31" t="str">
        <f aca="false">IF(OR(P35="HẾT HÀNG",P35="SẮP HẾT"),IF(ISNUMBER(M35),M35,0)+ROW()/100000,"")</f>
        <v/>
      </c>
      <c r="R35" s="31" t="str">
        <f aca="false">IF(K35&gt;0,K35+ROW()/100000,"")</f>
        <v/>
      </c>
    </row>
    <row r="36" customFormat="false" ht="15" hidden="false" customHeight="false" outlineLevel="0" collapsed="false">
      <c r="A36" s="26" t="n">
        <v>26</v>
      </c>
      <c r="B36" s="15" t="s">
        <v>27</v>
      </c>
      <c r="C36" s="15" t="s">
        <v>80</v>
      </c>
      <c r="D36" s="15" t="s">
        <v>81</v>
      </c>
      <c r="E36" s="26" t="s">
        <v>54</v>
      </c>
      <c r="F36" s="27" t="n">
        <v>3131000</v>
      </c>
      <c r="G36" s="16" t="n">
        <f aca="false">SUMIFS('TỒN ĐẦU KỲ'!$D$5:$D$123,'TỒN ĐẦU KỲ'!$B$5:$B$123,$C36,'TỒN ĐẦU KỲ'!$C$5:$C$123,$E36)</f>
        <v>72</v>
      </c>
      <c r="H36" s="16" t="n">
        <f aca="false">SUMIFS('NHẬP KHO'!$E$5:$E$1004,'NHẬP KHO'!$C$5:$C$1004,$C36,'NHẬP KHO'!$D$5:$D$1004,$E36,'NHẬP KHO'!$A$5:$A$1004,"&gt;"&amp;$E$4)</f>
        <v>0</v>
      </c>
      <c r="I36" s="16" t="n">
        <f aca="false">SUMIFS('XUẤT KHO'!$E$5:$E$1004,'XUẤT KHO'!$C$5:$C$1004,$C36,'XUẤT KHO'!$D$5:$D$1004,$E36,'XUẤT KHO'!$A$5:$A$1004,"&gt;"&amp;$E$4)</f>
        <v>5</v>
      </c>
      <c r="J36" s="28" t="n">
        <f aca="false">G36+H36-I36</f>
        <v>67</v>
      </c>
      <c r="K36" s="16" t="n">
        <f aca="false">SUMIFS('XUẤT KHO'!$E$5:$E$1004,'XUẤT KHO'!$C$5:$C$1004,$C36,'XUẤT KHO'!$D$5:$D$1004,$E36,'XUẤT KHO'!$A$5:$A$1004,"&gt;"&amp;($E$3-$E$5),'XUẤT KHO'!$A$5:$A$1004,"&lt;="&amp;$E$3)</f>
        <v>2</v>
      </c>
      <c r="L36" s="17" t="n">
        <f aca="false">K36/$E$5</f>
        <v>0.0222222222222222</v>
      </c>
      <c r="M36" s="29" t="n">
        <f aca="false">IF(L36=0,"-",IF(J36&lt;=0,0,J36/L36))</f>
        <v>3015</v>
      </c>
      <c r="N36" s="16" t="n">
        <f aca="false">IF(L36=0,0,MAX(0,ROUNDUP(L36*$E$7,0)-J36))</f>
        <v>0</v>
      </c>
      <c r="O36" s="16" t="n">
        <f aca="false">IF(F36="",0,MAX(J36,0)*F36)</f>
        <v>209777000</v>
      </c>
      <c r="P36" s="30" t="str">
        <f aca="false">IF(J36&lt;0,"ÂM KHO – kiểm tra",IF(AND(J36=0,K36&gt;0),"HẾT HÀNG",IF(J36=0,"Hết (ít bán)",IF(K36=0,"Chậm bán",IF(M36&lt;$E$6,"SẮP HẾT","Đủ hàng")))))</f>
        <v>Đủ hàng</v>
      </c>
      <c r="Q36" s="31" t="str">
        <f aca="false">IF(OR(P36="HẾT HÀNG",P36="SẮP HẾT"),IF(ISNUMBER(M36),M36,0)+ROW()/100000,"")</f>
        <v/>
      </c>
      <c r="R36" s="31" t="n">
        <f aca="false">IF(K36&gt;0,K36+ROW()/100000,"")</f>
        <v>2.00036</v>
      </c>
    </row>
    <row r="37" customFormat="false" ht="15" hidden="false" customHeight="false" outlineLevel="0" collapsed="false">
      <c r="A37" s="26" t="n">
        <v>27</v>
      </c>
      <c r="B37" s="15" t="s">
        <v>27</v>
      </c>
      <c r="C37" s="15" t="s">
        <v>82</v>
      </c>
      <c r="D37" s="15" t="s">
        <v>83</v>
      </c>
      <c r="E37" s="26" t="s">
        <v>79</v>
      </c>
      <c r="F37" s="27" t="n">
        <v>409000</v>
      </c>
      <c r="G37" s="16" t="n">
        <f aca="false">SUMIFS('TỒN ĐẦU KỲ'!$D$5:$D$123,'TỒN ĐẦU KỲ'!$B$5:$B$123,$C37,'TỒN ĐẦU KỲ'!$C$5:$C$123,$E37)</f>
        <v>111</v>
      </c>
      <c r="H37" s="16" t="n">
        <f aca="false">SUMIFS('NHẬP KHO'!$E$5:$E$1004,'NHẬP KHO'!$C$5:$C$1004,$C37,'NHẬP KHO'!$D$5:$D$1004,$E37,'NHẬP KHO'!$A$5:$A$1004,"&gt;"&amp;$E$4)</f>
        <v>0</v>
      </c>
      <c r="I37" s="16" t="n">
        <f aca="false">SUMIFS('XUẤT KHO'!$E$5:$E$1004,'XUẤT KHO'!$C$5:$C$1004,$C37,'XUẤT KHO'!$D$5:$D$1004,$E37,'XUẤT KHO'!$A$5:$A$1004,"&gt;"&amp;$E$4)</f>
        <v>5</v>
      </c>
      <c r="J37" s="28" t="n">
        <f aca="false">G37+H37-I37</f>
        <v>106</v>
      </c>
      <c r="K37" s="16" t="n">
        <f aca="false">SUMIFS('XUẤT KHO'!$E$5:$E$1004,'XUẤT KHO'!$C$5:$C$1004,$C37,'XUẤT KHO'!$D$5:$D$1004,$E37,'XUẤT KHO'!$A$5:$A$1004,"&gt;"&amp;($E$3-$E$5),'XUẤT KHO'!$A$5:$A$1004,"&lt;="&amp;$E$3)</f>
        <v>4</v>
      </c>
      <c r="L37" s="17" t="n">
        <f aca="false">K37/$E$5</f>
        <v>0.0444444444444444</v>
      </c>
      <c r="M37" s="29" t="n">
        <f aca="false">IF(L37=0,"-",IF(J37&lt;=0,0,J37/L37))</f>
        <v>2385</v>
      </c>
      <c r="N37" s="16" t="n">
        <f aca="false">IF(L37=0,0,MAX(0,ROUNDUP(L37*$E$7,0)-J37))</f>
        <v>0</v>
      </c>
      <c r="O37" s="16" t="n">
        <f aca="false">IF(F37="",0,MAX(J37,0)*F37)</f>
        <v>43354000</v>
      </c>
      <c r="P37" s="30" t="str">
        <f aca="false">IF(J37&lt;0,"ÂM KHO – kiểm tra",IF(AND(J37=0,K37&gt;0),"HẾT HÀNG",IF(J37=0,"Hết (ít bán)",IF(K37=0,"Chậm bán",IF(M37&lt;$E$6,"SẮP HẾT","Đủ hàng")))))</f>
        <v>Đủ hàng</v>
      </c>
      <c r="Q37" s="31" t="str">
        <f aca="false">IF(OR(P37="HẾT HÀNG",P37="SẮP HẾT"),IF(ISNUMBER(M37),M37,0)+ROW()/100000,"")</f>
        <v/>
      </c>
      <c r="R37" s="31" t="n">
        <f aca="false">IF(K37&gt;0,K37+ROW()/100000,"")</f>
        <v>4.00037</v>
      </c>
    </row>
    <row r="38" customFormat="false" ht="15" hidden="false" customHeight="false" outlineLevel="0" collapsed="false">
      <c r="A38" s="26" t="n">
        <v>28</v>
      </c>
      <c r="B38" s="15" t="s">
        <v>27</v>
      </c>
      <c r="C38" s="15" t="s">
        <v>82</v>
      </c>
      <c r="D38" s="15" t="s">
        <v>83</v>
      </c>
      <c r="E38" s="26" t="s">
        <v>53</v>
      </c>
      <c r="F38" s="27" t="n">
        <v>1536000</v>
      </c>
      <c r="G38" s="16" t="n">
        <f aca="false">SUMIFS('TỒN ĐẦU KỲ'!$D$5:$D$123,'TỒN ĐẦU KỲ'!$B$5:$B$123,$C38,'TỒN ĐẦU KỲ'!$C$5:$C$123,$E38)</f>
        <v>140</v>
      </c>
      <c r="H38" s="16" t="n">
        <f aca="false">SUMIFS('NHẬP KHO'!$E$5:$E$1004,'NHẬP KHO'!$C$5:$C$1004,$C38,'NHẬP KHO'!$D$5:$D$1004,$E38,'NHẬP KHO'!$A$5:$A$1004,"&gt;"&amp;$E$4)</f>
        <v>1</v>
      </c>
      <c r="I38" s="16" t="n">
        <f aca="false">SUMIFS('XUẤT KHO'!$E$5:$E$1004,'XUẤT KHO'!$C$5:$C$1004,$C38,'XUẤT KHO'!$D$5:$D$1004,$E38,'XUẤT KHO'!$A$5:$A$1004,"&gt;"&amp;$E$4)</f>
        <v>13</v>
      </c>
      <c r="J38" s="28" t="n">
        <f aca="false">G38+H38-I38</f>
        <v>128</v>
      </c>
      <c r="K38" s="16" t="n">
        <f aca="false">SUMIFS('XUẤT KHO'!$E$5:$E$1004,'XUẤT KHO'!$C$5:$C$1004,$C38,'XUẤT KHO'!$D$5:$D$1004,$E38,'XUẤT KHO'!$A$5:$A$1004,"&gt;"&amp;($E$3-$E$5),'XUẤT KHO'!$A$5:$A$1004,"&lt;="&amp;$E$3)</f>
        <v>5</v>
      </c>
      <c r="L38" s="17" t="n">
        <f aca="false">K38/$E$5</f>
        <v>0.0555555555555556</v>
      </c>
      <c r="M38" s="29" t="n">
        <f aca="false">IF(L38=0,"-",IF(J38&lt;=0,0,J38/L38))</f>
        <v>2304</v>
      </c>
      <c r="N38" s="16" t="n">
        <f aca="false">IF(L38=0,0,MAX(0,ROUNDUP(L38*$E$7,0)-J38))</f>
        <v>0</v>
      </c>
      <c r="O38" s="16" t="n">
        <f aca="false">IF(F38="",0,MAX(J38,0)*F38)</f>
        <v>196608000</v>
      </c>
      <c r="P38" s="30" t="str">
        <f aca="false">IF(J38&lt;0,"ÂM KHO – kiểm tra",IF(AND(J38=0,K38&gt;0),"HẾT HÀNG",IF(J38=0,"Hết (ít bán)",IF(K38=0,"Chậm bán",IF(M38&lt;$E$6,"SẮP HẾT","Đủ hàng")))))</f>
        <v>Đủ hàng</v>
      </c>
      <c r="Q38" s="31" t="str">
        <f aca="false">IF(OR(P38="HẾT HÀNG",P38="SẮP HẾT"),IF(ISNUMBER(M38),M38,0)+ROW()/100000,"")</f>
        <v/>
      </c>
      <c r="R38" s="31" t="n">
        <f aca="false">IF(K38&gt;0,K38+ROW()/100000,"")</f>
        <v>5.00038</v>
      </c>
    </row>
    <row r="39" customFormat="false" ht="15" hidden="false" customHeight="false" outlineLevel="0" collapsed="false">
      <c r="A39" s="26" t="n">
        <v>29</v>
      </c>
      <c r="B39" s="15" t="s">
        <v>27</v>
      </c>
      <c r="C39" s="15" t="s">
        <v>82</v>
      </c>
      <c r="D39" s="15" t="s">
        <v>83</v>
      </c>
      <c r="E39" s="26" t="s">
        <v>54</v>
      </c>
      <c r="F39" s="27" t="n">
        <v>5331000</v>
      </c>
      <c r="G39" s="16" t="n">
        <f aca="false">SUMIFS('TỒN ĐẦU KỲ'!$D$5:$D$123,'TỒN ĐẦU KỲ'!$B$5:$B$123,$C39,'TỒN ĐẦU KỲ'!$C$5:$C$123,$E39)</f>
        <v>30</v>
      </c>
      <c r="H39" s="16" t="n">
        <f aca="false">SUMIFS('NHẬP KHO'!$E$5:$E$1004,'NHẬP KHO'!$C$5:$C$1004,$C39,'NHẬP KHO'!$D$5:$D$1004,$E39,'NHẬP KHO'!$A$5:$A$1004,"&gt;"&amp;$E$4)</f>
        <v>0</v>
      </c>
      <c r="I39" s="16" t="n">
        <f aca="false">SUMIFS('XUẤT KHO'!$E$5:$E$1004,'XUẤT KHO'!$C$5:$C$1004,$C39,'XUẤT KHO'!$D$5:$D$1004,$E39,'XUẤT KHO'!$A$5:$A$1004,"&gt;"&amp;$E$4)</f>
        <v>8</v>
      </c>
      <c r="J39" s="28" t="n">
        <f aca="false">G39+H39-I39</f>
        <v>22</v>
      </c>
      <c r="K39" s="16" t="n">
        <f aca="false">SUMIFS('XUẤT KHO'!$E$5:$E$1004,'XUẤT KHO'!$C$5:$C$1004,$C39,'XUẤT KHO'!$D$5:$D$1004,$E39,'XUẤT KHO'!$A$5:$A$1004,"&gt;"&amp;($E$3-$E$5),'XUẤT KHO'!$A$5:$A$1004,"&lt;="&amp;$E$3)</f>
        <v>8</v>
      </c>
      <c r="L39" s="17" t="n">
        <f aca="false">K39/$E$5</f>
        <v>0.0888888888888889</v>
      </c>
      <c r="M39" s="29" t="n">
        <f aca="false">IF(L39=0,"-",IF(J39&lt;=0,0,J39/L39))</f>
        <v>247.5</v>
      </c>
      <c r="N39" s="16" t="n">
        <f aca="false">IF(L39=0,0,MAX(0,ROUNDUP(L39*$E$7,0)-J39))</f>
        <v>0</v>
      </c>
      <c r="O39" s="16" t="n">
        <f aca="false">IF(F39="",0,MAX(J39,0)*F39)</f>
        <v>117282000</v>
      </c>
      <c r="P39" s="30" t="str">
        <f aca="false">IF(J39&lt;0,"ÂM KHO – kiểm tra",IF(AND(J39=0,K39&gt;0),"HẾT HÀNG",IF(J39=0,"Hết (ít bán)",IF(K39=0,"Chậm bán",IF(M39&lt;$E$6,"SẮP HẾT","Đủ hàng")))))</f>
        <v>Đủ hàng</v>
      </c>
      <c r="Q39" s="31" t="str">
        <f aca="false">IF(OR(P39="HẾT HÀNG",P39="SẮP HẾT"),IF(ISNUMBER(M39),M39,0)+ROW()/100000,"")</f>
        <v/>
      </c>
      <c r="R39" s="31" t="n">
        <f aca="false">IF(K39&gt;0,K39+ROW()/100000,"")</f>
        <v>8.00039</v>
      </c>
    </row>
    <row r="40" customFormat="false" ht="15" hidden="false" customHeight="false" outlineLevel="0" collapsed="false">
      <c r="A40" s="26" t="n">
        <v>30</v>
      </c>
      <c r="B40" s="15" t="s">
        <v>27</v>
      </c>
      <c r="C40" s="15" t="s">
        <v>84</v>
      </c>
      <c r="D40" s="15" t="s">
        <v>85</v>
      </c>
      <c r="E40" s="26" t="s">
        <v>79</v>
      </c>
      <c r="F40" s="27" t="n">
        <v>479000</v>
      </c>
      <c r="G40" s="16" t="n">
        <f aca="false">SUMIFS('TỒN ĐẦU KỲ'!$D$5:$D$123,'TỒN ĐẦU KỲ'!$B$5:$B$123,$C40,'TỒN ĐẦU KỲ'!$C$5:$C$123,$E40)</f>
        <v>225</v>
      </c>
      <c r="H40" s="16" t="n">
        <f aca="false">SUMIFS('NHẬP KHO'!$E$5:$E$1004,'NHẬP KHO'!$C$5:$C$1004,$C40,'NHẬP KHO'!$D$5:$D$1004,$E40,'NHẬP KHO'!$A$5:$A$1004,"&gt;"&amp;$E$4)</f>
        <v>0</v>
      </c>
      <c r="I40" s="16" t="n">
        <f aca="false">SUMIFS('XUẤT KHO'!$E$5:$E$1004,'XUẤT KHO'!$C$5:$C$1004,$C40,'XUẤT KHO'!$D$5:$D$1004,$E40,'XUẤT KHO'!$A$5:$A$1004,"&gt;"&amp;$E$4)</f>
        <v>25</v>
      </c>
      <c r="J40" s="28" t="n">
        <f aca="false">G40+H40-I40</f>
        <v>200</v>
      </c>
      <c r="K40" s="16" t="n">
        <f aca="false">SUMIFS('XUẤT KHO'!$E$5:$E$1004,'XUẤT KHO'!$C$5:$C$1004,$C40,'XUẤT KHO'!$D$5:$D$1004,$E40,'XUẤT KHO'!$A$5:$A$1004,"&gt;"&amp;($E$3-$E$5),'XUẤT KHO'!$A$5:$A$1004,"&lt;="&amp;$E$3)</f>
        <v>8</v>
      </c>
      <c r="L40" s="17" t="n">
        <f aca="false">K40/$E$5</f>
        <v>0.0888888888888889</v>
      </c>
      <c r="M40" s="29" t="n">
        <f aca="false">IF(L40=0,"-",IF(J40&lt;=0,0,J40/L40))</f>
        <v>2250</v>
      </c>
      <c r="N40" s="16" t="n">
        <f aca="false">IF(L40=0,0,MAX(0,ROUNDUP(L40*$E$7,0)-J40))</f>
        <v>0</v>
      </c>
      <c r="O40" s="16" t="n">
        <f aca="false">IF(F40="",0,MAX(J40,0)*F40)</f>
        <v>95800000</v>
      </c>
      <c r="P40" s="30" t="str">
        <f aca="false">IF(J40&lt;0,"ÂM KHO – kiểm tra",IF(AND(J40=0,K40&gt;0),"HẾT HÀNG",IF(J40=0,"Hết (ít bán)",IF(K40=0,"Chậm bán",IF(M40&lt;$E$6,"SẮP HẾT","Đủ hàng")))))</f>
        <v>Đủ hàng</v>
      </c>
      <c r="Q40" s="31" t="str">
        <f aca="false">IF(OR(P40="HẾT HÀNG",P40="SẮP HẾT"),IF(ISNUMBER(M40),M40,0)+ROW()/100000,"")</f>
        <v/>
      </c>
      <c r="R40" s="31" t="n">
        <f aca="false">IF(K40&gt;0,K40+ROW()/100000,"")</f>
        <v>8.0004</v>
      </c>
    </row>
    <row r="41" customFormat="false" ht="15" hidden="false" customHeight="false" outlineLevel="0" collapsed="false">
      <c r="A41" s="26" t="n">
        <v>31</v>
      </c>
      <c r="B41" s="15" t="s">
        <v>27</v>
      </c>
      <c r="C41" s="15" t="s">
        <v>84</v>
      </c>
      <c r="D41" s="15" t="s">
        <v>85</v>
      </c>
      <c r="E41" s="26" t="s">
        <v>53</v>
      </c>
      <c r="F41" s="27" t="n">
        <v>2089000</v>
      </c>
      <c r="G41" s="16" t="n">
        <f aca="false">SUMIFS('TỒN ĐẦU KỲ'!$D$5:$D$123,'TỒN ĐẦU KỲ'!$B$5:$B$123,$C41,'TỒN ĐẦU KỲ'!$C$5:$C$123,$E41)</f>
        <v>230</v>
      </c>
      <c r="H41" s="16" t="n">
        <f aca="false">SUMIFS('NHẬP KHO'!$E$5:$E$1004,'NHẬP KHO'!$C$5:$C$1004,$C41,'NHẬP KHO'!$D$5:$D$1004,$E41,'NHẬP KHO'!$A$5:$A$1004,"&gt;"&amp;$E$4)</f>
        <v>0</v>
      </c>
      <c r="I41" s="16" t="n">
        <f aca="false">SUMIFS('XUẤT KHO'!$E$5:$E$1004,'XUẤT KHO'!$C$5:$C$1004,$C41,'XUẤT KHO'!$D$5:$D$1004,$E41,'XUẤT KHO'!$A$5:$A$1004,"&gt;"&amp;$E$4)</f>
        <v>27</v>
      </c>
      <c r="J41" s="28" t="n">
        <f aca="false">G41+H41-I41</f>
        <v>203</v>
      </c>
      <c r="K41" s="16" t="n">
        <f aca="false">SUMIFS('XUẤT KHO'!$E$5:$E$1004,'XUẤT KHO'!$C$5:$C$1004,$C41,'XUẤT KHO'!$D$5:$D$1004,$E41,'XUẤT KHO'!$A$5:$A$1004,"&gt;"&amp;($E$3-$E$5),'XUẤT KHO'!$A$5:$A$1004,"&lt;="&amp;$E$3)</f>
        <v>17</v>
      </c>
      <c r="L41" s="17" t="n">
        <f aca="false">K41/$E$5</f>
        <v>0.188888888888889</v>
      </c>
      <c r="M41" s="29" t="n">
        <f aca="false">IF(L41=0,"-",IF(J41&lt;=0,0,J41/L41))</f>
        <v>1074.70588235294</v>
      </c>
      <c r="N41" s="16" t="n">
        <f aca="false">IF(L41=0,0,MAX(0,ROUNDUP(L41*$E$7,0)-J41))</f>
        <v>0</v>
      </c>
      <c r="O41" s="16" t="n">
        <f aca="false">IF(F41="",0,MAX(J41,0)*F41)</f>
        <v>424067000</v>
      </c>
      <c r="P41" s="30" t="str">
        <f aca="false">IF(J41&lt;0,"ÂM KHO – kiểm tra",IF(AND(J41=0,K41&gt;0),"HẾT HÀNG",IF(J41=0,"Hết (ít bán)",IF(K41=0,"Chậm bán",IF(M41&lt;$E$6,"SẮP HẾT","Đủ hàng")))))</f>
        <v>Đủ hàng</v>
      </c>
      <c r="Q41" s="31" t="str">
        <f aca="false">IF(OR(P41="HẾT HÀNG",P41="SẮP HẾT"),IF(ISNUMBER(M41),M41,0)+ROW()/100000,"")</f>
        <v/>
      </c>
      <c r="R41" s="31" t="n">
        <f aca="false">IF(K41&gt;0,K41+ROW()/100000,"")</f>
        <v>17.00041</v>
      </c>
    </row>
    <row r="42" customFormat="false" ht="15" hidden="false" customHeight="false" outlineLevel="0" collapsed="false">
      <c r="A42" s="26" t="n">
        <v>32</v>
      </c>
      <c r="B42" s="15" t="s">
        <v>27</v>
      </c>
      <c r="C42" s="15" t="s">
        <v>84</v>
      </c>
      <c r="D42" s="15" t="s">
        <v>85</v>
      </c>
      <c r="E42" s="26" t="s">
        <v>54</v>
      </c>
      <c r="F42" s="27" t="n">
        <v>6504000</v>
      </c>
      <c r="G42" s="16" t="n">
        <f aca="false">SUMIFS('TỒN ĐẦU KỲ'!$D$5:$D$123,'TỒN ĐẦU KỲ'!$B$5:$B$123,$C42,'TỒN ĐẦU KỲ'!$C$5:$C$123,$E42)</f>
        <v>239</v>
      </c>
      <c r="H42" s="16" t="n">
        <f aca="false">SUMIFS('NHẬP KHO'!$E$5:$E$1004,'NHẬP KHO'!$C$5:$C$1004,$C42,'NHẬP KHO'!$D$5:$D$1004,$E42,'NHẬP KHO'!$A$5:$A$1004,"&gt;"&amp;$E$4)</f>
        <v>1</v>
      </c>
      <c r="I42" s="16" t="n">
        <f aca="false">SUMIFS('XUẤT KHO'!$E$5:$E$1004,'XUẤT KHO'!$C$5:$C$1004,$C42,'XUẤT KHO'!$D$5:$D$1004,$E42,'XUẤT KHO'!$A$5:$A$1004,"&gt;"&amp;$E$4)</f>
        <v>23</v>
      </c>
      <c r="J42" s="28" t="n">
        <f aca="false">G42+H42-I42</f>
        <v>217</v>
      </c>
      <c r="K42" s="16" t="n">
        <f aca="false">SUMIFS('XUẤT KHO'!$E$5:$E$1004,'XUẤT KHO'!$C$5:$C$1004,$C42,'XUẤT KHO'!$D$5:$D$1004,$E42,'XUẤT KHO'!$A$5:$A$1004,"&gt;"&amp;($E$3-$E$5),'XUẤT KHO'!$A$5:$A$1004,"&lt;="&amp;$E$3)</f>
        <v>12</v>
      </c>
      <c r="L42" s="17" t="n">
        <f aca="false">K42/$E$5</f>
        <v>0.133333333333333</v>
      </c>
      <c r="M42" s="29" t="n">
        <f aca="false">IF(L42=0,"-",IF(J42&lt;=0,0,J42/L42))</f>
        <v>1627.5</v>
      </c>
      <c r="N42" s="16" t="n">
        <f aca="false">IF(L42=0,0,MAX(0,ROUNDUP(L42*$E$7,0)-J42))</f>
        <v>0</v>
      </c>
      <c r="O42" s="16" t="n">
        <f aca="false">IF(F42="",0,MAX(J42,0)*F42)</f>
        <v>1411368000</v>
      </c>
      <c r="P42" s="30" t="str">
        <f aca="false">IF(J42&lt;0,"ÂM KHO – kiểm tra",IF(AND(J42=0,K42&gt;0),"HẾT HÀNG",IF(J42=0,"Hết (ít bán)",IF(K42=0,"Chậm bán",IF(M42&lt;$E$6,"SẮP HẾT","Đủ hàng")))))</f>
        <v>Đủ hàng</v>
      </c>
      <c r="Q42" s="31" t="str">
        <f aca="false">IF(OR(P42="HẾT HÀNG",P42="SẮP HẾT"),IF(ISNUMBER(M42),M42,0)+ROW()/100000,"")</f>
        <v/>
      </c>
      <c r="R42" s="31" t="n">
        <f aca="false">IF(K42&gt;0,K42+ROW()/100000,"")</f>
        <v>12.00042</v>
      </c>
    </row>
    <row r="43" customFormat="false" ht="15" hidden="false" customHeight="false" outlineLevel="0" collapsed="false">
      <c r="A43" s="26" t="n">
        <v>33</v>
      </c>
      <c r="B43" s="15" t="s">
        <v>27</v>
      </c>
      <c r="C43" s="15" t="s">
        <v>86</v>
      </c>
      <c r="D43" s="15" t="s">
        <v>87</v>
      </c>
      <c r="E43" s="26" t="s">
        <v>79</v>
      </c>
      <c r="F43" s="27" t="n">
        <v>579000</v>
      </c>
      <c r="G43" s="16" t="n">
        <f aca="false">SUMIFS('TỒN ĐẦU KỲ'!$D$5:$D$123,'TỒN ĐẦU KỲ'!$B$5:$B$123,$C43,'TỒN ĐẦU KỲ'!$C$5:$C$123,$E43)</f>
        <v>6</v>
      </c>
      <c r="H43" s="16" t="n">
        <f aca="false">SUMIFS('NHẬP KHO'!$E$5:$E$1004,'NHẬP KHO'!$C$5:$C$1004,$C43,'NHẬP KHO'!$D$5:$D$1004,$E43,'NHẬP KHO'!$A$5:$A$1004,"&gt;"&amp;$E$4)</f>
        <v>0</v>
      </c>
      <c r="I43" s="16" t="n">
        <f aca="false">SUMIFS('XUẤT KHO'!$E$5:$E$1004,'XUẤT KHO'!$C$5:$C$1004,$C43,'XUẤT KHO'!$D$5:$D$1004,$E43,'XUẤT KHO'!$A$5:$A$1004,"&gt;"&amp;$E$4)</f>
        <v>0</v>
      </c>
      <c r="J43" s="28" t="n">
        <f aca="false">G43+H43-I43</f>
        <v>6</v>
      </c>
      <c r="K43" s="16" t="n">
        <f aca="false">SUMIFS('XUẤT KHO'!$E$5:$E$1004,'XUẤT KHO'!$C$5:$C$1004,$C43,'XUẤT KHO'!$D$5:$D$1004,$E43,'XUẤT KHO'!$A$5:$A$1004,"&gt;"&amp;($E$3-$E$5),'XUẤT KHO'!$A$5:$A$1004,"&lt;="&amp;$E$3)</f>
        <v>0</v>
      </c>
      <c r="L43" s="17" t="n">
        <f aca="false">K43/$E$5</f>
        <v>0</v>
      </c>
      <c r="M43" s="29" t="str">
        <f aca="false">IF(L43=0,"-",IF(J43&lt;=0,0,J43/L43))</f>
        <v>-</v>
      </c>
      <c r="N43" s="16" t="n">
        <f aca="false">IF(L43=0,0,MAX(0,ROUNDUP(L43*$E$7,0)-J43))</f>
        <v>0</v>
      </c>
      <c r="O43" s="16" t="n">
        <f aca="false">IF(F43="",0,MAX(J43,0)*F43)</f>
        <v>3474000</v>
      </c>
      <c r="P43" s="30" t="str">
        <f aca="false">IF(J43&lt;0,"ÂM KHO – kiểm tra",IF(AND(J43=0,K43&gt;0),"HẾT HÀNG",IF(J43=0,"Hết (ít bán)",IF(K43=0,"Chậm bán",IF(M43&lt;$E$6,"SẮP HẾT","Đủ hàng")))))</f>
        <v>Chậm bán</v>
      </c>
      <c r="Q43" s="31" t="str">
        <f aca="false">IF(OR(P43="HẾT HÀNG",P43="SẮP HẾT"),IF(ISNUMBER(M43),M43,0)+ROW()/100000,"")</f>
        <v/>
      </c>
      <c r="R43" s="31" t="str">
        <f aca="false">IF(K43&gt;0,K43+ROW()/100000,"")</f>
        <v/>
      </c>
    </row>
    <row r="44" customFormat="false" ht="15" hidden="false" customHeight="false" outlineLevel="0" collapsed="false">
      <c r="A44" s="26" t="n">
        <v>34</v>
      </c>
      <c r="B44" s="15" t="s">
        <v>27</v>
      </c>
      <c r="C44" s="15" t="s">
        <v>86</v>
      </c>
      <c r="D44" s="15" t="s">
        <v>87</v>
      </c>
      <c r="E44" s="26" t="s">
        <v>53</v>
      </c>
      <c r="F44" s="27" t="n">
        <v>2386000</v>
      </c>
      <c r="G44" s="16" t="n">
        <f aca="false">SUMIFS('TỒN ĐẦU KỲ'!$D$5:$D$123,'TỒN ĐẦU KỲ'!$B$5:$B$123,$C44,'TỒN ĐẦU KỲ'!$C$5:$C$123,$E44)</f>
        <v>81</v>
      </c>
      <c r="H44" s="16" t="n">
        <f aca="false">SUMIFS('NHẬP KHO'!$E$5:$E$1004,'NHẬP KHO'!$C$5:$C$1004,$C44,'NHẬP KHO'!$D$5:$D$1004,$E44,'NHẬP KHO'!$A$5:$A$1004,"&gt;"&amp;$E$4)</f>
        <v>0</v>
      </c>
      <c r="I44" s="16" t="n">
        <f aca="false">SUMIFS('XUẤT KHO'!$E$5:$E$1004,'XUẤT KHO'!$C$5:$C$1004,$C44,'XUẤT KHO'!$D$5:$D$1004,$E44,'XUẤT KHO'!$A$5:$A$1004,"&gt;"&amp;$E$4)</f>
        <v>0</v>
      </c>
      <c r="J44" s="28" t="n">
        <f aca="false">G44+H44-I44</f>
        <v>81</v>
      </c>
      <c r="K44" s="16" t="n">
        <f aca="false">SUMIFS('XUẤT KHO'!$E$5:$E$1004,'XUẤT KHO'!$C$5:$C$1004,$C44,'XUẤT KHO'!$D$5:$D$1004,$E44,'XUẤT KHO'!$A$5:$A$1004,"&gt;"&amp;($E$3-$E$5),'XUẤT KHO'!$A$5:$A$1004,"&lt;="&amp;$E$3)</f>
        <v>0</v>
      </c>
      <c r="L44" s="17" t="n">
        <f aca="false">K44/$E$5</f>
        <v>0</v>
      </c>
      <c r="M44" s="29" t="str">
        <f aca="false">IF(L44=0,"-",IF(J44&lt;=0,0,J44/L44))</f>
        <v>-</v>
      </c>
      <c r="N44" s="16" t="n">
        <f aca="false">IF(L44=0,0,MAX(0,ROUNDUP(L44*$E$7,0)-J44))</f>
        <v>0</v>
      </c>
      <c r="O44" s="16" t="n">
        <f aca="false">IF(F44="",0,MAX(J44,0)*F44)</f>
        <v>193266000</v>
      </c>
      <c r="P44" s="30" t="str">
        <f aca="false">IF(J44&lt;0,"ÂM KHO – kiểm tra",IF(AND(J44=0,K44&gt;0),"HẾT HÀNG",IF(J44=0,"Hết (ít bán)",IF(K44=0,"Chậm bán",IF(M44&lt;$E$6,"SẮP HẾT","Đủ hàng")))))</f>
        <v>Chậm bán</v>
      </c>
      <c r="Q44" s="31" t="str">
        <f aca="false">IF(OR(P44="HẾT HÀNG",P44="SẮP HẾT"),IF(ISNUMBER(M44),M44,0)+ROW()/100000,"")</f>
        <v/>
      </c>
      <c r="R44" s="31" t="str">
        <f aca="false">IF(K44&gt;0,K44+ROW()/100000,"")</f>
        <v/>
      </c>
    </row>
    <row r="45" customFormat="false" ht="15" hidden="false" customHeight="false" outlineLevel="0" collapsed="false">
      <c r="A45" s="26" t="n">
        <v>35</v>
      </c>
      <c r="B45" s="15" t="s">
        <v>28</v>
      </c>
      <c r="C45" s="15" t="s">
        <v>88</v>
      </c>
      <c r="D45" s="15" t="s">
        <v>89</v>
      </c>
      <c r="E45" s="26" t="s">
        <v>53</v>
      </c>
      <c r="F45" s="27" t="n">
        <v>1339000</v>
      </c>
      <c r="G45" s="16" t="n">
        <f aca="false">SUMIFS('TỒN ĐẦU KỲ'!$D$5:$D$123,'TỒN ĐẦU KỲ'!$B$5:$B$123,$C45,'TỒN ĐẦU KỲ'!$C$5:$C$123,$E45)</f>
        <v>33</v>
      </c>
      <c r="H45" s="16" t="n">
        <f aca="false">SUMIFS('NHẬP KHO'!$E$5:$E$1004,'NHẬP KHO'!$C$5:$C$1004,$C45,'NHẬP KHO'!$D$5:$D$1004,$E45,'NHẬP KHO'!$A$5:$A$1004,"&gt;"&amp;$E$4)</f>
        <v>0</v>
      </c>
      <c r="I45" s="16" t="n">
        <f aca="false">SUMIFS('XUẤT KHO'!$E$5:$E$1004,'XUẤT KHO'!$C$5:$C$1004,$C45,'XUẤT KHO'!$D$5:$D$1004,$E45,'XUẤT KHO'!$A$5:$A$1004,"&gt;"&amp;$E$4)</f>
        <v>4</v>
      </c>
      <c r="J45" s="28" t="n">
        <f aca="false">G45+H45-I45</f>
        <v>29</v>
      </c>
      <c r="K45" s="16" t="n">
        <f aca="false">SUMIFS('XUẤT KHO'!$E$5:$E$1004,'XUẤT KHO'!$C$5:$C$1004,$C45,'XUẤT KHO'!$D$5:$D$1004,$E45,'XUẤT KHO'!$A$5:$A$1004,"&gt;"&amp;($E$3-$E$5),'XUẤT KHO'!$A$5:$A$1004,"&lt;="&amp;$E$3)</f>
        <v>1</v>
      </c>
      <c r="L45" s="17" t="n">
        <f aca="false">K45/$E$5</f>
        <v>0.0111111111111111</v>
      </c>
      <c r="M45" s="29" t="n">
        <f aca="false">IF(L45=0,"-",IF(J45&lt;=0,0,J45/L45))</f>
        <v>2610</v>
      </c>
      <c r="N45" s="16" t="n">
        <f aca="false">IF(L45=0,0,MAX(0,ROUNDUP(L45*$E$7,0)-J45))</f>
        <v>0</v>
      </c>
      <c r="O45" s="16" t="n">
        <f aca="false">IF(F45="",0,MAX(J45,0)*F45)</f>
        <v>38831000</v>
      </c>
      <c r="P45" s="30" t="str">
        <f aca="false">IF(J45&lt;0,"ÂM KHO – kiểm tra",IF(AND(J45=0,K45&gt;0),"HẾT HÀNG",IF(J45=0,"Hết (ít bán)",IF(K45=0,"Chậm bán",IF(M45&lt;$E$6,"SẮP HẾT","Đủ hàng")))))</f>
        <v>Đủ hàng</v>
      </c>
      <c r="Q45" s="31" t="str">
        <f aca="false">IF(OR(P45="HẾT HÀNG",P45="SẮP HẾT"),IF(ISNUMBER(M45),M45,0)+ROW()/100000,"")</f>
        <v/>
      </c>
      <c r="R45" s="31" t="n">
        <f aca="false">IF(K45&gt;0,K45+ROW()/100000,"")</f>
        <v>1.00045</v>
      </c>
    </row>
    <row r="46" customFormat="false" ht="15" hidden="false" customHeight="false" outlineLevel="0" collapsed="false">
      <c r="A46" s="26" t="n">
        <v>36</v>
      </c>
      <c r="B46" s="15" t="s">
        <v>28</v>
      </c>
      <c r="C46" s="15" t="s">
        <v>88</v>
      </c>
      <c r="D46" s="15" t="s">
        <v>89</v>
      </c>
      <c r="E46" s="26" t="s">
        <v>54</v>
      </c>
      <c r="F46" s="27" t="n">
        <v>4106000</v>
      </c>
      <c r="G46" s="16" t="n">
        <f aca="false">SUMIFS('TỒN ĐẦU KỲ'!$D$5:$D$123,'TỒN ĐẦU KỲ'!$B$5:$B$123,$C46,'TỒN ĐẦU KỲ'!$C$5:$C$123,$E46)</f>
        <v>46</v>
      </c>
      <c r="H46" s="16" t="n">
        <f aca="false">SUMIFS('NHẬP KHO'!$E$5:$E$1004,'NHẬP KHO'!$C$5:$C$1004,$C46,'NHẬP KHO'!$D$5:$D$1004,$E46,'NHẬP KHO'!$A$5:$A$1004,"&gt;"&amp;$E$4)</f>
        <v>1</v>
      </c>
      <c r="I46" s="16" t="n">
        <f aca="false">SUMIFS('XUẤT KHO'!$E$5:$E$1004,'XUẤT KHO'!$C$5:$C$1004,$C46,'XUẤT KHO'!$D$5:$D$1004,$E46,'XUẤT KHO'!$A$5:$A$1004,"&gt;"&amp;$E$4)</f>
        <v>24</v>
      </c>
      <c r="J46" s="28" t="n">
        <f aca="false">G46+H46-I46</f>
        <v>23</v>
      </c>
      <c r="K46" s="16" t="n">
        <f aca="false">SUMIFS('XUẤT KHO'!$E$5:$E$1004,'XUẤT KHO'!$C$5:$C$1004,$C46,'XUẤT KHO'!$D$5:$D$1004,$E46,'XUẤT KHO'!$A$5:$A$1004,"&gt;"&amp;($E$3-$E$5),'XUẤT KHO'!$A$5:$A$1004,"&lt;="&amp;$E$3)</f>
        <v>14</v>
      </c>
      <c r="L46" s="17" t="n">
        <f aca="false">K46/$E$5</f>
        <v>0.155555555555556</v>
      </c>
      <c r="M46" s="29" t="n">
        <f aca="false">IF(L46=0,"-",IF(J46&lt;=0,0,J46/L46))</f>
        <v>147.857142857143</v>
      </c>
      <c r="N46" s="16" t="n">
        <f aca="false">IF(L46=0,0,MAX(0,ROUNDUP(L46*$E$7,0)-J46))</f>
        <v>0</v>
      </c>
      <c r="O46" s="16" t="n">
        <f aca="false">IF(F46="",0,MAX(J46,0)*F46)</f>
        <v>94438000</v>
      </c>
      <c r="P46" s="30" t="str">
        <f aca="false">IF(J46&lt;0,"ÂM KHO – kiểm tra",IF(AND(J46=0,K46&gt;0),"HẾT HÀNG",IF(J46=0,"Hết (ít bán)",IF(K46=0,"Chậm bán",IF(M46&lt;$E$6,"SẮP HẾT","Đủ hàng")))))</f>
        <v>Đủ hàng</v>
      </c>
      <c r="Q46" s="31" t="str">
        <f aca="false">IF(OR(P46="HẾT HÀNG",P46="SẮP HẾT"),IF(ISNUMBER(M46),M46,0)+ROW()/100000,"")</f>
        <v/>
      </c>
      <c r="R46" s="31" t="n">
        <f aca="false">IF(K46&gt;0,K46+ROW()/100000,"")</f>
        <v>14.00046</v>
      </c>
    </row>
    <row r="47" customFormat="false" ht="15" hidden="false" customHeight="false" outlineLevel="0" collapsed="false">
      <c r="A47" s="26" t="n">
        <v>37</v>
      </c>
      <c r="B47" s="15" t="s">
        <v>28</v>
      </c>
      <c r="C47" s="15" t="s">
        <v>90</v>
      </c>
      <c r="D47" s="15" t="s">
        <v>91</v>
      </c>
      <c r="E47" s="26" t="s">
        <v>53</v>
      </c>
      <c r="F47" s="27" t="n">
        <v>1447000</v>
      </c>
      <c r="G47" s="16" t="n">
        <f aca="false">SUMIFS('TỒN ĐẦU KỲ'!$D$5:$D$123,'TỒN ĐẦU KỲ'!$B$5:$B$123,$C47,'TỒN ĐẦU KỲ'!$C$5:$C$123,$E47)</f>
        <v>23</v>
      </c>
      <c r="H47" s="16" t="n">
        <f aca="false">SUMIFS('NHẬP KHO'!$E$5:$E$1004,'NHẬP KHO'!$C$5:$C$1004,$C47,'NHẬP KHO'!$D$5:$D$1004,$E47,'NHẬP KHO'!$A$5:$A$1004,"&gt;"&amp;$E$4)</f>
        <v>0</v>
      </c>
      <c r="I47" s="16" t="n">
        <f aca="false">SUMIFS('XUẤT KHO'!$E$5:$E$1004,'XUẤT KHO'!$C$5:$C$1004,$C47,'XUẤT KHO'!$D$5:$D$1004,$E47,'XUẤT KHO'!$A$5:$A$1004,"&gt;"&amp;$E$4)</f>
        <v>10</v>
      </c>
      <c r="J47" s="28" t="n">
        <f aca="false">G47+H47-I47</f>
        <v>13</v>
      </c>
      <c r="K47" s="16" t="n">
        <f aca="false">SUMIFS('XUẤT KHO'!$E$5:$E$1004,'XUẤT KHO'!$C$5:$C$1004,$C47,'XUẤT KHO'!$D$5:$D$1004,$E47,'XUẤT KHO'!$A$5:$A$1004,"&gt;"&amp;($E$3-$E$5),'XUẤT KHO'!$A$5:$A$1004,"&lt;="&amp;$E$3)</f>
        <v>3</v>
      </c>
      <c r="L47" s="17" t="n">
        <f aca="false">K47/$E$5</f>
        <v>0.0333333333333333</v>
      </c>
      <c r="M47" s="29" t="n">
        <f aca="false">IF(L47=0,"-",IF(J47&lt;=0,0,J47/L47))</f>
        <v>390</v>
      </c>
      <c r="N47" s="16" t="n">
        <f aca="false">IF(L47=0,0,MAX(0,ROUNDUP(L47*$E$7,0)-J47))</f>
        <v>0</v>
      </c>
      <c r="O47" s="16" t="n">
        <f aca="false">IF(F47="",0,MAX(J47,0)*F47)</f>
        <v>18811000</v>
      </c>
      <c r="P47" s="30" t="str">
        <f aca="false">IF(J47&lt;0,"ÂM KHO – kiểm tra",IF(AND(J47=0,K47&gt;0),"HẾT HÀNG",IF(J47=0,"Hết (ít bán)",IF(K47=0,"Chậm bán",IF(M47&lt;$E$6,"SẮP HẾT","Đủ hàng")))))</f>
        <v>Đủ hàng</v>
      </c>
      <c r="Q47" s="31" t="str">
        <f aca="false">IF(OR(P47="HẾT HÀNG",P47="SẮP HẾT"),IF(ISNUMBER(M47),M47,0)+ROW()/100000,"")</f>
        <v/>
      </c>
      <c r="R47" s="31" t="n">
        <f aca="false">IF(K47&gt;0,K47+ROW()/100000,"")</f>
        <v>3.00047</v>
      </c>
    </row>
    <row r="48" customFormat="false" ht="15" hidden="false" customHeight="false" outlineLevel="0" collapsed="false">
      <c r="A48" s="26" t="n">
        <v>38</v>
      </c>
      <c r="B48" s="15" t="s">
        <v>28</v>
      </c>
      <c r="C48" s="15" t="s">
        <v>90</v>
      </c>
      <c r="D48" s="15" t="s">
        <v>91</v>
      </c>
      <c r="E48" s="26" t="s">
        <v>54</v>
      </c>
      <c r="F48" s="27" t="n">
        <v>4821000</v>
      </c>
      <c r="G48" s="16" t="n">
        <f aca="false">SUMIFS('TỒN ĐẦU KỲ'!$D$5:$D$123,'TỒN ĐẦU KỲ'!$B$5:$B$123,$C48,'TỒN ĐẦU KỲ'!$C$5:$C$123,$E48)</f>
        <v>120</v>
      </c>
      <c r="H48" s="16" t="n">
        <f aca="false">SUMIFS('NHẬP KHO'!$E$5:$E$1004,'NHẬP KHO'!$C$5:$C$1004,$C48,'NHẬP KHO'!$D$5:$D$1004,$E48,'NHẬP KHO'!$A$5:$A$1004,"&gt;"&amp;$E$4)</f>
        <v>1</v>
      </c>
      <c r="I48" s="16" t="n">
        <f aca="false">SUMIFS('XUẤT KHO'!$E$5:$E$1004,'XUẤT KHO'!$C$5:$C$1004,$C48,'XUẤT KHO'!$D$5:$D$1004,$E48,'XUẤT KHO'!$A$5:$A$1004,"&gt;"&amp;$E$4)</f>
        <v>40</v>
      </c>
      <c r="J48" s="28" t="n">
        <f aca="false">G48+H48-I48</f>
        <v>81</v>
      </c>
      <c r="K48" s="16" t="n">
        <f aca="false">SUMIFS('XUẤT KHO'!$E$5:$E$1004,'XUẤT KHO'!$C$5:$C$1004,$C48,'XUẤT KHO'!$D$5:$D$1004,$E48,'XUẤT KHO'!$A$5:$A$1004,"&gt;"&amp;($E$3-$E$5),'XUẤT KHO'!$A$5:$A$1004,"&lt;="&amp;$E$3)</f>
        <v>31</v>
      </c>
      <c r="L48" s="17" t="n">
        <f aca="false">K48/$E$5</f>
        <v>0.344444444444444</v>
      </c>
      <c r="M48" s="29" t="n">
        <f aca="false">IF(L48=0,"-",IF(J48&lt;=0,0,J48/L48))</f>
        <v>235.161290322581</v>
      </c>
      <c r="N48" s="16" t="n">
        <f aca="false">IF(L48=0,0,MAX(0,ROUNDUP(L48*$E$7,0)-J48))</f>
        <v>0</v>
      </c>
      <c r="O48" s="16" t="n">
        <f aca="false">IF(F48="",0,MAX(J48,0)*F48)</f>
        <v>390501000</v>
      </c>
      <c r="P48" s="30" t="str">
        <f aca="false">IF(J48&lt;0,"ÂM KHO – kiểm tra",IF(AND(J48=0,K48&gt;0),"HẾT HÀNG",IF(J48=0,"Hết (ít bán)",IF(K48=0,"Chậm bán",IF(M48&lt;$E$6,"SẮP HẾT","Đủ hàng")))))</f>
        <v>Đủ hàng</v>
      </c>
      <c r="Q48" s="31" t="str">
        <f aca="false">IF(OR(P48="HẾT HÀNG",P48="SẮP HẾT"),IF(ISNUMBER(M48),M48,0)+ROW()/100000,"")</f>
        <v/>
      </c>
      <c r="R48" s="31" t="n">
        <f aca="false">IF(K48&gt;0,K48+ROW()/100000,"")</f>
        <v>31.00048</v>
      </c>
    </row>
    <row r="49" customFormat="false" ht="15" hidden="false" customHeight="false" outlineLevel="0" collapsed="false">
      <c r="A49" s="26" t="n">
        <v>39</v>
      </c>
      <c r="B49" s="15" t="s">
        <v>28</v>
      </c>
      <c r="C49" s="15" t="s">
        <v>92</v>
      </c>
      <c r="D49" s="15" t="s">
        <v>93</v>
      </c>
      <c r="E49" s="26" t="s">
        <v>53</v>
      </c>
      <c r="F49" s="27" t="n">
        <v>1447000</v>
      </c>
      <c r="G49" s="16" t="n">
        <f aca="false">SUMIFS('TỒN ĐẦU KỲ'!$D$5:$D$123,'TỒN ĐẦU KỲ'!$B$5:$B$123,$C49,'TỒN ĐẦU KỲ'!$C$5:$C$123,$E49)</f>
        <v>0</v>
      </c>
      <c r="H49" s="16" t="n">
        <f aca="false">SUMIFS('NHẬP KHO'!$E$5:$E$1004,'NHẬP KHO'!$C$5:$C$1004,$C49,'NHẬP KHO'!$D$5:$D$1004,$E49,'NHẬP KHO'!$A$5:$A$1004,"&gt;"&amp;$E$4)</f>
        <v>0</v>
      </c>
      <c r="I49" s="16" t="n">
        <f aca="false">SUMIFS('XUẤT KHO'!$E$5:$E$1004,'XUẤT KHO'!$C$5:$C$1004,$C49,'XUẤT KHO'!$D$5:$D$1004,$E49,'XUẤT KHO'!$A$5:$A$1004,"&gt;"&amp;$E$4)</f>
        <v>0</v>
      </c>
      <c r="J49" s="28" t="n">
        <f aca="false">G49+H49-I49</f>
        <v>0</v>
      </c>
      <c r="K49" s="16" t="n">
        <f aca="false">SUMIFS('XUẤT KHO'!$E$5:$E$1004,'XUẤT KHO'!$C$5:$C$1004,$C49,'XUẤT KHO'!$D$5:$D$1004,$E49,'XUẤT KHO'!$A$5:$A$1004,"&gt;"&amp;($E$3-$E$5),'XUẤT KHO'!$A$5:$A$1004,"&lt;="&amp;$E$3)</f>
        <v>0</v>
      </c>
      <c r="L49" s="17" t="n">
        <f aca="false">K49/$E$5</f>
        <v>0</v>
      </c>
      <c r="M49" s="29" t="str">
        <f aca="false">IF(L49=0,"-",IF(J49&lt;=0,0,J49/L49))</f>
        <v>-</v>
      </c>
      <c r="N49" s="16" t="n">
        <f aca="false">IF(L49=0,0,MAX(0,ROUNDUP(L49*$E$7,0)-J49))</f>
        <v>0</v>
      </c>
      <c r="O49" s="16" t="n">
        <f aca="false">IF(F49="",0,MAX(J49,0)*F49)</f>
        <v>0</v>
      </c>
      <c r="P49" s="30" t="str">
        <f aca="false">IF(J49&lt;0,"ÂM KHO – kiểm tra",IF(AND(J49=0,K49&gt;0),"HẾT HÀNG",IF(J49=0,"Hết (ít bán)",IF(K49=0,"Chậm bán",IF(M49&lt;$E$6,"SẮP HẾT","Đủ hàng")))))</f>
        <v>Hết (ít bán)</v>
      </c>
      <c r="Q49" s="31" t="str">
        <f aca="false">IF(OR(P49="HẾT HÀNG",P49="SẮP HẾT"),IF(ISNUMBER(M49),M49,0)+ROW()/100000,"")</f>
        <v/>
      </c>
      <c r="R49" s="31" t="str">
        <f aca="false">IF(K49&gt;0,K49+ROW()/100000,"")</f>
        <v/>
      </c>
    </row>
    <row r="50" customFormat="false" ht="15" hidden="false" customHeight="false" outlineLevel="0" collapsed="false">
      <c r="A50" s="26" t="n">
        <v>40</v>
      </c>
      <c r="B50" s="15" t="s">
        <v>28</v>
      </c>
      <c r="C50" s="15" t="s">
        <v>92</v>
      </c>
      <c r="D50" s="15" t="s">
        <v>93</v>
      </c>
      <c r="E50" s="26" t="s">
        <v>54</v>
      </c>
      <c r="F50" s="27" t="n">
        <v>4821000</v>
      </c>
      <c r="G50" s="16" t="n">
        <f aca="false">SUMIFS('TỒN ĐẦU KỲ'!$D$5:$D$123,'TỒN ĐẦU KỲ'!$B$5:$B$123,$C50,'TỒN ĐẦU KỲ'!$C$5:$C$123,$E50)</f>
        <v>7</v>
      </c>
      <c r="H50" s="16" t="n">
        <f aca="false">SUMIFS('NHẬP KHO'!$E$5:$E$1004,'NHẬP KHO'!$C$5:$C$1004,$C50,'NHẬP KHO'!$D$5:$D$1004,$E50,'NHẬP KHO'!$A$5:$A$1004,"&gt;"&amp;$E$4)</f>
        <v>0</v>
      </c>
      <c r="I50" s="16" t="n">
        <f aca="false">SUMIFS('XUẤT KHO'!$E$5:$E$1004,'XUẤT KHO'!$C$5:$C$1004,$C50,'XUẤT KHO'!$D$5:$D$1004,$E50,'XUẤT KHO'!$A$5:$A$1004,"&gt;"&amp;$E$4)</f>
        <v>3</v>
      </c>
      <c r="J50" s="28" t="n">
        <f aca="false">G50+H50-I50</f>
        <v>4</v>
      </c>
      <c r="K50" s="16" t="n">
        <f aca="false">SUMIFS('XUẤT KHO'!$E$5:$E$1004,'XUẤT KHO'!$C$5:$C$1004,$C50,'XUẤT KHO'!$D$5:$D$1004,$E50,'XUẤT KHO'!$A$5:$A$1004,"&gt;"&amp;($E$3-$E$5),'XUẤT KHO'!$A$5:$A$1004,"&lt;="&amp;$E$3)</f>
        <v>0</v>
      </c>
      <c r="L50" s="17" t="n">
        <f aca="false">K50/$E$5</f>
        <v>0</v>
      </c>
      <c r="M50" s="29" t="str">
        <f aca="false">IF(L50=0,"-",IF(J50&lt;=0,0,J50/L50))</f>
        <v>-</v>
      </c>
      <c r="N50" s="16" t="n">
        <f aca="false">IF(L50=0,0,MAX(0,ROUNDUP(L50*$E$7,0)-J50))</f>
        <v>0</v>
      </c>
      <c r="O50" s="16" t="n">
        <f aca="false">IF(F50="",0,MAX(J50,0)*F50)</f>
        <v>19284000</v>
      </c>
      <c r="P50" s="30" t="str">
        <f aca="false">IF(J50&lt;0,"ÂM KHO – kiểm tra",IF(AND(J50=0,K50&gt;0),"HẾT HÀNG",IF(J50=0,"Hết (ít bán)",IF(K50=0,"Chậm bán",IF(M50&lt;$E$6,"SẮP HẾT","Đủ hàng")))))</f>
        <v>Chậm bán</v>
      </c>
      <c r="Q50" s="31" t="str">
        <f aca="false">IF(OR(P50="HẾT HÀNG",P50="SẮP HẾT"),IF(ISNUMBER(M50),M50,0)+ROW()/100000,"")</f>
        <v/>
      </c>
      <c r="R50" s="31" t="str">
        <f aca="false">IF(K50&gt;0,K50+ROW()/100000,"")</f>
        <v/>
      </c>
    </row>
    <row r="51" customFormat="false" ht="15" hidden="false" customHeight="false" outlineLevel="0" collapsed="false">
      <c r="A51" s="26" t="n">
        <v>41</v>
      </c>
      <c r="B51" s="15" t="s">
        <v>28</v>
      </c>
      <c r="C51" s="15" t="s">
        <v>94</v>
      </c>
      <c r="D51" s="15" t="s">
        <v>95</v>
      </c>
      <c r="E51" s="26" t="s">
        <v>53</v>
      </c>
      <c r="F51" s="27" t="n">
        <v>1447000</v>
      </c>
      <c r="G51" s="16" t="n">
        <f aca="false">SUMIFS('TỒN ĐẦU KỲ'!$D$5:$D$123,'TỒN ĐẦU KỲ'!$B$5:$B$123,$C51,'TỒN ĐẦU KỲ'!$C$5:$C$123,$E51)</f>
        <v>3</v>
      </c>
      <c r="H51" s="16" t="n">
        <f aca="false">SUMIFS('NHẬP KHO'!$E$5:$E$1004,'NHẬP KHO'!$C$5:$C$1004,$C51,'NHẬP KHO'!$D$5:$D$1004,$E51,'NHẬP KHO'!$A$5:$A$1004,"&gt;"&amp;$E$4)</f>
        <v>0</v>
      </c>
      <c r="I51" s="16" t="n">
        <f aca="false">SUMIFS('XUẤT KHO'!$E$5:$E$1004,'XUẤT KHO'!$C$5:$C$1004,$C51,'XUẤT KHO'!$D$5:$D$1004,$E51,'XUẤT KHO'!$A$5:$A$1004,"&gt;"&amp;$E$4)</f>
        <v>0</v>
      </c>
      <c r="J51" s="28" t="n">
        <f aca="false">G51+H51-I51</f>
        <v>3</v>
      </c>
      <c r="K51" s="16" t="n">
        <f aca="false">SUMIFS('XUẤT KHO'!$E$5:$E$1004,'XUẤT KHO'!$C$5:$C$1004,$C51,'XUẤT KHO'!$D$5:$D$1004,$E51,'XUẤT KHO'!$A$5:$A$1004,"&gt;"&amp;($E$3-$E$5),'XUẤT KHO'!$A$5:$A$1004,"&lt;="&amp;$E$3)</f>
        <v>0</v>
      </c>
      <c r="L51" s="17" t="n">
        <f aca="false">K51/$E$5</f>
        <v>0</v>
      </c>
      <c r="M51" s="29" t="str">
        <f aca="false">IF(L51=0,"-",IF(J51&lt;=0,0,J51/L51))</f>
        <v>-</v>
      </c>
      <c r="N51" s="16" t="n">
        <f aca="false">IF(L51=0,0,MAX(0,ROUNDUP(L51*$E$7,0)-J51))</f>
        <v>0</v>
      </c>
      <c r="O51" s="16" t="n">
        <f aca="false">IF(F51="",0,MAX(J51,0)*F51)</f>
        <v>4341000</v>
      </c>
      <c r="P51" s="30" t="str">
        <f aca="false">IF(J51&lt;0,"ÂM KHO – kiểm tra",IF(AND(J51=0,K51&gt;0),"HẾT HÀNG",IF(J51=0,"Hết (ít bán)",IF(K51=0,"Chậm bán",IF(M51&lt;$E$6,"SẮP HẾT","Đủ hàng")))))</f>
        <v>Chậm bán</v>
      </c>
      <c r="Q51" s="31" t="str">
        <f aca="false">IF(OR(P51="HẾT HÀNG",P51="SẮP HẾT"),IF(ISNUMBER(M51),M51,0)+ROW()/100000,"")</f>
        <v/>
      </c>
      <c r="R51" s="31" t="str">
        <f aca="false">IF(K51&gt;0,K51+ROW()/100000,"")</f>
        <v/>
      </c>
    </row>
    <row r="52" customFormat="false" ht="15" hidden="false" customHeight="false" outlineLevel="0" collapsed="false">
      <c r="A52" s="26" t="n">
        <v>42</v>
      </c>
      <c r="B52" s="15" t="s">
        <v>28</v>
      </c>
      <c r="C52" s="15" t="s">
        <v>94</v>
      </c>
      <c r="D52" s="15" t="s">
        <v>95</v>
      </c>
      <c r="E52" s="26" t="s">
        <v>54</v>
      </c>
      <c r="F52" s="27" t="n">
        <v>4821000</v>
      </c>
      <c r="G52" s="16" t="n">
        <f aca="false">SUMIFS('TỒN ĐẦU KỲ'!$D$5:$D$123,'TỒN ĐẦU KỲ'!$B$5:$B$123,$C52,'TỒN ĐẦU KỲ'!$C$5:$C$123,$E52)</f>
        <v>0</v>
      </c>
      <c r="H52" s="16" t="n">
        <f aca="false">SUMIFS('NHẬP KHO'!$E$5:$E$1004,'NHẬP KHO'!$C$5:$C$1004,$C52,'NHẬP KHO'!$D$5:$D$1004,$E52,'NHẬP KHO'!$A$5:$A$1004,"&gt;"&amp;$E$4)</f>
        <v>0</v>
      </c>
      <c r="I52" s="16" t="n">
        <f aca="false">SUMIFS('XUẤT KHO'!$E$5:$E$1004,'XUẤT KHO'!$C$5:$C$1004,$C52,'XUẤT KHO'!$D$5:$D$1004,$E52,'XUẤT KHO'!$A$5:$A$1004,"&gt;"&amp;$E$4)</f>
        <v>0</v>
      </c>
      <c r="J52" s="28" t="n">
        <f aca="false">G52+H52-I52</f>
        <v>0</v>
      </c>
      <c r="K52" s="16" t="n">
        <f aca="false">SUMIFS('XUẤT KHO'!$E$5:$E$1004,'XUẤT KHO'!$C$5:$C$1004,$C52,'XUẤT KHO'!$D$5:$D$1004,$E52,'XUẤT KHO'!$A$5:$A$1004,"&gt;"&amp;($E$3-$E$5),'XUẤT KHO'!$A$5:$A$1004,"&lt;="&amp;$E$3)</f>
        <v>0</v>
      </c>
      <c r="L52" s="17" t="n">
        <f aca="false">K52/$E$5</f>
        <v>0</v>
      </c>
      <c r="M52" s="29" t="str">
        <f aca="false">IF(L52=0,"-",IF(J52&lt;=0,0,J52/L52))</f>
        <v>-</v>
      </c>
      <c r="N52" s="16" t="n">
        <f aca="false">IF(L52=0,0,MAX(0,ROUNDUP(L52*$E$7,0)-J52))</f>
        <v>0</v>
      </c>
      <c r="O52" s="16" t="n">
        <f aca="false">IF(F52="",0,MAX(J52,0)*F52)</f>
        <v>0</v>
      </c>
      <c r="P52" s="30" t="str">
        <f aca="false">IF(J52&lt;0,"ÂM KHO – kiểm tra",IF(AND(J52=0,K52&gt;0),"HẾT HÀNG",IF(J52=0,"Hết (ít bán)",IF(K52=0,"Chậm bán",IF(M52&lt;$E$6,"SẮP HẾT","Đủ hàng")))))</f>
        <v>Hết (ít bán)</v>
      </c>
      <c r="Q52" s="31" t="str">
        <f aca="false">IF(OR(P52="HẾT HÀNG",P52="SẮP HẾT"),IF(ISNUMBER(M52),M52,0)+ROW()/100000,"")</f>
        <v/>
      </c>
      <c r="R52" s="31" t="str">
        <f aca="false">IF(K52&gt;0,K52+ROW()/100000,"")</f>
        <v/>
      </c>
    </row>
    <row r="53" customFormat="false" ht="15" hidden="false" customHeight="false" outlineLevel="0" collapsed="false">
      <c r="A53" s="26" t="n">
        <v>43</v>
      </c>
      <c r="B53" s="15" t="s">
        <v>28</v>
      </c>
      <c r="C53" s="15" t="s">
        <v>96</v>
      </c>
      <c r="D53" s="15" t="s">
        <v>97</v>
      </c>
      <c r="E53" s="26" t="s">
        <v>53</v>
      </c>
      <c r="F53" s="27" t="n">
        <v>1470000</v>
      </c>
      <c r="G53" s="16" t="n">
        <f aca="false">SUMIFS('TỒN ĐẦU KỲ'!$D$5:$D$123,'TỒN ĐẦU KỲ'!$B$5:$B$123,$C53,'TỒN ĐẦU KỲ'!$C$5:$C$123,$E53)</f>
        <v>0</v>
      </c>
      <c r="H53" s="16" t="n">
        <f aca="false">SUMIFS('NHẬP KHO'!$E$5:$E$1004,'NHẬP KHO'!$C$5:$C$1004,$C53,'NHẬP KHO'!$D$5:$D$1004,$E53,'NHẬP KHO'!$A$5:$A$1004,"&gt;"&amp;$E$4)</f>
        <v>0</v>
      </c>
      <c r="I53" s="16" t="n">
        <f aca="false">SUMIFS('XUẤT KHO'!$E$5:$E$1004,'XUẤT KHO'!$C$5:$C$1004,$C53,'XUẤT KHO'!$D$5:$D$1004,$E53,'XUẤT KHO'!$A$5:$A$1004,"&gt;"&amp;$E$4)</f>
        <v>1</v>
      </c>
      <c r="J53" s="28" t="n">
        <f aca="false">G53+H53-I53</f>
        <v>-1</v>
      </c>
      <c r="K53" s="16" t="n">
        <f aca="false">SUMIFS('XUẤT KHO'!$E$5:$E$1004,'XUẤT KHO'!$C$5:$C$1004,$C53,'XUẤT KHO'!$D$5:$D$1004,$E53,'XUẤT KHO'!$A$5:$A$1004,"&gt;"&amp;($E$3-$E$5),'XUẤT KHO'!$A$5:$A$1004,"&lt;="&amp;$E$3)</f>
        <v>1</v>
      </c>
      <c r="L53" s="17" t="n">
        <f aca="false">K53/$E$5</f>
        <v>0.0111111111111111</v>
      </c>
      <c r="M53" s="29" t="n">
        <f aca="false">IF(L53=0,"-",IF(J53&lt;=0,0,J53/L53))</f>
        <v>0</v>
      </c>
      <c r="N53" s="16" t="n">
        <f aca="false">IF(L53=0,0,MAX(0,ROUNDUP(L53*$E$7,0)-J53))</f>
        <v>2</v>
      </c>
      <c r="O53" s="16" t="n">
        <f aca="false">IF(F53="",0,MAX(J53,0)*F53)</f>
        <v>0</v>
      </c>
      <c r="P53" s="30" t="str">
        <f aca="false">IF(J53&lt;0,"ÂM KHO – kiểm tra",IF(AND(J53=0,K53&gt;0),"HẾT HÀNG",IF(J53=0,"Hết (ít bán)",IF(K53=0,"Chậm bán",IF(M53&lt;$E$6,"SẮP HẾT","Đủ hàng")))))</f>
        <v>ÂM KHO – kiểm tra</v>
      </c>
      <c r="Q53" s="31" t="str">
        <f aca="false">IF(OR(P53="HẾT HÀNG",P53="SẮP HẾT"),IF(ISNUMBER(M53),M53,0)+ROW()/100000,"")</f>
        <v/>
      </c>
      <c r="R53" s="31" t="n">
        <f aca="false">IF(K53&gt;0,K53+ROW()/100000,"")</f>
        <v>1.00053</v>
      </c>
    </row>
    <row r="54" customFormat="false" ht="15" hidden="false" customHeight="false" outlineLevel="0" collapsed="false">
      <c r="A54" s="26" t="n">
        <v>44</v>
      </c>
      <c r="B54" s="15" t="s">
        <v>28</v>
      </c>
      <c r="C54" s="15" t="s">
        <v>96</v>
      </c>
      <c r="D54" s="15" t="s">
        <v>97</v>
      </c>
      <c r="E54" s="26" t="s">
        <v>54</v>
      </c>
      <c r="F54" s="27" t="n">
        <v>5025000</v>
      </c>
      <c r="G54" s="16" t="n">
        <f aca="false">SUMIFS('TỒN ĐẦU KỲ'!$D$5:$D$123,'TỒN ĐẦU KỲ'!$B$5:$B$123,$C54,'TỒN ĐẦU KỲ'!$C$5:$C$123,$E54)</f>
        <v>9</v>
      </c>
      <c r="H54" s="16" t="n">
        <f aca="false">SUMIFS('NHẬP KHO'!$E$5:$E$1004,'NHẬP KHO'!$C$5:$C$1004,$C54,'NHẬP KHO'!$D$5:$D$1004,$E54,'NHẬP KHO'!$A$5:$A$1004,"&gt;"&amp;$E$4)</f>
        <v>0</v>
      </c>
      <c r="I54" s="16" t="n">
        <f aca="false">SUMIFS('XUẤT KHO'!$E$5:$E$1004,'XUẤT KHO'!$C$5:$C$1004,$C54,'XUẤT KHO'!$D$5:$D$1004,$E54,'XUẤT KHO'!$A$5:$A$1004,"&gt;"&amp;$E$4)</f>
        <v>3</v>
      </c>
      <c r="J54" s="28" t="n">
        <f aca="false">G54+H54-I54</f>
        <v>6</v>
      </c>
      <c r="K54" s="16" t="n">
        <f aca="false">SUMIFS('XUẤT KHO'!$E$5:$E$1004,'XUẤT KHO'!$C$5:$C$1004,$C54,'XUẤT KHO'!$D$5:$D$1004,$E54,'XUẤT KHO'!$A$5:$A$1004,"&gt;"&amp;($E$3-$E$5),'XUẤT KHO'!$A$5:$A$1004,"&lt;="&amp;$E$3)</f>
        <v>3</v>
      </c>
      <c r="L54" s="17" t="n">
        <f aca="false">K54/$E$5</f>
        <v>0.0333333333333333</v>
      </c>
      <c r="M54" s="29" t="n">
        <f aca="false">IF(L54=0,"-",IF(J54&lt;=0,0,J54/L54))</f>
        <v>180</v>
      </c>
      <c r="N54" s="16" t="n">
        <f aca="false">IF(L54=0,0,MAX(0,ROUNDUP(L54*$E$7,0)-J54))</f>
        <v>0</v>
      </c>
      <c r="O54" s="16" t="n">
        <f aca="false">IF(F54="",0,MAX(J54,0)*F54)</f>
        <v>30150000</v>
      </c>
      <c r="P54" s="30" t="str">
        <f aca="false">IF(J54&lt;0,"ÂM KHO – kiểm tra",IF(AND(J54=0,K54&gt;0),"HẾT HÀNG",IF(J54=0,"Hết (ít bán)",IF(K54=0,"Chậm bán",IF(M54&lt;$E$6,"SẮP HẾT","Đủ hàng")))))</f>
        <v>Đủ hàng</v>
      </c>
      <c r="Q54" s="31" t="str">
        <f aca="false">IF(OR(P54="HẾT HÀNG",P54="SẮP HẾT"),IF(ISNUMBER(M54),M54,0)+ROW()/100000,"")</f>
        <v/>
      </c>
      <c r="R54" s="31" t="n">
        <f aca="false">IF(K54&gt;0,K54+ROW()/100000,"")</f>
        <v>3.00054</v>
      </c>
    </row>
    <row r="55" customFormat="false" ht="15" hidden="false" customHeight="false" outlineLevel="0" collapsed="false">
      <c r="A55" s="26" t="n">
        <v>45</v>
      </c>
      <c r="B55" s="15" t="s">
        <v>29</v>
      </c>
      <c r="C55" s="15" t="s">
        <v>98</v>
      </c>
      <c r="D55" s="15" t="s">
        <v>99</v>
      </c>
      <c r="E55" s="26" t="s">
        <v>100</v>
      </c>
      <c r="F55" s="27" t="n">
        <v>481000</v>
      </c>
      <c r="G55" s="16" t="n">
        <f aca="false">SUMIFS('TỒN ĐẦU KỲ'!$D$5:$D$123,'TỒN ĐẦU KỲ'!$B$5:$B$123,$C55,'TỒN ĐẦU KỲ'!$C$5:$C$123,$E55)</f>
        <v>11</v>
      </c>
      <c r="H55" s="16" t="n">
        <f aca="false">SUMIFS('NHẬP KHO'!$E$5:$E$1004,'NHẬP KHO'!$C$5:$C$1004,$C55,'NHẬP KHO'!$D$5:$D$1004,$E55,'NHẬP KHO'!$A$5:$A$1004,"&gt;"&amp;$E$4)</f>
        <v>0</v>
      </c>
      <c r="I55" s="16" t="n">
        <f aca="false">SUMIFS('XUẤT KHO'!$E$5:$E$1004,'XUẤT KHO'!$C$5:$C$1004,$C55,'XUẤT KHO'!$D$5:$D$1004,$E55,'XUẤT KHO'!$A$5:$A$1004,"&gt;"&amp;$E$4)</f>
        <v>32</v>
      </c>
      <c r="J55" s="28" t="n">
        <f aca="false">G55+H55-I55</f>
        <v>-21</v>
      </c>
      <c r="K55" s="16" t="n">
        <f aca="false">SUMIFS('XUẤT KHO'!$E$5:$E$1004,'XUẤT KHO'!$C$5:$C$1004,$C55,'XUẤT KHO'!$D$5:$D$1004,$E55,'XUẤT KHO'!$A$5:$A$1004,"&gt;"&amp;($E$3-$E$5),'XUẤT KHO'!$A$5:$A$1004,"&lt;="&amp;$E$3)</f>
        <v>21</v>
      </c>
      <c r="L55" s="17" t="n">
        <f aca="false">K55/$E$5</f>
        <v>0.233333333333333</v>
      </c>
      <c r="M55" s="29" t="n">
        <f aca="false">IF(L55=0,"-",IF(J55&lt;=0,0,J55/L55))</f>
        <v>0</v>
      </c>
      <c r="N55" s="16" t="n">
        <f aca="false">IF(L55=0,0,MAX(0,ROUNDUP(L55*$E$7,0)-J55))</f>
        <v>32</v>
      </c>
      <c r="O55" s="16" t="n">
        <f aca="false">IF(F55="",0,MAX(J55,0)*F55)</f>
        <v>0</v>
      </c>
      <c r="P55" s="30" t="str">
        <f aca="false">IF(J55&lt;0,"ÂM KHO – kiểm tra",IF(AND(J55=0,K55&gt;0),"HẾT HÀNG",IF(J55=0,"Hết (ít bán)",IF(K55=0,"Chậm bán",IF(M55&lt;$E$6,"SẮP HẾT","Đủ hàng")))))</f>
        <v>ÂM KHO – kiểm tra</v>
      </c>
      <c r="Q55" s="31" t="str">
        <f aca="false">IF(OR(P55="HẾT HÀNG",P55="SẮP HẾT"),IF(ISNUMBER(M55),M55,0)+ROW()/100000,"")</f>
        <v/>
      </c>
      <c r="R55" s="31" t="n">
        <f aca="false">IF(K55&gt;0,K55+ROW()/100000,"")</f>
        <v>21.00055</v>
      </c>
    </row>
    <row r="56" customFormat="false" ht="15" hidden="false" customHeight="false" outlineLevel="0" collapsed="false">
      <c r="A56" s="26" t="n">
        <v>46</v>
      </c>
      <c r="B56" s="15" t="s">
        <v>29</v>
      </c>
      <c r="C56" s="15" t="s">
        <v>101</v>
      </c>
      <c r="D56" s="15" t="s">
        <v>102</v>
      </c>
      <c r="E56" s="26" t="s">
        <v>100</v>
      </c>
      <c r="F56" s="27" t="n">
        <v>594000</v>
      </c>
      <c r="G56" s="16" t="n">
        <f aca="false">SUMIFS('TỒN ĐẦU KỲ'!$D$5:$D$123,'TỒN ĐẦU KỲ'!$B$5:$B$123,$C56,'TỒN ĐẦU KỲ'!$C$5:$C$123,$E56)</f>
        <v>13</v>
      </c>
      <c r="H56" s="16" t="n">
        <f aca="false">SUMIFS('NHẬP KHO'!$E$5:$E$1004,'NHẬP KHO'!$C$5:$C$1004,$C56,'NHẬP KHO'!$D$5:$D$1004,$E56,'NHẬP KHO'!$A$5:$A$1004,"&gt;"&amp;$E$4)</f>
        <v>0</v>
      </c>
      <c r="I56" s="16" t="n">
        <f aca="false">SUMIFS('XUẤT KHO'!$E$5:$E$1004,'XUẤT KHO'!$C$5:$C$1004,$C56,'XUẤT KHO'!$D$5:$D$1004,$E56,'XUẤT KHO'!$A$5:$A$1004,"&gt;"&amp;$E$4)</f>
        <v>9</v>
      </c>
      <c r="J56" s="28" t="n">
        <f aca="false">G56+H56-I56</f>
        <v>4</v>
      </c>
      <c r="K56" s="16" t="n">
        <f aca="false">SUMIFS('XUẤT KHO'!$E$5:$E$1004,'XUẤT KHO'!$C$5:$C$1004,$C56,'XUẤT KHO'!$D$5:$D$1004,$E56,'XUẤT KHO'!$A$5:$A$1004,"&gt;"&amp;($E$3-$E$5),'XUẤT KHO'!$A$5:$A$1004,"&lt;="&amp;$E$3)</f>
        <v>4</v>
      </c>
      <c r="L56" s="17" t="n">
        <f aca="false">K56/$E$5</f>
        <v>0.0444444444444444</v>
      </c>
      <c r="M56" s="29" t="n">
        <f aca="false">IF(L56=0,"-",IF(J56&lt;=0,0,J56/L56))</f>
        <v>90</v>
      </c>
      <c r="N56" s="16" t="n">
        <f aca="false">IF(L56=0,0,MAX(0,ROUNDUP(L56*$E$7,0)-J56))</f>
        <v>0</v>
      </c>
      <c r="O56" s="16" t="n">
        <f aca="false">IF(F56="",0,MAX(J56,0)*F56)</f>
        <v>2376000</v>
      </c>
      <c r="P56" s="30" t="str">
        <f aca="false">IF(J56&lt;0,"ÂM KHO – kiểm tra",IF(AND(J56=0,K56&gt;0),"HẾT HÀNG",IF(J56=0,"Hết (ít bán)",IF(K56=0,"Chậm bán",IF(M56&lt;$E$6,"SẮP HẾT","Đủ hàng")))))</f>
        <v>Đủ hàng</v>
      </c>
      <c r="Q56" s="31" t="str">
        <f aca="false">IF(OR(P56="HẾT HÀNG",P56="SẮP HẾT"),IF(ISNUMBER(M56),M56,0)+ROW()/100000,"")</f>
        <v/>
      </c>
      <c r="R56" s="31" t="n">
        <f aca="false">IF(K56&gt;0,K56+ROW()/100000,"")</f>
        <v>4.00056</v>
      </c>
    </row>
    <row r="57" customFormat="false" ht="15" hidden="false" customHeight="false" outlineLevel="0" collapsed="false">
      <c r="A57" s="32"/>
      <c r="B57" s="33" t="s">
        <v>103</v>
      </c>
      <c r="C57" s="32"/>
      <c r="D57" s="32"/>
      <c r="E57" s="32"/>
      <c r="F57" s="32"/>
      <c r="G57" s="34" t="n">
        <f aca="false">SUM(G11:G56)</f>
        <v>2730</v>
      </c>
      <c r="H57" s="34" t="n">
        <f aca="false">SUM(H11:H56)</f>
        <v>19</v>
      </c>
      <c r="I57" s="34" t="n">
        <f aca="false">SUM(I11:I56)</f>
        <v>606</v>
      </c>
      <c r="J57" s="34" t="n">
        <f aca="false">SUM(J11:J56)</f>
        <v>2143</v>
      </c>
      <c r="K57" s="34" t="n">
        <f aca="false">SUM(K11:K56)</f>
        <v>339</v>
      </c>
      <c r="L57" s="32"/>
      <c r="M57" s="32"/>
      <c r="N57" s="32"/>
      <c r="O57" s="34" t="n">
        <f aca="false">SUM(O11:O56)</f>
        <v>6388899000</v>
      </c>
      <c r="P57" s="32"/>
    </row>
    <row r="59" customFormat="false" ht="15" hidden="false" customHeight="false" outlineLevel="0" collapsed="false">
      <c r="A59" s="2" t="s">
        <v>104</v>
      </c>
    </row>
  </sheetData>
  <autoFilter ref="A10:P56"/>
  <mergeCells count="5">
    <mergeCell ref="A3:D3"/>
    <mergeCell ref="A4:D4"/>
    <mergeCell ref="A5:D5"/>
    <mergeCell ref="A6:D6"/>
    <mergeCell ref="A7:D7"/>
  </mergeCells>
  <conditionalFormatting sqref="P11:P56">
    <cfRule type="expression" priority="2" aboveAverage="0" equalAverage="0" bottom="0" percent="0" rank="0" text="" dxfId="0">
      <formula>LEFT(P11,3)=LEFT("HẾT HÀNG",3)</formula>
    </cfRule>
    <cfRule type="expression" priority="3" aboveAverage="0" equalAverage="0" bottom="0" percent="0" rank="0" text="" dxfId="13">
      <formula>LEFT(P11,3)=LEFT("SẮP HẾT",3)</formula>
    </cfRule>
    <cfRule type="expression" priority="4" aboveAverage="0" equalAverage="0" bottom="0" percent="0" rank="0" text="" dxfId="14">
      <formula>LEFT(P11,2)=LEFT("ÂM",2)</formula>
    </cfRule>
    <cfRule type="expression" priority="5" aboveAverage="0" equalAverage="0" bottom="0" percent="0" rank="0" text="" dxfId="15">
      <formula>LEFT(P11,3)=LEFT("Chậm bán",3)</formula>
    </cfRule>
    <cfRule type="expression" priority="6" aboveAverage="0" equalAverage="0" bottom="0" percent="0" rank="0" text="" dxfId="16">
      <formula>LEFT(P11,3)=LEFT("Hết (ít bán)",3)</formula>
    </cfRule>
    <cfRule type="expression" priority="7" aboveAverage="0" equalAverage="0" bottom="0" percent="0" rank="0" text="" dxfId="17">
      <formula>LEFT(P11,3)=LEFT("Đủ hàng",3)</formula>
    </cfRule>
  </conditionalFormatting>
  <conditionalFormatting sqref="J11:J56">
    <cfRule type="dataBar" priority="8">
      <dataBar showValue="1" minLength="10" maxLength="90">
        <cfvo type="num" val="0"/>
        <cfvo type="max" val="0"/>
        <color rgb="FF9DC3E6"/>
      </dataBar>
      <extLst>
        <ext xmlns:x14="http://schemas.microsoft.com/office/spreadsheetml/2009/9/main" uri="{B025F937-C7B1-47D3-B67F-A62EFF666E3E}">
          <x14:id>{D57EF5B8-5DF4-4110-AECF-7543DDF01FBD}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7EF5B8-5DF4-4110-AECF-7543DDF01FBD}">
            <x14:dataBar minLength="10" maxLength="90" axisPosition="none" gradient="true">
              <x14:cfvo type="num">
                <xm:f>0</xm:f>
              </x14:cfvo>
              <x14:cfvo type="max"/>
              <x14:negativeFillColor rgb="FF9DC3E6"/>
              <x14:axisColor rgb="FF000000"/>
            </x14:dataBar>
          </x14:cfRule>
          <xm:sqref>J11:J56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K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9" min="9" style="0" width="24"/>
    <col collapsed="false" customWidth="true" hidden="false" outlineLevel="0" max="10" min="10" style="0" width="16"/>
    <col collapsed="false" customWidth="true" hidden="false" outlineLevel="0" max="11" min="11" style="0" width="60"/>
  </cols>
  <sheetData>
    <row r="1" customFormat="false" ht="19.7" hidden="false" customHeight="false" outlineLevel="0" collapsed="false">
      <c r="A1" s="22" t="s">
        <v>105</v>
      </c>
    </row>
    <row r="2" customFormat="false" ht="15" hidden="false" customHeight="false" outlineLevel="0" collapsed="false">
      <c r="A2" s="2" t="s">
        <v>106</v>
      </c>
    </row>
    <row r="4" customFormat="false" ht="33.75" hidden="false" customHeight="true" outlineLevel="0" collapsed="false">
      <c r="A4" s="13" t="s">
        <v>107</v>
      </c>
      <c r="B4" s="13" t="s">
        <v>108</v>
      </c>
      <c r="C4" s="13" t="s">
        <v>8</v>
      </c>
      <c r="D4" s="13" t="s">
        <v>9</v>
      </c>
      <c r="E4" s="13" t="s">
        <v>109</v>
      </c>
      <c r="F4" s="13" t="s">
        <v>110</v>
      </c>
      <c r="G4" s="13" t="s">
        <v>111</v>
      </c>
      <c r="H4" s="13" t="s">
        <v>112</v>
      </c>
      <c r="I4" s="13" t="s">
        <v>113</v>
      </c>
      <c r="J4" s="13" t="s">
        <v>114</v>
      </c>
      <c r="K4" s="13" t="s">
        <v>115</v>
      </c>
    </row>
    <row r="5" customFormat="false" ht="15" hidden="false" customHeight="false" outlineLevel="0" collapsed="false">
      <c r="A5" s="35" t="n">
        <v>46176</v>
      </c>
      <c r="B5" s="36" t="n">
        <f aca="false">IF(A5="","",MONTH(A5))</f>
        <v>6</v>
      </c>
      <c r="C5" s="37" t="s">
        <v>84</v>
      </c>
      <c r="D5" s="37" t="s">
        <v>54</v>
      </c>
      <c r="E5" s="37" t="n">
        <v>1</v>
      </c>
      <c r="F5" s="38" t="n">
        <v>6504000</v>
      </c>
      <c r="G5" s="37" t="n">
        <v>1</v>
      </c>
      <c r="H5" s="39" t="n">
        <f aca="false">IF(E5="","",E5*N(F5)*IF(G5="",1,G5))</f>
        <v>6504000</v>
      </c>
      <c r="I5" s="37" t="s">
        <v>116</v>
      </c>
      <c r="J5" s="37" t="s">
        <v>117</v>
      </c>
      <c r="K5" s="37"/>
    </row>
    <row r="6" customFormat="false" ht="15" hidden="false" customHeight="false" outlineLevel="0" collapsed="false">
      <c r="A6" s="35" t="n">
        <v>46176</v>
      </c>
      <c r="B6" s="36" t="n">
        <f aca="false">IF(A6="","",MONTH(A6))</f>
        <v>6</v>
      </c>
      <c r="C6" s="37" t="s">
        <v>71</v>
      </c>
      <c r="D6" s="37" t="s">
        <v>54</v>
      </c>
      <c r="E6" s="37" t="n">
        <v>1</v>
      </c>
      <c r="F6" s="38" t="n">
        <v>5530000</v>
      </c>
      <c r="G6" s="37" t="n">
        <v>1</v>
      </c>
      <c r="H6" s="39" t="n">
        <f aca="false">IF(E6="","",E6*N(F6)*IF(G6="",1,G6))</f>
        <v>5530000</v>
      </c>
      <c r="I6" s="37" t="s">
        <v>118</v>
      </c>
      <c r="J6" s="37" t="s">
        <v>119</v>
      </c>
      <c r="K6" s="37"/>
    </row>
    <row r="7" customFormat="false" ht="15" hidden="false" customHeight="false" outlineLevel="0" collapsed="false">
      <c r="A7" s="35" t="n">
        <v>46176</v>
      </c>
      <c r="B7" s="36" t="n">
        <f aca="false">IF(A7="","",MONTH(A7))</f>
        <v>6</v>
      </c>
      <c r="C7" s="37" t="s">
        <v>71</v>
      </c>
      <c r="D7" s="37" t="s">
        <v>54</v>
      </c>
      <c r="E7" s="37" t="n">
        <v>1</v>
      </c>
      <c r="F7" s="38" t="n">
        <v>5530000</v>
      </c>
      <c r="G7" s="37" t="n">
        <v>1</v>
      </c>
      <c r="H7" s="39" t="n">
        <f aca="false">IF(E7="","",E7*N(F7)*IF(G7="",1,G7))</f>
        <v>5530000</v>
      </c>
      <c r="I7" s="37" t="s">
        <v>120</v>
      </c>
      <c r="J7" s="37" t="s">
        <v>121</v>
      </c>
      <c r="K7" s="37"/>
    </row>
    <row r="8" customFormat="false" ht="15" hidden="false" customHeight="false" outlineLevel="0" collapsed="false">
      <c r="A8" s="35" t="n">
        <v>46176</v>
      </c>
      <c r="B8" s="36" t="n">
        <f aca="false">IF(A8="","",MONTH(A8))</f>
        <v>6</v>
      </c>
      <c r="C8" s="37" t="s">
        <v>71</v>
      </c>
      <c r="D8" s="37" t="s">
        <v>53</v>
      </c>
      <c r="E8" s="37" t="n">
        <v>1</v>
      </c>
      <c r="F8" s="38" t="n">
        <v>1874000</v>
      </c>
      <c r="G8" s="37" t="n">
        <v>1</v>
      </c>
      <c r="H8" s="39" t="n">
        <f aca="false">IF(E8="","",E8*N(F8)*IF(G8="",1,G8))</f>
        <v>1874000</v>
      </c>
      <c r="I8" s="37" t="s">
        <v>122</v>
      </c>
      <c r="J8" s="37" t="s">
        <v>123</v>
      </c>
      <c r="K8" s="37"/>
    </row>
    <row r="9" customFormat="false" ht="15" hidden="false" customHeight="false" outlineLevel="0" collapsed="false">
      <c r="A9" s="35" t="n">
        <v>46176</v>
      </c>
      <c r="B9" s="36" t="n">
        <f aca="false">IF(A9="","",MONTH(A9))</f>
        <v>6</v>
      </c>
      <c r="C9" s="37" t="s">
        <v>71</v>
      </c>
      <c r="D9" s="37" t="s">
        <v>53</v>
      </c>
      <c r="E9" s="37" t="n">
        <v>1</v>
      </c>
      <c r="F9" s="38" t="n">
        <v>1874000</v>
      </c>
      <c r="G9" s="37" t="n">
        <v>1</v>
      </c>
      <c r="H9" s="39" t="n">
        <f aca="false">IF(E9="","",E9*N(F9)*IF(G9="",1,G9))</f>
        <v>1874000</v>
      </c>
      <c r="I9" s="37" t="s">
        <v>124</v>
      </c>
      <c r="J9" s="37" t="s">
        <v>125</v>
      </c>
      <c r="K9" s="37"/>
    </row>
    <row r="10" customFormat="false" ht="15" hidden="false" customHeight="false" outlineLevel="0" collapsed="false">
      <c r="A10" s="35" t="n">
        <v>46176</v>
      </c>
      <c r="B10" s="36" t="n">
        <f aca="false">IF(A10="","",MONTH(A10))</f>
        <v>6</v>
      </c>
      <c r="C10" s="37" t="s">
        <v>84</v>
      </c>
      <c r="D10" s="37" t="s">
        <v>53</v>
      </c>
      <c r="E10" s="37" t="n">
        <v>1</v>
      </c>
      <c r="F10" s="38" t="n">
        <v>2089000</v>
      </c>
      <c r="G10" s="37" t="n">
        <v>1.15</v>
      </c>
      <c r="H10" s="39" t="n">
        <f aca="false">IF(E10="","",E10*N(F10)*IF(G10="",1,G10))</f>
        <v>2402350</v>
      </c>
      <c r="I10" s="37" t="s">
        <v>126</v>
      </c>
      <c r="J10" s="37" t="s">
        <v>127</v>
      </c>
      <c r="K10" s="37"/>
    </row>
    <row r="11" customFormat="false" ht="15" hidden="false" customHeight="false" outlineLevel="0" collapsed="false">
      <c r="A11" s="35" t="n">
        <v>46176</v>
      </c>
      <c r="B11" s="36" t="n">
        <f aca="false">IF(A11="","",MONTH(A11))</f>
        <v>6</v>
      </c>
      <c r="C11" s="37" t="s">
        <v>90</v>
      </c>
      <c r="D11" s="37" t="s">
        <v>54</v>
      </c>
      <c r="E11" s="37" t="n">
        <v>7</v>
      </c>
      <c r="F11" s="38" t="n">
        <v>4382000</v>
      </c>
      <c r="G11" s="37" t="n">
        <v>1</v>
      </c>
      <c r="H11" s="39" t="n">
        <f aca="false">IF(E11="","",E11*N(F11)*IF(G11="",1,G11))</f>
        <v>30674000</v>
      </c>
      <c r="I11" s="37"/>
      <c r="J11" s="37" t="s">
        <v>128</v>
      </c>
      <c r="K11" s="37"/>
    </row>
    <row r="12" customFormat="false" ht="15" hidden="false" customHeight="false" outlineLevel="0" collapsed="false">
      <c r="A12" s="35" t="n">
        <v>46176</v>
      </c>
      <c r="B12" s="36" t="n">
        <f aca="false">IF(A12="","",MONTH(A12))</f>
        <v>6</v>
      </c>
      <c r="C12" s="37" t="s">
        <v>51</v>
      </c>
      <c r="D12" s="37" t="s">
        <v>54</v>
      </c>
      <c r="E12" s="37" t="n">
        <v>3</v>
      </c>
      <c r="F12" s="38" t="n">
        <v>2738000</v>
      </c>
      <c r="G12" s="37" t="n">
        <v>1</v>
      </c>
      <c r="H12" s="39" t="n">
        <f aca="false">IF(E12="","",E12*N(F12)*IF(G12="",1,G12))</f>
        <v>8214000</v>
      </c>
      <c r="I12" s="37"/>
      <c r="J12" s="37" t="s">
        <v>129</v>
      </c>
      <c r="K12" s="37"/>
    </row>
    <row r="13" customFormat="false" ht="15" hidden="false" customHeight="false" outlineLevel="0" collapsed="false">
      <c r="A13" s="35" t="n">
        <v>46176</v>
      </c>
      <c r="B13" s="36" t="n">
        <f aca="false">IF(A13="","",MONTH(A13))</f>
        <v>6</v>
      </c>
      <c r="C13" s="37" t="s">
        <v>55</v>
      </c>
      <c r="D13" s="37" t="s">
        <v>54</v>
      </c>
      <c r="E13" s="37" t="n">
        <v>1</v>
      </c>
      <c r="F13" s="38" t="n">
        <v>3732000</v>
      </c>
      <c r="G13" s="37" t="n">
        <v>1</v>
      </c>
      <c r="H13" s="39" t="n">
        <f aca="false">IF(E13="","",E13*N(F13)*IF(G13="",1,G13))</f>
        <v>3732000</v>
      </c>
      <c r="I13" s="37"/>
      <c r="J13" s="37" t="s">
        <v>130</v>
      </c>
      <c r="K13" s="37"/>
    </row>
    <row r="14" customFormat="false" ht="15" hidden="false" customHeight="false" outlineLevel="0" collapsed="false">
      <c r="A14" s="35" t="n">
        <v>46176</v>
      </c>
      <c r="B14" s="36" t="n">
        <f aca="false">IF(A14="","",MONTH(A14))</f>
        <v>6</v>
      </c>
      <c r="C14" s="37" t="s">
        <v>71</v>
      </c>
      <c r="D14" s="37" t="s">
        <v>54</v>
      </c>
      <c r="E14" s="37" t="n">
        <v>4</v>
      </c>
      <c r="F14" s="38" t="n">
        <v>5530000</v>
      </c>
      <c r="G14" s="37" t="n">
        <v>1</v>
      </c>
      <c r="H14" s="39" t="n">
        <f aca="false">IF(E14="","",E14*N(F14)*IF(G14="",1,G14))</f>
        <v>22120000</v>
      </c>
      <c r="I14" s="37" t="s">
        <v>131</v>
      </c>
      <c r="J14" s="37" t="s">
        <v>132</v>
      </c>
      <c r="K14" s="37"/>
    </row>
    <row r="15" customFormat="false" ht="15" hidden="false" customHeight="false" outlineLevel="0" collapsed="false">
      <c r="A15" s="35" t="n">
        <v>46176</v>
      </c>
      <c r="B15" s="36" t="n">
        <f aca="false">IF(A15="","",MONTH(A15))</f>
        <v>6</v>
      </c>
      <c r="C15" s="37" t="s">
        <v>84</v>
      </c>
      <c r="D15" s="37" t="s">
        <v>54</v>
      </c>
      <c r="E15" s="37" t="n">
        <v>1</v>
      </c>
      <c r="F15" s="38" t="n">
        <v>6504000</v>
      </c>
      <c r="G15" s="37" t="n">
        <v>1</v>
      </c>
      <c r="H15" s="39" t="n">
        <f aca="false">IF(E15="","",E15*N(F15)*IF(G15="",1,G15))</f>
        <v>6504000</v>
      </c>
      <c r="I15" s="37" t="s">
        <v>131</v>
      </c>
      <c r="J15" s="37" t="s">
        <v>133</v>
      </c>
      <c r="K15" s="37"/>
    </row>
    <row r="16" customFormat="false" ht="15" hidden="false" customHeight="false" outlineLevel="0" collapsed="false">
      <c r="A16" s="35" t="n">
        <v>46176</v>
      </c>
      <c r="B16" s="36" t="n">
        <f aca="false">IF(A16="","",MONTH(A16))</f>
        <v>6</v>
      </c>
      <c r="C16" s="37" t="s">
        <v>84</v>
      </c>
      <c r="D16" s="37" t="s">
        <v>53</v>
      </c>
      <c r="E16" s="37" t="n">
        <v>1</v>
      </c>
      <c r="F16" s="38" t="n">
        <v>2089000</v>
      </c>
      <c r="G16" s="37" t="n">
        <v>1.1</v>
      </c>
      <c r="H16" s="39" t="n">
        <f aca="false">IF(E16="","",E16*N(F16)*IF(G16="",1,G16))</f>
        <v>2297900</v>
      </c>
      <c r="I16" s="37" t="s">
        <v>134</v>
      </c>
      <c r="J16" s="37" t="s">
        <v>135</v>
      </c>
      <c r="K16" s="37"/>
    </row>
    <row r="17" customFormat="false" ht="15" hidden="false" customHeight="false" outlineLevel="0" collapsed="false">
      <c r="A17" s="35" t="n">
        <v>46176</v>
      </c>
      <c r="B17" s="36" t="n">
        <f aca="false">IF(A17="","",MONTH(A17))</f>
        <v>6</v>
      </c>
      <c r="C17" s="37" t="s">
        <v>82</v>
      </c>
      <c r="D17" s="37" t="s">
        <v>79</v>
      </c>
      <c r="E17" s="37" t="n">
        <v>1</v>
      </c>
      <c r="F17" s="38" t="n">
        <v>409000</v>
      </c>
      <c r="G17" s="37" t="n">
        <v>1</v>
      </c>
      <c r="H17" s="39" t="n">
        <f aca="false">IF(E17="","",E17*N(F17)*IF(G17="",1,G17))</f>
        <v>409000</v>
      </c>
      <c r="I17" s="37" t="s">
        <v>136</v>
      </c>
      <c r="J17" s="37" t="s">
        <v>137</v>
      </c>
      <c r="K17" s="37"/>
    </row>
    <row r="18" customFormat="false" ht="15" hidden="false" customHeight="false" outlineLevel="0" collapsed="false">
      <c r="A18" s="35" t="n">
        <v>46177</v>
      </c>
      <c r="B18" s="36" t="n">
        <f aca="false">IF(A18="","",MONTH(A18))</f>
        <v>6</v>
      </c>
      <c r="C18" s="37" t="s">
        <v>90</v>
      </c>
      <c r="D18" s="37" t="s">
        <v>54</v>
      </c>
      <c r="E18" s="37" t="n">
        <v>3</v>
      </c>
      <c r="F18" s="38" t="n">
        <v>4821000</v>
      </c>
      <c r="G18" s="37" t="n">
        <v>1</v>
      </c>
      <c r="H18" s="39" t="n">
        <f aca="false">IF(E18="","",E18*N(F18)*IF(G18="",1,G18))</f>
        <v>14463000</v>
      </c>
      <c r="I18" s="37"/>
      <c r="J18" s="37" t="s">
        <v>138</v>
      </c>
      <c r="K18" s="37"/>
    </row>
    <row r="19" customFormat="false" ht="15" hidden="false" customHeight="false" outlineLevel="0" collapsed="false">
      <c r="A19" s="35" t="n">
        <v>46177</v>
      </c>
      <c r="B19" s="36" t="n">
        <f aca="false">IF(A19="","",MONTH(A19))</f>
        <v>6</v>
      </c>
      <c r="C19" s="37" t="s">
        <v>51</v>
      </c>
      <c r="D19" s="37" t="s">
        <v>54</v>
      </c>
      <c r="E19" s="37" t="n">
        <v>3</v>
      </c>
      <c r="F19" s="38" t="n">
        <v>3012000</v>
      </c>
      <c r="G19" s="37" t="n">
        <v>1</v>
      </c>
      <c r="H19" s="39" t="n">
        <f aca="false">IF(E19="","",E19*N(F19)*IF(G19="",1,G19))</f>
        <v>9036000</v>
      </c>
      <c r="I19" s="37"/>
      <c r="J19" s="37" t="s">
        <v>139</v>
      </c>
      <c r="K19" s="37"/>
    </row>
    <row r="20" customFormat="false" ht="15" hidden="false" customHeight="false" outlineLevel="0" collapsed="false">
      <c r="A20" s="35" t="n">
        <v>46177</v>
      </c>
      <c r="B20" s="36" t="n">
        <f aca="false">IF(A20="","",MONTH(A20))</f>
        <v>6</v>
      </c>
      <c r="C20" s="37" t="s">
        <v>55</v>
      </c>
      <c r="D20" s="37" t="s">
        <v>54</v>
      </c>
      <c r="E20" s="37" t="n">
        <v>1</v>
      </c>
      <c r="F20" s="38" t="n">
        <v>4106000</v>
      </c>
      <c r="G20" s="37" t="n">
        <v>1</v>
      </c>
      <c r="H20" s="39" t="n">
        <f aca="false">IF(E20="","",E20*N(F20)*IF(G20="",1,G20))</f>
        <v>4106000</v>
      </c>
      <c r="I20" s="37"/>
      <c r="J20" s="37" t="s">
        <v>140</v>
      </c>
      <c r="K20" s="37"/>
    </row>
    <row r="21" customFormat="false" ht="15" hidden="false" customHeight="false" outlineLevel="0" collapsed="false">
      <c r="A21" s="35" t="n">
        <v>46177</v>
      </c>
      <c r="B21" s="36" t="n">
        <f aca="false">IF(A21="","",MONTH(A21))</f>
        <v>6</v>
      </c>
      <c r="C21" s="37" t="s">
        <v>71</v>
      </c>
      <c r="D21" s="37" t="s">
        <v>54</v>
      </c>
      <c r="E21" s="37" t="n">
        <v>2</v>
      </c>
      <c r="F21" s="38" t="n">
        <v>5530000</v>
      </c>
      <c r="G21" s="37" t="n">
        <v>1</v>
      </c>
      <c r="H21" s="39" t="n">
        <f aca="false">IF(E21="","",E21*N(F21)*IF(G21="",1,G21))</f>
        <v>11060000</v>
      </c>
      <c r="I21" s="37" t="s">
        <v>141</v>
      </c>
      <c r="J21" s="37" t="s">
        <v>142</v>
      </c>
      <c r="K21" s="37"/>
    </row>
    <row r="22" customFormat="false" ht="15" hidden="false" customHeight="false" outlineLevel="0" collapsed="false">
      <c r="A22" s="35" t="n">
        <v>46177</v>
      </c>
      <c r="B22" s="36" t="n">
        <f aca="false">IF(A22="","",MONTH(A22))</f>
        <v>6</v>
      </c>
      <c r="C22" s="37" t="s">
        <v>71</v>
      </c>
      <c r="D22" s="37" t="s">
        <v>54</v>
      </c>
      <c r="E22" s="37" t="n">
        <v>1</v>
      </c>
      <c r="F22" s="38" t="n">
        <v>5530000</v>
      </c>
      <c r="G22" s="37" t="n">
        <v>1</v>
      </c>
      <c r="H22" s="39" t="n">
        <f aca="false">IF(E22="","",E22*N(F22)*IF(G22="",1,G22))</f>
        <v>5530000</v>
      </c>
      <c r="I22" s="37" t="s">
        <v>143</v>
      </c>
      <c r="J22" s="37" t="s">
        <v>144</v>
      </c>
      <c r="K22" s="37"/>
    </row>
    <row r="23" customFormat="false" ht="15" hidden="false" customHeight="false" outlineLevel="0" collapsed="false">
      <c r="A23" s="35" t="n">
        <v>46177</v>
      </c>
      <c r="B23" s="36" t="n">
        <f aca="false">IF(A23="","",MONTH(A23))</f>
        <v>6</v>
      </c>
      <c r="C23" s="37" t="s">
        <v>84</v>
      </c>
      <c r="D23" s="37" t="s">
        <v>54</v>
      </c>
      <c r="E23" s="37" t="n">
        <v>1</v>
      </c>
      <c r="F23" s="38" t="n">
        <v>6504000</v>
      </c>
      <c r="G23" s="37" t="n">
        <v>1</v>
      </c>
      <c r="H23" s="39" t="n">
        <f aca="false">IF(E23="","",E23*N(F23)*IF(G23="",1,G23))</f>
        <v>6504000</v>
      </c>
      <c r="I23" s="37" t="s">
        <v>145</v>
      </c>
      <c r="J23" s="37" t="s">
        <v>146</v>
      </c>
      <c r="K23" s="37"/>
    </row>
    <row r="24" customFormat="false" ht="15" hidden="false" customHeight="false" outlineLevel="0" collapsed="false">
      <c r="A24" s="35" t="n">
        <v>46177</v>
      </c>
      <c r="B24" s="36" t="n">
        <f aca="false">IF(A24="","",MONTH(A24))</f>
        <v>6</v>
      </c>
      <c r="C24" s="37" t="s">
        <v>84</v>
      </c>
      <c r="D24" s="37" t="s">
        <v>53</v>
      </c>
      <c r="E24" s="37" t="n">
        <v>1</v>
      </c>
      <c r="F24" s="38" t="n">
        <v>2089000</v>
      </c>
      <c r="G24" s="37" t="n">
        <v>1.1</v>
      </c>
      <c r="H24" s="39" t="n">
        <f aca="false">IF(E24="","",E24*N(F24)*IF(G24="",1,G24))</f>
        <v>2297900</v>
      </c>
      <c r="I24" s="37" t="s">
        <v>147</v>
      </c>
      <c r="J24" s="37" t="s">
        <v>148</v>
      </c>
      <c r="K24" s="37"/>
    </row>
    <row r="25" customFormat="false" ht="15" hidden="false" customHeight="false" outlineLevel="0" collapsed="false">
      <c r="A25" s="35" t="n">
        <v>46177</v>
      </c>
      <c r="B25" s="36" t="n">
        <f aca="false">IF(A25="","",MONTH(A25))</f>
        <v>6</v>
      </c>
      <c r="C25" s="37" t="s">
        <v>84</v>
      </c>
      <c r="D25" s="37" t="s">
        <v>79</v>
      </c>
      <c r="E25" s="37" t="n">
        <v>2</v>
      </c>
      <c r="F25" s="38" t="n">
        <v>479000</v>
      </c>
      <c r="G25" s="37" t="n">
        <v>1</v>
      </c>
      <c r="H25" s="39" t="n">
        <f aca="false">IF(E25="","",E25*N(F25)*IF(G25="",1,G25))</f>
        <v>958000</v>
      </c>
      <c r="I25" s="37" t="s">
        <v>149</v>
      </c>
      <c r="J25" s="37" t="s">
        <v>150</v>
      </c>
      <c r="K25" s="37"/>
    </row>
    <row r="26" customFormat="false" ht="15" hidden="false" customHeight="false" outlineLevel="0" collapsed="false">
      <c r="A26" s="35" t="n">
        <v>46177</v>
      </c>
      <c r="B26" s="36" t="n">
        <f aca="false">IF(A26="","",MONTH(A26))</f>
        <v>6</v>
      </c>
      <c r="C26" s="37" t="s">
        <v>84</v>
      </c>
      <c r="D26" s="37" t="s">
        <v>79</v>
      </c>
      <c r="E26" s="37" t="n">
        <v>2</v>
      </c>
      <c r="F26" s="38" t="n">
        <v>479000</v>
      </c>
      <c r="G26" s="37" t="n">
        <v>1.2</v>
      </c>
      <c r="H26" s="39" t="n">
        <f aca="false">IF(E26="","",E26*N(F26)*IF(G26="",1,G26))</f>
        <v>1149600</v>
      </c>
      <c r="I26" s="37" t="s">
        <v>151</v>
      </c>
      <c r="J26" s="37" t="s">
        <v>152</v>
      </c>
      <c r="K26" s="37"/>
    </row>
    <row r="27" customFormat="false" ht="15" hidden="false" customHeight="false" outlineLevel="0" collapsed="false">
      <c r="A27" s="35" t="n">
        <v>46178</v>
      </c>
      <c r="B27" s="36" t="n">
        <f aca="false">IF(A27="","",MONTH(A27))</f>
        <v>6</v>
      </c>
      <c r="C27" s="37" t="s">
        <v>51</v>
      </c>
      <c r="D27" s="37" t="s">
        <v>54</v>
      </c>
      <c r="E27" s="37" t="n">
        <v>3</v>
      </c>
      <c r="F27" s="38" t="n">
        <v>2738000</v>
      </c>
      <c r="G27" s="37" t="n">
        <v>1</v>
      </c>
      <c r="H27" s="39" t="n">
        <f aca="false">IF(E27="","",E27*N(F27)*IF(G27="",1,G27))</f>
        <v>8214000</v>
      </c>
      <c r="I27" s="37"/>
      <c r="J27" s="37" t="s">
        <v>153</v>
      </c>
      <c r="K27" s="37"/>
    </row>
    <row r="28" customFormat="false" ht="15" hidden="false" customHeight="false" outlineLevel="0" collapsed="false">
      <c r="A28" s="35" t="n">
        <v>46178</v>
      </c>
      <c r="B28" s="36" t="n">
        <f aca="false">IF(A28="","",MONTH(A28))</f>
        <v>6</v>
      </c>
      <c r="C28" s="37" t="s">
        <v>84</v>
      </c>
      <c r="D28" s="37" t="s">
        <v>79</v>
      </c>
      <c r="E28" s="37" t="n">
        <v>3</v>
      </c>
      <c r="F28" s="38" t="n">
        <v>479000</v>
      </c>
      <c r="G28" s="37" t="n">
        <v>1.1</v>
      </c>
      <c r="H28" s="39" t="n">
        <f aca="false">IF(E28="","",E28*N(F28)*IF(G28="",1,G28))</f>
        <v>1580700</v>
      </c>
      <c r="I28" s="37" t="s">
        <v>134</v>
      </c>
      <c r="J28" s="37" t="s">
        <v>154</v>
      </c>
      <c r="K28" s="37"/>
    </row>
    <row r="29" customFormat="false" ht="15" hidden="false" customHeight="false" outlineLevel="0" collapsed="false">
      <c r="A29" s="35" t="n">
        <v>46180</v>
      </c>
      <c r="B29" s="36" t="n">
        <f aca="false">IF(A29="","",MONTH(A29))</f>
        <v>6</v>
      </c>
      <c r="C29" s="37" t="s">
        <v>51</v>
      </c>
      <c r="D29" s="37" t="s">
        <v>54</v>
      </c>
      <c r="E29" s="37" t="n">
        <v>1</v>
      </c>
      <c r="F29" s="38" t="n">
        <v>3012000</v>
      </c>
      <c r="G29" s="37" t="n">
        <v>1</v>
      </c>
      <c r="H29" s="39" t="n">
        <f aca="false">IF(E29="","",E29*N(F29)*IF(G29="",1,G29))</f>
        <v>3012000</v>
      </c>
      <c r="I29" s="37"/>
      <c r="J29" s="37" t="s">
        <v>155</v>
      </c>
      <c r="K29" s="37"/>
    </row>
    <row r="30" customFormat="false" ht="15" hidden="false" customHeight="false" outlineLevel="0" collapsed="false">
      <c r="A30" s="35" t="n">
        <v>46180</v>
      </c>
      <c r="B30" s="36" t="n">
        <f aca="false">IF(A30="","",MONTH(A30))</f>
        <v>6</v>
      </c>
      <c r="C30" s="37" t="s">
        <v>71</v>
      </c>
      <c r="D30" s="37" t="s">
        <v>54</v>
      </c>
      <c r="E30" s="37" t="n">
        <v>2</v>
      </c>
      <c r="F30" s="38" t="n">
        <v>5530000</v>
      </c>
      <c r="G30" s="37" t="n">
        <v>1</v>
      </c>
      <c r="H30" s="39" t="n">
        <f aca="false">IF(E30="","",E30*N(F30)*IF(G30="",1,G30))</f>
        <v>11060000</v>
      </c>
      <c r="I30" s="37" t="s">
        <v>141</v>
      </c>
      <c r="J30" s="37" t="s">
        <v>156</v>
      </c>
      <c r="K30" s="37"/>
    </row>
    <row r="31" customFormat="false" ht="15" hidden="false" customHeight="false" outlineLevel="0" collapsed="false">
      <c r="A31" s="35" t="n">
        <v>46180</v>
      </c>
      <c r="B31" s="36" t="n">
        <f aca="false">IF(A31="","",MONTH(A31))</f>
        <v>6</v>
      </c>
      <c r="C31" s="37" t="s">
        <v>84</v>
      </c>
      <c r="D31" s="37" t="s">
        <v>79</v>
      </c>
      <c r="E31" s="37" t="n">
        <v>2</v>
      </c>
      <c r="F31" s="38" t="n">
        <v>479000</v>
      </c>
      <c r="G31" s="37" t="n">
        <v>1</v>
      </c>
      <c r="H31" s="39" t="n">
        <f aca="false">IF(E31="","",E31*N(F31)*IF(G31="",1,G31))</f>
        <v>958000</v>
      </c>
      <c r="I31" s="37" t="s">
        <v>157</v>
      </c>
      <c r="J31" s="37" t="s">
        <v>158</v>
      </c>
      <c r="K31" s="37"/>
    </row>
    <row r="32" customFormat="false" ht="15" hidden="false" customHeight="false" outlineLevel="0" collapsed="false">
      <c r="A32" s="35" t="n">
        <v>46180</v>
      </c>
      <c r="B32" s="36" t="n">
        <f aca="false">IF(A32="","",MONTH(A32))</f>
        <v>6</v>
      </c>
      <c r="C32" s="37" t="s">
        <v>90</v>
      </c>
      <c r="D32" s="37" t="s">
        <v>54</v>
      </c>
      <c r="E32" s="37" t="n">
        <v>3</v>
      </c>
      <c r="F32" s="38" t="n">
        <v>4382000</v>
      </c>
      <c r="G32" s="37" t="n">
        <v>1</v>
      </c>
      <c r="H32" s="39" t="n">
        <f aca="false">IF(E32="","",E32*N(F32)*IF(G32="",1,G32))</f>
        <v>13146000</v>
      </c>
      <c r="I32" s="37" t="s">
        <v>159</v>
      </c>
      <c r="J32" s="37" t="s">
        <v>160</v>
      </c>
      <c r="K32" s="37"/>
    </row>
    <row r="33" customFormat="false" ht="15" hidden="false" customHeight="false" outlineLevel="0" collapsed="false">
      <c r="A33" s="35" t="n">
        <v>46181</v>
      </c>
      <c r="B33" s="36" t="n">
        <f aca="false">IF(A33="","",MONTH(A33))</f>
        <v>6</v>
      </c>
      <c r="C33" s="37" t="s">
        <v>90</v>
      </c>
      <c r="D33" s="37" t="s">
        <v>53</v>
      </c>
      <c r="E33" s="37" t="n">
        <v>2</v>
      </c>
      <c r="F33" s="38" t="n">
        <v>1447000</v>
      </c>
      <c r="G33" s="37" t="n">
        <v>1</v>
      </c>
      <c r="H33" s="39" t="n">
        <f aca="false">IF(E33="","",E33*N(F33)*IF(G33="",1,G33))</f>
        <v>2894000</v>
      </c>
      <c r="I33" s="37" t="s">
        <v>159</v>
      </c>
      <c r="J33" s="37" t="s">
        <v>161</v>
      </c>
      <c r="K33" s="37"/>
    </row>
    <row r="34" customFormat="false" ht="15" hidden="false" customHeight="false" outlineLevel="0" collapsed="false">
      <c r="A34" s="35" t="n">
        <v>46181</v>
      </c>
      <c r="B34" s="36" t="n">
        <f aca="false">IF(A34="","",MONTH(A34))</f>
        <v>6</v>
      </c>
      <c r="C34" s="37" t="s">
        <v>71</v>
      </c>
      <c r="D34" s="37" t="s">
        <v>53</v>
      </c>
      <c r="E34" s="37" t="n">
        <v>1</v>
      </c>
      <c r="F34" s="38" t="n">
        <v>1874000</v>
      </c>
      <c r="G34" s="37" t="n">
        <v>1</v>
      </c>
      <c r="H34" s="39" t="n">
        <f aca="false">IF(E34="","",E34*N(F34)*IF(G34="",1,G34))</f>
        <v>1874000</v>
      </c>
      <c r="I34" s="37" t="s">
        <v>118</v>
      </c>
      <c r="J34" s="37" t="s">
        <v>162</v>
      </c>
      <c r="K34" s="37"/>
    </row>
    <row r="35" customFormat="false" ht="15" hidden="false" customHeight="false" outlineLevel="0" collapsed="false">
      <c r="A35" s="35" t="n">
        <v>46181</v>
      </c>
      <c r="B35" s="36" t="n">
        <f aca="false">IF(A35="","",MONTH(A35))</f>
        <v>6</v>
      </c>
      <c r="C35" s="37" t="s">
        <v>90</v>
      </c>
      <c r="D35" s="37" t="s">
        <v>53</v>
      </c>
      <c r="E35" s="37" t="n">
        <v>2</v>
      </c>
      <c r="F35" s="38" t="n">
        <v>1315000</v>
      </c>
      <c r="G35" s="37" t="n">
        <v>1</v>
      </c>
      <c r="H35" s="39" t="n">
        <f aca="false">IF(E35="","",E35*N(F35)*IF(G35="",1,G35))</f>
        <v>2630000</v>
      </c>
      <c r="I35" s="37" t="s">
        <v>159</v>
      </c>
      <c r="J35" s="37" t="s">
        <v>163</v>
      </c>
      <c r="K35" s="37"/>
    </row>
    <row r="36" customFormat="false" ht="15" hidden="false" customHeight="false" outlineLevel="0" collapsed="false">
      <c r="A36" s="35" t="n">
        <v>46183</v>
      </c>
      <c r="B36" s="36" t="n">
        <f aca="false">IF(A36="","",MONTH(A36))</f>
        <v>6</v>
      </c>
      <c r="C36" s="37" t="s">
        <v>98</v>
      </c>
      <c r="D36" s="37" t="s">
        <v>100</v>
      </c>
      <c r="E36" s="37" t="n">
        <v>8</v>
      </c>
      <c r="F36" s="38" t="n">
        <v>481000</v>
      </c>
      <c r="G36" s="37" t="n">
        <v>1</v>
      </c>
      <c r="H36" s="39" t="n">
        <f aca="false">IF(E36="","",E36*N(F36)*IF(G36="",1,G36))</f>
        <v>3848000</v>
      </c>
      <c r="I36" s="37"/>
      <c r="J36" s="37" t="s">
        <v>164</v>
      </c>
      <c r="K36" s="37"/>
    </row>
    <row r="37" customFormat="false" ht="15" hidden="false" customHeight="false" outlineLevel="0" collapsed="false">
      <c r="A37" s="35" t="n">
        <v>46183</v>
      </c>
      <c r="B37" s="36" t="n">
        <f aca="false">IF(A37="","",MONTH(A37))</f>
        <v>6</v>
      </c>
      <c r="C37" s="37" t="s">
        <v>61</v>
      </c>
      <c r="D37" s="37" t="s">
        <v>54</v>
      </c>
      <c r="E37" s="37" t="n">
        <v>10</v>
      </c>
      <c r="F37" s="38" t="n">
        <v>2185000</v>
      </c>
      <c r="G37" s="37" t="n">
        <v>1</v>
      </c>
      <c r="H37" s="39" t="n">
        <f aca="false">IF(E37="","",E37*N(F37)*IF(G37="",1,G37))</f>
        <v>21850000</v>
      </c>
      <c r="I37" s="37"/>
      <c r="J37" s="37" t="s">
        <v>165</v>
      </c>
      <c r="K37" s="37"/>
    </row>
    <row r="38" customFormat="false" ht="15" hidden="false" customHeight="false" outlineLevel="0" collapsed="false">
      <c r="A38" s="35" t="n">
        <v>46183</v>
      </c>
      <c r="B38" s="36" t="n">
        <f aca="false">IF(A38="","",MONTH(A38))</f>
        <v>6</v>
      </c>
      <c r="C38" s="37" t="s">
        <v>67</v>
      </c>
      <c r="D38" s="37" t="s">
        <v>54</v>
      </c>
      <c r="E38" s="37" t="n">
        <v>7</v>
      </c>
      <c r="F38" s="38" t="n">
        <v>2128000</v>
      </c>
      <c r="G38" s="37" t="n">
        <v>1</v>
      </c>
      <c r="H38" s="39" t="n">
        <f aca="false">IF(E38="","",E38*N(F38)*IF(G38="",1,G38))</f>
        <v>14896000</v>
      </c>
      <c r="I38" s="37"/>
      <c r="J38" s="37" t="s">
        <v>166</v>
      </c>
      <c r="K38" s="37"/>
    </row>
    <row r="39" customFormat="false" ht="15" hidden="false" customHeight="false" outlineLevel="0" collapsed="false">
      <c r="A39" s="35" t="n">
        <v>46183</v>
      </c>
      <c r="B39" s="36" t="n">
        <f aca="false">IF(A39="","",MONTH(A39))</f>
        <v>6</v>
      </c>
      <c r="C39" s="37" t="s">
        <v>65</v>
      </c>
      <c r="D39" s="37" t="s">
        <v>54</v>
      </c>
      <c r="E39" s="37" t="n">
        <v>3</v>
      </c>
      <c r="F39" s="38" t="n">
        <v>2712000</v>
      </c>
      <c r="G39" s="37" t="n">
        <v>1</v>
      </c>
      <c r="H39" s="39" t="n">
        <f aca="false">IF(E39="","",E39*N(F39)*IF(G39="",1,G39))</f>
        <v>8136000</v>
      </c>
      <c r="I39" s="37"/>
      <c r="J39" s="37" t="s">
        <v>167</v>
      </c>
      <c r="K39" s="37"/>
    </row>
    <row r="40" customFormat="false" ht="15" hidden="false" customHeight="false" outlineLevel="0" collapsed="false">
      <c r="A40" s="35" t="n">
        <v>46183</v>
      </c>
      <c r="B40" s="36" t="n">
        <f aca="false">IF(A40="","",MONTH(A40))</f>
        <v>6</v>
      </c>
      <c r="C40" s="37" t="s">
        <v>80</v>
      </c>
      <c r="D40" s="37" t="s">
        <v>54</v>
      </c>
      <c r="E40" s="37" t="n">
        <v>1</v>
      </c>
      <c r="F40" s="38" t="n">
        <v>3131000</v>
      </c>
      <c r="G40" s="37" t="n">
        <v>1</v>
      </c>
      <c r="H40" s="39" t="n">
        <f aca="false">IF(E40="","",E40*N(F40)*IF(G40="",1,G40))</f>
        <v>3131000</v>
      </c>
      <c r="I40" s="37" t="s">
        <v>168</v>
      </c>
      <c r="J40" s="37" t="s">
        <v>169</v>
      </c>
      <c r="K40" s="37"/>
    </row>
    <row r="41" customFormat="false" ht="15" hidden="false" customHeight="false" outlineLevel="0" collapsed="false">
      <c r="A41" s="35" t="n">
        <v>46183</v>
      </c>
      <c r="B41" s="36" t="n">
        <f aca="false">IF(A41="","",MONTH(A41))</f>
        <v>6</v>
      </c>
      <c r="C41" s="37" t="s">
        <v>63</v>
      </c>
      <c r="D41" s="37" t="s">
        <v>54</v>
      </c>
      <c r="E41" s="37" t="n">
        <v>1</v>
      </c>
      <c r="F41" s="38" t="n">
        <v>3097000</v>
      </c>
      <c r="G41" s="37" t="n">
        <v>1</v>
      </c>
      <c r="H41" s="39" t="n">
        <f aca="false">IF(E41="","",E41*N(F41)*IF(G41="",1,G41))</f>
        <v>3097000</v>
      </c>
      <c r="I41" s="37"/>
      <c r="J41" s="37" t="s">
        <v>170</v>
      </c>
      <c r="K41" s="37"/>
    </row>
    <row r="42" customFormat="false" ht="15" hidden="false" customHeight="false" outlineLevel="0" collapsed="false">
      <c r="A42" s="35" t="n">
        <v>46183</v>
      </c>
      <c r="B42" s="36" t="n">
        <f aca="false">IF(A42="","",MONTH(A42))</f>
        <v>6</v>
      </c>
      <c r="C42" s="37" t="s">
        <v>88</v>
      </c>
      <c r="D42" s="37" t="s">
        <v>54</v>
      </c>
      <c r="E42" s="37" t="n">
        <v>2</v>
      </c>
      <c r="F42" s="38" t="n">
        <v>4106000</v>
      </c>
      <c r="G42" s="37" t="n">
        <v>1</v>
      </c>
      <c r="H42" s="39" t="n">
        <f aca="false">IF(E42="","",E42*N(F42)*IF(G42="",1,G42))</f>
        <v>8212000</v>
      </c>
      <c r="I42" s="37"/>
      <c r="J42" s="37" t="s">
        <v>171</v>
      </c>
      <c r="K42" s="37"/>
    </row>
    <row r="43" customFormat="false" ht="15" hidden="false" customHeight="false" outlineLevel="0" collapsed="false">
      <c r="A43" s="35" t="n">
        <v>46183</v>
      </c>
      <c r="B43" s="36" t="n">
        <f aca="false">IF(A43="","",MONTH(A43))</f>
        <v>6</v>
      </c>
      <c r="C43" s="37" t="s">
        <v>67</v>
      </c>
      <c r="D43" s="37" t="s">
        <v>54</v>
      </c>
      <c r="E43" s="37" t="n">
        <v>1</v>
      </c>
      <c r="F43" s="38" t="n">
        <v>2128000</v>
      </c>
      <c r="G43" s="37" t="n">
        <v>1</v>
      </c>
      <c r="H43" s="39" t="n">
        <f aca="false">IF(E43="","",E43*N(F43)*IF(G43="",1,G43))</f>
        <v>2128000</v>
      </c>
      <c r="I43" s="37" t="s">
        <v>172</v>
      </c>
      <c r="J43" s="37" t="s">
        <v>173</v>
      </c>
      <c r="K43" s="37"/>
    </row>
    <row r="44" customFormat="false" ht="15" hidden="false" customHeight="false" outlineLevel="0" collapsed="false">
      <c r="A44" s="35" t="n">
        <v>46183</v>
      </c>
      <c r="B44" s="36" t="n">
        <f aca="false">IF(A44="","",MONTH(A44))</f>
        <v>6</v>
      </c>
      <c r="C44" s="37" t="s">
        <v>71</v>
      </c>
      <c r="D44" s="37" t="s">
        <v>53</v>
      </c>
      <c r="E44" s="37" t="n">
        <v>1</v>
      </c>
      <c r="F44" s="38" t="n">
        <v>1874000</v>
      </c>
      <c r="G44" s="37" t="n">
        <v>1</v>
      </c>
      <c r="H44" s="39" t="n">
        <f aca="false">IF(E44="","",E44*N(F44)*IF(G44="",1,G44))</f>
        <v>1874000</v>
      </c>
      <c r="I44" s="37"/>
      <c r="J44" s="37" t="s">
        <v>174</v>
      </c>
      <c r="K44" s="37"/>
    </row>
    <row r="45" customFormat="false" ht="15" hidden="false" customHeight="false" outlineLevel="0" collapsed="false">
      <c r="A45" s="35" t="n">
        <v>46183</v>
      </c>
      <c r="B45" s="36" t="n">
        <f aca="false">IF(A45="","",MONTH(A45))</f>
        <v>6</v>
      </c>
      <c r="C45" s="37" t="s">
        <v>84</v>
      </c>
      <c r="D45" s="37" t="s">
        <v>79</v>
      </c>
      <c r="E45" s="37" t="n">
        <v>2</v>
      </c>
      <c r="F45" s="38" t="n">
        <v>479000</v>
      </c>
      <c r="G45" s="37" t="n">
        <v>1</v>
      </c>
      <c r="H45" s="39" t="n">
        <f aca="false">IF(E45="","",E45*N(F45)*IF(G45="",1,G45))</f>
        <v>958000</v>
      </c>
      <c r="I45" s="37"/>
      <c r="J45" s="37" t="s">
        <v>175</v>
      </c>
      <c r="K45" s="37"/>
    </row>
    <row r="46" customFormat="false" ht="15" hidden="false" customHeight="false" outlineLevel="0" collapsed="false">
      <c r="A46" s="35" t="n">
        <v>46183</v>
      </c>
      <c r="B46" s="36" t="n">
        <f aca="false">IF(A46="","",MONTH(A46))</f>
        <v>6</v>
      </c>
      <c r="C46" s="37" t="s">
        <v>84</v>
      </c>
      <c r="D46" s="37" t="s">
        <v>79</v>
      </c>
      <c r="E46" s="37" t="n">
        <v>1</v>
      </c>
      <c r="F46" s="38" t="n">
        <v>479000</v>
      </c>
      <c r="G46" s="37" t="n">
        <v>1</v>
      </c>
      <c r="H46" s="39" t="n">
        <f aca="false">IF(E46="","",E46*N(F46)*IF(G46="",1,G46))</f>
        <v>479000</v>
      </c>
      <c r="I46" s="37" t="s">
        <v>176</v>
      </c>
      <c r="J46" s="37" t="s">
        <v>177</v>
      </c>
      <c r="K46" s="37"/>
    </row>
    <row r="47" customFormat="false" ht="15" hidden="false" customHeight="false" outlineLevel="0" collapsed="false">
      <c r="A47" s="35" t="n">
        <v>46183</v>
      </c>
      <c r="B47" s="36" t="n">
        <f aca="false">IF(A47="","",MONTH(A47))</f>
        <v>6</v>
      </c>
      <c r="C47" s="37" t="s">
        <v>84</v>
      </c>
      <c r="D47" s="37" t="s">
        <v>79</v>
      </c>
      <c r="E47" s="37" t="n">
        <v>1</v>
      </c>
      <c r="F47" s="38" t="n">
        <v>479000</v>
      </c>
      <c r="G47" s="37" t="n">
        <v>1</v>
      </c>
      <c r="H47" s="39" t="n">
        <f aca="false">IF(E47="","",E47*N(F47)*IF(G47="",1,G47))</f>
        <v>479000</v>
      </c>
      <c r="I47" s="37" t="s">
        <v>178</v>
      </c>
      <c r="J47" s="37" t="s">
        <v>179</v>
      </c>
      <c r="K47" s="37"/>
    </row>
    <row r="48" customFormat="false" ht="15" hidden="false" customHeight="false" outlineLevel="0" collapsed="false">
      <c r="A48" s="35" t="n">
        <v>46184</v>
      </c>
      <c r="B48" s="36" t="n">
        <f aca="false">IF(A48="","",MONTH(A48))</f>
        <v>6</v>
      </c>
      <c r="C48" s="37" t="s">
        <v>84</v>
      </c>
      <c r="D48" s="37" t="s">
        <v>53</v>
      </c>
      <c r="E48" s="37" t="n">
        <v>1</v>
      </c>
      <c r="F48" s="38" t="n">
        <v>2089000</v>
      </c>
      <c r="G48" s="37" t="n">
        <v>1</v>
      </c>
      <c r="H48" s="39" t="n">
        <f aca="false">IF(E48="","",E48*N(F48)*IF(G48="",1,G48))</f>
        <v>2089000</v>
      </c>
      <c r="I48" s="37" t="s">
        <v>145</v>
      </c>
      <c r="J48" s="37" t="s">
        <v>180</v>
      </c>
      <c r="K48" s="37"/>
    </row>
    <row r="49" customFormat="false" ht="15" hidden="false" customHeight="false" outlineLevel="0" collapsed="false">
      <c r="A49" s="35" t="n">
        <v>46184</v>
      </c>
      <c r="B49" s="36" t="n">
        <f aca="false">IF(A49="","",MONTH(A49))</f>
        <v>6</v>
      </c>
      <c r="C49" s="37" t="s">
        <v>71</v>
      </c>
      <c r="D49" s="37" t="s">
        <v>54</v>
      </c>
      <c r="E49" s="37" t="n">
        <v>2</v>
      </c>
      <c r="F49" s="38" t="n">
        <v>5027000</v>
      </c>
      <c r="G49" s="37" t="n">
        <v>1</v>
      </c>
      <c r="H49" s="39" t="n">
        <f aca="false">IF(E49="","",E49*N(F49)*IF(G49="",1,G49))</f>
        <v>10054000</v>
      </c>
      <c r="I49" s="37" t="s">
        <v>141</v>
      </c>
      <c r="J49" s="37" t="s">
        <v>181</v>
      </c>
      <c r="K49" s="37"/>
    </row>
    <row r="50" customFormat="false" ht="15" hidden="false" customHeight="false" outlineLevel="0" collapsed="false">
      <c r="A50" s="35" t="n">
        <v>46184</v>
      </c>
      <c r="B50" s="36" t="n">
        <f aca="false">IF(A50="","",MONTH(A50))</f>
        <v>6</v>
      </c>
      <c r="C50" s="37" t="s">
        <v>71</v>
      </c>
      <c r="D50" s="37" t="s">
        <v>54</v>
      </c>
      <c r="E50" s="37" t="n">
        <v>1</v>
      </c>
      <c r="F50" s="38" t="n">
        <v>5027000</v>
      </c>
      <c r="G50" s="37" t="n">
        <v>1</v>
      </c>
      <c r="H50" s="39" t="n">
        <f aca="false">IF(E50="","",E50*N(F50)*IF(G50="",1,G50))</f>
        <v>5027000</v>
      </c>
      <c r="I50" s="37" t="s">
        <v>182</v>
      </c>
      <c r="J50" s="37" t="s">
        <v>183</v>
      </c>
      <c r="K50" s="37"/>
    </row>
    <row r="51" customFormat="false" ht="15" hidden="false" customHeight="false" outlineLevel="0" collapsed="false">
      <c r="A51" s="35" t="n">
        <v>46184</v>
      </c>
      <c r="B51" s="36" t="n">
        <f aca="false">IF(A51="","",MONTH(A51))</f>
        <v>6</v>
      </c>
      <c r="C51" s="37" t="s">
        <v>51</v>
      </c>
      <c r="D51" s="37" t="s">
        <v>54</v>
      </c>
      <c r="E51" s="37" t="n">
        <v>2</v>
      </c>
      <c r="F51" s="38" t="n">
        <v>2738000</v>
      </c>
      <c r="G51" s="37" t="n">
        <v>1</v>
      </c>
      <c r="H51" s="39" t="n">
        <f aca="false">IF(E51="","",E51*N(F51)*IF(G51="",1,G51))</f>
        <v>5476000</v>
      </c>
      <c r="I51" s="37"/>
      <c r="J51" s="37" t="s">
        <v>184</v>
      </c>
      <c r="K51" s="37"/>
    </row>
    <row r="52" customFormat="false" ht="15" hidden="false" customHeight="false" outlineLevel="0" collapsed="false">
      <c r="A52" s="35" t="n">
        <v>46184</v>
      </c>
      <c r="B52" s="36" t="n">
        <f aca="false">IF(A52="","",MONTH(A52))</f>
        <v>6</v>
      </c>
      <c r="C52" s="37" t="s">
        <v>71</v>
      </c>
      <c r="D52" s="37" t="s">
        <v>53</v>
      </c>
      <c r="E52" s="37" t="n">
        <v>1</v>
      </c>
      <c r="F52" s="38" t="n">
        <v>1703000</v>
      </c>
      <c r="G52" s="37" t="n">
        <v>1</v>
      </c>
      <c r="H52" s="39" t="n">
        <f aca="false">IF(E52="","",E52*N(F52)*IF(G52="",1,G52))</f>
        <v>1703000</v>
      </c>
      <c r="I52" s="37" t="s">
        <v>185</v>
      </c>
      <c r="J52" s="37" t="s">
        <v>186</v>
      </c>
      <c r="K52" s="37"/>
    </row>
    <row r="53" customFormat="false" ht="15" hidden="false" customHeight="false" outlineLevel="0" collapsed="false">
      <c r="A53" s="35" t="n">
        <v>46184</v>
      </c>
      <c r="B53" s="36" t="n">
        <f aca="false">IF(A53="","",MONTH(A53))</f>
        <v>6</v>
      </c>
      <c r="C53" s="37" t="s">
        <v>84</v>
      </c>
      <c r="D53" s="37" t="s">
        <v>53</v>
      </c>
      <c r="E53" s="37" t="n">
        <v>1</v>
      </c>
      <c r="F53" s="38" t="n">
        <v>1899000</v>
      </c>
      <c r="G53" s="37" t="n">
        <v>1.15</v>
      </c>
      <c r="H53" s="39" t="n">
        <f aca="false">IF(E53="","",E53*N(F53)*IF(G53="",1,G53))</f>
        <v>2183850</v>
      </c>
      <c r="I53" s="37" t="s">
        <v>187</v>
      </c>
      <c r="J53" s="37" t="s">
        <v>188</v>
      </c>
      <c r="K53" s="37"/>
    </row>
    <row r="54" customFormat="false" ht="15" hidden="false" customHeight="false" outlineLevel="0" collapsed="false">
      <c r="A54" s="35" t="n">
        <v>46185</v>
      </c>
      <c r="B54" s="36" t="n">
        <f aca="false">IF(A54="","",MONTH(A54))</f>
        <v>6</v>
      </c>
      <c r="C54" s="37" t="s">
        <v>84</v>
      </c>
      <c r="D54" s="37" t="s">
        <v>54</v>
      </c>
      <c r="E54" s="37" t="n">
        <v>1</v>
      </c>
      <c r="F54" s="38" t="n">
        <v>5912000</v>
      </c>
      <c r="G54" s="37" t="n">
        <v>1</v>
      </c>
      <c r="H54" s="39" t="n">
        <f aca="false">IF(E54="","",E54*N(F54)*IF(G54="",1,G54))</f>
        <v>5912000</v>
      </c>
      <c r="I54" s="37" t="s">
        <v>189</v>
      </c>
      <c r="J54" s="37" t="s">
        <v>190</v>
      </c>
      <c r="K54" s="37"/>
    </row>
    <row r="55" customFormat="false" ht="15" hidden="false" customHeight="false" outlineLevel="0" collapsed="false">
      <c r="A55" s="35" t="n">
        <v>46185</v>
      </c>
      <c r="B55" s="36" t="n">
        <f aca="false">IF(A55="","",MONTH(A55))</f>
        <v>6</v>
      </c>
      <c r="C55" s="37" t="s">
        <v>71</v>
      </c>
      <c r="D55" s="37" t="s">
        <v>54</v>
      </c>
      <c r="E55" s="37" t="n">
        <v>1</v>
      </c>
      <c r="F55" s="38" t="n">
        <v>5027000</v>
      </c>
      <c r="G55" s="37" t="n">
        <v>1</v>
      </c>
      <c r="H55" s="39" t="n">
        <f aca="false">IF(E55="","",E55*N(F55)*IF(G55="",1,G55))</f>
        <v>5027000</v>
      </c>
      <c r="I55" s="37" t="s">
        <v>141</v>
      </c>
      <c r="J55" s="37" t="s">
        <v>191</v>
      </c>
      <c r="K55" s="37"/>
    </row>
    <row r="56" customFormat="false" ht="15" hidden="false" customHeight="false" outlineLevel="0" collapsed="false">
      <c r="A56" s="35" t="n">
        <v>46185</v>
      </c>
      <c r="B56" s="36" t="n">
        <f aca="false">IF(A56="","",MONTH(A56))</f>
        <v>6</v>
      </c>
      <c r="C56" s="37" t="s">
        <v>84</v>
      </c>
      <c r="D56" s="37" t="s">
        <v>53</v>
      </c>
      <c r="E56" s="37" t="n">
        <v>1</v>
      </c>
      <c r="F56" s="38" t="n">
        <v>1899000</v>
      </c>
      <c r="G56" s="37" t="n">
        <v>1.15</v>
      </c>
      <c r="H56" s="39" t="n">
        <f aca="false">IF(E56="","",E56*N(F56)*IF(G56="",1,G56))</f>
        <v>2183850</v>
      </c>
      <c r="I56" s="37" t="s">
        <v>187</v>
      </c>
      <c r="J56" s="37" t="s">
        <v>192</v>
      </c>
      <c r="K56" s="37"/>
    </row>
    <row r="57" customFormat="false" ht="15" hidden="false" customHeight="false" outlineLevel="0" collapsed="false">
      <c r="A57" s="35" t="n">
        <v>46186</v>
      </c>
      <c r="B57" s="36" t="n">
        <f aca="false">IF(A57="","",MONTH(A57))</f>
        <v>6</v>
      </c>
      <c r="C57" s="37" t="s">
        <v>71</v>
      </c>
      <c r="D57" s="37" t="s">
        <v>54</v>
      </c>
      <c r="E57" s="37" t="n">
        <v>6</v>
      </c>
      <c r="F57" s="38" t="n">
        <v>5530000</v>
      </c>
      <c r="G57" s="37" t="n">
        <v>1</v>
      </c>
      <c r="H57" s="39" t="n">
        <f aca="false">IF(E57="","",E57*N(F57)*IF(G57="",1,G57))</f>
        <v>33180000</v>
      </c>
      <c r="I57" s="37" t="s">
        <v>172</v>
      </c>
      <c r="J57" s="37" t="s">
        <v>193</v>
      </c>
      <c r="K57" s="37"/>
    </row>
    <row r="58" customFormat="false" ht="15" hidden="false" customHeight="false" outlineLevel="0" collapsed="false">
      <c r="A58" s="35" t="n">
        <v>46186</v>
      </c>
      <c r="B58" s="36" t="n">
        <f aca="false">IF(A58="","",MONTH(A58))</f>
        <v>6</v>
      </c>
      <c r="C58" s="37" t="s">
        <v>55</v>
      </c>
      <c r="D58" s="37" t="s">
        <v>54</v>
      </c>
      <c r="E58" s="37" t="n">
        <v>3</v>
      </c>
      <c r="F58" s="38" t="n">
        <v>4106000</v>
      </c>
      <c r="G58" s="37" t="n">
        <v>1</v>
      </c>
      <c r="H58" s="39" t="n">
        <f aca="false">IF(E58="","",E58*N(F58)*IF(G58="",1,G58))</f>
        <v>12318000</v>
      </c>
      <c r="I58" s="37"/>
      <c r="J58" s="37" t="s">
        <v>194</v>
      </c>
      <c r="K58" s="40" t="s">
        <v>195</v>
      </c>
    </row>
    <row r="59" customFormat="false" ht="15" hidden="false" customHeight="false" outlineLevel="0" collapsed="false">
      <c r="A59" s="35" t="n">
        <v>46186</v>
      </c>
      <c r="B59" s="36" t="n">
        <f aca="false">IF(A59="","",MONTH(A59))</f>
        <v>6</v>
      </c>
      <c r="C59" s="37" t="s">
        <v>84</v>
      </c>
      <c r="D59" s="37" t="s">
        <v>54</v>
      </c>
      <c r="E59" s="37" t="n">
        <v>2</v>
      </c>
      <c r="F59" s="38" t="n">
        <v>6504000</v>
      </c>
      <c r="G59" s="37" t="n">
        <v>1</v>
      </c>
      <c r="H59" s="39" t="n">
        <f aca="false">IF(E59="","",E59*N(F59)*IF(G59="",1,G59))</f>
        <v>13008000</v>
      </c>
      <c r="I59" s="37" t="s">
        <v>172</v>
      </c>
      <c r="J59" s="37" t="s">
        <v>196</v>
      </c>
      <c r="K59" s="37"/>
    </row>
    <row r="60" customFormat="false" ht="15" hidden="false" customHeight="false" outlineLevel="0" collapsed="false">
      <c r="A60" s="35" t="n">
        <v>46186</v>
      </c>
      <c r="B60" s="36" t="n">
        <f aca="false">IF(A60="","",MONTH(A60))</f>
        <v>6</v>
      </c>
      <c r="C60" s="37" t="s">
        <v>88</v>
      </c>
      <c r="D60" s="37" t="s">
        <v>54</v>
      </c>
      <c r="E60" s="37" t="n">
        <v>2</v>
      </c>
      <c r="F60" s="38" t="n">
        <v>4106000</v>
      </c>
      <c r="G60" s="37" t="n">
        <v>1</v>
      </c>
      <c r="H60" s="39" t="n">
        <f aca="false">IF(E60="","",E60*N(F60)*IF(G60="",1,G60))</f>
        <v>8212000</v>
      </c>
      <c r="I60" s="37"/>
      <c r="J60" s="37" t="s">
        <v>197</v>
      </c>
      <c r="K60" s="37"/>
    </row>
    <row r="61" customFormat="false" ht="15" hidden="false" customHeight="false" outlineLevel="0" collapsed="false">
      <c r="A61" s="35" t="n">
        <v>46186</v>
      </c>
      <c r="B61" s="36" t="n">
        <f aca="false">IF(A61="","",MONTH(A61))</f>
        <v>6</v>
      </c>
      <c r="C61" s="37" t="s">
        <v>88</v>
      </c>
      <c r="D61" s="37" t="s">
        <v>53</v>
      </c>
      <c r="E61" s="37" t="n">
        <v>2</v>
      </c>
      <c r="F61" s="38" t="n">
        <v>1339000</v>
      </c>
      <c r="G61" s="37" t="n">
        <v>1</v>
      </c>
      <c r="H61" s="39" t="n">
        <f aca="false">IF(E61="","",E61*N(F61)*IF(G61="",1,G61))</f>
        <v>2678000</v>
      </c>
      <c r="I61" s="37"/>
      <c r="J61" s="37" t="s">
        <v>198</v>
      </c>
      <c r="K61" s="37"/>
    </row>
    <row r="62" customFormat="false" ht="15" hidden="false" customHeight="false" outlineLevel="0" collapsed="false">
      <c r="A62" s="35" t="n">
        <v>46186</v>
      </c>
      <c r="B62" s="36" t="n">
        <f aca="false">IF(A62="","",MONTH(A62))</f>
        <v>6</v>
      </c>
      <c r="C62" s="37" t="s">
        <v>84</v>
      </c>
      <c r="D62" s="37" t="s">
        <v>53</v>
      </c>
      <c r="E62" s="37" t="n">
        <v>1</v>
      </c>
      <c r="F62" s="38" t="n">
        <v>2089000</v>
      </c>
      <c r="G62" s="37" t="n">
        <v>1.15</v>
      </c>
      <c r="H62" s="39" t="n">
        <f aca="false">IF(E62="","",E62*N(F62)*IF(G62="",1,G62))</f>
        <v>2402350</v>
      </c>
      <c r="I62" s="37" t="s">
        <v>199</v>
      </c>
      <c r="J62" s="37" t="s">
        <v>200</v>
      </c>
      <c r="K62" s="37"/>
    </row>
    <row r="63" customFormat="false" ht="15" hidden="false" customHeight="false" outlineLevel="0" collapsed="false">
      <c r="A63" s="35" t="n">
        <v>46186</v>
      </c>
      <c r="B63" s="36" t="n">
        <f aca="false">IF(A63="","",MONTH(A63))</f>
        <v>6</v>
      </c>
      <c r="C63" s="37" t="s">
        <v>61</v>
      </c>
      <c r="D63" s="37" t="s">
        <v>54</v>
      </c>
      <c r="E63" s="37" t="n">
        <v>2</v>
      </c>
      <c r="F63" s="38" t="n">
        <v>2185000</v>
      </c>
      <c r="G63" s="37" t="n">
        <v>1</v>
      </c>
      <c r="H63" s="39" t="n">
        <f aca="false">IF(E63="","",E63*N(F63)*IF(G63="",1,G63))</f>
        <v>4370000</v>
      </c>
      <c r="I63" s="37"/>
      <c r="J63" s="37" t="s">
        <v>201</v>
      </c>
      <c r="K63" s="37"/>
    </row>
    <row r="64" customFormat="false" ht="15" hidden="false" customHeight="false" outlineLevel="0" collapsed="false">
      <c r="A64" s="35" t="n">
        <v>46186</v>
      </c>
      <c r="B64" s="36" t="n">
        <f aca="false">IF(A64="","",MONTH(A64))</f>
        <v>6</v>
      </c>
      <c r="C64" s="37" t="s">
        <v>75</v>
      </c>
      <c r="D64" s="37" t="s">
        <v>54</v>
      </c>
      <c r="E64" s="37" t="n">
        <v>3</v>
      </c>
      <c r="F64" s="38" t="n">
        <v>1113000</v>
      </c>
      <c r="G64" s="37" t="n">
        <v>1</v>
      </c>
      <c r="H64" s="39" t="n">
        <f aca="false">IF(E64="","",E64*N(F64)*IF(G64="",1,G64))</f>
        <v>3339000</v>
      </c>
      <c r="I64" s="37"/>
      <c r="J64" s="37" t="s">
        <v>202</v>
      </c>
      <c r="K64" s="37"/>
    </row>
    <row r="65" customFormat="false" ht="15" hidden="false" customHeight="false" outlineLevel="0" collapsed="false">
      <c r="A65" s="35" t="n">
        <v>46186</v>
      </c>
      <c r="B65" s="36" t="n">
        <f aca="false">IF(A65="","",MONTH(A65))</f>
        <v>6</v>
      </c>
      <c r="C65" s="37" t="s">
        <v>84</v>
      </c>
      <c r="D65" s="37" t="s">
        <v>79</v>
      </c>
      <c r="E65" s="37" t="n">
        <v>3</v>
      </c>
      <c r="F65" s="38" t="n">
        <v>435000</v>
      </c>
      <c r="G65" s="37" t="n">
        <v>1</v>
      </c>
      <c r="H65" s="39" t="n">
        <f aca="false">IF(E65="","",E65*N(F65)*IF(G65="",1,G65))</f>
        <v>1305000</v>
      </c>
      <c r="I65" s="37" t="s">
        <v>203</v>
      </c>
      <c r="J65" s="37" t="s">
        <v>204</v>
      </c>
      <c r="K65" s="37"/>
    </row>
    <row r="66" customFormat="false" ht="15" hidden="false" customHeight="false" outlineLevel="0" collapsed="false">
      <c r="A66" s="35" t="n">
        <v>46186</v>
      </c>
      <c r="B66" s="36" t="n">
        <f aca="false">IF(A66="","",MONTH(A66))</f>
        <v>6</v>
      </c>
      <c r="C66" s="37" t="s">
        <v>84</v>
      </c>
      <c r="D66" s="37" t="s">
        <v>79</v>
      </c>
      <c r="E66" s="37" t="n">
        <v>1</v>
      </c>
      <c r="F66" s="38" t="n">
        <v>435000</v>
      </c>
      <c r="G66" s="37" t="n">
        <v>1</v>
      </c>
      <c r="H66" s="39" t="n">
        <f aca="false">IF(E66="","",E66*N(F66)*IF(G66="",1,G66))</f>
        <v>435000</v>
      </c>
      <c r="I66" s="37" t="s">
        <v>185</v>
      </c>
      <c r="J66" s="37" t="s">
        <v>205</v>
      </c>
      <c r="K66" s="37"/>
    </row>
    <row r="67" customFormat="false" ht="15" hidden="false" customHeight="false" outlineLevel="0" collapsed="false">
      <c r="A67" s="35" t="n">
        <v>46187</v>
      </c>
      <c r="B67" s="36" t="n">
        <f aca="false">IF(A67="","",MONTH(A67))</f>
        <v>6</v>
      </c>
      <c r="C67" s="37" t="s">
        <v>51</v>
      </c>
      <c r="D67" s="37" t="s">
        <v>54</v>
      </c>
      <c r="E67" s="37" t="n">
        <v>3</v>
      </c>
      <c r="F67" s="38" t="n">
        <v>3012000</v>
      </c>
      <c r="G67" s="37" t="n">
        <v>1</v>
      </c>
      <c r="H67" s="39" t="n">
        <f aca="false">IF(E67="","",E67*N(F67)*IF(G67="",1,G67))</f>
        <v>9036000</v>
      </c>
      <c r="I67" s="37"/>
      <c r="J67" s="37" t="s">
        <v>206</v>
      </c>
      <c r="K67" s="37"/>
    </row>
    <row r="68" customFormat="false" ht="15" hidden="false" customHeight="false" outlineLevel="0" collapsed="false">
      <c r="A68" s="35" t="n">
        <v>46187</v>
      </c>
      <c r="B68" s="36" t="n">
        <f aca="false">IF(A68="","",MONTH(A68))</f>
        <v>6</v>
      </c>
      <c r="C68" s="37" t="s">
        <v>82</v>
      </c>
      <c r="D68" s="37" t="s">
        <v>53</v>
      </c>
      <c r="E68" s="37" t="n">
        <v>3</v>
      </c>
      <c r="F68" s="38" t="n">
        <v>1536000</v>
      </c>
      <c r="G68" s="37" t="n">
        <v>1.1</v>
      </c>
      <c r="H68" s="39" t="n">
        <f aca="false">IF(E68="","",E68*N(F68)*IF(G68="",1,G68))</f>
        <v>5068800</v>
      </c>
      <c r="I68" s="37" t="s">
        <v>207</v>
      </c>
      <c r="J68" s="37" t="s">
        <v>208</v>
      </c>
      <c r="K68" s="37"/>
    </row>
    <row r="69" customFormat="false" ht="15" hidden="false" customHeight="false" outlineLevel="0" collapsed="false">
      <c r="A69" s="35" t="n">
        <v>46187</v>
      </c>
      <c r="B69" s="36" t="n">
        <f aca="false">IF(A69="","",MONTH(A69))</f>
        <v>6</v>
      </c>
      <c r="C69" s="37" t="s">
        <v>69</v>
      </c>
      <c r="D69" s="37" t="s">
        <v>54</v>
      </c>
      <c r="E69" s="37" t="n">
        <v>2</v>
      </c>
      <c r="F69" s="38" t="n">
        <v>4597000</v>
      </c>
      <c r="G69" s="37" t="n">
        <v>1</v>
      </c>
      <c r="H69" s="39" t="n">
        <f aca="false">IF(E69="","",E69*N(F69)*IF(G69="",1,G69))</f>
        <v>9194000</v>
      </c>
      <c r="I69" s="37" t="s">
        <v>209</v>
      </c>
      <c r="J69" s="37" t="s">
        <v>210</v>
      </c>
      <c r="K69" s="37"/>
    </row>
    <row r="70" customFormat="false" ht="15" hidden="false" customHeight="false" outlineLevel="0" collapsed="false">
      <c r="A70" s="35" t="n">
        <v>46187</v>
      </c>
      <c r="B70" s="36" t="n">
        <f aca="false">IF(A70="","",MONTH(A70))</f>
        <v>6</v>
      </c>
      <c r="C70" s="37" t="s">
        <v>69</v>
      </c>
      <c r="D70" s="37" t="s">
        <v>53</v>
      </c>
      <c r="E70" s="37" t="n">
        <v>2</v>
      </c>
      <c r="F70" s="38" t="n">
        <v>1302000</v>
      </c>
      <c r="G70" s="37" t="n">
        <v>1</v>
      </c>
      <c r="H70" s="39" t="n">
        <f aca="false">IF(E70="","",E70*N(F70)*IF(G70="",1,G70))</f>
        <v>2604000</v>
      </c>
      <c r="I70" s="37" t="s">
        <v>211</v>
      </c>
      <c r="J70" s="37" t="s">
        <v>212</v>
      </c>
      <c r="K70" s="37"/>
    </row>
    <row r="71" customFormat="false" ht="15" hidden="false" customHeight="false" outlineLevel="0" collapsed="false">
      <c r="A71" s="35" t="n">
        <v>46187</v>
      </c>
      <c r="B71" s="36" t="n">
        <f aca="false">IF(A71="","",MONTH(A71))</f>
        <v>6</v>
      </c>
      <c r="C71" s="37" t="s">
        <v>51</v>
      </c>
      <c r="D71" s="37" t="s">
        <v>54</v>
      </c>
      <c r="E71" s="37" t="n">
        <v>3</v>
      </c>
      <c r="F71" s="38" t="n">
        <v>3012000</v>
      </c>
      <c r="G71" s="37" t="n">
        <v>1</v>
      </c>
      <c r="H71" s="39" t="n">
        <f aca="false">IF(E71="","",E71*N(F71)*IF(G71="",1,G71))</f>
        <v>9036000</v>
      </c>
      <c r="I71" s="37"/>
      <c r="J71" s="37" t="s">
        <v>213</v>
      </c>
      <c r="K71" s="40" t="s">
        <v>214</v>
      </c>
    </row>
    <row r="72" customFormat="false" ht="15" hidden="false" customHeight="false" outlineLevel="0" collapsed="false">
      <c r="A72" s="35" t="n">
        <v>46187</v>
      </c>
      <c r="B72" s="36" t="n">
        <f aca="false">IF(A72="","",MONTH(A72))</f>
        <v>6</v>
      </c>
      <c r="C72" s="37" t="s">
        <v>82</v>
      </c>
      <c r="D72" s="37" t="s">
        <v>53</v>
      </c>
      <c r="E72" s="37" t="n">
        <v>3</v>
      </c>
      <c r="F72" s="38" t="n">
        <v>1536000</v>
      </c>
      <c r="G72" s="37" t="n">
        <v>1.1</v>
      </c>
      <c r="H72" s="39" t="n">
        <f aca="false">IF(E72="","",E72*N(F72)*IF(G72="",1,G72))</f>
        <v>5068800</v>
      </c>
      <c r="I72" s="37" t="s">
        <v>207</v>
      </c>
      <c r="J72" s="37" t="s">
        <v>215</v>
      </c>
      <c r="K72" s="40" t="s">
        <v>216</v>
      </c>
    </row>
    <row r="73" customFormat="false" ht="15" hidden="false" customHeight="false" outlineLevel="0" collapsed="false">
      <c r="A73" s="35" t="n">
        <v>46187</v>
      </c>
      <c r="B73" s="36" t="n">
        <f aca="false">IF(A73="","",MONTH(A73))</f>
        <v>6</v>
      </c>
      <c r="C73" s="37" t="s">
        <v>69</v>
      </c>
      <c r="D73" s="37" t="s">
        <v>54</v>
      </c>
      <c r="E73" s="37" t="n">
        <v>2</v>
      </c>
      <c r="F73" s="38" t="n">
        <v>4597000</v>
      </c>
      <c r="G73" s="37" t="n">
        <v>1</v>
      </c>
      <c r="H73" s="39" t="n">
        <f aca="false">IF(E73="","",E73*N(F73)*IF(G73="",1,G73))</f>
        <v>9194000</v>
      </c>
      <c r="I73" s="37" t="s">
        <v>209</v>
      </c>
      <c r="J73" s="37" t="s">
        <v>217</v>
      </c>
      <c r="K73" s="40" t="s">
        <v>218</v>
      </c>
    </row>
    <row r="74" customFormat="false" ht="15" hidden="false" customHeight="false" outlineLevel="0" collapsed="false">
      <c r="A74" s="35" t="n">
        <v>46187</v>
      </c>
      <c r="B74" s="36" t="n">
        <f aca="false">IF(A74="","",MONTH(A74))</f>
        <v>6</v>
      </c>
      <c r="C74" s="37" t="s">
        <v>69</v>
      </c>
      <c r="D74" s="37" t="s">
        <v>53</v>
      </c>
      <c r="E74" s="37" t="n">
        <v>2</v>
      </c>
      <c r="F74" s="38" t="n">
        <v>1302000</v>
      </c>
      <c r="G74" s="37" t="n">
        <v>1</v>
      </c>
      <c r="H74" s="39" t="n">
        <f aca="false">IF(E74="","",E74*N(F74)*IF(G74="",1,G74))</f>
        <v>2604000</v>
      </c>
      <c r="I74" s="37" t="s">
        <v>211</v>
      </c>
      <c r="J74" s="37" t="s">
        <v>219</v>
      </c>
      <c r="K74" s="40" t="s">
        <v>220</v>
      </c>
    </row>
    <row r="75" customFormat="false" ht="15" hidden="false" customHeight="false" outlineLevel="0" collapsed="false">
      <c r="A75" s="35" t="n">
        <v>46187</v>
      </c>
      <c r="B75" s="36" t="n">
        <f aca="false">IF(A75="","",MONTH(A75))</f>
        <v>6</v>
      </c>
      <c r="C75" s="37" t="s">
        <v>71</v>
      </c>
      <c r="D75" s="37" t="s">
        <v>53</v>
      </c>
      <c r="E75" s="37" t="n">
        <v>1</v>
      </c>
      <c r="F75" s="38" t="n">
        <v>1875000</v>
      </c>
      <c r="G75" s="37" t="n">
        <v>1</v>
      </c>
      <c r="H75" s="39" t="n">
        <f aca="false">IF(E75="","",E75*N(F75)*IF(G75="",1,G75))</f>
        <v>1875000</v>
      </c>
      <c r="I75" s="37"/>
      <c r="J75" s="37" t="s">
        <v>221</v>
      </c>
      <c r="K75" s="37"/>
    </row>
    <row r="76" customFormat="false" ht="15" hidden="false" customHeight="false" outlineLevel="0" collapsed="false">
      <c r="A76" s="35" t="n">
        <v>46188</v>
      </c>
      <c r="B76" s="36" t="n">
        <f aca="false">IF(A76="","",MONTH(A76))</f>
        <v>6</v>
      </c>
      <c r="C76" s="37" t="s">
        <v>51</v>
      </c>
      <c r="D76" s="37" t="s">
        <v>54</v>
      </c>
      <c r="E76" s="37" t="n">
        <v>2</v>
      </c>
      <c r="F76" s="38" t="n">
        <v>3012000</v>
      </c>
      <c r="G76" s="37" t="n">
        <v>1</v>
      </c>
      <c r="H76" s="39" t="n">
        <f aca="false">IF(E76="","",E76*N(F76)*IF(G76="",1,G76))</f>
        <v>6024000</v>
      </c>
      <c r="I76" s="37"/>
      <c r="J76" s="37" t="s">
        <v>222</v>
      </c>
      <c r="K76" s="37"/>
    </row>
    <row r="77" customFormat="false" ht="15" hidden="false" customHeight="false" outlineLevel="0" collapsed="false">
      <c r="A77" s="35" t="n">
        <v>46188</v>
      </c>
      <c r="B77" s="36" t="n">
        <f aca="false">IF(A77="","",MONTH(A77))</f>
        <v>6</v>
      </c>
      <c r="C77" s="37" t="s">
        <v>90</v>
      </c>
      <c r="D77" s="37" t="s">
        <v>54</v>
      </c>
      <c r="E77" s="37" t="n">
        <v>1</v>
      </c>
      <c r="F77" s="38" t="n">
        <v>4821000</v>
      </c>
      <c r="G77" s="37" t="n">
        <v>1</v>
      </c>
      <c r="H77" s="39" t="n">
        <f aca="false">IF(E77="","",E77*N(F77)*IF(G77="",1,G77))</f>
        <v>4821000</v>
      </c>
      <c r="I77" s="37" t="s">
        <v>159</v>
      </c>
      <c r="J77" s="37" t="s">
        <v>223</v>
      </c>
      <c r="K77" s="37"/>
    </row>
    <row r="78" customFormat="false" ht="15" hidden="false" customHeight="false" outlineLevel="0" collapsed="false">
      <c r="A78" s="35" t="n">
        <v>46188</v>
      </c>
      <c r="B78" s="36" t="n">
        <f aca="false">IF(A78="","",MONTH(A78))</f>
        <v>6</v>
      </c>
      <c r="C78" s="37" t="s">
        <v>69</v>
      </c>
      <c r="D78" s="37" t="s">
        <v>53</v>
      </c>
      <c r="E78" s="37" t="n">
        <v>2</v>
      </c>
      <c r="F78" s="38" t="n">
        <v>1302000</v>
      </c>
      <c r="G78" s="37" t="n">
        <v>1</v>
      </c>
      <c r="H78" s="39" t="n">
        <f aca="false">IF(E78="","",E78*N(F78)*IF(G78="",1,G78))</f>
        <v>2604000</v>
      </c>
      <c r="I78" s="37" t="s">
        <v>224</v>
      </c>
      <c r="J78" s="37" t="s">
        <v>225</v>
      </c>
      <c r="K78" s="37"/>
    </row>
    <row r="79" customFormat="false" ht="15" hidden="false" customHeight="false" outlineLevel="0" collapsed="false">
      <c r="A79" s="35" t="n">
        <v>46188</v>
      </c>
      <c r="B79" s="36" t="n">
        <f aca="false">IF(A79="","",MONTH(A79))</f>
        <v>6</v>
      </c>
      <c r="C79" s="37" t="s">
        <v>69</v>
      </c>
      <c r="D79" s="37" t="s">
        <v>53</v>
      </c>
      <c r="E79" s="37" t="n">
        <v>1</v>
      </c>
      <c r="F79" s="38" t="n">
        <v>1302000</v>
      </c>
      <c r="G79" s="37" t="n">
        <v>1</v>
      </c>
      <c r="H79" s="39" t="n">
        <f aca="false">IF(E79="","",E79*N(F79)*IF(G79="",1,G79))</f>
        <v>1302000</v>
      </c>
      <c r="I79" s="37" t="s">
        <v>226</v>
      </c>
      <c r="J79" s="37" t="s">
        <v>227</v>
      </c>
      <c r="K79" s="37"/>
    </row>
    <row r="80" customFormat="false" ht="15" hidden="false" customHeight="false" outlineLevel="0" collapsed="false">
      <c r="A80" s="35" t="n">
        <v>46188</v>
      </c>
      <c r="B80" s="36" t="n">
        <f aca="false">IF(A80="","",MONTH(A80))</f>
        <v>6</v>
      </c>
      <c r="C80" s="37" t="s">
        <v>71</v>
      </c>
      <c r="D80" s="37" t="s">
        <v>54</v>
      </c>
      <c r="E80" s="37" t="n">
        <v>1</v>
      </c>
      <c r="F80" s="38" t="n">
        <v>5027000</v>
      </c>
      <c r="G80" s="37" t="n">
        <v>1</v>
      </c>
      <c r="H80" s="39" t="n">
        <f aca="false">IF(E80="","",E80*N(F80)*IF(G80="",1,G80))</f>
        <v>5027000</v>
      </c>
      <c r="I80" s="37" t="s">
        <v>141</v>
      </c>
      <c r="J80" s="37" t="s">
        <v>228</v>
      </c>
      <c r="K80" s="37"/>
    </row>
    <row r="81" customFormat="false" ht="15" hidden="false" customHeight="false" outlineLevel="0" collapsed="false">
      <c r="A81" s="35" t="n">
        <v>46188</v>
      </c>
      <c r="B81" s="36" t="n">
        <f aca="false">IF(A81="","",MONTH(A81))</f>
        <v>6</v>
      </c>
      <c r="C81" s="37" t="s">
        <v>51</v>
      </c>
      <c r="D81" s="37" t="s">
        <v>53</v>
      </c>
      <c r="E81" s="37" t="n">
        <v>2</v>
      </c>
      <c r="F81" s="38" t="n">
        <v>908000</v>
      </c>
      <c r="G81" s="37" t="n">
        <v>1</v>
      </c>
      <c r="H81" s="39" t="n">
        <f aca="false">IF(E81="","",E81*N(F81)*IF(G81="",1,G81))</f>
        <v>1816000</v>
      </c>
      <c r="I81" s="37"/>
      <c r="J81" s="37" t="s">
        <v>229</v>
      </c>
      <c r="K81" s="37"/>
    </row>
    <row r="82" customFormat="false" ht="15" hidden="false" customHeight="false" outlineLevel="0" collapsed="false">
      <c r="A82" s="35" t="n">
        <v>46188</v>
      </c>
      <c r="B82" s="36" t="n">
        <f aca="false">IF(A82="","",MONTH(A82))</f>
        <v>6</v>
      </c>
      <c r="C82" s="37" t="s">
        <v>55</v>
      </c>
      <c r="D82" s="37" t="s">
        <v>54</v>
      </c>
      <c r="E82" s="37" t="n">
        <v>1</v>
      </c>
      <c r="F82" s="38" t="n">
        <v>3732000</v>
      </c>
      <c r="G82" s="37" t="n">
        <v>1</v>
      </c>
      <c r="H82" s="39" t="n">
        <f aca="false">IF(E82="","",E82*N(F82)*IF(G82="",1,G82))</f>
        <v>3732000</v>
      </c>
      <c r="I82" s="37"/>
      <c r="J82" s="37" t="s">
        <v>230</v>
      </c>
      <c r="K82" s="37"/>
    </row>
    <row r="83" customFormat="false" ht="15" hidden="false" customHeight="false" outlineLevel="0" collapsed="false">
      <c r="A83" s="35" t="n">
        <v>46189</v>
      </c>
      <c r="B83" s="36" t="n">
        <f aca="false">IF(A83="","",MONTH(A83))</f>
        <v>6</v>
      </c>
      <c r="C83" s="37" t="s">
        <v>90</v>
      </c>
      <c r="D83" s="37" t="s">
        <v>54</v>
      </c>
      <c r="E83" s="37" t="n">
        <v>3</v>
      </c>
      <c r="F83" s="38" t="n">
        <v>4821000</v>
      </c>
      <c r="G83" s="37" t="n">
        <v>1</v>
      </c>
      <c r="H83" s="39" t="n">
        <f aca="false">IF(E83="","",E83*N(F83)*IF(G83="",1,G83))</f>
        <v>14463000</v>
      </c>
      <c r="I83" s="37" t="s">
        <v>189</v>
      </c>
      <c r="J83" s="37" t="s">
        <v>231</v>
      </c>
      <c r="K83" s="40" t="s">
        <v>232</v>
      </c>
    </row>
    <row r="84" customFormat="false" ht="15" hidden="false" customHeight="false" outlineLevel="0" collapsed="false">
      <c r="A84" s="35" t="n">
        <v>46189</v>
      </c>
      <c r="B84" s="36" t="n">
        <f aca="false">IF(A84="","",MONTH(A84))</f>
        <v>6</v>
      </c>
      <c r="C84" s="37" t="s">
        <v>55</v>
      </c>
      <c r="D84" s="37" t="s">
        <v>54</v>
      </c>
      <c r="E84" s="37" t="n">
        <v>1</v>
      </c>
      <c r="F84" s="38" t="n">
        <v>4106000</v>
      </c>
      <c r="G84" s="37" t="n">
        <v>1</v>
      </c>
      <c r="H84" s="39" t="n">
        <f aca="false">IF(E84="","",E84*N(F84)*IF(G84="",1,G84))</f>
        <v>4106000</v>
      </c>
      <c r="I84" s="37" t="s">
        <v>233</v>
      </c>
      <c r="J84" s="37" t="s">
        <v>234</v>
      </c>
      <c r="K84" s="37"/>
    </row>
    <row r="85" customFormat="false" ht="15" hidden="false" customHeight="false" outlineLevel="0" collapsed="false">
      <c r="A85" s="35" t="n">
        <v>46189</v>
      </c>
      <c r="B85" s="36" t="n">
        <f aca="false">IF(A85="","",MONTH(A85))</f>
        <v>6</v>
      </c>
      <c r="C85" s="37" t="s">
        <v>51</v>
      </c>
      <c r="D85" s="37" t="s">
        <v>54</v>
      </c>
      <c r="E85" s="37" t="n">
        <v>1</v>
      </c>
      <c r="F85" s="38" t="n">
        <v>3012000</v>
      </c>
      <c r="G85" s="37" t="n">
        <v>1</v>
      </c>
      <c r="H85" s="39" t="n">
        <f aca="false">IF(E85="","",E85*N(F85)*IF(G85="",1,G85))</f>
        <v>3012000</v>
      </c>
      <c r="I85" s="37"/>
      <c r="J85" s="37" t="s">
        <v>235</v>
      </c>
      <c r="K85" s="37"/>
    </row>
    <row r="86" customFormat="false" ht="15" hidden="false" customHeight="false" outlineLevel="0" collapsed="false">
      <c r="A86" s="35" t="n">
        <v>46189</v>
      </c>
      <c r="B86" s="36" t="n">
        <f aca="false">IF(A86="","",MONTH(A86))</f>
        <v>6</v>
      </c>
      <c r="C86" s="37" t="s">
        <v>69</v>
      </c>
      <c r="D86" s="37" t="s">
        <v>53</v>
      </c>
      <c r="E86" s="37" t="n">
        <v>2</v>
      </c>
      <c r="F86" s="38" t="n">
        <v>1302000</v>
      </c>
      <c r="G86" s="37" t="n">
        <v>1</v>
      </c>
      <c r="H86" s="39" t="n">
        <f aca="false">IF(E86="","",E86*N(F86)*IF(G86="",1,G86))</f>
        <v>2604000</v>
      </c>
      <c r="I86" s="37" t="s">
        <v>224</v>
      </c>
      <c r="J86" s="37" t="s">
        <v>236</v>
      </c>
      <c r="K86" s="37"/>
    </row>
    <row r="87" customFormat="false" ht="15" hidden="false" customHeight="false" outlineLevel="0" collapsed="false">
      <c r="A87" s="35" t="n">
        <v>46189</v>
      </c>
      <c r="B87" s="36" t="n">
        <f aca="false">IF(A87="","",MONTH(A87))</f>
        <v>6</v>
      </c>
      <c r="C87" s="37" t="s">
        <v>69</v>
      </c>
      <c r="D87" s="37" t="s">
        <v>53</v>
      </c>
      <c r="E87" s="37" t="n">
        <v>2</v>
      </c>
      <c r="F87" s="38" t="n">
        <v>1302000</v>
      </c>
      <c r="G87" s="37" t="n">
        <v>1</v>
      </c>
      <c r="H87" s="39" t="n">
        <f aca="false">IF(E87="","",E87*N(F87)*IF(G87="",1,G87))</f>
        <v>2604000</v>
      </c>
      <c r="I87" s="37" t="s">
        <v>226</v>
      </c>
      <c r="J87" s="37" t="s">
        <v>237</v>
      </c>
      <c r="K87" s="37"/>
    </row>
    <row r="88" customFormat="false" ht="15" hidden="false" customHeight="false" outlineLevel="0" collapsed="false">
      <c r="A88" s="35" t="n">
        <v>46189</v>
      </c>
      <c r="B88" s="36" t="n">
        <f aca="false">IF(A88="","",MONTH(A88))</f>
        <v>6</v>
      </c>
      <c r="C88" s="37" t="s">
        <v>51</v>
      </c>
      <c r="D88" s="37" t="s">
        <v>53</v>
      </c>
      <c r="E88" s="37" t="n">
        <v>2</v>
      </c>
      <c r="F88" s="38" t="n">
        <v>908000</v>
      </c>
      <c r="G88" s="37" t="n">
        <v>1</v>
      </c>
      <c r="H88" s="39" t="n">
        <f aca="false">IF(E88="","",E88*N(F88)*IF(G88="",1,G88))</f>
        <v>1816000</v>
      </c>
      <c r="I88" s="37"/>
      <c r="J88" s="37" t="s">
        <v>238</v>
      </c>
      <c r="K88" s="37"/>
    </row>
    <row r="89" customFormat="false" ht="15" hidden="false" customHeight="false" outlineLevel="0" collapsed="false">
      <c r="A89" s="35" t="n">
        <v>46190</v>
      </c>
      <c r="B89" s="36" t="n">
        <f aca="false">IF(A89="","",MONTH(A89))</f>
        <v>6</v>
      </c>
      <c r="C89" s="37" t="s">
        <v>92</v>
      </c>
      <c r="D89" s="37" t="s">
        <v>54</v>
      </c>
      <c r="E89" s="37" t="n">
        <v>3</v>
      </c>
      <c r="F89" s="38" t="n">
        <v>4821000</v>
      </c>
      <c r="G89" s="37" t="n">
        <v>1.15</v>
      </c>
      <c r="H89" s="39" t="n">
        <f aca="false">IF(E89="","",E89*N(F89)*IF(G89="",1,G89))</f>
        <v>16632450</v>
      </c>
      <c r="I89" s="37" t="s">
        <v>239</v>
      </c>
      <c r="J89" s="37" t="s">
        <v>240</v>
      </c>
      <c r="K89" s="37"/>
    </row>
    <row r="90" customFormat="false" ht="15" hidden="false" customHeight="false" outlineLevel="0" collapsed="false">
      <c r="A90" s="35" t="n">
        <v>46190</v>
      </c>
      <c r="B90" s="36" t="n">
        <f aca="false">IF(A90="","",MONTH(A90))</f>
        <v>6</v>
      </c>
      <c r="C90" s="37" t="s">
        <v>84</v>
      </c>
      <c r="D90" s="37" t="s">
        <v>54</v>
      </c>
      <c r="E90" s="37" t="n">
        <v>1</v>
      </c>
      <c r="F90" s="38" t="n">
        <v>6504000</v>
      </c>
      <c r="G90" s="37" t="n">
        <v>1</v>
      </c>
      <c r="H90" s="39" t="n">
        <f aca="false">IF(E90="","",E90*N(F90)*IF(G90="",1,G90))</f>
        <v>6504000</v>
      </c>
      <c r="I90" s="37" t="s">
        <v>189</v>
      </c>
      <c r="J90" s="37" t="s">
        <v>241</v>
      </c>
      <c r="K90" s="37"/>
    </row>
    <row r="91" customFormat="false" ht="15" hidden="false" customHeight="false" outlineLevel="0" collapsed="false">
      <c r="A91" s="35" t="n">
        <v>46190</v>
      </c>
      <c r="B91" s="36" t="n">
        <f aca="false">IF(A91="","",MONTH(A91))</f>
        <v>6</v>
      </c>
      <c r="C91" s="37" t="s">
        <v>84</v>
      </c>
      <c r="D91" s="37" t="s">
        <v>79</v>
      </c>
      <c r="E91" s="37" t="n">
        <v>2</v>
      </c>
      <c r="F91" s="38" t="n">
        <v>479000</v>
      </c>
      <c r="G91" s="37" t="n">
        <v>1.2</v>
      </c>
      <c r="H91" s="39" t="n">
        <f aca="false">IF(E91="","",E91*N(F91)*IF(G91="",1,G91))</f>
        <v>1149600</v>
      </c>
      <c r="I91" s="37" t="s">
        <v>242</v>
      </c>
      <c r="J91" s="37" t="s">
        <v>243</v>
      </c>
      <c r="K91" s="37"/>
    </row>
    <row r="92" customFormat="false" ht="15" hidden="false" customHeight="false" outlineLevel="0" collapsed="false">
      <c r="A92" s="35" t="n">
        <v>46190</v>
      </c>
      <c r="B92" s="36" t="n">
        <f aca="false">IF(A92="","",MONTH(A92))</f>
        <v>6</v>
      </c>
      <c r="C92" s="37" t="s">
        <v>84</v>
      </c>
      <c r="D92" s="37" t="s">
        <v>54</v>
      </c>
      <c r="E92" s="37" t="n">
        <v>1</v>
      </c>
      <c r="F92" s="38" t="n">
        <v>6504000</v>
      </c>
      <c r="G92" s="37" t="n">
        <v>1</v>
      </c>
      <c r="H92" s="39" t="n">
        <f aca="false">IF(E92="","",E92*N(F92)*IF(G92="",1,G92))</f>
        <v>6504000</v>
      </c>
      <c r="I92" s="37" t="s">
        <v>172</v>
      </c>
      <c r="J92" s="37" t="s">
        <v>244</v>
      </c>
      <c r="K92" s="37"/>
    </row>
    <row r="93" customFormat="false" ht="15" hidden="false" customHeight="false" outlineLevel="0" collapsed="false">
      <c r="A93" s="35" t="n">
        <v>46190</v>
      </c>
      <c r="B93" s="36" t="n">
        <f aca="false">IF(A93="","",MONTH(A93))</f>
        <v>6</v>
      </c>
      <c r="C93" s="37" t="s">
        <v>71</v>
      </c>
      <c r="D93" s="37" t="s">
        <v>54</v>
      </c>
      <c r="E93" s="37" t="n">
        <v>2</v>
      </c>
      <c r="F93" s="38" t="n">
        <v>5530000</v>
      </c>
      <c r="G93" s="37" t="n">
        <v>1</v>
      </c>
      <c r="H93" s="39" t="n">
        <f aca="false">IF(E93="","",E93*N(F93)*IF(G93="",1,G93))</f>
        <v>11060000</v>
      </c>
      <c r="I93" s="37" t="s">
        <v>172</v>
      </c>
      <c r="J93" s="37" t="s">
        <v>245</v>
      </c>
      <c r="K93" s="37"/>
    </row>
    <row r="94" customFormat="false" ht="15" hidden="false" customHeight="false" outlineLevel="0" collapsed="false">
      <c r="A94" s="35" t="n">
        <v>46190</v>
      </c>
      <c r="B94" s="36" t="n">
        <f aca="false">IF(A94="","",MONTH(A94))</f>
        <v>6</v>
      </c>
      <c r="C94" s="37" t="s">
        <v>84</v>
      </c>
      <c r="D94" s="37" t="s">
        <v>53</v>
      </c>
      <c r="E94" s="37" t="n">
        <v>1</v>
      </c>
      <c r="F94" s="38" t="n">
        <v>2089000</v>
      </c>
      <c r="G94" s="37" t="n">
        <v>1.5</v>
      </c>
      <c r="H94" s="39" t="n">
        <f aca="false">IF(E94="","",E94*N(F94)*IF(G94="",1,G94))</f>
        <v>3133500</v>
      </c>
      <c r="I94" s="37" t="s">
        <v>246</v>
      </c>
      <c r="J94" s="37" t="s">
        <v>247</v>
      </c>
      <c r="K94" s="37"/>
    </row>
    <row r="95" customFormat="false" ht="15" hidden="false" customHeight="false" outlineLevel="0" collapsed="false">
      <c r="A95" s="35" t="n">
        <v>46190</v>
      </c>
      <c r="B95" s="36" t="n">
        <f aca="false">IF(A95="","",MONTH(A95))</f>
        <v>6</v>
      </c>
      <c r="C95" s="37" t="s">
        <v>71</v>
      </c>
      <c r="D95" s="37" t="s">
        <v>53</v>
      </c>
      <c r="E95" s="37" t="n">
        <v>1</v>
      </c>
      <c r="F95" s="38" t="n">
        <v>1703000</v>
      </c>
      <c r="G95" s="37" t="n">
        <v>1</v>
      </c>
      <c r="H95" s="39" t="n">
        <f aca="false">IF(E95="","",E95*N(F95)*IF(G95="",1,G95))</f>
        <v>1703000</v>
      </c>
      <c r="I95" s="37" t="s">
        <v>141</v>
      </c>
      <c r="J95" s="37" t="s">
        <v>248</v>
      </c>
      <c r="K95" s="37"/>
    </row>
    <row r="96" customFormat="false" ht="15" hidden="false" customHeight="false" outlineLevel="0" collapsed="false">
      <c r="A96" s="35" t="n">
        <v>46190</v>
      </c>
      <c r="B96" s="36" t="n">
        <f aca="false">IF(A96="","",MONTH(A96))</f>
        <v>6</v>
      </c>
      <c r="C96" s="37" t="s">
        <v>88</v>
      </c>
      <c r="D96" s="37" t="s">
        <v>54</v>
      </c>
      <c r="E96" s="37" t="n">
        <v>1</v>
      </c>
      <c r="F96" s="38" t="n">
        <v>4106000</v>
      </c>
      <c r="G96" s="37" t="n">
        <v>1</v>
      </c>
      <c r="H96" s="39" t="n">
        <f aca="false">IF(E96="","",E96*N(F96)*IF(G96="",1,G96))</f>
        <v>4106000</v>
      </c>
      <c r="I96" s="37"/>
      <c r="J96" s="37" t="s">
        <v>249</v>
      </c>
      <c r="K96" s="37"/>
    </row>
    <row r="97" customFormat="false" ht="15" hidden="false" customHeight="false" outlineLevel="0" collapsed="false">
      <c r="A97" s="35" t="n">
        <v>46193</v>
      </c>
      <c r="B97" s="36" t="n">
        <f aca="false">IF(A97="","",MONTH(A97))</f>
        <v>6</v>
      </c>
      <c r="C97" s="37" t="s">
        <v>84</v>
      </c>
      <c r="D97" s="37" t="s">
        <v>53</v>
      </c>
      <c r="E97" s="37" t="n">
        <v>1</v>
      </c>
      <c r="F97" s="38" t="n">
        <v>1899000</v>
      </c>
      <c r="G97" s="37" t="n">
        <v>1</v>
      </c>
      <c r="H97" s="39" t="n">
        <f aca="false">IF(E97="","",E97*N(F97)*IF(G97="",1,G97))</f>
        <v>1899000</v>
      </c>
      <c r="I97" s="37" t="s">
        <v>189</v>
      </c>
      <c r="J97" s="37" t="s">
        <v>250</v>
      </c>
      <c r="K97" s="37"/>
    </row>
    <row r="98" customFormat="false" ht="15" hidden="false" customHeight="false" outlineLevel="0" collapsed="false">
      <c r="A98" s="35" t="n">
        <v>46194</v>
      </c>
      <c r="B98" s="36" t="n">
        <f aca="false">IF(A98="","",MONTH(A98))</f>
        <v>6</v>
      </c>
      <c r="C98" s="37" t="s">
        <v>71</v>
      </c>
      <c r="D98" s="37" t="s">
        <v>54</v>
      </c>
      <c r="E98" s="37" t="n">
        <v>1</v>
      </c>
      <c r="F98" s="38" t="n">
        <v>5530000</v>
      </c>
      <c r="G98" s="37" t="n">
        <v>1</v>
      </c>
      <c r="H98" s="39" t="n">
        <f aca="false">IF(E98="","",E98*N(F98)*IF(G98="",1,G98))</f>
        <v>5530000</v>
      </c>
      <c r="I98" s="37" t="s">
        <v>145</v>
      </c>
      <c r="J98" s="37" t="s">
        <v>251</v>
      </c>
      <c r="K98" s="37"/>
    </row>
    <row r="99" customFormat="false" ht="15" hidden="false" customHeight="false" outlineLevel="0" collapsed="false">
      <c r="A99" s="35" t="n">
        <v>46194</v>
      </c>
      <c r="B99" s="36" t="n">
        <f aca="false">IF(A99="","",MONTH(A99))</f>
        <v>6</v>
      </c>
      <c r="C99" s="37" t="s">
        <v>98</v>
      </c>
      <c r="D99" s="37" t="s">
        <v>100</v>
      </c>
      <c r="E99" s="37" t="n">
        <v>1</v>
      </c>
      <c r="F99" s="38" t="n">
        <v>481000</v>
      </c>
      <c r="G99" s="37" t="n">
        <v>1</v>
      </c>
      <c r="H99" s="39" t="n">
        <f aca="false">IF(E99="","",E99*N(F99)*IF(G99="",1,G99))</f>
        <v>481000</v>
      </c>
      <c r="I99" s="37"/>
      <c r="J99" s="37" t="s">
        <v>252</v>
      </c>
      <c r="K99" s="37"/>
    </row>
    <row r="100" customFormat="false" ht="15" hidden="false" customHeight="false" outlineLevel="0" collapsed="false">
      <c r="A100" s="35" t="n">
        <v>46194</v>
      </c>
      <c r="B100" s="36" t="n">
        <f aca="false">IF(A100="","",MONTH(A100))</f>
        <v>6</v>
      </c>
      <c r="C100" s="37" t="s">
        <v>71</v>
      </c>
      <c r="D100" s="37" t="s">
        <v>53</v>
      </c>
      <c r="E100" s="37" t="n">
        <v>1</v>
      </c>
      <c r="F100" s="38" t="n">
        <v>1875000</v>
      </c>
      <c r="G100" s="37" t="n">
        <v>1</v>
      </c>
      <c r="H100" s="39" t="n">
        <f aca="false">IF(E100="","",E100*N(F100)*IF(G100="",1,G100))</f>
        <v>1875000</v>
      </c>
      <c r="I100" s="37"/>
      <c r="J100" s="37" t="s">
        <v>253</v>
      </c>
      <c r="K100" s="37"/>
    </row>
    <row r="101" customFormat="false" ht="15" hidden="false" customHeight="false" outlineLevel="0" collapsed="false">
      <c r="A101" s="35" t="n">
        <v>46194</v>
      </c>
      <c r="B101" s="36" t="n">
        <f aca="false">IF(A101="","",MONTH(A101))</f>
        <v>6</v>
      </c>
      <c r="C101" s="37" t="s">
        <v>71</v>
      </c>
      <c r="D101" s="37" t="s">
        <v>54</v>
      </c>
      <c r="E101" s="37" t="n">
        <v>3</v>
      </c>
      <c r="F101" s="38" t="n">
        <v>5530000</v>
      </c>
      <c r="G101" s="37" t="n">
        <v>1</v>
      </c>
      <c r="H101" s="39" t="n">
        <f aca="false">IF(E101="","",E101*N(F101)*IF(G101="",1,G101))</f>
        <v>16590000</v>
      </c>
      <c r="I101" s="37" t="s">
        <v>141</v>
      </c>
      <c r="J101" s="37" t="s">
        <v>254</v>
      </c>
      <c r="K101" s="37"/>
    </row>
    <row r="102" customFormat="false" ht="15" hidden="false" customHeight="false" outlineLevel="0" collapsed="false">
      <c r="A102" s="35" t="n">
        <v>46194</v>
      </c>
      <c r="B102" s="36" t="n">
        <f aca="false">IF(A102="","",MONTH(A102))</f>
        <v>6</v>
      </c>
      <c r="C102" s="37" t="s">
        <v>71</v>
      </c>
      <c r="D102" s="37" t="s">
        <v>54</v>
      </c>
      <c r="E102" s="37" t="n">
        <v>1</v>
      </c>
      <c r="F102" s="38" t="n">
        <v>5530000</v>
      </c>
      <c r="G102" s="37" t="n">
        <v>1</v>
      </c>
      <c r="H102" s="39" t="n">
        <f aca="false">IF(E102="","",E102*N(F102)*IF(G102="",1,G102))</f>
        <v>5530000</v>
      </c>
      <c r="I102" s="37" t="s">
        <v>255</v>
      </c>
      <c r="J102" s="37" t="s">
        <v>256</v>
      </c>
      <c r="K102" s="37"/>
    </row>
    <row r="103" customFormat="false" ht="15" hidden="false" customHeight="false" outlineLevel="0" collapsed="false">
      <c r="A103" s="35" t="n">
        <v>46194</v>
      </c>
      <c r="B103" s="36" t="n">
        <f aca="false">IF(A103="","",MONTH(A103))</f>
        <v>6</v>
      </c>
      <c r="C103" s="37" t="s">
        <v>51</v>
      </c>
      <c r="D103" s="37" t="s">
        <v>54</v>
      </c>
      <c r="E103" s="37" t="n">
        <v>3</v>
      </c>
      <c r="F103" s="38" t="n">
        <v>3012000</v>
      </c>
      <c r="G103" s="37" t="n">
        <v>1</v>
      </c>
      <c r="H103" s="39" t="n">
        <f aca="false">IF(E103="","",E103*N(F103)*IF(G103="",1,G103))</f>
        <v>9036000</v>
      </c>
      <c r="I103" s="37"/>
      <c r="J103" s="37" t="s">
        <v>257</v>
      </c>
      <c r="K103" s="37"/>
    </row>
    <row r="104" customFormat="false" ht="15" hidden="false" customHeight="false" outlineLevel="0" collapsed="false">
      <c r="A104" s="35" t="n">
        <v>46194</v>
      </c>
      <c r="B104" s="36" t="n">
        <f aca="false">IF(A104="","",MONTH(A104))</f>
        <v>6</v>
      </c>
      <c r="C104" s="37" t="s">
        <v>65</v>
      </c>
      <c r="D104" s="37" t="s">
        <v>54</v>
      </c>
      <c r="E104" s="37" t="n">
        <v>2</v>
      </c>
      <c r="F104" s="38" t="n">
        <v>2712000</v>
      </c>
      <c r="G104" s="37" t="n">
        <v>1</v>
      </c>
      <c r="H104" s="39" t="n">
        <f aca="false">IF(E104="","",E104*N(F104)*IF(G104="",1,G104))</f>
        <v>5424000</v>
      </c>
      <c r="I104" s="37"/>
      <c r="J104" s="37" t="s">
        <v>258</v>
      </c>
      <c r="K104" s="37"/>
    </row>
    <row r="105" customFormat="false" ht="15" hidden="false" customHeight="false" outlineLevel="0" collapsed="false">
      <c r="A105" s="35" t="n">
        <v>46194</v>
      </c>
      <c r="B105" s="36" t="n">
        <f aca="false">IF(A105="","",MONTH(A105))</f>
        <v>6</v>
      </c>
      <c r="C105" s="37" t="s">
        <v>88</v>
      </c>
      <c r="D105" s="37" t="s">
        <v>54</v>
      </c>
      <c r="E105" s="37" t="n">
        <v>2</v>
      </c>
      <c r="F105" s="38" t="n">
        <v>4106000</v>
      </c>
      <c r="G105" s="37" t="n">
        <v>1</v>
      </c>
      <c r="H105" s="39" t="n">
        <f aca="false">IF(E105="","",E105*N(F105)*IF(G105="",1,G105))</f>
        <v>8212000</v>
      </c>
      <c r="I105" s="37"/>
      <c r="J105" s="37" t="s">
        <v>259</v>
      </c>
      <c r="K105" s="37"/>
    </row>
    <row r="106" customFormat="false" ht="15" hidden="false" customHeight="false" outlineLevel="0" collapsed="false">
      <c r="A106" s="35" t="n">
        <v>46194</v>
      </c>
      <c r="B106" s="36" t="n">
        <f aca="false">IF(A106="","",MONTH(A106))</f>
        <v>6</v>
      </c>
      <c r="C106" s="37" t="s">
        <v>84</v>
      </c>
      <c r="D106" s="37" t="s">
        <v>79</v>
      </c>
      <c r="E106" s="37" t="n">
        <v>2</v>
      </c>
      <c r="F106" s="38" t="n">
        <v>479000</v>
      </c>
      <c r="G106" s="37" t="n">
        <v>1</v>
      </c>
      <c r="H106" s="39" t="n">
        <f aca="false">IF(E106="","",E106*N(F106)*IF(G106="",1,G106))</f>
        <v>958000</v>
      </c>
      <c r="I106" s="37" t="s">
        <v>260</v>
      </c>
      <c r="J106" s="37" t="s">
        <v>261</v>
      </c>
      <c r="K106" s="37"/>
    </row>
    <row r="107" customFormat="false" ht="15" hidden="false" customHeight="false" outlineLevel="0" collapsed="false">
      <c r="A107" s="35" t="n">
        <v>46194</v>
      </c>
      <c r="B107" s="36" t="n">
        <f aca="false">IF(A107="","",MONTH(A107))</f>
        <v>6</v>
      </c>
      <c r="C107" s="37" t="s">
        <v>84</v>
      </c>
      <c r="D107" s="37" t="s">
        <v>79</v>
      </c>
      <c r="E107" s="37" t="n">
        <v>1</v>
      </c>
      <c r="F107" s="38" t="n">
        <v>479000</v>
      </c>
      <c r="G107" s="37" t="n">
        <v>1.1</v>
      </c>
      <c r="H107" s="39" t="n">
        <f aca="false">IF(E107="","",E107*N(F107)*IF(G107="",1,G107))</f>
        <v>526900</v>
      </c>
      <c r="I107" s="37" t="s">
        <v>262</v>
      </c>
      <c r="J107" s="37" t="s">
        <v>263</v>
      </c>
      <c r="K107" s="37"/>
    </row>
    <row r="108" customFormat="false" ht="15" hidden="false" customHeight="false" outlineLevel="0" collapsed="false">
      <c r="A108" s="35" t="n">
        <v>46194</v>
      </c>
      <c r="B108" s="36" t="n">
        <f aca="false">IF(A108="","",MONTH(A108))</f>
        <v>6</v>
      </c>
      <c r="C108" s="37" t="s">
        <v>90</v>
      </c>
      <c r="D108" s="37" t="s">
        <v>54</v>
      </c>
      <c r="E108" s="37" t="n">
        <v>3</v>
      </c>
      <c r="F108" s="38" t="n">
        <v>4821000</v>
      </c>
      <c r="G108" s="37" t="n">
        <v>1</v>
      </c>
      <c r="H108" s="39" t="n">
        <f aca="false">IF(E108="","",E108*N(F108)*IF(G108="",1,G108))</f>
        <v>14463000</v>
      </c>
      <c r="I108" s="37" t="s">
        <v>159</v>
      </c>
      <c r="J108" s="37" t="s">
        <v>264</v>
      </c>
      <c r="K108" s="37"/>
    </row>
    <row r="109" customFormat="false" ht="15" hidden="false" customHeight="false" outlineLevel="0" collapsed="false">
      <c r="A109" s="35" t="n">
        <v>46194</v>
      </c>
      <c r="B109" s="36" t="n">
        <f aca="false">IF(A109="","",MONTH(A109))</f>
        <v>6</v>
      </c>
      <c r="C109" s="37" t="s">
        <v>90</v>
      </c>
      <c r="D109" s="37" t="s">
        <v>53</v>
      </c>
      <c r="E109" s="37" t="n">
        <v>2</v>
      </c>
      <c r="F109" s="38" t="n">
        <v>1447000</v>
      </c>
      <c r="G109" s="37" t="n">
        <v>1</v>
      </c>
      <c r="H109" s="39" t="n">
        <f aca="false">IF(E109="","",E109*N(F109)*IF(G109="",1,G109))</f>
        <v>2894000</v>
      </c>
      <c r="I109" s="37" t="s">
        <v>159</v>
      </c>
      <c r="J109" s="37" t="s">
        <v>265</v>
      </c>
      <c r="K109" s="37"/>
    </row>
    <row r="110" customFormat="false" ht="15" hidden="false" customHeight="false" outlineLevel="0" collapsed="false">
      <c r="A110" s="35" t="n">
        <v>46195</v>
      </c>
      <c r="B110" s="36" t="n">
        <f aca="false">IF(A110="","",MONTH(A110))</f>
        <v>6</v>
      </c>
      <c r="C110" s="37" t="s">
        <v>51</v>
      </c>
      <c r="D110" s="37" t="s">
        <v>54</v>
      </c>
      <c r="E110" s="37" t="n">
        <v>7</v>
      </c>
      <c r="F110" s="38" t="n">
        <v>3012000</v>
      </c>
      <c r="G110" s="37" t="n">
        <v>1</v>
      </c>
      <c r="H110" s="39" t="n">
        <f aca="false">IF(E110="","",E110*N(F110)*IF(G110="",1,G110))</f>
        <v>21084000</v>
      </c>
      <c r="I110" s="37" t="s">
        <v>266</v>
      </c>
      <c r="J110" s="37" t="s">
        <v>267</v>
      </c>
      <c r="K110" s="37"/>
    </row>
    <row r="111" customFormat="false" ht="15" hidden="false" customHeight="false" outlineLevel="0" collapsed="false">
      <c r="A111" s="35" t="n">
        <v>46195</v>
      </c>
      <c r="B111" s="36" t="n">
        <f aca="false">IF(A111="","",MONTH(A111))</f>
        <v>6</v>
      </c>
      <c r="C111" s="37" t="s">
        <v>69</v>
      </c>
      <c r="D111" s="37" t="s">
        <v>54</v>
      </c>
      <c r="E111" s="37" t="n">
        <v>5</v>
      </c>
      <c r="F111" s="38" t="n">
        <v>4597000</v>
      </c>
      <c r="G111" s="37" t="n">
        <v>1</v>
      </c>
      <c r="H111" s="39" t="n">
        <f aca="false">IF(E111="","",E111*N(F111)*IF(G111="",1,G111))</f>
        <v>22985000</v>
      </c>
      <c r="I111" s="37" t="s">
        <v>268</v>
      </c>
      <c r="J111" s="37" t="s">
        <v>269</v>
      </c>
      <c r="K111" s="37"/>
    </row>
    <row r="112" customFormat="false" ht="15" hidden="false" customHeight="false" outlineLevel="0" collapsed="false">
      <c r="A112" s="35" t="n">
        <v>46195</v>
      </c>
      <c r="B112" s="36" t="n">
        <f aca="false">IF(A112="","",MONTH(A112))</f>
        <v>6</v>
      </c>
      <c r="C112" s="37" t="s">
        <v>55</v>
      </c>
      <c r="D112" s="37" t="s">
        <v>54</v>
      </c>
      <c r="E112" s="37" t="n">
        <v>1</v>
      </c>
      <c r="F112" s="38" t="n">
        <v>4106000</v>
      </c>
      <c r="G112" s="37" t="n">
        <v>1</v>
      </c>
      <c r="H112" s="39" t="n">
        <f aca="false">IF(E112="","",E112*N(F112)*IF(G112="",1,G112))</f>
        <v>4106000</v>
      </c>
      <c r="I112" s="37" t="s">
        <v>233</v>
      </c>
      <c r="J112" s="37" t="s">
        <v>270</v>
      </c>
      <c r="K112" s="37"/>
    </row>
    <row r="113" customFormat="false" ht="15" hidden="false" customHeight="false" outlineLevel="0" collapsed="false">
      <c r="A113" s="35" t="n">
        <v>46195</v>
      </c>
      <c r="B113" s="36" t="n">
        <f aca="false">IF(A113="","",MONTH(A113))</f>
        <v>6</v>
      </c>
      <c r="C113" s="37" t="s">
        <v>84</v>
      </c>
      <c r="D113" s="37" t="s">
        <v>54</v>
      </c>
      <c r="E113" s="37" t="n">
        <v>1</v>
      </c>
      <c r="F113" s="38" t="n">
        <v>6504000</v>
      </c>
      <c r="G113" s="37" t="n">
        <v>1</v>
      </c>
      <c r="H113" s="39" t="n">
        <f aca="false">IF(E113="","",E113*N(F113)*IF(G113="",1,G113))</f>
        <v>6504000</v>
      </c>
      <c r="I113" s="37" t="s">
        <v>271</v>
      </c>
      <c r="J113" s="37" t="s">
        <v>272</v>
      </c>
      <c r="K113" s="37"/>
    </row>
    <row r="114" customFormat="false" ht="15" hidden="false" customHeight="false" outlineLevel="0" collapsed="false">
      <c r="A114" s="35" t="n">
        <v>46195</v>
      </c>
      <c r="B114" s="36" t="n">
        <f aca="false">IF(A114="","",MONTH(A114))</f>
        <v>6</v>
      </c>
      <c r="C114" s="37" t="s">
        <v>65</v>
      </c>
      <c r="D114" s="37" t="s">
        <v>54</v>
      </c>
      <c r="E114" s="37" t="n">
        <v>3</v>
      </c>
      <c r="F114" s="38" t="n">
        <v>2712000</v>
      </c>
      <c r="G114" s="37" t="n">
        <v>1</v>
      </c>
      <c r="H114" s="39" t="n">
        <f aca="false">IF(E114="","",E114*N(F114)*IF(G114="",1,G114))</f>
        <v>8136000</v>
      </c>
      <c r="I114" s="37" t="s">
        <v>273</v>
      </c>
      <c r="J114" s="37" t="s">
        <v>274</v>
      </c>
      <c r="K114" s="40" t="s">
        <v>275</v>
      </c>
    </row>
    <row r="115" customFormat="false" ht="15" hidden="false" customHeight="false" outlineLevel="0" collapsed="false">
      <c r="A115" s="35" t="n">
        <v>46195</v>
      </c>
      <c r="B115" s="36" t="n">
        <f aca="false">IF(A115="","",MONTH(A115))</f>
        <v>6</v>
      </c>
      <c r="C115" s="37" t="s">
        <v>84</v>
      </c>
      <c r="D115" s="37" t="s">
        <v>53</v>
      </c>
      <c r="E115" s="37" t="n">
        <v>1</v>
      </c>
      <c r="F115" s="38" t="n">
        <v>2089000</v>
      </c>
      <c r="G115" s="37" t="n">
        <v>1</v>
      </c>
      <c r="H115" s="39" t="n">
        <f aca="false">IF(E115="","",E115*N(F115)*IF(G115="",1,G115))</f>
        <v>2089000</v>
      </c>
      <c r="I115" s="37" t="s">
        <v>276</v>
      </c>
      <c r="J115" s="37" t="s">
        <v>277</v>
      </c>
      <c r="K115" s="37"/>
    </row>
    <row r="116" customFormat="false" ht="15" hidden="false" customHeight="false" outlineLevel="0" collapsed="false">
      <c r="A116" s="35" t="n">
        <v>46195</v>
      </c>
      <c r="B116" s="36" t="n">
        <f aca="false">IF(A116="","",MONTH(A116))</f>
        <v>6</v>
      </c>
      <c r="C116" s="37" t="s">
        <v>55</v>
      </c>
      <c r="D116" s="37" t="s">
        <v>54</v>
      </c>
      <c r="E116" s="37" t="n">
        <v>3</v>
      </c>
      <c r="F116" s="38" t="n">
        <v>4106000</v>
      </c>
      <c r="G116" s="37" t="n">
        <v>1</v>
      </c>
      <c r="H116" s="39" t="n">
        <f aca="false">IF(E116="","",E116*N(F116)*IF(G116="",1,G116))</f>
        <v>12318000</v>
      </c>
      <c r="I116" s="37" t="s">
        <v>278</v>
      </c>
      <c r="J116" s="37" t="s">
        <v>279</v>
      </c>
      <c r="K116" s="37"/>
    </row>
    <row r="117" customFormat="false" ht="15" hidden="false" customHeight="false" outlineLevel="0" collapsed="false">
      <c r="A117" s="35" t="n">
        <v>46195</v>
      </c>
      <c r="B117" s="36" t="n">
        <f aca="false">IF(A117="","",MONTH(A117))</f>
        <v>6</v>
      </c>
      <c r="C117" s="37" t="s">
        <v>84</v>
      </c>
      <c r="D117" s="37" t="s">
        <v>54</v>
      </c>
      <c r="E117" s="37" t="n">
        <v>2</v>
      </c>
      <c r="F117" s="38" t="n">
        <v>6504000</v>
      </c>
      <c r="G117" s="37" t="n">
        <v>1</v>
      </c>
      <c r="H117" s="39" t="n">
        <f aca="false">IF(E117="","",E117*N(F117)*IF(G117="",1,G117))</f>
        <v>13008000</v>
      </c>
      <c r="I117" s="37" t="s">
        <v>280</v>
      </c>
      <c r="J117" s="37" t="s">
        <v>281</v>
      </c>
      <c r="K117" s="37"/>
    </row>
    <row r="118" customFormat="false" ht="15" hidden="false" customHeight="false" outlineLevel="0" collapsed="false">
      <c r="A118" s="35" t="n">
        <v>46195</v>
      </c>
      <c r="B118" s="36" t="n">
        <f aca="false">IF(A118="","",MONTH(A118))</f>
        <v>6</v>
      </c>
      <c r="C118" s="37" t="s">
        <v>77</v>
      </c>
      <c r="D118" s="37" t="s">
        <v>79</v>
      </c>
      <c r="E118" s="37" t="n">
        <v>1</v>
      </c>
      <c r="F118" s="38" t="n">
        <v>462000</v>
      </c>
      <c r="G118" s="37" t="n">
        <v>1</v>
      </c>
      <c r="H118" s="39" t="n">
        <f aca="false">IF(E118="","",E118*N(F118)*IF(G118="",1,G118))</f>
        <v>462000</v>
      </c>
      <c r="I118" s="37"/>
      <c r="J118" s="37" t="s">
        <v>282</v>
      </c>
      <c r="K118" s="37"/>
    </row>
    <row r="119" customFormat="false" ht="15" hidden="false" customHeight="false" outlineLevel="0" collapsed="false">
      <c r="A119" s="35" t="n">
        <v>46197</v>
      </c>
      <c r="B119" s="36" t="n">
        <f aca="false">IF(A119="","",MONTH(A119))</f>
        <v>6</v>
      </c>
      <c r="C119" s="37" t="s">
        <v>82</v>
      </c>
      <c r="D119" s="37" t="s">
        <v>53</v>
      </c>
      <c r="E119" s="37" t="n">
        <v>2</v>
      </c>
      <c r="F119" s="38" t="n">
        <v>1536000</v>
      </c>
      <c r="G119" s="37" t="n">
        <v>1</v>
      </c>
      <c r="H119" s="39" t="n">
        <f aca="false">IF(E119="","",E119*N(F119)*IF(G119="",1,G119))</f>
        <v>3072000</v>
      </c>
      <c r="I119" s="37" t="s">
        <v>209</v>
      </c>
      <c r="J119" s="37" t="s">
        <v>283</v>
      </c>
      <c r="K119" s="37"/>
    </row>
    <row r="120" customFormat="false" ht="15" hidden="false" customHeight="false" outlineLevel="0" collapsed="false">
      <c r="A120" s="35" t="n">
        <v>46197</v>
      </c>
      <c r="B120" s="36" t="n">
        <f aca="false">IF(A120="","",MONTH(A120))</f>
        <v>6</v>
      </c>
      <c r="C120" s="37" t="s">
        <v>71</v>
      </c>
      <c r="D120" s="37" t="s">
        <v>53</v>
      </c>
      <c r="E120" s="37" t="n">
        <v>1</v>
      </c>
      <c r="F120" s="38" t="n">
        <v>1874000</v>
      </c>
      <c r="G120" s="37" t="n">
        <v>1</v>
      </c>
      <c r="H120" s="39" t="n">
        <f aca="false">IF(E120="","",E120*N(F120)*IF(G120="",1,G120))</f>
        <v>1874000</v>
      </c>
      <c r="I120" s="37" t="s">
        <v>145</v>
      </c>
      <c r="J120" s="37" t="s">
        <v>284</v>
      </c>
      <c r="K120" s="37"/>
    </row>
    <row r="121" customFormat="false" ht="15" hidden="false" customHeight="false" outlineLevel="0" collapsed="false">
      <c r="A121" s="35" t="n">
        <v>46198</v>
      </c>
      <c r="B121" s="36" t="n">
        <f aca="false">IF(A121="","",MONTH(A121))</f>
        <v>6</v>
      </c>
      <c r="C121" s="37" t="s">
        <v>51</v>
      </c>
      <c r="D121" s="37" t="s">
        <v>54</v>
      </c>
      <c r="E121" s="37" t="n">
        <v>1</v>
      </c>
      <c r="F121" s="38" t="n">
        <v>3012000</v>
      </c>
      <c r="G121" s="37" t="n">
        <v>1</v>
      </c>
      <c r="H121" s="39" t="n">
        <f aca="false">IF(E121="","",E121*N(F121)*IF(G121="",1,G121))</f>
        <v>3012000</v>
      </c>
      <c r="I121" s="37"/>
      <c r="J121" s="37" t="s">
        <v>285</v>
      </c>
      <c r="K121" s="37"/>
    </row>
    <row r="122" customFormat="false" ht="15" hidden="false" customHeight="false" outlineLevel="0" collapsed="false">
      <c r="A122" s="35" t="n">
        <v>46199</v>
      </c>
      <c r="B122" s="36" t="n">
        <f aca="false">IF(A122="","",MONTH(A122))</f>
        <v>6</v>
      </c>
      <c r="C122" s="37" t="s">
        <v>69</v>
      </c>
      <c r="D122" s="37" t="s">
        <v>53</v>
      </c>
      <c r="E122" s="37" t="n">
        <v>1</v>
      </c>
      <c r="F122" s="38" t="n">
        <v>1302000</v>
      </c>
      <c r="G122" s="37" t="n">
        <v>1</v>
      </c>
      <c r="H122" s="39" t="n">
        <f aca="false">IF(E122="","",E122*N(F122)*IF(G122="",1,G122))</f>
        <v>1302000</v>
      </c>
      <c r="I122" s="37"/>
      <c r="J122" s="37" t="s">
        <v>286</v>
      </c>
      <c r="K122" s="37"/>
    </row>
    <row r="123" customFormat="false" ht="15" hidden="false" customHeight="false" outlineLevel="0" collapsed="false">
      <c r="A123" s="35" t="n">
        <v>46199</v>
      </c>
      <c r="B123" s="36" t="n">
        <f aca="false">IF(A123="","",MONTH(A123))</f>
        <v>6</v>
      </c>
      <c r="C123" s="37" t="s">
        <v>51</v>
      </c>
      <c r="D123" s="37" t="s">
        <v>54</v>
      </c>
      <c r="E123" s="37" t="n">
        <v>2</v>
      </c>
      <c r="F123" s="38" t="n">
        <v>3012000</v>
      </c>
      <c r="G123" s="37" t="n">
        <v>1</v>
      </c>
      <c r="H123" s="39" t="n">
        <f aca="false">IF(E123="","",E123*N(F123)*IF(G123="",1,G123))</f>
        <v>6024000</v>
      </c>
      <c r="I123" s="37"/>
      <c r="J123" s="37" t="s">
        <v>287</v>
      </c>
      <c r="K123" s="37"/>
    </row>
    <row r="124" customFormat="false" ht="15" hidden="false" customHeight="false" outlineLevel="0" collapsed="false">
      <c r="A124" s="35" t="n">
        <v>46199</v>
      </c>
      <c r="B124" s="36" t="n">
        <f aca="false">IF(A124="","",MONTH(A124))</f>
        <v>6</v>
      </c>
      <c r="C124" s="37" t="s">
        <v>69</v>
      </c>
      <c r="D124" s="37" t="s">
        <v>54</v>
      </c>
      <c r="E124" s="37" t="n">
        <v>2</v>
      </c>
      <c r="F124" s="38" t="n">
        <v>4597000</v>
      </c>
      <c r="G124" s="37" t="n">
        <v>1</v>
      </c>
      <c r="H124" s="39" t="n">
        <f aca="false">IF(E124="","",E124*N(F124)*IF(G124="",1,G124))</f>
        <v>9194000</v>
      </c>
      <c r="I124" s="37" t="s">
        <v>189</v>
      </c>
      <c r="J124" s="37" t="s">
        <v>288</v>
      </c>
      <c r="K124" s="37"/>
    </row>
    <row r="125" customFormat="false" ht="15" hidden="false" customHeight="false" outlineLevel="0" collapsed="false">
      <c r="A125" s="35" t="n">
        <v>46199</v>
      </c>
      <c r="B125" s="36" t="n">
        <f aca="false">IF(A125="","",MONTH(A125))</f>
        <v>6</v>
      </c>
      <c r="C125" s="37" t="s">
        <v>90</v>
      </c>
      <c r="D125" s="37" t="s">
        <v>54</v>
      </c>
      <c r="E125" s="37" t="n">
        <v>1</v>
      </c>
      <c r="F125" s="38" t="n">
        <v>4821000</v>
      </c>
      <c r="G125" s="37" t="n">
        <v>1</v>
      </c>
      <c r="H125" s="39" t="n">
        <f aca="false">IF(E125="","",E125*N(F125)*IF(G125="",1,G125))</f>
        <v>4821000</v>
      </c>
      <c r="I125" s="37"/>
      <c r="J125" s="37" t="s">
        <v>289</v>
      </c>
      <c r="K125" s="37"/>
    </row>
    <row r="126" customFormat="false" ht="15" hidden="false" customHeight="false" outlineLevel="0" collapsed="false">
      <c r="A126" s="35" t="n">
        <v>46199</v>
      </c>
      <c r="B126" s="36" t="n">
        <f aca="false">IF(A126="","",MONTH(A126))</f>
        <v>6</v>
      </c>
      <c r="C126" s="37" t="s">
        <v>84</v>
      </c>
      <c r="D126" s="37" t="s">
        <v>54</v>
      </c>
      <c r="E126" s="37" t="n">
        <v>1</v>
      </c>
      <c r="F126" s="38" t="n">
        <v>6504000</v>
      </c>
      <c r="G126" s="37" t="n">
        <v>1</v>
      </c>
      <c r="H126" s="39" t="n">
        <f aca="false">IF(E126="","",E126*N(F126)*IF(G126="",1,G126))</f>
        <v>6504000</v>
      </c>
      <c r="I126" s="37" t="s">
        <v>189</v>
      </c>
      <c r="J126" s="37" t="s">
        <v>290</v>
      </c>
      <c r="K126" s="37"/>
    </row>
    <row r="127" customFormat="false" ht="15" hidden="false" customHeight="false" outlineLevel="0" collapsed="false">
      <c r="A127" s="35" t="n">
        <v>46200</v>
      </c>
      <c r="B127" s="36" t="n">
        <f aca="false">IF(A127="","",MONTH(A127))</f>
        <v>6</v>
      </c>
      <c r="C127" s="37" t="s">
        <v>69</v>
      </c>
      <c r="D127" s="37" t="s">
        <v>53</v>
      </c>
      <c r="E127" s="37" t="n">
        <v>1</v>
      </c>
      <c r="F127" s="38" t="n">
        <v>1302000</v>
      </c>
      <c r="G127" s="37" t="n">
        <v>1</v>
      </c>
      <c r="H127" s="39" t="n">
        <f aca="false">IF(E127="","",E127*N(F127)*IF(G127="",1,G127))</f>
        <v>1302000</v>
      </c>
      <c r="I127" s="37"/>
      <c r="J127" s="37" t="s">
        <v>291</v>
      </c>
      <c r="K127" s="37"/>
    </row>
    <row r="128" customFormat="false" ht="15" hidden="false" customHeight="false" outlineLevel="0" collapsed="false">
      <c r="A128" s="35" t="n">
        <v>46200</v>
      </c>
      <c r="B128" s="36" t="n">
        <f aca="false">IF(A128="","",MONTH(A128))</f>
        <v>6</v>
      </c>
      <c r="C128" s="37" t="s">
        <v>51</v>
      </c>
      <c r="D128" s="37" t="s">
        <v>54</v>
      </c>
      <c r="E128" s="37" t="n">
        <v>2</v>
      </c>
      <c r="F128" s="38" t="n">
        <v>3012000</v>
      </c>
      <c r="G128" s="37" t="n">
        <v>1</v>
      </c>
      <c r="H128" s="39" t="n">
        <f aca="false">IF(E128="","",E128*N(F128)*IF(G128="",1,G128))</f>
        <v>6024000</v>
      </c>
      <c r="I128" s="37"/>
      <c r="J128" s="37" t="s">
        <v>292</v>
      </c>
      <c r="K128" s="37"/>
    </row>
    <row r="129" customFormat="false" ht="15" hidden="false" customHeight="false" outlineLevel="0" collapsed="false">
      <c r="A129" s="35" t="n">
        <v>46200</v>
      </c>
      <c r="B129" s="36" t="n">
        <f aca="false">IF(A129="","",MONTH(A129))</f>
        <v>6</v>
      </c>
      <c r="C129" s="37" t="s">
        <v>55</v>
      </c>
      <c r="D129" s="37" t="s">
        <v>54</v>
      </c>
      <c r="E129" s="37" t="n">
        <v>2</v>
      </c>
      <c r="F129" s="38" t="n">
        <v>4106000</v>
      </c>
      <c r="G129" s="37" t="n">
        <v>1</v>
      </c>
      <c r="H129" s="39" t="n">
        <f aca="false">IF(E129="","",E129*N(F129)*IF(G129="",1,G129))</f>
        <v>8212000</v>
      </c>
      <c r="I129" s="37"/>
      <c r="J129" s="37" t="s">
        <v>293</v>
      </c>
      <c r="K129" s="37"/>
    </row>
    <row r="130" customFormat="false" ht="15" hidden="false" customHeight="false" outlineLevel="0" collapsed="false">
      <c r="A130" s="35" t="n">
        <v>46200</v>
      </c>
      <c r="B130" s="36" t="n">
        <f aca="false">IF(A130="","",MONTH(A130))</f>
        <v>6</v>
      </c>
      <c r="C130" s="37" t="s">
        <v>88</v>
      </c>
      <c r="D130" s="37" t="s">
        <v>54</v>
      </c>
      <c r="E130" s="37" t="n">
        <v>1</v>
      </c>
      <c r="F130" s="38" t="n">
        <v>4106000</v>
      </c>
      <c r="G130" s="37" t="n">
        <v>1</v>
      </c>
      <c r="H130" s="39" t="n">
        <f aca="false">IF(E130="","",E130*N(F130)*IF(G130="",1,G130))</f>
        <v>4106000</v>
      </c>
      <c r="I130" s="37"/>
      <c r="J130" s="37" t="s">
        <v>294</v>
      </c>
      <c r="K130" s="37"/>
    </row>
    <row r="131" customFormat="false" ht="15" hidden="false" customHeight="false" outlineLevel="0" collapsed="false">
      <c r="A131" s="35" t="n">
        <v>46200</v>
      </c>
      <c r="B131" s="36" t="n">
        <f aca="false">IF(A131="","",MONTH(A131))</f>
        <v>6</v>
      </c>
      <c r="C131" s="37" t="s">
        <v>65</v>
      </c>
      <c r="D131" s="37" t="s">
        <v>54</v>
      </c>
      <c r="E131" s="37" t="n">
        <v>1</v>
      </c>
      <c r="F131" s="38" t="n">
        <v>2712000</v>
      </c>
      <c r="G131" s="37" t="n">
        <v>1</v>
      </c>
      <c r="H131" s="39" t="n">
        <f aca="false">IF(E131="","",E131*N(F131)*IF(G131="",1,G131))</f>
        <v>2712000</v>
      </c>
      <c r="I131" s="37"/>
      <c r="J131" s="37" t="s">
        <v>295</v>
      </c>
      <c r="K131" s="37"/>
    </row>
    <row r="132" customFormat="false" ht="15" hidden="false" customHeight="false" outlineLevel="0" collapsed="false">
      <c r="A132" s="35" t="n">
        <v>46200</v>
      </c>
      <c r="B132" s="36" t="n">
        <f aca="false">IF(A132="","",MONTH(A132))</f>
        <v>6</v>
      </c>
      <c r="C132" s="37" t="s">
        <v>63</v>
      </c>
      <c r="D132" s="37" t="s">
        <v>54</v>
      </c>
      <c r="E132" s="37" t="n">
        <v>1</v>
      </c>
      <c r="F132" s="38" t="n">
        <v>3097000</v>
      </c>
      <c r="G132" s="37" t="n">
        <v>1</v>
      </c>
      <c r="H132" s="39" t="n">
        <f aca="false">IF(E132="","",E132*N(F132)*IF(G132="",1,G132))</f>
        <v>3097000</v>
      </c>
      <c r="I132" s="37"/>
      <c r="J132" s="37" t="s">
        <v>296</v>
      </c>
      <c r="K132" s="37"/>
    </row>
    <row r="133" customFormat="false" ht="15" hidden="false" customHeight="false" outlineLevel="0" collapsed="false">
      <c r="A133" s="35" t="n">
        <v>46200</v>
      </c>
      <c r="B133" s="36" t="n">
        <f aca="false">IF(A133="","",MONTH(A133))</f>
        <v>6</v>
      </c>
      <c r="C133" s="37" t="s">
        <v>90</v>
      </c>
      <c r="D133" s="37" t="s">
        <v>54</v>
      </c>
      <c r="E133" s="37" t="n">
        <v>1</v>
      </c>
      <c r="F133" s="38" t="n">
        <v>4821000</v>
      </c>
      <c r="G133" s="37" t="n">
        <v>1</v>
      </c>
      <c r="H133" s="39" t="n">
        <f aca="false">IF(E133="","",E133*N(F133)*IF(G133="",1,G133))</f>
        <v>4821000</v>
      </c>
      <c r="I133" s="37" t="s">
        <v>159</v>
      </c>
      <c r="J133" s="37" t="s">
        <v>297</v>
      </c>
      <c r="K133" s="37"/>
    </row>
    <row r="134" customFormat="false" ht="15" hidden="false" customHeight="false" outlineLevel="0" collapsed="false">
      <c r="A134" s="35" t="n">
        <v>46200</v>
      </c>
      <c r="B134" s="36" t="n">
        <f aca="false">IF(A134="","",MONTH(A134))</f>
        <v>6</v>
      </c>
      <c r="C134" s="37" t="s">
        <v>63</v>
      </c>
      <c r="D134" s="37" t="s">
        <v>53</v>
      </c>
      <c r="E134" s="37" t="n">
        <v>2</v>
      </c>
      <c r="F134" s="38" t="n">
        <v>960000</v>
      </c>
      <c r="G134" s="37" t="n">
        <v>1</v>
      </c>
      <c r="H134" s="39" t="n">
        <f aca="false">IF(E134="","",E134*N(F134)*IF(G134="",1,G134))</f>
        <v>1920000</v>
      </c>
      <c r="I134" s="37"/>
      <c r="J134" s="37" t="s">
        <v>298</v>
      </c>
      <c r="K134" s="37"/>
    </row>
    <row r="135" customFormat="false" ht="15" hidden="false" customHeight="false" outlineLevel="0" collapsed="false">
      <c r="A135" s="35" t="n">
        <v>46200</v>
      </c>
      <c r="B135" s="36" t="n">
        <f aca="false">IF(A135="","",MONTH(A135))</f>
        <v>6</v>
      </c>
      <c r="C135" s="37" t="s">
        <v>61</v>
      </c>
      <c r="D135" s="37" t="s">
        <v>53</v>
      </c>
      <c r="E135" s="37" t="n">
        <v>1</v>
      </c>
      <c r="F135" s="38" t="n">
        <v>767000</v>
      </c>
      <c r="G135" s="37" t="n">
        <v>1</v>
      </c>
      <c r="H135" s="39" t="n">
        <f aca="false">IF(E135="","",E135*N(F135)*IF(G135="",1,G135))</f>
        <v>767000</v>
      </c>
      <c r="I135" s="37"/>
      <c r="J135" s="37" t="s">
        <v>299</v>
      </c>
      <c r="K135" s="37"/>
    </row>
    <row r="136" customFormat="false" ht="15" hidden="false" customHeight="false" outlineLevel="0" collapsed="false">
      <c r="A136" s="35" t="n">
        <v>46200</v>
      </c>
      <c r="B136" s="36" t="n">
        <f aca="false">IF(A136="","",MONTH(A136))</f>
        <v>6</v>
      </c>
      <c r="C136" s="37" t="s">
        <v>84</v>
      </c>
      <c r="D136" s="37" t="s">
        <v>79</v>
      </c>
      <c r="E136" s="37" t="n">
        <v>2</v>
      </c>
      <c r="F136" s="38" t="n">
        <v>479000</v>
      </c>
      <c r="G136" s="37" t="n">
        <v>1</v>
      </c>
      <c r="H136" s="39" t="n">
        <f aca="false">IF(E136="","",E136*N(F136)*IF(G136="",1,G136))</f>
        <v>958000</v>
      </c>
      <c r="I136" s="37" t="s">
        <v>300</v>
      </c>
      <c r="J136" s="37" t="s">
        <v>301</v>
      </c>
      <c r="K136" s="37"/>
    </row>
    <row r="137" customFormat="false" ht="15" hidden="false" customHeight="false" outlineLevel="0" collapsed="false">
      <c r="A137" s="35" t="n">
        <v>46200</v>
      </c>
      <c r="B137" s="36" t="n">
        <f aca="false">IF(A137="","",MONTH(A137))</f>
        <v>6</v>
      </c>
      <c r="C137" s="37" t="s">
        <v>51</v>
      </c>
      <c r="D137" s="37" t="s">
        <v>54</v>
      </c>
      <c r="E137" s="37" t="n">
        <v>3</v>
      </c>
      <c r="F137" s="38" t="n">
        <v>3012000</v>
      </c>
      <c r="G137" s="37" t="n">
        <v>1.1</v>
      </c>
      <c r="H137" s="39" t="n">
        <f aca="false">IF(E137="","",E137*N(F137)*IF(G137="",1,G137))</f>
        <v>9939600</v>
      </c>
      <c r="I137" s="37" t="s">
        <v>302</v>
      </c>
      <c r="J137" s="37" t="s">
        <v>303</v>
      </c>
      <c r="K137" s="37"/>
    </row>
    <row r="138" customFormat="false" ht="15" hidden="false" customHeight="false" outlineLevel="0" collapsed="false">
      <c r="A138" s="35" t="n">
        <v>46200</v>
      </c>
      <c r="B138" s="36" t="n">
        <f aca="false">IF(A138="","",MONTH(A138))</f>
        <v>6</v>
      </c>
      <c r="C138" s="37" t="s">
        <v>71</v>
      </c>
      <c r="D138" s="37" t="s">
        <v>54</v>
      </c>
      <c r="E138" s="37" t="n">
        <v>2</v>
      </c>
      <c r="F138" s="38" t="n">
        <v>5530000</v>
      </c>
      <c r="G138" s="37" t="n">
        <v>1.1</v>
      </c>
      <c r="H138" s="39" t="n">
        <f aca="false">IF(E138="","",E138*N(F138)*IF(G138="",1,G138))</f>
        <v>12166000</v>
      </c>
      <c r="I138" s="37" t="s">
        <v>304</v>
      </c>
      <c r="J138" s="37" t="s">
        <v>305</v>
      </c>
      <c r="K138" s="37"/>
    </row>
    <row r="139" customFormat="false" ht="15" hidden="false" customHeight="false" outlineLevel="0" collapsed="false">
      <c r="A139" s="35" t="n">
        <v>46200</v>
      </c>
      <c r="B139" s="36" t="n">
        <f aca="false">IF(A139="","",MONTH(A139))</f>
        <v>6</v>
      </c>
      <c r="C139" s="37" t="s">
        <v>88</v>
      </c>
      <c r="D139" s="37" t="s">
        <v>54</v>
      </c>
      <c r="E139" s="37" t="n">
        <v>2</v>
      </c>
      <c r="F139" s="38" t="n">
        <v>4106000</v>
      </c>
      <c r="G139" s="37" t="n">
        <v>1.1</v>
      </c>
      <c r="H139" s="39" t="n">
        <f aca="false">IF(E139="","",E139*N(F139)*IF(G139="",1,G139))</f>
        <v>9033200</v>
      </c>
      <c r="I139" s="37" t="s">
        <v>306</v>
      </c>
      <c r="J139" s="37" t="s">
        <v>307</v>
      </c>
      <c r="K139" s="37"/>
    </row>
    <row r="140" customFormat="false" ht="15" hidden="false" customHeight="false" outlineLevel="0" collapsed="false">
      <c r="A140" s="35" t="n">
        <v>46203</v>
      </c>
      <c r="B140" s="36" t="n">
        <f aca="false">IF(A140="","",MONTH(A140))</f>
        <v>6</v>
      </c>
      <c r="C140" s="37" t="s">
        <v>90</v>
      </c>
      <c r="D140" s="37" t="s">
        <v>53</v>
      </c>
      <c r="E140" s="37" t="n">
        <v>1</v>
      </c>
      <c r="F140" s="38" t="n">
        <v>1447000</v>
      </c>
      <c r="G140" s="37" t="n">
        <v>1</v>
      </c>
      <c r="H140" s="39" t="n">
        <f aca="false">IF(E140="","",E140*N(F140)*IF(G140="",1,G140))</f>
        <v>1447000</v>
      </c>
      <c r="I140" s="37" t="s">
        <v>159</v>
      </c>
      <c r="J140" s="37" t="s">
        <v>308</v>
      </c>
      <c r="K140" s="37"/>
    </row>
    <row r="141" customFormat="false" ht="15" hidden="false" customHeight="false" outlineLevel="0" collapsed="false">
      <c r="A141" s="35" t="n">
        <v>46203</v>
      </c>
      <c r="B141" s="36" t="n">
        <f aca="false">IF(A141="","",MONTH(A141))</f>
        <v>6</v>
      </c>
      <c r="C141" s="37" t="s">
        <v>51</v>
      </c>
      <c r="D141" s="37" t="s">
        <v>54</v>
      </c>
      <c r="E141" s="37" t="n">
        <v>4</v>
      </c>
      <c r="F141" s="38" t="n">
        <v>3012000</v>
      </c>
      <c r="G141" s="37" t="n">
        <v>1</v>
      </c>
      <c r="H141" s="39" t="n">
        <f aca="false">IF(E141="","",E141*N(F141)*IF(G141="",1,G141))</f>
        <v>12048000</v>
      </c>
      <c r="I141" s="37"/>
      <c r="J141" s="37" t="s">
        <v>309</v>
      </c>
      <c r="K141" s="37"/>
    </row>
    <row r="142" customFormat="false" ht="15" hidden="false" customHeight="false" outlineLevel="0" collapsed="false">
      <c r="A142" s="35" t="n">
        <v>46203</v>
      </c>
      <c r="B142" s="36" t="n">
        <f aca="false">IF(A142="","",MONTH(A142))</f>
        <v>6</v>
      </c>
      <c r="C142" s="37" t="s">
        <v>71</v>
      </c>
      <c r="D142" s="37" t="s">
        <v>54</v>
      </c>
      <c r="E142" s="37" t="n">
        <v>3</v>
      </c>
      <c r="F142" s="38" t="n">
        <v>5530000</v>
      </c>
      <c r="G142" s="37" t="n">
        <v>1</v>
      </c>
      <c r="H142" s="39" t="n">
        <f aca="false">IF(E142="","",E142*N(F142)*IF(G142="",1,G142))</f>
        <v>16590000</v>
      </c>
      <c r="I142" s="37" t="s">
        <v>145</v>
      </c>
      <c r="J142" s="37" t="s">
        <v>310</v>
      </c>
      <c r="K142" s="37"/>
    </row>
    <row r="143" customFormat="false" ht="15" hidden="false" customHeight="false" outlineLevel="0" collapsed="false">
      <c r="A143" s="35" t="n">
        <v>46203</v>
      </c>
      <c r="B143" s="36" t="n">
        <f aca="false">IF(A143="","",MONTH(A143))</f>
        <v>6</v>
      </c>
      <c r="C143" s="37" t="s">
        <v>65</v>
      </c>
      <c r="D143" s="37" t="s">
        <v>54</v>
      </c>
      <c r="E143" s="37" t="n">
        <v>2</v>
      </c>
      <c r="F143" s="38" t="n">
        <v>2712000</v>
      </c>
      <c r="G143" s="37" t="n">
        <v>1</v>
      </c>
      <c r="H143" s="39" t="n">
        <f aca="false">IF(E143="","",E143*N(F143)*IF(G143="",1,G143))</f>
        <v>5424000</v>
      </c>
      <c r="I143" s="37"/>
      <c r="J143" s="37" t="s">
        <v>311</v>
      </c>
      <c r="K143" s="37"/>
    </row>
    <row r="144" customFormat="false" ht="15" hidden="false" customHeight="false" outlineLevel="0" collapsed="false">
      <c r="A144" s="35" t="n">
        <v>46203</v>
      </c>
      <c r="B144" s="36" t="n">
        <f aca="false">IF(A144="","",MONTH(A144))</f>
        <v>6</v>
      </c>
      <c r="C144" s="37" t="s">
        <v>84</v>
      </c>
      <c r="D144" s="37" t="s">
        <v>53</v>
      </c>
      <c r="E144" s="37" t="n">
        <v>2</v>
      </c>
      <c r="F144" s="38" t="n">
        <v>2089000</v>
      </c>
      <c r="G144" s="37" t="n">
        <v>1</v>
      </c>
      <c r="H144" s="39" t="n">
        <f aca="false">IF(E144="","",E144*N(F144)*IF(G144="",1,G144))</f>
        <v>4178000</v>
      </c>
      <c r="I144" s="37" t="s">
        <v>189</v>
      </c>
      <c r="J144" s="37" t="s">
        <v>312</v>
      </c>
      <c r="K144" s="37"/>
    </row>
    <row r="145" customFormat="false" ht="15" hidden="false" customHeight="false" outlineLevel="0" collapsed="false">
      <c r="A145" s="35" t="n">
        <v>46203</v>
      </c>
      <c r="B145" s="36" t="n">
        <f aca="false">IF(A145="","",MONTH(A145))</f>
        <v>6</v>
      </c>
      <c r="C145" s="37" t="s">
        <v>84</v>
      </c>
      <c r="D145" s="37" t="s">
        <v>53</v>
      </c>
      <c r="E145" s="37" t="n">
        <v>1</v>
      </c>
      <c r="F145" s="38" t="n">
        <v>2089000</v>
      </c>
      <c r="G145" s="37" t="n">
        <v>1</v>
      </c>
      <c r="H145" s="39" t="n">
        <f aca="false">IF(E145="","",E145*N(F145)*IF(G145="",1,G145))</f>
        <v>2089000</v>
      </c>
      <c r="I145" s="37" t="s">
        <v>313</v>
      </c>
      <c r="J145" s="37" t="s">
        <v>314</v>
      </c>
      <c r="K145" s="37"/>
    </row>
    <row r="146" customFormat="false" ht="15" hidden="false" customHeight="false" outlineLevel="0" collapsed="false">
      <c r="A146" s="35" t="n">
        <v>46203</v>
      </c>
      <c r="B146" s="36" t="n">
        <f aca="false">IF(A146="","",MONTH(A146))</f>
        <v>6</v>
      </c>
      <c r="C146" s="37" t="s">
        <v>84</v>
      </c>
      <c r="D146" s="37" t="s">
        <v>79</v>
      </c>
      <c r="E146" s="37" t="n">
        <v>2</v>
      </c>
      <c r="F146" s="38" t="n">
        <v>479000</v>
      </c>
      <c r="G146" s="37" t="n">
        <v>1</v>
      </c>
      <c r="H146" s="39" t="n">
        <f aca="false">IF(E146="","",E146*N(F146)*IF(G146="",1,G146))</f>
        <v>958000</v>
      </c>
      <c r="I146" s="37" t="s">
        <v>315</v>
      </c>
      <c r="J146" s="37" t="s">
        <v>316</v>
      </c>
      <c r="K146" s="37"/>
    </row>
    <row r="147" customFormat="false" ht="15" hidden="false" customHeight="false" outlineLevel="0" collapsed="false">
      <c r="A147" s="35" t="n">
        <v>46203</v>
      </c>
      <c r="B147" s="36" t="n">
        <f aca="false">IF(A147="","",MONTH(A147))</f>
        <v>6</v>
      </c>
      <c r="C147" s="37" t="s">
        <v>75</v>
      </c>
      <c r="D147" s="37" t="s">
        <v>54</v>
      </c>
      <c r="E147" s="37" t="n">
        <v>2</v>
      </c>
      <c r="F147" s="38" t="n">
        <v>1113000</v>
      </c>
      <c r="G147" s="37" t="n">
        <v>1</v>
      </c>
      <c r="H147" s="39" t="n">
        <f aca="false">IF(E147="","",E147*N(F147)*IF(G147="",1,G147))</f>
        <v>2226000</v>
      </c>
      <c r="I147" s="37" t="s">
        <v>116</v>
      </c>
      <c r="J147" s="37" t="s">
        <v>317</v>
      </c>
      <c r="K147" s="37"/>
    </row>
    <row r="148" customFormat="false" ht="15" hidden="false" customHeight="false" outlineLevel="0" collapsed="false">
      <c r="A148" s="35" t="n">
        <v>46204</v>
      </c>
      <c r="B148" s="36" t="n">
        <f aca="false">IF(A148="","",MONTH(A148))</f>
        <v>7</v>
      </c>
      <c r="C148" s="37" t="s">
        <v>82</v>
      </c>
      <c r="D148" s="37" t="s">
        <v>79</v>
      </c>
      <c r="E148" s="37" t="n">
        <v>1</v>
      </c>
      <c r="F148" s="38" t="n">
        <v>409000</v>
      </c>
      <c r="G148" s="37" t="n">
        <v>1</v>
      </c>
      <c r="H148" s="39" t="n">
        <f aca="false">IF(E148="","",E148*N(F148)*IF(G148="",1,G148))</f>
        <v>409000</v>
      </c>
      <c r="I148" s="37" t="s">
        <v>318</v>
      </c>
      <c r="J148" s="37" t="s">
        <v>319</v>
      </c>
      <c r="K148" s="37"/>
    </row>
    <row r="149" customFormat="false" ht="15" hidden="false" customHeight="false" outlineLevel="0" collapsed="false">
      <c r="A149" s="35" t="n">
        <v>46204</v>
      </c>
      <c r="B149" s="36" t="n">
        <f aca="false">IF(A149="","",MONTH(A149))</f>
        <v>7</v>
      </c>
      <c r="C149" s="37" t="s">
        <v>69</v>
      </c>
      <c r="D149" s="37" t="s">
        <v>53</v>
      </c>
      <c r="E149" s="37" t="n">
        <v>1</v>
      </c>
      <c r="F149" s="38" t="n">
        <v>1302000</v>
      </c>
      <c r="G149" s="37" t="n">
        <v>1</v>
      </c>
      <c r="H149" s="39" t="n">
        <f aca="false">IF(E149="","",E149*N(F149)*IF(G149="",1,G149))</f>
        <v>1302000</v>
      </c>
      <c r="I149" s="37" t="s">
        <v>141</v>
      </c>
      <c r="J149" s="37" t="s">
        <v>320</v>
      </c>
      <c r="K149" s="37"/>
    </row>
    <row r="150" customFormat="false" ht="15" hidden="false" customHeight="false" outlineLevel="0" collapsed="false">
      <c r="A150" s="35" t="n">
        <v>46207</v>
      </c>
      <c r="B150" s="36" t="n">
        <f aca="false">IF(A150="","",MONTH(A150))</f>
        <v>7</v>
      </c>
      <c r="C150" s="37" t="s">
        <v>71</v>
      </c>
      <c r="D150" s="37" t="s">
        <v>53</v>
      </c>
      <c r="E150" s="37" t="n">
        <v>1</v>
      </c>
      <c r="F150" s="38" t="n">
        <v>1703000</v>
      </c>
      <c r="G150" s="37" t="n">
        <v>1</v>
      </c>
      <c r="H150" s="39" t="n">
        <f aca="false">IF(E150="","",E150*N(F150)*IF(G150="",1,G150))</f>
        <v>1703000</v>
      </c>
      <c r="I150" s="37" t="s">
        <v>141</v>
      </c>
      <c r="J150" s="37" t="s">
        <v>321</v>
      </c>
      <c r="K150" s="37"/>
    </row>
    <row r="151" customFormat="false" ht="15" hidden="false" customHeight="false" outlineLevel="0" collapsed="false">
      <c r="A151" s="35" t="n">
        <v>46210</v>
      </c>
      <c r="B151" s="36" t="n">
        <f aca="false">IF(A151="","",MONTH(A151))</f>
        <v>7</v>
      </c>
      <c r="C151" s="37" t="s">
        <v>98</v>
      </c>
      <c r="D151" s="37" t="s">
        <v>100</v>
      </c>
      <c r="E151" s="37" t="n">
        <v>2</v>
      </c>
      <c r="F151" s="38" t="n">
        <v>481000</v>
      </c>
      <c r="G151" s="37" t="n">
        <v>1</v>
      </c>
      <c r="H151" s="39" t="n">
        <f aca="false">IF(E151="","",E151*N(F151)*IF(G151="",1,G151))</f>
        <v>962000</v>
      </c>
      <c r="I151" s="37"/>
      <c r="J151" s="37" t="s">
        <v>322</v>
      </c>
      <c r="K151" s="37"/>
    </row>
    <row r="152" customFormat="false" ht="15" hidden="false" customHeight="false" outlineLevel="0" collapsed="false">
      <c r="A152" s="35" t="n">
        <v>46210</v>
      </c>
      <c r="B152" s="36" t="n">
        <f aca="false">IF(A152="","",MONTH(A152))</f>
        <v>7</v>
      </c>
      <c r="C152" s="37" t="s">
        <v>101</v>
      </c>
      <c r="D152" s="37" t="s">
        <v>100</v>
      </c>
      <c r="E152" s="37" t="n">
        <v>2</v>
      </c>
      <c r="F152" s="38" t="n">
        <v>594000</v>
      </c>
      <c r="G152" s="37" t="n">
        <v>1</v>
      </c>
      <c r="H152" s="39" t="n">
        <f aca="false">IF(E152="","",E152*N(F152)*IF(G152="",1,G152))</f>
        <v>1188000</v>
      </c>
      <c r="I152" s="37"/>
      <c r="J152" s="37" t="s">
        <v>323</v>
      </c>
      <c r="K152" s="37"/>
    </row>
    <row r="153" customFormat="false" ht="15" hidden="false" customHeight="false" outlineLevel="0" collapsed="false">
      <c r="A153" s="35" t="n">
        <v>46211</v>
      </c>
      <c r="B153" s="36" t="n">
        <f aca="false">IF(A153="","",MONTH(A153))</f>
        <v>7</v>
      </c>
      <c r="C153" s="37" t="s">
        <v>80</v>
      </c>
      <c r="D153" s="37" t="s">
        <v>54</v>
      </c>
      <c r="E153" s="37" t="n">
        <v>1</v>
      </c>
      <c r="F153" s="38" t="n">
        <v>3131000</v>
      </c>
      <c r="G153" s="37" t="n">
        <v>1</v>
      </c>
      <c r="H153" s="39" t="n">
        <f aca="false">IF(E153="","",E153*N(F153)*IF(G153="",1,G153))</f>
        <v>3131000</v>
      </c>
      <c r="I153" s="37" t="s">
        <v>324</v>
      </c>
      <c r="J153" s="37" t="s">
        <v>325</v>
      </c>
      <c r="K153" s="37"/>
    </row>
    <row r="154" customFormat="false" ht="15" hidden="false" customHeight="false" outlineLevel="0" collapsed="false">
      <c r="A154" s="35" t="n">
        <v>46211</v>
      </c>
      <c r="B154" s="36" t="n">
        <f aca="false">IF(A154="","",MONTH(A154))</f>
        <v>7</v>
      </c>
      <c r="C154" s="37" t="s">
        <v>65</v>
      </c>
      <c r="D154" s="37" t="s">
        <v>53</v>
      </c>
      <c r="E154" s="37" t="n">
        <v>1</v>
      </c>
      <c r="F154" s="38" t="n">
        <v>954000</v>
      </c>
      <c r="G154" s="37" t="n">
        <v>1</v>
      </c>
      <c r="H154" s="39" t="n">
        <f aca="false">IF(E154="","",E154*N(F154)*IF(G154="",1,G154))</f>
        <v>954000</v>
      </c>
      <c r="I154" s="37"/>
      <c r="J154" s="37" t="s">
        <v>326</v>
      </c>
      <c r="K154" s="37"/>
    </row>
    <row r="155" customFormat="false" ht="15" hidden="false" customHeight="false" outlineLevel="0" collapsed="false">
      <c r="A155" s="35" t="n">
        <v>46211</v>
      </c>
      <c r="B155" s="36" t="n">
        <f aca="false">IF(A155="","",MONTH(A155))</f>
        <v>7</v>
      </c>
      <c r="C155" s="37" t="s">
        <v>73</v>
      </c>
      <c r="D155" s="37" t="s">
        <v>53</v>
      </c>
      <c r="E155" s="37" t="n">
        <v>1</v>
      </c>
      <c r="F155" s="38" t="n">
        <v>2078000</v>
      </c>
      <c r="G155" s="37" t="n">
        <v>1</v>
      </c>
      <c r="H155" s="39" t="n">
        <f aca="false">IF(E155="","",E155*N(F155)*IF(G155="",1,G155))</f>
        <v>2078000</v>
      </c>
      <c r="I155" s="37"/>
      <c r="J155" s="37" t="s">
        <v>327</v>
      </c>
      <c r="K155" s="37"/>
    </row>
    <row r="156" customFormat="false" ht="15" hidden="false" customHeight="false" outlineLevel="0" collapsed="false">
      <c r="A156" s="35" t="n">
        <v>46211</v>
      </c>
      <c r="B156" s="36" t="n">
        <f aca="false">IF(A156="","",MONTH(A156))</f>
        <v>7</v>
      </c>
      <c r="C156" s="37" t="s">
        <v>61</v>
      </c>
      <c r="D156" s="37" t="s">
        <v>54</v>
      </c>
      <c r="E156" s="37" t="n">
        <v>2</v>
      </c>
      <c r="F156" s="38" t="n">
        <v>2185000</v>
      </c>
      <c r="G156" s="37" t="n">
        <v>1</v>
      </c>
      <c r="H156" s="39" t="n">
        <f aca="false">IF(E156="","",E156*N(F156)*IF(G156="",1,G156))</f>
        <v>4370000</v>
      </c>
      <c r="I156" s="37" t="s">
        <v>328</v>
      </c>
      <c r="J156" s="37" t="s">
        <v>329</v>
      </c>
      <c r="K156" s="37"/>
    </row>
    <row r="157" customFormat="false" ht="15" hidden="false" customHeight="false" outlineLevel="0" collapsed="false">
      <c r="A157" s="35" t="n">
        <v>46211</v>
      </c>
      <c r="B157" s="36" t="n">
        <f aca="false">IF(A157="","",MONTH(A157))</f>
        <v>7</v>
      </c>
      <c r="C157" s="37" t="s">
        <v>67</v>
      </c>
      <c r="D157" s="37" t="s">
        <v>54</v>
      </c>
      <c r="E157" s="37" t="n">
        <v>2</v>
      </c>
      <c r="F157" s="38" t="n">
        <v>2128000</v>
      </c>
      <c r="G157" s="37" t="n">
        <v>1</v>
      </c>
      <c r="H157" s="39" t="n">
        <f aca="false">IF(E157="","",E157*N(F157)*IF(G157="",1,G157))</f>
        <v>4256000</v>
      </c>
      <c r="I157" s="37" t="s">
        <v>330</v>
      </c>
      <c r="J157" s="37" t="s">
        <v>331</v>
      </c>
      <c r="K157" s="37"/>
    </row>
    <row r="158" customFormat="false" ht="15" hidden="false" customHeight="false" outlineLevel="0" collapsed="false">
      <c r="A158" s="35" t="n">
        <v>46211</v>
      </c>
      <c r="B158" s="36" t="n">
        <f aca="false">IF(A158="","",MONTH(A158))</f>
        <v>7</v>
      </c>
      <c r="C158" s="37" t="s">
        <v>63</v>
      </c>
      <c r="D158" s="37" t="s">
        <v>54</v>
      </c>
      <c r="E158" s="37" t="n">
        <v>1</v>
      </c>
      <c r="F158" s="38" t="n">
        <v>3097000</v>
      </c>
      <c r="G158" s="37" t="n">
        <v>1</v>
      </c>
      <c r="H158" s="39" t="n">
        <f aca="false">IF(E158="","",E158*N(F158)*IF(G158="",1,G158))</f>
        <v>3097000</v>
      </c>
      <c r="I158" s="37" t="s">
        <v>233</v>
      </c>
      <c r="J158" s="37" t="s">
        <v>332</v>
      </c>
      <c r="K158" s="37"/>
    </row>
    <row r="159" customFormat="false" ht="15" hidden="false" customHeight="false" outlineLevel="0" collapsed="false">
      <c r="A159" s="35" t="n">
        <v>46211</v>
      </c>
      <c r="B159" s="36" t="n">
        <f aca="false">IF(A159="","",MONTH(A159))</f>
        <v>7</v>
      </c>
      <c r="C159" s="37" t="s">
        <v>80</v>
      </c>
      <c r="D159" s="37" t="s">
        <v>54</v>
      </c>
      <c r="E159" s="37" t="n">
        <v>1</v>
      </c>
      <c r="F159" s="38" t="n">
        <v>3131000</v>
      </c>
      <c r="G159" s="37" t="n">
        <v>1</v>
      </c>
      <c r="H159" s="39" t="n">
        <f aca="false">IF(E159="","",E159*N(F159)*IF(G159="",1,G159))</f>
        <v>3131000</v>
      </c>
      <c r="I159" s="37" t="s">
        <v>333</v>
      </c>
      <c r="J159" s="37" t="s">
        <v>334</v>
      </c>
      <c r="K159" s="37"/>
    </row>
    <row r="160" customFormat="false" ht="15" hidden="false" customHeight="false" outlineLevel="0" collapsed="false">
      <c r="A160" s="35" t="n">
        <v>46211</v>
      </c>
      <c r="B160" s="36" t="n">
        <f aca="false">IF(A160="","",MONTH(A160))</f>
        <v>7</v>
      </c>
      <c r="C160" s="37" t="s">
        <v>51</v>
      </c>
      <c r="D160" s="37" t="s">
        <v>54</v>
      </c>
      <c r="E160" s="37" t="n">
        <v>4</v>
      </c>
      <c r="F160" s="38" t="n">
        <v>3012000</v>
      </c>
      <c r="G160" s="37" t="n">
        <v>1</v>
      </c>
      <c r="H160" s="39" t="n">
        <f aca="false">IF(E160="","",E160*N(F160)*IF(G160="",1,G160))</f>
        <v>12048000</v>
      </c>
      <c r="I160" s="37"/>
      <c r="J160" s="37" t="s">
        <v>335</v>
      </c>
      <c r="K160" s="37"/>
    </row>
    <row r="161" customFormat="false" ht="15" hidden="false" customHeight="false" outlineLevel="0" collapsed="false">
      <c r="A161" s="35" t="n">
        <v>46211</v>
      </c>
      <c r="B161" s="36" t="n">
        <f aca="false">IF(A161="","",MONTH(A161))</f>
        <v>7</v>
      </c>
      <c r="C161" s="37" t="s">
        <v>71</v>
      </c>
      <c r="D161" s="37" t="s">
        <v>54</v>
      </c>
      <c r="E161" s="37" t="n">
        <v>4</v>
      </c>
      <c r="F161" s="38" t="n">
        <v>5530000</v>
      </c>
      <c r="G161" s="37" t="n">
        <v>1</v>
      </c>
      <c r="H161" s="39" t="n">
        <f aca="false">IF(E161="","",E161*N(F161)*IF(G161="",1,G161))</f>
        <v>22120000</v>
      </c>
      <c r="I161" s="37" t="s">
        <v>226</v>
      </c>
      <c r="J161" s="37" t="s">
        <v>336</v>
      </c>
      <c r="K161" s="37"/>
    </row>
    <row r="162" customFormat="false" ht="15" hidden="false" customHeight="false" outlineLevel="0" collapsed="false">
      <c r="A162" s="35" t="n">
        <v>46211</v>
      </c>
      <c r="B162" s="36" t="n">
        <f aca="false">IF(A162="","",MONTH(A162))</f>
        <v>7</v>
      </c>
      <c r="C162" s="37" t="s">
        <v>71</v>
      </c>
      <c r="D162" s="37" t="s">
        <v>54</v>
      </c>
      <c r="E162" s="37" t="n">
        <v>2</v>
      </c>
      <c r="F162" s="38" t="n">
        <v>5530000</v>
      </c>
      <c r="G162" s="37" t="n">
        <v>1</v>
      </c>
      <c r="H162" s="39" t="n">
        <f aca="false">IF(E162="","",E162*N(F162)*IF(G162="",1,G162))</f>
        <v>11060000</v>
      </c>
      <c r="I162" s="37" t="s">
        <v>337</v>
      </c>
      <c r="J162" s="37" t="s">
        <v>338</v>
      </c>
      <c r="K162" s="37"/>
    </row>
    <row r="163" customFormat="false" ht="15" hidden="false" customHeight="false" outlineLevel="0" collapsed="false">
      <c r="A163" s="35" t="n">
        <v>46211</v>
      </c>
      <c r="B163" s="36" t="n">
        <f aca="false">IF(A163="","",MONTH(A163))</f>
        <v>7</v>
      </c>
      <c r="C163" s="37" t="s">
        <v>84</v>
      </c>
      <c r="D163" s="37" t="s">
        <v>54</v>
      </c>
      <c r="E163" s="37" t="n">
        <v>2</v>
      </c>
      <c r="F163" s="38" t="n">
        <v>6504000</v>
      </c>
      <c r="G163" s="37" t="n">
        <v>1</v>
      </c>
      <c r="H163" s="39" t="n">
        <f aca="false">IF(E163="","",E163*N(F163)*IF(G163="",1,G163))</f>
        <v>13008000</v>
      </c>
      <c r="I163" s="37"/>
      <c r="J163" s="37" t="s">
        <v>339</v>
      </c>
      <c r="K163" s="37"/>
    </row>
    <row r="164" customFormat="false" ht="15" hidden="false" customHeight="false" outlineLevel="0" collapsed="false">
      <c r="A164" s="35" t="n">
        <v>46211</v>
      </c>
      <c r="B164" s="36" t="n">
        <f aca="false">IF(A164="","",MONTH(A164))</f>
        <v>7</v>
      </c>
      <c r="C164" s="37" t="s">
        <v>67</v>
      </c>
      <c r="D164" s="37" t="s">
        <v>54</v>
      </c>
      <c r="E164" s="37" t="n">
        <v>1</v>
      </c>
      <c r="F164" s="38" t="n">
        <v>2128000</v>
      </c>
      <c r="G164" s="37" t="n">
        <v>1</v>
      </c>
      <c r="H164" s="39" t="n">
        <f aca="false">IF(E164="","",E164*N(F164)*IF(G164="",1,G164))</f>
        <v>2128000</v>
      </c>
      <c r="I164" s="37" t="s">
        <v>145</v>
      </c>
      <c r="J164" s="37" t="s">
        <v>340</v>
      </c>
      <c r="K164" s="37"/>
    </row>
    <row r="165" customFormat="false" ht="15" hidden="false" customHeight="false" outlineLevel="0" collapsed="false">
      <c r="A165" s="35" t="n">
        <v>46211</v>
      </c>
      <c r="B165" s="36" t="n">
        <f aca="false">IF(A165="","",MONTH(A165))</f>
        <v>7</v>
      </c>
      <c r="C165" s="37" t="s">
        <v>101</v>
      </c>
      <c r="D165" s="37" t="s">
        <v>100</v>
      </c>
      <c r="E165" s="37" t="n">
        <v>3</v>
      </c>
      <c r="F165" s="38" t="n">
        <v>594000</v>
      </c>
      <c r="G165" s="37" t="n">
        <v>1</v>
      </c>
      <c r="H165" s="39" t="n">
        <f aca="false">IF(E165="","",E165*N(F165)*IF(G165="",1,G165))</f>
        <v>1782000</v>
      </c>
      <c r="I165" s="37"/>
      <c r="J165" s="37" t="s">
        <v>341</v>
      </c>
      <c r="K165" s="37"/>
    </row>
    <row r="166" customFormat="false" ht="15" hidden="false" customHeight="false" outlineLevel="0" collapsed="false">
      <c r="A166" s="35" t="n">
        <v>46212</v>
      </c>
      <c r="B166" s="36" t="n">
        <f aca="false">IF(A166="","",MONTH(A166))</f>
        <v>7</v>
      </c>
      <c r="C166" s="37" t="s">
        <v>77</v>
      </c>
      <c r="D166" s="37" t="s">
        <v>79</v>
      </c>
      <c r="E166" s="37" t="n">
        <v>4</v>
      </c>
      <c r="F166" s="38" t="n">
        <v>462000</v>
      </c>
      <c r="G166" s="37" t="n">
        <v>1</v>
      </c>
      <c r="H166" s="39" t="n">
        <f aca="false">IF(E166="","",E166*N(F166)*IF(G166="",1,G166))</f>
        <v>1848000</v>
      </c>
      <c r="I166" s="37"/>
      <c r="J166" s="37" t="s">
        <v>342</v>
      </c>
      <c r="K166" s="37"/>
    </row>
    <row r="167" customFormat="false" ht="15" hidden="false" customHeight="false" outlineLevel="0" collapsed="false">
      <c r="A167" s="35" t="n">
        <v>46213</v>
      </c>
      <c r="B167" s="36" t="n">
        <f aca="false">IF(A167="","",MONTH(A167))</f>
        <v>7</v>
      </c>
      <c r="C167" s="37" t="s">
        <v>71</v>
      </c>
      <c r="D167" s="37" t="s">
        <v>54</v>
      </c>
      <c r="E167" s="37" t="n">
        <v>1</v>
      </c>
      <c r="F167" s="38" t="n">
        <v>5530000</v>
      </c>
      <c r="G167" s="37" t="n">
        <v>1</v>
      </c>
      <c r="H167" s="39" t="n">
        <f aca="false">IF(E167="","",E167*N(F167)*IF(G167="",1,G167))</f>
        <v>5530000</v>
      </c>
      <c r="I167" s="37" t="s">
        <v>172</v>
      </c>
      <c r="J167" s="37" t="s">
        <v>343</v>
      </c>
      <c r="K167" s="37"/>
    </row>
    <row r="168" customFormat="false" ht="15" hidden="false" customHeight="false" outlineLevel="0" collapsed="false">
      <c r="A168" s="35" t="n">
        <v>46213</v>
      </c>
      <c r="B168" s="36" t="n">
        <f aca="false">IF(A168="","",MONTH(A168))</f>
        <v>7</v>
      </c>
      <c r="C168" s="37" t="s">
        <v>88</v>
      </c>
      <c r="D168" s="37" t="s">
        <v>53</v>
      </c>
      <c r="E168" s="37" t="n">
        <v>1</v>
      </c>
      <c r="F168" s="38" t="n">
        <v>1339000</v>
      </c>
      <c r="G168" s="37" t="n">
        <v>1</v>
      </c>
      <c r="H168" s="39" t="n">
        <f aca="false">IF(E168="","",E168*N(F168)*IF(G168="",1,G168))</f>
        <v>1339000</v>
      </c>
      <c r="I168" s="37"/>
      <c r="J168" s="37" t="s">
        <v>344</v>
      </c>
      <c r="K168" s="37"/>
    </row>
    <row r="169" customFormat="false" ht="15" hidden="false" customHeight="false" outlineLevel="0" collapsed="false">
      <c r="A169" s="35" t="n">
        <v>46214</v>
      </c>
      <c r="B169" s="36" t="n">
        <f aca="false">IF(A169="","",MONTH(A169))</f>
        <v>7</v>
      </c>
      <c r="C169" s="37" t="s">
        <v>61</v>
      </c>
      <c r="D169" s="37" t="s">
        <v>54</v>
      </c>
      <c r="E169" s="37" t="n">
        <v>6</v>
      </c>
      <c r="F169" s="38" t="n">
        <v>2185000</v>
      </c>
      <c r="G169" s="37" t="n">
        <v>1</v>
      </c>
      <c r="H169" s="39" t="n">
        <f aca="false">IF(E169="","",E169*N(F169)*IF(G169="",1,G169))</f>
        <v>13110000</v>
      </c>
      <c r="I169" s="37" t="s">
        <v>345</v>
      </c>
      <c r="J169" s="37" t="s">
        <v>346</v>
      </c>
      <c r="K169" s="37"/>
    </row>
    <row r="170" customFormat="false" ht="15" hidden="false" customHeight="false" outlineLevel="0" collapsed="false">
      <c r="A170" s="35" t="n">
        <v>46214</v>
      </c>
      <c r="B170" s="36" t="n">
        <f aca="false">IF(A170="","",MONTH(A170))</f>
        <v>7</v>
      </c>
      <c r="C170" s="37" t="s">
        <v>63</v>
      </c>
      <c r="D170" s="37" t="s">
        <v>54</v>
      </c>
      <c r="E170" s="37" t="n">
        <v>1</v>
      </c>
      <c r="F170" s="38" t="n">
        <v>3097000</v>
      </c>
      <c r="G170" s="37" t="n">
        <v>1</v>
      </c>
      <c r="H170" s="39" t="n">
        <f aca="false">IF(E170="","",E170*N(F170)*IF(G170="",1,G170))</f>
        <v>3097000</v>
      </c>
      <c r="I170" s="37" t="s">
        <v>347</v>
      </c>
      <c r="J170" s="37" t="s">
        <v>348</v>
      </c>
      <c r="K170" s="37"/>
    </row>
    <row r="171" customFormat="false" ht="15" hidden="false" customHeight="false" outlineLevel="0" collapsed="false">
      <c r="A171" s="35" t="n">
        <v>46214</v>
      </c>
      <c r="B171" s="36" t="n">
        <f aca="false">IF(A171="","",MONTH(A171))</f>
        <v>7</v>
      </c>
      <c r="C171" s="37" t="s">
        <v>82</v>
      </c>
      <c r="D171" s="37" t="s">
        <v>54</v>
      </c>
      <c r="E171" s="37" t="n">
        <v>2</v>
      </c>
      <c r="F171" s="38" t="n">
        <v>5331000</v>
      </c>
      <c r="G171" s="37" t="n">
        <v>1</v>
      </c>
      <c r="H171" s="39" t="n">
        <f aca="false">IF(E171="","",E171*N(F171)*IF(G171="",1,G171))</f>
        <v>10662000</v>
      </c>
      <c r="I171" s="37" t="s">
        <v>349</v>
      </c>
      <c r="J171" s="37" t="s">
        <v>350</v>
      </c>
      <c r="K171" s="37"/>
    </row>
    <row r="172" customFormat="false" ht="15" hidden="false" customHeight="false" outlineLevel="0" collapsed="false">
      <c r="A172" s="35" t="n">
        <v>46214</v>
      </c>
      <c r="B172" s="36" t="n">
        <f aca="false">IF(A172="","",MONTH(A172))</f>
        <v>7</v>
      </c>
      <c r="C172" s="37" t="s">
        <v>69</v>
      </c>
      <c r="D172" s="37" t="s">
        <v>54</v>
      </c>
      <c r="E172" s="37" t="n">
        <v>7</v>
      </c>
      <c r="F172" s="38" t="n">
        <v>4597000</v>
      </c>
      <c r="G172" s="37" t="n">
        <v>1</v>
      </c>
      <c r="H172" s="39" t="n">
        <f aca="false">IF(E172="","",E172*N(F172)*IF(G172="",1,G172))</f>
        <v>32179000</v>
      </c>
      <c r="I172" s="37" t="s">
        <v>330</v>
      </c>
      <c r="J172" s="37" t="s">
        <v>351</v>
      </c>
      <c r="K172" s="37"/>
    </row>
    <row r="173" customFormat="false" ht="15" hidden="false" customHeight="false" outlineLevel="0" collapsed="false">
      <c r="A173" s="35" t="n">
        <v>46214</v>
      </c>
      <c r="B173" s="36" t="n">
        <f aca="false">IF(A173="","",MONTH(A173))</f>
        <v>7</v>
      </c>
      <c r="C173" s="37" t="s">
        <v>88</v>
      </c>
      <c r="D173" s="37" t="s">
        <v>54</v>
      </c>
      <c r="E173" s="37" t="n">
        <v>1</v>
      </c>
      <c r="F173" s="38" t="n">
        <v>4106000</v>
      </c>
      <c r="G173" s="37" t="n">
        <v>1</v>
      </c>
      <c r="H173" s="39" t="n">
        <f aca="false">IF(E173="","",E173*N(F173)*IF(G173="",1,G173))</f>
        <v>4106000</v>
      </c>
      <c r="I173" s="37" t="s">
        <v>352</v>
      </c>
      <c r="J173" s="37" t="s">
        <v>353</v>
      </c>
      <c r="K173" s="37"/>
    </row>
    <row r="174" customFormat="false" ht="15" hidden="false" customHeight="false" outlineLevel="0" collapsed="false">
      <c r="A174" s="35" t="n">
        <v>46215</v>
      </c>
      <c r="B174" s="36" t="n">
        <f aca="false">IF(A174="","",MONTH(A174))</f>
        <v>7</v>
      </c>
      <c r="C174" s="37" t="s">
        <v>98</v>
      </c>
      <c r="D174" s="37" t="s">
        <v>100</v>
      </c>
      <c r="E174" s="37" t="n">
        <v>10</v>
      </c>
      <c r="F174" s="38" t="n">
        <v>481000</v>
      </c>
      <c r="G174" s="37" t="n">
        <v>1</v>
      </c>
      <c r="H174" s="39" t="n">
        <f aca="false">IF(E174="","",E174*N(F174)*IF(G174="",1,G174))</f>
        <v>4810000</v>
      </c>
      <c r="I174" s="37" t="s">
        <v>354</v>
      </c>
      <c r="J174" s="37" t="s">
        <v>355</v>
      </c>
      <c r="K174" s="37"/>
    </row>
    <row r="175" customFormat="false" ht="15" hidden="false" customHeight="false" outlineLevel="0" collapsed="false">
      <c r="A175" s="35" t="n">
        <v>46215</v>
      </c>
      <c r="B175" s="36" t="n">
        <f aca="false">IF(A175="","",MONTH(A175))</f>
        <v>7</v>
      </c>
      <c r="C175" s="37" t="s">
        <v>90</v>
      </c>
      <c r="D175" s="37" t="s">
        <v>54</v>
      </c>
      <c r="E175" s="37" t="n">
        <v>2</v>
      </c>
      <c r="F175" s="38" t="n">
        <v>4821000</v>
      </c>
      <c r="G175" s="37" t="n">
        <v>1</v>
      </c>
      <c r="H175" s="39" t="n">
        <f aca="false">IF(E175="","",E175*N(F175)*IF(G175="",1,G175))</f>
        <v>9642000</v>
      </c>
      <c r="I175" s="37" t="s">
        <v>354</v>
      </c>
      <c r="J175" s="37" t="s">
        <v>356</v>
      </c>
      <c r="K175" s="37"/>
    </row>
    <row r="176" customFormat="false" ht="15" hidden="false" customHeight="false" outlineLevel="0" collapsed="false">
      <c r="A176" s="35" t="n">
        <v>46215</v>
      </c>
      <c r="B176" s="36" t="n">
        <f aca="false">IF(A176="","",MONTH(A176))</f>
        <v>7</v>
      </c>
      <c r="C176" s="37" t="s">
        <v>51</v>
      </c>
      <c r="D176" s="37" t="s">
        <v>54</v>
      </c>
      <c r="E176" s="37" t="n">
        <v>4</v>
      </c>
      <c r="F176" s="38" t="n">
        <v>3012000</v>
      </c>
      <c r="G176" s="37" t="n">
        <v>1</v>
      </c>
      <c r="H176" s="39" t="n">
        <f aca="false">IF(E176="","",E176*N(F176)*IF(G176="",1,G176))</f>
        <v>12048000</v>
      </c>
      <c r="I176" s="37"/>
      <c r="J176" s="37" t="s">
        <v>357</v>
      </c>
      <c r="K176" s="37"/>
    </row>
    <row r="177" customFormat="false" ht="15" hidden="false" customHeight="false" outlineLevel="0" collapsed="false">
      <c r="A177" s="35" t="n">
        <v>46215</v>
      </c>
      <c r="B177" s="36" t="n">
        <f aca="false">IF(A177="","",MONTH(A177))</f>
        <v>7</v>
      </c>
      <c r="C177" s="37" t="s">
        <v>71</v>
      </c>
      <c r="D177" s="37" t="s">
        <v>54</v>
      </c>
      <c r="E177" s="37" t="n">
        <v>3</v>
      </c>
      <c r="F177" s="38" t="n">
        <v>5530000</v>
      </c>
      <c r="G177" s="37" t="n">
        <v>1</v>
      </c>
      <c r="H177" s="39" t="n">
        <f aca="false">IF(E177="","",E177*N(F177)*IF(G177="",1,G177))</f>
        <v>16590000</v>
      </c>
      <c r="I177" s="37" t="s">
        <v>141</v>
      </c>
      <c r="J177" s="37" t="s">
        <v>358</v>
      </c>
      <c r="K177" s="37"/>
    </row>
    <row r="178" customFormat="false" ht="15" hidden="false" customHeight="false" outlineLevel="0" collapsed="false">
      <c r="A178" s="35" t="n">
        <v>46215</v>
      </c>
      <c r="B178" s="36" t="n">
        <f aca="false">IF(A178="","",MONTH(A178))</f>
        <v>7</v>
      </c>
      <c r="C178" s="37" t="s">
        <v>88</v>
      </c>
      <c r="D178" s="37" t="s">
        <v>54</v>
      </c>
      <c r="E178" s="37" t="n">
        <v>3</v>
      </c>
      <c r="F178" s="38" t="n">
        <v>4106000</v>
      </c>
      <c r="G178" s="37" t="n">
        <v>1</v>
      </c>
      <c r="H178" s="39" t="n">
        <f aca="false">IF(E178="","",E178*N(F178)*IF(G178="",1,G178))</f>
        <v>12318000</v>
      </c>
      <c r="I178" s="37"/>
      <c r="J178" s="37" t="s">
        <v>359</v>
      </c>
      <c r="K178" s="37"/>
    </row>
    <row r="179" customFormat="false" ht="15" hidden="false" customHeight="false" outlineLevel="0" collapsed="false">
      <c r="A179" s="35" t="n">
        <v>46215</v>
      </c>
      <c r="B179" s="36" t="n">
        <f aca="false">IF(A179="","",MONTH(A179))</f>
        <v>7</v>
      </c>
      <c r="C179" s="37" t="s">
        <v>55</v>
      </c>
      <c r="D179" s="37" t="s">
        <v>54</v>
      </c>
      <c r="E179" s="37" t="n">
        <v>1</v>
      </c>
      <c r="F179" s="38" t="n">
        <v>4106000</v>
      </c>
      <c r="G179" s="37" t="n">
        <v>1</v>
      </c>
      <c r="H179" s="39" t="n">
        <f aca="false">IF(E179="","",E179*N(F179)*IF(G179="",1,G179))</f>
        <v>4106000</v>
      </c>
      <c r="I179" s="37"/>
      <c r="J179" s="37" t="s">
        <v>360</v>
      </c>
      <c r="K179" s="37"/>
    </row>
    <row r="180" customFormat="false" ht="15" hidden="false" customHeight="false" outlineLevel="0" collapsed="false">
      <c r="A180" s="35" t="n">
        <v>46215</v>
      </c>
      <c r="B180" s="36" t="n">
        <f aca="false">IF(A180="","",MONTH(A180))</f>
        <v>7</v>
      </c>
      <c r="C180" s="37" t="s">
        <v>84</v>
      </c>
      <c r="D180" s="37" t="s">
        <v>54</v>
      </c>
      <c r="E180" s="37" t="n">
        <v>1</v>
      </c>
      <c r="F180" s="38" t="n">
        <v>6504000</v>
      </c>
      <c r="G180" s="37" t="n">
        <v>1</v>
      </c>
      <c r="H180" s="39" t="n">
        <f aca="false">IF(E180="","",E180*N(F180)*IF(G180="",1,G180))</f>
        <v>6504000</v>
      </c>
      <c r="I180" s="37" t="s">
        <v>172</v>
      </c>
      <c r="J180" s="37" t="s">
        <v>361</v>
      </c>
      <c r="K180" s="37"/>
    </row>
    <row r="181" customFormat="false" ht="15" hidden="false" customHeight="false" outlineLevel="0" collapsed="false">
      <c r="A181" s="35" t="n">
        <v>46215</v>
      </c>
      <c r="B181" s="36" t="n">
        <f aca="false">IF(A181="","",MONTH(A181))</f>
        <v>7</v>
      </c>
      <c r="C181" s="37" t="s">
        <v>65</v>
      </c>
      <c r="D181" s="37" t="s">
        <v>53</v>
      </c>
      <c r="E181" s="37" t="n">
        <v>1</v>
      </c>
      <c r="F181" s="38" t="n">
        <v>954000</v>
      </c>
      <c r="G181" s="37" t="n">
        <v>1</v>
      </c>
      <c r="H181" s="39" t="n">
        <f aca="false">IF(E181="","",E181*N(F181)*IF(G181="",1,G181))</f>
        <v>954000</v>
      </c>
      <c r="I181" s="37"/>
      <c r="J181" s="37" t="s">
        <v>362</v>
      </c>
      <c r="K181" s="37"/>
    </row>
    <row r="182" customFormat="false" ht="15" hidden="false" customHeight="false" outlineLevel="0" collapsed="false">
      <c r="A182" s="35" t="n">
        <v>46215</v>
      </c>
      <c r="B182" s="36" t="n">
        <f aca="false">IF(A182="","",MONTH(A182))</f>
        <v>7</v>
      </c>
      <c r="C182" s="37" t="s">
        <v>84</v>
      </c>
      <c r="D182" s="37" t="s">
        <v>53</v>
      </c>
      <c r="E182" s="37" t="n">
        <v>1</v>
      </c>
      <c r="F182" s="38" t="n">
        <v>2089000</v>
      </c>
      <c r="G182" s="37" t="n">
        <v>1.15</v>
      </c>
      <c r="H182" s="39" t="n">
        <f aca="false">IF(E182="","",E182*N(F182)*IF(G182="",1,G182))</f>
        <v>2402350</v>
      </c>
      <c r="I182" s="37" t="s">
        <v>363</v>
      </c>
      <c r="J182" s="37" t="s">
        <v>364</v>
      </c>
      <c r="K182" s="37"/>
    </row>
    <row r="183" customFormat="false" ht="15" hidden="false" customHeight="false" outlineLevel="0" collapsed="false">
      <c r="A183" s="35" t="n">
        <v>46220</v>
      </c>
      <c r="B183" s="36" t="n">
        <f aca="false">IF(A183="","",MONTH(A183))</f>
        <v>7</v>
      </c>
      <c r="C183" s="37" t="s">
        <v>82</v>
      </c>
      <c r="D183" s="37" t="s">
        <v>54</v>
      </c>
      <c r="E183" s="37" t="n">
        <v>1</v>
      </c>
      <c r="F183" s="38" t="n">
        <v>5331000</v>
      </c>
      <c r="G183" s="37" t="n">
        <v>1.1</v>
      </c>
      <c r="H183" s="39" t="n">
        <f aca="false">IF(E183="","",E183*N(F183)*IF(G183="",1,G183))</f>
        <v>5864100</v>
      </c>
      <c r="I183" s="37" t="s">
        <v>365</v>
      </c>
      <c r="J183" s="37" t="s">
        <v>366</v>
      </c>
      <c r="K183" s="37"/>
    </row>
    <row r="184" customFormat="false" ht="15" hidden="false" customHeight="false" outlineLevel="0" collapsed="false">
      <c r="A184" s="35" t="n">
        <v>46220</v>
      </c>
      <c r="B184" s="36" t="n">
        <f aca="false">IF(A184="","",MONTH(A184))</f>
        <v>7</v>
      </c>
      <c r="C184" s="37" t="s">
        <v>69</v>
      </c>
      <c r="D184" s="37" t="s">
        <v>54</v>
      </c>
      <c r="E184" s="37" t="n">
        <v>1</v>
      </c>
      <c r="F184" s="38" t="n">
        <v>4597000</v>
      </c>
      <c r="G184" s="37" t="n">
        <v>1</v>
      </c>
      <c r="H184" s="39" t="n">
        <f aca="false">IF(E184="","",E184*N(F184)*IF(G184="",1,G184))</f>
        <v>4597000</v>
      </c>
      <c r="I184" s="37" t="s">
        <v>367</v>
      </c>
      <c r="J184" s="37" t="s">
        <v>368</v>
      </c>
      <c r="K184" s="37"/>
    </row>
    <row r="185" customFormat="false" ht="15" hidden="false" customHeight="false" outlineLevel="0" collapsed="false">
      <c r="A185" s="35" t="n">
        <v>46220</v>
      </c>
      <c r="B185" s="36" t="n">
        <f aca="false">IF(A185="","",MONTH(A185))</f>
        <v>7</v>
      </c>
      <c r="C185" s="37" t="s">
        <v>90</v>
      </c>
      <c r="D185" s="37" t="s">
        <v>54</v>
      </c>
      <c r="E185" s="37" t="n">
        <v>1</v>
      </c>
      <c r="F185" s="38" t="n">
        <v>4821000</v>
      </c>
      <c r="G185" s="37" t="n">
        <v>1</v>
      </c>
      <c r="H185" s="39" t="n">
        <f aca="false">IF(E185="","",E185*N(F185)*IF(G185="",1,G185))</f>
        <v>4821000</v>
      </c>
      <c r="I185" s="37" t="s">
        <v>354</v>
      </c>
      <c r="J185" s="37" t="s">
        <v>369</v>
      </c>
      <c r="K185" s="37"/>
    </row>
    <row r="186" customFormat="false" ht="15" hidden="false" customHeight="false" outlineLevel="0" collapsed="false">
      <c r="A186" s="35" t="n">
        <v>46220</v>
      </c>
      <c r="B186" s="36" t="n">
        <f aca="false">IF(A186="","",MONTH(A186))</f>
        <v>7</v>
      </c>
      <c r="C186" s="37" t="s">
        <v>65</v>
      </c>
      <c r="D186" s="37" t="s">
        <v>54</v>
      </c>
      <c r="E186" s="37" t="n">
        <v>1</v>
      </c>
      <c r="F186" s="38" t="n">
        <v>2712000</v>
      </c>
      <c r="G186" s="37" t="n">
        <v>1</v>
      </c>
      <c r="H186" s="39" t="n">
        <f aca="false">IF(E186="","",E186*N(F186)*IF(G186="",1,G186))</f>
        <v>2712000</v>
      </c>
      <c r="I186" s="37" t="s">
        <v>354</v>
      </c>
      <c r="J186" s="37" t="s">
        <v>370</v>
      </c>
      <c r="K186" s="37"/>
    </row>
    <row r="187" customFormat="false" ht="15" hidden="false" customHeight="false" outlineLevel="0" collapsed="false">
      <c r="A187" s="35" t="n">
        <v>46220</v>
      </c>
      <c r="B187" s="36" t="n">
        <f aca="false">IF(A187="","",MONTH(A187))</f>
        <v>7</v>
      </c>
      <c r="C187" s="37" t="s">
        <v>69</v>
      </c>
      <c r="D187" s="37" t="s">
        <v>53</v>
      </c>
      <c r="E187" s="37" t="n">
        <v>2</v>
      </c>
      <c r="F187" s="38" t="n">
        <v>1302000</v>
      </c>
      <c r="G187" s="37" t="n">
        <v>1</v>
      </c>
      <c r="H187" s="39" t="n">
        <f aca="false">IF(E187="","",E187*N(F187)*IF(G187="",1,G187))</f>
        <v>2604000</v>
      </c>
      <c r="I187" s="37" t="s">
        <v>365</v>
      </c>
      <c r="J187" s="37" t="s">
        <v>371</v>
      </c>
      <c r="K187" s="37"/>
    </row>
    <row r="188" customFormat="false" ht="15" hidden="false" customHeight="false" outlineLevel="0" collapsed="false">
      <c r="A188" s="35" t="n">
        <v>46220</v>
      </c>
      <c r="B188" s="36" t="n">
        <f aca="false">IF(A188="","",MONTH(A188))</f>
        <v>7</v>
      </c>
      <c r="C188" s="37" t="s">
        <v>69</v>
      </c>
      <c r="D188" s="37" t="s">
        <v>53</v>
      </c>
      <c r="E188" s="37" t="n">
        <v>2</v>
      </c>
      <c r="F188" s="38" t="n">
        <v>1302000</v>
      </c>
      <c r="G188" s="37" t="n">
        <v>1</v>
      </c>
      <c r="H188" s="39" t="n">
        <f aca="false">IF(E188="","",E188*N(F188)*IF(G188="",1,G188))</f>
        <v>2604000</v>
      </c>
      <c r="I188" s="37" t="s">
        <v>354</v>
      </c>
      <c r="J188" s="37" t="s">
        <v>372</v>
      </c>
      <c r="K188" s="37"/>
    </row>
    <row r="189" customFormat="false" ht="15" hidden="false" customHeight="false" outlineLevel="0" collapsed="false">
      <c r="A189" s="35" t="n">
        <v>46220</v>
      </c>
      <c r="B189" s="36" t="n">
        <f aca="false">IF(A189="","",MONTH(A189))</f>
        <v>7</v>
      </c>
      <c r="C189" s="37" t="s">
        <v>82</v>
      </c>
      <c r="D189" s="37" t="s">
        <v>53</v>
      </c>
      <c r="E189" s="37" t="n">
        <v>1</v>
      </c>
      <c r="F189" s="38" t="n">
        <v>1536000</v>
      </c>
      <c r="G189" s="37" t="n">
        <v>1</v>
      </c>
      <c r="H189" s="39" t="n">
        <f aca="false">IF(E189="","",E189*N(F189)*IF(G189="",1,G189))</f>
        <v>1536000</v>
      </c>
      <c r="I189" s="37" t="s">
        <v>373</v>
      </c>
      <c r="J189" s="37" t="s">
        <v>374</v>
      </c>
      <c r="K189" s="37"/>
    </row>
    <row r="190" customFormat="false" ht="15" hidden="false" customHeight="false" outlineLevel="0" collapsed="false">
      <c r="A190" s="35" t="n">
        <v>46220</v>
      </c>
      <c r="B190" s="36" t="n">
        <f aca="false">IF(A190="","",MONTH(A190))</f>
        <v>7</v>
      </c>
      <c r="C190" s="37" t="s">
        <v>90</v>
      </c>
      <c r="D190" s="37" t="s">
        <v>53</v>
      </c>
      <c r="E190" s="37" t="n">
        <v>2</v>
      </c>
      <c r="F190" s="38" t="n">
        <v>1447000</v>
      </c>
      <c r="G190" s="37" t="n">
        <v>1</v>
      </c>
      <c r="H190" s="39" t="n">
        <f aca="false">IF(E190="","",E190*N(F190)*IF(G190="",1,G190))</f>
        <v>2894000</v>
      </c>
      <c r="I190" s="37" t="s">
        <v>375</v>
      </c>
      <c r="J190" s="37" t="s">
        <v>376</v>
      </c>
      <c r="K190" s="37"/>
    </row>
    <row r="191" customFormat="false" ht="15" hidden="false" customHeight="false" outlineLevel="0" collapsed="false">
      <c r="A191" s="35" t="n">
        <v>46220</v>
      </c>
      <c r="B191" s="36" t="n">
        <f aca="false">IF(A191="","",MONTH(A191))</f>
        <v>7</v>
      </c>
      <c r="C191" s="37" t="s">
        <v>82</v>
      </c>
      <c r="D191" s="37" t="s">
        <v>54</v>
      </c>
      <c r="E191" s="37" t="n">
        <v>1</v>
      </c>
      <c r="F191" s="38" t="n">
        <v>5331000</v>
      </c>
      <c r="G191" s="37" t="n">
        <v>1</v>
      </c>
      <c r="H191" s="39" t="n">
        <f aca="false">IF(E191="","",E191*N(F191)*IF(G191="",1,G191))</f>
        <v>5331000</v>
      </c>
      <c r="I191" s="37" t="s">
        <v>377</v>
      </c>
      <c r="J191" s="37" t="s">
        <v>378</v>
      </c>
      <c r="K191" s="37"/>
    </row>
    <row r="192" customFormat="false" ht="15" hidden="false" customHeight="false" outlineLevel="0" collapsed="false">
      <c r="A192" s="35" t="n">
        <v>46220</v>
      </c>
      <c r="B192" s="36" t="n">
        <f aca="false">IF(A192="","",MONTH(A192))</f>
        <v>7</v>
      </c>
      <c r="C192" s="37" t="s">
        <v>80</v>
      </c>
      <c r="D192" s="37" t="s">
        <v>54</v>
      </c>
      <c r="E192" s="37" t="n">
        <v>2</v>
      </c>
      <c r="F192" s="38" t="n">
        <v>3131000</v>
      </c>
      <c r="G192" s="37" t="n">
        <v>1</v>
      </c>
      <c r="H192" s="39" t="n">
        <f aca="false">IF(E192="","",E192*N(F192)*IF(G192="",1,G192))</f>
        <v>6262000</v>
      </c>
      <c r="I192" s="37" t="s">
        <v>379</v>
      </c>
      <c r="J192" s="37" t="s">
        <v>380</v>
      </c>
      <c r="K192" s="37"/>
    </row>
    <row r="193" customFormat="false" ht="15" hidden="false" customHeight="false" outlineLevel="0" collapsed="false">
      <c r="A193" s="35" t="n">
        <v>46220</v>
      </c>
      <c r="B193" s="36" t="n">
        <f aca="false">IF(A193="","",MONTH(A193))</f>
        <v>7</v>
      </c>
      <c r="C193" s="37" t="s">
        <v>90</v>
      </c>
      <c r="D193" s="37" t="s">
        <v>54</v>
      </c>
      <c r="E193" s="37" t="n">
        <v>1</v>
      </c>
      <c r="F193" s="38" t="n">
        <v>4821000</v>
      </c>
      <c r="G193" s="37" t="n">
        <v>1</v>
      </c>
      <c r="H193" s="39" t="n">
        <f aca="false">IF(E193="","",E193*N(F193)*IF(G193="",1,G193))</f>
        <v>4821000</v>
      </c>
      <c r="I193" s="37" t="s">
        <v>159</v>
      </c>
      <c r="J193" s="37" t="s">
        <v>381</v>
      </c>
      <c r="K193" s="37"/>
    </row>
    <row r="194" customFormat="false" ht="15" hidden="false" customHeight="false" outlineLevel="0" collapsed="false">
      <c r="A194" s="35" t="n">
        <v>46224</v>
      </c>
      <c r="B194" s="36" t="n">
        <f aca="false">IF(A194="","",MONTH(A194))</f>
        <v>7</v>
      </c>
      <c r="C194" s="37" t="s">
        <v>65</v>
      </c>
      <c r="D194" s="37" t="s">
        <v>53</v>
      </c>
      <c r="E194" s="37" t="n">
        <v>1</v>
      </c>
      <c r="F194" s="38" t="n">
        <v>954000</v>
      </c>
      <c r="G194" s="37" t="n">
        <v>1</v>
      </c>
      <c r="H194" s="39" t="n">
        <f aca="false">IF(E194="","",E194*N(F194)*IF(G194="",1,G194))</f>
        <v>954000</v>
      </c>
      <c r="I194" s="37"/>
      <c r="J194" s="37" t="s">
        <v>382</v>
      </c>
      <c r="K194" s="37"/>
    </row>
    <row r="195" customFormat="false" ht="15" hidden="false" customHeight="false" outlineLevel="0" collapsed="false">
      <c r="A195" s="35" t="n">
        <v>46225</v>
      </c>
      <c r="B195" s="36" t="n">
        <f aca="false">IF(A195="","",MONTH(A195))</f>
        <v>7</v>
      </c>
      <c r="C195" s="37" t="s">
        <v>51</v>
      </c>
      <c r="D195" s="37" t="s">
        <v>54</v>
      </c>
      <c r="E195" s="37" t="n">
        <v>5</v>
      </c>
      <c r="F195" s="38" t="n">
        <v>3012000</v>
      </c>
      <c r="G195" s="37" t="n">
        <v>1</v>
      </c>
      <c r="H195" s="39" t="n">
        <f aca="false">IF(E195="","",E195*N(F195)*IF(G195="",1,G195))</f>
        <v>15060000</v>
      </c>
      <c r="I195" s="37" t="s">
        <v>383</v>
      </c>
      <c r="J195" s="37" t="s">
        <v>384</v>
      </c>
      <c r="K195" s="37"/>
    </row>
    <row r="196" customFormat="false" ht="15" hidden="false" customHeight="false" outlineLevel="0" collapsed="false">
      <c r="A196" s="35" t="n">
        <v>46225</v>
      </c>
      <c r="B196" s="36" t="n">
        <f aca="false">IF(A196="","",MONTH(A196))</f>
        <v>7</v>
      </c>
      <c r="C196" s="37" t="s">
        <v>90</v>
      </c>
      <c r="D196" s="37" t="s">
        <v>54</v>
      </c>
      <c r="E196" s="37" t="n">
        <v>4</v>
      </c>
      <c r="F196" s="38" t="n">
        <v>4821000</v>
      </c>
      <c r="G196" s="37" t="n">
        <v>1</v>
      </c>
      <c r="H196" s="39" t="n">
        <f aca="false">IF(E196="","",E196*N(F196)*IF(G196="",1,G196))</f>
        <v>19284000</v>
      </c>
      <c r="I196" s="37" t="s">
        <v>385</v>
      </c>
      <c r="J196" s="37" t="s">
        <v>386</v>
      </c>
      <c r="K196" s="37"/>
    </row>
    <row r="197" customFormat="false" ht="15" hidden="false" customHeight="false" outlineLevel="0" collapsed="false">
      <c r="A197" s="35" t="n">
        <v>46225</v>
      </c>
      <c r="B197" s="36" t="n">
        <f aca="false">IF(A197="","",MONTH(A197))</f>
        <v>7</v>
      </c>
      <c r="C197" s="37" t="s">
        <v>55</v>
      </c>
      <c r="D197" s="37" t="s">
        <v>54</v>
      </c>
      <c r="E197" s="37" t="n">
        <v>1</v>
      </c>
      <c r="F197" s="38" t="n">
        <v>4106000</v>
      </c>
      <c r="G197" s="37" t="n">
        <v>1</v>
      </c>
      <c r="H197" s="39" t="n">
        <f aca="false">IF(E197="","",E197*N(F197)*IF(G197="",1,G197))</f>
        <v>4106000</v>
      </c>
      <c r="I197" s="37" t="s">
        <v>387</v>
      </c>
      <c r="J197" s="37" t="s">
        <v>388</v>
      </c>
      <c r="K197" s="37"/>
    </row>
    <row r="198" customFormat="false" ht="15" hidden="false" customHeight="false" outlineLevel="0" collapsed="false">
      <c r="A198" s="35" t="n">
        <v>46225</v>
      </c>
      <c r="B198" s="36" t="n">
        <f aca="false">IF(A198="","",MONTH(A198))</f>
        <v>7</v>
      </c>
      <c r="C198" s="37" t="s">
        <v>101</v>
      </c>
      <c r="D198" s="37" t="s">
        <v>100</v>
      </c>
      <c r="E198" s="37" t="n">
        <v>1</v>
      </c>
      <c r="F198" s="38" t="n">
        <v>594000</v>
      </c>
      <c r="G198" s="37" t="n">
        <v>1</v>
      </c>
      <c r="H198" s="39" t="n">
        <f aca="false">IF(E198="","",E198*N(F198)*IF(G198="",1,G198))</f>
        <v>594000</v>
      </c>
      <c r="I198" s="37"/>
      <c r="J198" s="37" t="s">
        <v>389</v>
      </c>
      <c r="K198" s="37"/>
    </row>
    <row r="199" customFormat="false" ht="15" hidden="false" customHeight="false" outlineLevel="0" collapsed="false">
      <c r="A199" s="35" t="n">
        <v>46226</v>
      </c>
      <c r="B199" s="36" t="n">
        <f aca="false">IF(A199="","",MONTH(A199))</f>
        <v>7</v>
      </c>
      <c r="C199" s="37" t="s">
        <v>69</v>
      </c>
      <c r="D199" s="37" t="s">
        <v>54</v>
      </c>
      <c r="E199" s="37" t="n">
        <v>1</v>
      </c>
      <c r="F199" s="38" t="n">
        <v>4597000</v>
      </c>
      <c r="G199" s="37" t="n">
        <v>1</v>
      </c>
      <c r="H199" s="39" t="n">
        <f aca="false">IF(E199="","",E199*N(F199)*IF(G199="",1,G199))</f>
        <v>4597000</v>
      </c>
      <c r="I199" s="37"/>
      <c r="J199" s="37" t="s">
        <v>390</v>
      </c>
      <c r="K199" s="37"/>
    </row>
    <row r="200" customFormat="false" ht="15" hidden="false" customHeight="false" outlineLevel="0" collapsed="false">
      <c r="A200" s="35" t="n">
        <v>46226</v>
      </c>
      <c r="B200" s="36" t="n">
        <f aca="false">IF(A200="","",MONTH(A200))</f>
        <v>7</v>
      </c>
      <c r="C200" s="37" t="s">
        <v>63</v>
      </c>
      <c r="D200" s="37" t="s">
        <v>54</v>
      </c>
      <c r="E200" s="37" t="n">
        <v>2</v>
      </c>
      <c r="F200" s="38" t="n">
        <v>3097000</v>
      </c>
      <c r="G200" s="37" t="n">
        <v>1</v>
      </c>
      <c r="H200" s="39" t="n">
        <f aca="false">IF(E200="","",E200*N(F200)*IF(G200="",1,G200))</f>
        <v>6194000</v>
      </c>
      <c r="I200" s="37" t="s">
        <v>391</v>
      </c>
      <c r="J200" s="37" t="s">
        <v>392</v>
      </c>
      <c r="K200" s="37"/>
    </row>
    <row r="201" customFormat="false" ht="15" hidden="false" customHeight="false" outlineLevel="0" collapsed="false">
      <c r="A201" s="35" t="n">
        <v>46226</v>
      </c>
      <c r="B201" s="36" t="n">
        <f aca="false">IF(A201="","",MONTH(A201))</f>
        <v>7</v>
      </c>
      <c r="C201" s="37" t="s">
        <v>82</v>
      </c>
      <c r="D201" s="37" t="s">
        <v>54</v>
      </c>
      <c r="E201" s="37" t="n">
        <v>1</v>
      </c>
      <c r="F201" s="38" t="n">
        <v>409000</v>
      </c>
      <c r="G201" s="37" t="n">
        <v>1.15</v>
      </c>
      <c r="H201" s="39" t="n">
        <f aca="false">IF(E201="","",E201*N(F201)*IF(G201="",1,G201))</f>
        <v>470350</v>
      </c>
      <c r="I201" s="37" t="s">
        <v>393</v>
      </c>
      <c r="J201" s="37" t="s">
        <v>394</v>
      </c>
      <c r="K201" s="37"/>
    </row>
    <row r="202" customFormat="false" ht="15" hidden="false" customHeight="false" outlineLevel="0" collapsed="false">
      <c r="A202" s="35" t="n">
        <v>46226</v>
      </c>
      <c r="B202" s="36" t="n">
        <f aca="false">IF(A202="","",MONTH(A202))</f>
        <v>7</v>
      </c>
      <c r="C202" s="37" t="s">
        <v>84</v>
      </c>
      <c r="D202" s="37" t="s">
        <v>54</v>
      </c>
      <c r="E202" s="37" t="n">
        <v>1</v>
      </c>
      <c r="F202" s="38" t="n">
        <v>6504000</v>
      </c>
      <c r="G202" s="37" t="n">
        <v>1</v>
      </c>
      <c r="H202" s="39" t="n">
        <f aca="false">IF(E202="","",E202*N(F202)*IF(G202="",1,G202))</f>
        <v>6504000</v>
      </c>
      <c r="I202" s="37" t="s">
        <v>395</v>
      </c>
      <c r="J202" s="37" t="s">
        <v>396</v>
      </c>
      <c r="K202" s="37"/>
    </row>
    <row r="203" customFormat="false" ht="15" hidden="false" customHeight="false" outlineLevel="0" collapsed="false">
      <c r="A203" s="35" t="n">
        <v>46226</v>
      </c>
      <c r="B203" s="36" t="n">
        <f aca="false">IF(A203="","",MONTH(A203))</f>
        <v>7</v>
      </c>
      <c r="C203" s="37" t="s">
        <v>90</v>
      </c>
      <c r="D203" s="37" t="s">
        <v>54</v>
      </c>
      <c r="E203" s="37" t="n">
        <v>1</v>
      </c>
      <c r="F203" s="38" t="n">
        <v>4821000</v>
      </c>
      <c r="G203" s="37" t="n">
        <v>1</v>
      </c>
      <c r="H203" s="39" t="n">
        <f aca="false">IF(E203="","",E203*N(F203)*IF(G203="",1,G203))</f>
        <v>4821000</v>
      </c>
      <c r="I203" s="37" t="s">
        <v>397</v>
      </c>
      <c r="J203" s="37" t="s">
        <v>398</v>
      </c>
      <c r="K203" s="37"/>
    </row>
    <row r="204" customFormat="false" ht="15" hidden="false" customHeight="false" outlineLevel="0" collapsed="false">
      <c r="A204" s="35" t="n">
        <v>46226</v>
      </c>
      <c r="B204" s="36" t="n">
        <f aca="false">IF(A204="","",MONTH(A204))</f>
        <v>7</v>
      </c>
      <c r="C204" s="37" t="s">
        <v>82</v>
      </c>
      <c r="D204" s="37" t="s">
        <v>53</v>
      </c>
      <c r="E204" s="37" t="n">
        <v>1</v>
      </c>
      <c r="F204" s="38" t="n">
        <v>1536000</v>
      </c>
      <c r="G204" s="37" t="n">
        <v>1.15</v>
      </c>
      <c r="H204" s="39" t="n">
        <f aca="false">IF(E204="","",E204*N(F204)*IF(G204="",1,G204))</f>
        <v>1766400</v>
      </c>
      <c r="I204" s="37" t="s">
        <v>363</v>
      </c>
      <c r="J204" s="37" t="s">
        <v>399</v>
      </c>
      <c r="K204" s="37"/>
    </row>
    <row r="205" customFormat="false" ht="15" hidden="false" customHeight="false" outlineLevel="0" collapsed="false">
      <c r="A205" s="35" t="n">
        <v>46227</v>
      </c>
      <c r="B205" s="36" t="n">
        <f aca="false">IF(A205="","",MONTH(A205))</f>
        <v>7</v>
      </c>
      <c r="C205" s="37" t="s">
        <v>88</v>
      </c>
      <c r="D205" s="37" t="s">
        <v>54</v>
      </c>
      <c r="E205" s="37" t="n">
        <v>1</v>
      </c>
      <c r="F205" s="38" t="n">
        <v>4106000</v>
      </c>
      <c r="G205" s="37" t="n">
        <v>1</v>
      </c>
      <c r="H205" s="39" t="n">
        <f aca="false">IF(E205="","",E205*N(F205)*IF(G205="",1,G205))</f>
        <v>4106000</v>
      </c>
      <c r="I205" s="37" t="s">
        <v>352</v>
      </c>
      <c r="J205" s="37" t="s">
        <v>400</v>
      </c>
      <c r="K205" s="37"/>
    </row>
    <row r="206" customFormat="false" ht="15" hidden="false" customHeight="false" outlineLevel="0" collapsed="false">
      <c r="A206" s="35" t="n">
        <v>46227</v>
      </c>
      <c r="B206" s="36" t="n">
        <f aca="false">IF(A206="","",MONTH(A206))</f>
        <v>7</v>
      </c>
      <c r="C206" s="37" t="s">
        <v>82</v>
      </c>
      <c r="D206" s="37" t="s">
        <v>54</v>
      </c>
      <c r="E206" s="37" t="n">
        <v>1</v>
      </c>
      <c r="F206" s="38" t="n">
        <v>5331000</v>
      </c>
      <c r="G206" s="37" t="n">
        <v>1</v>
      </c>
      <c r="H206" s="39" t="n">
        <f aca="false">IF(E206="","",E206*N(F206)*IF(G206="",1,G206))</f>
        <v>5331000</v>
      </c>
      <c r="I206" s="37" t="s">
        <v>141</v>
      </c>
      <c r="J206" s="37" t="s">
        <v>401</v>
      </c>
      <c r="K206" s="37"/>
    </row>
    <row r="207" customFormat="false" ht="15" hidden="false" customHeight="false" outlineLevel="0" collapsed="false">
      <c r="A207" s="35" t="n">
        <v>46227</v>
      </c>
      <c r="B207" s="36" t="n">
        <f aca="false">IF(A207="","",MONTH(A207))</f>
        <v>7</v>
      </c>
      <c r="C207" s="37" t="s">
        <v>51</v>
      </c>
      <c r="D207" s="37" t="s">
        <v>54</v>
      </c>
      <c r="E207" s="37" t="n">
        <v>3</v>
      </c>
      <c r="F207" s="38" t="n">
        <v>3012000</v>
      </c>
      <c r="G207" s="37" t="n">
        <v>1</v>
      </c>
      <c r="H207" s="39" t="n">
        <f aca="false">IF(E207="","",E207*N(F207)*IF(G207="",1,G207))</f>
        <v>9036000</v>
      </c>
      <c r="I207" s="37"/>
      <c r="J207" s="37" t="s">
        <v>402</v>
      </c>
      <c r="K207" s="37"/>
    </row>
    <row r="208" customFormat="false" ht="15" hidden="false" customHeight="false" outlineLevel="0" collapsed="false">
      <c r="A208" s="35" t="n">
        <v>46227</v>
      </c>
      <c r="B208" s="36" t="n">
        <f aca="false">IF(A208="","",MONTH(A208))</f>
        <v>7</v>
      </c>
      <c r="C208" s="37" t="s">
        <v>90</v>
      </c>
      <c r="D208" s="37" t="s">
        <v>54</v>
      </c>
      <c r="E208" s="37" t="n">
        <v>2</v>
      </c>
      <c r="F208" s="38" t="n">
        <v>4821000</v>
      </c>
      <c r="G208" s="37" t="n">
        <v>1</v>
      </c>
      <c r="H208" s="39" t="n">
        <f aca="false">IF(E208="","",E208*N(F208)*IF(G208="",1,G208))</f>
        <v>9642000</v>
      </c>
      <c r="I208" s="37" t="s">
        <v>159</v>
      </c>
      <c r="J208" s="37" t="s">
        <v>403</v>
      </c>
      <c r="K208" s="37"/>
    </row>
    <row r="209" customFormat="false" ht="15" hidden="false" customHeight="false" outlineLevel="0" collapsed="false">
      <c r="A209" s="35" t="n">
        <v>46227</v>
      </c>
      <c r="B209" s="36" t="n">
        <f aca="false">IF(A209="","",MONTH(A209))</f>
        <v>7</v>
      </c>
      <c r="C209" s="37" t="s">
        <v>88</v>
      </c>
      <c r="D209" s="37" t="s">
        <v>54</v>
      </c>
      <c r="E209" s="37" t="n">
        <v>2</v>
      </c>
      <c r="F209" s="38" t="n">
        <v>4106000</v>
      </c>
      <c r="G209" s="37" t="n">
        <v>1</v>
      </c>
      <c r="H209" s="39" t="n">
        <f aca="false">IF(E209="","",E209*N(F209)*IF(G209="",1,G209))</f>
        <v>8212000</v>
      </c>
      <c r="I209" s="37"/>
      <c r="J209" s="37" t="s">
        <v>404</v>
      </c>
      <c r="K209" s="37"/>
    </row>
    <row r="210" customFormat="false" ht="15" hidden="false" customHeight="false" outlineLevel="0" collapsed="false">
      <c r="A210" s="35" t="n">
        <v>46227</v>
      </c>
      <c r="B210" s="36" t="n">
        <f aca="false">IF(A210="","",MONTH(A210))</f>
        <v>7</v>
      </c>
      <c r="C210" s="37" t="s">
        <v>65</v>
      </c>
      <c r="D210" s="37" t="s">
        <v>54</v>
      </c>
      <c r="E210" s="37" t="n">
        <v>1</v>
      </c>
      <c r="F210" s="38" t="n">
        <v>2712000</v>
      </c>
      <c r="G210" s="37" t="n">
        <v>1</v>
      </c>
      <c r="H210" s="39" t="n">
        <f aca="false">IF(E210="","",E210*N(F210)*IF(G210="",1,G210))</f>
        <v>2712000</v>
      </c>
      <c r="I210" s="37"/>
      <c r="J210" s="37" t="s">
        <v>405</v>
      </c>
      <c r="K210" s="37"/>
    </row>
    <row r="211" customFormat="false" ht="15" hidden="false" customHeight="false" outlineLevel="0" collapsed="false">
      <c r="A211" s="35" t="n">
        <v>46227</v>
      </c>
      <c r="B211" s="36" t="n">
        <f aca="false">IF(A211="","",MONTH(A211))</f>
        <v>7</v>
      </c>
      <c r="C211" s="37" t="s">
        <v>55</v>
      </c>
      <c r="D211" s="37" t="s">
        <v>54</v>
      </c>
      <c r="E211" s="37" t="n">
        <v>1</v>
      </c>
      <c r="F211" s="38" t="n">
        <v>4106000</v>
      </c>
      <c r="G211" s="37" t="n">
        <v>1</v>
      </c>
      <c r="H211" s="39" t="n">
        <f aca="false">IF(E211="","",E211*N(F211)*IF(G211="",1,G211))</f>
        <v>4106000</v>
      </c>
      <c r="I211" s="37"/>
      <c r="J211" s="37" t="s">
        <v>406</v>
      </c>
      <c r="K211" s="37"/>
    </row>
    <row r="212" customFormat="false" ht="15" hidden="false" customHeight="false" outlineLevel="0" collapsed="false">
      <c r="A212" s="35" t="n">
        <v>46227</v>
      </c>
      <c r="B212" s="36" t="n">
        <f aca="false">IF(A212="","",MONTH(A212))</f>
        <v>7</v>
      </c>
      <c r="C212" s="37" t="s">
        <v>84</v>
      </c>
      <c r="D212" s="37" t="s">
        <v>53</v>
      </c>
      <c r="E212" s="37" t="n">
        <v>1</v>
      </c>
      <c r="F212" s="38" t="n">
        <v>2089000</v>
      </c>
      <c r="G212" s="37" t="n">
        <v>1</v>
      </c>
      <c r="H212" s="39" t="n">
        <f aca="false">IF(E212="","",E212*N(F212)*IF(G212="",1,G212))</f>
        <v>2089000</v>
      </c>
      <c r="I212" s="37"/>
      <c r="J212" s="37" t="s">
        <v>407</v>
      </c>
      <c r="K212" s="37"/>
    </row>
    <row r="213" customFormat="false" ht="15" hidden="false" customHeight="false" outlineLevel="0" collapsed="false">
      <c r="A213" s="35" t="n">
        <v>46227</v>
      </c>
      <c r="B213" s="36" t="n">
        <f aca="false">IF(A213="","",MONTH(A213))</f>
        <v>7</v>
      </c>
      <c r="C213" s="37" t="s">
        <v>71</v>
      </c>
      <c r="D213" s="37" t="s">
        <v>54</v>
      </c>
      <c r="E213" s="37" t="n">
        <v>6</v>
      </c>
      <c r="F213" s="38" t="n">
        <v>5530000</v>
      </c>
      <c r="G213" s="37" t="n">
        <v>1</v>
      </c>
      <c r="H213" s="39" t="n">
        <f aca="false">IF(E213="","",E213*N(F213)*IF(G213="",1,G213))</f>
        <v>33180000</v>
      </c>
      <c r="I213" s="37" t="s">
        <v>395</v>
      </c>
      <c r="J213" s="37" t="s">
        <v>408</v>
      </c>
      <c r="K213" s="37"/>
    </row>
    <row r="214" customFormat="false" ht="15" hidden="false" customHeight="false" outlineLevel="0" collapsed="false">
      <c r="A214" s="35" t="n">
        <v>46227</v>
      </c>
      <c r="B214" s="36" t="n">
        <f aca="false">IF(A214="","",MONTH(A214))</f>
        <v>7</v>
      </c>
      <c r="C214" s="37" t="s">
        <v>51</v>
      </c>
      <c r="D214" s="37" t="s">
        <v>54</v>
      </c>
      <c r="E214" s="37" t="n">
        <v>3</v>
      </c>
      <c r="F214" s="38" t="n">
        <v>3012000</v>
      </c>
      <c r="G214" s="37" t="n">
        <v>1</v>
      </c>
      <c r="H214" s="39" t="n">
        <f aca="false">IF(E214="","",E214*N(F214)*IF(G214="",1,G214))</f>
        <v>9036000</v>
      </c>
      <c r="I214" s="37" t="s">
        <v>409</v>
      </c>
      <c r="J214" s="37" t="s">
        <v>410</v>
      </c>
      <c r="K214" s="37"/>
    </row>
    <row r="215" customFormat="false" ht="15" hidden="false" customHeight="false" outlineLevel="0" collapsed="false">
      <c r="A215" s="35" t="n">
        <v>46227</v>
      </c>
      <c r="B215" s="36" t="n">
        <f aca="false">IF(A215="","",MONTH(A215))</f>
        <v>7</v>
      </c>
      <c r="C215" s="37" t="s">
        <v>82</v>
      </c>
      <c r="D215" s="37" t="s">
        <v>53</v>
      </c>
      <c r="E215" s="37" t="n">
        <v>1</v>
      </c>
      <c r="F215" s="38" t="n">
        <v>1536000</v>
      </c>
      <c r="G215" s="37" t="n">
        <v>1.2</v>
      </c>
      <c r="H215" s="39" t="n">
        <f aca="false">IF(E215="","",E215*N(F215)*IF(G215="",1,G215))</f>
        <v>1843200</v>
      </c>
      <c r="I215" s="37" t="s">
        <v>411</v>
      </c>
      <c r="J215" s="37" t="s">
        <v>412</v>
      </c>
      <c r="K215" s="37"/>
    </row>
    <row r="216" customFormat="false" ht="15" hidden="false" customHeight="false" outlineLevel="0" collapsed="false">
      <c r="A216" s="35" t="n">
        <v>46227</v>
      </c>
      <c r="B216" s="36" t="n">
        <f aca="false">IF(A216="","",MONTH(A216))</f>
        <v>7</v>
      </c>
      <c r="C216" s="37" t="s">
        <v>71</v>
      </c>
      <c r="D216" s="37" t="s">
        <v>54</v>
      </c>
      <c r="E216" s="37" t="n">
        <v>1</v>
      </c>
      <c r="F216" s="38" t="n">
        <v>5530000</v>
      </c>
      <c r="G216" s="37" t="n">
        <v>1</v>
      </c>
      <c r="H216" s="39" t="n">
        <f aca="false">IF(E216="","",E216*N(F216)*IF(G216="",1,G216))</f>
        <v>5530000</v>
      </c>
      <c r="I216" s="37"/>
      <c r="J216" s="37" t="s">
        <v>413</v>
      </c>
      <c r="K216" s="37"/>
    </row>
    <row r="217" customFormat="false" ht="15" hidden="false" customHeight="false" outlineLevel="0" collapsed="false">
      <c r="A217" s="35" t="n">
        <v>46230</v>
      </c>
      <c r="B217" s="36" t="n">
        <f aca="false">IF(A217="","",MONTH(A217))</f>
        <v>7</v>
      </c>
      <c r="C217" s="37" t="s">
        <v>90</v>
      </c>
      <c r="D217" s="37" t="s">
        <v>54</v>
      </c>
      <c r="E217" s="37" t="n">
        <v>1</v>
      </c>
      <c r="F217" s="38" t="n">
        <v>4821000</v>
      </c>
      <c r="G217" s="37" t="n">
        <v>10</v>
      </c>
      <c r="H217" s="39" t="n">
        <f aca="false">IF(E217="","",E217*N(F217)*IF(G217="",1,G217))</f>
        <v>48210000</v>
      </c>
      <c r="I217" s="37" t="s">
        <v>159</v>
      </c>
      <c r="J217" s="37" t="s">
        <v>414</v>
      </c>
      <c r="K217" s="40" t="s">
        <v>415</v>
      </c>
    </row>
    <row r="218" customFormat="false" ht="15" hidden="false" customHeight="false" outlineLevel="0" collapsed="false">
      <c r="A218" s="35" t="n">
        <v>46232</v>
      </c>
      <c r="B218" s="36" t="n">
        <f aca="false">IF(A218="","",MONTH(A218))</f>
        <v>7</v>
      </c>
      <c r="C218" s="37" t="s">
        <v>71</v>
      </c>
      <c r="D218" s="37" t="s">
        <v>54</v>
      </c>
      <c r="E218" s="37" t="n">
        <v>2</v>
      </c>
      <c r="F218" s="38" t="n">
        <v>5530000</v>
      </c>
      <c r="G218" s="37" t="n">
        <v>1</v>
      </c>
      <c r="H218" s="39" t="n">
        <f aca="false">IF(E218="","",E218*N(F218)*IF(G218="",1,G218))</f>
        <v>11060000</v>
      </c>
      <c r="I218" s="37" t="s">
        <v>337</v>
      </c>
      <c r="J218" s="37" t="s">
        <v>416</v>
      </c>
      <c r="K218" s="37"/>
    </row>
    <row r="219" customFormat="false" ht="15" hidden="false" customHeight="false" outlineLevel="0" collapsed="false">
      <c r="A219" s="35" t="n">
        <v>46237</v>
      </c>
      <c r="B219" s="36" t="n">
        <f aca="false">IF(A219="","",MONTH(A219))</f>
        <v>8</v>
      </c>
      <c r="C219" s="37" t="s">
        <v>84</v>
      </c>
      <c r="D219" s="37" t="s">
        <v>53</v>
      </c>
      <c r="E219" s="37" t="n">
        <v>1</v>
      </c>
      <c r="F219" s="38" t="n">
        <v>2089000</v>
      </c>
      <c r="G219" s="37" t="n">
        <v>1</v>
      </c>
      <c r="H219" s="39" t="n">
        <f aca="false">IF(E219="","",E219*N(F219)*IF(G219="",1,G219))</f>
        <v>2089000</v>
      </c>
      <c r="I219" s="37" t="s">
        <v>143</v>
      </c>
      <c r="J219" s="37" t="s">
        <v>417</v>
      </c>
      <c r="K219" s="37"/>
    </row>
    <row r="220" customFormat="false" ht="15" hidden="false" customHeight="false" outlineLevel="0" collapsed="false">
      <c r="A220" s="35" t="n">
        <v>46237</v>
      </c>
      <c r="B220" s="36" t="n">
        <f aca="false">IF(A220="","",MONTH(A220))</f>
        <v>8</v>
      </c>
      <c r="C220" s="37" t="s">
        <v>55</v>
      </c>
      <c r="D220" s="37" t="s">
        <v>53</v>
      </c>
      <c r="E220" s="37" t="n">
        <v>1</v>
      </c>
      <c r="F220" s="38" t="n">
        <v>1419000</v>
      </c>
      <c r="G220" s="37" t="n">
        <v>1</v>
      </c>
      <c r="H220" s="39" t="n">
        <f aca="false">IF(E220="","",E220*N(F220)*IF(G220="",1,G220))</f>
        <v>1419000</v>
      </c>
      <c r="I220" s="37"/>
      <c r="J220" s="37" t="s">
        <v>418</v>
      </c>
      <c r="K220" s="37"/>
    </row>
    <row r="221" customFormat="false" ht="15" hidden="false" customHeight="false" outlineLevel="0" collapsed="false">
      <c r="A221" s="35" t="n">
        <v>46241</v>
      </c>
      <c r="B221" s="36" t="n">
        <f aca="false">IF(A221="","",MONTH(A221))</f>
        <v>8</v>
      </c>
      <c r="C221" s="37" t="s">
        <v>55</v>
      </c>
      <c r="D221" s="37" t="s">
        <v>54</v>
      </c>
      <c r="E221" s="37" t="n">
        <v>3</v>
      </c>
      <c r="F221" s="38" t="n">
        <v>4106000</v>
      </c>
      <c r="G221" s="37" t="n">
        <v>1</v>
      </c>
      <c r="H221" s="39" t="n">
        <f aca="false">IF(E221="","",E221*N(F221)*IF(G221="",1,G221))</f>
        <v>12318000</v>
      </c>
      <c r="I221" s="37"/>
      <c r="J221" s="37" t="s">
        <v>419</v>
      </c>
      <c r="K221" s="37"/>
    </row>
    <row r="222" customFormat="false" ht="15" hidden="false" customHeight="false" outlineLevel="0" collapsed="false">
      <c r="A222" s="35" t="n">
        <v>46241</v>
      </c>
      <c r="B222" s="36" t="n">
        <f aca="false">IF(A222="","",MONTH(A222))</f>
        <v>8</v>
      </c>
      <c r="C222" s="37" t="s">
        <v>90</v>
      </c>
      <c r="D222" s="37" t="s">
        <v>54</v>
      </c>
      <c r="E222" s="37" t="n">
        <v>2</v>
      </c>
      <c r="F222" s="38" t="n">
        <v>4821000</v>
      </c>
      <c r="G222" s="37" t="n">
        <v>1</v>
      </c>
      <c r="H222" s="39" t="n">
        <f aca="false">IF(E222="","",E222*N(F222)*IF(G222="",1,G222))</f>
        <v>9642000</v>
      </c>
      <c r="I222" s="37" t="s">
        <v>189</v>
      </c>
      <c r="J222" s="37" t="s">
        <v>420</v>
      </c>
      <c r="K222" s="37"/>
    </row>
    <row r="223" customFormat="false" ht="15" hidden="false" customHeight="false" outlineLevel="0" collapsed="false">
      <c r="A223" s="35" t="n">
        <v>46244</v>
      </c>
      <c r="B223" s="36" t="n">
        <f aca="false">IF(A223="","",MONTH(A223))</f>
        <v>8</v>
      </c>
      <c r="C223" s="37" t="s">
        <v>51</v>
      </c>
      <c r="D223" s="37" t="s">
        <v>54</v>
      </c>
      <c r="E223" s="37" t="n">
        <v>5</v>
      </c>
      <c r="F223" s="38" t="n">
        <v>3012000</v>
      </c>
      <c r="G223" s="37" t="n">
        <v>1</v>
      </c>
      <c r="H223" s="39" t="n">
        <f aca="false">IF(E223="","",E223*N(F223)*IF(G223="",1,G223))</f>
        <v>15060000</v>
      </c>
      <c r="I223" s="37"/>
      <c r="J223" s="37" t="s">
        <v>421</v>
      </c>
      <c r="K223" s="37"/>
    </row>
    <row r="224" customFormat="false" ht="15" hidden="false" customHeight="false" outlineLevel="0" collapsed="false">
      <c r="A224" s="35" t="n">
        <v>46244</v>
      </c>
      <c r="B224" s="36" t="n">
        <f aca="false">IF(A224="","",MONTH(A224))</f>
        <v>8</v>
      </c>
      <c r="C224" s="37" t="s">
        <v>55</v>
      </c>
      <c r="D224" s="37" t="s">
        <v>54</v>
      </c>
      <c r="E224" s="37" t="n">
        <v>5</v>
      </c>
      <c r="F224" s="38" t="n">
        <v>4106000</v>
      </c>
      <c r="G224" s="37" t="n">
        <v>1</v>
      </c>
      <c r="H224" s="39" t="n">
        <f aca="false">IF(E224="","",E224*N(F224)*IF(G224="",1,G224))</f>
        <v>20530000</v>
      </c>
      <c r="I224" s="37"/>
      <c r="J224" s="37" t="s">
        <v>422</v>
      </c>
      <c r="K224" s="37"/>
    </row>
    <row r="225" customFormat="false" ht="15" hidden="false" customHeight="false" outlineLevel="0" collapsed="false">
      <c r="A225" s="35" t="n">
        <v>46244</v>
      </c>
      <c r="B225" s="36" t="n">
        <f aca="false">IF(A225="","",MONTH(A225))</f>
        <v>8</v>
      </c>
      <c r="C225" s="37" t="s">
        <v>84</v>
      </c>
      <c r="D225" s="37" t="s">
        <v>54</v>
      </c>
      <c r="E225" s="37" t="n">
        <v>3</v>
      </c>
      <c r="F225" s="38" t="n">
        <v>6504000</v>
      </c>
      <c r="G225" s="37" t="n">
        <v>1</v>
      </c>
      <c r="H225" s="39" t="n">
        <f aca="false">IF(E225="","",E225*N(F225)*IF(G225="",1,G225))</f>
        <v>19512000</v>
      </c>
      <c r="I225" s="37" t="s">
        <v>189</v>
      </c>
      <c r="J225" s="37" t="s">
        <v>423</v>
      </c>
      <c r="K225" s="37"/>
    </row>
    <row r="226" customFormat="false" ht="15" hidden="false" customHeight="false" outlineLevel="0" collapsed="false">
      <c r="A226" s="35" t="n">
        <v>46244</v>
      </c>
      <c r="B226" s="36" t="n">
        <f aca="false">IF(A226="","",MONTH(A226))</f>
        <v>8</v>
      </c>
      <c r="C226" s="37" t="s">
        <v>71</v>
      </c>
      <c r="D226" s="37" t="s">
        <v>54</v>
      </c>
      <c r="E226" s="37" t="n">
        <v>6</v>
      </c>
      <c r="F226" s="38" t="n">
        <v>5530000</v>
      </c>
      <c r="G226" s="37" t="n">
        <v>1</v>
      </c>
      <c r="H226" s="39" t="n">
        <f aca="false">IF(E226="","",E226*N(F226)*IF(G226="",1,G226))</f>
        <v>33180000</v>
      </c>
      <c r="I226" s="37" t="s">
        <v>424</v>
      </c>
      <c r="J226" s="37" t="s">
        <v>425</v>
      </c>
      <c r="K226" s="37"/>
    </row>
    <row r="227" customFormat="false" ht="15" hidden="false" customHeight="false" outlineLevel="0" collapsed="false">
      <c r="A227" s="35" t="n">
        <v>46244</v>
      </c>
      <c r="B227" s="36" t="n">
        <f aca="false">IF(A227="","",MONTH(A227))</f>
        <v>8</v>
      </c>
      <c r="C227" s="37" t="s">
        <v>65</v>
      </c>
      <c r="D227" s="37" t="s">
        <v>54</v>
      </c>
      <c r="E227" s="37" t="n">
        <v>3</v>
      </c>
      <c r="F227" s="38" t="n">
        <v>2712000</v>
      </c>
      <c r="G227" s="37" t="n">
        <v>1</v>
      </c>
      <c r="H227" s="39" t="n">
        <f aca="false">IF(E227="","",E227*N(F227)*IF(G227="",1,G227))</f>
        <v>8136000</v>
      </c>
      <c r="I227" s="37"/>
      <c r="J227" s="37" t="s">
        <v>426</v>
      </c>
      <c r="K227" s="37"/>
    </row>
    <row r="228" customFormat="false" ht="15" hidden="false" customHeight="false" outlineLevel="0" collapsed="false">
      <c r="A228" s="35" t="n">
        <v>46244</v>
      </c>
      <c r="B228" s="36" t="n">
        <f aca="false">IF(A228="","",MONTH(A228))</f>
        <v>8</v>
      </c>
      <c r="C228" s="37" t="s">
        <v>84</v>
      </c>
      <c r="D228" s="37" t="s">
        <v>53</v>
      </c>
      <c r="E228" s="37" t="n">
        <v>1</v>
      </c>
      <c r="F228" s="38" t="n">
        <v>2089000</v>
      </c>
      <c r="G228" s="37" t="n">
        <v>1.2</v>
      </c>
      <c r="H228" s="39" t="n">
        <f aca="false">IF(E228="","",E228*N(F228)*IF(G228="",1,G228))</f>
        <v>2506800</v>
      </c>
      <c r="I228" s="37" t="s">
        <v>427</v>
      </c>
      <c r="J228" s="37" t="s">
        <v>428</v>
      </c>
      <c r="K228" s="37"/>
    </row>
    <row r="229" customFormat="false" ht="15" hidden="false" customHeight="false" outlineLevel="0" collapsed="false">
      <c r="A229" s="35" t="n">
        <v>46244</v>
      </c>
      <c r="B229" s="36" t="n">
        <f aca="false">IF(A229="","",MONTH(A229))</f>
        <v>8</v>
      </c>
      <c r="C229" s="37" t="s">
        <v>90</v>
      </c>
      <c r="D229" s="37" t="s">
        <v>54</v>
      </c>
      <c r="E229" s="37" t="n">
        <v>4</v>
      </c>
      <c r="F229" s="38" t="n">
        <v>4821000</v>
      </c>
      <c r="G229" s="37" t="n">
        <v>1</v>
      </c>
      <c r="H229" s="39" t="n">
        <f aca="false">IF(E229="","",E229*N(F229)*IF(G229="",1,G229))</f>
        <v>19284000</v>
      </c>
      <c r="I229" s="37" t="s">
        <v>189</v>
      </c>
      <c r="J229" s="37" t="s">
        <v>429</v>
      </c>
      <c r="K229" s="37"/>
    </row>
    <row r="230" customFormat="false" ht="15" hidden="false" customHeight="false" outlineLevel="0" collapsed="false">
      <c r="A230" s="35" t="n">
        <v>46244</v>
      </c>
      <c r="B230" s="36" t="n">
        <f aca="false">IF(A230="","",MONTH(A230))</f>
        <v>8</v>
      </c>
      <c r="C230" s="37" t="s">
        <v>71</v>
      </c>
      <c r="D230" s="37" t="s">
        <v>53</v>
      </c>
      <c r="E230" s="37" t="n">
        <v>2</v>
      </c>
      <c r="F230" s="38" t="n">
        <v>1874000</v>
      </c>
      <c r="G230" s="37" t="n">
        <v>1</v>
      </c>
      <c r="H230" s="39" t="n">
        <f aca="false">IF(E230="","",E230*N(F230)*IF(G230="",1,G230))</f>
        <v>3748000</v>
      </c>
      <c r="I230" s="37" t="s">
        <v>430</v>
      </c>
      <c r="J230" s="37" t="s">
        <v>431</v>
      </c>
      <c r="K230" s="37"/>
    </row>
    <row r="231" customFormat="false" ht="15" hidden="false" customHeight="false" outlineLevel="0" collapsed="false">
      <c r="A231" s="35" t="n">
        <v>46244</v>
      </c>
      <c r="B231" s="36" t="n">
        <f aca="false">IF(A231="","",MONTH(A231))</f>
        <v>8</v>
      </c>
      <c r="C231" s="37" t="s">
        <v>84</v>
      </c>
      <c r="D231" s="37" t="s">
        <v>53</v>
      </c>
      <c r="E231" s="37" t="n">
        <v>1</v>
      </c>
      <c r="F231" s="38" t="n">
        <v>2089000</v>
      </c>
      <c r="G231" s="37" t="n">
        <v>1.15</v>
      </c>
      <c r="H231" s="39" t="n">
        <f aca="false">IF(E231="","",E231*N(F231)*IF(G231="",1,G231))</f>
        <v>2402350</v>
      </c>
      <c r="I231" s="37" t="s">
        <v>432</v>
      </c>
      <c r="J231" s="37" t="s">
        <v>433</v>
      </c>
      <c r="K231" s="37"/>
    </row>
    <row r="232" customFormat="false" ht="15" hidden="false" customHeight="false" outlineLevel="0" collapsed="false">
      <c r="A232" s="35" t="n">
        <v>46244</v>
      </c>
      <c r="B232" s="36" t="n">
        <f aca="false">IF(A232="","",MONTH(A232))</f>
        <v>8</v>
      </c>
      <c r="C232" s="37" t="s">
        <v>84</v>
      </c>
      <c r="D232" s="37" t="s">
        <v>79</v>
      </c>
      <c r="E232" s="37" t="n">
        <v>1</v>
      </c>
      <c r="F232" s="38" t="n">
        <v>479000</v>
      </c>
      <c r="G232" s="37" t="n">
        <v>1</v>
      </c>
      <c r="H232" s="39" t="n">
        <f aca="false">IF(E232="","",E232*N(F232)*IF(G232="",1,G232))</f>
        <v>479000</v>
      </c>
      <c r="I232" s="37" t="s">
        <v>434</v>
      </c>
      <c r="J232" s="37" t="s">
        <v>435</v>
      </c>
      <c r="K232" s="37"/>
    </row>
    <row r="233" customFormat="false" ht="15" hidden="false" customHeight="false" outlineLevel="0" collapsed="false">
      <c r="A233" s="35" t="n">
        <v>46245</v>
      </c>
      <c r="B233" s="36" t="n">
        <f aca="false">IF(A233="","",MONTH(A233))</f>
        <v>8</v>
      </c>
      <c r="C233" s="37" t="s">
        <v>88</v>
      </c>
      <c r="D233" s="37" t="s">
        <v>54</v>
      </c>
      <c r="E233" s="37" t="n">
        <v>2</v>
      </c>
      <c r="F233" s="38" t="n">
        <v>4106000</v>
      </c>
      <c r="G233" s="37" t="n">
        <v>1</v>
      </c>
      <c r="H233" s="39" t="n">
        <f aca="false">IF(E233="","",E233*N(F233)*IF(G233="",1,G233))</f>
        <v>8212000</v>
      </c>
      <c r="I233" s="37" t="s">
        <v>28</v>
      </c>
      <c r="J233" s="37" t="s">
        <v>436</v>
      </c>
      <c r="K233" s="37"/>
    </row>
    <row r="234" customFormat="false" ht="15" hidden="false" customHeight="false" outlineLevel="0" collapsed="false">
      <c r="A234" s="35" t="n">
        <v>46246</v>
      </c>
      <c r="B234" s="36" t="n">
        <f aca="false">IF(A234="","",MONTH(A234))</f>
        <v>8</v>
      </c>
      <c r="C234" s="37" t="s">
        <v>88</v>
      </c>
      <c r="D234" s="37" t="s">
        <v>54</v>
      </c>
      <c r="E234" s="37" t="n">
        <v>2</v>
      </c>
      <c r="F234" s="38" t="n">
        <v>4106000</v>
      </c>
      <c r="G234" s="37" t="n">
        <v>1</v>
      </c>
      <c r="H234" s="39" t="n">
        <f aca="false">IF(E234="","",E234*N(F234)*IF(G234="",1,G234))</f>
        <v>8212000</v>
      </c>
      <c r="I234" s="37"/>
      <c r="J234" s="37" t="s">
        <v>437</v>
      </c>
      <c r="K234" s="37"/>
    </row>
    <row r="235" customFormat="false" ht="15" hidden="false" customHeight="false" outlineLevel="0" collapsed="false">
      <c r="A235" s="35" t="n">
        <v>46246</v>
      </c>
      <c r="B235" s="36" t="n">
        <f aca="false">IF(A235="","",MONTH(A235))</f>
        <v>8</v>
      </c>
      <c r="C235" s="37" t="s">
        <v>55</v>
      </c>
      <c r="D235" s="37" t="s">
        <v>54</v>
      </c>
      <c r="E235" s="37" t="n">
        <v>1</v>
      </c>
      <c r="F235" s="38" t="n">
        <v>4106000</v>
      </c>
      <c r="G235" s="37" t="n">
        <v>1</v>
      </c>
      <c r="H235" s="39" t="n">
        <f aca="false">IF(E235="","",E235*N(F235)*IF(G235="",1,G235))</f>
        <v>4106000</v>
      </c>
      <c r="I235" s="37"/>
      <c r="J235" s="37" t="s">
        <v>438</v>
      </c>
      <c r="K235" s="37"/>
    </row>
    <row r="236" customFormat="false" ht="15" hidden="false" customHeight="false" outlineLevel="0" collapsed="false">
      <c r="A236" s="35" t="n">
        <v>46246</v>
      </c>
      <c r="B236" s="36" t="n">
        <f aca="false">IF(A236="","",MONTH(A236))</f>
        <v>8</v>
      </c>
      <c r="C236" s="37" t="s">
        <v>84</v>
      </c>
      <c r="D236" s="37" t="s">
        <v>53</v>
      </c>
      <c r="E236" s="37" t="n">
        <v>2</v>
      </c>
      <c r="F236" s="38" t="n">
        <v>2089000</v>
      </c>
      <c r="G236" s="37" t="n">
        <v>1</v>
      </c>
      <c r="H236" s="39" t="n">
        <f aca="false">IF(E236="","",E236*N(F236)*IF(G236="",1,G236))</f>
        <v>4178000</v>
      </c>
      <c r="I236" s="37" t="s">
        <v>189</v>
      </c>
      <c r="J236" s="37" t="s">
        <v>439</v>
      </c>
      <c r="K236" s="37"/>
    </row>
    <row r="237" customFormat="false" ht="15" hidden="false" customHeight="false" outlineLevel="0" collapsed="false">
      <c r="A237" s="35" t="n">
        <v>46246</v>
      </c>
      <c r="B237" s="36" t="n">
        <f aca="false">IF(A237="","",MONTH(A237))</f>
        <v>8</v>
      </c>
      <c r="C237" s="37" t="s">
        <v>84</v>
      </c>
      <c r="D237" s="37" t="s">
        <v>79</v>
      </c>
      <c r="E237" s="37" t="n">
        <v>2</v>
      </c>
      <c r="F237" s="38" t="n">
        <v>479000</v>
      </c>
      <c r="G237" s="37" t="n">
        <v>1.15</v>
      </c>
      <c r="H237" s="39" t="n">
        <f aca="false">IF(E237="","",E237*N(F237)*IF(G237="",1,G237))</f>
        <v>1101700</v>
      </c>
      <c r="I237" s="37" t="s">
        <v>432</v>
      </c>
      <c r="J237" s="37" t="s">
        <v>440</v>
      </c>
      <c r="K237" s="37"/>
    </row>
    <row r="238" customFormat="false" ht="15" hidden="false" customHeight="false" outlineLevel="0" collapsed="false">
      <c r="A238" s="35" t="n">
        <v>46246</v>
      </c>
      <c r="B238" s="36" t="n">
        <f aca="false">IF(A238="","",MONTH(A238))</f>
        <v>8</v>
      </c>
      <c r="C238" s="37" t="s">
        <v>84</v>
      </c>
      <c r="D238" s="37" t="s">
        <v>79</v>
      </c>
      <c r="E238" s="37" t="n">
        <v>1</v>
      </c>
      <c r="F238" s="38" t="n">
        <v>479000</v>
      </c>
      <c r="G238" s="37" t="n">
        <v>1.15</v>
      </c>
      <c r="H238" s="39" t="n">
        <f aca="false">IF(E238="","",E238*N(F238)*IF(G238="",1,G238))</f>
        <v>550850</v>
      </c>
      <c r="I238" s="37" t="s">
        <v>441</v>
      </c>
      <c r="J238" s="37" t="s">
        <v>442</v>
      </c>
      <c r="K238" s="37"/>
    </row>
    <row r="239" customFormat="false" ht="15" hidden="false" customHeight="false" outlineLevel="0" collapsed="false">
      <c r="A239" s="35" t="n">
        <v>46246</v>
      </c>
      <c r="B239" s="36" t="n">
        <f aca="false">IF(A239="","",MONTH(A239))</f>
        <v>8</v>
      </c>
      <c r="C239" s="37" t="s">
        <v>71</v>
      </c>
      <c r="D239" s="37" t="s">
        <v>53</v>
      </c>
      <c r="E239" s="37" t="n">
        <v>1</v>
      </c>
      <c r="F239" s="38" t="n">
        <v>1874000</v>
      </c>
      <c r="G239" s="37" t="n">
        <v>1</v>
      </c>
      <c r="H239" s="39" t="n">
        <f aca="false">IF(E239="","",E239*N(F239)*IF(G239="",1,G239))</f>
        <v>1874000</v>
      </c>
      <c r="I239" s="37" t="s">
        <v>443</v>
      </c>
      <c r="J239" s="37" t="s">
        <v>444</v>
      </c>
      <c r="K239" s="37"/>
    </row>
    <row r="240" customFormat="false" ht="15" hidden="false" customHeight="false" outlineLevel="0" collapsed="false">
      <c r="A240" s="35" t="n">
        <v>46247</v>
      </c>
      <c r="B240" s="36" t="n">
        <f aca="false">IF(A240="","",MONTH(A240))</f>
        <v>8</v>
      </c>
      <c r="C240" s="37" t="s">
        <v>90</v>
      </c>
      <c r="D240" s="37" t="s">
        <v>54</v>
      </c>
      <c r="E240" s="37" t="n">
        <v>5</v>
      </c>
      <c r="F240" s="38" t="n">
        <v>4821000</v>
      </c>
      <c r="G240" s="37" t="n">
        <v>1</v>
      </c>
      <c r="H240" s="39" t="n">
        <f aca="false">IF(E240="","",E240*N(F240)*IF(G240="",1,G240))</f>
        <v>24105000</v>
      </c>
      <c r="I240" s="37"/>
      <c r="J240" s="37" t="s">
        <v>445</v>
      </c>
      <c r="K240" s="37"/>
    </row>
    <row r="241" customFormat="false" ht="15" hidden="false" customHeight="false" outlineLevel="0" collapsed="false">
      <c r="A241" s="35" t="n">
        <v>46247</v>
      </c>
      <c r="B241" s="36" t="n">
        <f aca="false">IF(A241="","",MONTH(A241))</f>
        <v>8</v>
      </c>
      <c r="C241" s="37" t="s">
        <v>51</v>
      </c>
      <c r="D241" s="37" t="s">
        <v>54</v>
      </c>
      <c r="E241" s="37" t="n">
        <v>5</v>
      </c>
      <c r="F241" s="38" t="n">
        <v>3012000</v>
      </c>
      <c r="G241" s="37" t="n">
        <v>1</v>
      </c>
      <c r="H241" s="39" t="n">
        <f aca="false">IF(E241="","",E241*N(F241)*IF(G241="",1,G241))</f>
        <v>15060000</v>
      </c>
      <c r="I241" s="37"/>
      <c r="J241" s="37" t="s">
        <v>446</v>
      </c>
      <c r="K241" s="37"/>
    </row>
    <row r="242" customFormat="false" ht="15" hidden="false" customHeight="false" outlineLevel="0" collapsed="false">
      <c r="A242" s="35" t="n">
        <v>46247</v>
      </c>
      <c r="B242" s="36" t="n">
        <f aca="false">IF(A242="","",MONTH(A242))</f>
        <v>8</v>
      </c>
      <c r="C242" s="37" t="s">
        <v>51</v>
      </c>
      <c r="D242" s="37" t="s">
        <v>54</v>
      </c>
      <c r="E242" s="37" t="n">
        <v>4</v>
      </c>
      <c r="F242" s="38" t="n">
        <v>3012000</v>
      </c>
      <c r="G242" s="37" t="n">
        <v>1</v>
      </c>
      <c r="H242" s="39" t="n">
        <f aca="false">IF(E242="","",E242*N(F242)*IF(G242="",1,G242))</f>
        <v>12048000</v>
      </c>
      <c r="I242" s="37"/>
      <c r="J242" s="37" t="s">
        <v>447</v>
      </c>
      <c r="K242" s="37"/>
    </row>
    <row r="243" customFormat="false" ht="15" hidden="false" customHeight="false" outlineLevel="0" collapsed="false">
      <c r="A243" s="35" t="n">
        <v>46249</v>
      </c>
      <c r="B243" s="36" t="n">
        <f aca="false">IF(A243="","",MONTH(A243))</f>
        <v>8</v>
      </c>
      <c r="C243" s="37" t="s">
        <v>55</v>
      </c>
      <c r="D243" s="37" t="s">
        <v>54</v>
      </c>
      <c r="E243" s="37" t="n">
        <v>2</v>
      </c>
      <c r="F243" s="38" t="n">
        <v>4106000</v>
      </c>
      <c r="G243" s="37" t="n">
        <v>1</v>
      </c>
      <c r="H243" s="39" t="n">
        <f aca="false">IF(E243="","",E243*N(F243)*IF(G243="",1,G243))</f>
        <v>8212000</v>
      </c>
      <c r="I243" s="37"/>
      <c r="J243" s="37" t="s">
        <v>448</v>
      </c>
      <c r="K243" s="37"/>
    </row>
    <row r="244" customFormat="false" ht="15" hidden="false" customHeight="false" outlineLevel="0" collapsed="false">
      <c r="A244" s="35" t="n">
        <v>46249</v>
      </c>
      <c r="B244" s="36" t="n">
        <f aca="false">IF(A244="","",MONTH(A244))</f>
        <v>8</v>
      </c>
      <c r="C244" s="37" t="s">
        <v>90</v>
      </c>
      <c r="D244" s="37" t="s">
        <v>54</v>
      </c>
      <c r="E244" s="37" t="n">
        <v>2</v>
      </c>
      <c r="F244" s="38" t="n">
        <v>4821000</v>
      </c>
      <c r="G244" s="37" t="n">
        <v>1</v>
      </c>
      <c r="H244" s="39" t="n">
        <f aca="false">IF(E244="","",E244*N(F244)*IF(G244="",1,G244))</f>
        <v>9642000</v>
      </c>
      <c r="I244" s="37" t="s">
        <v>189</v>
      </c>
      <c r="J244" s="37" t="s">
        <v>449</v>
      </c>
      <c r="K244" s="37"/>
    </row>
    <row r="245" customFormat="false" ht="15" hidden="false" customHeight="false" outlineLevel="0" collapsed="false">
      <c r="A245" s="35" t="n">
        <v>46251</v>
      </c>
      <c r="B245" s="36" t="n">
        <f aca="false">IF(A245="","",MONTH(A245))</f>
        <v>8</v>
      </c>
      <c r="C245" s="37" t="s">
        <v>71</v>
      </c>
      <c r="D245" s="37" t="s">
        <v>54</v>
      </c>
      <c r="E245" s="37" t="n">
        <v>7</v>
      </c>
      <c r="F245" s="38" t="n">
        <v>5530000</v>
      </c>
      <c r="G245" s="37" t="n">
        <v>1</v>
      </c>
      <c r="H245" s="39" t="n">
        <f aca="false">IF(E245="","",E245*N(F245)*IF(G245="",1,G245))</f>
        <v>38710000</v>
      </c>
      <c r="I245" s="37" t="s">
        <v>189</v>
      </c>
      <c r="J245" s="37" t="s">
        <v>450</v>
      </c>
      <c r="K245" s="37"/>
    </row>
    <row r="246" customFormat="false" ht="15" hidden="false" customHeight="false" outlineLevel="0" collapsed="false">
      <c r="A246" s="35" t="n">
        <v>46251</v>
      </c>
      <c r="B246" s="36" t="n">
        <f aca="false">IF(A246="","",MONTH(A246))</f>
        <v>8</v>
      </c>
      <c r="C246" s="37" t="s">
        <v>65</v>
      </c>
      <c r="D246" s="37" t="s">
        <v>54</v>
      </c>
      <c r="E246" s="37" t="n">
        <v>6</v>
      </c>
      <c r="F246" s="38" t="n">
        <v>2712000</v>
      </c>
      <c r="G246" s="37" t="n">
        <v>1</v>
      </c>
      <c r="H246" s="39" t="n">
        <f aca="false">IF(E246="","",E246*N(F246)*IF(G246="",1,G246))</f>
        <v>16272000</v>
      </c>
      <c r="I246" s="37"/>
      <c r="J246" s="37" t="s">
        <v>451</v>
      </c>
      <c r="K246" s="37"/>
    </row>
    <row r="247" customFormat="false" ht="15" hidden="false" customHeight="false" outlineLevel="0" collapsed="false">
      <c r="A247" s="35" t="n">
        <v>46251</v>
      </c>
      <c r="B247" s="36" t="n">
        <f aca="false">IF(A247="","",MONTH(A247))</f>
        <v>8</v>
      </c>
      <c r="C247" s="37" t="s">
        <v>51</v>
      </c>
      <c r="D247" s="37" t="s">
        <v>54</v>
      </c>
      <c r="E247" s="37" t="n">
        <v>4</v>
      </c>
      <c r="F247" s="38" t="n">
        <v>3012000</v>
      </c>
      <c r="G247" s="37" t="n">
        <v>1</v>
      </c>
      <c r="H247" s="39" t="n">
        <f aca="false">IF(E247="","",E247*N(F247)*IF(G247="",1,G247))</f>
        <v>12048000</v>
      </c>
      <c r="I247" s="37"/>
      <c r="J247" s="37" t="s">
        <v>452</v>
      </c>
      <c r="K247" s="37"/>
    </row>
    <row r="248" customFormat="false" ht="15" hidden="false" customHeight="false" outlineLevel="0" collapsed="false">
      <c r="A248" s="35" t="n">
        <v>46251</v>
      </c>
      <c r="B248" s="36" t="n">
        <f aca="false">IF(A248="","",MONTH(A248))</f>
        <v>8</v>
      </c>
      <c r="C248" s="37" t="s">
        <v>84</v>
      </c>
      <c r="D248" s="37" t="s">
        <v>54</v>
      </c>
      <c r="E248" s="37" t="n">
        <v>1</v>
      </c>
      <c r="F248" s="38" t="n">
        <v>6504000</v>
      </c>
      <c r="G248" s="37" t="n">
        <v>1</v>
      </c>
      <c r="H248" s="39" t="n">
        <f aca="false">IF(E248="","",E248*N(F248)*IF(G248="",1,G248))</f>
        <v>6504000</v>
      </c>
      <c r="I248" s="37" t="s">
        <v>189</v>
      </c>
      <c r="J248" s="37" t="s">
        <v>453</v>
      </c>
      <c r="K248" s="37"/>
    </row>
    <row r="249" customFormat="false" ht="15" hidden="false" customHeight="false" outlineLevel="0" collapsed="false">
      <c r="A249" s="35" t="n">
        <v>46251</v>
      </c>
      <c r="B249" s="36" t="n">
        <f aca="false">IF(A249="","",MONTH(A249))</f>
        <v>8</v>
      </c>
      <c r="C249" s="37" t="s">
        <v>98</v>
      </c>
      <c r="D249" s="37" t="s">
        <v>100</v>
      </c>
      <c r="E249" s="37" t="n">
        <v>3</v>
      </c>
      <c r="F249" s="38" t="n">
        <v>481000</v>
      </c>
      <c r="G249" s="37" t="n">
        <v>1</v>
      </c>
      <c r="H249" s="39" t="n">
        <f aca="false">IF(E249="","",E249*N(F249)*IF(G249="",1,G249))</f>
        <v>1443000</v>
      </c>
      <c r="I249" s="37"/>
      <c r="J249" s="37" t="s">
        <v>454</v>
      </c>
      <c r="K249" s="37"/>
    </row>
    <row r="250" customFormat="false" ht="15" hidden="false" customHeight="false" outlineLevel="0" collapsed="false">
      <c r="A250" s="35" t="n">
        <v>46252</v>
      </c>
      <c r="B250" s="36" t="n">
        <f aca="false">IF(A250="","",MONTH(A250))</f>
        <v>8</v>
      </c>
      <c r="C250" s="37" t="s">
        <v>71</v>
      </c>
      <c r="D250" s="37" t="s">
        <v>54</v>
      </c>
      <c r="E250" s="37" t="n">
        <v>3</v>
      </c>
      <c r="F250" s="38" t="n">
        <v>5530000</v>
      </c>
      <c r="G250" s="37" t="n">
        <v>1</v>
      </c>
      <c r="H250" s="39" t="n">
        <f aca="false">IF(E250="","",E250*N(F250)*IF(G250="",1,G250))</f>
        <v>16590000</v>
      </c>
      <c r="I250" s="37" t="s">
        <v>430</v>
      </c>
      <c r="J250" s="37" t="s">
        <v>455</v>
      </c>
      <c r="K250" s="37"/>
    </row>
    <row r="251" customFormat="false" ht="15" hidden="false" customHeight="false" outlineLevel="0" collapsed="false">
      <c r="A251" s="35" t="n">
        <v>46252</v>
      </c>
      <c r="B251" s="36" t="n">
        <f aca="false">IF(A251="","",MONTH(A251))</f>
        <v>8</v>
      </c>
      <c r="C251" s="37" t="s">
        <v>84</v>
      </c>
      <c r="D251" s="37" t="s">
        <v>54</v>
      </c>
      <c r="E251" s="37" t="n">
        <v>1</v>
      </c>
      <c r="F251" s="38" t="n">
        <v>6504000</v>
      </c>
      <c r="G251" s="37" t="n">
        <v>1</v>
      </c>
      <c r="H251" s="39" t="n">
        <f aca="false">IF(E251="","",E251*N(F251)*IF(G251="",1,G251))</f>
        <v>6504000</v>
      </c>
      <c r="I251" s="37" t="s">
        <v>260</v>
      </c>
      <c r="J251" s="37" t="s">
        <v>456</v>
      </c>
      <c r="K251" s="37"/>
    </row>
    <row r="252" customFormat="false" ht="15" hidden="false" customHeight="false" outlineLevel="0" collapsed="false">
      <c r="A252" s="35" t="n">
        <v>46252</v>
      </c>
      <c r="B252" s="36" t="n">
        <f aca="false">IF(A252="","",MONTH(A252))</f>
        <v>8</v>
      </c>
      <c r="C252" s="37" t="s">
        <v>84</v>
      </c>
      <c r="D252" s="37" t="s">
        <v>54</v>
      </c>
      <c r="E252" s="37" t="n">
        <v>1</v>
      </c>
      <c r="F252" s="38" t="n">
        <v>6504000</v>
      </c>
      <c r="G252" s="37" t="n">
        <v>1</v>
      </c>
      <c r="H252" s="39" t="n">
        <f aca="false">IF(E252="","",E252*N(F252)*IF(G252="",1,G252))</f>
        <v>6504000</v>
      </c>
      <c r="I252" s="37" t="s">
        <v>226</v>
      </c>
      <c r="J252" s="37" t="s">
        <v>457</v>
      </c>
      <c r="K252" s="37"/>
    </row>
    <row r="253" customFormat="false" ht="15" hidden="false" customHeight="false" outlineLevel="0" collapsed="false">
      <c r="A253" s="35" t="n">
        <v>46252</v>
      </c>
      <c r="B253" s="36" t="n">
        <f aca="false">IF(A253="","",MONTH(A253))</f>
        <v>8</v>
      </c>
      <c r="C253" s="37" t="s">
        <v>61</v>
      </c>
      <c r="D253" s="37" t="s">
        <v>54</v>
      </c>
      <c r="E253" s="37" t="n">
        <v>4</v>
      </c>
      <c r="F253" s="38" t="n">
        <v>2185000</v>
      </c>
      <c r="G253" s="37" t="n">
        <v>1</v>
      </c>
      <c r="H253" s="39" t="n">
        <f aca="false">IF(E253="","",E253*N(F253)*IF(G253="",1,G253))</f>
        <v>8740000</v>
      </c>
      <c r="I253" s="37"/>
      <c r="J253" s="37" t="s">
        <v>458</v>
      </c>
      <c r="K253" s="37"/>
    </row>
    <row r="254" customFormat="false" ht="15" hidden="false" customHeight="false" outlineLevel="0" collapsed="false">
      <c r="A254" s="35" t="n">
        <v>46252</v>
      </c>
      <c r="B254" s="36" t="n">
        <f aca="false">IF(A254="","",MONTH(A254))</f>
        <v>8</v>
      </c>
      <c r="C254" s="37" t="s">
        <v>88</v>
      </c>
      <c r="D254" s="37" t="s">
        <v>54</v>
      </c>
      <c r="E254" s="37" t="n">
        <v>1</v>
      </c>
      <c r="F254" s="38" t="n">
        <v>4106000</v>
      </c>
      <c r="G254" s="37" t="n">
        <v>1</v>
      </c>
      <c r="H254" s="39" t="n">
        <f aca="false">IF(E254="","",E254*N(F254)*IF(G254="",1,G254))</f>
        <v>4106000</v>
      </c>
      <c r="I254" s="37"/>
      <c r="J254" s="37" t="s">
        <v>459</v>
      </c>
      <c r="K254" s="37"/>
    </row>
    <row r="255" customFormat="false" ht="15" hidden="false" customHeight="false" outlineLevel="0" collapsed="false">
      <c r="A255" s="35" t="n">
        <v>46252</v>
      </c>
      <c r="B255" s="36" t="n">
        <f aca="false">IF(A255="","",MONTH(A255))</f>
        <v>8</v>
      </c>
      <c r="C255" s="37" t="s">
        <v>84</v>
      </c>
      <c r="D255" s="37" t="s">
        <v>53</v>
      </c>
      <c r="E255" s="37" t="n">
        <v>1</v>
      </c>
      <c r="F255" s="38" t="n">
        <v>2089000</v>
      </c>
      <c r="G255" s="37" t="n">
        <v>1.15</v>
      </c>
      <c r="H255" s="39" t="n">
        <f aca="false">IF(E255="","",E255*N(F255)*IF(G255="",1,G255))</f>
        <v>2402350</v>
      </c>
      <c r="I255" s="37" t="s">
        <v>460</v>
      </c>
      <c r="J255" s="37" t="s">
        <v>461</v>
      </c>
      <c r="K255" s="37"/>
    </row>
    <row r="256" customFormat="false" ht="15" hidden="false" customHeight="false" outlineLevel="0" collapsed="false">
      <c r="A256" s="35" t="n">
        <v>46252</v>
      </c>
      <c r="B256" s="36" t="n">
        <f aca="false">IF(A256="","",MONTH(A256))</f>
        <v>8</v>
      </c>
      <c r="C256" s="37" t="s">
        <v>63</v>
      </c>
      <c r="D256" s="37" t="s">
        <v>54</v>
      </c>
      <c r="E256" s="37" t="n">
        <v>1</v>
      </c>
      <c r="F256" s="38" t="n">
        <v>3097000</v>
      </c>
      <c r="G256" s="37" t="n">
        <v>1</v>
      </c>
      <c r="H256" s="39" t="n">
        <f aca="false">IF(E256="","",E256*N(F256)*IF(G256="",1,G256))</f>
        <v>3097000</v>
      </c>
      <c r="I256" s="37"/>
      <c r="J256" s="37" t="s">
        <v>462</v>
      </c>
      <c r="K256" s="37"/>
    </row>
    <row r="257" customFormat="false" ht="15" hidden="false" customHeight="false" outlineLevel="0" collapsed="false">
      <c r="A257" s="35" t="n">
        <v>46252</v>
      </c>
      <c r="B257" s="36" t="n">
        <f aca="false">IF(A257="","",MONTH(A257))</f>
        <v>8</v>
      </c>
      <c r="C257" s="37" t="s">
        <v>75</v>
      </c>
      <c r="D257" s="37" t="s">
        <v>54</v>
      </c>
      <c r="E257" s="37" t="n">
        <v>2</v>
      </c>
      <c r="F257" s="38" t="n">
        <v>1113000</v>
      </c>
      <c r="G257" s="37" t="n">
        <v>1</v>
      </c>
      <c r="H257" s="39" t="n">
        <f aca="false">IF(E257="","",E257*N(F257)*IF(G257="",1,G257))</f>
        <v>2226000</v>
      </c>
      <c r="I257" s="37" t="s">
        <v>463</v>
      </c>
      <c r="J257" s="37" t="s">
        <v>464</v>
      </c>
      <c r="K257" s="37"/>
    </row>
    <row r="258" customFormat="false" ht="15" hidden="false" customHeight="false" outlineLevel="0" collapsed="false">
      <c r="A258" s="35" t="n">
        <v>46252</v>
      </c>
      <c r="B258" s="36" t="n">
        <f aca="false">IF(A258="","",MONTH(A258))</f>
        <v>8</v>
      </c>
      <c r="C258" s="37" t="s">
        <v>88</v>
      </c>
      <c r="D258" s="37" t="s">
        <v>54</v>
      </c>
      <c r="E258" s="37" t="n">
        <v>2</v>
      </c>
      <c r="F258" s="38" t="n">
        <v>4106000</v>
      </c>
      <c r="G258" s="37" t="n">
        <v>1</v>
      </c>
      <c r="H258" s="39" t="n">
        <f aca="false">IF(E258="","",E258*N(F258)*IF(G258="",1,G258))</f>
        <v>8212000</v>
      </c>
      <c r="I258" s="37"/>
      <c r="J258" s="37" t="s">
        <v>465</v>
      </c>
      <c r="K258" s="37"/>
    </row>
    <row r="259" customFormat="false" ht="15" hidden="false" customHeight="false" outlineLevel="0" collapsed="false">
      <c r="A259" s="35" t="n">
        <v>46252</v>
      </c>
      <c r="B259" s="36" t="n">
        <f aca="false">IF(A259="","",MONTH(A259))</f>
        <v>8</v>
      </c>
      <c r="C259" s="37" t="s">
        <v>84</v>
      </c>
      <c r="D259" s="37" t="s">
        <v>53</v>
      </c>
      <c r="E259" s="37" t="n">
        <v>1</v>
      </c>
      <c r="F259" s="38" t="n">
        <v>2089000</v>
      </c>
      <c r="G259" s="37" t="n">
        <v>1</v>
      </c>
      <c r="H259" s="39" t="n">
        <f aca="false">IF(E259="","",E259*N(F259)*IF(G259="",1,G259))</f>
        <v>2089000</v>
      </c>
      <c r="I259" s="37" t="s">
        <v>466</v>
      </c>
      <c r="J259" s="37" t="s">
        <v>467</v>
      </c>
      <c r="K259" s="37"/>
    </row>
    <row r="260" customFormat="false" ht="15" hidden="false" customHeight="false" outlineLevel="0" collapsed="false">
      <c r="A260" s="35" t="n">
        <v>46255</v>
      </c>
      <c r="B260" s="36" t="n">
        <f aca="false">IF(A260="","",MONTH(A260))</f>
        <v>8</v>
      </c>
      <c r="C260" s="37" t="s">
        <v>67</v>
      </c>
      <c r="D260" s="37" t="s">
        <v>53</v>
      </c>
      <c r="E260" s="37" t="n">
        <v>1</v>
      </c>
      <c r="F260" s="38" t="n">
        <v>631000</v>
      </c>
      <c r="G260" s="37" t="n">
        <v>1</v>
      </c>
      <c r="H260" s="39" t="n">
        <f aca="false">IF(E260="","",E260*N(F260)*IF(G260="",1,G260))</f>
        <v>631000</v>
      </c>
      <c r="I260" s="37" t="s">
        <v>468</v>
      </c>
      <c r="J260" s="37" t="s">
        <v>469</v>
      </c>
      <c r="K260" s="37"/>
    </row>
    <row r="261" customFormat="false" ht="15" hidden="false" customHeight="false" outlineLevel="0" collapsed="false">
      <c r="A261" s="35" t="n">
        <v>46263</v>
      </c>
      <c r="B261" s="36" t="n">
        <f aca="false">IF(A261="","",MONTH(A261))</f>
        <v>8</v>
      </c>
      <c r="C261" s="37" t="s">
        <v>71</v>
      </c>
      <c r="D261" s="37" t="s">
        <v>54</v>
      </c>
      <c r="E261" s="37" t="n">
        <v>2</v>
      </c>
      <c r="F261" s="38" t="n">
        <v>5530000</v>
      </c>
      <c r="G261" s="37" t="n">
        <v>1</v>
      </c>
      <c r="H261" s="39" t="n">
        <f aca="false">IF(E261="","",E261*N(F261)*IF(G261="",1,G261))</f>
        <v>11060000</v>
      </c>
      <c r="I261" s="37" t="s">
        <v>143</v>
      </c>
      <c r="J261" s="37" t="s">
        <v>470</v>
      </c>
      <c r="K261" s="37"/>
    </row>
    <row r="262" customFormat="false" ht="15" hidden="false" customHeight="false" outlineLevel="0" collapsed="false">
      <c r="A262" s="35" t="n">
        <v>46263</v>
      </c>
      <c r="B262" s="36" t="n">
        <f aca="false">IF(A262="","",MONTH(A262))</f>
        <v>8</v>
      </c>
      <c r="C262" s="37" t="s">
        <v>75</v>
      </c>
      <c r="D262" s="37" t="s">
        <v>54</v>
      </c>
      <c r="E262" s="37" t="n">
        <v>3</v>
      </c>
      <c r="F262" s="38" t="n">
        <v>1113000</v>
      </c>
      <c r="G262" s="37" t="n">
        <v>1</v>
      </c>
      <c r="H262" s="39" t="n">
        <f aca="false">IF(E262="","",E262*N(F262)*IF(G262="",1,G262))</f>
        <v>3339000</v>
      </c>
      <c r="I262" s="37" t="s">
        <v>471</v>
      </c>
      <c r="J262" s="37" t="s">
        <v>472</v>
      </c>
      <c r="K262" s="37"/>
    </row>
    <row r="263" customFormat="false" ht="15" hidden="false" customHeight="false" outlineLevel="0" collapsed="false">
      <c r="A263" s="35" t="n">
        <v>46263</v>
      </c>
      <c r="B263" s="36" t="n">
        <f aca="false">IF(A263="","",MONTH(A263))</f>
        <v>8</v>
      </c>
      <c r="C263" s="37" t="s">
        <v>75</v>
      </c>
      <c r="D263" s="37" t="s">
        <v>54</v>
      </c>
      <c r="E263" s="37" t="n">
        <v>1</v>
      </c>
      <c r="F263" s="38" t="n">
        <v>1113000</v>
      </c>
      <c r="G263" s="37" t="n">
        <v>1</v>
      </c>
      <c r="H263" s="39" t="n">
        <f aca="false">IF(E263="","",E263*N(F263)*IF(G263="",1,G263))</f>
        <v>1113000</v>
      </c>
      <c r="I263" s="37" t="s">
        <v>141</v>
      </c>
      <c r="J263" s="37" t="s">
        <v>473</v>
      </c>
      <c r="K263" s="37"/>
    </row>
    <row r="264" customFormat="false" ht="15" hidden="false" customHeight="false" outlineLevel="0" collapsed="false">
      <c r="A264" s="35" t="n">
        <v>46263</v>
      </c>
      <c r="B264" s="36" t="n">
        <f aca="false">IF(A264="","",MONTH(A264))</f>
        <v>8</v>
      </c>
      <c r="C264" s="37" t="s">
        <v>51</v>
      </c>
      <c r="D264" s="37" t="s">
        <v>54</v>
      </c>
      <c r="E264" s="37" t="n">
        <v>1</v>
      </c>
      <c r="F264" s="38"/>
      <c r="G264" s="37"/>
      <c r="H264" s="39" t="n">
        <f aca="false">IF(E264="","",E264*N(F264)*IF(G264="",1,G264))</f>
        <v>0</v>
      </c>
      <c r="I264" s="37"/>
      <c r="J264" s="37" t="s">
        <v>474</v>
      </c>
      <c r="K264" s="40" t="s">
        <v>475</v>
      </c>
    </row>
    <row r="265" customFormat="false" ht="15" hidden="false" customHeight="false" outlineLevel="0" collapsed="false">
      <c r="A265" s="35" t="n">
        <v>46267</v>
      </c>
      <c r="B265" s="36" t="n">
        <f aca="false">IF(A265="","",MONTH(A265))</f>
        <v>9</v>
      </c>
      <c r="C265" s="37" t="s">
        <v>88</v>
      </c>
      <c r="D265" s="37" t="s">
        <v>53</v>
      </c>
      <c r="E265" s="37" t="n">
        <v>1</v>
      </c>
      <c r="F265" s="38" t="n">
        <v>1339000</v>
      </c>
      <c r="G265" s="37" t="n">
        <v>1</v>
      </c>
      <c r="H265" s="39" t="n">
        <f aca="false">IF(E265="","",E265*N(F265)*IF(G265="",1,G265))</f>
        <v>1339000</v>
      </c>
      <c r="I265" s="37"/>
      <c r="J265" s="37" t="s">
        <v>476</v>
      </c>
      <c r="K265" s="37"/>
    </row>
    <row r="266" customFormat="false" ht="15" hidden="false" customHeight="false" outlineLevel="0" collapsed="false">
      <c r="A266" s="35" t="n">
        <v>46268</v>
      </c>
      <c r="B266" s="36" t="n">
        <f aca="false">IF(A266="","",MONTH(A266))</f>
        <v>9</v>
      </c>
      <c r="C266" s="37" t="s">
        <v>84</v>
      </c>
      <c r="D266" s="37" t="s">
        <v>53</v>
      </c>
      <c r="E266" s="37" t="n">
        <v>1</v>
      </c>
      <c r="F266" s="38" t="n">
        <v>2089000</v>
      </c>
      <c r="G266" s="37" t="n">
        <v>1</v>
      </c>
      <c r="H266" s="39" t="n">
        <f aca="false">IF(E266="","",E266*N(F266)*IF(G266="",1,G266))</f>
        <v>2089000</v>
      </c>
      <c r="I266" s="37" t="s">
        <v>260</v>
      </c>
      <c r="J266" s="37" t="s">
        <v>477</v>
      </c>
      <c r="K266" s="37"/>
    </row>
    <row r="267" customFormat="false" ht="15" hidden="false" customHeight="false" outlineLevel="0" collapsed="false">
      <c r="A267" s="35" t="n">
        <v>46268</v>
      </c>
      <c r="B267" s="36" t="n">
        <f aca="false">IF(A267="","",MONTH(A267))</f>
        <v>9</v>
      </c>
      <c r="C267" s="37" t="s">
        <v>96</v>
      </c>
      <c r="D267" s="37" t="s">
        <v>54</v>
      </c>
      <c r="E267" s="37" t="n">
        <v>2</v>
      </c>
      <c r="F267" s="38" t="n">
        <v>5025000</v>
      </c>
      <c r="G267" s="37" t="n">
        <v>1</v>
      </c>
      <c r="H267" s="39" t="n">
        <f aca="false">IF(E267="","",E267*N(F267)*IF(G267="",1,G267))</f>
        <v>10050000</v>
      </c>
      <c r="I267" s="37" t="s">
        <v>354</v>
      </c>
      <c r="J267" s="37" t="s">
        <v>478</v>
      </c>
      <c r="K267" s="37"/>
    </row>
    <row r="268" customFormat="false" ht="15" hidden="false" customHeight="false" outlineLevel="0" collapsed="false">
      <c r="A268" s="35" t="n">
        <v>46269</v>
      </c>
      <c r="B268" s="36" t="n">
        <f aca="false">IF(A268="","",MONTH(A268))</f>
        <v>9</v>
      </c>
      <c r="C268" s="37" t="s">
        <v>55</v>
      </c>
      <c r="D268" s="37" t="s">
        <v>54</v>
      </c>
      <c r="E268" s="37" t="n">
        <v>2</v>
      </c>
      <c r="F268" s="38" t="n">
        <v>4106000</v>
      </c>
      <c r="G268" s="37" t="n">
        <v>1</v>
      </c>
      <c r="H268" s="39" t="n">
        <f aca="false">IF(E268="","",E268*N(F268)*IF(G268="",1,G268))</f>
        <v>8212000</v>
      </c>
      <c r="I268" s="37"/>
      <c r="J268" s="37" t="s">
        <v>479</v>
      </c>
      <c r="K268" s="37"/>
    </row>
    <row r="269" customFormat="false" ht="15" hidden="false" customHeight="false" outlineLevel="0" collapsed="false">
      <c r="A269" s="35" t="n">
        <v>46269</v>
      </c>
      <c r="B269" s="36" t="n">
        <f aca="false">IF(A269="","",MONTH(A269))</f>
        <v>9</v>
      </c>
      <c r="C269" s="37" t="s">
        <v>65</v>
      </c>
      <c r="D269" s="37" t="s">
        <v>54</v>
      </c>
      <c r="E269" s="37" t="n">
        <v>3</v>
      </c>
      <c r="F269" s="38" t="n">
        <v>2712000</v>
      </c>
      <c r="G269" s="37" t="n">
        <v>1</v>
      </c>
      <c r="H269" s="39" t="n">
        <f aca="false">IF(E269="","",E269*N(F269)*IF(G269="",1,G269))</f>
        <v>8136000</v>
      </c>
      <c r="I269" s="37" t="s">
        <v>354</v>
      </c>
      <c r="J269" s="37" t="s">
        <v>480</v>
      </c>
      <c r="K269" s="37"/>
    </row>
    <row r="270" customFormat="false" ht="15" hidden="false" customHeight="false" outlineLevel="0" collapsed="false">
      <c r="A270" s="35" t="n">
        <v>46269</v>
      </c>
      <c r="B270" s="36" t="n">
        <f aca="false">IF(A270="","",MONTH(A270))</f>
        <v>9</v>
      </c>
      <c r="C270" s="37" t="s">
        <v>55</v>
      </c>
      <c r="D270" s="37" t="s">
        <v>54</v>
      </c>
      <c r="E270" s="37" t="n">
        <v>2</v>
      </c>
      <c r="F270" s="38" t="n">
        <v>4106000</v>
      </c>
      <c r="G270" s="37" t="n">
        <v>1</v>
      </c>
      <c r="H270" s="39" t="n">
        <f aca="false">IF(E270="","",E270*N(F270)*IF(G270="",1,G270))</f>
        <v>8212000</v>
      </c>
      <c r="I270" s="37" t="s">
        <v>354</v>
      </c>
      <c r="J270" s="37" t="s">
        <v>481</v>
      </c>
      <c r="K270" s="37"/>
    </row>
    <row r="271" customFormat="false" ht="15" hidden="false" customHeight="false" outlineLevel="0" collapsed="false">
      <c r="A271" s="35" t="n">
        <v>46269</v>
      </c>
      <c r="B271" s="36" t="n">
        <f aca="false">IF(A271="","",MONTH(A271))</f>
        <v>9</v>
      </c>
      <c r="C271" s="37" t="s">
        <v>51</v>
      </c>
      <c r="D271" s="37" t="s">
        <v>54</v>
      </c>
      <c r="E271" s="37" t="n">
        <v>2</v>
      </c>
      <c r="F271" s="38" t="n">
        <v>3012000</v>
      </c>
      <c r="G271" s="37" t="n">
        <v>1</v>
      </c>
      <c r="H271" s="39" t="n">
        <f aca="false">IF(E271="","",E271*N(F271)*IF(G271="",1,G271))</f>
        <v>6024000</v>
      </c>
      <c r="I271" s="37" t="s">
        <v>354</v>
      </c>
      <c r="J271" s="37" t="s">
        <v>482</v>
      </c>
      <c r="K271" s="37"/>
    </row>
    <row r="272" customFormat="false" ht="15" hidden="false" customHeight="false" outlineLevel="0" collapsed="false">
      <c r="A272" s="35" t="n">
        <v>46269</v>
      </c>
      <c r="B272" s="36" t="n">
        <f aca="false">IF(A272="","",MONTH(A272))</f>
        <v>9</v>
      </c>
      <c r="C272" s="37" t="s">
        <v>90</v>
      </c>
      <c r="D272" s="37" t="s">
        <v>54</v>
      </c>
      <c r="E272" s="37" t="n">
        <v>1</v>
      </c>
      <c r="F272" s="38" t="n">
        <v>4821000</v>
      </c>
      <c r="G272" s="37" t="n">
        <v>1</v>
      </c>
      <c r="H272" s="39" t="n">
        <f aca="false">IF(E272="","",E272*N(F272)*IF(G272="",1,G272))</f>
        <v>4821000</v>
      </c>
      <c r="I272" s="37" t="s">
        <v>354</v>
      </c>
      <c r="J272" s="37" t="s">
        <v>483</v>
      </c>
      <c r="K272" s="37"/>
    </row>
    <row r="273" customFormat="false" ht="15" hidden="false" customHeight="false" outlineLevel="0" collapsed="false">
      <c r="A273" s="35" t="n">
        <v>46269</v>
      </c>
      <c r="B273" s="36" t="n">
        <f aca="false">IF(A273="","",MONTH(A273))</f>
        <v>9</v>
      </c>
      <c r="C273" s="37" t="s">
        <v>101</v>
      </c>
      <c r="D273" s="37" t="s">
        <v>100</v>
      </c>
      <c r="E273" s="37" t="n">
        <v>3</v>
      </c>
      <c r="F273" s="38" t="n">
        <v>481000</v>
      </c>
      <c r="G273" s="37" t="n">
        <v>1</v>
      </c>
      <c r="H273" s="39" t="n">
        <f aca="false">IF(E273="","",E273*N(F273)*IF(G273="",1,G273))</f>
        <v>1443000</v>
      </c>
      <c r="I273" s="37" t="s">
        <v>354</v>
      </c>
      <c r="J273" s="37" t="s">
        <v>484</v>
      </c>
      <c r="K273" s="40" t="s">
        <v>485</v>
      </c>
    </row>
    <row r="274" customFormat="false" ht="15" hidden="false" customHeight="false" outlineLevel="0" collapsed="false">
      <c r="A274" s="35" t="n">
        <v>46269</v>
      </c>
      <c r="B274" s="36" t="n">
        <f aca="false">IF(A274="","",MONTH(A274))</f>
        <v>9</v>
      </c>
      <c r="C274" s="37" t="s">
        <v>51</v>
      </c>
      <c r="D274" s="37" t="s">
        <v>54</v>
      </c>
      <c r="E274" s="37" t="n">
        <v>6</v>
      </c>
      <c r="F274" s="38" t="n">
        <v>3012000</v>
      </c>
      <c r="G274" s="37" t="n">
        <v>1</v>
      </c>
      <c r="H274" s="39" t="n">
        <f aca="false">IF(E274="","",E274*N(F274)*IF(G274="",1,G274))</f>
        <v>18072000</v>
      </c>
      <c r="I274" s="37"/>
      <c r="J274" s="37" t="s">
        <v>486</v>
      </c>
      <c r="K274" s="37"/>
    </row>
    <row r="275" customFormat="false" ht="15" hidden="false" customHeight="false" outlineLevel="0" collapsed="false">
      <c r="A275" s="35" t="n">
        <v>46269</v>
      </c>
      <c r="B275" s="36" t="n">
        <f aca="false">IF(A275="","",MONTH(A275))</f>
        <v>9</v>
      </c>
      <c r="C275" s="37" t="s">
        <v>71</v>
      </c>
      <c r="D275" s="37" t="s">
        <v>54</v>
      </c>
      <c r="E275" s="37" t="n">
        <v>4</v>
      </c>
      <c r="F275" s="38" t="n">
        <v>5530000</v>
      </c>
      <c r="G275" s="37" t="n">
        <v>1</v>
      </c>
      <c r="H275" s="39" t="n">
        <f aca="false">IF(E275="","",E275*N(F275)*IF(G275="",1,G275))</f>
        <v>22120000</v>
      </c>
      <c r="I275" s="37" t="s">
        <v>324</v>
      </c>
      <c r="J275" s="37" t="s">
        <v>487</v>
      </c>
      <c r="K275" s="37"/>
    </row>
    <row r="276" customFormat="false" ht="15" hidden="false" customHeight="false" outlineLevel="0" collapsed="false">
      <c r="A276" s="35" t="n">
        <v>46269</v>
      </c>
      <c r="B276" s="36" t="n">
        <f aca="false">IF(A276="","",MONTH(A276))</f>
        <v>9</v>
      </c>
      <c r="C276" s="37" t="s">
        <v>84</v>
      </c>
      <c r="D276" s="37" t="s">
        <v>54</v>
      </c>
      <c r="E276" s="37" t="n">
        <v>2</v>
      </c>
      <c r="F276" s="38" t="n">
        <v>6504000</v>
      </c>
      <c r="G276" s="37" t="n">
        <v>1</v>
      </c>
      <c r="H276" s="39" t="n">
        <f aca="false">IF(E276="","",E276*N(F276)*IF(G276="",1,G276))</f>
        <v>13008000</v>
      </c>
      <c r="I276" s="37" t="s">
        <v>189</v>
      </c>
      <c r="J276" s="37" t="s">
        <v>488</v>
      </c>
      <c r="K276" s="37"/>
    </row>
    <row r="277" customFormat="false" ht="15" hidden="false" customHeight="false" outlineLevel="0" collapsed="false">
      <c r="A277" s="35" t="n">
        <v>46269</v>
      </c>
      <c r="B277" s="36" t="n">
        <f aca="false">IF(A277="","",MONTH(A277))</f>
        <v>9</v>
      </c>
      <c r="C277" s="37" t="s">
        <v>65</v>
      </c>
      <c r="D277" s="37" t="s">
        <v>54</v>
      </c>
      <c r="E277" s="37" t="n">
        <v>3</v>
      </c>
      <c r="F277" s="38" t="n">
        <v>2712000</v>
      </c>
      <c r="G277" s="37" t="n">
        <v>1</v>
      </c>
      <c r="H277" s="39" t="n">
        <f aca="false">IF(E277="","",E277*N(F277)*IF(G277="",1,G277))</f>
        <v>8136000</v>
      </c>
      <c r="I277" s="37"/>
      <c r="J277" s="37" t="s">
        <v>489</v>
      </c>
      <c r="K277" s="37"/>
    </row>
    <row r="278" customFormat="false" ht="15" hidden="false" customHeight="false" outlineLevel="0" collapsed="false">
      <c r="A278" s="35" t="n">
        <v>46269</v>
      </c>
      <c r="B278" s="36" t="n">
        <f aca="false">IF(A278="","",MONTH(A278))</f>
        <v>9</v>
      </c>
      <c r="C278" s="37" t="s">
        <v>71</v>
      </c>
      <c r="D278" s="37" t="s">
        <v>54</v>
      </c>
      <c r="E278" s="37" t="n">
        <v>1</v>
      </c>
      <c r="F278" s="38" t="n">
        <v>5530000</v>
      </c>
      <c r="G278" s="37" t="n">
        <v>1</v>
      </c>
      <c r="H278" s="39" t="n">
        <f aca="false">IF(E278="","",E278*N(F278)*IF(G278="",1,G278))</f>
        <v>5530000</v>
      </c>
      <c r="I278" s="37" t="s">
        <v>430</v>
      </c>
      <c r="J278" s="37" t="s">
        <v>490</v>
      </c>
      <c r="K278" s="37"/>
    </row>
    <row r="279" customFormat="false" ht="15" hidden="false" customHeight="false" outlineLevel="0" collapsed="false">
      <c r="A279" s="35" t="n">
        <v>46269</v>
      </c>
      <c r="B279" s="36" t="n">
        <f aca="false">IF(A279="","",MONTH(A279))</f>
        <v>9</v>
      </c>
      <c r="C279" s="37" t="s">
        <v>61</v>
      </c>
      <c r="D279" s="37" t="s">
        <v>54</v>
      </c>
      <c r="E279" s="37" t="n">
        <v>8</v>
      </c>
      <c r="F279" s="38" t="n">
        <v>2185000</v>
      </c>
      <c r="G279" s="37" t="n">
        <v>1</v>
      </c>
      <c r="H279" s="39" t="n">
        <f aca="false">IF(E279="","",E279*N(F279)*IF(G279="",1,G279))</f>
        <v>17480000</v>
      </c>
      <c r="I279" s="37"/>
      <c r="J279" s="37" t="s">
        <v>491</v>
      </c>
      <c r="K279" s="37"/>
    </row>
    <row r="280" customFormat="false" ht="15" hidden="false" customHeight="false" outlineLevel="0" collapsed="false">
      <c r="A280" s="35" t="n">
        <v>46269</v>
      </c>
      <c r="B280" s="36" t="n">
        <f aca="false">IF(A280="","",MONTH(A280))</f>
        <v>9</v>
      </c>
      <c r="C280" s="37" t="s">
        <v>63</v>
      </c>
      <c r="D280" s="37" t="s">
        <v>54</v>
      </c>
      <c r="E280" s="37" t="n">
        <v>3</v>
      </c>
      <c r="F280" s="38" t="n">
        <v>3097000</v>
      </c>
      <c r="G280" s="37" t="n">
        <v>1</v>
      </c>
      <c r="H280" s="39" t="n">
        <f aca="false">IF(E280="","",E280*N(F280)*IF(G280="",1,G280))</f>
        <v>9291000</v>
      </c>
      <c r="I280" s="37"/>
      <c r="J280" s="37" t="s">
        <v>492</v>
      </c>
      <c r="K280" s="37"/>
    </row>
    <row r="281" customFormat="false" ht="15" hidden="false" customHeight="false" outlineLevel="0" collapsed="false">
      <c r="A281" s="35" t="n">
        <v>46269</v>
      </c>
      <c r="B281" s="36" t="n">
        <f aca="false">IF(A281="","",MONTH(A281))</f>
        <v>9</v>
      </c>
      <c r="C281" s="37" t="s">
        <v>90</v>
      </c>
      <c r="D281" s="37" t="s">
        <v>54</v>
      </c>
      <c r="E281" s="37" t="n">
        <v>1</v>
      </c>
      <c r="F281" s="38" t="n">
        <v>4821000</v>
      </c>
      <c r="G281" s="37" t="n">
        <v>1</v>
      </c>
      <c r="H281" s="39" t="n">
        <f aca="false">IF(E281="","",E281*N(F281)*IF(G281="",1,G281))</f>
        <v>4821000</v>
      </c>
      <c r="I281" s="37" t="s">
        <v>189</v>
      </c>
      <c r="J281" s="37" t="s">
        <v>493</v>
      </c>
      <c r="K281" s="37"/>
    </row>
    <row r="282" customFormat="false" ht="15" hidden="false" customHeight="false" outlineLevel="0" collapsed="false">
      <c r="A282" s="35" t="n">
        <v>46269</v>
      </c>
      <c r="B282" s="36" t="n">
        <f aca="false">IF(A282="","",MONTH(A282))</f>
        <v>9</v>
      </c>
      <c r="C282" s="37" t="s">
        <v>98</v>
      </c>
      <c r="D282" s="37" t="s">
        <v>100</v>
      </c>
      <c r="E282" s="37" t="n">
        <v>5</v>
      </c>
      <c r="F282" s="38" t="n">
        <v>481000</v>
      </c>
      <c r="G282" s="37" t="n">
        <v>1</v>
      </c>
      <c r="H282" s="39" t="n">
        <f aca="false">IF(E282="","",E282*N(F282)*IF(G282="",1,G282))</f>
        <v>2405000</v>
      </c>
      <c r="I282" s="37"/>
      <c r="J282" s="37" t="s">
        <v>494</v>
      </c>
      <c r="K282" s="37"/>
    </row>
    <row r="283" customFormat="false" ht="15" hidden="false" customHeight="false" outlineLevel="0" collapsed="false">
      <c r="A283" s="35" t="n">
        <v>46271</v>
      </c>
      <c r="B283" s="36" t="n">
        <f aca="false">IF(A283="","",MONTH(A283))</f>
        <v>9</v>
      </c>
      <c r="C283" s="37" t="s">
        <v>82</v>
      </c>
      <c r="D283" s="37" t="s">
        <v>54</v>
      </c>
      <c r="E283" s="37" t="n">
        <v>1</v>
      </c>
      <c r="F283" s="38" t="n">
        <v>5331000</v>
      </c>
      <c r="G283" s="37" t="n">
        <v>1</v>
      </c>
      <c r="H283" s="39" t="n">
        <f aca="false">IF(E283="","",E283*N(F283)*IF(G283="",1,G283))</f>
        <v>5331000</v>
      </c>
      <c r="I283" s="37" t="s">
        <v>495</v>
      </c>
      <c r="J283" s="37" t="s">
        <v>496</v>
      </c>
      <c r="K283" s="37"/>
    </row>
    <row r="284" customFormat="false" ht="15" hidden="false" customHeight="false" outlineLevel="0" collapsed="false">
      <c r="A284" s="35" t="n">
        <v>46271</v>
      </c>
      <c r="B284" s="36" t="n">
        <f aca="false">IF(A284="","",MONTH(A284))</f>
        <v>9</v>
      </c>
      <c r="C284" s="37" t="s">
        <v>82</v>
      </c>
      <c r="D284" s="37" t="s">
        <v>53</v>
      </c>
      <c r="E284" s="37" t="n">
        <v>1</v>
      </c>
      <c r="F284" s="38" t="n">
        <v>1536000</v>
      </c>
      <c r="G284" s="37" t="n">
        <v>1.15</v>
      </c>
      <c r="H284" s="39" t="n">
        <f aca="false">IF(E284="","",E284*N(F284)*IF(G284="",1,G284))</f>
        <v>1766400</v>
      </c>
      <c r="I284" s="37" t="s">
        <v>497</v>
      </c>
      <c r="J284" s="37" t="s">
        <v>498</v>
      </c>
      <c r="K284" s="37"/>
    </row>
    <row r="285" customFormat="false" ht="15" hidden="false" customHeight="false" outlineLevel="0" collapsed="false">
      <c r="A285" s="35" t="n">
        <v>46271</v>
      </c>
      <c r="B285" s="36" t="n">
        <f aca="false">IF(A285="","",MONTH(A285))</f>
        <v>9</v>
      </c>
      <c r="C285" s="37" t="s">
        <v>82</v>
      </c>
      <c r="D285" s="37" t="s">
        <v>79</v>
      </c>
      <c r="E285" s="37" t="n">
        <v>1</v>
      </c>
      <c r="F285" s="38" t="n">
        <v>409000</v>
      </c>
      <c r="G285" s="37" t="n">
        <v>1</v>
      </c>
      <c r="H285" s="39" t="n">
        <f aca="false">IF(E285="","",E285*N(F285)*IF(G285="",1,G285))</f>
        <v>409000</v>
      </c>
      <c r="I285" s="37" t="s">
        <v>499</v>
      </c>
      <c r="J285" s="37" t="s">
        <v>500</v>
      </c>
      <c r="K285" s="37"/>
    </row>
    <row r="286" customFormat="false" ht="15" hidden="false" customHeight="false" outlineLevel="0" collapsed="false">
      <c r="A286" s="35" t="n">
        <v>46271</v>
      </c>
      <c r="B286" s="36" t="n">
        <f aca="false">IF(A286="","",MONTH(A286))</f>
        <v>9</v>
      </c>
      <c r="C286" s="37" t="s">
        <v>82</v>
      </c>
      <c r="D286" s="37" t="s">
        <v>79</v>
      </c>
      <c r="E286" s="37" t="n">
        <v>1</v>
      </c>
      <c r="F286" s="38" t="n">
        <v>409000</v>
      </c>
      <c r="G286" s="37" t="n">
        <v>1</v>
      </c>
      <c r="H286" s="39" t="n">
        <f aca="false">IF(E286="","",E286*N(F286)*IF(G286="",1,G286))</f>
        <v>409000</v>
      </c>
      <c r="I286" s="37" t="s">
        <v>501</v>
      </c>
      <c r="J286" s="37" t="s">
        <v>502</v>
      </c>
      <c r="K286" s="37"/>
    </row>
    <row r="287" customFormat="false" ht="15" hidden="false" customHeight="false" outlineLevel="0" collapsed="false">
      <c r="A287" s="35" t="n">
        <v>46271</v>
      </c>
      <c r="B287" s="36" t="n">
        <f aca="false">IF(A287="","",MONTH(A287))</f>
        <v>9</v>
      </c>
      <c r="C287" s="37" t="s">
        <v>51</v>
      </c>
      <c r="D287" s="37" t="s">
        <v>54</v>
      </c>
      <c r="E287" s="37" t="n">
        <v>1</v>
      </c>
      <c r="F287" s="38"/>
      <c r="G287" s="37"/>
      <c r="H287" s="39" t="n">
        <f aca="false">IF(E287="","",E287*N(F287)*IF(G287="",1,G287))</f>
        <v>0</v>
      </c>
      <c r="I287" s="37" t="s">
        <v>503</v>
      </c>
      <c r="J287" s="37" t="s">
        <v>504</v>
      </c>
      <c r="K287" s="40" t="s">
        <v>505</v>
      </c>
    </row>
    <row r="288" customFormat="false" ht="15" hidden="false" customHeight="false" outlineLevel="0" collapsed="false">
      <c r="A288" s="35" t="n">
        <v>46273</v>
      </c>
      <c r="B288" s="36" t="n">
        <f aca="false">IF(A288="","",MONTH(A288))</f>
        <v>9</v>
      </c>
      <c r="C288" s="37" t="s">
        <v>69</v>
      </c>
      <c r="D288" s="37" t="s">
        <v>54</v>
      </c>
      <c r="E288" s="37" t="n">
        <v>5</v>
      </c>
      <c r="F288" s="38" t="n">
        <v>4597000</v>
      </c>
      <c r="G288" s="37" t="n">
        <v>1</v>
      </c>
      <c r="H288" s="39" t="n">
        <f aca="false">IF(E288="","",E288*N(F288)*IF(G288="",1,G288))</f>
        <v>22985000</v>
      </c>
      <c r="I288" s="37" t="s">
        <v>141</v>
      </c>
      <c r="J288" s="37" t="s">
        <v>506</v>
      </c>
      <c r="K288" s="37"/>
    </row>
    <row r="289" customFormat="false" ht="15" hidden="false" customHeight="false" outlineLevel="0" collapsed="false">
      <c r="A289" s="35" t="n">
        <v>46273</v>
      </c>
      <c r="B289" s="36" t="n">
        <f aca="false">IF(A289="","",MONTH(A289))</f>
        <v>9</v>
      </c>
      <c r="C289" s="37" t="s">
        <v>65</v>
      </c>
      <c r="D289" s="37" t="s">
        <v>54</v>
      </c>
      <c r="E289" s="37" t="n">
        <v>1</v>
      </c>
      <c r="F289" s="38" t="n">
        <v>2712000</v>
      </c>
      <c r="G289" s="37" t="n">
        <v>1</v>
      </c>
      <c r="H289" s="39" t="n">
        <f aca="false">IF(E289="","",E289*N(F289)*IF(G289="",1,G289))</f>
        <v>2712000</v>
      </c>
      <c r="I289" s="37"/>
      <c r="J289" s="37" t="s">
        <v>507</v>
      </c>
      <c r="K289" s="37"/>
    </row>
    <row r="290" customFormat="false" ht="15" hidden="false" customHeight="false" outlineLevel="0" collapsed="false">
      <c r="A290" s="35" t="n">
        <v>46273</v>
      </c>
      <c r="B290" s="36" t="n">
        <f aca="false">IF(A290="","",MONTH(A290))</f>
        <v>9</v>
      </c>
      <c r="C290" s="37" t="s">
        <v>69</v>
      </c>
      <c r="D290" s="37" t="s">
        <v>53</v>
      </c>
      <c r="E290" s="37" t="n">
        <v>2</v>
      </c>
      <c r="F290" s="38" t="n">
        <v>1302000</v>
      </c>
      <c r="G290" s="37" t="n">
        <v>1</v>
      </c>
      <c r="H290" s="39" t="n">
        <f aca="false">IF(E290="","",E290*N(F290)*IF(G290="",1,G290))</f>
        <v>2604000</v>
      </c>
      <c r="I290" s="37" t="s">
        <v>131</v>
      </c>
      <c r="J290" s="37" t="s">
        <v>508</v>
      </c>
      <c r="K290" s="37"/>
    </row>
    <row r="291" customFormat="false" ht="15" hidden="false" customHeight="false" outlineLevel="0" collapsed="false">
      <c r="A291" s="35" t="n">
        <v>46274</v>
      </c>
      <c r="B291" s="36" t="n">
        <f aca="false">IF(A291="","",MONTH(A291))</f>
        <v>9</v>
      </c>
      <c r="C291" s="37" t="s">
        <v>98</v>
      </c>
      <c r="D291" s="37" t="s">
        <v>100</v>
      </c>
      <c r="E291" s="37" t="n">
        <v>3</v>
      </c>
      <c r="F291" s="38" t="n">
        <v>481000</v>
      </c>
      <c r="G291" s="37" t="n">
        <v>1</v>
      </c>
      <c r="H291" s="39" t="n">
        <f aca="false">IF(E291="","",E291*N(F291)*IF(G291="",1,G291))</f>
        <v>1443000</v>
      </c>
      <c r="I291" s="37"/>
      <c r="J291" s="37" t="s">
        <v>509</v>
      </c>
      <c r="K291" s="37"/>
    </row>
    <row r="292" customFormat="false" ht="15" hidden="false" customHeight="false" outlineLevel="0" collapsed="false">
      <c r="A292" s="35" t="n">
        <v>46274</v>
      </c>
      <c r="B292" s="36" t="n">
        <f aca="false">IF(A292="","",MONTH(A292))</f>
        <v>9</v>
      </c>
      <c r="C292" s="37" t="s">
        <v>71</v>
      </c>
      <c r="D292" s="37" t="s">
        <v>54</v>
      </c>
      <c r="E292" s="37" t="n">
        <v>1</v>
      </c>
      <c r="F292" s="38" t="n">
        <v>5530000</v>
      </c>
      <c r="G292" s="37" t="n">
        <v>1</v>
      </c>
      <c r="H292" s="39" t="n">
        <f aca="false">IF(E292="","",E292*N(F292)*IF(G292="",1,G292))</f>
        <v>5530000</v>
      </c>
      <c r="I292" s="37" t="s">
        <v>510</v>
      </c>
      <c r="J292" s="37" t="s">
        <v>511</v>
      </c>
      <c r="K292" s="37"/>
    </row>
    <row r="293" customFormat="false" ht="15" hidden="false" customHeight="false" outlineLevel="0" collapsed="false">
      <c r="A293" s="35" t="n">
        <v>46274</v>
      </c>
      <c r="B293" s="36" t="n">
        <f aca="false">IF(A293="","",MONTH(A293))</f>
        <v>9</v>
      </c>
      <c r="C293" s="37" t="s">
        <v>84</v>
      </c>
      <c r="D293" s="37" t="s">
        <v>53</v>
      </c>
      <c r="E293" s="37" t="n">
        <v>1</v>
      </c>
      <c r="F293" s="38" t="n">
        <v>2089000</v>
      </c>
      <c r="G293" s="37" t="n">
        <v>1</v>
      </c>
      <c r="H293" s="39" t="n">
        <f aca="false">IF(E293="","",E293*N(F293)*IF(G293="",1,G293))</f>
        <v>2089000</v>
      </c>
      <c r="I293" s="37" t="s">
        <v>260</v>
      </c>
      <c r="J293" s="37" t="s">
        <v>512</v>
      </c>
      <c r="K293" s="37"/>
    </row>
    <row r="294" customFormat="false" ht="15" hidden="false" customHeight="false" outlineLevel="0" collapsed="false">
      <c r="A294" s="35" t="n">
        <v>46274</v>
      </c>
      <c r="B294" s="36" t="n">
        <f aca="false">IF(A294="","",MONTH(A294))</f>
        <v>9</v>
      </c>
      <c r="C294" s="37" t="s">
        <v>84</v>
      </c>
      <c r="D294" s="37" t="s">
        <v>53</v>
      </c>
      <c r="E294" s="37" t="n">
        <v>1</v>
      </c>
      <c r="F294" s="38" t="n">
        <v>2089000</v>
      </c>
      <c r="G294" s="37" t="n">
        <v>1.1</v>
      </c>
      <c r="H294" s="39" t="n">
        <f aca="false">IF(E294="","",E294*N(F294)*IF(G294="",1,G294))</f>
        <v>2297900</v>
      </c>
      <c r="I294" s="37" t="s">
        <v>513</v>
      </c>
      <c r="J294" s="37" t="s">
        <v>514</v>
      </c>
      <c r="K294" s="37"/>
    </row>
    <row r="295" customFormat="false" ht="15" hidden="false" customHeight="false" outlineLevel="0" collapsed="false">
      <c r="A295" s="35" t="n">
        <v>46275</v>
      </c>
      <c r="B295" s="36" t="n">
        <f aca="false">IF(A295="","",MONTH(A295))</f>
        <v>9</v>
      </c>
      <c r="C295" s="37" t="s">
        <v>67</v>
      </c>
      <c r="D295" s="37" t="s">
        <v>53</v>
      </c>
      <c r="E295" s="37" t="n">
        <v>2</v>
      </c>
      <c r="F295" s="38" t="n">
        <v>631000</v>
      </c>
      <c r="G295" s="37" t="n">
        <v>1</v>
      </c>
      <c r="H295" s="39" t="n">
        <f aca="false">IF(E295="","",E295*N(F295)*IF(G295="",1,G295))</f>
        <v>1262000</v>
      </c>
      <c r="I295" s="37" t="s">
        <v>172</v>
      </c>
      <c r="J295" s="37" t="s">
        <v>515</v>
      </c>
      <c r="K295" s="37"/>
    </row>
    <row r="296" customFormat="false" ht="15" hidden="false" customHeight="false" outlineLevel="0" collapsed="false">
      <c r="A296" s="35" t="n">
        <v>46276</v>
      </c>
      <c r="B296" s="36" t="n">
        <f aca="false">IF(A296="","",MONTH(A296))</f>
        <v>9</v>
      </c>
      <c r="C296" s="37" t="s">
        <v>65</v>
      </c>
      <c r="D296" s="37" t="s">
        <v>54</v>
      </c>
      <c r="E296" s="37" t="n">
        <v>2</v>
      </c>
      <c r="F296" s="38" t="n">
        <v>2712000</v>
      </c>
      <c r="G296" s="37" t="n">
        <v>1</v>
      </c>
      <c r="H296" s="39" t="n">
        <f aca="false">IF(E296="","",E296*N(F296)*IF(G296="",1,G296))</f>
        <v>5424000</v>
      </c>
      <c r="I296" s="37"/>
      <c r="J296" s="37" t="s">
        <v>516</v>
      </c>
      <c r="K296" s="37"/>
    </row>
    <row r="297" customFormat="false" ht="15" hidden="false" customHeight="false" outlineLevel="0" collapsed="false">
      <c r="A297" s="35" t="n">
        <v>46276</v>
      </c>
      <c r="B297" s="36" t="n">
        <f aca="false">IF(A297="","",MONTH(A297))</f>
        <v>9</v>
      </c>
      <c r="C297" s="37" t="s">
        <v>71</v>
      </c>
      <c r="D297" s="37" t="s">
        <v>53</v>
      </c>
      <c r="E297" s="37" t="n">
        <v>1</v>
      </c>
      <c r="F297" s="38" t="n">
        <v>1874000</v>
      </c>
      <c r="G297" s="37" t="n">
        <v>1</v>
      </c>
      <c r="H297" s="39" t="n">
        <f aca="false">IF(E297="","",E297*N(F297)*IF(G297="",1,G297))</f>
        <v>1874000</v>
      </c>
      <c r="I297" s="37" t="s">
        <v>430</v>
      </c>
      <c r="J297" s="37" t="s">
        <v>517</v>
      </c>
      <c r="K297" s="37"/>
    </row>
    <row r="298" customFormat="false" ht="15" hidden="false" customHeight="false" outlineLevel="0" collapsed="false">
      <c r="A298" s="35" t="n">
        <v>46277</v>
      </c>
      <c r="B298" s="36" t="n">
        <f aca="false">IF(A298="","",MONTH(A298))</f>
        <v>9</v>
      </c>
      <c r="C298" s="37" t="s">
        <v>71</v>
      </c>
      <c r="D298" s="37" t="s">
        <v>54</v>
      </c>
      <c r="E298" s="37" t="n">
        <v>1</v>
      </c>
      <c r="F298" s="38" t="n">
        <v>5530000</v>
      </c>
      <c r="G298" s="37" t="n">
        <v>1</v>
      </c>
      <c r="H298" s="39" t="n">
        <f aca="false">IF(E298="","",E298*N(F298)*IF(G298="",1,G298))</f>
        <v>5530000</v>
      </c>
      <c r="I298" s="37" t="s">
        <v>510</v>
      </c>
      <c r="J298" s="37" t="s">
        <v>518</v>
      </c>
      <c r="K298" s="37"/>
    </row>
    <row r="299" customFormat="false" ht="15" hidden="false" customHeight="false" outlineLevel="0" collapsed="false">
      <c r="A299" s="35" t="n">
        <v>46277</v>
      </c>
      <c r="B299" s="36" t="n">
        <f aca="false">IF(A299="","",MONTH(A299))</f>
        <v>9</v>
      </c>
      <c r="C299" s="37" t="s">
        <v>82</v>
      </c>
      <c r="D299" s="37" t="s">
        <v>53</v>
      </c>
      <c r="E299" s="37" t="n">
        <v>1</v>
      </c>
      <c r="F299" s="38" t="n">
        <v>1536000</v>
      </c>
      <c r="G299" s="37" t="n">
        <v>1.1</v>
      </c>
      <c r="H299" s="39" t="n">
        <f aca="false">IF(E299="","",E299*N(F299)*IF(G299="",1,G299))</f>
        <v>1689600</v>
      </c>
      <c r="I299" s="37" t="s">
        <v>519</v>
      </c>
      <c r="J299" s="37" t="s">
        <v>520</v>
      </c>
      <c r="K299" s="37"/>
    </row>
    <row r="300" customFormat="false" ht="15" hidden="false" customHeight="false" outlineLevel="0" collapsed="false">
      <c r="A300" s="35" t="n">
        <v>46277</v>
      </c>
      <c r="B300" s="36" t="n">
        <f aca="false">IF(A300="","",MONTH(A300))</f>
        <v>9</v>
      </c>
      <c r="C300" s="37" t="s">
        <v>65</v>
      </c>
      <c r="D300" s="37" t="s">
        <v>53</v>
      </c>
      <c r="E300" s="37" t="n">
        <v>1</v>
      </c>
      <c r="F300" s="38" t="n">
        <v>954000</v>
      </c>
      <c r="G300" s="37" t="n">
        <v>1</v>
      </c>
      <c r="H300" s="39" t="n">
        <f aca="false">IF(E300="","",E300*N(F300)*IF(G300="",1,G300))</f>
        <v>954000</v>
      </c>
      <c r="I300" s="37"/>
      <c r="J300" s="37" t="s">
        <v>521</v>
      </c>
      <c r="K300" s="37"/>
    </row>
    <row r="301" customFormat="false" ht="15" hidden="false" customHeight="false" outlineLevel="0" collapsed="false">
      <c r="A301" s="35" t="n">
        <v>46277</v>
      </c>
      <c r="B301" s="36" t="n">
        <f aca="false">IF(A301="","",MONTH(A301))</f>
        <v>9</v>
      </c>
      <c r="C301" s="37" t="s">
        <v>90</v>
      </c>
      <c r="D301" s="37" t="s">
        <v>54</v>
      </c>
      <c r="E301" s="37" t="n">
        <v>2</v>
      </c>
      <c r="F301" s="38" t="n">
        <v>4821000</v>
      </c>
      <c r="G301" s="37" t="n">
        <v>1</v>
      </c>
      <c r="H301" s="39" t="n">
        <f aca="false">IF(E301="","",E301*N(F301)*IF(G301="",1,G301))</f>
        <v>9642000</v>
      </c>
      <c r="I301" s="37" t="s">
        <v>159</v>
      </c>
      <c r="J301" s="37" t="s">
        <v>522</v>
      </c>
      <c r="K301" s="37"/>
    </row>
    <row r="302" customFormat="false" ht="15" hidden="false" customHeight="false" outlineLevel="0" collapsed="false">
      <c r="A302" s="35" t="n">
        <v>46277</v>
      </c>
      <c r="B302" s="36" t="n">
        <f aca="false">IF(A302="","",MONTH(A302))</f>
        <v>9</v>
      </c>
      <c r="C302" s="37" t="s">
        <v>63</v>
      </c>
      <c r="D302" s="37" t="s">
        <v>54</v>
      </c>
      <c r="E302" s="37" t="n">
        <v>2</v>
      </c>
      <c r="F302" s="38" t="n">
        <v>3097000</v>
      </c>
      <c r="G302" s="37" t="n">
        <v>1</v>
      </c>
      <c r="H302" s="39" t="n">
        <f aca="false">IF(E302="","",E302*N(F302)*IF(G302="",1,G302))</f>
        <v>6194000</v>
      </c>
      <c r="I302" s="37"/>
      <c r="J302" s="37" t="s">
        <v>523</v>
      </c>
      <c r="K302" s="37"/>
    </row>
    <row r="303" customFormat="false" ht="15" hidden="false" customHeight="false" outlineLevel="0" collapsed="false">
      <c r="A303" s="35" t="n">
        <v>46278</v>
      </c>
      <c r="B303" s="36" t="n">
        <f aca="false">IF(A303="","",MONTH(A303))</f>
        <v>9</v>
      </c>
      <c r="C303" s="37" t="s">
        <v>55</v>
      </c>
      <c r="D303" s="37" t="s">
        <v>53</v>
      </c>
      <c r="E303" s="37" t="n">
        <v>2</v>
      </c>
      <c r="F303" s="38" t="n">
        <v>1419000</v>
      </c>
      <c r="G303" s="37" t="n">
        <v>1</v>
      </c>
      <c r="H303" s="39" t="n">
        <f aca="false">IF(E303="","",E303*N(F303)*IF(G303="",1,G303))</f>
        <v>2838000</v>
      </c>
      <c r="I303" s="37"/>
      <c r="J303" s="37" t="s">
        <v>524</v>
      </c>
      <c r="K303" s="37"/>
    </row>
    <row r="304" customFormat="false" ht="15" hidden="false" customHeight="false" outlineLevel="0" collapsed="false">
      <c r="A304" s="35" t="n">
        <v>46285</v>
      </c>
      <c r="B304" s="36" t="n">
        <f aca="false">IF(A304="","",MONTH(A304))</f>
        <v>9</v>
      </c>
      <c r="C304" s="37" t="s">
        <v>51</v>
      </c>
      <c r="D304" s="37" t="s">
        <v>54</v>
      </c>
      <c r="E304" s="37" t="n">
        <v>2</v>
      </c>
      <c r="F304" s="38" t="n">
        <v>3012000</v>
      </c>
      <c r="G304" s="37" t="n">
        <v>1</v>
      </c>
      <c r="H304" s="39" t="n">
        <f aca="false">IF(E304="","",E304*N(F304)*IF(G304="",1,G304))</f>
        <v>6024000</v>
      </c>
      <c r="I304" s="37"/>
      <c r="J304" s="37" t="s">
        <v>525</v>
      </c>
      <c r="K304" s="37"/>
    </row>
    <row r="305" customFormat="false" ht="15" hidden="false" customHeight="false" outlineLevel="0" collapsed="false">
      <c r="A305" s="35" t="n">
        <v>46285</v>
      </c>
      <c r="B305" s="36" t="n">
        <f aca="false">IF(A305="","",MONTH(A305))</f>
        <v>9</v>
      </c>
      <c r="C305" s="37" t="s">
        <v>69</v>
      </c>
      <c r="D305" s="37" t="s">
        <v>54</v>
      </c>
      <c r="E305" s="37" t="n">
        <v>1</v>
      </c>
      <c r="F305" s="38" t="n">
        <v>4597000</v>
      </c>
      <c r="G305" s="37" t="n">
        <v>1</v>
      </c>
      <c r="H305" s="39" t="n">
        <f aca="false">IF(E305="","",E305*N(F305)*IF(G305="",1,G305))</f>
        <v>4597000</v>
      </c>
      <c r="I305" s="37" t="s">
        <v>141</v>
      </c>
      <c r="J305" s="37" t="s">
        <v>526</v>
      </c>
      <c r="K305" s="37"/>
    </row>
    <row r="306" customFormat="false" ht="15" hidden="false" customHeight="false" outlineLevel="0" collapsed="false">
      <c r="A306" s="35" t="n">
        <v>46285</v>
      </c>
      <c r="B306" s="36" t="n">
        <f aca="false">IF(A306="","",MONTH(A306))</f>
        <v>9</v>
      </c>
      <c r="C306" s="37" t="s">
        <v>67</v>
      </c>
      <c r="D306" s="37" t="s">
        <v>54</v>
      </c>
      <c r="E306" s="37" t="n">
        <v>1</v>
      </c>
      <c r="F306" s="38" t="n">
        <v>2128000</v>
      </c>
      <c r="G306" s="37" t="n">
        <v>1</v>
      </c>
      <c r="H306" s="39" t="n">
        <f aca="false">IF(E306="","",E306*N(F306)*IF(G306="",1,G306))</f>
        <v>2128000</v>
      </c>
      <c r="I306" s="37" t="s">
        <v>141</v>
      </c>
      <c r="J306" s="37" t="s">
        <v>527</v>
      </c>
      <c r="K306" s="37"/>
    </row>
    <row r="307" customFormat="false" ht="15" hidden="false" customHeight="false" outlineLevel="0" collapsed="false">
      <c r="A307" s="35" t="n">
        <v>46285</v>
      </c>
      <c r="B307" s="36" t="n">
        <f aca="false">IF(A307="","",MONTH(A307))</f>
        <v>9</v>
      </c>
      <c r="C307" s="37" t="s">
        <v>96</v>
      </c>
      <c r="D307" s="37" t="s">
        <v>53</v>
      </c>
      <c r="E307" s="37" t="n">
        <v>1</v>
      </c>
      <c r="F307" s="38" t="n">
        <v>1470000</v>
      </c>
      <c r="G307" s="37" t="n">
        <v>1</v>
      </c>
      <c r="H307" s="39" t="n">
        <f aca="false">IF(E307="","",E307*N(F307)*IF(G307="",1,G307))</f>
        <v>1470000</v>
      </c>
      <c r="I307" s="37"/>
      <c r="J307" s="37" t="s">
        <v>528</v>
      </c>
      <c r="K307" s="37"/>
    </row>
    <row r="308" customFormat="false" ht="15" hidden="false" customHeight="false" outlineLevel="0" collapsed="false">
      <c r="A308" s="35" t="n">
        <v>46285</v>
      </c>
      <c r="B308" s="36" t="n">
        <f aca="false">IF(A308="","",MONTH(A308))</f>
        <v>9</v>
      </c>
      <c r="C308" s="37" t="s">
        <v>55</v>
      </c>
      <c r="D308" s="37" t="s">
        <v>53</v>
      </c>
      <c r="E308" s="37" t="n">
        <v>1</v>
      </c>
      <c r="F308" s="38" t="n">
        <v>1419000</v>
      </c>
      <c r="G308" s="37" t="n">
        <v>1</v>
      </c>
      <c r="H308" s="39" t="n">
        <f aca="false">IF(E308="","",E308*N(F308)*IF(G308="",1,G308))</f>
        <v>1419000</v>
      </c>
      <c r="I308" s="37"/>
      <c r="J308" s="37" t="s">
        <v>529</v>
      </c>
      <c r="K308" s="37"/>
    </row>
    <row r="309" customFormat="false" ht="15" hidden="false" customHeight="false" outlineLevel="0" collapsed="false">
      <c r="A309" s="35" t="n">
        <v>46285</v>
      </c>
      <c r="B309" s="36" t="n">
        <f aca="false">IF(A309="","",MONTH(A309))</f>
        <v>9</v>
      </c>
      <c r="C309" s="37" t="s">
        <v>69</v>
      </c>
      <c r="D309" s="37" t="s">
        <v>53</v>
      </c>
      <c r="E309" s="37" t="n">
        <v>1</v>
      </c>
      <c r="F309" s="38" t="n">
        <v>1302000</v>
      </c>
      <c r="G309" s="37" t="n">
        <v>1</v>
      </c>
      <c r="H309" s="39" t="n">
        <f aca="false">IF(E309="","",E309*N(F309)*IF(G309="",1,G309))</f>
        <v>1302000</v>
      </c>
      <c r="I309" s="37" t="s">
        <v>159</v>
      </c>
      <c r="J309" s="37" t="s">
        <v>530</v>
      </c>
      <c r="K309" s="37"/>
    </row>
    <row r="310" customFormat="false" ht="15" hidden="false" customHeight="false" outlineLevel="0" collapsed="false">
      <c r="A310" s="35" t="n">
        <v>46285</v>
      </c>
      <c r="B310" s="36" t="n">
        <f aca="false">IF(A310="","",MONTH(A310))</f>
        <v>9</v>
      </c>
      <c r="C310" s="37" t="s">
        <v>69</v>
      </c>
      <c r="D310" s="37" t="s">
        <v>53</v>
      </c>
      <c r="E310" s="37" t="n">
        <v>1</v>
      </c>
      <c r="F310" s="38" t="n">
        <v>1302000</v>
      </c>
      <c r="G310" s="37" t="n">
        <v>1</v>
      </c>
      <c r="H310" s="39" t="n">
        <f aca="false">IF(E310="","",E310*N(F310)*IF(G310="",1,G310))</f>
        <v>1302000</v>
      </c>
      <c r="I310" s="37" t="s">
        <v>143</v>
      </c>
      <c r="J310" s="37" t="s">
        <v>531</v>
      </c>
      <c r="K310" s="37"/>
    </row>
    <row r="311" customFormat="false" ht="15" hidden="false" customHeight="false" outlineLevel="0" collapsed="false">
      <c r="A311" s="35" t="n">
        <v>46285</v>
      </c>
      <c r="B311" s="36" t="n">
        <f aca="false">IF(A311="","",MONTH(A311))</f>
        <v>9</v>
      </c>
      <c r="C311" s="37" t="s">
        <v>82</v>
      </c>
      <c r="D311" s="37" t="s">
        <v>79</v>
      </c>
      <c r="E311" s="37" t="n">
        <v>2</v>
      </c>
      <c r="F311" s="38" t="n">
        <v>409000</v>
      </c>
      <c r="G311" s="37" t="n">
        <v>1</v>
      </c>
      <c r="H311" s="39" t="n">
        <f aca="false">IF(E311="","",E311*N(F311)*IF(G311="",1,G311))</f>
        <v>818000</v>
      </c>
      <c r="I311" s="37" t="s">
        <v>532</v>
      </c>
      <c r="J311" s="37" t="s">
        <v>533</v>
      </c>
      <c r="K311" s="37"/>
    </row>
    <row r="312" customFormat="false" ht="15" hidden="false" customHeight="false" outlineLevel="0" collapsed="false">
      <c r="A312" s="35" t="n">
        <v>46287</v>
      </c>
      <c r="B312" s="36" t="n">
        <f aca="false">IF(A312="","",MONTH(A312))</f>
        <v>9</v>
      </c>
      <c r="C312" s="37" t="s">
        <v>90</v>
      </c>
      <c r="D312" s="37" t="s">
        <v>54</v>
      </c>
      <c r="E312" s="37" t="n">
        <v>2</v>
      </c>
      <c r="F312" s="38" t="n">
        <v>4821000</v>
      </c>
      <c r="G312" s="37" t="n">
        <v>1</v>
      </c>
      <c r="H312" s="39" t="n">
        <f aca="false">IF(E312="","",E312*N(F312)*IF(G312="",1,G312))</f>
        <v>9642000</v>
      </c>
      <c r="I312" s="37" t="s">
        <v>159</v>
      </c>
      <c r="J312" s="37" t="s">
        <v>534</v>
      </c>
      <c r="K312" s="37"/>
    </row>
    <row r="313" customFormat="false" ht="15" hidden="false" customHeight="false" outlineLevel="0" collapsed="false">
      <c r="A313" s="35" t="n">
        <v>46289</v>
      </c>
      <c r="B313" s="36" t="n">
        <f aca="false">IF(A313="","",MONTH(A313))</f>
        <v>9</v>
      </c>
      <c r="C313" s="37" t="s">
        <v>71</v>
      </c>
      <c r="D313" s="37" t="s">
        <v>54</v>
      </c>
      <c r="E313" s="37" t="n">
        <v>6</v>
      </c>
      <c r="F313" s="38" t="n">
        <v>5027000</v>
      </c>
      <c r="G313" s="37" t="n">
        <v>1</v>
      </c>
      <c r="H313" s="39" t="n">
        <f aca="false">IF(E313="","",E313*N(F313)*IF(G313="",1,G313))</f>
        <v>30162000</v>
      </c>
      <c r="I313" s="37" t="s">
        <v>535</v>
      </c>
      <c r="J313" s="37" t="s">
        <v>536</v>
      </c>
      <c r="K313" s="37"/>
    </row>
    <row r="314" customFormat="false" ht="15" hidden="false" customHeight="false" outlineLevel="0" collapsed="false">
      <c r="A314" s="35" t="n">
        <v>46289</v>
      </c>
      <c r="B314" s="36" t="n">
        <f aca="false">IF(A314="","",MONTH(A314))</f>
        <v>9</v>
      </c>
      <c r="C314" s="37" t="s">
        <v>84</v>
      </c>
      <c r="D314" s="37" t="s">
        <v>53</v>
      </c>
      <c r="E314" s="37" t="n">
        <v>1</v>
      </c>
      <c r="F314" s="38" t="n">
        <v>1899000</v>
      </c>
      <c r="G314" s="37" t="n">
        <v>1</v>
      </c>
      <c r="H314" s="39" t="n">
        <f aca="false">IF(E314="","",E314*N(F314)*IF(G314="",1,G314))</f>
        <v>1899000</v>
      </c>
      <c r="I314" s="37" t="s">
        <v>537</v>
      </c>
      <c r="J314" s="37" t="s">
        <v>538</v>
      </c>
      <c r="K314" s="37"/>
    </row>
    <row r="315" customFormat="false" ht="15" hidden="false" customHeight="false" outlineLevel="0" collapsed="false">
      <c r="A315" s="35" t="n">
        <v>46289</v>
      </c>
      <c r="B315" s="36" t="n">
        <f aca="false">IF(A315="","",MONTH(A315))</f>
        <v>9</v>
      </c>
      <c r="C315" s="37" t="s">
        <v>84</v>
      </c>
      <c r="D315" s="37" t="s">
        <v>79</v>
      </c>
      <c r="E315" s="37" t="n">
        <v>2</v>
      </c>
      <c r="F315" s="38" t="n">
        <v>435000</v>
      </c>
      <c r="G315" s="37" t="n">
        <v>1</v>
      </c>
      <c r="H315" s="39" t="n">
        <f aca="false">IF(E315="","",E315*N(F315)*IF(G315="",1,G315))</f>
        <v>870000</v>
      </c>
      <c r="I315" s="37" t="s">
        <v>539</v>
      </c>
      <c r="J315" s="37" t="s">
        <v>540</v>
      </c>
      <c r="K315" s="37"/>
    </row>
    <row r="316" customFormat="false" ht="15" hidden="false" customHeight="false" outlineLevel="0" collapsed="false">
      <c r="A316" s="35" t="n">
        <v>46289</v>
      </c>
      <c r="B316" s="36" t="n">
        <f aca="false">IF(A316="","",MONTH(A316))</f>
        <v>9</v>
      </c>
      <c r="C316" s="37" t="s">
        <v>71</v>
      </c>
      <c r="D316" s="37" t="s">
        <v>54</v>
      </c>
      <c r="E316" s="37" t="n">
        <v>4</v>
      </c>
      <c r="F316" s="38" t="n">
        <v>5530000</v>
      </c>
      <c r="G316" s="37" t="n">
        <v>1</v>
      </c>
      <c r="H316" s="39" t="n">
        <f aca="false">IF(E316="","",E316*N(F316)*IF(G316="",1,G316))</f>
        <v>22120000</v>
      </c>
      <c r="I316" s="37" t="s">
        <v>189</v>
      </c>
      <c r="J316" s="37" t="s">
        <v>541</v>
      </c>
      <c r="K316" s="37"/>
    </row>
    <row r="317" customFormat="false" ht="15" hidden="false" customHeight="false" outlineLevel="0" collapsed="false">
      <c r="A317" s="35" t="n">
        <v>46289</v>
      </c>
      <c r="B317" s="36" t="n">
        <f aca="false">IF(A317="","",MONTH(A317))</f>
        <v>9</v>
      </c>
      <c r="C317" s="37" t="s">
        <v>84</v>
      </c>
      <c r="D317" s="37" t="s">
        <v>54</v>
      </c>
      <c r="E317" s="37" t="n">
        <v>2</v>
      </c>
      <c r="F317" s="38" t="n">
        <v>6504000</v>
      </c>
      <c r="G317" s="37" t="n">
        <v>1</v>
      </c>
      <c r="H317" s="39" t="n">
        <f aca="false">IF(E317="","",E317*N(F317)*IF(G317="",1,G317))</f>
        <v>13008000</v>
      </c>
      <c r="I317" s="37" t="s">
        <v>189</v>
      </c>
      <c r="J317" s="37" t="s">
        <v>542</v>
      </c>
      <c r="K317" s="37"/>
    </row>
    <row r="318" customFormat="false" ht="15" hidden="false" customHeight="false" outlineLevel="0" collapsed="false">
      <c r="A318" s="35" t="n">
        <v>46289</v>
      </c>
      <c r="B318" s="36" t="n">
        <f aca="false">IF(A318="","",MONTH(A318))</f>
        <v>9</v>
      </c>
      <c r="C318" s="37" t="s">
        <v>84</v>
      </c>
      <c r="D318" s="37" t="s">
        <v>53</v>
      </c>
      <c r="E318" s="37" t="n">
        <v>2</v>
      </c>
      <c r="F318" s="38" t="n">
        <v>2089000</v>
      </c>
      <c r="G318" s="37" t="n">
        <v>1.1</v>
      </c>
      <c r="H318" s="39" t="n">
        <f aca="false">IF(E318="","",E318*N(F318)*IF(G318="",1,G318))</f>
        <v>4595800</v>
      </c>
      <c r="I318" s="37" t="s">
        <v>543</v>
      </c>
      <c r="J318" s="37" t="s">
        <v>544</v>
      </c>
      <c r="K318" s="37"/>
    </row>
    <row r="319" customFormat="false" ht="15" hidden="false" customHeight="false" outlineLevel="0" collapsed="false">
      <c r="A319" s="35" t="n">
        <v>46289</v>
      </c>
      <c r="B319" s="36" t="n">
        <f aca="false">IF(A319="","",MONTH(A319))</f>
        <v>9</v>
      </c>
      <c r="C319" s="37" t="s">
        <v>84</v>
      </c>
      <c r="D319" s="37" t="s">
        <v>53</v>
      </c>
      <c r="E319" s="37" t="n">
        <v>1</v>
      </c>
      <c r="F319" s="38" t="n">
        <v>2089000</v>
      </c>
      <c r="G319" s="37" t="n">
        <v>1.1</v>
      </c>
      <c r="H319" s="39" t="n">
        <f aca="false">IF(E319="","",E319*N(F319)*IF(G319="",1,G319))</f>
        <v>2297900</v>
      </c>
      <c r="I319" s="37" t="s">
        <v>513</v>
      </c>
      <c r="J319" s="37" t="s">
        <v>545</v>
      </c>
      <c r="K319" s="37"/>
    </row>
    <row r="320" customFormat="false" ht="15" hidden="false" customHeight="false" outlineLevel="0" collapsed="false">
      <c r="A320" s="35" t="n">
        <v>46290</v>
      </c>
      <c r="B320" s="36" t="n">
        <f aca="false">IF(A320="","",MONTH(A320))</f>
        <v>9</v>
      </c>
      <c r="C320" s="37" t="s">
        <v>96</v>
      </c>
      <c r="D320" s="37" t="s">
        <v>54</v>
      </c>
      <c r="E320" s="37" t="n">
        <v>1</v>
      </c>
      <c r="F320" s="38" t="n">
        <v>5025000</v>
      </c>
      <c r="G320" s="37" t="n">
        <v>1</v>
      </c>
      <c r="H320" s="39" t="n">
        <f aca="false">IF(E320="","",E320*N(F320)*IF(G320="",1,G320))</f>
        <v>5025000</v>
      </c>
      <c r="I320" s="37" t="s">
        <v>546</v>
      </c>
      <c r="J320" s="37" t="s">
        <v>547</v>
      </c>
      <c r="K320" s="37"/>
    </row>
    <row r="321" customFormat="false" ht="15" hidden="false" customHeight="false" outlineLevel="0" collapsed="false">
      <c r="A321" s="35" t="n">
        <v>46290</v>
      </c>
      <c r="B321" s="36" t="n">
        <f aca="false">IF(A321="","",MONTH(A321))</f>
        <v>9</v>
      </c>
      <c r="C321" s="37" t="s">
        <v>90</v>
      </c>
      <c r="D321" s="37" t="s">
        <v>53</v>
      </c>
      <c r="E321" s="37" t="n">
        <v>1</v>
      </c>
      <c r="F321" s="38" t="n">
        <v>1447000</v>
      </c>
      <c r="G321" s="37" t="n">
        <v>1</v>
      </c>
      <c r="H321" s="39" t="n">
        <f aca="false">IF(E321="","",E321*N(F321)*IF(G321="",1,G321))</f>
        <v>1447000</v>
      </c>
      <c r="I321" s="37" t="s">
        <v>548</v>
      </c>
      <c r="J321" s="37" t="s">
        <v>549</v>
      </c>
      <c r="K321" s="37"/>
    </row>
    <row r="322" customFormat="false" ht="15" hidden="false" customHeight="false" outlineLevel="0" collapsed="false">
      <c r="A322" s="35" t="n">
        <v>46290</v>
      </c>
      <c r="B322" s="36" t="n">
        <f aca="false">IF(A322="","",MONTH(A322))</f>
        <v>9</v>
      </c>
      <c r="C322" s="37" t="s">
        <v>71</v>
      </c>
      <c r="D322" s="37" t="s">
        <v>54</v>
      </c>
      <c r="E322" s="37" t="n">
        <v>2</v>
      </c>
      <c r="F322" s="38" t="n">
        <v>5530000</v>
      </c>
      <c r="G322" s="37" t="n">
        <v>1</v>
      </c>
      <c r="H322" s="39" t="n">
        <f aca="false">IF(E322="","",E322*N(F322)*IF(G322="",1,G322))</f>
        <v>11060000</v>
      </c>
      <c r="I322" s="37" t="s">
        <v>189</v>
      </c>
      <c r="J322" s="37" t="s">
        <v>550</v>
      </c>
      <c r="K322" s="37"/>
    </row>
    <row r="323" customFormat="false" ht="15" hidden="false" customHeight="false" outlineLevel="0" collapsed="false">
      <c r="A323" s="35" t="n">
        <v>46294</v>
      </c>
      <c r="B323" s="36" t="n">
        <f aca="false">IF(A323="","",MONTH(A323))</f>
        <v>9</v>
      </c>
      <c r="C323" s="37" t="s">
        <v>82</v>
      </c>
      <c r="D323" s="37" t="s">
        <v>54</v>
      </c>
      <c r="E323" s="37" t="n">
        <v>1</v>
      </c>
      <c r="F323" s="38" t="n">
        <v>5331000</v>
      </c>
      <c r="G323" s="37" t="n">
        <v>1</v>
      </c>
      <c r="H323" s="39" t="n">
        <f aca="false">IF(E323="","",E323*N(F323)*IF(G323="",1,G323))</f>
        <v>5331000</v>
      </c>
      <c r="I323" s="37" t="s">
        <v>551</v>
      </c>
      <c r="J323" s="37" t="s">
        <v>552</v>
      </c>
      <c r="K323" s="37"/>
    </row>
    <row r="324" customFormat="false" ht="15" hidden="false" customHeight="false" outlineLevel="0" collapsed="false">
      <c r="A324" s="35" t="n">
        <v>46294</v>
      </c>
      <c r="B324" s="36" t="n">
        <f aca="false">IF(A324="","",MONTH(A324))</f>
        <v>9</v>
      </c>
      <c r="C324" s="37" t="s">
        <v>51</v>
      </c>
      <c r="D324" s="37" t="s">
        <v>54</v>
      </c>
      <c r="E324" s="37" t="n">
        <v>1</v>
      </c>
      <c r="F324" s="38" t="n">
        <v>3012000</v>
      </c>
      <c r="G324" s="37" t="n">
        <v>1</v>
      </c>
      <c r="H324" s="39" t="n">
        <f aca="false">IF(E324="","",E324*N(F324)*IF(G324="",1,G324))</f>
        <v>3012000</v>
      </c>
      <c r="I324" s="37"/>
      <c r="J324" s="37" t="s">
        <v>553</v>
      </c>
      <c r="K324" s="37"/>
    </row>
    <row r="325" customFormat="false" ht="15" hidden="false" customHeight="false" outlineLevel="0" collapsed="false">
      <c r="A325" s="35" t="n">
        <v>46294</v>
      </c>
      <c r="B325" s="36" t="n">
        <f aca="false">IF(A325="","",MONTH(A325))</f>
        <v>9</v>
      </c>
      <c r="C325" s="37" t="s">
        <v>69</v>
      </c>
      <c r="D325" s="37" t="s">
        <v>53</v>
      </c>
      <c r="E325" s="37" t="n">
        <v>1</v>
      </c>
      <c r="F325" s="38" t="n">
        <v>1302000</v>
      </c>
      <c r="G325" s="37" t="n">
        <v>1</v>
      </c>
      <c r="H325" s="39" t="n">
        <f aca="false">IF(E325="","",E325*N(F325)*IF(G325="",1,G325))</f>
        <v>1302000</v>
      </c>
      <c r="I325" s="37" t="s">
        <v>554</v>
      </c>
      <c r="J325" s="37" t="s">
        <v>555</v>
      </c>
      <c r="K325" s="37"/>
    </row>
    <row r="326" customFormat="false" ht="15" hidden="false" customHeight="false" outlineLevel="0" collapsed="false">
      <c r="A326" s="35" t="n">
        <v>46294</v>
      </c>
      <c r="B326" s="36" t="n">
        <f aca="false">IF(A326="","",MONTH(A326))</f>
        <v>9</v>
      </c>
      <c r="C326" s="37" t="s">
        <v>84</v>
      </c>
      <c r="D326" s="37" t="s">
        <v>53</v>
      </c>
      <c r="E326" s="37" t="n">
        <v>1</v>
      </c>
      <c r="F326" s="38" t="n">
        <v>2089000</v>
      </c>
      <c r="G326" s="37" t="n">
        <v>1</v>
      </c>
      <c r="H326" s="39" t="n">
        <f aca="false">IF(E326="","",E326*N(F326)*IF(G326="",1,G326))</f>
        <v>2089000</v>
      </c>
      <c r="I326" s="37" t="s">
        <v>189</v>
      </c>
      <c r="J326" s="37" t="s">
        <v>556</v>
      </c>
      <c r="K326" s="37"/>
    </row>
    <row r="327" customFormat="false" ht="15" hidden="false" customHeight="false" outlineLevel="0" collapsed="false">
      <c r="A327" s="35" t="n">
        <v>46294</v>
      </c>
      <c r="B327" s="36" t="n">
        <f aca="false">IF(A327="","",MONTH(A327))</f>
        <v>9</v>
      </c>
      <c r="C327" s="37" t="s">
        <v>84</v>
      </c>
      <c r="D327" s="37" t="s">
        <v>79</v>
      </c>
      <c r="E327" s="37" t="n">
        <v>2</v>
      </c>
      <c r="F327" s="38" t="n">
        <v>479000</v>
      </c>
      <c r="G327" s="37" t="n">
        <v>1.15</v>
      </c>
      <c r="H327" s="39" t="n">
        <f aca="false">IF(E327="","",E327*N(F327)*IF(G327="",1,G327))</f>
        <v>1101700</v>
      </c>
      <c r="I327" s="37" t="s">
        <v>432</v>
      </c>
      <c r="J327" s="37" t="s">
        <v>557</v>
      </c>
      <c r="K327" s="37"/>
    </row>
    <row r="328" customFormat="false" ht="15" hidden="false" customHeight="false" outlineLevel="0" collapsed="false">
      <c r="A328" s="35"/>
      <c r="B328" s="36" t="str">
        <f aca="false">IF(A328="","",MONTH(A328))</f>
        <v/>
      </c>
      <c r="C328" s="37"/>
      <c r="D328" s="37"/>
      <c r="E328" s="37"/>
      <c r="F328" s="38"/>
      <c r="G328" s="37"/>
      <c r="H328" s="39" t="str">
        <f aca="false">IF(E328="","",E328*N(F328)*IF(G328="",1,G328))</f>
        <v/>
      </c>
      <c r="I328" s="37"/>
      <c r="J328" s="37"/>
      <c r="K328" s="37"/>
    </row>
    <row r="329" customFormat="false" ht="15" hidden="false" customHeight="false" outlineLevel="0" collapsed="false">
      <c r="A329" s="35"/>
      <c r="B329" s="36" t="str">
        <f aca="false">IF(A329="","",MONTH(A329))</f>
        <v/>
      </c>
      <c r="C329" s="37"/>
      <c r="D329" s="37"/>
      <c r="E329" s="37"/>
      <c r="F329" s="38"/>
      <c r="G329" s="37"/>
      <c r="H329" s="39" t="str">
        <f aca="false">IF(E329="","",E329*N(F329)*IF(G329="",1,G329))</f>
        <v/>
      </c>
      <c r="I329" s="37"/>
      <c r="J329" s="37"/>
      <c r="K329" s="37"/>
    </row>
    <row r="330" customFormat="false" ht="15" hidden="false" customHeight="false" outlineLevel="0" collapsed="false">
      <c r="A330" s="35"/>
      <c r="B330" s="36" t="str">
        <f aca="false">IF(A330="","",MONTH(A330))</f>
        <v/>
      </c>
      <c r="C330" s="37"/>
      <c r="D330" s="37"/>
      <c r="E330" s="37"/>
      <c r="F330" s="38"/>
      <c r="G330" s="37"/>
      <c r="H330" s="39" t="str">
        <f aca="false">IF(E330="","",E330*N(F330)*IF(G330="",1,G330))</f>
        <v/>
      </c>
      <c r="I330" s="37"/>
      <c r="J330" s="37"/>
      <c r="K330" s="37"/>
    </row>
    <row r="331" customFormat="false" ht="15" hidden="false" customHeight="false" outlineLevel="0" collapsed="false">
      <c r="A331" s="35"/>
      <c r="B331" s="36" t="str">
        <f aca="false">IF(A331="","",MONTH(A331))</f>
        <v/>
      </c>
      <c r="C331" s="37"/>
      <c r="D331" s="37"/>
      <c r="E331" s="37"/>
      <c r="F331" s="38"/>
      <c r="G331" s="37"/>
      <c r="H331" s="39" t="str">
        <f aca="false">IF(E331="","",E331*N(F331)*IF(G331="",1,G331))</f>
        <v/>
      </c>
      <c r="I331" s="37"/>
      <c r="J331" s="37"/>
      <c r="K331" s="37"/>
    </row>
    <row r="332" customFormat="false" ht="15" hidden="false" customHeight="false" outlineLevel="0" collapsed="false">
      <c r="A332" s="35"/>
      <c r="B332" s="36" t="str">
        <f aca="false">IF(A332="","",MONTH(A332))</f>
        <v/>
      </c>
      <c r="C332" s="37"/>
      <c r="D332" s="37"/>
      <c r="E332" s="37"/>
      <c r="F332" s="38"/>
      <c r="G332" s="37"/>
      <c r="H332" s="39" t="str">
        <f aca="false">IF(E332="","",E332*N(F332)*IF(G332="",1,G332))</f>
        <v/>
      </c>
      <c r="I332" s="37"/>
      <c r="J332" s="37"/>
      <c r="K332" s="37"/>
    </row>
    <row r="333" customFormat="false" ht="15" hidden="false" customHeight="false" outlineLevel="0" collapsed="false">
      <c r="A333" s="35"/>
      <c r="B333" s="36" t="str">
        <f aca="false">IF(A333="","",MONTH(A333))</f>
        <v/>
      </c>
      <c r="C333" s="37"/>
      <c r="D333" s="37"/>
      <c r="E333" s="37"/>
      <c r="F333" s="38"/>
      <c r="G333" s="37"/>
      <c r="H333" s="39" t="str">
        <f aca="false">IF(E333="","",E333*N(F333)*IF(G333="",1,G333))</f>
        <v/>
      </c>
      <c r="I333" s="37"/>
      <c r="J333" s="37"/>
      <c r="K333" s="37"/>
    </row>
    <row r="334" customFormat="false" ht="15" hidden="false" customHeight="false" outlineLevel="0" collapsed="false">
      <c r="A334" s="35"/>
      <c r="B334" s="36" t="str">
        <f aca="false">IF(A334="","",MONTH(A334))</f>
        <v/>
      </c>
      <c r="C334" s="37"/>
      <c r="D334" s="37"/>
      <c r="E334" s="37"/>
      <c r="F334" s="38"/>
      <c r="G334" s="37"/>
      <c r="H334" s="39" t="str">
        <f aca="false">IF(E334="","",E334*N(F334)*IF(G334="",1,G334))</f>
        <v/>
      </c>
      <c r="I334" s="37"/>
      <c r="J334" s="37"/>
      <c r="K334" s="37"/>
    </row>
    <row r="335" customFormat="false" ht="15" hidden="false" customHeight="false" outlineLevel="0" collapsed="false">
      <c r="A335" s="35"/>
      <c r="B335" s="36" t="str">
        <f aca="false">IF(A335="","",MONTH(A335))</f>
        <v/>
      </c>
      <c r="C335" s="37"/>
      <c r="D335" s="37"/>
      <c r="E335" s="37"/>
      <c r="F335" s="38"/>
      <c r="G335" s="37"/>
      <c r="H335" s="39" t="str">
        <f aca="false">IF(E335="","",E335*N(F335)*IF(G335="",1,G335))</f>
        <v/>
      </c>
      <c r="I335" s="37"/>
      <c r="J335" s="37"/>
      <c r="K335" s="37"/>
    </row>
    <row r="336" customFormat="false" ht="15" hidden="false" customHeight="false" outlineLevel="0" collapsed="false">
      <c r="A336" s="35"/>
      <c r="B336" s="36" t="str">
        <f aca="false">IF(A336="","",MONTH(A336))</f>
        <v/>
      </c>
      <c r="C336" s="37"/>
      <c r="D336" s="37"/>
      <c r="E336" s="37"/>
      <c r="F336" s="38"/>
      <c r="G336" s="37"/>
      <c r="H336" s="39" t="str">
        <f aca="false">IF(E336="","",E336*N(F336)*IF(G336="",1,G336))</f>
        <v/>
      </c>
      <c r="I336" s="37"/>
      <c r="J336" s="37"/>
      <c r="K336" s="37"/>
    </row>
    <row r="337" customFormat="false" ht="15" hidden="false" customHeight="false" outlineLevel="0" collapsed="false">
      <c r="A337" s="35"/>
      <c r="B337" s="36" t="str">
        <f aca="false">IF(A337="","",MONTH(A337))</f>
        <v/>
      </c>
      <c r="C337" s="37"/>
      <c r="D337" s="37"/>
      <c r="E337" s="37"/>
      <c r="F337" s="38"/>
      <c r="G337" s="37"/>
      <c r="H337" s="39" t="str">
        <f aca="false">IF(E337="","",E337*N(F337)*IF(G337="",1,G337))</f>
        <v/>
      </c>
      <c r="I337" s="37"/>
      <c r="J337" s="37"/>
      <c r="K337" s="37"/>
    </row>
    <row r="338" customFormat="false" ht="15" hidden="false" customHeight="false" outlineLevel="0" collapsed="false">
      <c r="A338" s="35"/>
      <c r="B338" s="36" t="str">
        <f aca="false">IF(A338="","",MONTH(A338))</f>
        <v/>
      </c>
      <c r="C338" s="37"/>
      <c r="D338" s="37"/>
      <c r="E338" s="37"/>
      <c r="F338" s="38"/>
      <c r="G338" s="37"/>
      <c r="H338" s="39" t="str">
        <f aca="false">IF(E338="","",E338*N(F338)*IF(G338="",1,G338))</f>
        <v/>
      </c>
      <c r="I338" s="37"/>
      <c r="J338" s="37"/>
      <c r="K338" s="37"/>
    </row>
    <row r="339" customFormat="false" ht="15" hidden="false" customHeight="false" outlineLevel="0" collapsed="false">
      <c r="A339" s="35"/>
      <c r="B339" s="36" t="str">
        <f aca="false">IF(A339="","",MONTH(A339))</f>
        <v/>
      </c>
      <c r="C339" s="37"/>
      <c r="D339" s="37"/>
      <c r="E339" s="37"/>
      <c r="F339" s="38"/>
      <c r="G339" s="37"/>
      <c r="H339" s="39" t="str">
        <f aca="false">IF(E339="","",E339*N(F339)*IF(G339="",1,G339))</f>
        <v/>
      </c>
      <c r="I339" s="37"/>
      <c r="J339" s="37"/>
      <c r="K339" s="37"/>
    </row>
    <row r="340" customFormat="false" ht="15" hidden="false" customHeight="false" outlineLevel="0" collapsed="false">
      <c r="A340" s="35"/>
      <c r="B340" s="36" t="str">
        <f aca="false">IF(A340="","",MONTH(A340))</f>
        <v/>
      </c>
      <c r="C340" s="37"/>
      <c r="D340" s="37"/>
      <c r="E340" s="37"/>
      <c r="F340" s="38"/>
      <c r="G340" s="37"/>
      <c r="H340" s="39" t="str">
        <f aca="false">IF(E340="","",E340*N(F340)*IF(G340="",1,G340))</f>
        <v/>
      </c>
      <c r="I340" s="37"/>
      <c r="J340" s="37"/>
      <c r="K340" s="37"/>
    </row>
    <row r="341" customFormat="false" ht="15" hidden="false" customHeight="false" outlineLevel="0" collapsed="false">
      <c r="A341" s="35"/>
      <c r="B341" s="36" t="str">
        <f aca="false">IF(A341="","",MONTH(A341))</f>
        <v/>
      </c>
      <c r="C341" s="37"/>
      <c r="D341" s="37"/>
      <c r="E341" s="37"/>
      <c r="F341" s="38"/>
      <c r="G341" s="37"/>
      <c r="H341" s="39" t="str">
        <f aca="false">IF(E341="","",E341*N(F341)*IF(G341="",1,G341))</f>
        <v/>
      </c>
      <c r="I341" s="37"/>
      <c r="J341" s="37"/>
      <c r="K341" s="37"/>
    </row>
    <row r="342" customFormat="false" ht="15" hidden="false" customHeight="false" outlineLevel="0" collapsed="false">
      <c r="A342" s="35"/>
      <c r="B342" s="36" t="str">
        <f aca="false">IF(A342="","",MONTH(A342))</f>
        <v/>
      </c>
      <c r="C342" s="37"/>
      <c r="D342" s="37"/>
      <c r="E342" s="37"/>
      <c r="F342" s="38"/>
      <c r="G342" s="37"/>
      <c r="H342" s="39" t="str">
        <f aca="false">IF(E342="","",E342*N(F342)*IF(G342="",1,G342))</f>
        <v/>
      </c>
      <c r="I342" s="37"/>
      <c r="J342" s="37"/>
      <c r="K342" s="37"/>
    </row>
    <row r="343" customFormat="false" ht="15" hidden="false" customHeight="false" outlineLevel="0" collapsed="false">
      <c r="A343" s="35"/>
      <c r="B343" s="36" t="str">
        <f aca="false">IF(A343="","",MONTH(A343))</f>
        <v/>
      </c>
      <c r="C343" s="37"/>
      <c r="D343" s="37"/>
      <c r="E343" s="37"/>
      <c r="F343" s="38"/>
      <c r="G343" s="37"/>
      <c r="H343" s="39" t="str">
        <f aca="false">IF(E343="","",E343*N(F343)*IF(G343="",1,G343))</f>
        <v/>
      </c>
      <c r="I343" s="37"/>
      <c r="J343" s="37"/>
      <c r="K343" s="37"/>
    </row>
    <row r="344" customFormat="false" ht="15" hidden="false" customHeight="false" outlineLevel="0" collapsed="false">
      <c r="A344" s="35"/>
      <c r="B344" s="36" t="str">
        <f aca="false">IF(A344="","",MONTH(A344))</f>
        <v/>
      </c>
      <c r="C344" s="37"/>
      <c r="D344" s="37"/>
      <c r="E344" s="37"/>
      <c r="F344" s="38"/>
      <c r="G344" s="37"/>
      <c r="H344" s="39" t="str">
        <f aca="false">IF(E344="","",E344*N(F344)*IF(G344="",1,G344))</f>
        <v/>
      </c>
      <c r="I344" s="37"/>
      <c r="J344" s="37"/>
      <c r="K344" s="37"/>
    </row>
    <row r="345" customFormat="false" ht="15" hidden="false" customHeight="false" outlineLevel="0" collapsed="false">
      <c r="A345" s="35"/>
      <c r="B345" s="36" t="str">
        <f aca="false">IF(A345="","",MONTH(A345))</f>
        <v/>
      </c>
      <c r="C345" s="37"/>
      <c r="D345" s="37"/>
      <c r="E345" s="37"/>
      <c r="F345" s="38"/>
      <c r="G345" s="37"/>
      <c r="H345" s="39" t="str">
        <f aca="false">IF(E345="","",E345*N(F345)*IF(G345="",1,G345))</f>
        <v/>
      </c>
      <c r="I345" s="37"/>
      <c r="J345" s="37"/>
      <c r="K345" s="37"/>
    </row>
    <row r="346" customFormat="false" ht="15" hidden="false" customHeight="false" outlineLevel="0" collapsed="false">
      <c r="A346" s="35"/>
      <c r="B346" s="36" t="str">
        <f aca="false">IF(A346="","",MONTH(A346))</f>
        <v/>
      </c>
      <c r="C346" s="37"/>
      <c r="D346" s="37"/>
      <c r="E346" s="37"/>
      <c r="F346" s="38"/>
      <c r="G346" s="37"/>
      <c r="H346" s="39" t="str">
        <f aca="false">IF(E346="","",E346*N(F346)*IF(G346="",1,G346))</f>
        <v/>
      </c>
      <c r="I346" s="37"/>
      <c r="J346" s="37"/>
      <c r="K346" s="37"/>
    </row>
    <row r="347" customFormat="false" ht="15" hidden="false" customHeight="false" outlineLevel="0" collapsed="false">
      <c r="A347" s="35"/>
      <c r="B347" s="36" t="str">
        <f aca="false">IF(A347="","",MONTH(A347))</f>
        <v/>
      </c>
      <c r="C347" s="37"/>
      <c r="D347" s="37"/>
      <c r="E347" s="37"/>
      <c r="F347" s="38"/>
      <c r="G347" s="37"/>
      <c r="H347" s="39" t="str">
        <f aca="false">IF(E347="","",E347*N(F347)*IF(G347="",1,G347))</f>
        <v/>
      </c>
      <c r="I347" s="37"/>
      <c r="J347" s="37"/>
      <c r="K347" s="37"/>
    </row>
    <row r="348" customFormat="false" ht="15" hidden="false" customHeight="false" outlineLevel="0" collapsed="false">
      <c r="A348" s="35"/>
      <c r="B348" s="36" t="str">
        <f aca="false">IF(A348="","",MONTH(A348))</f>
        <v/>
      </c>
      <c r="C348" s="37"/>
      <c r="D348" s="37"/>
      <c r="E348" s="37"/>
      <c r="F348" s="38"/>
      <c r="G348" s="37"/>
      <c r="H348" s="39" t="str">
        <f aca="false">IF(E348="","",E348*N(F348)*IF(G348="",1,G348))</f>
        <v/>
      </c>
      <c r="I348" s="37"/>
      <c r="J348" s="37"/>
      <c r="K348" s="37"/>
    </row>
    <row r="349" customFormat="false" ht="15" hidden="false" customHeight="false" outlineLevel="0" collapsed="false">
      <c r="A349" s="35"/>
      <c r="B349" s="36" t="str">
        <f aca="false">IF(A349="","",MONTH(A349))</f>
        <v/>
      </c>
      <c r="C349" s="37"/>
      <c r="D349" s="37"/>
      <c r="E349" s="37"/>
      <c r="F349" s="38"/>
      <c r="G349" s="37"/>
      <c r="H349" s="39" t="str">
        <f aca="false">IF(E349="","",E349*N(F349)*IF(G349="",1,G349))</f>
        <v/>
      </c>
      <c r="I349" s="37"/>
      <c r="J349" s="37"/>
      <c r="K349" s="37"/>
    </row>
    <row r="350" customFormat="false" ht="15" hidden="false" customHeight="false" outlineLevel="0" collapsed="false">
      <c r="A350" s="35"/>
      <c r="B350" s="36" t="str">
        <f aca="false">IF(A350="","",MONTH(A350))</f>
        <v/>
      </c>
      <c r="C350" s="37"/>
      <c r="D350" s="37"/>
      <c r="E350" s="37"/>
      <c r="F350" s="38"/>
      <c r="G350" s="37"/>
      <c r="H350" s="39" t="str">
        <f aca="false">IF(E350="","",E350*N(F350)*IF(G350="",1,G350))</f>
        <v/>
      </c>
      <c r="I350" s="37"/>
      <c r="J350" s="37"/>
      <c r="K350" s="37"/>
    </row>
    <row r="351" customFormat="false" ht="15" hidden="false" customHeight="false" outlineLevel="0" collapsed="false">
      <c r="A351" s="35"/>
      <c r="B351" s="36" t="str">
        <f aca="false">IF(A351="","",MONTH(A351))</f>
        <v/>
      </c>
      <c r="C351" s="37"/>
      <c r="D351" s="37"/>
      <c r="E351" s="37"/>
      <c r="F351" s="38"/>
      <c r="G351" s="37"/>
      <c r="H351" s="39" t="str">
        <f aca="false">IF(E351="","",E351*N(F351)*IF(G351="",1,G351))</f>
        <v/>
      </c>
      <c r="I351" s="37"/>
      <c r="J351" s="37"/>
      <c r="K351" s="37"/>
    </row>
    <row r="352" customFormat="false" ht="15" hidden="false" customHeight="false" outlineLevel="0" collapsed="false">
      <c r="A352" s="35"/>
      <c r="B352" s="36" t="str">
        <f aca="false">IF(A352="","",MONTH(A352))</f>
        <v/>
      </c>
      <c r="C352" s="37"/>
      <c r="D352" s="37"/>
      <c r="E352" s="37"/>
      <c r="F352" s="38"/>
      <c r="G352" s="37"/>
      <c r="H352" s="39" t="str">
        <f aca="false">IF(E352="","",E352*N(F352)*IF(G352="",1,G352))</f>
        <v/>
      </c>
      <c r="I352" s="37"/>
      <c r="J352" s="37"/>
      <c r="K352" s="37"/>
    </row>
    <row r="353" customFormat="false" ht="15" hidden="false" customHeight="false" outlineLevel="0" collapsed="false">
      <c r="A353" s="35"/>
      <c r="B353" s="36" t="str">
        <f aca="false">IF(A353="","",MONTH(A353))</f>
        <v/>
      </c>
      <c r="C353" s="37"/>
      <c r="D353" s="37"/>
      <c r="E353" s="37"/>
      <c r="F353" s="38"/>
      <c r="G353" s="37"/>
      <c r="H353" s="39" t="str">
        <f aca="false">IF(E353="","",E353*N(F353)*IF(G353="",1,G353))</f>
        <v/>
      </c>
      <c r="I353" s="37"/>
      <c r="J353" s="37"/>
      <c r="K353" s="37"/>
    </row>
    <row r="354" customFormat="false" ht="15" hidden="false" customHeight="false" outlineLevel="0" collapsed="false">
      <c r="A354" s="35"/>
      <c r="B354" s="36" t="str">
        <f aca="false">IF(A354="","",MONTH(A354))</f>
        <v/>
      </c>
      <c r="C354" s="37"/>
      <c r="D354" s="37"/>
      <c r="E354" s="37"/>
      <c r="F354" s="38"/>
      <c r="G354" s="37"/>
      <c r="H354" s="39" t="str">
        <f aca="false">IF(E354="","",E354*N(F354)*IF(G354="",1,G354))</f>
        <v/>
      </c>
      <c r="I354" s="37"/>
      <c r="J354" s="37"/>
      <c r="K354" s="37"/>
    </row>
    <row r="355" customFormat="false" ht="15" hidden="false" customHeight="false" outlineLevel="0" collapsed="false">
      <c r="A355" s="35"/>
      <c r="B355" s="36" t="str">
        <f aca="false">IF(A355="","",MONTH(A355))</f>
        <v/>
      </c>
      <c r="C355" s="37"/>
      <c r="D355" s="37"/>
      <c r="E355" s="37"/>
      <c r="F355" s="38"/>
      <c r="G355" s="37"/>
      <c r="H355" s="39" t="str">
        <f aca="false">IF(E355="","",E355*N(F355)*IF(G355="",1,G355))</f>
        <v/>
      </c>
      <c r="I355" s="37"/>
      <c r="J355" s="37"/>
      <c r="K355" s="37"/>
    </row>
    <row r="356" customFormat="false" ht="15" hidden="false" customHeight="false" outlineLevel="0" collapsed="false">
      <c r="A356" s="35"/>
      <c r="B356" s="36" t="str">
        <f aca="false">IF(A356="","",MONTH(A356))</f>
        <v/>
      </c>
      <c r="C356" s="37"/>
      <c r="D356" s="37"/>
      <c r="E356" s="37"/>
      <c r="F356" s="38"/>
      <c r="G356" s="37"/>
      <c r="H356" s="39" t="str">
        <f aca="false">IF(E356="","",E356*N(F356)*IF(G356="",1,G356))</f>
        <v/>
      </c>
      <c r="I356" s="37"/>
      <c r="J356" s="37"/>
      <c r="K356" s="37"/>
    </row>
    <row r="357" customFormat="false" ht="15" hidden="false" customHeight="false" outlineLevel="0" collapsed="false">
      <c r="A357" s="35"/>
      <c r="B357" s="36" t="str">
        <f aca="false">IF(A357="","",MONTH(A357))</f>
        <v/>
      </c>
      <c r="C357" s="37"/>
      <c r="D357" s="37"/>
      <c r="E357" s="37"/>
      <c r="F357" s="38"/>
      <c r="G357" s="37"/>
      <c r="H357" s="39" t="str">
        <f aca="false">IF(E357="","",E357*N(F357)*IF(G357="",1,G357))</f>
        <v/>
      </c>
      <c r="I357" s="37"/>
      <c r="J357" s="37"/>
      <c r="K357" s="37"/>
    </row>
    <row r="358" customFormat="false" ht="15" hidden="false" customHeight="false" outlineLevel="0" collapsed="false">
      <c r="A358" s="35"/>
      <c r="B358" s="36" t="str">
        <f aca="false">IF(A358="","",MONTH(A358))</f>
        <v/>
      </c>
      <c r="C358" s="37"/>
      <c r="D358" s="37"/>
      <c r="E358" s="37"/>
      <c r="F358" s="38"/>
      <c r="G358" s="37"/>
      <c r="H358" s="39" t="str">
        <f aca="false">IF(E358="","",E358*N(F358)*IF(G358="",1,G358))</f>
        <v/>
      </c>
      <c r="I358" s="37"/>
      <c r="J358" s="37"/>
      <c r="K358" s="37"/>
    </row>
    <row r="359" customFormat="false" ht="15" hidden="false" customHeight="false" outlineLevel="0" collapsed="false">
      <c r="A359" s="35"/>
      <c r="B359" s="36" t="str">
        <f aca="false">IF(A359="","",MONTH(A359))</f>
        <v/>
      </c>
      <c r="C359" s="37"/>
      <c r="D359" s="37"/>
      <c r="E359" s="37"/>
      <c r="F359" s="38"/>
      <c r="G359" s="37"/>
      <c r="H359" s="39" t="str">
        <f aca="false">IF(E359="","",E359*N(F359)*IF(G359="",1,G359))</f>
        <v/>
      </c>
      <c r="I359" s="37"/>
      <c r="J359" s="37"/>
      <c r="K359" s="37"/>
    </row>
    <row r="360" customFormat="false" ht="15" hidden="false" customHeight="false" outlineLevel="0" collapsed="false">
      <c r="A360" s="35"/>
      <c r="B360" s="36" t="str">
        <f aca="false">IF(A360="","",MONTH(A360))</f>
        <v/>
      </c>
      <c r="C360" s="37"/>
      <c r="D360" s="37"/>
      <c r="E360" s="37"/>
      <c r="F360" s="38"/>
      <c r="G360" s="37"/>
      <c r="H360" s="39" t="str">
        <f aca="false">IF(E360="","",E360*N(F360)*IF(G360="",1,G360))</f>
        <v/>
      </c>
      <c r="I360" s="37"/>
      <c r="J360" s="37"/>
      <c r="K360" s="37"/>
    </row>
    <row r="361" customFormat="false" ht="15" hidden="false" customHeight="false" outlineLevel="0" collapsed="false">
      <c r="A361" s="35"/>
      <c r="B361" s="36" t="str">
        <f aca="false">IF(A361="","",MONTH(A361))</f>
        <v/>
      </c>
      <c r="C361" s="37"/>
      <c r="D361" s="37"/>
      <c r="E361" s="37"/>
      <c r="F361" s="38"/>
      <c r="G361" s="37"/>
      <c r="H361" s="39" t="str">
        <f aca="false">IF(E361="","",E361*N(F361)*IF(G361="",1,G361))</f>
        <v/>
      </c>
      <c r="I361" s="37"/>
      <c r="J361" s="37"/>
      <c r="K361" s="37"/>
    </row>
    <row r="362" customFormat="false" ht="15" hidden="false" customHeight="false" outlineLevel="0" collapsed="false">
      <c r="A362" s="35"/>
      <c r="B362" s="36" t="str">
        <f aca="false">IF(A362="","",MONTH(A362))</f>
        <v/>
      </c>
      <c r="C362" s="37"/>
      <c r="D362" s="37"/>
      <c r="E362" s="37"/>
      <c r="F362" s="38"/>
      <c r="G362" s="37"/>
      <c r="H362" s="39" t="str">
        <f aca="false">IF(E362="","",E362*N(F362)*IF(G362="",1,G362))</f>
        <v/>
      </c>
      <c r="I362" s="37"/>
      <c r="J362" s="37"/>
      <c r="K362" s="37"/>
    </row>
    <row r="363" customFormat="false" ht="15" hidden="false" customHeight="false" outlineLevel="0" collapsed="false">
      <c r="A363" s="35"/>
      <c r="B363" s="36" t="str">
        <f aca="false">IF(A363="","",MONTH(A363))</f>
        <v/>
      </c>
      <c r="C363" s="37"/>
      <c r="D363" s="37"/>
      <c r="E363" s="37"/>
      <c r="F363" s="38"/>
      <c r="G363" s="37"/>
      <c r="H363" s="39" t="str">
        <f aca="false">IF(E363="","",E363*N(F363)*IF(G363="",1,G363))</f>
        <v/>
      </c>
      <c r="I363" s="37"/>
      <c r="J363" s="37"/>
      <c r="K363" s="37"/>
    </row>
    <row r="364" customFormat="false" ht="15" hidden="false" customHeight="false" outlineLevel="0" collapsed="false">
      <c r="A364" s="35"/>
      <c r="B364" s="36" t="str">
        <f aca="false">IF(A364="","",MONTH(A364))</f>
        <v/>
      </c>
      <c r="C364" s="37"/>
      <c r="D364" s="37"/>
      <c r="E364" s="37"/>
      <c r="F364" s="38"/>
      <c r="G364" s="37"/>
      <c r="H364" s="39" t="str">
        <f aca="false">IF(E364="","",E364*N(F364)*IF(G364="",1,G364))</f>
        <v/>
      </c>
      <c r="I364" s="37"/>
      <c r="J364" s="37"/>
      <c r="K364" s="37"/>
    </row>
    <row r="365" customFormat="false" ht="15" hidden="false" customHeight="false" outlineLevel="0" collapsed="false">
      <c r="A365" s="35"/>
      <c r="B365" s="36" t="str">
        <f aca="false">IF(A365="","",MONTH(A365))</f>
        <v/>
      </c>
      <c r="C365" s="37"/>
      <c r="D365" s="37"/>
      <c r="E365" s="37"/>
      <c r="F365" s="38"/>
      <c r="G365" s="37"/>
      <c r="H365" s="39" t="str">
        <f aca="false">IF(E365="","",E365*N(F365)*IF(G365="",1,G365))</f>
        <v/>
      </c>
      <c r="I365" s="37"/>
      <c r="J365" s="37"/>
      <c r="K365" s="37"/>
    </row>
    <row r="366" customFormat="false" ht="15" hidden="false" customHeight="false" outlineLevel="0" collapsed="false">
      <c r="A366" s="35"/>
      <c r="B366" s="36" t="str">
        <f aca="false">IF(A366="","",MONTH(A366))</f>
        <v/>
      </c>
      <c r="C366" s="37"/>
      <c r="D366" s="37"/>
      <c r="E366" s="37"/>
      <c r="F366" s="38"/>
      <c r="G366" s="37"/>
      <c r="H366" s="39" t="str">
        <f aca="false">IF(E366="","",E366*N(F366)*IF(G366="",1,G366))</f>
        <v/>
      </c>
      <c r="I366" s="37"/>
      <c r="J366" s="37"/>
      <c r="K366" s="37"/>
    </row>
    <row r="367" customFormat="false" ht="15" hidden="false" customHeight="false" outlineLevel="0" collapsed="false">
      <c r="A367" s="35"/>
      <c r="B367" s="36" t="str">
        <f aca="false">IF(A367="","",MONTH(A367))</f>
        <v/>
      </c>
      <c r="C367" s="37"/>
      <c r="D367" s="37"/>
      <c r="E367" s="37"/>
      <c r="F367" s="38"/>
      <c r="G367" s="37"/>
      <c r="H367" s="39" t="str">
        <f aca="false">IF(E367="","",E367*N(F367)*IF(G367="",1,G367))</f>
        <v/>
      </c>
      <c r="I367" s="37"/>
      <c r="J367" s="37"/>
      <c r="K367" s="37"/>
    </row>
    <row r="368" customFormat="false" ht="15" hidden="false" customHeight="false" outlineLevel="0" collapsed="false">
      <c r="A368" s="35"/>
      <c r="B368" s="36" t="str">
        <f aca="false">IF(A368="","",MONTH(A368))</f>
        <v/>
      </c>
      <c r="C368" s="37"/>
      <c r="D368" s="37"/>
      <c r="E368" s="37"/>
      <c r="F368" s="38"/>
      <c r="G368" s="37"/>
      <c r="H368" s="39" t="str">
        <f aca="false">IF(E368="","",E368*N(F368)*IF(G368="",1,G368))</f>
        <v/>
      </c>
      <c r="I368" s="37"/>
      <c r="J368" s="37"/>
      <c r="K368" s="37"/>
    </row>
    <row r="369" customFormat="false" ht="15" hidden="false" customHeight="false" outlineLevel="0" collapsed="false">
      <c r="A369" s="35"/>
      <c r="B369" s="36" t="str">
        <f aca="false">IF(A369="","",MONTH(A369))</f>
        <v/>
      </c>
      <c r="C369" s="37"/>
      <c r="D369" s="37"/>
      <c r="E369" s="37"/>
      <c r="F369" s="38"/>
      <c r="G369" s="37"/>
      <c r="H369" s="39" t="str">
        <f aca="false">IF(E369="","",E369*N(F369)*IF(G369="",1,G369))</f>
        <v/>
      </c>
      <c r="I369" s="37"/>
      <c r="J369" s="37"/>
      <c r="K369" s="37"/>
    </row>
    <row r="370" customFormat="false" ht="15" hidden="false" customHeight="false" outlineLevel="0" collapsed="false">
      <c r="A370" s="35"/>
      <c r="B370" s="36" t="str">
        <f aca="false">IF(A370="","",MONTH(A370))</f>
        <v/>
      </c>
      <c r="C370" s="37"/>
      <c r="D370" s="37"/>
      <c r="E370" s="37"/>
      <c r="F370" s="38"/>
      <c r="G370" s="37"/>
      <c r="H370" s="39" t="str">
        <f aca="false">IF(E370="","",E370*N(F370)*IF(G370="",1,G370))</f>
        <v/>
      </c>
      <c r="I370" s="37"/>
      <c r="J370" s="37"/>
      <c r="K370" s="37"/>
    </row>
    <row r="371" customFormat="false" ht="15" hidden="false" customHeight="false" outlineLevel="0" collapsed="false">
      <c r="A371" s="35"/>
      <c r="B371" s="36" t="str">
        <f aca="false">IF(A371="","",MONTH(A371))</f>
        <v/>
      </c>
      <c r="C371" s="37"/>
      <c r="D371" s="37"/>
      <c r="E371" s="37"/>
      <c r="F371" s="38"/>
      <c r="G371" s="37"/>
      <c r="H371" s="39" t="str">
        <f aca="false">IF(E371="","",E371*N(F371)*IF(G371="",1,G371))</f>
        <v/>
      </c>
      <c r="I371" s="37"/>
      <c r="J371" s="37"/>
      <c r="K371" s="37"/>
    </row>
    <row r="372" customFormat="false" ht="15" hidden="false" customHeight="false" outlineLevel="0" collapsed="false">
      <c r="A372" s="35"/>
      <c r="B372" s="36" t="str">
        <f aca="false">IF(A372="","",MONTH(A372))</f>
        <v/>
      </c>
      <c r="C372" s="37"/>
      <c r="D372" s="37"/>
      <c r="E372" s="37"/>
      <c r="F372" s="38"/>
      <c r="G372" s="37"/>
      <c r="H372" s="39" t="str">
        <f aca="false">IF(E372="","",E372*N(F372)*IF(G372="",1,G372))</f>
        <v/>
      </c>
      <c r="I372" s="37"/>
      <c r="J372" s="37"/>
      <c r="K372" s="37"/>
    </row>
    <row r="373" customFormat="false" ht="15" hidden="false" customHeight="false" outlineLevel="0" collapsed="false">
      <c r="A373" s="35"/>
      <c r="B373" s="36" t="str">
        <f aca="false">IF(A373="","",MONTH(A373))</f>
        <v/>
      </c>
      <c r="C373" s="37"/>
      <c r="D373" s="37"/>
      <c r="E373" s="37"/>
      <c r="F373" s="38"/>
      <c r="G373" s="37"/>
      <c r="H373" s="39" t="str">
        <f aca="false">IF(E373="","",E373*N(F373)*IF(G373="",1,G373))</f>
        <v/>
      </c>
      <c r="I373" s="37"/>
      <c r="J373" s="37"/>
      <c r="K373" s="37"/>
    </row>
    <row r="374" customFormat="false" ht="15" hidden="false" customHeight="false" outlineLevel="0" collapsed="false">
      <c r="A374" s="35"/>
      <c r="B374" s="36" t="str">
        <f aca="false">IF(A374="","",MONTH(A374))</f>
        <v/>
      </c>
      <c r="C374" s="37"/>
      <c r="D374" s="37"/>
      <c r="E374" s="37"/>
      <c r="F374" s="38"/>
      <c r="G374" s="37"/>
      <c r="H374" s="39" t="str">
        <f aca="false">IF(E374="","",E374*N(F374)*IF(G374="",1,G374))</f>
        <v/>
      </c>
      <c r="I374" s="37"/>
      <c r="J374" s="37"/>
      <c r="K374" s="37"/>
    </row>
    <row r="375" customFormat="false" ht="15" hidden="false" customHeight="false" outlineLevel="0" collapsed="false">
      <c r="A375" s="35"/>
      <c r="B375" s="36" t="str">
        <f aca="false">IF(A375="","",MONTH(A375))</f>
        <v/>
      </c>
      <c r="C375" s="37"/>
      <c r="D375" s="37"/>
      <c r="E375" s="37"/>
      <c r="F375" s="38"/>
      <c r="G375" s="37"/>
      <c r="H375" s="39" t="str">
        <f aca="false">IF(E375="","",E375*N(F375)*IF(G375="",1,G375))</f>
        <v/>
      </c>
      <c r="I375" s="37"/>
      <c r="J375" s="37"/>
      <c r="K375" s="37"/>
    </row>
    <row r="376" customFormat="false" ht="15" hidden="false" customHeight="false" outlineLevel="0" collapsed="false">
      <c r="A376" s="35"/>
      <c r="B376" s="36" t="str">
        <f aca="false">IF(A376="","",MONTH(A376))</f>
        <v/>
      </c>
      <c r="C376" s="37"/>
      <c r="D376" s="37"/>
      <c r="E376" s="37"/>
      <c r="F376" s="38"/>
      <c r="G376" s="37"/>
      <c r="H376" s="39" t="str">
        <f aca="false">IF(E376="","",E376*N(F376)*IF(G376="",1,G376))</f>
        <v/>
      </c>
      <c r="I376" s="37"/>
      <c r="J376" s="37"/>
      <c r="K376" s="37"/>
    </row>
    <row r="377" customFormat="false" ht="15" hidden="false" customHeight="false" outlineLevel="0" collapsed="false">
      <c r="A377" s="35"/>
      <c r="B377" s="36" t="str">
        <f aca="false">IF(A377="","",MONTH(A377))</f>
        <v/>
      </c>
      <c r="C377" s="37"/>
      <c r="D377" s="37"/>
      <c r="E377" s="37"/>
      <c r="F377" s="38"/>
      <c r="G377" s="37"/>
      <c r="H377" s="39" t="str">
        <f aca="false">IF(E377="","",E377*N(F377)*IF(G377="",1,G377))</f>
        <v/>
      </c>
      <c r="I377" s="37"/>
      <c r="J377" s="37"/>
      <c r="K377" s="37"/>
    </row>
    <row r="378" customFormat="false" ht="15" hidden="false" customHeight="false" outlineLevel="0" collapsed="false">
      <c r="A378" s="35"/>
      <c r="B378" s="36" t="str">
        <f aca="false">IF(A378="","",MONTH(A378))</f>
        <v/>
      </c>
      <c r="C378" s="37"/>
      <c r="D378" s="37"/>
      <c r="E378" s="37"/>
      <c r="F378" s="38"/>
      <c r="G378" s="37"/>
      <c r="H378" s="39" t="str">
        <f aca="false">IF(E378="","",E378*N(F378)*IF(G378="",1,G378))</f>
        <v/>
      </c>
      <c r="I378" s="37"/>
      <c r="J378" s="37"/>
      <c r="K378" s="37"/>
    </row>
    <row r="379" customFormat="false" ht="15" hidden="false" customHeight="false" outlineLevel="0" collapsed="false">
      <c r="A379" s="35"/>
      <c r="B379" s="36" t="str">
        <f aca="false">IF(A379="","",MONTH(A379))</f>
        <v/>
      </c>
      <c r="C379" s="37"/>
      <c r="D379" s="37"/>
      <c r="E379" s="37"/>
      <c r="F379" s="38"/>
      <c r="G379" s="37"/>
      <c r="H379" s="39" t="str">
        <f aca="false">IF(E379="","",E379*N(F379)*IF(G379="",1,G379))</f>
        <v/>
      </c>
      <c r="I379" s="37"/>
      <c r="J379" s="37"/>
      <c r="K379" s="37"/>
    </row>
    <row r="380" customFormat="false" ht="15" hidden="false" customHeight="false" outlineLevel="0" collapsed="false">
      <c r="A380" s="35"/>
      <c r="B380" s="36" t="str">
        <f aca="false">IF(A380="","",MONTH(A380))</f>
        <v/>
      </c>
      <c r="C380" s="37"/>
      <c r="D380" s="37"/>
      <c r="E380" s="37"/>
      <c r="F380" s="38"/>
      <c r="G380" s="37"/>
      <c r="H380" s="39" t="str">
        <f aca="false">IF(E380="","",E380*N(F380)*IF(G380="",1,G380))</f>
        <v/>
      </c>
      <c r="I380" s="37"/>
      <c r="J380" s="37"/>
      <c r="K380" s="37"/>
    </row>
    <row r="381" customFormat="false" ht="15" hidden="false" customHeight="false" outlineLevel="0" collapsed="false">
      <c r="A381" s="35"/>
      <c r="B381" s="36" t="str">
        <f aca="false">IF(A381="","",MONTH(A381))</f>
        <v/>
      </c>
      <c r="C381" s="37"/>
      <c r="D381" s="37"/>
      <c r="E381" s="37"/>
      <c r="F381" s="38"/>
      <c r="G381" s="37"/>
      <c r="H381" s="39" t="str">
        <f aca="false">IF(E381="","",E381*N(F381)*IF(G381="",1,G381))</f>
        <v/>
      </c>
      <c r="I381" s="37"/>
      <c r="J381" s="37"/>
      <c r="K381" s="37"/>
    </row>
    <row r="382" customFormat="false" ht="15" hidden="false" customHeight="false" outlineLevel="0" collapsed="false">
      <c r="A382" s="35"/>
      <c r="B382" s="36" t="str">
        <f aca="false">IF(A382="","",MONTH(A382))</f>
        <v/>
      </c>
      <c r="C382" s="37"/>
      <c r="D382" s="37"/>
      <c r="E382" s="37"/>
      <c r="F382" s="38"/>
      <c r="G382" s="37"/>
      <c r="H382" s="39" t="str">
        <f aca="false">IF(E382="","",E382*N(F382)*IF(G382="",1,G382))</f>
        <v/>
      </c>
      <c r="I382" s="37"/>
      <c r="J382" s="37"/>
      <c r="K382" s="37"/>
    </row>
    <row r="383" customFormat="false" ht="15" hidden="false" customHeight="false" outlineLevel="0" collapsed="false">
      <c r="A383" s="35"/>
      <c r="B383" s="36" t="str">
        <f aca="false">IF(A383="","",MONTH(A383))</f>
        <v/>
      </c>
      <c r="C383" s="37"/>
      <c r="D383" s="37"/>
      <c r="E383" s="37"/>
      <c r="F383" s="38"/>
      <c r="G383" s="37"/>
      <c r="H383" s="39" t="str">
        <f aca="false">IF(E383="","",E383*N(F383)*IF(G383="",1,G383))</f>
        <v/>
      </c>
      <c r="I383" s="37"/>
      <c r="J383" s="37"/>
      <c r="K383" s="37"/>
    </row>
    <row r="384" customFormat="false" ht="15" hidden="false" customHeight="false" outlineLevel="0" collapsed="false">
      <c r="A384" s="35"/>
      <c r="B384" s="36" t="str">
        <f aca="false">IF(A384="","",MONTH(A384))</f>
        <v/>
      </c>
      <c r="C384" s="37"/>
      <c r="D384" s="37"/>
      <c r="E384" s="37"/>
      <c r="F384" s="38"/>
      <c r="G384" s="37"/>
      <c r="H384" s="39" t="str">
        <f aca="false">IF(E384="","",E384*N(F384)*IF(G384="",1,G384))</f>
        <v/>
      </c>
      <c r="I384" s="37"/>
      <c r="J384" s="37"/>
      <c r="K384" s="37"/>
    </row>
    <row r="385" customFormat="false" ht="15" hidden="false" customHeight="false" outlineLevel="0" collapsed="false">
      <c r="A385" s="35"/>
      <c r="B385" s="36" t="str">
        <f aca="false">IF(A385="","",MONTH(A385))</f>
        <v/>
      </c>
      <c r="C385" s="37"/>
      <c r="D385" s="37"/>
      <c r="E385" s="37"/>
      <c r="F385" s="38"/>
      <c r="G385" s="37"/>
      <c r="H385" s="39" t="str">
        <f aca="false">IF(E385="","",E385*N(F385)*IF(G385="",1,G385))</f>
        <v/>
      </c>
      <c r="I385" s="37"/>
      <c r="J385" s="37"/>
      <c r="K385" s="37"/>
    </row>
    <row r="386" customFormat="false" ht="15" hidden="false" customHeight="false" outlineLevel="0" collapsed="false">
      <c r="A386" s="35"/>
      <c r="B386" s="36" t="str">
        <f aca="false">IF(A386="","",MONTH(A386))</f>
        <v/>
      </c>
      <c r="C386" s="37"/>
      <c r="D386" s="37"/>
      <c r="E386" s="37"/>
      <c r="F386" s="38"/>
      <c r="G386" s="37"/>
      <c r="H386" s="39" t="str">
        <f aca="false">IF(E386="","",E386*N(F386)*IF(G386="",1,G386))</f>
        <v/>
      </c>
      <c r="I386" s="37"/>
      <c r="J386" s="37"/>
      <c r="K386" s="37"/>
    </row>
    <row r="387" customFormat="false" ht="15" hidden="false" customHeight="false" outlineLevel="0" collapsed="false">
      <c r="A387" s="35"/>
      <c r="B387" s="36" t="str">
        <f aca="false">IF(A387="","",MONTH(A387))</f>
        <v/>
      </c>
      <c r="C387" s="37"/>
      <c r="D387" s="37"/>
      <c r="E387" s="37"/>
      <c r="F387" s="38"/>
      <c r="G387" s="37"/>
      <c r="H387" s="39" t="str">
        <f aca="false">IF(E387="","",E387*N(F387)*IF(G387="",1,G387))</f>
        <v/>
      </c>
      <c r="I387" s="37"/>
      <c r="J387" s="37"/>
      <c r="K387" s="37"/>
    </row>
    <row r="388" customFormat="false" ht="15" hidden="false" customHeight="false" outlineLevel="0" collapsed="false">
      <c r="A388" s="35"/>
      <c r="B388" s="36" t="str">
        <f aca="false">IF(A388="","",MONTH(A388))</f>
        <v/>
      </c>
      <c r="C388" s="37"/>
      <c r="D388" s="37"/>
      <c r="E388" s="37"/>
      <c r="F388" s="38"/>
      <c r="G388" s="37"/>
      <c r="H388" s="39" t="str">
        <f aca="false">IF(E388="","",E388*N(F388)*IF(G388="",1,G388))</f>
        <v/>
      </c>
      <c r="I388" s="37"/>
      <c r="J388" s="37"/>
      <c r="K388" s="37"/>
    </row>
    <row r="389" customFormat="false" ht="15" hidden="false" customHeight="false" outlineLevel="0" collapsed="false">
      <c r="A389" s="35"/>
      <c r="B389" s="36" t="str">
        <f aca="false">IF(A389="","",MONTH(A389))</f>
        <v/>
      </c>
      <c r="C389" s="37"/>
      <c r="D389" s="37"/>
      <c r="E389" s="37"/>
      <c r="F389" s="38"/>
      <c r="G389" s="37"/>
      <c r="H389" s="39" t="str">
        <f aca="false">IF(E389="","",E389*N(F389)*IF(G389="",1,G389))</f>
        <v/>
      </c>
      <c r="I389" s="37"/>
      <c r="J389" s="37"/>
      <c r="K389" s="37"/>
    </row>
    <row r="390" customFormat="false" ht="15" hidden="false" customHeight="false" outlineLevel="0" collapsed="false">
      <c r="A390" s="35"/>
      <c r="B390" s="36" t="str">
        <f aca="false">IF(A390="","",MONTH(A390))</f>
        <v/>
      </c>
      <c r="C390" s="37"/>
      <c r="D390" s="37"/>
      <c r="E390" s="37"/>
      <c r="F390" s="38"/>
      <c r="G390" s="37"/>
      <c r="H390" s="39" t="str">
        <f aca="false">IF(E390="","",E390*N(F390)*IF(G390="",1,G390))</f>
        <v/>
      </c>
      <c r="I390" s="37"/>
      <c r="J390" s="37"/>
      <c r="K390" s="37"/>
    </row>
    <row r="391" customFormat="false" ht="15" hidden="false" customHeight="false" outlineLevel="0" collapsed="false">
      <c r="A391" s="35"/>
      <c r="B391" s="36" t="str">
        <f aca="false">IF(A391="","",MONTH(A391))</f>
        <v/>
      </c>
      <c r="C391" s="37"/>
      <c r="D391" s="37"/>
      <c r="E391" s="37"/>
      <c r="F391" s="38"/>
      <c r="G391" s="37"/>
      <c r="H391" s="39" t="str">
        <f aca="false">IF(E391="","",E391*N(F391)*IF(G391="",1,G391))</f>
        <v/>
      </c>
      <c r="I391" s="37"/>
      <c r="J391" s="37"/>
      <c r="K391" s="37"/>
    </row>
    <row r="392" customFormat="false" ht="15" hidden="false" customHeight="false" outlineLevel="0" collapsed="false">
      <c r="A392" s="35"/>
      <c r="B392" s="36" t="str">
        <f aca="false">IF(A392="","",MONTH(A392))</f>
        <v/>
      </c>
      <c r="C392" s="37"/>
      <c r="D392" s="37"/>
      <c r="E392" s="37"/>
      <c r="F392" s="38"/>
      <c r="G392" s="37"/>
      <c r="H392" s="39" t="str">
        <f aca="false">IF(E392="","",E392*N(F392)*IF(G392="",1,G392))</f>
        <v/>
      </c>
      <c r="I392" s="37"/>
      <c r="J392" s="37"/>
      <c r="K392" s="37"/>
    </row>
    <row r="393" customFormat="false" ht="15" hidden="false" customHeight="false" outlineLevel="0" collapsed="false">
      <c r="A393" s="35"/>
      <c r="B393" s="36" t="str">
        <f aca="false">IF(A393="","",MONTH(A393))</f>
        <v/>
      </c>
      <c r="C393" s="37"/>
      <c r="D393" s="37"/>
      <c r="E393" s="37"/>
      <c r="F393" s="38"/>
      <c r="G393" s="37"/>
      <c r="H393" s="39" t="str">
        <f aca="false">IF(E393="","",E393*N(F393)*IF(G393="",1,G393))</f>
        <v/>
      </c>
      <c r="I393" s="37"/>
      <c r="J393" s="37"/>
      <c r="K393" s="37"/>
    </row>
    <row r="394" customFormat="false" ht="15" hidden="false" customHeight="false" outlineLevel="0" collapsed="false">
      <c r="A394" s="35"/>
      <c r="B394" s="36" t="str">
        <f aca="false">IF(A394="","",MONTH(A394))</f>
        <v/>
      </c>
      <c r="C394" s="37"/>
      <c r="D394" s="37"/>
      <c r="E394" s="37"/>
      <c r="F394" s="38"/>
      <c r="G394" s="37"/>
      <c r="H394" s="39" t="str">
        <f aca="false">IF(E394="","",E394*N(F394)*IF(G394="",1,G394))</f>
        <v/>
      </c>
      <c r="I394" s="37"/>
      <c r="J394" s="37"/>
      <c r="K394" s="37"/>
    </row>
    <row r="395" customFormat="false" ht="15" hidden="false" customHeight="false" outlineLevel="0" collapsed="false">
      <c r="A395" s="35"/>
      <c r="B395" s="36" t="str">
        <f aca="false">IF(A395="","",MONTH(A395))</f>
        <v/>
      </c>
      <c r="C395" s="37"/>
      <c r="D395" s="37"/>
      <c r="E395" s="37"/>
      <c r="F395" s="38"/>
      <c r="G395" s="37"/>
      <c r="H395" s="39" t="str">
        <f aca="false">IF(E395="","",E395*N(F395)*IF(G395="",1,G395))</f>
        <v/>
      </c>
      <c r="I395" s="37"/>
      <c r="J395" s="37"/>
      <c r="K395" s="37"/>
    </row>
    <row r="396" customFormat="false" ht="15" hidden="false" customHeight="false" outlineLevel="0" collapsed="false">
      <c r="A396" s="35"/>
      <c r="B396" s="36" t="str">
        <f aca="false">IF(A396="","",MONTH(A396))</f>
        <v/>
      </c>
      <c r="C396" s="37"/>
      <c r="D396" s="37"/>
      <c r="E396" s="37"/>
      <c r="F396" s="38"/>
      <c r="G396" s="37"/>
      <c r="H396" s="39" t="str">
        <f aca="false">IF(E396="","",E396*N(F396)*IF(G396="",1,G396))</f>
        <v/>
      </c>
      <c r="I396" s="37"/>
      <c r="J396" s="37"/>
      <c r="K396" s="37"/>
    </row>
    <row r="397" customFormat="false" ht="15" hidden="false" customHeight="false" outlineLevel="0" collapsed="false">
      <c r="A397" s="35"/>
      <c r="B397" s="36" t="str">
        <f aca="false">IF(A397="","",MONTH(A397))</f>
        <v/>
      </c>
      <c r="C397" s="37"/>
      <c r="D397" s="37"/>
      <c r="E397" s="37"/>
      <c r="F397" s="38"/>
      <c r="G397" s="37"/>
      <c r="H397" s="39" t="str">
        <f aca="false">IF(E397="","",E397*N(F397)*IF(G397="",1,G397))</f>
        <v/>
      </c>
      <c r="I397" s="37"/>
      <c r="J397" s="37"/>
      <c r="K397" s="37"/>
    </row>
    <row r="398" customFormat="false" ht="15" hidden="false" customHeight="false" outlineLevel="0" collapsed="false">
      <c r="A398" s="35"/>
      <c r="B398" s="36" t="str">
        <f aca="false">IF(A398="","",MONTH(A398))</f>
        <v/>
      </c>
      <c r="C398" s="37"/>
      <c r="D398" s="37"/>
      <c r="E398" s="37"/>
      <c r="F398" s="38"/>
      <c r="G398" s="37"/>
      <c r="H398" s="39" t="str">
        <f aca="false">IF(E398="","",E398*N(F398)*IF(G398="",1,G398))</f>
        <v/>
      </c>
      <c r="I398" s="37"/>
      <c r="J398" s="37"/>
      <c r="K398" s="37"/>
    </row>
    <row r="399" customFormat="false" ht="15" hidden="false" customHeight="false" outlineLevel="0" collapsed="false">
      <c r="A399" s="35"/>
      <c r="B399" s="36" t="str">
        <f aca="false">IF(A399="","",MONTH(A399))</f>
        <v/>
      </c>
      <c r="C399" s="37"/>
      <c r="D399" s="37"/>
      <c r="E399" s="37"/>
      <c r="F399" s="38"/>
      <c r="G399" s="37"/>
      <c r="H399" s="39" t="str">
        <f aca="false">IF(E399="","",E399*N(F399)*IF(G399="",1,G399))</f>
        <v/>
      </c>
      <c r="I399" s="37"/>
      <c r="J399" s="37"/>
      <c r="K399" s="37"/>
    </row>
    <row r="400" customFormat="false" ht="15" hidden="false" customHeight="false" outlineLevel="0" collapsed="false">
      <c r="A400" s="35"/>
      <c r="B400" s="36" t="str">
        <f aca="false">IF(A400="","",MONTH(A400))</f>
        <v/>
      </c>
      <c r="C400" s="37"/>
      <c r="D400" s="37"/>
      <c r="E400" s="37"/>
      <c r="F400" s="38"/>
      <c r="G400" s="37"/>
      <c r="H400" s="39" t="str">
        <f aca="false">IF(E400="","",E400*N(F400)*IF(G400="",1,G400))</f>
        <v/>
      </c>
      <c r="I400" s="37"/>
      <c r="J400" s="37"/>
      <c r="K400" s="37"/>
    </row>
    <row r="401" customFormat="false" ht="15" hidden="false" customHeight="false" outlineLevel="0" collapsed="false">
      <c r="A401" s="35"/>
      <c r="B401" s="36" t="str">
        <f aca="false">IF(A401="","",MONTH(A401))</f>
        <v/>
      </c>
      <c r="C401" s="37"/>
      <c r="D401" s="37"/>
      <c r="E401" s="37"/>
      <c r="F401" s="38"/>
      <c r="G401" s="37"/>
      <c r="H401" s="39" t="str">
        <f aca="false">IF(E401="","",E401*N(F401)*IF(G401="",1,G401))</f>
        <v/>
      </c>
      <c r="I401" s="37"/>
      <c r="J401" s="37"/>
      <c r="K401" s="37"/>
    </row>
    <row r="402" customFormat="false" ht="15" hidden="false" customHeight="false" outlineLevel="0" collapsed="false">
      <c r="A402" s="35"/>
      <c r="B402" s="36" t="str">
        <f aca="false">IF(A402="","",MONTH(A402))</f>
        <v/>
      </c>
      <c r="C402" s="37"/>
      <c r="D402" s="37"/>
      <c r="E402" s="37"/>
      <c r="F402" s="38"/>
      <c r="G402" s="37"/>
      <c r="H402" s="39" t="str">
        <f aca="false">IF(E402="","",E402*N(F402)*IF(G402="",1,G402))</f>
        <v/>
      </c>
      <c r="I402" s="37"/>
      <c r="J402" s="37"/>
      <c r="K402" s="37"/>
    </row>
    <row r="403" customFormat="false" ht="15" hidden="false" customHeight="false" outlineLevel="0" collapsed="false">
      <c r="A403" s="35"/>
      <c r="B403" s="36" t="str">
        <f aca="false">IF(A403="","",MONTH(A403))</f>
        <v/>
      </c>
      <c r="C403" s="37"/>
      <c r="D403" s="37"/>
      <c r="E403" s="37"/>
      <c r="F403" s="38"/>
      <c r="G403" s="37"/>
      <c r="H403" s="39" t="str">
        <f aca="false">IF(E403="","",E403*N(F403)*IF(G403="",1,G403))</f>
        <v/>
      </c>
      <c r="I403" s="37"/>
      <c r="J403" s="37"/>
      <c r="K403" s="37"/>
    </row>
    <row r="404" customFormat="false" ht="15" hidden="false" customHeight="false" outlineLevel="0" collapsed="false">
      <c r="A404" s="35"/>
      <c r="B404" s="36" t="str">
        <f aca="false">IF(A404="","",MONTH(A404))</f>
        <v/>
      </c>
      <c r="C404" s="37"/>
      <c r="D404" s="37"/>
      <c r="E404" s="37"/>
      <c r="F404" s="38"/>
      <c r="G404" s="37"/>
      <c r="H404" s="39" t="str">
        <f aca="false">IF(E404="","",E404*N(F404)*IF(G404="",1,G404))</f>
        <v/>
      </c>
      <c r="I404" s="37"/>
      <c r="J404" s="37"/>
      <c r="K404" s="37"/>
    </row>
    <row r="405" customFormat="false" ht="15" hidden="false" customHeight="false" outlineLevel="0" collapsed="false">
      <c r="A405" s="35"/>
      <c r="B405" s="36" t="str">
        <f aca="false">IF(A405="","",MONTH(A405))</f>
        <v/>
      </c>
      <c r="C405" s="37"/>
      <c r="D405" s="37"/>
      <c r="E405" s="37"/>
      <c r="F405" s="38"/>
      <c r="G405" s="37"/>
      <c r="H405" s="39" t="str">
        <f aca="false">IF(E405="","",E405*N(F405)*IF(G405="",1,G405))</f>
        <v/>
      </c>
      <c r="I405" s="37"/>
      <c r="J405" s="37"/>
      <c r="K405" s="37"/>
    </row>
    <row r="406" customFormat="false" ht="15" hidden="false" customHeight="false" outlineLevel="0" collapsed="false">
      <c r="A406" s="35"/>
      <c r="B406" s="36" t="str">
        <f aca="false">IF(A406="","",MONTH(A406))</f>
        <v/>
      </c>
      <c r="C406" s="37"/>
      <c r="D406" s="37"/>
      <c r="E406" s="37"/>
      <c r="F406" s="38"/>
      <c r="G406" s="37"/>
      <c r="H406" s="39" t="str">
        <f aca="false">IF(E406="","",E406*N(F406)*IF(G406="",1,G406))</f>
        <v/>
      </c>
      <c r="I406" s="37"/>
      <c r="J406" s="37"/>
      <c r="K406" s="37"/>
    </row>
    <row r="407" customFormat="false" ht="15" hidden="false" customHeight="false" outlineLevel="0" collapsed="false">
      <c r="A407" s="35"/>
      <c r="B407" s="36" t="str">
        <f aca="false">IF(A407="","",MONTH(A407))</f>
        <v/>
      </c>
      <c r="C407" s="37"/>
      <c r="D407" s="37"/>
      <c r="E407" s="37"/>
      <c r="F407" s="38"/>
      <c r="G407" s="37"/>
      <c r="H407" s="39" t="str">
        <f aca="false">IF(E407="","",E407*N(F407)*IF(G407="",1,G407))</f>
        <v/>
      </c>
      <c r="I407" s="37"/>
      <c r="J407" s="37"/>
      <c r="K407" s="37"/>
    </row>
    <row r="408" customFormat="false" ht="15" hidden="false" customHeight="false" outlineLevel="0" collapsed="false">
      <c r="A408" s="35"/>
      <c r="B408" s="36" t="str">
        <f aca="false">IF(A408="","",MONTH(A408))</f>
        <v/>
      </c>
      <c r="C408" s="37"/>
      <c r="D408" s="37"/>
      <c r="E408" s="37"/>
      <c r="F408" s="38"/>
      <c r="G408" s="37"/>
      <c r="H408" s="39" t="str">
        <f aca="false">IF(E408="","",E408*N(F408)*IF(G408="",1,G408))</f>
        <v/>
      </c>
      <c r="I408" s="37"/>
      <c r="J408" s="37"/>
      <c r="K408" s="37"/>
    </row>
    <row r="409" customFormat="false" ht="15" hidden="false" customHeight="false" outlineLevel="0" collapsed="false">
      <c r="A409" s="35"/>
      <c r="B409" s="36" t="str">
        <f aca="false">IF(A409="","",MONTH(A409))</f>
        <v/>
      </c>
      <c r="C409" s="37"/>
      <c r="D409" s="37"/>
      <c r="E409" s="37"/>
      <c r="F409" s="38"/>
      <c r="G409" s="37"/>
      <c r="H409" s="39" t="str">
        <f aca="false">IF(E409="","",E409*N(F409)*IF(G409="",1,G409))</f>
        <v/>
      </c>
      <c r="I409" s="37"/>
      <c r="J409" s="37"/>
      <c r="K409" s="37"/>
    </row>
    <row r="410" customFormat="false" ht="15" hidden="false" customHeight="false" outlineLevel="0" collapsed="false">
      <c r="A410" s="35"/>
      <c r="B410" s="36" t="str">
        <f aca="false">IF(A410="","",MONTH(A410))</f>
        <v/>
      </c>
      <c r="C410" s="37"/>
      <c r="D410" s="37"/>
      <c r="E410" s="37"/>
      <c r="F410" s="38"/>
      <c r="G410" s="37"/>
      <c r="H410" s="39" t="str">
        <f aca="false">IF(E410="","",E410*N(F410)*IF(G410="",1,G410))</f>
        <v/>
      </c>
      <c r="I410" s="37"/>
      <c r="J410" s="37"/>
      <c r="K410" s="37"/>
    </row>
    <row r="411" customFormat="false" ht="15" hidden="false" customHeight="false" outlineLevel="0" collapsed="false">
      <c r="A411" s="35"/>
      <c r="B411" s="36" t="str">
        <f aca="false">IF(A411="","",MONTH(A411))</f>
        <v/>
      </c>
      <c r="C411" s="37"/>
      <c r="D411" s="37"/>
      <c r="E411" s="37"/>
      <c r="F411" s="38"/>
      <c r="G411" s="37"/>
      <c r="H411" s="39" t="str">
        <f aca="false">IF(E411="","",E411*N(F411)*IF(G411="",1,G411))</f>
        <v/>
      </c>
      <c r="I411" s="37"/>
      <c r="J411" s="37"/>
      <c r="K411" s="37"/>
    </row>
    <row r="412" customFormat="false" ht="15" hidden="false" customHeight="false" outlineLevel="0" collapsed="false">
      <c r="A412" s="35"/>
      <c r="B412" s="36" t="str">
        <f aca="false">IF(A412="","",MONTH(A412))</f>
        <v/>
      </c>
      <c r="C412" s="37"/>
      <c r="D412" s="37"/>
      <c r="E412" s="37"/>
      <c r="F412" s="38"/>
      <c r="G412" s="37"/>
      <c r="H412" s="39" t="str">
        <f aca="false">IF(E412="","",E412*N(F412)*IF(G412="",1,G412))</f>
        <v/>
      </c>
      <c r="I412" s="37"/>
      <c r="J412" s="37"/>
      <c r="K412" s="37"/>
    </row>
    <row r="413" customFormat="false" ht="15" hidden="false" customHeight="false" outlineLevel="0" collapsed="false">
      <c r="A413" s="35"/>
      <c r="B413" s="36" t="str">
        <f aca="false">IF(A413="","",MONTH(A413))</f>
        <v/>
      </c>
      <c r="C413" s="37"/>
      <c r="D413" s="37"/>
      <c r="E413" s="37"/>
      <c r="F413" s="38"/>
      <c r="G413" s="37"/>
      <c r="H413" s="39" t="str">
        <f aca="false">IF(E413="","",E413*N(F413)*IF(G413="",1,G413))</f>
        <v/>
      </c>
      <c r="I413" s="37"/>
      <c r="J413" s="37"/>
      <c r="K413" s="37"/>
    </row>
    <row r="414" customFormat="false" ht="15" hidden="false" customHeight="false" outlineLevel="0" collapsed="false">
      <c r="A414" s="35"/>
      <c r="B414" s="36" t="str">
        <f aca="false">IF(A414="","",MONTH(A414))</f>
        <v/>
      </c>
      <c r="C414" s="37"/>
      <c r="D414" s="37"/>
      <c r="E414" s="37"/>
      <c r="F414" s="38"/>
      <c r="G414" s="37"/>
      <c r="H414" s="39" t="str">
        <f aca="false">IF(E414="","",E414*N(F414)*IF(G414="",1,G414))</f>
        <v/>
      </c>
      <c r="I414" s="37"/>
      <c r="J414" s="37"/>
      <c r="K414" s="37"/>
    </row>
    <row r="415" customFormat="false" ht="15" hidden="false" customHeight="false" outlineLevel="0" collapsed="false">
      <c r="A415" s="35"/>
      <c r="B415" s="36" t="str">
        <f aca="false">IF(A415="","",MONTH(A415))</f>
        <v/>
      </c>
      <c r="C415" s="37"/>
      <c r="D415" s="37"/>
      <c r="E415" s="37"/>
      <c r="F415" s="38"/>
      <c r="G415" s="37"/>
      <c r="H415" s="39" t="str">
        <f aca="false">IF(E415="","",E415*N(F415)*IF(G415="",1,G415))</f>
        <v/>
      </c>
      <c r="I415" s="37"/>
      <c r="J415" s="37"/>
      <c r="K415" s="37"/>
    </row>
    <row r="416" customFormat="false" ht="15" hidden="false" customHeight="false" outlineLevel="0" collapsed="false">
      <c r="A416" s="35"/>
      <c r="B416" s="36" t="str">
        <f aca="false">IF(A416="","",MONTH(A416))</f>
        <v/>
      </c>
      <c r="C416" s="37"/>
      <c r="D416" s="37"/>
      <c r="E416" s="37"/>
      <c r="F416" s="38"/>
      <c r="G416" s="37"/>
      <c r="H416" s="39" t="str">
        <f aca="false">IF(E416="","",E416*N(F416)*IF(G416="",1,G416))</f>
        <v/>
      </c>
      <c r="I416" s="37"/>
      <c r="J416" s="37"/>
      <c r="K416" s="37"/>
    </row>
    <row r="417" customFormat="false" ht="15" hidden="false" customHeight="false" outlineLevel="0" collapsed="false">
      <c r="A417" s="35"/>
      <c r="B417" s="36" t="str">
        <f aca="false">IF(A417="","",MONTH(A417))</f>
        <v/>
      </c>
      <c r="C417" s="37"/>
      <c r="D417" s="37"/>
      <c r="E417" s="37"/>
      <c r="F417" s="38"/>
      <c r="G417" s="37"/>
      <c r="H417" s="39" t="str">
        <f aca="false">IF(E417="","",E417*N(F417)*IF(G417="",1,G417))</f>
        <v/>
      </c>
      <c r="I417" s="37"/>
      <c r="J417" s="37"/>
      <c r="K417" s="37"/>
    </row>
    <row r="418" customFormat="false" ht="15" hidden="false" customHeight="false" outlineLevel="0" collapsed="false">
      <c r="A418" s="35"/>
      <c r="B418" s="36" t="str">
        <f aca="false">IF(A418="","",MONTH(A418))</f>
        <v/>
      </c>
      <c r="C418" s="37"/>
      <c r="D418" s="37"/>
      <c r="E418" s="37"/>
      <c r="F418" s="38"/>
      <c r="G418" s="37"/>
      <c r="H418" s="39" t="str">
        <f aca="false">IF(E418="","",E418*N(F418)*IF(G418="",1,G418))</f>
        <v/>
      </c>
      <c r="I418" s="37"/>
      <c r="J418" s="37"/>
      <c r="K418" s="37"/>
    </row>
    <row r="419" customFormat="false" ht="15" hidden="false" customHeight="false" outlineLevel="0" collapsed="false">
      <c r="A419" s="35"/>
      <c r="B419" s="36" t="str">
        <f aca="false">IF(A419="","",MONTH(A419))</f>
        <v/>
      </c>
      <c r="C419" s="37"/>
      <c r="D419" s="37"/>
      <c r="E419" s="37"/>
      <c r="F419" s="38"/>
      <c r="G419" s="37"/>
      <c r="H419" s="39" t="str">
        <f aca="false">IF(E419="","",E419*N(F419)*IF(G419="",1,G419))</f>
        <v/>
      </c>
      <c r="I419" s="37"/>
      <c r="J419" s="37"/>
      <c r="K419" s="37"/>
    </row>
    <row r="420" customFormat="false" ht="15" hidden="false" customHeight="false" outlineLevel="0" collapsed="false">
      <c r="A420" s="35"/>
      <c r="B420" s="36" t="str">
        <f aca="false">IF(A420="","",MONTH(A420))</f>
        <v/>
      </c>
      <c r="C420" s="37"/>
      <c r="D420" s="37"/>
      <c r="E420" s="37"/>
      <c r="F420" s="38"/>
      <c r="G420" s="37"/>
      <c r="H420" s="39" t="str">
        <f aca="false">IF(E420="","",E420*N(F420)*IF(G420="",1,G420))</f>
        <v/>
      </c>
      <c r="I420" s="37"/>
      <c r="J420" s="37"/>
      <c r="K420" s="37"/>
    </row>
    <row r="421" customFormat="false" ht="15" hidden="false" customHeight="false" outlineLevel="0" collapsed="false">
      <c r="A421" s="35"/>
      <c r="B421" s="36" t="str">
        <f aca="false">IF(A421="","",MONTH(A421))</f>
        <v/>
      </c>
      <c r="C421" s="37"/>
      <c r="D421" s="37"/>
      <c r="E421" s="37"/>
      <c r="F421" s="38"/>
      <c r="G421" s="37"/>
      <c r="H421" s="39" t="str">
        <f aca="false">IF(E421="","",E421*N(F421)*IF(G421="",1,G421))</f>
        <v/>
      </c>
      <c r="I421" s="37"/>
      <c r="J421" s="37"/>
      <c r="K421" s="37"/>
    </row>
    <row r="422" customFormat="false" ht="15" hidden="false" customHeight="false" outlineLevel="0" collapsed="false">
      <c r="A422" s="35"/>
      <c r="B422" s="36" t="str">
        <f aca="false">IF(A422="","",MONTH(A422))</f>
        <v/>
      </c>
      <c r="C422" s="37"/>
      <c r="D422" s="37"/>
      <c r="E422" s="37"/>
      <c r="F422" s="38"/>
      <c r="G422" s="37"/>
      <c r="H422" s="39" t="str">
        <f aca="false">IF(E422="","",E422*N(F422)*IF(G422="",1,G422))</f>
        <v/>
      </c>
      <c r="I422" s="37"/>
      <c r="J422" s="37"/>
      <c r="K422" s="37"/>
    </row>
    <row r="423" customFormat="false" ht="15" hidden="false" customHeight="false" outlineLevel="0" collapsed="false">
      <c r="A423" s="35"/>
      <c r="B423" s="36" t="str">
        <f aca="false">IF(A423="","",MONTH(A423))</f>
        <v/>
      </c>
      <c r="C423" s="37"/>
      <c r="D423" s="37"/>
      <c r="E423" s="37"/>
      <c r="F423" s="38"/>
      <c r="G423" s="37"/>
      <c r="H423" s="39" t="str">
        <f aca="false">IF(E423="","",E423*N(F423)*IF(G423="",1,G423))</f>
        <v/>
      </c>
      <c r="I423" s="37"/>
      <c r="J423" s="37"/>
      <c r="K423" s="37"/>
    </row>
    <row r="424" customFormat="false" ht="15" hidden="false" customHeight="false" outlineLevel="0" collapsed="false">
      <c r="A424" s="35"/>
      <c r="B424" s="36" t="str">
        <f aca="false">IF(A424="","",MONTH(A424))</f>
        <v/>
      </c>
      <c r="C424" s="37"/>
      <c r="D424" s="37"/>
      <c r="E424" s="37"/>
      <c r="F424" s="38"/>
      <c r="G424" s="37"/>
      <c r="H424" s="39" t="str">
        <f aca="false">IF(E424="","",E424*N(F424)*IF(G424="",1,G424))</f>
        <v/>
      </c>
      <c r="I424" s="37"/>
      <c r="J424" s="37"/>
      <c r="K424" s="37"/>
    </row>
    <row r="425" customFormat="false" ht="15" hidden="false" customHeight="false" outlineLevel="0" collapsed="false">
      <c r="A425" s="35"/>
      <c r="B425" s="36" t="str">
        <f aca="false">IF(A425="","",MONTH(A425))</f>
        <v/>
      </c>
      <c r="C425" s="37"/>
      <c r="D425" s="37"/>
      <c r="E425" s="37"/>
      <c r="F425" s="38"/>
      <c r="G425" s="37"/>
      <c r="H425" s="39" t="str">
        <f aca="false">IF(E425="","",E425*N(F425)*IF(G425="",1,G425))</f>
        <v/>
      </c>
      <c r="I425" s="37"/>
      <c r="J425" s="37"/>
      <c r="K425" s="37"/>
    </row>
    <row r="426" customFormat="false" ht="15" hidden="false" customHeight="false" outlineLevel="0" collapsed="false">
      <c r="A426" s="35"/>
      <c r="B426" s="36" t="str">
        <f aca="false">IF(A426="","",MONTH(A426))</f>
        <v/>
      </c>
      <c r="C426" s="37"/>
      <c r="D426" s="37"/>
      <c r="E426" s="37"/>
      <c r="F426" s="38"/>
      <c r="G426" s="37"/>
      <c r="H426" s="39" t="str">
        <f aca="false">IF(E426="","",E426*N(F426)*IF(G426="",1,G426))</f>
        <v/>
      </c>
      <c r="I426" s="37"/>
      <c r="J426" s="37"/>
      <c r="K426" s="37"/>
    </row>
    <row r="427" customFormat="false" ht="15" hidden="false" customHeight="false" outlineLevel="0" collapsed="false">
      <c r="A427" s="35"/>
      <c r="B427" s="36" t="str">
        <f aca="false">IF(A427="","",MONTH(A427))</f>
        <v/>
      </c>
      <c r="C427" s="37"/>
      <c r="D427" s="37"/>
      <c r="E427" s="37"/>
      <c r="F427" s="38"/>
      <c r="G427" s="37"/>
      <c r="H427" s="39" t="str">
        <f aca="false">IF(E427="","",E427*N(F427)*IF(G427="",1,G427))</f>
        <v/>
      </c>
      <c r="I427" s="37"/>
      <c r="J427" s="37"/>
      <c r="K427" s="37"/>
    </row>
    <row r="428" customFormat="false" ht="15" hidden="false" customHeight="false" outlineLevel="0" collapsed="false">
      <c r="A428" s="35"/>
      <c r="B428" s="36" t="str">
        <f aca="false">IF(A428="","",MONTH(A428))</f>
        <v/>
      </c>
      <c r="C428" s="37"/>
      <c r="D428" s="37"/>
      <c r="E428" s="37"/>
      <c r="F428" s="38"/>
      <c r="G428" s="37"/>
      <c r="H428" s="39" t="str">
        <f aca="false">IF(E428="","",E428*N(F428)*IF(G428="",1,G428))</f>
        <v/>
      </c>
      <c r="I428" s="37"/>
      <c r="J428" s="37"/>
      <c r="K428" s="37"/>
    </row>
    <row r="429" customFormat="false" ht="15" hidden="false" customHeight="false" outlineLevel="0" collapsed="false">
      <c r="A429" s="35"/>
      <c r="B429" s="36" t="str">
        <f aca="false">IF(A429="","",MONTH(A429))</f>
        <v/>
      </c>
      <c r="C429" s="37"/>
      <c r="D429" s="37"/>
      <c r="E429" s="37"/>
      <c r="F429" s="38"/>
      <c r="G429" s="37"/>
      <c r="H429" s="39" t="str">
        <f aca="false">IF(E429="","",E429*N(F429)*IF(G429="",1,G429))</f>
        <v/>
      </c>
      <c r="I429" s="37"/>
      <c r="J429" s="37"/>
      <c r="K429" s="37"/>
    </row>
    <row r="430" customFormat="false" ht="15" hidden="false" customHeight="false" outlineLevel="0" collapsed="false">
      <c r="A430" s="35"/>
      <c r="B430" s="36" t="str">
        <f aca="false">IF(A430="","",MONTH(A430))</f>
        <v/>
      </c>
      <c r="C430" s="37"/>
      <c r="D430" s="37"/>
      <c r="E430" s="37"/>
      <c r="F430" s="38"/>
      <c r="G430" s="37"/>
      <c r="H430" s="39" t="str">
        <f aca="false">IF(E430="","",E430*N(F430)*IF(G430="",1,G430))</f>
        <v/>
      </c>
      <c r="I430" s="37"/>
      <c r="J430" s="37"/>
      <c r="K430" s="37"/>
    </row>
    <row r="431" customFormat="false" ht="15" hidden="false" customHeight="false" outlineLevel="0" collapsed="false">
      <c r="A431" s="35"/>
      <c r="B431" s="36" t="str">
        <f aca="false">IF(A431="","",MONTH(A431))</f>
        <v/>
      </c>
      <c r="C431" s="37"/>
      <c r="D431" s="37"/>
      <c r="E431" s="37"/>
      <c r="F431" s="38"/>
      <c r="G431" s="37"/>
      <c r="H431" s="39" t="str">
        <f aca="false">IF(E431="","",E431*N(F431)*IF(G431="",1,G431))</f>
        <v/>
      </c>
      <c r="I431" s="37"/>
      <c r="J431" s="37"/>
      <c r="K431" s="37"/>
    </row>
    <row r="432" customFormat="false" ht="15" hidden="false" customHeight="false" outlineLevel="0" collapsed="false">
      <c r="A432" s="35"/>
      <c r="B432" s="36" t="str">
        <f aca="false">IF(A432="","",MONTH(A432))</f>
        <v/>
      </c>
      <c r="C432" s="37"/>
      <c r="D432" s="37"/>
      <c r="E432" s="37"/>
      <c r="F432" s="38"/>
      <c r="G432" s="37"/>
      <c r="H432" s="39" t="str">
        <f aca="false">IF(E432="","",E432*N(F432)*IF(G432="",1,G432))</f>
        <v/>
      </c>
      <c r="I432" s="37"/>
      <c r="J432" s="37"/>
      <c r="K432" s="37"/>
    </row>
    <row r="433" customFormat="false" ht="15" hidden="false" customHeight="false" outlineLevel="0" collapsed="false">
      <c r="A433" s="35"/>
      <c r="B433" s="36" t="str">
        <f aca="false">IF(A433="","",MONTH(A433))</f>
        <v/>
      </c>
      <c r="C433" s="37"/>
      <c r="D433" s="37"/>
      <c r="E433" s="37"/>
      <c r="F433" s="38"/>
      <c r="G433" s="37"/>
      <c r="H433" s="39" t="str">
        <f aca="false">IF(E433="","",E433*N(F433)*IF(G433="",1,G433))</f>
        <v/>
      </c>
      <c r="I433" s="37"/>
      <c r="J433" s="37"/>
      <c r="K433" s="37"/>
    </row>
    <row r="434" customFormat="false" ht="15" hidden="false" customHeight="false" outlineLevel="0" collapsed="false">
      <c r="A434" s="35"/>
      <c r="B434" s="36" t="str">
        <f aca="false">IF(A434="","",MONTH(A434))</f>
        <v/>
      </c>
      <c r="C434" s="37"/>
      <c r="D434" s="37"/>
      <c r="E434" s="37"/>
      <c r="F434" s="38"/>
      <c r="G434" s="37"/>
      <c r="H434" s="39" t="str">
        <f aca="false">IF(E434="","",E434*N(F434)*IF(G434="",1,G434))</f>
        <v/>
      </c>
      <c r="I434" s="37"/>
      <c r="J434" s="37"/>
      <c r="K434" s="37"/>
    </row>
    <row r="435" customFormat="false" ht="15" hidden="false" customHeight="false" outlineLevel="0" collapsed="false">
      <c r="A435" s="35"/>
      <c r="B435" s="36" t="str">
        <f aca="false">IF(A435="","",MONTH(A435))</f>
        <v/>
      </c>
      <c r="C435" s="37"/>
      <c r="D435" s="37"/>
      <c r="E435" s="37"/>
      <c r="F435" s="38"/>
      <c r="G435" s="37"/>
      <c r="H435" s="39" t="str">
        <f aca="false">IF(E435="","",E435*N(F435)*IF(G435="",1,G435))</f>
        <v/>
      </c>
      <c r="I435" s="37"/>
      <c r="J435" s="37"/>
      <c r="K435" s="37"/>
    </row>
    <row r="436" customFormat="false" ht="15" hidden="false" customHeight="false" outlineLevel="0" collapsed="false">
      <c r="A436" s="35"/>
      <c r="B436" s="36" t="str">
        <f aca="false">IF(A436="","",MONTH(A436))</f>
        <v/>
      </c>
      <c r="C436" s="37"/>
      <c r="D436" s="37"/>
      <c r="E436" s="37"/>
      <c r="F436" s="38"/>
      <c r="G436" s="37"/>
      <c r="H436" s="39" t="str">
        <f aca="false">IF(E436="","",E436*N(F436)*IF(G436="",1,G436))</f>
        <v/>
      </c>
      <c r="I436" s="37"/>
      <c r="J436" s="37"/>
      <c r="K436" s="37"/>
    </row>
    <row r="437" customFormat="false" ht="15" hidden="false" customHeight="false" outlineLevel="0" collapsed="false">
      <c r="A437" s="35"/>
      <c r="B437" s="36" t="str">
        <f aca="false">IF(A437="","",MONTH(A437))</f>
        <v/>
      </c>
      <c r="C437" s="37"/>
      <c r="D437" s="37"/>
      <c r="E437" s="37"/>
      <c r="F437" s="38"/>
      <c r="G437" s="37"/>
      <c r="H437" s="39" t="str">
        <f aca="false">IF(E437="","",E437*N(F437)*IF(G437="",1,G437))</f>
        <v/>
      </c>
      <c r="I437" s="37"/>
      <c r="J437" s="37"/>
      <c r="K437" s="37"/>
    </row>
    <row r="438" customFormat="false" ht="15" hidden="false" customHeight="false" outlineLevel="0" collapsed="false">
      <c r="A438" s="35"/>
      <c r="B438" s="36" t="str">
        <f aca="false">IF(A438="","",MONTH(A438))</f>
        <v/>
      </c>
      <c r="C438" s="37"/>
      <c r="D438" s="37"/>
      <c r="E438" s="37"/>
      <c r="F438" s="38"/>
      <c r="G438" s="37"/>
      <c r="H438" s="39" t="str">
        <f aca="false">IF(E438="","",E438*N(F438)*IF(G438="",1,G438))</f>
        <v/>
      </c>
      <c r="I438" s="37"/>
      <c r="J438" s="37"/>
      <c r="K438" s="37"/>
    </row>
    <row r="439" customFormat="false" ht="15" hidden="false" customHeight="false" outlineLevel="0" collapsed="false">
      <c r="A439" s="35"/>
      <c r="B439" s="36" t="str">
        <f aca="false">IF(A439="","",MONTH(A439))</f>
        <v/>
      </c>
      <c r="C439" s="37"/>
      <c r="D439" s="37"/>
      <c r="E439" s="37"/>
      <c r="F439" s="38"/>
      <c r="G439" s="37"/>
      <c r="H439" s="39" t="str">
        <f aca="false">IF(E439="","",E439*N(F439)*IF(G439="",1,G439))</f>
        <v/>
      </c>
      <c r="I439" s="37"/>
      <c r="J439" s="37"/>
      <c r="K439" s="37"/>
    </row>
    <row r="440" customFormat="false" ht="15" hidden="false" customHeight="false" outlineLevel="0" collapsed="false">
      <c r="A440" s="35"/>
      <c r="B440" s="36" t="str">
        <f aca="false">IF(A440="","",MONTH(A440))</f>
        <v/>
      </c>
      <c r="C440" s="37"/>
      <c r="D440" s="37"/>
      <c r="E440" s="37"/>
      <c r="F440" s="38"/>
      <c r="G440" s="37"/>
      <c r="H440" s="39" t="str">
        <f aca="false">IF(E440="","",E440*N(F440)*IF(G440="",1,G440))</f>
        <v/>
      </c>
      <c r="I440" s="37"/>
      <c r="J440" s="37"/>
      <c r="K440" s="37"/>
    </row>
    <row r="441" customFormat="false" ht="15" hidden="false" customHeight="false" outlineLevel="0" collapsed="false">
      <c r="A441" s="35"/>
      <c r="B441" s="36" t="str">
        <f aca="false">IF(A441="","",MONTH(A441))</f>
        <v/>
      </c>
      <c r="C441" s="37"/>
      <c r="D441" s="37"/>
      <c r="E441" s="37"/>
      <c r="F441" s="38"/>
      <c r="G441" s="37"/>
      <c r="H441" s="39" t="str">
        <f aca="false">IF(E441="","",E441*N(F441)*IF(G441="",1,G441))</f>
        <v/>
      </c>
      <c r="I441" s="37"/>
      <c r="J441" s="37"/>
      <c r="K441" s="37"/>
    </row>
    <row r="442" customFormat="false" ht="15" hidden="false" customHeight="false" outlineLevel="0" collapsed="false">
      <c r="A442" s="35"/>
      <c r="B442" s="36" t="str">
        <f aca="false">IF(A442="","",MONTH(A442))</f>
        <v/>
      </c>
      <c r="C442" s="37"/>
      <c r="D442" s="37"/>
      <c r="E442" s="37"/>
      <c r="F442" s="38"/>
      <c r="G442" s="37"/>
      <c r="H442" s="39" t="str">
        <f aca="false">IF(E442="","",E442*N(F442)*IF(G442="",1,G442))</f>
        <v/>
      </c>
      <c r="I442" s="37"/>
      <c r="J442" s="37"/>
      <c r="K442" s="37"/>
    </row>
    <row r="443" customFormat="false" ht="15" hidden="false" customHeight="false" outlineLevel="0" collapsed="false">
      <c r="A443" s="35"/>
      <c r="B443" s="36" t="str">
        <f aca="false">IF(A443="","",MONTH(A443))</f>
        <v/>
      </c>
      <c r="C443" s="37"/>
      <c r="D443" s="37"/>
      <c r="E443" s="37"/>
      <c r="F443" s="38"/>
      <c r="G443" s="37"/>
      <c r="H443" s="39" t="str">
        <f aca="false">IF(E443="","",E443*N(F443)*IF(G443="",1,G443))</f>
        <v/>
      </c>
      <c r="I443" s="37"/>
      <c r="J443" s="37"/>
      <c r="K443" s="37"/>
    </row>
    <row r="444" customFormat="false" ht="15" hidden="false" customHeight="false" outlineLevel="0" collapsed="false">
      <c r="A444" s="35"/>
      <c r="B444" s="36" t="str">
        <f aca="false">IF(A444="","",MONTH(A444))</f>
        <v/>
      </c>
      <c r="C444" s="37"/>
      <c r="D444" s="37"/>
      <c r="E444" s="37"/>
      <c r="F444" s="38"/>
      <c r="G444" s="37"/>
      <c r="H444" s="39" t="str">
        <f aca="false">IF(E444="","",E444*N(F444)*IF(G444="",1,G444))</f>
        <v/>
      </c>
      <c r="I444" s="37"/>
      <c r="J444" s="37"/>
      <c r="K444" s="37"/>
    </row>
    <row r="445" customFormat="false" ht="15" hidden="false" customHeight="false" outlineLevel="0" collapsed="false">
      <c r="A445" s="35"/>
      <c r="B445" s="36" t="str">
        <f aca="false">IF(A445="","",MONTH(A445))</f>
        <v/>
      </c>
      <c r="C445" s="37"/>
      <c r="D445" s="37"/>
      <c r="E445" s="37"/>
      <c r="F445" s="38"/>
      <c r="G445" s="37"/>
      <c r="H445" s="39" t="str">
        <f aca="false">IF(E445="","",E445*N(F445)*IF(G445="",1,G445))</f>
        <v/>
      </c>
      <c r="I445" s="37"/>
      <c r="J445" s="37"/>
      <c r="K445" s="37"/>
    </row>
    <row r="446" customFormat="false" ht="15" hidden="false" customHeight="false" outlineLevel="0" collapsed="false">
      <c r="A446" s="35"/>
      <c r="B446" s="36" t="str">
        <f aca="false">IF(A446="","",MONTH(A446))</f>
        <v/>
      </c>
      <c r="C446" s="37"/>
      <c r="D446" s="37"/>
      <c r="E446" s="37"/>
      <c r="F446" s="38"/>
      <c r="G446" s="37"/>
      <c r="H446" s="39" t="str">
        <f aca="false">IF(E446="","",E446*N(F446)*IF(G446="",1,G446))</f>
        <v/>
      </c>
      <c r="I446" s="37"/>
      <c r="J446" s="37"/>
      <c r="K446" s="37"/>
    </row>
    <row r="447" customFormat="false" ht="15" hidden="false" customHeight="false" outlineLevel="0" collapsed="false">
      <c r="A447" s="35"/>
      <c r="B447" s="36" t="str">
        <f aca="false">IF(A447="","",MONTH(A447))</f>
        <v/>
      </c>
      <c r="C447" s="37"/>
      <c r="D447" s="37"/>
      <c r="E447" s="37"/>
      <c r="F447" s="38"/>
      <c r="G447" s="37"/>
      <c r="H447" s="39" t="str">
        <f aca="false">IF(E447="","",E447*N(F447)*IF(G447="",1,G447))</f>
        <v/>
      </c>
      <c r="I447" s="37"/>
      <c r="J447" s="37"/>
      <c r="K447" s="37"/>
    </row>
    <row r="448" customFormat="false" ht="15" hidden="false" customHeight="false" outlineLevel="0" collapsed="false">
      <c r="A448" s="35"/>
      <c r="B448" s="36" t="str">
        <f aca="false">IF(A448="","",MONTH(A448))</f>
        <v/>
      </c>
      <c r="C448" s="37"/>
      <c r="D448" s="37"/>
      <c r="E448" s="37"/>
      <c r="F448" s="38"/>
      <c r="G448" s="37"/>
      <c r="H448" s="39" t="str">
        <f aca="false">IF(E448="","",E448*N(F448)*IF(G448="",1,G448))</f>
        <v/>
      </c>
      <c r="I448" s="37"/>
      <c r="J448" s="37"/>
      <c r="K448" s="37"/>
    </row>
    <row r="449" customFormat="false" ht="15" hidden="false" customHeight="false" outlineLevel="0" collapsed="false">
      <c r="A449" s="35"/>
      <c r="B449" s="36" t="str">
        <f aca="false">IF(A449="","",MONTH(A449))</f>
        <v/>
      </c>
      <c r="C449" s="37"/>
      <c r="D449" s="37"/>
      <c r="E449" s="37"/>
      <c r="F449" s="38"/>
      <c r="G449" s="37"/>
      <c r="H449" s="39" t="str">
        <f aca="false">IF(E449="","",E449*N(F449)*IF(G449="",1,G449))</f>
        <v/>
      </c>
      <c r="I449" s="37"/>
      <c r="J449" s="37"/>
      <c r="K449" s="37"/>
    </row>
    <row r="450" customFormat="false" ht="15" hidden="false" customHeight="false" outlineLevel="0" collapsed="false">
      <c r="A450" s="35"/>
      <c r="B450" s="36" t="str">
        <f aca="false">IF(A450="","",MONTH(A450))</f>
        <v/>
      </c>
      <c r="C450" s="37"/>
      <c r="D450" s="37"/>
      <c r="E450" s="37"/>
      <c r="F450" s="38"/>
      <c r="G450" s="37"/>
      <c r="H450" s="39" t="str">
        <f aca="false">IF(E450="","",E450*N(F450)*IF(G450="",1,G450))</f>
        <v/>
      </c>
      <c r="I450" s="37"/>
      <c r="J450" s="37"/>
      <c r="K450" s="37"/>
    </row>
    <row r="451" customFormat="false" ht="15" hidden="false" customHeight="false" outlineLevel="0" collapsed="false">
      <c r="A451" s="35"/>
      <c r="B451" s="36" t="str">
        <f aca="false">IF(A451="","",MONTH(A451))</f>
        <v/>
      </c>
      <c r="C451" s="37"/>
      <c r="D451" s="37"/>
      <c r="E451" s="37"/>
      <c r="F451" s="38"/>
      <c r="G451" s="37"/>
      <c r="H451" s="39" t="str">
        <f aca="false">IF(E451="","",E451*N(F451)*IF(G451="",1,G451))</f>
        <v/>
      </c>
      <c r="I451" s="37"/>
      <c r="J451" s="37"/>
      <c r="K451" s="37"/>
    </row>
    <row r="452" customFormat="false" ht="15" hidden="false" customHeight="false" outlineLevel="0" collapsed="false">
      <c r="A452" s="35"/>
      <c r="B452" s="36" t="str">
        <f aca="false">IF(A452="","",MONTH(A452))</f>
        <v/>
      </c>
      <c r="C452" s="37"/>
      <c r="D452" s="37"/>
      <c r="E452" s="37"/>
      <c r="F452" s="38"/>
      <c r="G452" s="37"/>
      <c r="H452" s="39" t="str">
        <f aca="false">IF(E452="","",E452*N(F452)*IF(G452="",1,G452))</f>
        <v/>
      </c>
      <c r="I452" s="37"/>
      <c r="J452" s="37"/>
      <c r="K452" s="37"/>
    </row>
    <row r="453" customFormat="false" ht="15" hidden="false" customHeight="false" outlineLevel="0" collapsed="false">
      <c r="A453" s="35"/>
      <c r="B453" s="36" t="str">
        <f aca="false">IF(A453="","",MONTH(A453))</f>
        <v/>
      </c>
      <c r="C453" s="37"/>
      <c r="D453" s="37"/>
      <c r="E453" s="37"/>
      <c r="F453" s="38"/>
      <c r="G453" s="37"/>
      <c r="H453" s="39" t="str">
        <f aca="false">IF(E453="","",E453*N(F453)*IF(G453="",1,G453))</f>
        <v/>
      </c>
      <c r="I453" s="37"/>
      <c r="J453" s="37"/>
      <c r="K453" s="37"/>
    </row>
    <row r="454" customFormat="false" ht="15" hidden="false" customHeight="false" outlineLevel="0" collapsed="false">
      <c r="A454" s="35"/>
      <c r="B454" s="36" t="str">
        <f aca="false">IF(A454="","",MONTH(A454))</f>
        <v/>
      </c>
      <c r="C454" s="37"/>
      <c r="D454" s="37"/>
      <c r="E454" s="37"/>
      <c r="F454" s="38"/>
      <c r="G454" s="37"/>
      <c r="H454" s="39" t="str">
        <f aca="false">IF(E454="","",E454*N(F454)*IF(G454="",1,G454))</f>
        <v/>
      </c>
      <c r="I454" s="37"/>
      <c r="J454" s="37"/>
      <c r="K454" s="37"/>
    </row>
    <row r="455" customFormat="false" ht="15" hidden="false" customHeight="false" outlineLevel="0" collapsed="false">
      <c r="A455" s="35"/>
      <c r="B455" s="36" t="str">
        <f aca="false">IF(A455="","",MONTH(A455))</f>
        <v/>
      </c>
      <c r="C455" s="37"/>
      <c r="D455" s="37"/>
      <c r="E455" s="37"/>
      <c r="F455" s="38"/>
      <c r="G455" s="37"/>
      <c r="H455" s="39" t="str">
        <f aca="false">IF(E455="","",E455*N(F455)*IF(G455="",1,G455))</f>
        <v/>
      </c>
      <c r="I455" s="37"/>
      <c r="J455" s="37"/>
      <c r="K455" s="37"/>
    </row>
    <row r="456" customFormat="false" ht="15" hidden="false" customHeight="false" outlineLevel="0" collapsed="false">
      <c r="A456" s="35"/>
      <c r="B456" s="36" t="str">
        <f aca="false">IF(A456="","",MONTH(A456))</f>
        <v/>
      </c>
      <c r="C456" s="37"/>
      <c r="D456" s="37"/>
      <c r="E456" s="37"/>
      <c r="F456" s="38"/>
      <c r="G456" s="37"/>
      <c r="H456" s="39" t="str">
        <f aca="false">IF(E456="","",E456*N(F456)*IF(G456="",1,G456))</f>
        <v/>
      </c>
      <c r="I456" s="37"/>
      <c r="J456" s="37"/>
      <c r="K456" s="37"/>
    </row>
    <row r="457" customFormat="false" ht="15" hidden="false" customHeight="false" outlineLevel="0" collapsed="false">
      <c r="A457" s="35"/>
      <c r="B457" s="36" t="str">
        <f aca="false">IF(A457="","",MONTH(A457))</f>
        <v/>
      </c>
      <c r="C457" s="37"/>
      <c r="D457" s="37"/>
      <c r="E457" s="37"/>
      <c r="F457" s="38"/>
      <c r="G457" s="37"/>
      <c r="H457" s="39" t="str">
        <f aca="false">IF(E457="","",E457*N(F457)*IF(G457="",1,G457))</f>
        <v/>
      </c>
      <c r="I457" s="37"/>
      <c r="J457" s="37"/>
      <c r="K457" s="37"/>
    </row>
    <row r="458" customFormat="false" ht="15" hidden="false" customHeight="false" outlineLevel="0" collapsed="false">
      <c r="A458" s="35"/>
      <c r="B458" s="36" t="str">
        <f aca="false">IF(A458="","",MONTH(A458))</f>
        <v/>
      </c>
      <c r="C458" s="37"/>
      <c r="D458" s="37"/>
      <c r="E458" s="37"/>
      <c r="F458" s="38"/>
      <c r="G458" s="37"/>
      <c r="H458" s="39" t="str">
        <f aca="false">IF(E458="","",E458*N(F458)*IF(G458="",1,G458))</f>
        <v/>
      </c>
      <c r="I458" s="37"/>
      <c r="J458" s="37"/>
      <c r="K458" s="37"/>
    </row>
    <row r="459" customFormat="false" ht="15" hidden="false" customHeight="false" outlineLevel="0" collapsed="false">
      <c r="A459" s="35"/>
      <c r="B459" s="36" t="str">
        <f aca="false">IF(A459="","",MONTH(A459))</f>
        <v/>
      </c>
      <c r="C459" s="37"/>
      <c r="D459" s="37"/>
      <c r="E459" s="37"/>
      <c r="F459" s="38"/>
      <c r="G459" s="37"/>
      <c r="H459" s="39" t="str">
        <f aca="false">IF(E459="","",E459*N(F459)*IF(G459="",1,G459))</f>
        <v/>
      </c>
      <c r="I459" s="37"/>
      <c r="J459" s="37"/>
      <c r="K459" s="37"/>
    </row>
    <row r="460" customFormat="false" ht="15" hidden="false" customHeight="false" outlineLevel="0" collapsed="false">
      <c r="A460" s="35"/>
      <c r="B460" s="36" t="str">
        <f aca="false">IF(A460="","",MONTH(A460))</f>
        <v/>
      </c>
      <c r="C460" s="37"/>
      <c r="D460" s="37"/>
      <c r="E460" s="37"/>
      <c r="F460" s="38"/>
      <c r="G460" s="37"/>
      <c r="H460" s="39" t="str">
        <f aca="false">IF(E460="","",E460*N(F460)*IF(G460="",1,G460))</f>
        <v/>
      </c>
      <c r="I460" s="37"/>
      <c r="J460" s="37"/>
      <c r="K460" s="37"/>
    </row>
    <row r="461" customFormat="false" ht="15" hidden="false" customHeight="false" outlineLevel="0" collapsed="false">
      <c r="A461" s="35"/>
      <c r="B461" s="36" t="str">
        <f aca="false">IF(A461="","",MONTH(A461))</f>
        <v/>
      </c>
      <c r="C461" s="37"/>
      <c r="D461" s="37"/>
      <c r="E461" s="37"/>
      <c r="F461" s="38"/>
      <c r="G461" s="37"/>
      <c r="H461" s="39" t="str">
        <f aca="false">IF(E461="","",E461*N(F461)*IF(G461="",1,G461))</f>
        <v/>
      </c>
      <c r="I461" s="37"/>
      <c r="J461" s="37"/>
      <c r="K461" s="37"/>
    </row>
    <row r="462" customFormat="false" ht="15" hidden="false" customHeight="false" outlineLevel="0" collapsed="false">
      <c r="A462" s="35"/>
      <c r="B462" s="36" t="str">
        <f aca="false">IF(A462="","",MONTH(A462))</f>
        <v/>
      </c>
      <c r="C462" s="37"/>
      <c r="D462" s="37"/>
      <c r="E462" s="37"/>
      <c r="F462" s="38"/>
      <c r="G462" s="37"/>
      <c r="H462" s="39" t="str">
        <f aca="false">IF(E462="","",E462*N(F462)*IF(G462="",1,G462))</f>
        <v/>
      </c>
      <c r="I462" s="37"/>
      <c r="J462" s="37"/>
      <c r="K462" s="37"/>
    </row>
    <row r="463" customFormat="false" ht="15" hidden="false" customHeight="false" outlineLevel="0" collapsed="false">
      <c r="A463" s="35"/>
      <c r="B463" s="36" t="str">
        <f aca="false">IF(A463="","",MONTH(A463))</f>
        <v/>
      </c>
      <c r="C463" s="37"/>
      <c r="D463" s="37"/>
      <c r="E463" s="37"/>
      <c r="F463" s="38"/>
      <c r="G463" s="37"/>
      <c r="H463" s="39" t="str">
        <f aca="false">IF(E463="","",E463*N(F463)*IF(G463="",1,G463))</f>
        <v/>
      </c>
      <c r="I463" s="37"/>
      <c r="J463" s="37"/>
      <c r="K463" s="37"/>
    </row>
    <row r="464" customFormat="false" ht="15" hidden="false" customHeight="false" outlineLevel="0" collapsed="false">
      <c r="A464" s="35"/>
      <c r="B464" s="36" t="str">
        <f aca="false">IF(A464="","",MONTH(A464))</f>
        <v/>
      </c>
      <c r="C464" s="37"/>
      <c r="D464" s="37"/>
      <c r="E464" s="37"/>
      <c r="F464" s="38"/>
      <c r="G464" s="37"/>
      <c r="H464" s="39" t="str">
        <f aca="false">IF(E464="","",E464*N(F464)*IF(G464="",1,G464))</f>
        <v/>
      </c>
      <c r="I464" s="37"/>
      <c r="J464" s="37"/>
      <c r="K464" s="37"/>
    </row>
    <row r="465" customFormat="false" ht="15" hidden="false" customHeight="false" outlineLevel="0" collapsed="false">
      <c r="A465" s="35"/>
      <c r="B465" s="36" t="str">
        <f aca="false">IF(A465="","",MONTH(A465))</f>
        <v/>
      </c>
      <c r="C465" s="37"/>
      <c r="D465" s="37"/>
      <c r="E465" s="37"/>
      <c r="F465" s="38"/>
      <c r="G465" s="37"/>
      <c r="H465" s="39" t="str">
        <f aca="false">IF(E465="","",E465*N(F465)*IF(G465="",1,G465))</f>
        <v/>
      </c>
      <c r="I465" s="37"/>
      <c r="J465" s="37"/>
      <c r="K465" s="37"/>
    </row>
    <row r="466" customFormat="false" ht="15" hidden="false" customHeight="false" outlineLevel="0" collapsed="false">
      <c r="A466" s="35"/>
      <c r="B466" s="36" t="str">
        <f aca="false">IF(A466="","",MONTH(A466))</f>
        <v/>
      </c>
      <c r="C466" s="37"/>
      <c r="D466" s="37"/>
      <c r="E466" s="37"/>
      <c r="F466" s="38"/>
      <c r="G466" s="37"/>
      <c r="H466" s="39" t="str">
        <f aca="false">IF(E466="","",E466*N(F466)*IF(G466="",1,G466))</f>
        <v/>
      </c>
      <c r="I466" s="37"/>
      <c r="J466" s="37"/>
      <c r="K466" s="37"/>
    </row>
    <row r="467" customFormat="false" ht="15" hidden="false" customHeight="false" outlineLevel="0" collapsed="false">
      <c r="A467" s="35"/>
      <c r="B467" s="36" t="str">
        <f aca="false">IF(A467="","",MONTH(A467))</f>
        <v/>
      </c>
      <c r="C467" s="37"/>
      <c r="D467" s="37"/>
      <c r="E467" s="37"/>
      <c r="F467" s="38"/>
      <c r="G467" s="37"/>
      <c r="H467" s="39" t="str">
        <f aca="false">IF(E467="","",E467*N(F467)*IF(G467="",1,G467))</f>
        <v/>
      </c>
      <c r="I467" s="37"/>
      <c r="J467" s="37"/>
      <c r="K467" s="37"/>
    </row>
    <row r="468" customFormat="false" ht="15" hidden="false" customHeight="false" outlineLevel="0" collapsed="false">
      <c r="A468" s="35"/>
      <c r="B468" s="36" t="str">
        <f aca="false">IF(A468="","",MONTH(A468))</f>
        <v/>
      </c>
      <c r="C468" s="37"/>
      <c r="D468" s="37"/>
      <c r="E468" s="37"/>
      <c r="F468" s="38"/>
      <c r="G468" s="37"/>
      <c r="H468" s="39" t="str">
        <f aca="false">IF(E468="","",E468*N(F468)*IF(G468="",1,G468))</f>
        <v/>
      </c>
      <c r="I468" s="37"/>
      <c r="J468" s="37"/>
      <c r="K468" s="37"/>
    </row>
    <row r="469" customFormat="false" ht="15" hidden="false" customHeight="false" outlineLevel="0" collapsed="false">
      <c r="A469" s="35"/>
      <c r="B469" s="36" t="str">
        <f aca="false">IF(A469="","",MONTH(A469))</f>
        <v/>
      </c>
      <c r="C469" s="37"/>
      <c r="D469" s="37"/>
      <c r="E469" s="37"/>
      <c r="F469" s="38"/>
      <c r="G469" s="37"/>
      <c r="H469" s="39" t="str">
        <f aca="false">IF(E469="","",E469*N(F469)*IF(G469="",1,G469))</f>
        <v/>
      </c>
      <c r="I469" s="37"/>
      <c r="J469" s="37"/>
      <c r="K469" s="37"/>
    </row>
    <row r="470" customFormat="false" ht="15" hidden="false" customHeight="false" outlineLevel="0" collapsed="false">
      <c r="A470" s="35"/>
      <c r="B470" s="36" t="str">
        <f aca="false">IF(A470="","",MONTH(A470))</f>
        <v/>
      </c>
      <c r="C470" s="37"/>
      <c r="D470" s="37"/>
      <c r="E470" s="37"/>
      <c r="F470" s="38"/>
      <c r="G470" s="37"/>
      <c r="H470" s="39" t="str">
        <f aca="false">IF(E470="","",E470*N(F470)*IF(G470="",1,G470))</f>
        <v/>
      </c>
      <c r="I470" s="37"/>
      <c r="J470" s="37"/>
      <c r="K470" s="37"/>
    </row>
    <row r="471" customFormat="false" ht="15" hidden="false" customHeight="false" outlineLevel="0" collapsed="false">
      <c r="A471" s="35"/>
      <c r="B471" s="36" t="str">
        <f aca="false">IF(A471="","",MONTH(A471))</f>
        <v/>
      </c>
      <c r="C471" s="37"/>
      <c r="D471" s="37"/>
      <c r="E471" s="37"/>
      <c r="F471" s="38"/>
      <c r="G471" s="37"/>
      <c r="H471" s="39" t="str">
        <f aca="false">IF(E471="","",E471*N(F471)*IF(G471="",1,G471))</f>
        <v/>
      </c>
      <c r="I471" s="37"/>
      <c r="J471" s="37"/>
      <c r="K471" s="37"/>
    </row>
    <row r="472" customFormat="false" ht="15" hidden="false" customHeight="false" outlineLevel="0" collapsed="false">
      <c r="A472" s="35"/>
      <c r="B472" s="36" t="str">
        <f aca="false">IF(A472="","",MONTH(A472))</f>
        <v/>
      </c>
      <c r="C472" s="37"/>
      <c r="D472" s="37"/>
      <c r="E472" s="37"/>
      <c r="F472" s="38"/>
      <c r="G472" s="37"/>
      <c r="H472" s="39" t="str">
        <f aca="false">IF(E472="","",E472*N(F472)*IF(G472="",1,G472))</f>
        <v/>
      </c>
      <c r="I472" s="37"/>
      <c r="J472" s="37"/>
      <c r="K472" s="37"/>
    </row>
    <row r="473" customFormat="false" ht="15" hidden="false" customHeight="false" outlineLevel="0" collapsed="false">
      <c r="A473" s="35"/>
      <c r="B473" s="36" t="str">
        <f aca="false">IF(A473="","",MONTH(A473))</f>
        <v/>
      </c>
      <c r="C473" s="37"/>
      <c r="D473" s="37"/>
      <c r="E473" s="37"/>
      <c r="F473" s="38"/>
      <c r="G473" s="37"/>
      <c r="H473" s="39" t="str">
        <f aca="false">IF(E473="","",E473*N(F473)*IF(G473="",1,G473))</f>
        <v/>
      </c>
      <c r="I473" s="37"/>
      <c r="J473" s="37"/>
      <c r="K473" s="37"/>
    </row>
    <row r="474" customFormat="false" ht="15" hidden="false" customHeight="false" outlineLevel="0" collapsed="false">
      <c r="A474" s="35"/>
      <c r="B474" s="36" t="str">
        <f aca="false">IF(A474="","",MONTH(A474))</f>
        <v/>
      </c>
      <c r="C474" s="37"/>
      <c r="D474" s="37"/>
      <c r="E474" s="37"/>
      <c r="F474" s="38"/>
      <c r="G474" s="37"/>
      <c r="H474" s="39" t="str">
        <f aca="false">IF(E474="","",E474*N(F474)*IF(G474="",1,G474))</f>
        <v/>
      </c>
      <c r="I474" s="37"/>
      <c r="J474" s="37"/>
      <c r="K474" s="37"/>
    </row>
    <row r="475" customFormat="false" ht="15" hidden="false" customHeight="false" outlineLevel="0" collapsed="false">
      <c r="A475" s="35"/>
      <c r="B475" s="36" t="str">
        <f aca="false">IF(A475="","",MONTH(A475))</f>
        <v/>
      </c>
      <c r="C475" s="37"/>
      <c r="D475" s="37"/>
      <c r="E475" s="37"/>
      <c r="F475" s="38"/>
      <c r="G475" s="37"/>
      <c r="H475" s="39" t="str">
        <f aca="false">IF(E475="","",E475*N(F475)*IF(G475="",1,G475))</f>
        <v/>
      </c>
      <c r="I475" s="37"/>
      <c r="J475" s="37"/>
      <c r="K475" s="37"/>
    </row>
    <row r="476" customFormat="false" ht="15" hidden="false" customHeight="false" outlineLevel="0" collapsed="false">
      <c r="A476" s="35"/>
      <c r="B476" s="36" t="str">
        <f aca="false">IF(A476="","",MONTH(A476))</f>
        <v/>
      </c>
      <c r="C476" s="37"/>
      <c r="D476" s="37"/>
      <c r="E476" s="37"/>
      <c r="F476" s="38"/>
      <c r="G476" s="37"/>
      <c r="H476" s="39" t="str">
        <f aca="false">IF(E476="","",E476*N(F476)*IF(G476="",1,G476))</f>
        <v/>
      </c>
      <c r="I476" s="37"/>
      <c r="J476" s="37"/>
      <c r="K476" s="37"/>
    </row>
    <row r="477" customFormat="false" ht="15" hidden="false" customHeight="false" outlineLevel="0" collapsed="false">
      <c r="A477" s="35"/>
      <c r="B477" s="36" t="str">
        <f aca="false">IF(A477="","",MONTH(A477))</f>
        <v/>
      </c>
      <c r="C477" s="37"/>
      <c r="D477" s="37"/>
      <c r="E477" s="37"/>
      <c r="F477" s="38"/>
      <c r="G477" s="37"/>
      <c r="H477" s="39" t="str">
        <f aca="false">IF(E477="","",E477*N(F477)*IF(G477="",1,G477))</f>
        <v/>
      </c>
      <c r="I477" s="37"/>
      <c r="J477" s="37"/>
      <c r="K477" s="37"/>
    </row>
    <row r="478" customFormat="false" ht="15" hidden="false" customHeight="false" outlineLevel="0" collapsed="false">
      <c r="A478" s="35"/>
      <c r="B478" s="36" t="str">
        <f aca="false">IF(A478="","",MONTH(A478))</f>
        <v/>
      </c>
      <c r="C478" s="37"/>
      <c r="D478" s="37"/>
      <c r="E478" s="37"/>
      <c r="F478" s="38"/>
      <c r="G478" s="37"/>
      <c r="H478" s="39" t="str">
        <f aca="false">IF(E478="","",E478*N(F478)*IF(G478="",1,G478))</f>
        <v/>
      </c>
      <c r="I478" s="37"/>
      <c r="J478" s="37"/>
      <c r="K478" s="37"/>
    </row>
    <row r="479" customFormat="false" ht="15" hidden="false" customHeight="false" outlineLevel="0" collapsed="false">
      <c r="A479" s="35"/>
      <c r="B479" s="36" t="str">
        <f aca="false">IF(A479="","",MONTH(A479))</f>
        <v/>
      </c>
      <c r="C479" s="37"/>
      <c r="D479" s="37"/>
      <c r="E479" s="37"/>
      <c r="F479" s="38"/>
      <c r="G479" s="37"/>
      <c r="H479" s="39" t="str">
        <f aca="false">IF(E479="","",E479*N(F479)*IF(G479="",1,G479))</f>
        <v/>
      </c>
      <c r="I479" s="37"/>
      <c r="J479" s="37"/>
      <c r="K479" s="37"/>
    </row>
    <row r="480" customFormat="false" ht="15" hidden="false" customHeight="false" outlineLevel="0" collapsed="false">
      <c r="A480" s="35"/>
      <c r="B480" s="36" t="str">
        <f aca="false">IF(A480="","",MONTH(A480))</f>
        <v/>
      </c>
      <c r="C480" s="37"/>
      <c r="D480" s="37"/>
      <c r="E480" s="37"/>
      <c r="F480" s="38"/>
      <c r="G480" s="37"/>
      <c r="H480" s="39" t="str">
        <f aca="false">IF(E480="","",E480*N(F480)*IF(G480="",1,G480))</f>
        <v/>
      </c>
      <c r="I480" s="37"/>
      <c r="J480" s="37"/>
      <c r="K480" s="37"/>
    </row>
    <row r="481" customFormat="false" ht="15" hidden="false" customHeight="false" outlineLevel="0" collapsed="false">
      <c r="A481" s="35"/>
      <c r="B481" s="36" t="str">
        <f aca="false">IF(A481="","",MONTH(A481))</f>
        <v/>
      </c>
      <c r="C481" s="37"/>
      <c r="D481" s="37"/>
      <c r="E481" s="37"/>
      <c r="F481" s="38"/>
      <c r="G481" s="37"/>
      <c r="H481" s="39" t="str">
        <f aca="false">IF(E481="","",E481*N(F481)*IF(G481="",1,G481))</f>
        <v/>
      </c>
      <c r="I481" s="37"/>
      <c r="J481" s="37"/>
      <c r="K481" s="37"/>
    </row>
    <row r="482" customFormat="false" ht="15" hidden="false" customHeight="false" outlineLevel="0" collapsed="false">
      <c r="A482" s="35"/>
      <c r="B482" s="36" t="str">
        <f aca="false">IF(A482="","",MONTH(A482))</f>
        <v/>
      </c>
      <c r="C482" s="37"/>
      <c r="D482" s="37"/>
      <c r="E482" s="37"/>
      <c r="F482" s="38"/>
      <c r="G482" s="37"/>
      <c r="H482" s="39" t="str">
        <f aca="false">IF(E482="","",E482*N(F482)*IF(G482="",1,G482))</f>
        <v/>
      </c>
      <c r="I482" s="37"/>
      <c r="J482" s="37"/>
      <c r="K482" s="37"/>
    </row>
    <row r="483" customFormat="false" ht="15" hidden="false" customHeight="false" outlineLevel="0" collapsed="false">
      <c r="A483" s="35"/>
      <c r="B483" s="36" t="str">
        <f aca="false">IF(A483="","",MONTH(A483))</f>
        <v/>
      </c>
      <c r="C483" s="37"/>
      <c r="D483" s="37"/>
      <c r="E483" s="37"/>
      <c r="F483" s="38"/>
      <c r="G483" s="37"/>
      <c r="H483" s="39" t="str">
        <f aca="false">IF(E483="","",E483*N(F483)*IF(G483="",1,G483))</f>
        <v/>
      </c>
      <c r="I483" s="37"/>
      <c r="J483" s="37"/>
      <c r="K483" s="37"/>
    </row>
    <row r="484" customFormat="false" ht="15" hidden="false" customHeight="false" outlineLevel="0" collapsed="false">
      <c r="A484" s="35"/>
      <c r="B484" s="36" t="str">
        <f aca="false">IF(A484="","",MONTH(A484))</f>
        <v/>
      </c>
      <c r="C484" s="37"/>
      <c r="D484" s="37"/>
      <c r="E484" s="37"/>
      <c r="F484" s="38"/>
      <c r="G484" s="37"/>
      <c r="H484" s="39" t="str">
        <f aca="false">IF(E484="","",E484*N(F484)*IF(G484="",1,G484))</f>
        <v/>
      </c>
      <c r="I484" s="37"/>
      <c r="J484" s="37"/>
      <c r="K484" s="37"/>
    </row>
    <row r="485" customFormat="false" ht="15" hidden="false" customHeight="false" outlineLevel="0" collapsed="false">
      <c r="A485" s="35"/>
      <c r="B485" s="36" t="str">
        <f aca="false">IF(A485="","",MONTH(A485))</f>
        <v/>
      </c>
      <c r="C485" s="37"/>
      <c r="D485" s="37"/>
      <c r="E485" s="37"/>
      <c r="F485" s="38"/>
      <c r="G485" s="37"/>
      <c r="H485" s="39" t="str">
        <f aca="false">IF(E485="","",E485*N(F485)*IF(G485="",1,G485))</f>
        <v/>
      </c>
      <c r="I485" s="37"/>
      <c r="J485" s="37"/>
      <c r="K485" s="37"/>
    </row>
    <row r="486" customFormat="false" ht="15" hidden="false" customHeight="false" outlineLevel="0" collapsed="false">
      <c r="A486" s="35"/>
      <c r="B486" s="36" t="str">
        <f aca="false">IF(A486="","",MONTH(A486))</f>
        <v/>
      </c>
      <c r="C486" s="37"/>
      <c r="D486" s="37"/>
      <c r="E486" s="37"/>
      <c r="F486" s="38"/>
      <c r="G486" s="37"/>
      <c r="H486" s="39" t="str">
        <f aca="false">IF(E486="","",E486*N(F486)*IF(G486="",1,G486))</f>
        <v/>
      </c>
      <c r="I486" s="37"/>
      <c r="J486" s="37"/>
      <c r="K486" s="37"/>
    </row>
    <row r="487" customFormat="false" ht="15" hidden="false" customHeight="false" outlineLevel="0" collapsed="false">
      <c r="A487" s="35"/>
      <c r="B487" s="36" t="str">
        <f aca="false">IF(A487="","",MONTH(A487))</f>
        <v/>
      </c>
      <c r="C487" s="37"/>
      <c r="D487" s="37"/>
      <c r="E487" s="37"/>
      <c r="F487" s="38"/>
      <c r="G487" s="37"/>
      <c r="H487" s="39" t="str">
        <f aca="false">IF(E487="","",E487*N(F487)*IF(G487="",1,G487))</f>
        <v/>
      </c>
      <c r="I487" s="37"/>
      <c r="J487" s="37"/>
      <c r="K487" s="37"/>
    </row>
    <row r="488" customFormat="false" ht="15" hidden="false" customHeight="false" outlineLevel="0" collapsed="false">
      <c r="A488" s="35"/>
      <c r="B488" s="36" t="str">
        <f aca="false">IF(A488="","",MONTH(A488))</f>
        <v/>
      </c>
      <c r="C488" s="37"/>
      <c r="D488" s="37"/>
      <c r="E488" s="37"/>
      <c r="F488" s="38"/>
      <c r="G488" s="37"/>
      <c r="H488" s="39" t="str">
        <f aca="false">IF(E488="","",E488*N(F488)*IF(G488="",1,G488))</f>
        <v/>
      </c>
      <c r="I488" s="37"/>
      <c r="J488" s="37"/>
      <c r="K488" s="37"/>
    </row>
    <row r="489" customFormat="false" ht="15" hidden="false" customHeight="false" outlineLevel="0" collapsed="false">
      <c r="A489" s="35"/>
      <c r="B489" s="36" t="str">
        <f aca="false">IF(A489="","",MONTH(A489))</f>
        <v/>
      </c>
      <c r="C489" s="37"/>
      <c r="D489" s="37"/>
      <c r="E489" s="37"/>
      <c r="F489" s="38"/>
      <c r="G489" s="37"/>
      <c r="H489" s="39" t="str">
        <f aca="false">IF(E489="","",E489*N(F489)*IF(G489="",1,G489))</f>
        <v/>
      </c>
      <c r="I489" s="37"/>
      <c r="J489" s="37"/>
      <c r="K489" s="37"/>
    </row>
    <row r="490" customFormat="false" ht="15" hidden="false" customHeight="false" outlineLevel="0" collapsed="false">
      <c r="A490" s="35"/>
      <c r="B490" s="36" t="str">
        <f aca="false">IF(A490="","",MONTH(A490))</f>
        <v/>
      </c>
      <c r="C490" s="37"/>
      <c r="D490" s="37"/>
      <c r="E490" s="37"/>
      <c r="F490" s="38"/>
      <c r="G490" s="37"/>
      <c r="H490" s="39" t="str">
        <f aca="false">IF(E490="","",E490*N(F490)*IF(G490="",1,G490))</f>
        <v/>
      </c>
      <c r="I490" s="37"/>
      <c r="J490" s="37"/>
      <c r="K490" s="37"/>
    </row>
    <row r="491" customFormat="false" ht="15" hidden="false" customHeight="false" outlineLevel="0" collapsed="false">
      <c r="A491" s="35"/>
      <c r="B491" s="36" t="str">
        <f aca="false">IF(A491="","",MONTH(A491))</f>
        <v/>
      </c>
      <c r="C491" s="37"/>
      <c r="D491" s="37"/>
      <c r="E491" s="37"/>
      <c r="F491" s="38"/>
      <c r="G491" s="37"/>
      <c r="H491" s="39" t="str">
        <f aca="false">IF(E491="","",E491*N(F491)*IF(G491="",1,G491))</f>
        <v/>
      </c>
      <c r="I491" s="37"/>
      <c r="J491" s="37"/>
      <c r="K491" s="37"/>
    </row>
    <row r="492" customFormat="false" ht="15" hidden="false" customHeight="false" outlineLevel="0" collapsed="false">
      <c r="A492" s="35"/>
      <c r="B492" s="36" t="str">
        <f aca="false">IF(A492="","",MONTH(A492))</f>
        <v/>
      </c>
      <c r="C492" s="37"/>
      <c r="D492" s="37"/>
      <c r="E492" s="37"/>
      <c r="F492" s="38"/>
      <c r="G492" s="37"/>
      <c r="H492" s="39" t="str">
        <f aca="false">IF(E492="","",E492*N(F492)*IF(G492="",1,G492))</f>
        <v/>
      </c>
      <c r="I492" s="37"/>
      <c r="J492" s="37"/>
      <c r="K492" s="37"/>
    </row>
    <row r="493" customFormat="false" ht="15" hidden="false" customHeight="false" outlineLevel="0" collapsed="false">
      <c r="A493" s="35"/>
      <c r="B493" s="36" t="str">
        <f aca="false">IF(A493="","",MONTH(A493))</f>
        <v/>
      </c>
      <c r="C493" s="37"/>
      <c r="D493" s="37"/>
      <c r="E493" s="37"/>
      <c r="F493" s="38"/>
      <c r="G493" s="37"/>
      <c r="H493" s="39" t="str">
        <f aca="false">IF(E493="","",E493*N(F493)*IF(G493="",1,G493))</f>
        <v/>
      </c>
      <c r="I493" s="37"/>
      <c r="J493" s="37"/>
      <c r="K493" s="37"/>
    </row>
    <row r="494" customFormat="false" ht="15" hidden="false" customHeight="false" outlineLevel="0" collapsed="false">
      <c r="A494" s="35"/>
      <c r="B494" s="36" t="str">
        <f aca="false">IF(A494="","",MONTH(A494))</f>
        <v/>
      </c>
      <c r="C494" s="37"/>
      <c r="D494" s="37"/>
      <c r="E494" s="37"/>
      <c r="F494" s="38"/>
      <c r="G494" s="37"/>
      <c r="H494" s="39" t="str">
        <f aca="false">IF(E494="","",E494*N(F494)*IF(G494="",1,G494))</f>
        <v/>
      </c>
      <c r="I494" s="37"/>
      <c r="J494" s="37"/>
      <c r="K494" s="37"/>
    </row>
    <row r="495" customFormat="false" ht="15" hidden="false" customHeight="false" outlineLevel="0" collapsed="false">
      <c r="A495" s="35"/>
      <c r="B495" s="36" t="str">
        <f aca="false">IF(A495="","",MONTH(A495))</f>
        <v/>
      </c>
      <c r="C495" s="37"/>
      <c r="D495" s="37"/>
      <c r="E495" s="37"/>
      <c r="F495" s="38"/>
      <c r="G495" s="37"/>
      <c r="H495" s="39" t="str">
        <f aca="false">IF(E495="","",E495*N(F495)*IF(G495="",1,G495))</f>
        <v/>
      </c>
      <c r="I495" s="37"/>
      <c r="J495" s="37"/>
      <c r="K495" s="37"/>
    </row>
    <row r="496" customFormat="false" ht="15" hidden="false" customHeight="false" outlineLevel="0" collapsed="false">
      <c r="A496" s="35"/>
      <c r="B496" s="36" t="str">
        <f aca="false">IF(A496="","",MONTH(A496))</f>
        <v/>
      </c>
      <c r="C496" s="37"/>
      <c r="D496" s="37"/>
      <c r="E496" s="37"/>
      <c r="F496" s="38"/>
      <c r="G496" s="37"/>
      <c r="H496" s="39" t="str">
        <f aca="false">IF(E496="","",E496*N(F496)*IF(G496="",1,G496))</f>
        <v/>
      </c>
      <c r="I496" s="37"/>
      <c r="J496" s="37"/>
      <c r="K496" s="37"/>
    </row>
    <row r="497" customFormat="false" ht="15" hidden="false" customHeight="false" outlineLevel="0" collapsed="false">
      <c r="A497" s="35"/>
      <c r="B497" s="36" t="str">
        <f aca="false">IF(A497="","",MONTH(A497))</f>
        <v/>
      </c>
      <c r="C497" s="37"/>
      <c r="D497" s="37"/>
      <c r="E497" s="37"/>
      <c r="F497" s="38"/>
      <c r="G497" s="37"/>
      <c r="H497" s="39" t="str">
        <f aca="false">IF(E497="","",E497*N(F497)*IF(G497="",1,G497))</f>
        <v/>
      </c>
      <c r="I497" s="37"/>
      <c r="J497" s="37"/>
      <c r="K497" s="37"/>
    </row>
    <row r="498" customFormat="false" ht="15" hidden="false" customHeight="false" outlineLevel="0" collapsed="false">
      <c r="A498" s="35"/>
      <c r="B498" s="36" t="str">
        <f aca="false">IF(A498="","",MONTH(A498))</f>
        <v/>
      </c>
      <c r="C498" s="37"/>
      <c r="D498" s="37"/>
      <c r="E498" s="37"/>
      <c r="F498" s="38"/>
      <c r="G498" s="37"/>
      <c r="H498" s="39" t="str">
        <f aca="false">IF(E498="","",E498*N(F498)*IF(G498="",1,G498))</f>
        <v/>
      </c>
      <c r="I498" s="37"/>
      <c r="J498" s="37"/>
      <c r="K498" s="37"/>
    </row>
    <row r="499" customFormat="false" ht="15" hidden="false" customHeight="false" outlineLevel="0" collapsed="false">
      <c r="A499" s="35"/>
      <c r="B499" s="36" t="str">
        <f aca="false">IF(A499="","",MONTH(A499))</f>
        <v/>
      </c>
      <c r="C499" s="37"/>
      <c r="D499" s="37"/>
      <c r="E499" s="37"/>
      <c r="F499" s="38"/>
      <c r="G499" s="37"/>
      <c r="H499" s="39" t="str">
        <f aca="false">IF(E499="","",E499*N(F499)*IF(G499="",1,G499))</f>
        <v/>
      </c>
      <c r="I499" s="37"/>
      <c r="J499" s="37"/>
      <c r="K499" s="37"/>
    </row>
    <row r="500" customFormat="false" ht="15" hidden="false" customHeight="false" outlineLevel="0" collapsed="false">
      <c r="A500" s="35"/>
      <c r="B500" s="36" t="str">
        <f aca="false">IF(A500="","",MONTH(A500))</f>
        <v/>
      </c>
      <c r="C500" s="37"/>
      <c r="D500" s="37"/>
      <c r="E500" s="37"/>
      <c r="F500" s="38"/>
      <c r="G500" s="37"/>
      <c r="H500" s="39" t="str">
        <f aca="false">IF(E500="","",E500*N(F500)*IF(G500="",1,G500))</f>
        <v/>
      </c>
      <c r="I500" s="37"/>
      <c r="J500" s="37"/>
      <c r="K500" s="37"/>
    </row>
    <row r="501" customFormat="false" ht="15" hidden="false" customHeight="false" outlineLevel="0" collapsed="false">
      <c r="A501" s="35"/>
      <c r="B501" s="36" t="str">
        <f aca="false">IF(A501="","",MONTH(A501))</f>
        <v/>
      </c>
      <c r="C501" s="37"/>
      <c r="D501" s="37"/>
      <c r="E501" s="37"/>
      <c r="F501" s="38"/>
      <c r="G501" s="37"/>
      <c r="H501" s="39" t="str">
        <f aca="false">IF(E501="","",E501*N(F501)*IF(G501="",1,G501))</f>
        <v/>
      </c>
      <c r="I501" s="37"/>
      <c r="J501" s="37"/>
      <c r="K501" s="37"/>
    </row>
    <row r="502" customFormat="false" ht="15" hidden="false" customHeight="false" outlineLevel="0" collapsed="false">
      <c r="A502" s="35"/>
      <c r="B502" s="36" t="str">
        <f aca="false">IF(A502="","",MONTH(A502))</f>
        <v/>
      </c>
      <c r="C502" s="37"/>
      <c r="D502" s="37"/>
      <c r="E502" s="37"/>
      <c r="F502" s="38"/>
      <c r="G502" s="37"/>
      <c r="H502" s="39" t="str">
        <f aca="false">IF(E502="","",E502*N(F502)*IF(G502="",1,G502))</f>
        <v/>
      </c>
      <c r="I502" s="37"/>
      <c r="J502" s="37"/>
      <c r="K502" s="37"/>
    </row>
    <row r="503" customFormat="false" ht="15" hidden="false" customHeight="false" outlineLevel="0" collapsed="false">
      <c r="A503" s="35"/>
      <c r="B503" s="36" t="str">
        <f aca="false">IF(A503="","",MONTH(A503))</f>
        <v/>
      </c>
      <c r="C503" s="37"/>
      <c r="D503" s="37"/>
      <c r="E503" s="37"/>
      <c r="F503" s="38"/>
      <c r="G503" s="37"/>
      <c r="H503" s="39" t="str">
        <f aca="false">IF(E503="","",E503*N(F503)*IF(G503="",1,G503))</f>
        <v/>
      </c>
      <c r="I503" s="37"/>
      <c r="J503" s="37"/>
      <c r="K503" s="37"/>
    </row>
    <row r="504" customFormat="false" ht="15" hidden="false" customHeight="false" outlineLevel="0" collapsed="false">
      <c r="A504" s="35"/>
      <c r="B504" s="36" t="str">
        <f aca="false">IF(A504="","",MONTH(A504))</f>
        <v/>
      </c>
      <c r="C504" s="37"/>
      <c r="D504" s="37"/>
      <c r="E504" s="37"/>
      <c r="F504" s="38"/>
      <c r="G504" s="37"/>
      <c r="H504" s="39" t="str">
        <f aca="false">IF(E504="","",E504*N(F504)*IF(G504="",1,G504))</f>
        <v/>
      </c>
      <c r="I504" s="37"/>
      <c r="J504" s="37"/>
      <c r="K504" s="37"/>
    </row>
    <row r="505" customFormat="false" ht="15" hidden="false" customHeight="false" outlineLevel="0" collapsed="false">
      <c r="A505" s="35"/>
      <c r="B505" s="36" t="str">
        <f aca="false">IF(A505="","",MONTH(A505))</f>
        <v/>
      </c>
      <c r="C505" s="37"/>
      <c r="D505" s="37"/>
      <c r="E505" s="37"/>
      <c r="F505" s="38"/>
      <c r="G505" s="37"/>
      <c r="H505" s="39" t="str">
        <f aca="false">IF(E505="","",E505*N(F505)*IF(G505="",1,G505))</f>
        <v/>
      </c>
      <c r="I505" s="37"/>
      <c r="J505" s="37"/>
      <c r="K505" s="37"/>
    </row>
    <row r="506" customFormat="false" ht="15" hidden="false" customHeight="false" outlineLevel="0" collapsed="false">
      <c r="A506" s="35"/>
      <c r="B506" s="36" t="str">
        <f aca="false">IF(A506="","",MONTH(A506))</f>
        <v/>
      </c>
      <c r="C506" s="37"/>
      <c r="D506" s="37"/>
      <c r="E506" s="37"/>
      <c r="F506" s="38"/>
      <c r="G506" s="37"/>
      <c r="H506" s="39" t="str">
        <f aca="false">IF(E506="","",E506*N(F506)*IF(G506="",1,G506))</f>
        <v/>
      </c>
      <c r="I506" s="37"/>
      <c r="J506" s="37"/>
      <c r="K506" s="37"/>
    </row>
    <row r="507" customFormat="false" ht="15" hidden="false" customHeight="false" outlineLevel="0" collapsed="false">
      <c r="A507" s="35"/>
      <c r="B507" s="36" t="str">
        <f aca="false">IF(A507="","",MONTH(A507))</f>
        <v/>
      </c>
      <c r="C507" s="37"/>
      <c r="D507" s="37"/>
      <c r="E507" s="37"/>
      <c r="F507" s="38"/>
      <c r="G507" s="37"/>
      <c r="H507" s="39" t="str">
        <f aca="false">IF(E507="","",E507*N(F507)*IF(G507="",1,G507))</f>
        <v/>
      </c>
      <c r="I507" s="37"/>
      <c r="J507" s="37"/>
      <c r="K507" s="37"/>
    </row>
    <row r="508" customFormat="false" ht="15" hidden="false" customHeight="false" outlineLevel="0" collapsed="false">
      <c r="A508" s="35"/>
      <c r="B508" s="36" t="str">
        <f aca="false">IF(A508="","",MONTH(A508))</f>
        <v/>
      </c>
      <c r="C508" s="37"/>
      <c r="D508" s="37"/>
      <c r="E508" s="37"/>
      <c r="F508" s="38"/>
      <c r="G508" s="37"/>
      <c r="H508" s="39" t="str">
        <f aca="false">IF(E508="","",E508*N(F508)*IF(G508="",1,G508))</f>
        <v/>
      </c>
      <c r="I508" s="37"/>
      <c r="J508" s="37"/>
      <c r="K508" s="37"/>
    </row>
    <row r="509" customFormat="false" ht="15" hidden="false" customHeight="false" outlineLevel="0" collapsed="false">
      <c r="A509" s="35"/>
      <c r="B509" s="36" t="str">
        <f aca="false">IF(A509="","",MONTH(A509))</f>
        <v/>
      </c>
      <c r="C509" s="37"/>
      <c r="D509" s="37"/>
      <c r="E509" s="37"/>
      <c r="F509" s="38"/>
      <c r="G509" s="37"/>
      <c r="H509" s="39" t="str">
        <f aca="false">IF(E509="","",E509*N(F509)*IF(G509="",1,G509))</f>
        <v/>
      </c>
      <c r="I509" s="37"/>
      <c r="J509" s="37"/>
      <c r="K509" s="37"/>
    </row>
    <row r="510" customFormat="false" ht="15" hidden="false" customHeight="false" outlineLevel="0" collapsed="false">
      <c r="A510" s="35"/>
      <c r="B510" s="36" t="str">
        <f aca="false">IF(A510="","",MONTH(A510))</f>
        <v/>
      </c>
      <c r="C510" s="37"/>
      <c r="D510" s="37"/>
      <c r="E510" s="37"/>
      <c r="F510" s="38"/>
      <c r="G510" s="37"/>
      <c r="H510" s="39" t="str">
        <f aca="false">IF(E510="","",E510*N(F510)*IF(G510="",1,G510))</f>
        <v/>
      </c>
      <c r="I510" s="37"/>
      <c r="J510" s="37"/>
      <c r="K510" s="37"/>
    </row>
    <row r="511" customFormat="false" ht="15" hidden="false" customHeight="false" outlineLevel="0" collapsed="false">
      <c r="A511" s="35"/>
      <c r="B511" s="36" t="str">
        <f aca="false">IF(A511="","",MONTH(A511))</f>
        <v/>
      </c>
      <c r="C511" s="37"/>
      <c r="D511" s="37"/>
      <c r="E511" s="37"/>
      <c r="F511" s="38"/>
      <c r="G511" s="37"/>
      <c r="H511" s="39" t="str">
        <f aca="false">IF(E511="","",E511*N(F511)*IF(G511="",1,G511))</f>
        <v/>
      </c>
      <c r="I511" s="37"/>
      <c r="J511" s="37"/>
      <c r="K511" s="37"/>
    </row>
    <row r="512" customFormat="false" ht="15" hidden="false" customHeight="false" outlineLevel="0" collapsed="false">
      <c r="A512" s="35"/>
      <c r="B512" s="36" t="str">
        <f aca="false">IF(A512="","",MONTH(A512))</f>
        <v/>
      </c>
      <c r="C512" s="37"/>
      <c r="D512" s="37"/>
      <c r="E512" s="37"/>
      <c r="F512" s="38"/>
      <c r="G512" s="37"/>
      <c r="H512" s="39" t="str">
        <f aca="false">IF(E512="","",E512*N(F512)*IF(G512="",1,G512))</f>
        <v/>
      </c>
      <c r="I512" s="37"/>
      <c r="J512" s="37"/>
      <c r="K512" s="37"/>
    </row>
    <row r="513" customFormat="false" ht="15" hidden="false" customHeight="false" outlineLevel="0" collapsed="false">
      <c r="A513" s="35"/>
      <c r="B513" s="36" t="str">
        <f aca="false">IF(A513="","",MONTH(A513))</f>
        <v/>
      </c>
      <c r="C513" s="37"/>
      <c r="D513" s="37"/>
      <c r="E513" s="37"/>
      <c r="F513" s="38"/>
      <c r="G513" s="37"/>
      <c r="H513" s="39" t="str">
        <f aca="false">IF(E513="","",E513*N(F513)*IF(G513="",1,G513))</f>
        <v/>
      </c>
      <c r="I513" s="37"/>
      <c r="J513" s="37"/>
      <c r="K513" s="37"/>
    </row>
    <row r="514" customFormat="false" ht="15" hidden="false" customHeight="false" outlineLevel="0" collapsed="false">
      <c r="A514" s="35"/>
      <c r="B514" s="36" t="str">
        <f aca="false">IF(A514="","",MONTH(A514))</f>
        <v/>
      </c>
      <c r="C514" s="37"/>
      <c r="D514" s="37"/>
      <c r="E514" s="37"/>
      <c r="F514" s="38"/>
      <c r="G514" s="37"/>
      <c r="H514" s="39" t="str">
        <f aca="false">IF(E514="","",E514*N(F514)*IF(G514="",1,G514))</f>
        <v/>
      </c>
      <c r="I514" s="37"/>
      <c r="J514" s="37"/>
      <c r="K514" s="37"/>
    </row>
    <row r="515" customFormat="false" ht="15" hidden="false" customHeight="false" outlineLevel="0" collapsed="false">
      <c r="A515" s="35"/>
      <c r="B515" s="36" t="str">
        <f aca="false">IF(A515="","",MONTH(A515))</f>
        <v/>
      </c>
      <c r="C515" s="37"/>
      <c r="D515" s="37"/>
      <c r="E515" s="37"/>
      <c r="F515" s="38"/>
      <c r="G515" s="37"/>
      <c r="H515" s="39" t="str">
        <f aca="false">IF(E515="","",E515*N(F515)*IF(G515="",1,G515))</f>
        <v/>
      </c>
      <c r="I515" s="37"/>
      <c r="J515" s="37"/>
      <c r="K515" s="37"/>
    </row>
    <row r="516" customFormat="false" ht="15" hidden="false" customHeight="false" outlineLevel="0" collapsed="false">
      <c r="A516" s="35"/>
      <c r="B516" s="36" t="str">
        <f aca="false">IF(A516="","",MONTH(A516))</f>
        <v/>
      </c>
      <c r="C516" s="37"/>
      <c r="D516" s="37"/>
      <c r="E516" s="37"/>
      <c r="F516" s="38"/>
      <c r="G516" s="37"/>
      <c r="H516" s="39" t="str">
        <f aca="false">IF(E516="","",E516*N(F516)*IF(G516="",1,G516))</f>
        <v/>
      </c>
      <c r="I516" s="37"/>
      <c r="J516" s="37"/>
      <c r="K516" s="37"/>
    </row>
    <row r="517" customFormat="false" ht="15" hidden="false" customHeight="false" outlineLevel="0" collapsed="false">
      <c r="A517" s="35"/>
      <c r="B517" s="36" t="str">
        <f aca="false">IF(A517="","",MONTH(A517))</f>
        <v/>
      </c>
      <c r="C517" s="37"/>
      <c r="D517" s="37"/>
      <c r="E517" s="37"/>
      <c r="F517" s="38"/>
      <c r="G517" s="37"/>
      <c r="H517" s="39" t="str">
        <f aca="false">IF(E517="","",E517*N(F517)*IF(G517="",1,G517))</f>
        <v/>
      </c>
      <c r="I517" s="37"/>
      <c r="J517" s="37"/>
      <c r="K517" s="37"/>
    </row>
    <row r="518" customFormat="false" ht="15" hidden="false" customHeight="false" outlineLevel="0" collapsed="false">
      <c r="A518" s="35"/>
      <c r="B518" s="36" t="str">
        <f aca="false">IF(A518="","",MONTH(A518))</f>
        <v/>
      </c>
      <c r="C518" s="37"/>
      <c r="D518" s="37"/>
      <c r="E518" s="37"/>
      <c r="F518" s="38"/>
      <c r="G518" s="37"/>
      <c r="H518" s="39" t="str">
        <f aca="false">IF(E518="","",E518*N(F518)*IF(G518="",1,G518))</f>
        <v/>
      </c>
      <c r="I518" s="37"/>
      <c r="J518" s="37"/>
      <c r="K518" s="37"/>
    </row>
    <row r="519" customFormat="false" ht="15" hidden="false" customHeight="false" outlineLevel="0" collapsed="false">
      <c r="A519" s="35"/>
      <c r="B519" s="36" t="str">
        <f aca="false">IF(A519="","",MONTH(A519))</f>
        <v/>
      </c>
      <c r="C519" s="37"/>
      <c r="D519" s="37"/>
      <c r="E519" s="37"/>
      <c r="F519" s="38"/>
      <c r="G519" s="37"/>
      <c r="H519" s="39" t="str">
        <f aca="false">IF(E519="","",E519*N(F519)*IF(G519="",1,G519))</f>
        <v/>
      </c>
      <c r="I519" s="37"/>
      <c r="J519" s="37"/>
      <c r="K519" s="37"/>
    </row>
    <row r="520" customFormat="false" ht="15" hidden="false" customHeight="false" outlineLevel="0" collapsed="false">
      <c r="A520" s="35"/>
      <c r="B520" s="36" t="str">
        <f aca="false">IF(A520="","",MONTH(A520))</f>
        <v/>
      </c>
      <c r="C520" s="37"/>
      <c r="D520" s="37"/>
      <c r="E520" s="37"/>
      <c r="F520" s="38"/>
      <c r="G520" s="37"/>
      <c r="H520" s="39" t="str">
        <f aca="false">IF(E520="","",E520*N(F520)*IF(G520="",1,G520))</f>
        <v/>
      </c>
      <c r="I520" s="37"/>
      <c r="J520" s="37"/>
      <c r="K520" s="37"/>
    </row>
    <row r="521" customFormat="false" ht="15" hidden="false" customHeight="false" outlineLevel="0" collapsed="false">
      <c r="A521" s="35"/>
      <c r="B521" s="36" t="str">
        <f aca="false">IF(A521="","",MONTH(A521))</f>
        <v/>
      </c>
      <c r="C521" s="37"/>
      <c r="D521" s="37"/>
      <c r="E521" s="37"/>
      <c r="F521" s="38"/>
      <c r="G521" s="37"/>
      <c r="H521" s="39" t="str">
        <f aca="false">IF(E521="","",E521*N(F521)*IF(G521="",1,G521))</f>
        <v/>
      </c>
      <c r="I521" s="37"/>
      <c r="J521" s="37"/>
      <c r="K521" s="37"/>
    </row>
    <row r="522" customFormat="false" ht="15" hidden="false" customHeight="false" outlineLevel="0" collapsed="false">
      <c r="A522" s="35"/>
      <c r="B522" s="36" t="str">
        <f aca="false">IF(A522="","",MONTH(A522))</f>
        <v/>
      </c>
      <c r="C522" s="37"/>
      <c r="D522" s="37"/>
      <c r="E522" s="37"/>
      <c r="F522" s="38"/>
      <c r="G522" s="37"/>
      <c r="H522" s="39" t="str">
        <f aca="false">IF(E522="","",E522*N(F522)*IF(G522="",1,G522))</f>
        <v/>
      </c>
      <c r="I522" s="37"/>
      <c r="J522" s="37"/>
      <c r="K522" s="37"/>
    </row>
    <row r="523" customFormat="false" ht="15" hidden="false" customHeight="false" outlineLevel="0" collapsed="false">
      <c r="A523" s="35"/>
      <c r="B523" s="36" t="str">
        <f aca="false">IF(A523="","",MONTH(A523))</f>
        <v/>
      </c>
      <c r="C523" s="37"/>
      <c r="D523" s="37"/>
      <c r="E523" s="37"/>
      <c r="F523" s="38"/>
      <c r="G523" s="37"/>
      <c r="H523" s="39" t="str">
        <f aca="false">IF(E523="","",E523*N(F523)*IF(G523="",1,G523))</f>
        <v/>
      </c>
      <c r="I523" s="37"/>
      <c r="J523" s="37"/>
      <c r="K523" s="37"/>
    </row>
    <row r="524" customFormat="false" ht="15" hidden="false" customHeight="false" outlineLevel="0" collapsed="false">
      <c r="A524" s="35"/>
      <c r="B524" s="36" t="str">
        <f aca="false">IF(A524="","",MONTH(A524))</f>
        <v/>
      </c>
      <c r="C524" s="37"/>
      <c r="D524" s="37"/>
      <c r="E524" s="37"/>
      <c r="F524" s="38"/>
      <c r="G524" s="37"/>
      <c r="H524" s="39" t="str">
        <f aca="false">IF(E524="","",E524*N(F524)*IF(G524="",1,G524))</f>
        <v/>
      </c>
      <c r="I524" s="37"/>
      <c r="J524" s="37"/>
      <c r="K524" s="37"/>
    </row>
    <row r="525" customFormat="false" ht="15" hidden="false" customHeight="false" outlineLevel="0" collapsed="false">
      <c r="A525" s="35"/>
      <c r="B525" s="36" t="str">
        <f aca="false">IF(A525="","",MONTH(A525))</f>
        <v/>
      </c>
      <c r="C525" s="37"/>
      <c r="D525" s="37"/>
      <c r="E525" s="37"/>
      <c r="F525" s="38"/>
      <c r="G525" s="37"/>
      <c r="H525" s="39" t="str">
        <f aca="false">IF(E525="","",E525*N(F525)*IF(G525="",1,G525))</f>
        <v/>
      </c>
      <c r="I525" s="37"/>
      <c r="J525" s="37"/>
      <c r="K525" s="37"/>
    </row>
    <row r="526" customFormat="false" ht="15" hidden="false" customHeight="false" outlineLevel="0" collapsed="false">
      <c r="A526" s="35"/>
      <c r="B526" s="36" t="str">
        <f aca="false">IF(A526="","",MONTH(A526))</f>
        <v/>
      </c>
      <c r="C526" s="37"/>
      <c r="D526" s="37"/>
      <c r="E526" s="37"/>
      <c r="F526" s="38"/>
      <c r="G526" s="37"/>
      <c r="H526" s="39" t="str">
        <f aca="false">IF(E526="","",E526*N(F526)*IF(G526="",1,G526))</f>
        <v/>
      </c>
      <c r="I526" s="37"/>
      <c r="J526" s="37"/>
      <c r="K526" s="37"/>
    </row>
    <row r="527" customFormat="false" ht="15" hidden="false" customHeight="false" outlineLevel="0" collapsed="false">
      <c r="A527" s="35"/>
      <c r="B527" s="36" t="str">
        <f aca="false">IF(A527="","",MONTH(A527))</f>
        <v/>
      </c>
      <c r="C527" s="37"/>
      <c r="D527" s="37"/>
      <c r="E527" s="37"/>
      <c r="F527" s="38"/>
      <c r="G527" s="37"/>
      <c r="H527" s="39" t="str">
        <f aca="false">IF(E527="","",E527*N(F527)*IF(G527="",1,G527))</f>
        <v/>
      </c>
      <c r="I527" s="37"/>
      <c r="J527" s="37"/>
      <c r="K527" s="37"/>
    </row>
    <row r="528" customFormat="false" ht="15" hidden="false" customHeight="false" outlineLevel="0" collapsed="false">
      <c r="A528" s="35"/>
      <c r="B528" s="36" t="str">
        <f aca="false">IF(A528="","",MONTH(A528))</f>
        <v/>
      </c>
      <c r="C528" s="37"/>
      <c r="D528" s="37"/>
      <c r="E528" s="37"/>
      <c r="F528" s="38"/>
      <c r="G528" s="37"/>
      <c r="H528" s="39" t="str">
        <f aca="false">IF(E528="","",E528*N(F528)*IF(G528="",1,G528))</f>
        <v/>
      </c>
      <c r="I528" s="37"/>
      <c r="J528" s="37"/>
      <c r="K528" s="37"/>
    </row>
    <row r="529" customFormat="false" ht="15" hidden="false" customHeight="false" outlineLevel="0" collapsed="false">
      <c r="A529" s="35"/>
      <c r="B529" s="36" t="str">
        <f aca="false">IF(A529="","",MONTH(A529))</f>
        <v/>
      </c>
      <c r="C529" s="37"/>
      <c r="D529" s="37"/>
      <c r="E529" s="37"/>
      <c r="F529" s="38"/>
      <c r="G529" s="37"/>
      <c r="H529" s="39" t="str">
        <f aca="false">IF(E529="","",E529*N(F529)*IF(G529="",1,G529))</f>
        <v/>
      </c>
      <c r="I529" s="37"/>
      <c r="J529" s="37"/>
      <c r="K529" s="37"/>
    </row>
    <row r="530" customFormat="false" ht="15" hidden="false" customHeight="false" outlineLevel="0" collapsed="false">
      <c r="A530" s="35"/>
      <c r="B530" s="36" t="str">
        <f aca="false">IF(A530="","",MONTH(A530))</f>
        <v/>
      </c>
      <c r="C530" s="37"/>
      <c r="D530" s="37"/>
      <c r="E530" s="37"/>
      <c r="F530" s="38"/>
      <c r="G530" s="37"/>
      <c r="H530" s="39" t="str">
        <f aca="false">IF(E530="","",E530*N(F530)*IF(G530="",1,G530))</f>
        <v/>
      </c>
      <c r="I530" s="37"/>
      <c r="J530" s="37"/>
      <c r="K530" s="37"/>
    </row>
    <row r="531" customFormat="false" ht="15" hidden="false" customHeight="false" outlineLevel="0" collapsed="false">
      <c r="A531" s="35"/>
      <c r="B531" s="36" t="str">
        <f aca="false">IF(A531="","",MONTH(A531))</f>
        <v/>
      </c>
      <c r="C531" s="37"/>
      <c r="D531" s="37"/>
      <c r="E531" s="37"/>
      <c r="F531" s="38"/>
      <c r="G531" s="37"/>
      <c r="H531" s="39" t="str">
        <f aca="false">IF(E531="","",E531*N(F531)*IF(G531="",1,G531))</f>
        <v/>
      </c>
      <c r="I531" s="37"/>
      <c r="J531" s="37"/>
      <c r="K531" s="37"/>
    </row>
    <row r="532" customFormat="false" ht="15" hidden="false" customHeight="false" outlineLevel="0" collapsed="false">
      <c r="A532" s="35"/>
      <c r="B532" s="36" t="str">
        <f aca="false">IF(A532="","",MONTH(A532))</f>
        <v/>
      </c>
      <c r="C532" s="37"/>
      <c r="D532" s="37"/>
      <c r="E532" s="37"/>
      <c r="F532" s="38"/>
      <c r="G532" s="37"/>
      <c r="H532" s="39" t="str">
        <f aca="false">IF(E532="","",E532*N(F532)*IF(G532="",1,G532))</f>
        <v/>
      </c>
      <c r="I532" s="37"/>
      <c r="J532" s="37"/>
      <c r="K532" s="37"/>
    </row>
    <row r="533" customFormat="false" ht="15" hidden="false" customHeight="false" outlineLevel="0" collapsed="false">
      <c r="A533" s="35"/>
      <c r="B533" s="36" t="str">
        <f aca="false">IF(A533="","",MONTH(A533))</f>
        <v/>
      </c>
      <c r="C533" s="37"/>
      <c r="D533" s="37"/>
      <c r="E533" s="37"/>
      <c r="F533" s="38"/>
      <c r="G533" s="37"/>
      <c r="H533" s="39" t="str">
        <f aca="false">IF(E533="","",E533*N(F533)*IF(G533="",1,G533))</f>
        <v/>
      </c>
      <c r="I533" s="37"/>
      <c r="J533" s="37"/>
      <c r="K533" s="37"/>
    </row>
    <row r="534" customFormat="false" ht="15" hidden="false" customHeight="false" outlineLevel="0" collapsed="false">
      <c r="A534" s="35"/>
      <c r="B534" s="36" t="str">
        <f aca="false">IF(A534="","",MONTH(A534))</f>
        <v/>
      </c>
      <c r="C534" s="37"/>
      <c r="D534" s="37"/>
      <c r="E534" s="37"/>
      <c r="F534" s="38"/>
      <c r="G534" s="37"/>
      <c r="H534" s="39" t="str">
        <f aca="false">IF(E534="","",E534*N(F534)*IF(G534="",1,G534))</f>
        <v/>
      </c>
      <c r="I534" s="37"/>
      <c r="J534" s="37"/>
      <c r="K534" s="37"/>
    </row>
    <row r="535" customFormat="false" ht="15" hidden="false" customHeight="false" outlineLevel="0" collapsed="false">
      <c r="A535" s="35"/>
      <c r="B535" s="36" t="str">
        <f aca="false">IF(A535="","",MONTH(A535))</f>
        <v/>
      </c>
      <c r="C535" s="37"/>
      <c r="D535" s="37"/>
      <c r="E535" s="37"/>
      <c r="F535" s="38"/>
      <c r="G535" s="37"/>
      <c r="H535" s="39" t="str">
        <f aca="false">IF(E535="","",E535*N(F535)*IF(G535="",1,G535))</f>
        <v/>
      </c>
      <c r="I535" s="37"/>
      <c r="J535" s="37"/>
      <c r="K535" s="37"/>
    </row>
    <row r="536" customFormat="false" ht="15" hidden="false" customHeight="false" outlineLevel="0" collapsed="false">
      <c r="A536" s="35"/>
      <c r="B536" s="36" t="str">
        <f aca="false">IF(A536="","",MONTH(A536))</f>
        <v/>
      </c>
      <c r="C536" s="37"/>
      <c r="D536" s="37"/>
      <c r="E536" s="37"/>
      <c r="F536" s="38"/>
      <c r="G536" s="37"/>
      <c r="H536" s="39" t="str">
        <f aca="false">IF(E536="","",E536*N(F536)*IF(G536="",1,G536))</f>
        <v/>
      </c>
      <c r="I536" s="37"/>
      <c r="J536" s="37"/>
      <c r="K536" s="37"/>
    </row>
    <row r="537" customFormat="false" ht="15" hidden="false" customHeight="false" outlineLevel="0" collapsed="false">
      <c r="A537" s="35"/>
      <c r="B537" s="36" t="str">
        <f aca="false">IF(A537="","",MONTH(A537))</f>
        <v/>
      </c>
      <c r="C537" s="37"/>
      <c r="D537" s="37"/>
      <c r="E537" s="37"/>
      <c r="F537" s="38"/>
      <c r="G537" s="37"/>
      <c r="H537" s="39" t="str">
        <f aca="false">IF(E537="","",E537*N(F537)*IF(G537="",1,G537))</f>
        <v/>
      </c>
      <c r="I537" s="37"/>
      <c r="J537" s="37"/>
      <c r="K537" s="37"/>
    </row>
    <row r="538" customFormat="false" ht="15" hidden="false" customHeight="false" outlineLevel="0" collapsed="false">
      <c r="A538" s="35"/>
      <c r="B538" s="36" t="str">
        <f aca="false">IF(A538="","",MONTH(A538))</f>
        <v/>
      </c>
      <c r="C538" s="37"/>
      <c r="D538" s="37"/>
      <c r="E538" s="37"/>
      <c r="F538" s="38"/>
      <c r="G538" s="37"/>
      <c r="H538" s="39" t="str">
        <f aca="false">IF(E538="","",E538*N(F538)*IF(G538="",1,G538))</f>
        <v/>
      </c>
      <c r="I538" s="37"/>
      <c r="J538" s="37"/>
      <c r="K538" s="37"/>
    </row>
    <row r="539" customFormat="false" ht="15" hidden="false" customHeight="false" outlineLevel="0" collapsed="false">
      <c r="A539" s="35"/>
      <c r="B539" s="36" t="str">
        <f aca="false">IF(A539="","",MONTH(A539))</f>
        <v/>
      </c>
      <c r="C539" s="37"/>
      <c r="D539" s="37"/>
      <c r="E539" s="37"/>
      <c r="F539" s="38"/>
      <c r="G539" s="37"/>
      <c r="H539" s="39" t="str">
        <f aca="false">IF(E539="","",E539*N(F539)*IF(G539="",1,G539))</f>
        <v/>
      </c>
      <c r="I539" s="37"/>
      <c r="J539" s="37"/>
      <c r="K539" s="37"/>
    </row>
    <row r="540" customFormat="false" ht="15" hidden="false" customHeight="false" outlineLevel="0" collapsed="false">
      <c r="A540" s="35"/>
      <c r="B540" s="36" t="str">
        <f aca="false">IF(A540="","",MONTH(A540))</f>
        <v/>
      </c>
      <c r="C540" s="37"/>
      <c r="D540" s="37"/>
      <c r="E540" s="37"/>
      <c r="F540" s="38"/>
      <c r="G540" s="37"/>
      <c r="H540" s="39" t="str">
        <f aca="false">IF(E540="","",E540*N(F540)*IF(G540="",1,G540))</f>
        <v/>
      </c>
      <c r="I540" s="37"/>
      <c r="J540" s="37"/>
      <c r="K540" s="37"/>
    </row>
    <row r="541" customFormat="false" ht="15" hidden="false" customHeight="false" outlineLevel="0" collapsed="false">
      <c r="A541" s="35"/>
      <c r="B541" s="36" t="str">
        <f aca="false">IF(A541="","",MONTH(A541))</f>
        <v/>
      </c>
      <c r="C541" s="37"/>
      <c r="D541" s="37"/>
      <c r="E541" s="37"/>
      <c r="F541" s="38"/>
      <c r="G541" s="37"/>
      <c r="H541" s="39" t="str">
        <f aca="false">IF(E541="","",E541*N(F541)*IF(G541="",1,G541))</f>
        <v/>
      </c>
      <c r="I541" s="37"/>
      <c r="J541" s="37"/>
      <c r="K541" s="37"/>
    </row>
    <row r="542" customFormat="false" ht="15" hidden="false" customHeight="false" outlineLevel="0" collapsed="false">
      <c r="A542" s="35"/>
      <c r="B542" s="36" t="str">
        <f aca="false">IF(A542="","",MONTH(A542))</f>
        <v/>
      </c>
      <c r="C542" s="37"/>
      <c r="D542" s="37"/>
      <c r="E542" s="37"/>
      <c r="F542" s="38"/>
      <c r="G542" s="37"/>
      <c r="H542" s="39" t="str">
        <f aca="false">IF(E542="","",E542*N(F542)*IF(G542="",1,G542))</f>
        <v/>
      </c>
      <c r="I542" s="37"/>
      <c r="J542" s="37"/>
      <c r="K542" s="37"/>
    </row>
    <row r="543" customFormat="false" ht="15" hidden="false" customHeight="false" outlineLevel="0" collapsed="false">
      <c r="A543" s="35"/>
      <c r="B543" s="36" t="str">
        <f aca="false">IF(A543="","",MONTH(A543))</f>
        <v/>
      </c>
      <c r="C543" s="37"/>
      <c r="D543" s="37"/>
      <c r="E543" s="37"/>
      <c r="F543" s="38"/>
      <c r="G543" s="37"/>
      <c r="H543" s="39" t="str">
        <f aca="false">IF(E543="","",E543*N(F543)*IF(G543="",1,G543))</f>
        <v/>
      </c>
      <c r="I543" s="37"/>
      <c r="J543" s="37"/>
      <c r="K543" s="37"/>
    </row>
    <row r="544" customFormat="false" ht="15" hidden="false" customHeight="false" outlineLevel="0" collapsed="false">
      <c r="A544" s="35"/>
      <c r="B544" s="36" t="str">
        <f aca="false">IF(A544="","",MONTH(A544))</f>
        <v/>
      </c>
      <c r="C544" s="37"/>
      <c r="D544" s="37"/>
      <c r="E544" s="37"/>
      <c r="F544" s="38"/>
      <c r="G544" s="37"/>
      <c r="H544" s="39" t="str">
        <f aca="false">IF(E544="","",E544*N(F544)*IF(G544="",1,G544))</f>
        <v/>
      </c>
      <c r="I544" s="37"/>
      <c r="J544" s="37"/>
      <c r="K544" s="37"/>
    </row>
    <row r="545" customFormat="false" ht="15" hidden="false" customHeight="false" outlineLevel="0" collapsed="false">
      <c r="A545" s="35"/>
      <c r="B545" s="36" t="str">
        <f aca="false">IF(A545="","",MONTH(A545))</f>
        <v/>
      </c>
      <c r="C545" s="37"/>
      <c r="D545" s="37"/>
      <c r="E545" s="37"/>
      <c r="F545" s="38"/>
      <c r="G545" s="37"/>
      <c r="H545" s="39" t="str">
        <f aca="false">IF(E545="","",E545*N(F545)*IF(G545="",1,G545))</f>
        <v/>
      </c>
      <c r="I545" s="37"/>
      <c r="J545" s="37"/>
      <c r="K545" s="37"/>
    </row>
    <row r="546" customFormat="false" ht="15" hidden="false" customHeight="false" outlineLevel="0" collapsed="false">
      <c r="A546" s="35"/>
      <c r="B546" s="36" t="str">
        <f aca="false">IF(A546="","",MONTH(A546))</f>
        <v/>
      </c>
      <c r="C546" s="37"/>
      <c r="D546" s="37"/>
      <c r="E546" s="37"/>
      <c r="F546" s="38"/>
      <c r="G546" s="37"/>
      <c r="H546" s="39" t="str">
        <f aca="false">IF(E546="","",E546*N(F546)*IF(G546="",1,G546))</f>
        <v/>
      </c>
      <c r="I546" s="37"/>
      <c r="J546" s="37"/>
      <c r="K546" s="37"/>
    </row>
    <row r="547" customFormat="false" ht="15" hidden="false" customHeight="false" outlineLevel="0" collapsed="false">
      <c r="A547" s="35"/>
      <c r="B547" s="36" t="str">
        <f aca="false">IF(A547="","",MONTH(A547))</f>
        <v/>
      </c>
      <c r="C547" s="37"/>
      <c r="D547" s="37"/>
      <c r="E547" s="37"/>
      <c r="F547" s="38"/>
      <c r="G547" s="37"/>
      <c r="H547" s="39" t="str">
        <f aca="false">IF(E547="","",E547*N(F547)*IF(G547="",1,G547))</f>
        <v/>
      </c>
      <c r="I547" s="37"/>
      <c r="J547" s="37"/>
      <c r="K547" s="37"/>
    </row>
    <row r="548" customFormat="false" ht="15" hidden="false" customHeight="false" outlineLevel="0" collapsed="false">
      <c r="A548" s="35"/>
      <c r="B548" s="36" t="str">
        <f aca="false">IF(A548="","",MONTH(A548))</f>
        <v/>
      </c>
      <c r="C548" s="37"/>
      <c r="D548" s="37"/>
      <c r="E548" s="37"/>
      <c r="F548" s="38"/>
      <c r="G548" s="37"/>
      <c r="H548" s="39" t="str">
        <f aca="false">IF(E548="","",E548*N(F548)*IF(G548="",1,G548))</f>
        <v/>
      </c>
      <c r="I548" s="37"/>
      <c r="J548" s="37"/>
      <c r="K548" s="37"/>
    </row>
    <row r="549" customFormat="false" ht="15" hidden="false" customHeight="false" outlineLevel="0" collapsed="false">
      <c r="A549" s="35"/>
      <c r="B549" s="36" t="str">
        <f aca="false">IF(A549="","",MONTH(A549))</f>
        <v/>
      </c>
      <c r="C549" s="37"/>
      <c r="D549" s="37"/>
      <c r="E549" s="37"/>
      <c r="F549" s="38"/>
      <c r="G549" s="37"/>
      <c r="H549" s="39" t="str">
        <f aca="false">IF(E549="","",E549*N(F549)*IF(G549="",1,G549))</f>
        <v/>
      </c>
      <c r="I549" s="37"/>
      <c r="J549" s="37"/>
      <c r="K549" s="37"/>
    </row>
    <row r="550" customFormat="false" ht="15" hidden="false" customHeight="false" outlineLevel="0" collapsed="false">
      <c r="A550" s="35"/>
      <c r="B550" s="36" t="str">
        <f aca="false">IF(A550="","",MONTH(A550))</f>
        <v/>
      </c>
      <c r="C550" s="37"/>
      <c r="D550" s="37"/>
      <c r="E550" s="37"/>
      <c r="F550" s="38"/>
      <c r="G550" s="37"/>
      <c r="H550" s="39" t="str">
        <f aca="false">IF(E550="","",E550*N(F550)*IF(G550="",1,G550))</f>
        <v/>
      </c>
      <c r="I550" s="37"/>
      <c r="J550" s="37"/>
      <c r="K550" s="37"/>
    </row>
    <row r="551" customFormat="false" ht="15" hidden="false" customHeight="false" outlineLevel="0" collapsed="false">
      <c r="A551" s="35"/>
      <c r="B551" s="36" t="str">
        <f aca="false">IF(A551="","",MONTH(A551))</f>
        <v/>
      </c>
      <c r="C551" s="37"/>
      <c r="D551" s="37"/>
      <c r="E551" s="37"/>
      <c r="F551" s="38"/>
      <c r="G551" s="37"/>
      <c r="H551" s="39" t="str">
        <f aca="false">IF(E551="","",E551*N(F551)*IF(G551="",1,G551))</f>
        <v/>
      </c>
      <c r="I551" s="37"/>
      <c r="J551" s="37"/>
      <c r="K551" s="37"/>
    </row>
    <row r="552" customFormat="false" ht="15" hidden="false" customHeight="false" outlineLevel="0" collapsed="false">
      <c r="A552" s="35"/>
      <c r="B552" s="36" t="str">
        <f aca="false">IF(A552="","",MONTH(A552))</f>
        <v/>
      </c>
      <c r="C552" s="37"/>
      <c r="D552" s="37"/>
      <c r="E552" s="37"/>
      <c r="F552" s="38"/>
      <c r="G552" s="37"/>
      <c r="H552" s="39" t="str">
        <f aca="false">IF(E552="","",E552*N(F552)*IF(G552="",1,G552))</f>
        <v/>
      </c>
      <c r="I552" s="37"/>
      <c r="J552" s="37"/>
      <c r="K552" s="37"/>
    </row>
    <row r="553" customFormat="false" ht="15" hidden="false" customHeight="false" outlineLevel="0" collapsed="false">
      <c r="A553" s="35"/>
      <c r="B553" s="36" t="str">
        <f aca="false">IF(A553="","",MONTH(A553))</f>
        <v/>
      </c>
      <c r="C553" s="37"/>
      <c r="D553" s="37"/>
      <c r="E553" s="37"/>
      <c r="F553" s="38"/>
      <c r="G553" s="37"/>
      <c r="H553" s="39" t="str">
        <f aca="false">IF(E553="","",E553*N(F553)*IF(G553="",1,G553))</f>
        <v/>
      </c>
      <c r="I553" s="37"/>
      <c r="J553" s="37"/>
      <c r="K553" s="37"/>
    </row>
    <row r="554" customFormat="false" ht="15" hidden="false" customHeight="false" outlineLevel="0" collapsed="false">
      <c r="A554" s="35"/>
      <c r="B554" s="36" t="str">
        <f aca="false">IF(A554="","",MONTH(A554))</f>
        <v/>
      </c>
      <c r="C554" s="37"/>
      <c r="D554" s="37"/>
      <c r="E554" s="37"/>
      <c r="F554" s="38"/>
      <c r="G554" s="37"/>
      <c r="H554" s="39" t="str">
        <f aca="false">IF(E554="","",E554*N(F554)*IF(G554="",1,G554))</f>
        <v/>
      </c>
      <c r="I554" s="37"/>
      <c r="J554" s="37"/>
      <c r="K554" s="37"/>
    </row>
    <row r="555" customFormat="false" ht="15" hidden="false" customHeight="false" outlineLevel="0" collapsed="false">
      <c r="A555" s="35"/>
      <c r="B555" s="36" t="str">
        <f aca="false">IF(A555="","",MONTH(A555))</f>
        <v/>
      </c>
      <c r="C555" s="37"/>
      <c r="D555" s="37"/>
      <c r="E555" s="37"/>
      <c r="F555" s="38"/>
      <c r="G555" s="37"/>
      <c r="H555" s="39" t="str">
        <f aca="false">IF(E555="","",E555*N(F555)*IF(G555="",1,G555))</f>
        <v/>
      </c>
      <c r="I555" s="37"/>
      <c r="J555" s="37"/>
      <c r="K555" s="37"/>
    </row>
    <row r="556" customFormat="false" ht="15" hidden="false" customHeight="false" outlineLevel="0" collapsed="false">
      <c r="A556" s="35"/>
      <c r="B556" s="36" t="str">
        <f aca="false">IF(A556="","",MONTH(A556))</f>
        <v/>
      </c>
      <c r="C556" s="37"/>
      <c r="D556" s="37"/>
      <c r="E556" s="37"/>
      <c r="F556" s="38"/>
      <c r="G556" s="37"/>
      <c r="H556" s="39" t="str">
        <f aca="false">IF(E556="","",E556*N(F556)*IF(G556="",1,G556))</f>
        <v/>
      </c>
      <c r="I556" s="37"/>
      <c r="J556" s="37"/>
      <c r="K556" s="37"/>
    </row>
    <row r="557" customFormat="false" ht="15" hidden="false" customHeight="false" outlineLevel="0" collapsed="false">
      <c r="A557" s="35"/>
      <c r="B557" s="36" t="str">
        <f aca="false">IF(A557="","",MONTH(A557))</f>
        <v/>
      </c>
      <c r="C557" s="37"/>
      <c r="D557" s="37"/>
      <c r="E557" s="37"/>
      <c r="F557" s="38"/>
      <c r="G557" s="37"/>
      <c r="H557" s="39" t="str">
        <f aca="false">IF(E557="","",E557*N(F557)*IF(G557="",1,G557))</f>
        <v/>
      </c>
      <c r="I557" s="37"/>
      <c r="J557" s="37"/>
      <c r="K557" s="37"/>
    </row>
    <row r="558" customFormat="false" ht="15" hidden="false" customHeight="false" outlineLevel="0" collapsed="false">
      <c r="A558" s="35"/>
      <c r="B558" s="36" t="str">
        <f aca="false">IF(A558="","",MONTH(A558))</f>
        <v/>
      </c>
      <c r="C558" s="37"/>
      <c r="D558" s="37"/>
      <c r="E558" s="37"/>
      <c r="F558" s="38"/>
      <c r="G558" s="37"/>
      <c r="H558" s="39" t="str">
        <f aca="false">IF(E558="","",E558*N(F558)*IF(G558="",1,G558))</f>
        <v/>
      </c>
      <c r="I558" s="37"/>
      <c r="J558" s="37"/>
      <c r="K558" s="37"/>
    </row>
    <row r="559" customFormat="false" ht="15" hidden="false" customHeight="false" outlineLevel="0" collapsed="false">
      <c r="A559" s="35"/>
      <c r="B559" s="36" t="str">
        <f aca="false">IF(A559="","",MONTH(A559))</f>
        <v/>
      </c>
      <c r="C559" s="37"/>
      <c r="D559" s="37"/>
      <c r="E559" s="37"/>
      <c r="F559" s="38"/>
      <c r="G559" s="37"/>
      <c r="H559" s="39" t="str">
        <f aca="false">IF(E559="","",E559*N(F559)*IF(G559="",1,G559))</f>
        <v/>
      </c>
      <c r="I559" s="37"/>
      <c r="J559" s="37"/>
      <c r="K559" s="37"/>
    </row>
    <row r="560" customFormat="false" ht="15" hidden="false" customHeight="false" outlineLevel="0" collapsed="false">
      <c r="A560" s="35"/>
      <c r="B560" s="36" t="str">
        <f aca="false">IF(A560="","",MONTH(A560))</f>
        <v/>
      </c>
      <c r="C560" s="37"/>
      <c r="D560" s="37"/>
      <c r="E560" s="37"/>
      <c r="F560" s="38"/>
      <c r="G560" s="37"/>
      <c r="H560" s="39" t="str">
        <f aca="false">IF(E560="","",E560*N(F560)*IF(G560="",1,G560))</f>
        <v/>
      </c>
      <c r="I560" s="37"/>
      <c r="J560" s="37"/>
      <c r="K560" s="37"/>
    </row>
    <row r="561" customFormat="false" ht="15" hidden="false" customHeight="false" outlineLevel="0" collapsed="false">
      <c r="A561" s="35"/>
      <c r="B561" s="36" t="str">
        <f aca="false">IF(A561="","",MONTH(A561))</f>
        <v/>
      </c>
      <c r="C561" s="37"/>
      <c r="D561" s="37"/>
      <c r="E561" s="37"/>
      <c r="F561" s="38"/>
      <c r="G561" s="37"/>
      <c r="H561" s="39" t="str">
        <f aca="false">IF(E561="","",E561*N(F561)*IF(G561="",1,G561))</f>
        <v/>
      </c>
      <c r="I561" s="37"/>
      <c r="J561" s="37"/>
      <c r="K561" s="37"/>
    </row>
    <row r="562" customFormat="false" ht="15" hidden="false" customHeight="false" outlineLevel="0" collapsed="false">
      <c r="A562" s="35"/>
      <c r="B562" s="36" t="str">
        <f aca="false">IF(A562="","",MONTH(A562))</f>
        <v/>
      </c>
      <c r="C562" s="37"/>
      <c r="D562" s="37"/>
      <c r="E562" s="37"/>
      <c r="F562" s="38"/>
      <c r="G562" s="37"/>
      <c r="H562" s="39" t="str">
        <f aca="false">IF(E562="","",E562*N(F562)*IF(G562="",1,G562))</f>
        <v/>
      </c>
      <c r="I562" s="37"/>
      <c r="J562" s="37"/>
      <c r="K562" s="37"/>
    </row>
    <row r="563" customFormat="false" ht="15" hidden="false" customHeight="false" outlineLevel="0" collapsed="false">
      <c r="A563" s="35"/>
      <c r="B563" s="36" t="str">
        <f aca="false">IF(A563="","",MONTH(A563))</f>
        <v/>
      </c>
      <c r="C563" s="37"/>
      <c r="D563" s="37"/>
      <c r="E563" s="37"/>
      <c r="F563" s="38"/>
      <c r="G563" s="37"/>
      <c r="H563" s="39" t="str">
        <f aca="false">IF(E563="","",E563*N(F563)*IF(G563="",1,G563))</f>
        <v/>
      </c>
      <c r="I563" s="37"/>
      <c r="J563" s="37"/>
      <c r="K563" s="37"/>
    </row>
    <row r="564" customFormat="false" ht="15" hidden="false" customHeight="false" outlineLevel="0" collapsed="false">
      <c r="A564" s="35"/>
      <c r="B564" s="36" t="str">
        <f aca="false">IF(A564="","",MONTH(A564))</f>
        <v/>
      </c>
      <c r="C564" s="37"/>
      <c r="D564" s="37"/>
      <c r="E564" s="37"/>
      <c r="F564" s="38"/>
      <c r="G564" s="37"/>
      <c r="H564" s="39" t="str">
        <f aca="false">IF(E564="","",E564*N(F564)*IF(G564="",1,G564))</f>
        <v/>
      </c>
      <c r="I564" s="37"/>
      <c r="J564" s="37"/>
      <c r="K564" s="37"/>
    </row>
    <row r="565" customFormat="false" ht="15" hidden="false" customHeight="false" outlineLevel="0" collapsed="false">
      <c r="A565" s="35"/>
      <c r="B565" s="36" t="str">
        <f aca="false">IF(A565="","",MONTH(A565))</f>
        <v/>
      </c>
      <c r="C565" s="37"/>
      <c r="D565" s="37"/>
      <c r="E565" s="37"/>
      <c r="F565" s="38"/>
      <c r="G565" s="37"/>
      <c r="H565" s="39" t="str">
        <f aca="false">IF(E565="","",E565*N(F565)*IF(G565="",1,G565))</f>
        <v/>
      </c>
      <c r="I565" s="37"/>
      <c r="J565" s="37"/>
      <c r="K565" s="37"/>
    </row>
    <row r="566" customFormat="false" ht="15" hidden="false" customHeight="false" outlineLevel="0" collapsed="false">
      <c r="A566" s="35"/>
      <c r="B566" s="36" t="str">
        <f aca="false">IF(A566="","",MONTH(A566))</f>
        <v/>
      </c>
      <c r="C566" s="37"/>
      <c r="D566" s="37"/>
      <c r="E566" s="37"/>
      <c r="F566" s="38"/>
      <c r="G566" s="37"/>
      <c r="H566" s="39" t="str">
        <f aca="false">IF(E566="","",E566*N(F566)*IF(G566="",1,G566))</f>
        <v/>
      </c>
      <c r="I566" s="37"/>
      <c r="J566" s="37"/>
      <c r="K566" s="37"/>
    </row>
    <row r="567" customFormat="false" ht="15" hidden="false" customHeight="false" outlineLevel="0" collapsed="false">
      <c r="A567" s="35"/>
      <c r="B567" s="36" t="str">
        <f aca="false">IF(A567="","",MONTH(A567))</f>
        <v/>
      </c>
      <c r="C567" s="37"/>
      <c r="D567" s="37"/>
      <c r="E567" s="37"/>
      <c r="F567" s="38"/>
      <c r="G567" s="37"/>
      <c r="H567" s="39" t="str">
        <f aca="false">IF(E567="","",E567*N(F567)*IF(G567="",1,G567))</f>
        <v/>
      </c>
      <c r="I567" s="37"/>
      <c r="J567" s="37"/>
      <c r="K567" s="37"/>
    </row>
    <row r="568" customFormat="false" ht="15" hidden="false" customHeight="false" outlineLevel="0" collapsed="false">
      <c r="A568" s="35"/>
      <c r="B568" s="36" t="str">
        <f aca="false">IF(A568="","",MONTH(A568))</f>
        <v/>
      </c>
      <c r="C568" s="37"/>
      <c r="D568" s="37"/>
      <c r="E568" s="37"/>
      <c r="F568" s="38"/>
      <c r="G568" s="37"/>
      <c r="H568" s="39" t="str">
        <f aca="false">IF(E568="","",E568*N(F568)*IF(G568="",1,G568))</f>
        <v/>
      </c>
      <c r="I568" s="37"/>
      <c r="J568" s="37"/>
      <c r="K568" s="37"/>
    </row>
    <row r="569" customFormat="false" ht="15" hidden="false" customHeight="false" outlineLevel="0" collapsed="false">
      <c r="A569" s="35"/>
      <c r="B569" s="36" t="str">
        <f aca="false">IF(A569="","",MONTH(A569))</f>
        <v/>
      </c>
      <c r="C569" s="37"/>
      <c r="D569" s="37"/>
      <c r="E569" s="37"/>
      <c r="F569" s="38"/>
      <c r="G569" s="37"/>
      <c r="H569" s="39" t="str">
        <f aca="false">IF(E569="","",E569*N(F569)*IF(G569="",1,G569))</f>
        <v/>
      </c>
      <c r="I569" s="37"/>
      <c r="J569" s="37"/>
      <c r="K569" s="37"/>
    </row>
    <row r="570" customFormat="false" ht="15" hidden="false" customHeight="false" outlineLevel="0" collapsed="false">
      <c r="A570" s="35"/>
      <c r="B570" s="36" t="str">
        <f aca="false">IF(A570="","",MONTH(A570))</f>
        <v/>
      </c>
      <c r="C570" s="37"/>
      <c r="D570" s="37"/>
      <c r="E570" s="37"/>
      <c r="F570" s="38"/>
      <c r="G570" s="37"/>
      <c r="H570" s="39" t="str">
        <f aca="false">IF(E570="","",E570*N(F570)*IF(G570="",1,G570))</f>
        <v/>
      </c>
      <c r="I570" s="37"/>
      <c r="J570" s="37"/>
      <c r="K570" s="37"/>
    </row>
    <row r="571" customFormat="false" ht="15" hidden="false" customHeight="false" outlineLevel="0" collapsed="false">
      <c r="A571" s="35"/>
      <c r="B571" s="36" t="str">
        <f aca="false">IF(A571="","",MONTH(A571))</f>
        <v/>
      </c>
      <c r="C571" s="37"/>
      <c r="D571" s="37"/>
      <c r="E571" s="37"/>
      <c r="F571" s="38"/>
      <c r="G571" s="37"/>
      <c r="H571" s="39" t="str">
        <f aca="false">IF(E571="","",E571*N(F571)*IF(G571="",1,G571))</f>
        <v/>
      </c>
      <c r="I571" s="37"/>
      <c r="J571" s="37"/>
      <c r="K571" s="37"/>
    </row>
    <row r="572" customFormat="false" ht="15" hidden="false" customHeight="false" outlineLevel="0" collapsed="false">
      <c r="A572" s="35"/>
      <c r="B572" s="36" t="str">
        <f aca="false">IF(A572="","",MONTH(A572))</f>
        <v/>
      </c>
      <c r="C572" s="37"/>
      <c r="D572" s="37"/>
      <c r="E572" s="37"/>
      <c r="F572" s="38"/>
      <c r="G572" s="37"/>
      <c r="H572" s="39" t="str">
        <f aca="false">IF(E572="","",E572*N(F572)*IF(G572="",1,G572))</f>
        <v/>
      </c>
      <c r="I572" s="37"/>
      <c r="J572" s="37"/>
      <c r="K572" s="37"/>
    </row>
    <row r="573" customFormat="false" ht="15" hidden="false" customHeight="false" outlineLevel="0" collapsed="false">
      <c r="A573" s="35"/>
      <c r="B573" s="36" t="str">
        <f aca="false">IF(A573="","",MONTH(A573))</f>
        <v/>
      </c>
      <c r="C573" s="37"/>
      <c r="D573" s="37"/>
      <c r="E573" s="37"/>
      <c r="F573" s="38"/>
      <c r="G573" s="37"/>
      <c r="H573" s="39" t="str">
        <f aca="false">IF(E573="","",E573*N(F573)*IF(G573="",1,G573))</f>
        <v/>
      </c>
      <c r="I573" s="37"/>
      <c r="J573" s="37"/>
      <c r="K573" s="37"/>
    </row>
    <row r="574" customFormat="false" ht="15" hidden="false" customHeight="false" outlineLevel="0" collapsed="false">
      <c r="A574" s="35"/>
      <c r="B574" s="36" t="str">
        <f aca="false">IF(A574="","",MONTH(A574))</f>
        <v/>
      </c>
      <c r="C574" s="37"/>
      <c r="D574" s="37"/>
      <c r="E574" s="37"/>
      <c r="F574" s="38"/>
      <c r="G574" s="37"/>
      <c r="H574" s="39" t="str">
        <f aca="false">IF(E574="","",E574*N(F574)*IF(G574="",1,G574))</f>
        <v/>
      </c>
      <c r="I574" s="37"/>
      <c r="J574" s="37"/>
      <c r="K574" s="37"/>
    </row>
    <row r="575" customFormat="false" ht="15" hidden="false" customHeight="false" outlineLevel="0" collapsed="false">
      <c r="A575" s="35"/>
      <c r="B575" s="36" t="str">
        <f aca="false">IF(A575="","",MONTH(A575))</f>
        <v/>
      </c>
      <c r="C575" s="37"/>
      <c r="D575" s="37"/>
      <c r="E575" s="37"/>
      <c r="F575" s="38"/>
      <c r="G575" s="37"/>
      <c r="H575" s="39" t="str">
        <f aca="false">IF(E575="","",E575*N(F575)*IF(G575="",1,G575))</f>
        <v/>
      </c>
      <c r="I575" s="37"/>
      <c r="J575" s="37"/>
      <c r="K575" s="37"/>
    </row>
    <row r="576" customFormat="false" ht="15" hidden="false" customHeight="false" outlineLevel="0" collapsed="false">
      <c r="A576" s="35"/>
      <c r="B576" s="36" t="str">
        <f aca="false">IF(A576="","",MONTH(A576))</f>
        <v/>
      </c>
      <c r="C576" s="37"/>
      <c r="D576" s="37"/>
      <c r="E576" s="37"/>
      <c r="F576" s="38"/>
      <c r="G576" s="37"/>
      <c r="H576" s="39" t="str">
        <f aca="false">IF(E576="","",E576*N(F576)*IF(G576="",1,G576))</f>
        <v/>
      </c>
      <c r="I576" s="37"/>
      <c r="J576" s="37"/>
      <c r="K576" s="37"/>
    </row>
    <row r="577" customFormat="false" ht="15" hidden="false" customHeight="false" outlineLevel="0" collapsed="false">
      <c r="A577" s="35"/>
      <c r="B577" s="36" t="str">
        <f aca="false">IF(A577="","",MONTH(A577))</f>
        <v/>
      </c>
      <c r="C577" s="37"/>
      <c r="D577" s="37"/>
      <c r="E577" s="37"/>
      <c r="F577" s="38"/>
      <c r="G577" s="37"/>
      <c r="H577" s="39" t="str">
        <f aca="false">IF(E577="","",E577*N(F577)*IF(G577="",1,G577))</f>
        <v/>
      </c>
      <c r="I577" s="37"/>
      <c r="J577" s="37"/>
      <c r="K577" s="37"/>
    </row>
    <row r="578" customFormat="false" ht="15" hidden="false" customHeight="false" outlineLevel="0" collapsed="false">
      <c r="A578" s="35"/>
      <c r="B578" s="36" t="str">
        <f aca="false">IF(A578="","",MONTH(A578))</f>
        <v/>
      </c>
      <c r="C578" s="37"/>
      <c r="D578" s="37"/>
      <c r="E578" s="37"/>
      <c r="F578" s="38"/>
      <c r="G578" s="37"/>
      <c r="H578" s="39" t="str">
        <f aca="false">IF(E578="","",E578*N(F578)*IF(G578="",1,G578))</f>
        <v/>
      </c>
      <c r="I578" s="37"/>
      <c r="J578" s="37"/>
      <c r="K578" s="37"/>
    </row>
    <row r="579" customFormat="false" ht="15" hidden="false" customHeight="false" outlineLevel="0" collapsed="false">
      <c r="A579" s="35"/>
      <c r="B579" s="36" t="str">
        <f aca="false">IF(A579="","",MONTH(A579))</f>
        <v/>
      </c>
      <c r="C579" s="37"/>
      <c r="D579" s="37"/>
      <c r="E579" s="37"/>
      <c r="F579" s="38"/>
      <c r="G579" s="37"/>
      <c r="H579" s="39" t="str">
        <f aca="false">IF(E579="","",E579*N(F579)*IF(G579="",1,G579))</f>
        <v/>
      </c>
      <c r="I579" s="37"/>
      <c r="J579" s="37"/>
      <c r="K579" s="37"/>
    </row>
    <row r="580" customFormat="false" ht="15" hidden="false" customHeight="false" outlineLevel="0" collapsed="false">
      <c r="A580" s="35"/>
      <c r="B580" s="36" t="str">
        <f aca="false">IF(A580="","",MONTH(A580))</f>
        <v/>
      </c>
      <c r="C580" s="37"/>
      <c r="D580" s="37"/>
      <c r="E580" s="37"/>
      <c r="F580" s="38"/>
      <c r="G580" s="37"/>
      <c r="H580" s="39" t="str">
        <f aca="false">IF(E580="","",E580*N(F580)*IF(G580="",1,G580))</f>
        <v/>
      </c>
      <c r="I580" s="37"/>
      <c r="J580" s="37"/>
      <c r="K580" s="37"/>
    </row>
    <row r="581" customFormat="false" ht="15" hidden="false" customHeight="false" outlineLevel="0" collapsed="false">
      <c r="A581" s="35"/>
      <c r="B581" s="36" t="str">
        <f aca="false">IF(A581="","",MONTH(A581))</f>
        <v/>
      </c>
      <c r="C581" s="37"/>
      <c r="D581" s="37"/>
      <c r="E581" s="37"/>
      <c r="F581" s="38"/>
      <c r="G581" s="37"/>
      <c r="H581" s="39" t="str">
        <f aca="false">IF(E581="","",E581*N(F581)*IF(G581="",1,G581))</f>
        <v/>
      </c>
      <c r="I581" s="37"/>
      <c r="J581" s="37"/>
      <c r="K581" s="37"/>
    </row>
    <row r="582" customFormat="false" ht="15" hidden="false" customHeight="false" outlineLevel="0" collapsed="false">
      <c r="A582" s="35"/>
      <c r="B582" s="36" t="str">
        <f aca="false">IF(A582="","",MONTH(A582))</f>
        <v/>
      </c>
      <c r="C582" s="37"/>
      <c r="D582" s="37"/>
      <c r="E582" s="37"/>
      <c r="F582" s="38"/>
      <c r="G582" s="37"/>
      <c r="H582" s="39" t="str">
        <f aca="false">IF(E582="","",E582*N(F582)*IF(G582="",1,G582))</f>
        <v/>
      </c>
      <c r="I582" s="37"/>
      <c r="J582" s="37"/>
      <c r="K582" s="37"/>
    </row>
    <row r="583" customFormat="false" ht="15" hidden="false" customHeight="false" outlineLevel="0" collapsed="false">
      <c r="A583" s="35"/>
      <c r="B583" s="36" t="str">
        <f aca="false">IF(A583="","",MONTH(A583))</f>
        <v/>
      </c>
      <c r="C583" s="37"/>
      <c r="D583" s="37"/>
      <c r="E583" s="37"/>
      <c r="F583" s="38"/>
      <c r="G583" s="37"/>
      <c r="H583" s="39" t="str">
        <f aca="false">IF(E583="","",E583*N(F583)*IF(G583="",1,G583))</f>
        <v/>
      </c>
      <c r="I583" s="37"/>
      <c r="J583" s="37"/>
      <c r="K583" s="37"/>
    </row>
    <row r="584" customFormat="false" ht="15" hidden="false" customHeight="false" outlineLevel="0" collapsed="false">
      <c r="A584" s="35"/>
      <c r="B584" s="36" t="str">
        <f aca="false">IF(A584="","",MONTH(A584))</f>
        <v/>
      </c>
      <c r="C584" s="37"/>
      <c r="D584" s="37"/>
      <c r="E584" s="37"/>
      <c r="F584" s="38"/>
      <c r="G584" s="37"/>
      <c r="H584" s="39" t="str">
        <f aca="false">IF(E584="","",E584*N(F584)*IF(G584="",1,G584))</f>
        <v/>
      </c>
      <c r="I584" s="37"/>
      <c r="J584" s="37"/>
      <c r="K584" s="37"/>
    </row>
    <row r="585" customFormat="false" ht="15" hidden="false" customHeight="false" outlineLevel="0" collapsed="false">
      <c r="A585" s="35"/>
      <c r="B585" s="36" t="str">
        <f aca="false">IF(A585="","",MONTH(A585))</f>
        <v/>
      </c>
      <c r="C585" s="37"/>
      <c r="D585" s="37"/>
      <c r="E585" s="37"/>
      <c r="F585" s="38"/>
      <c r="G585" s="37"/>
      <c r="H585" s="39" t="str">
        <f aca="false">IF(E585="","",E585*N(F585)*IF(G585="",1,G585))</f>
        <v/>
      </c>
      <c r="I585" s="37"/>
      <c r="J585" s="37"/>
      <c r="K585" s="37"/>
    </row>
    <row r="586" customFormat="false" ht="15" hidden="false" customHeight="false" outlineLevel="0" collapsed="false">
      <c r="A586" s="35"/>
      <c r="B586" s="36" t="str">
        <f aca="false">IF(A586="","",MONTH(A586))</f>
        <v/>
      </c>
      <c r="C586" s="37"/>
      <c r="D586" s="37"/>
      <c r="E586" s="37"/>
      <c r="F586" s="38"/>
      <c r="G586" s="37"/>
      <c r="H586" s="39" t="str">
        <f aca="false">IF(E586="","",E586*N(F586)*IF(G586="",1,G586))</f>
        <v/>
      </c>
      <c r="I586" s="37"/>
      <c r="J586" s="37"/>
      <c r="K586" s="37"/>
    </row>
    <row r="587" customFormat="false" ht="15" hidden="false" customHeight="false" outlineLevel="0" collapsed="false">
      <c r="A587" s="35"/>
      <c r="B587" s="36" t="str">
        <f aca="false">IF(A587="","",MONTH(A587))</f>
        <v/>
      </c>
      <c r="C587" s="37"/>
      <c r="D587" s="37"/>
      <c r="E587" s="37"/>
      <c r="F587" s="38"/>
      <c r="G587" s="37"/>
      <c r="H587" s="39" t="str">
        <f aca="false">IF(E587="","",E587*N(F587)*IF(G587="",1,G587))</f>
        <v/>
      </c>
      <c r="I587" s="37"/>
      <c r="J587" s="37"/>
      <c r="K587" s="37"/>
    </row>
    <row r="588" customFormat="false" ht="15" hidden="false" customHeight="false" outlineLevel="0" collapsed="false">
      <c r="A588" s="35"/>
      <c r="B588" s="36" t="str">
        <f aca="false">IF(A588="","",MONTH(A588))</f>
        <v/>
      </c>
      <c r="C588" s="37"/>
      <c r="D588" s="37"/>
      <c r="E588" s="37"/>
      <c r="F588" s="38"/>
      <c r="G588" s="37"/>
      <c r="H588" s="39" t="str">
        <f aca="false">IF(E588="","",E588*N(F588)*IF(G588="",1,G588))</f>
        <v/>
      </c>
      <c r="I588" s="37"/>
      <c r="J588" s="37"/>
      <c r="K588" s="37"/>
    </row>
    <row r="589" customFormat="false" ht="15" hidden="false" customHeight="false" outlineLevel="0" collapsed="false">
      <c r="A589" s="35"/>
      <c r="B589" s="36" t="str">
        <f aca="false">IF(A589="","",MONTH(A589))</f>
        <v/>
      </c>
      <c r="C589" s="37"/>
      <c r="D589" s="37"/>
      <c r="E589" s="37"/>
      <c r="F589" s="38"/>
      <c r="G589" s="37"/>
      <c r="H589" s="39" t="str">
        <f aca="false">IF(E589="","",E589*N(F589)*IF(G589="",1,G589))</f>
        <v/>
      </c>
      <c r="I589" s="37"/>
      <c r="J589" s="37"/>
      <c r="K589" s="37"/>
    </row>
    <row r="590" customFormat="false" ht="15" hidden="false" customHeight="false" outlineLevel="0" collapsed="false">
      <c r="A590" s="35"/>
      <c r="B590" s="36" t="str">
        <f aca="false">IF(A590="","",MONTH(A590))</f>
        <v/>
      </c>
      <c r="C590" s="37"/>
      <c r="D590" s="37"/>
      <c r="E590" s="37"/>
      <c r="F590" s="38"/>
      <c r="G590" s="37"/>
      <c r="H590" s="39" t="str">
        <f aca="false">IF(E590="","",E590*N(F590)*IF(G590="",1,G590))</f>
        <v/>
      </c>
      <c r="I590" s="37"/>
      <c r="J590" s="37"/>
      <c r="K590" s="37"/>
    </row>
    <row r="591" customFormat="false" ht="15" hidden="false" customHeight="false" outlineLevel="0" collapsed="false">
      <c r="A591" s="35"/>
      <c r="B591" s="36" t="str">
        <f aca="false">IF(A591="","",MONTH(A591))</f>
        <v/>
      </c>
      <c r="C591" s="37"/>
      <c r="D591" s="37"/>
      <c r="E591" s="37"/>
      <c r="F591" s="38"/>
      <c r="G591" s="37"/>
      <c r="H591" s="39" t="str">
        <f aca="false">IF(E591="","",E591*N(F591)*IF(G591="",1,G591))</f>
        <v/>
      </c>
      <c r="I591" s="37"/>
      <c r="J591" s="37"/>
      <c r="K591" s="37"/>
    </row>
    <row r="592" customFormat="false" ht="15" hidden="false" customHeight="false" outlineLevel="0" collapsed="false">
      <c r="A592" s="35"/>
      <c r="B592" s="36" t="str">
        <f aca="false">IF(A592="","",MONTH(A592))</f>
        <v/>
      </c>
      <c r="C592" s="37"/>
      <c r="D592" s="37"/>
      <c r="E592" s="37"/>
      <c r="F592" s="38"/>
      <c r="G592" s="37"/>
      <c r="H592" s="39" t="str">
        <f aca="false">IF(E592="","",E592*N(F592)*IF(G592="",1,G592))</f>
        <v/>
      </c>
      <c r="I592" s="37"/>
      <c r="J592" s="37"/>
      <c r="K592" s="37"/>
    </row>
    <row r="593" customFormat="false" ht="15" hidden="false" customHeight="false" outlineLevel="0" collapsed="false">
      <c r="A593" s="35"/>
      <c r="B593" s="36" t="str">
        <f aca="false">IF(A593="","",MONTH(A593))</f>
        <v/>
      </c>
      <c r="C593" s="37"/>
      <c r="D593" s="37"/>
      <c r="E593" s="37"/>
      <c r="F593" s="38"/>
      <c r="G593" s="37"/>
      <c r="H593" s="39" t="str">
        <f aca="false">IF(E593="","",E593*N(F593)*IF(G593="",1,G593))</f>
        <v/>
      </c>
      <c r="I593" s="37"/>
      <c r="J593" s="37"/>
      <c r="K593" s="37"/>
    </row>
    <row r="594" customFormat="false" ht="15" hidden="false" customHeight="false" outlineLevel="0" collapsed="false">
      <c r="A594" s="35"/>
      <c r="B594" s="36" t="str">
        <f aca="false">IF(A594="","",MONTH(A594))</f>
        <v/>
      </c>
      <c r="C594" s="37"/>
      <c r="D594" s="37"/>
      <c r="E594" s="37"/>
      <c r="F594" s="38"/>
      <c r="G594" s="37"/>
      <c r="H594" s="39" t="str">
        <f aca="false">IF(E594="","",E594*N(F594)*IF(G594="",1,G594))</f>
        <v/>
      </c>
      <c r="I594" s="37"/>
      <c r="J594" s="37"/>
      <c r="K594" s="37"/>
    </row>
    <row r="595" customFormat="false" ht="15" hidden="false" customHeight="false" outlineLevel="0" collapsed="false">
      <c r="A595" s="35"/>
      <c r="B595" s="36" t="str">
        <f aca="false">IF(A595="","",MONTH(A595))</f>
        <v/>
      </c>
      <c r="C595" s="37"/>
      <c r="D595" s="37"/>
      <c r="E595" s="37"/>
      <c r="F595" s="38"/>
      <c r="G595" s="37"/>
      <c r="H595" s="39" t="str">
        <f aca="false">IF(E595="","",E595*N(F595)*IF(G595="",1,G595))</f>
        <v/>
      </c>
      <c r="I595" s="37"/>
      <c r="J595" s="37"/>
      <c r="K595" s="37"/>
    </row>
    <row r="596" customFormat="false" ht="15" hidden="false" customHeight="false" outlineLevel="0" collapsed="false">
      <c r="A596" s="35"/>
      <c r="B596" s="36" t="str">
        <f aca="false">IF(A596="","",MONTH(A596))</f>
        <v/>
      </c>
      <c r="C596" s="37"/>
      <c r="D596" s="37"/>
      <c r="E596" s="37"/>
      <c r="F596" s="38"/>
      <c r="G596" s="37"/>
      <c r="H596" s="39" t="str">
        <f aca="false">IF(E596="","",E596*N(F596)*IF(G596="",1,G596))</f>
        <v/>
      </c>
      <c r="I596" s="37"/>
      <c r="J596" s="37"/>
      <c r="K596" s="37"/>
    </row>
    <row r="597" customFormat="false" ht="15" hidden="false" customHeight="false" outlineLevel="0" collapsed="false">
      <c r="A597" s="35"/>
      <c r="B597" s="36" t="str">
        <f aca="false">IF(A597="","",MONTH(A597))</f>
        <v/>
      </c>
      <c r="C597" s="37"/>
      <c r="D597" s="37"/>
      <c r="E597" s="37"/>
      <c r="F597" s="38"/>
      <c r="G597" s="37"/>
      <c r="H597" s="39" t="str">
        <f aca="false">IF(E597="","",E597*N(F597)*IF(G597="",1,G597))</f>
        <v/>
      </c>
      <c r="I597" s="37"/>
      <c r="J597" s="37"/>
      <c r="K597" s="37"/>
    </row>
    <row r="598" customFormat="false" ht="15" hidden="false" customHeight="false" outlineLevel="0" collapsed="false">
      <c r="A598" s="35"/>
      <c r="B598" s="36" t="str">
        <f aca="false">IF(A598="","",MONTH(A598))</f>
        <v/>
      </c>
      <c r="C598" s="37"/>
      <c r="D598" s="37"/>
      <c r="E598" s="37"/>
      <c r="F598" s="38"/>
      <c r="G598" s="37"/>
      <c r="H598" s="39" t="str">
        <f aca="false">IF(E598="","",E598*N(F598)*IF(G598="",1,G598))</f>
        <v/>
      </c>
      <c r="I598" s="37"/>
      <c r="J598" s="37"/>
      <c r="K598" s="37"/>
    </row>
    <row r="599" customFormat="false" ht="15" hidden="false" customHeight="false" outlineLevel="0" collapsed="false">
      <c r="A599" s="35"/>
      <c r="B599" s="36" t="str">
        <f aca="false">IF(A599="","",MONTH(A599))</f>
        <v/>
      </c>
      <c r="C599" s="37"/>
      <c r="D599" s="37"/>
      <c r="E599" s="37"/>
      <c r="F599" s="38"/>
      <c r="G599" s="37"/>
      <c r="H599" s="39" t="str">
        <f aca="false">IF(E599="","",E599*N(F599)*IF(G599="",1,G599))</f>
        <v/>
      </c>
      <c r="I599" s="37"/>
      <c r="J599" s="37"/>
      <c r="K599" s="37"/>
    </row>
    <row r="600" customFormat="false" ht="15" hidden="false" customHeight="false" outlineLevel="0" collapsed="false">
      <c r="A600" s="35"/>
      <c r="B600" s="36" t="str">
        <f aca="false">IF(A600="","",MONTH(A600))</f>
        <v/>
      </c>
      <c r="C600" s="37"/>
      <c r="D600" s="37"/>
      <c r="E600" s="37"/>
      <c r="F600" s="38"/>
      <c r="G600" s="37"/>
      <c r="H600" s="39" t="str">
        <f aca="false">IF(E600="","",E600*N(F600)*IF(G600="",1,G600))</f>
        <v/>
      </c>
      <c r="I600" s="37"/>
      <c r="J600" s="37"/>
      <c r="K600" s="37"/>
    </row>
    <row r="601" customFormat="false" ht="15" hidden="false" customHeight="false" outlineLevel="0" collapsed="false">
      <c r="A601" s="35"/>
      <c r="B601" s="36" t="str">
        <f aca="false">IF(A601="","",MONTH(A601))</f>
        <v/>
      </c>
      <c r="C601" s="37"/>
      <c r="D601" s="37"/>
      <c r="E601" s="37"/>
      <c r="F601" s="38"/>
      <c r="G601" s="37"/>
      <c r="H601" s="39" t="str">
        <f aca="false">IF(E601="","",E601*N(F601)*IF(G601="",1,G601))</f>
        <v/>
      </c>
      <c r="I601" s="37"/>
      <c r="J601" s="37"/>
      <c r="K601" s="37"/>
    </row>
    <row r="602" customFormat="false" ht="15" hidden="false" customHeight="false" outlineLevel="0" collapsed="false">
      <c r="A602" s="35"/>
      <c r="B602" s="36" t="str">
        <f aca="false">IF(A602="","",MONTH(A602))</f>
        <v/>
      </c>
      <c r="C602" s="37"/>
      <c r="D602" s="37"/>
      <c r="E602" s="37"/>
      <c r="F602" s="38"/>
      <c r="G602" s="37"/>
      <c r="H602" s="39" t="str">
        <f aca="false">IF(E602="","",E602*N(F602)*IF(G602="",1,G602))</f>
        <v/>
      </c>
      <c r="I602" s="37"/>
      <c r="J602" s="37"/>
      <c r="K602" s="37"/>
    </row>
    <row r="603" customFormat="false" ht="15" hidden="false" customHeight="false" outlineLevel="0" collapsed="false">
      <c r="A603" s="35"/>
      <c r="B603" s="36" t="str">
        <f aca="false">IF(A603="","",MONTH(A603))</f>
        <v/>
      </c>
      <c r="C603" s="37"/>
      <c r="D603" s="37"/>
      <c r="E603" s="37"/>
      <c r="F603" s="38"/>
      <c r="G603" s="37"/>
      <c r="H603" s="39" t="str">
        <f aca="false">IF(E603="","",E603*N(F603)*IF(G603="",1,G603))</f>
        <v/>
      </c>
      <c r="I603" s="37"/>
      <c r="J603" s="37"/>
      <c r="K603" s="37"/>
    </row>
    <row r="604" customFormat="false" ht="15" hidden="false" customHeight="false" outlineLevel="0" collapsed="false">
      <c r="A604" s="35"/>
      <c r="B604" s="36" t="str">
        <f aca="false">IF(A604="","",MONTH(A604))</f>
        <v/>
      </c>
      <c r="C604" s="37"/>
      <c r="D604" s="37"/>
      <c r="E604" s="37"/>
      <c r="F604" s="38"/>
      <c r="G604" s="37"/>
      <c r="H604" s="39" t="str">
        <f aca="false">IF(E604="","",E604*N(F604)*IF(G604="",1,G604))</f>
        <v/>
      </c>
      <c r="I604" s="37"/>
      <c r="J604" s="37"/>
      <c r="K604" s="37"/>
    </row>
    <row r="605" customFormat="false" ht="15" hidden="false" customHeight="false" outlineLevel="0" collapsed="false">
      <c r="A605" s="35"/>
      <c r="B605" s="36" t="str">
        <f aca="false">IF(A605="","",MONTH(A605))</f>
        <v/>
      </c>
      <c r="C605" s="37"/>
      <c r="D605" s="37"/>
      <c r="E605" s="37"/>
      <c r="F605" s="38"/>
      <c r="G605" s="37"/>
      <c r="H605" s="39" t="str">
        <f aca="false">IF(E605="","",E605*N(F605)*IF(G605="",1,G605))</f>
        <v/>
      </c>
      <c r="I605" s="37"/>
      <c r="J605" s="37"/>
      <c r="K605" s="37"/>
    </row>
    <row r="606" customFormat="false" ht="15" hidden="false" customHeight="false" outlineLevel="0" collapsed="false">
      <c r="A606" s="35"/>
      <c r="B606" s="36" t="str">
        <f aca="false">IF(A606="","",MONTH(A606))</f>
        <v/>
      </c>
      <c r="C606" s="37"/>
      <c r="D606" s="37"/>
      <c r="E606" s="37"/>
      <c r="F606" s="38"/>
      <c r="G606" s="37"/>
      <c r="H606" s="39" t="str">
        <f aca="false">IF(E606="","",E606*N(F606)*IF(G606="",1,G606))</f>
        <v/>
      </c>
      <c r="I606" s="37"/>
      <c r="J606" s="37"/>
      <c r="K606" s="37"/>
    </row>
    <row r="607" customFormat="false" ht="15" hidden="false" customHeight="false" outlineLevel="0" collapsed="false">
      <c r="A607" s="35"/>
      <c r="B607" s="36" t="str">
        <f aca="false">IF(A607="","",MONTH(A607))</f>
        <v/>
      </c>
      <c r="C607" s="37"/>
      <c r="D607" s="37"/>
      <c r="E607" s="37"/>
      <c r="F607" s="38"/>
      <c r="G607" s="37"/>
      <c r="H607" s="39" t="str">
        <f aca="false">IF(E607="","",E607*N(F607)*IF(G607="",1,G607))</f>
        <v/>
      </c>
      <c r="I607" s="37"/>
      <c r="J607" s="37"/>
      <c r="K607" s="37"/>
    </row>
    <row r="608" customFormat="false" ht="15" hidden="false" customHeight="false" outlineLevel="0" collapsed="false">
      <c r="A608" s="35"/>
      <c r="B608" s="36" t="str">
        <f aca="false">IF(A608="","",MONTH(A608))</f>
        <v/>
      </c>
      <c r="C608" s="37"/>
      <c r="D608" s="37"/>
      <c r="E608" s="37"/>
      <c r="F608" s="38"/>
      <c r="G608" s="37"/>
      <c r="H608" s="39" t="str">
        <f aca="false">IF(E608="","",E608*N(F608)*IF(G608="",1,G608))</f>
        <v/>
      </c>
      <c r="I608" s="37"/>
      <c r="J608" s="37"/>
      <c r="K608" s="37"/>
    </row>
    <row r="609" customFormat="false" ht="15" hidden="false" customHeight="false" outlineLevel="0" collapsed="false">
      <c r="A609" s="35"/>
      <c r="B609" s="36" t="str">
        <f aca="false">IF(A609="","",MONTH(A609))</f>
        <v/>
      </c>
      <c r="C609" s="37"/>
      <c r="D609" s="37"/>
      <c r="E609" s="37"/>
      <c r="F609" s="38"/>
      <c r="G609" s="37"/>
      <c r="H609" s="39" t="str">
        <f aca="false">IF(E609="","",E609*N(F609)*IF(G609="",1,G609))</f>
        <v/>
      </c>
      <c r="I609" s="37"/>
      <c r="J609" s="37"/>
      <c r="K609" s="37"/>
    </row>
    <row r="610" customFormat="false" ht="15" hidden="false" customHeight="false" outlineLevel="0" collapsed="false">
      <c r="A610" s="35"/>
      <c r="B610" s="36" t="str">
        <f aca="false">IF(A610="","",MONTH(A610))</f>
        <v/>
      </c>
      <c r="C610" s="37"/>
      <c r="D610" s="37"/>
      <c r="E610" s="37"/>
      <c r="F610" s="38"/>
      <c r="G610" s="37"/>
      <c r="H610" s="39" t="str">
        <f aca="false">IF(E610="","",E610*N(F610)*IF(G610="",1,G610))</f>
        <v/>
      </c>
      <c r="I610" s="37"/>
      <c r="J610" s="37"/>
      <c r="K610" s="37"/>
    </row>
    <row r="611" customFormat="false" ht="15" hidden="false" customHeight="false" outlineLevel="0" collapsed="false">
      <c r="A611" s="35"/>
      <c r="B611" s="36" t="str">
        <f aca="false">IF(A611="","",MONTH(A611))</f>
        <v/>
      </c>
      <c r="C611" s="37"/>
      <c r="D611" s="37"/>
      <c r="E611" s="37"/>
      <c r="F611" s="38"/>
      <c r="G611" s="37"/>
      <c r="H611" s="39" t="str">
        <f aca="false">IF(E611="","",E611*N(F611)*IF(G611="",1,G611))</f>
        <v/>
      </c>
      <c r="I611" s="37"/>
      <c r="J611" s="37"/>
      <c r="K611" s="37"/>
    </row>
    <row r="612" customFormat="false" ht="15" hidden="false" customHeight="false" outlineLevel="0" collapsed="false">
      <c r="A612" s="35"/>
      <c r="B612" s="36" t="str">
        <f aca="false">IF(A612="","",MONTH(A612))</f>
        <v/>
      </c>
      <c r="C612" s="37"/>
      <c r="D612" s="37"/>
      <c r="E612" s="37"/>
      <c r="F612" s="38"/>
      <c r="G612" s="37"/>
      <c r="H612" s="39" t="str">
        <f aca="false">IF(E612="","",E612*N(F612)*IF(G612="",1,G612))</f>
        <v/>
      </c>
      <c r="I612" s="37"/>
      <c r="J612" s="37"/>
      <c r="K612" s="37"/>
    </row>
    <row r="613" customFormat="false" ht="15" hidden="false" customHeight="false" outlineLevel="0" collapsed="false">
      <c r="A613" s="35"/>
      <c r="B613" s="36" t="str">
        <f aca="false">IF(A613="","",MONTH(A613))</f>
        <v/>
      </c>
      <c r="C613" s="37"/>
      <c r="D613" s="37"/>
      <c r="E613" s="37"/>
      <c r="F613" s="38"/>
      <c r="G613" s="37"/>
      <c r="H613" s="39" t="str">
        <f aca="false">IF(E613="","",E613*N(F613)*IF(G613="",1,G613))</f>
        <v/>
      </c>
      <c r="I613" s="37"/>
      <c r="J613" s="37"/>
      <c r="K613" s="37"/>
    </row>
    <row r="614" customFormat="false" ht="15" hidden="false" customHeight="false" outlineLevel="0" collapsed="false">
      <c r="A614" s="35"/>
      <c r="B614" s="36" t="str">
        <f aca="false">IF(A614="","",MONTH(A614))</f>
        <v/>
      </c>
      <c r="C614" s="37"/>
      <c r="D614" s="37"/>
      <c r="E614" s="37"/>
      <c r="F614" s="38"/>
      <c r="G614" s="37"/>
      <c r="H614" s="39" t="str">
        <f aca="false">IF(E614="","",E614*N(F614)*IF(G614="",1,G614))</f>
        <v/>
      </c>
      <c r="I614" s="37"/>
      <c r="J614" s="37"/>
      <c r="K614" s="37"/>
    </row>
    <row r="615" customFormat="false" ht="15" hidden="false" customHeight="false" outlineLevel="0" collapsed="false">
      <c r="A615" s="35"/>
      <c r="B615" s="36" t="str">
        <f aca="false">IF(A615="","",MONTH(A615))</f>
        <v/>
      </c>
      <c r="C615" s="37"/>
      <c r="D615" s="37"/>
      <c r="E615" s="37"/>
      <c r="F615" s="38"/>
      <c r="G615" s="37"/>
      <c r="H615" s="39" t="str">
        <f aca="false">IF(E615="","",E615*N(F615)*IF(G615="",1,G615))</f>
        <v/>
      </c>
      <c r="I615" s="37"/>
      <c r="J615" s="37"/>
      <c r="K615" s="37"/>
    </row>
    <row r="616" customFormat="false" ht="15" hidden="false" customHeight="false" outlineLevel="0" collapsed="false">
      <c r="A616" s="35"/>
      <c r="B616" s="36" t="str">
        <f aca="false">IF(A616="","",MONTH(A616))</f>
        <v/>
      </c>
      <c r="C616" s="37"/>
      <c r="D616" s="37"/>
      <c r="E616" s="37"/>
      <c r="F616" s="38"/>
      <c r="G616" s="37"/>
      <c r="H616" s="39" t="str">
        <f aca="false">IF(E616="","",E616*N(F616)*IF(G616="",1,G616))</f>
        <v/>
      </c>
      <c r="I616" s="37"/>
      <c r="J616" s="37"/>
      <c r="K616" s="37"/>
    </row>
    <row r="617" customFormat="false" ht="15" hidden="false" customHeight="false" outlineLevel="0" collapsed="false">
      <c r="A617" s="35"/>
      <c r="B617" s="36" t="str">
        <f aca="false">IF(A617="","",MONTH(A617))</f>
        <v/>
      </c>
      <c r="C617" s="37"/>
      <c r="D617" s="37"/>
      <c r="E617" s="37"/>
      <c r="F617" s="38"/>
      <c r="G617" s="37"/>
      <c r="H617" s="39" t="str">
        <f aca="false">IF(E617="","",E617*N(F617)*IF(G617="",1,G617))</f>
        <v/>
      </c>
      <c r="I617" s="37"/>
      <c r="J617" s="37"/>
      <c r="K617" s="37"/>
    </row>
    <row r="618" customFormat="false" ht="15" hidden="false" customHeight="false" outlineLevel="0" collapsed="false">
      <c r="A618" s="35"/>
      <c r="B618" s="36" t="str">
        <f aca="false">IF(A618="","",MONTH(A618))</f>
        <v/>
      </c>
      <c r="C618" s="37"/>
      <c r="D618" s="37"/>
      <c r="E618" s="37"/>
      <c r="F618" s="38"/>
      <c r="G618" s="37"/>
      <c r="H618" s="39" t="str">
        <f aca="false">IF(E618="","",E618*N(F618)*IF(G618="",1,G618))</f>
        <v/>
      </c>
      <c r="I618" s="37"/>
      <c r="J618" s="37"/>
      <c r="K618" s="37"/>
    </row>
    <row r="619" customFormat="false" ht="15" hidden="false" customHeight="false" outlineLevel="0" collapsed="false">
      <c r="A619" s="35"/>
      <c r="B619" s="36" t="str">
        <f aca="false">IF(A619="","",MONTH(A619))</f>
        <v/>
      </c>
      <c r="C619" s="37"/>
      <c r="D619" s="37"/>
      <c r="E619" s="37"/>
      <c r="F619" s="38"/>
      <c r="G619" s="37"/>
      <c r="H619" s="39" t="str">
        <f aca="false">IF(E619="","",E619*N(F619)*IF(G619="",1,G619))</f>
        <v/>
      </c>
      <c r="I619" s="37"/>
      <c r="J619" s="37"/>
      <c r="K619" s="37"/>
    </row>
    <row r="620" customFormat="false" ht="15" hidden="false" customHeight="false" outlineLevel="0" collapsed="false">
      <c r="A620" s="35"/>
      <c r="B620" s="36" t="str">
        <f aca="false">IF(A620="","",MONTH(A620))</f>
        <v/>
      </c>
      <c r="C620" s="37"/>
      <c r="D620" s="37"/>
      <c r="E620" s="37"/>
      <c r="F620" s="38"/>
      <c r="G620" s="37"/>
      <c r="H620" s="39" t="str">
        <f aca="false">IF(E620="","",E620*N(F620)*IF(G620="",1,G620))</f>
        <v/>
      </c>
      <c r="I620" s="37"/>
      <c r="J620" s="37"/>
      <c r="K620" s="37"/>
    </row>
    <row r="621" customFormat="false" ht="15" hidden="false" customHeight="false" outlineLevel="0" collapsed="false">
      <c r="A621" s="35"/>
      <c r="B621" s="36" t="str">
        <f aca="false">IF(A621="","",MONTH(A621))</f>
        <v/>
      </c>
      <c r="C621" s="37"/>
      <c r="D621" s="37"/>
      <c r="E621" s="37"/>
      <c r="F621" s="38"/>
      <c r="G621" s="37"/>
      <c r="H621" s="39" t="str">
        <f aca="false">IF(E621="","",E621*N(F621)*IF(G621="",1,G621))</f>
        <v/>
      </c>
      <c r="I621" s="37"/>
      <c r="J621" s="37"/>
      <c r="K621" s="37"/>
    </row>
    <row r="622" customFormat="false" ht="15" hidden="false" customHeight="false" outlineLevel="0" collapsed="false">
      <c r="A622" s="35"/>
      <c r="B622" s="36" t="str">
        <f aca="false">IF(A622="","",MONTH(A622))</f>
        <v/>
      </c>
      <c r="C622" s="37"/>
      <c r="D622" s="37"/>
      <c r="E622" s="37"/>
      <c r="F622" s="38"/>
      <c r="G622" s="37"/>
      <c r="H622" s="39" t="str">
        <f aca="false">IF(E622="","",E622*N(F622)*IF(G622="",1,G622))</f>
        <v/>
      </c>
      <c r="I622" s="37"/>
      <c r="J622" s="37"/>
      <c r="K622" s="37"/>
    </row>
    <row r="623" customFormat="false" ht="15" hidden="false" customHeight="false" outlineLevel="0" collapsed="false">
      <c r="A623" s="35"/>
      <c r="B623" s="36" t="str">
        <f aca="false">IF(A623="","",MONTH(A623))</f>
        <v/>
      </c>
      <c r="C623" s="37"/>
      <c r="D623" s="37"/>
      <c r="E623" s="37"/>
      <c r="F623" s="38"/>
      <c r="G623" s="37"/>
      <c r="H623" s="39" t="str">
        <f aca="false">IF(E623="","",E623*N(F623)*IF(G623="",1,G623))</f>
        <v/>
      </c>
      <c r="I623" s="37"/>
      <c r="J623" s="37"/>
      <c r="K623" s="37"/>
    </row>
    <row r="624" customFormat="false" ht="15" hidden="false" customHeight="false" outlineLevel="0" collapsed="false">
      <c r="A624" s="35"/>
      <c r="B624" s="36" t="str">
        <f aca="false">IF(A624="","",MONTH(A624))</f>
        <v/>
      </c>
      <c r="C624" s="37"/>
      <c r="D624" s="37"/>
      <c r="E624" s="37"/>
      <c r="F624" s="38"/>
      <c r="G624" s="37"/>
      <c r="H624" s="39" t="str">
        <f aca="false">IF(E624="","",E624*N(F624)*IF(G624="",1,G624))</f>
        <v/>
      </c>
      <c r="I624" s="37"/>
      <c r="J624" s="37"/>
      <c r="K624" s="37"/>
    </row>
    <row r="625" customFormat="false" ht="15" hidden="false" customHeight="false" outlineLevel="0" collapsed="false">
      <c r="A625" s="35"/>
      <c r="B625" s="36" t="str">
        <f aca="false">IF(A625="","",MONTH(A625))</f>
        <v/>
      </c>
      <c r="C625" s="37"/>
      <c r="D625" s="37"/>
      <c r="E625" s="37"/>
      <c r="F625" s="38"/>
      <c r="G625" s="37"/>
      <c r="H625" s="39" t="str">
        <f aca="false">IF(E625="","",E625*N(F625)*IF(G625="",1,G625))</f>
        <v/>
      </c>
      <c r="I625" s="37"/>
      <c r="J625" s="37"/>
      <c r="K625" s="37"/>
    </row>
    <row r="626" customFormat="false" ht="15" hidden="false" customHeight="false" outlineLevel="0" collapsed="false">
      <c r="A626" s="35"/>
      <c r="B626" s="36" t="str">
        <f aca="false">IF(A626="","",MONTH(A626))</f>
        <v/>
      </c>
      <c r="C626" s="37"/>
      <c r="D626" s="37"/>
      <c r="E626" s="37"/>
      <c r="F626" s="38"/>
      <c r="G626" s="37"/>
      <c r="H626" s="39" t="str">
        <f aca="false">IF(E626="","",E626*N(F626)*IF(G626="",1,G626))</f>
        <v/>
      </c>
      <c r="I626" s="37"/>
      <c r="J626" s="37"/>
      <c r="K626" s="37"/>
    </row>
    <row r="627" customFormat="false" ht="15" hidden="false" customHeight="false" outlineLevel="0" collapsed="false">
      <c r="A627" s="35"/>
      <c r="B627" s="36" t="str">
        <f aca="false">IF(A627="","",MONTH(A627))</f>
        <v/>
      </c>
      <c r="C627" s="37"/>
      <c r="D627" s="37"/>
      <c r="E627" s="37"/>
      <c r="F627" s="38"/>
      <c r="G627" s="37"/>
      <c r="H627" s="39" t="str">
        <f aca="false">IF(E627="","",E627*N(F627)*IF(G627="",1,G627))</f>
        <v/>
      </c>
      <c r="I627" s="37"/>
      <c r="J627" s="37"/>
      <c r="K627" s="37"/>
    </row>
    <row r="628" customFormat="false" ht="15" hidden="false" customHeight="false" outlineLevel="0" collapsed="false">
      <c r="A628" s="35"/>
      <c r="B628" s="36" t="str">
        <f aca="false">IF(A628="","",MONTH(A628))</f>
        <v/>
      </c>
      <c r="C628" s="37"/>
      <c r="D628" s="37"/>
      <c r="E628" s="37"/>
      <c r="F628" s="38"/>
      <c r="G628" s="37"/>
      <c r="H628" s="39" t="str">
        <f aca="false">IF(E628="","",E628*N(F628)*IF(G628="",1,G628))</f>
        <v/>
      </c>
      <c r="I628" s="37"/>
      <c r="J628" s="37"/>
      <c r="K628" s="37"/>
    </row>
    <row r="629" customFormat="false" ht="15" hidden="false" customHeight="false" outlineLevel="0" collapsed="false">
      <c r="A629" s="35"/>
      <c r="B629" s="36" t="str">
        <f aca="false">IF(A629="","",MONTH(A629))</f>
        <v/>
      </c>
      <c r="C629" s="37"/>
      <c r="D629" s="37"/>
      <c r="E629" s="37"/>
      <c r="F629" s="38"/>
      <c r="G629" s="37"/>
      <c r="H629" s="39" t="str">
        <f aca="false">IF(E629="","",E629*N(F629)*IF(G629="",1,G629))</f>
        <v/>
      </c>
      <c r="I629" s="37"/>
      <c r="J629" s="37"/>
      <c r="K629" s="37"/>
    </row>
    <row r="630" customFormat="false" ht="15" hidden="false" customHeight="false" outlineLevel="0" collapsed="false">
      <c r="A630" s="35"/>
      <c r="B630" s="36" t="str">
        <f aca="false">IF(A630="","",MONTH(A630))</f>
        <v/>
      </c>
      <c r="C630" s="37"/>
      <c r="D630" s="37"/>
      <c r="E630" s="37"/>
      <c r="F630" s="38"/>
      <c r="G630" s="37"/>
      <c r="H630" s="39" t="str">
        <f aca="false">IF(E630="","",E630*N(F630)*IF(G630="",1,G630))</f>
        <v/>
      </c>
      <c r="I630" s="37"/>
      <c r="J630" s="37"/>
      <c r="K630" s="37"/>
    </row>
    <row r="631" customFormat="false" ht="15" hidden="false" customHeight="false" outlineLevel="0" collapsed="false">
      <c r="A631" s="35"/>
      <c r="B631" s="36" t="str">
        <f aca="false">IF(A631="","",MONTH(A631))</f>
        <v/>
      </c>
      <c r="C631" s="37"/>
      <c r="D631" s="37"/>
      <c r="E631" s="37"/>
      <c r="F631" s="38"/>
      <c r="G631" s="37"/>
      <c r="H631" s="39" t="str">
        <f aca="false">IF(E631="","",E631*N(F631)*IF(G631="",1,G631))</f>
        <v/>
      </c>
      <c r="I631" s="37"/>
      <c r="J631" s="37"/>
      <c r="K631" s="37"/>
    </row>
    <row r="632" customFormat="false" ht="15" hidden="false" customHeight="false" outlineLevel="0" collapsed="false">
      <c r="A632" s="35"/>
      <c r="B632" s="36" t="str">
        <f aca="false">IF(A632="","",MONTH(A632))</f>
        <v/>
      </c>
      <c r="C632" s="37"/>
      <c r="D632" s="37"/>
      <c r="E632" s="37"/>
      <c r="F632" s="38"/>
      <c r="G632" s="37"/>
      <c r="H632" s="39" t="str">
        <f aca="false">IF(E632="","",E632*N(F632)*IF(G632="",1,G632))</f>
        <v/>
      </c>
      <c r="I632" s="37"/>
      <c r="J632" s="37"/>
      <c r="K632" s="37"/>
    </row>
    <row r="633" customFormat="false" ht="15" hidden="false" customHeight="false" outlineLevel="0" collapsed="false">
      <c r="A633" s="35"/>
      <c r="B633" s="36" t="str">
        <f aca="false">IF(A633="","",MONTH(A633))</f>
        <v/>
      </c>
      <c r="C633" s="37"/>
      <c r="D633" s="37"/>
      <c r="E633" s="37"/>
      <c r="F633" s="38"/>
      <c r="G633" s="37"/>
      <c r="H633" s="39" t="str">
        <f aca="false">IF(E633="","",E633*N(F633)*IF(G633="",1,G633))</f>
        <v/>
      </c>
      <c r="I633" s="37"/>
      <c r="J633" s="37"/>
      <c r="K633" s="37"/>
    </row>
    <row r="634" customFormat="false" ht="15" hidden="false" customHeight="false" outlineLevel="0" collapsed="false">
      <c r="A634" s="35"/>
      <c r="B634" s="36" t="str">
        <f aca="false">IF(A634="","",MONTH(A634))</f>
        <v/>
      </c>
      <c r="C634" s="37"/>
      <c r="D634" s="37"/>
      <c r="E634" s="37"/>
      <c r="F634" s="38"/>
      <c r="G634" s="37"/>
      <c r="H634" s="39" t="str">
        <f aca="false">IF(E634="","",E634*N(F634)*IF(G634="",1,G634))</f>
        <v/>
      </c>
      <c r="I634" s="37"/>
      <c r="J634" s="37"/>
      <c r="K634" s="37"/>
    </row>
    <row r="635" customFormat="false" ht="15" hidden="false" customHeight="false" outlineLevel="0" collapsed="false">
      <c r="A635" s="35"/>
      <c r="B635" s="36" t="str">
        <f aca="false">IF(A635="","",MONTH(A635))</f>
        <v/>
      </c>
      <c r="C635" s="37"/>
      <c r="D635" s="37"/>
      <c r="E635" s="37"/>
      <c r="F635" s="38"/>
      <c r="G635" s="37"/>
      <c r="H635" s="39" t="str">
        <f aca="false">IF(E635="","",E635*N(F635)*IF(G635="",1,G635))</f>
        <v/>
      </c>
      <c r="I635" s="37"/>
      <c r="J635" s="37"/>
      <c r="K635" s="37"/>
    </row>
    <row r="636" customFormat="false" ht="15" hidden="false" customHeight="false" outlineLevel="0" collapsed="false">
      <c r="A636" s="35"/>
      <c r="B636" s="36" t="str">
        <f aca="false">IF(A636="","",MONTH(A636))</f>
        <v/>
      </c>
      <c r="C636" s="37"/>
      <c r="D636" s="37"/>
      <c r="E636" s="37"/>
      <c r="F636" s="38"/>
      <c r="G636" s="37"/>
      <c r="H636" s="39" t="str">
        <f aca="false">IF(E636="","",E636*N(F636)*IF(G636="",1,G636))</f>
        <v/>
      </c>
      <c r="I636" s="37"/>
      <c r="J636" s="37"/>
      <c r="K636" s="37"/>
    </row>
    <row r="637" customFormat="false" ht="15" hidden="false" customHeight="false" outlineLevel="0" collapsed="false">
      <c r="A637" s="35"/>
      <c r="B637" s="36" t="str">
        <f aca="false">IF(A637="","",MONTH(A637))</f>
        <v/>
      </c>
      <c r="C637" s="37"/>
      <c r="D637" s="37"/>
      <c r="E637" s="37"/>
      <c r="F637" s="38"/>
      <c r="G637" s="37"/>
      <c r="H637" s="39" t="str">
        <f aca="false">IF(E637="","",E637*N(F637)*IF(G637="",1,G637))</f>
        <v/>
      </c>
      <c r="I637" s="37"/>
      <c r="J637" s="37"/>
      <c r="K637" s="37"/>
    </row>
    <row r="638" customFormat="false" ht="15" hidden="false" customHeight="false" outlineLevel="0" collapsed="false">
      <c r="A638" s="35"/>
      <c r="B638" s="36" t="str">
        <f aca="false">IF(A638="","",MONTH(A638))</f>
        <v/>
      </c>
      <c r="C638" s="37"/>
      <c r="D638" s="37"/>
      <c r="E638" s="37"/>
      <c r="F638" s="38"/>
      <c r="G638" s="37"/>
      <c r="H638" s="39" t="str">
        <f aca="false">IF(E638="","",E638*N(F638)*IF(G638="",1,G638))</f>
        <v/>
      </c>
      <c r="I638" s="37"/>
      <c r="J638" s="37"/>
      <c r="K638" s="37"/>
    </row>
    <row r="639" customFormat="false" ht="15" hidden="false" customHeight="false" outlineLevel="0" collapsed="false">
      <c r="A639" s="35"/>
      <c r="B639" s="36" t="str">
        <f aca="false">IF(A639="","",MONTH(A639))</f>
        <v/>
      </c>
      <c r="C639" s="37"/>
      <c r="D639" s="37"/>
      <c r="E639" s="37"/>
      <c r="F639" s="38"/>
      <c r="G639" s="37"/>
      <c r="H639" s="39" t="str">
        <f aca="false">IF(E639="","",E639*N(F639)*IF(G639="",1,G639))</f>
        <v/>
      </c>
      <c r="I639" s="37"/>
      <c r="J639" s="37"/>
      <c r="K639" s="37"/>
    </row>
    <row r="640" customFormat="false" ht="15" hidden="false" customHeight="false" outlineLevel="0" collapsed="false">
      <c r="A640" s="35"/>
      <c r="B640" s="36" t="str">
        <f aca="false">IF(A640="","",MONTH(A640))</f>
        <v/>
      </c>
      <c r="C640" s="37"/>
      <c r="D640" s="37"/>
      <c r="E640" s="37"/>
      <c r="F640" s="38"/>
      <c r="G640" s="37"/>
      <c r="H640" s="39" t="str">
        <f aca="false">IF(E640="","",E640*N(F640)*IF(G640="",1,G640))</f>
        <v/>
      </c>
      <c r="I640" s="37"/>
      <c r="J640" s="37"/>
      <c r="K640" s="37"/>
    </row>
    <row r="641" customFormat="false" ht="15" hidden="false" customHeight="false" outlineLevel="0" collapsed="false">
      <c r="A641" s="35"/>
      <c r="B641" s="36" t="str">
        <f aca="false">IF(A641="","",MONTH(A641))</f>
        <v/>
      </c>
      <c r="C641" s="37"/>
      <c r="D641" s="37"/>
      <c r="E641" s="37"/>
      <c r="F641" s="38"/>
      <c r="G641" s="37"/>
      <c r="H641" s="39" t="str">
        <f aca="false">IF(E641="","",E641*N(F641)*IF(G641="",1,G641))</f>
        <v/>
      </c>
      <c r="I641" s="37"/>
      <c r="J641" s="37"/>
      <c r="K641" s="37"/>
    </row>
    <row r="642" customFormat="false" ht="15" hidden="false" customHeight="false" outlineLevel="0" collapsed="false">
      <c r="A642" s="35"/>
      <c r="B642" s="36" t="str">
        <f aca="false">IF(A642="","",MONTH(A642))</f>
        <v/>
      </c>
      <c r="C642" s="37"/>
      <c r="D642" s="37"/>
      <c r="E642" s="37"/>
      <c r="F642" s="38"/>
      <c r="G642" s="37"/>
      <c r="H642" s="39" t="str">
        <f aca="false">IF(E642="","",E642*N(F642)*IF(G642="",1,G642))</f>
        <v/>
      </c>
      <c r="I642" s="37"/>
      <c r="J642" s="37"/>
      <c r="K642" s="37"/>
    </row>
    <row r="643" customFormat="false" ht="15" hidden="false" customHeight="false" outlineLevel="0" collapsed="false">
      <c r="A643" s="35"/>
      <c r="B643" s="36" t="str">
        <f aca="false">IF(A643="","",MONTH(A643))</f>
        <v/>
      </c>
      <c r="C643" s="37"/>
      <c r="D643" s="37"/>
      <c r="E643" s="37"/>
      <c r="F643" s="38"/>
      <c r="G643" s="37"/>
      <c r="H643" s="39" t="str">
        <f aca="false">IF(E643="","",E643*N(F643)*IF(G643="",1,G643))</f>
        <v/>
      </c>
      <c r="I643" s="37"/>
      <c r="J643" s="37"/>
      <c r="K643" s="37"/>
    </row>
    <row r="644" customFormat="false" ht="15" hidden="false" customHeight="false" outlineLevel="0" collapsed="false">
      <c r="A644" s="35"/>
      <c r="B644" s="36" t="str">
        <f aca="false">IF(A644="","",MONTH(A644))</f>
        <v/>
      </c>
      <c r="C644" s="37"/>
      <c r="D644" s="37"/>
      <c r="E644" s="37"/>
      <c r="F644" s="38"/>
      <c r="G644" s="37"/>
      <c r="H644" s="39" t="str">
        <f aca="false">IF(E644="","",E644*N(F644)*IF(G644="",1,G644))</f>
        <v/>
      </c>
      <c r="I644" s="37"/>
      <c r="J644" s="37"/>
      <c r="K644" s="37"/>
    </row>
    <row r="645" customFormat="false" ht="15" hidden="false" customHeight="false" outlineLevel="0" collapsed="false">
      <c r="A645" s="35"/>
      <c r="B645" s="36" t="str">
        <f aca="false">IF(A645="","",MONTH(A645))</f>
        <v/>
      </c>
      <c r="C645" s="37"/>
      <c r="D645" s="37"/>
      <c r="E645" s="37"/>
      <c r="F645" s="38"/>
      <c r="G645" s="37"/>
      <c r="H645" s="39" t="str">
        <f aca="false">IF(E645="","",E645*N(F645)*IF(G645="",1,G645))</f>
        <v/>
      </c>
      <c r="I645" s="37"/>
      <c r="J645" s="37"/>
      <c r="K645" s="37"/>
    </row>
    <row r="646" customFormat="false" ht="15" hidden="false" customHeight="false" outlineLevel="0" collapsed="false">
      <c r="A646" s="35"/>
      <c r="B646" s="36" t="str">
        <f aca="false">IF(A646="","",MONTH(A646))</f>
        <v/>
      </c>
      <c r="C646" s="37"/>
      <c r="D646" s="37"/>
      <c r="E646" s="37"/>
      <c r="F646" s="38"/>
      <c r="G646" s="37"/>
      <c r="H646" s="39" t="str">
        <f aca="false">IF(E646="","",E646*N(F646)*IF(G646="",1,G646))</f>
        <v/>
      </c>
      <c r="I646" s="37"/>
      <c r="J646" s="37"/>
      <c r="K646" s="37"/>
    </row>
    <row r="647" customFormat="false" ht="15" hidden="false" customHeight="false" outlineLevel="0" collapsed="false">
      <c r="A647" s="35"/>
      <c r="B647" s="36" t="str">
        <f aca="false">IF(A647="","",MONTH(A647))</f>
        <v/>
      </c>
      <c r="C647" s="37"/>
      <c r="D647" s="37"/>
      <c r="E647" s="37"/>
      <c r="F647" s="38"/>
      <c r="G647" s="37"/>
      <c r="H647" s="39" t="str">
        <f aca="false">IF(E647="","",E647*N(F647)*IF(G647="",1,G647))</f>
        <v/>
      </c>
      <c r="I647" s="37"/>
      <c r="J647" s="37"/>
      <c r="K647" s="37"/>
    </row>
    <row r="648" customFormat="false" ht="15" hidden="false" customHeight="false" outlineLevel="0" collapsed="false">
      <c r="A648" s="35"/>
      <c r="B648" s="36" t="str">
        <f aca="false">IF(A648="","",MONTH(A648))</f>
        <v/>
      </c>
      <c r="C648" s="37"/>
      <c r="D648" s="37"/>
      <c r="E648" s="37"/>
      <c r="F648" s="38"/>
      <c r="G648" s="37"/>
      <c r="H648" s="39" t="str">
        <f aca="false">IF(E648="","",E648*N(F648)*IF(G648="",1,G648))</f>
        <v/>
      </c>
      <c r="I648" s="37"/>
      <c r="J648" s="37"/>
      <c r="K648" s="37"/>
    </row>
    <row r="649" customFormat="false" ht="15" hidden="false" customHeight="false" outlineLevel="0" collapsed="false">
      <c r="A649" s="35"/>
      <c r="B649" s="36" t="str">
        <f aca="false">IF(A649="","",MONTH(A649))</f>
        <v/>
      </c>
      <c r="C649" s="37"/>
      <c r="D649" s="37"/>
      <c r="E649" s="37"/>
      <c r="F649" s="38"/>
      <c r="G649" s="37"/>
      <c r="H649" s="39" t="str">
        <f aca="false">IF(E649="","",E649*N(F649)*IF(G649="",1,G649))</f>
        <v/>
      </c>
      <c r="I649" s="37"/>
      <c r="J649" s="37"/>
      <c r="K649" s="37"/>
    </row>
    <row r="650" customFormat="false" ht="15" hidden="false" customHeight="false" outlineLevel="0" collapsed="false">
      <c r="A650" s="35"/>
      <c r="B650" s="36" t="str">
        <f aca="false">IF(A650="","",MONTH(A650))</f>
        <v/>
      </c>
      <c r="C650" s="37"/>
      <c r="D650" s="37"/>
      <c r="E650" s="37"/>
      <c r="F650" s="38"/>
      <c r="G650" s="37"/>
      <c r="H650" s="39" t="str">
        <f aca="false">IF(E650="","",E650*N(F650)*IF(G650="",1,G650))</f>
        <v/>
      </c>
      <c r="I650" s="37"/>
      <c r="J650" s="37"/>
      <c r="K650" s="37"/>
    </row>
    <row r="651" customFormat="false" ht="15" hidden="false" customHeight="false" outlineLevel="0" collapsed="false">
      <c r="A651" s="35"/>
      <c r="B651" s="36" t="str">
        <f aca="false">IF(A651="","",MONTH(A651))</f>
        <v/>
      </c>
      <c r="C651" s="37"/>
      <c r="D651" s="37"/>
      <c r="E651" s="37"/>
      <c r="F651" s="38"/>
      <c r="G651" s="37"/>
      <c r="H651" s="39" t="str">
        <f aca="false">IF(E651="","",E651*N(F651)*IF(G651="",1,G651))</f>
        <v/>
      </c>
      <c r="I651" s="37"/>
      <c r="J651" s="37"/>
      <c r="K651" s="37"/>
    </row>
    <row r="652" customFormat="false" ht="15" hidden="false" customHeight="false" outlineLevel="0" collapsed="false">
      <c r="A652" s="35"/>
      <c r="B652" s="36" t="str">
        <f aca="false">IF(A652="","",MONTH(A652))</f>
        <v/>
      </c>
      <c r="C652" s="37"/>
      <c r="D652" s="37"/>
      <c r="E652" s="37"/>
      <c r="F652" s="38"/>
      <c r="G652" s="37"/>
      <c r="H652" s="39" t="str">
        <f aca="false">IF(E652="","",E652*N(F652)*IF(G652="",1,G652))</f>
        <v/>
      </c>
      <c r="I652" s="37"/>
      <c r="J652" s="37"/>
      <c r="K652" s="37"/>
    </row>
    <row r="653" customFormat="false" ht="15" hidden="false" customHeight="false" outlineLevel="0" collapsed="false">
      <c r="A653" s="35"/>
      <c r="B653" s="36" t="str">
        <f aca="false">IF(A653="","",MONTH(A653))</f>
        <v/>
      </c>
      <c r="C653" s="37"/>
      <c r="D653" s="37"/>
      <c r="E653" s="37"/>
      <c r="F653" s="38"/>
      <c r="G653" s="37"/>
      <c r="H653" s="39" t="str">
        <f aca="false">IF(E653="","",E653*N(F653)*IF(G653="",1,G653))</f>
        <v/>
      </c>
      <c r="I653" s="37"/>
      <c r="J653" s="37"/>
      <c r="K653" s="37"/>
    </row>
    <row r="654" customFormat="false" ht="15" hidden="false" customHeight="false" outlineLevel="0" collapsed="false">
      <c r="A654" s="35"/>
      <c r="B654" s="36" t="str">
        <f aca="false">IF(A654="","",MONTH(A654))</f>
        <v/>
      </c>
      <c r="C654" s="37"/>
      <c r="D654" s="37"/>
      <c r="E654" s="37"/>
      <c r="F654" s="38"/>
      <c r="G654" s="37"/>
      <c r="H654" s="39" t="str">
        <f aca="false">IF(E654="","",E654*N(F654)*IF(G654="",1,G654))</f>
        <v/>
      </c>
      <c r="I654" s="37"/>
      <c r="J654" s="37"/>
      <c r="K654" s="37"/>
    </row>
    <row r="655" customFormat="false" ht="15" hidden="false" customHeight="false" outlineLevel="0" collapsed="false">
      <c r="A655" s="35"/>
      <c r="B655" s="36" t="str">
        <f aca="false">IF(A655="","",MONTH(A655))</f>
        <v/>
      </c>
      <c r="C655" s="37"/>
      <c r="D655" s="37"/>
      <c r="E655" s="37"/>
      <c r="F655" s="38"/>
      <c r="G655" s="37"/>
      <c r="H655" s="39" t="str">
        <f aca="false">IF(E655="","",E655*N(F655)*IF(G655="",1,G655))</f>
        <v/>
      </c>
      <c r="I655" s="37"/>
      <c r="J655" s="37"/>
      <c r="K655" s="37"/>
    </row>
    <row r="656" customFormat="false" ht="15" hidden="false" customHeight="false" outlineLevel="0" collapsed="false">
      <c r="A656" s="35"/>
      <c r="B656" s="36" t="str">
        <f aca="false">IF(A656="","",MONTH(A656))</f>
        <v/>
      </c>
      <c r="C656" s="37"/>
      <c r="D656" s="37"/>
      <c r="E656" s="37"/>
      <c r="F656" s="38"/>
      <c r="G656" s="37"/>
      <c r="H656" s="39" t="str">
        <f aca="false">IF(E656="","",E656*N(F656)*IF(G656="",1,G656))</f>
        <v/>
      </c>
      <c r="I656" s="37"/>
      <c r="J656" s="37"/>
      <c r="K656" s="37"/>
    </row>
    <row r="657" customFormat="false" ht="15" hidden="false" customHeight="false" outlineLevel="0" collapsed="false">
      <c r="A657" s="35"/>
      <c r="B657" s="36" t="str">
        <f aca="false">IF(A657="","",MONTH(A657))</f>
        <v/>
      </c>
      <c r="C657" s="37"/>
      <c r="D657" s="37"/>
      <c r="E657" s="37"/>
      <c r="F657" s="38"/>
      <c r="G657" s="37"/>
      <c r="H657" s="39" t="str">
        <f aca="false">IF(E657="","",E657*N(F657)*IF(G657="",1,G657))</f>
        <v/>
      </c>
      <c r="I657" s="37"/>
      <c r="J657" s="37"/>
      <c r="K657" s="37"/>
    </row>
    <row r="658" customFormat="false" ht="15" hidden="false" customHeight="false" outlineLevel="0" collapsed="false">
      <c r="A658" s="35"/>
      <c r="B658" s="36" t="str">
        <f aca="false">IF(A658="","",MONTH(A658))</f>
        <v/>
      </c>
      <c r="C658" s="37"/>
      <c r="D658" s="37"/>
      <c r="E658" s="37"/>
      <c r="F658" s="38"/>
      <c r="G658" s="37"/>
      <c r="H658" s="39" t="str">
        <f aca="false">IF(E658="","",E658*N(F658)*IF(G658="",1,G658))</f>
        <v/>
      </c>
      <c r="I658" s="37"/>
      <c r="J658" s="37"/>
      <c r="K658" s="37"/>
    </row>
    <row r="659" customFormat="false" ht="15" hidden="false" customHeight="false" outlineLevel="0" collapsed="false">
      <c r="A659" s="35"/>
      <c r="B659" s="36" t="str">
        <f aca="false">IF(A659="","",MONTH(A659))</f>
        <v/>
      </c>
      <c r="C659" s="37"/>
      <c r="D659" s="37"/>
      <c r="E659" s="37"/>
      <c r="F659" s="38"/>
      <c r="G659" s="37"/>
      <c r="H659" s="39" t="str">
        <f aca="false">IF(E659="","",E659*N(F659)*IF(G659="",1,G659))</f>
        <v/>
      </c>
      <c r="I659" s="37"/>
      <c r="J659" s="37"/>
      <c r="K659" s="37"/>
    </row>
    <row r="660" customFormat="false" ht="15" hidden="false" customHeight="false" outlineLevel="0" collapsed="false">
      <c r="A660" s="35"/>
      <c r="B660" s="36" t="str">
        <f aca="false">IF(A660="","",MONTH(A660))</f>
        <v/>
      </c>
      <c r="C660" s="37"/>
      <c r="D660" s="37"/>
      <c r="E660" s="37"/>
      <c r="F660" s="38"/>
      <c r="G660" s="37"/>
      <c r="H660" s="39" t="str">
        <f aca="false">IF(E660="","",E660*N(F660)*IF(G660="",1,G660))</f>
        <v/>
      </c>
      <c r="I660" s="37"/>
      <c r="J660" s="37"/>
      <c r="K660" s="37"/>
    </row>
    <row r="661" customFormat="false" ht="15" hidden="false" customHeight="false" outlineLevel="0" collapsed="false">
      <c r="A661" s="35"/>
      <c r="B661" s="36" t="str">
        <f aca="false">IF(A661="","",MONTH(A661))</f>
        <v/>
      </c>
      <c r="C661" s="37"/>
      <c r="D661" s="37"/>
      <c r="E661" s="37"/>
      <c r="F661" s="38"/>
      <c r="G661" s="37"/>
      <c r="H661" s="39" t="str">
        <f aca="false">IF(E661="","",E661*N(F661)*IF(G661="",1,G661))</f>
        <v/>
      </c>
      <c r="I661" s="37"/>
      <c r="J661" s="37"/>
      <c r="K661" s="37"/>
    </row>
    <row r="662" customFormat="false" ht="15" hidden="false" customHeight="false" outlineLevel="0" collapsed="false">
      <c r="A662" s="35"/>
      <c r="B662" s="36" t="str">
        <f aca="false">IF(A662="","",MONTH(A662))</f>
        <v/>
      </c>
      <c r="C662" s="37"/>
      <c r="D662" s="37"/>
      <c r="E662" s="37"/>
      <c r="F662" s="38"/>
      <c r="G662" s="37"/>
      <c r="H662" s="39" t="str">
        <f aca="false">IF(E662="","",E662*N(F662)*IF(G662="",1,G662))</f>
        <v/>
      </c>
      <c r="I662" s="37"/>
      <c r="J662" s="37"/>
      <c r="K662" s="37"/>
    </row>
    <row r="663" customFormat="false" ht="15" hidden="false" customHeight="false" outlineLevel="0" collapsed="false">
      <c r="A663" s="35"/>
      <c r="B663" s="36" t="str">
        <f aca="false">IF(A663="","",MONTH(A663))</f>
        <v/>
      </c>
      <c r="C663" s="37"/>
      <c r="D663" s="37"/>
      <c r="E663" s="37"/>
      <c r="F663" s="38"/>
      <c r="G663" s="37"/>
      <c r="H663" s="39" t="str">
        <f aca="false">IF(E663="","",E663*N(F663)*IF(G663="",1,G663))</f>
        <v/>
      </c>
      <c r="I663" s="37"/>
      <c r="J663" s="37"/>
      <c r="K663" s="37"/>
    </row>
    <row r="664" customFormat="false" ht="15" hidden="false" customHeight="false" outlineLevel="0" collapsed="false">
      <c r="A664" s="35"/>
      <c r="B664" s="36" t="str">
        <f aca="false">IF(A664="","",MONTH(A664))</f>
        <v/>
      </c>
      <c r="C664" s="37"/>
      <c r="D664" s="37"/>
      <c r="E664" s="37"/>
      <c r="F664" s="38"/>
      <c r="G664" s="37"/>
      <c r="H664" s="39" t="str">
        <f aca="false">IF(E664="","",E664*N(F664)*IF(G664="",1,G664))</f>
        <v/>
      </c>
      <c r="I664" s="37"/>
      <c r="J664" s="37"/>
      <c r="K664" s="37"/>
    </row>
    <row r="665" customFormat="false" ht="15" hidden="false" customHeight="false" outlineLevel="0" collapsed="false">
      <c r="A665" s="35"/>
      <c r="B665" s="36" t="str">
        <f aca="false">IF(A665="","",MONTH(A665))</f>
        <v/>
      </c>
      <c r="C665" s="37"/>
      <c r="D665" s="37"/>
      <c r="E665" s="37"/>
      <c r="F665" s="38"/>
      <c r="G665" s="37"/>
      <c r="H665" s="39" t="str">
        <f aca="false">IF(E665="","",E665*N(F665)*IF(G665="",1,G665))</f>
        <v/>
      </c>
      <c r="I665" s="37"/>
      <c r="J665" s="37"/>
      <c r="K665" s="37"/>
    </row>
    <row r="666" customFormat="false" ht="15" hidden="false" customHeight="false" outlineLevel="0" collapsed="false">
      <c r="A666" s="35"/>
      <c r="B666" s="36" t="str">
        <f aca="false">IF(A666="","",MONTH(A666))</f>
        <v/>
      </c>
      <c r="C666" s="37"/>
      <c r="D666" s="37"/>
      <c r="E666" s="37"/>
      <c r="F666" s="38"/>
      <c r="G666" s="37"/>
      <c r="H666" s="39" t="str">
        <f aca="false">IF(E666="","",E666*N(F666)*IF(G666="",1,G666))</f>
        <v/>
      </c>
      <c r="I666" s="37"/>
      <c r="J666" s="37"/>
      <c r="K666" s="37"/>
    </row>
    <row r="667" customFormat="false" ht="15" hidden="false" customHeight="false" outlineLevel="0" collapsed="false">
      <c r="A667" s="35"/>
      <c r="B667" s="36" t="str">
        <f aca="false">IF(A667="","",MONTH(A667))</f>
        <v/>
      </c>
      <c r="C667" s="37"/>
      <c r="D667" s="37"/>
      <c r="E667" s="37"/>
      <c r="F667" s="38"/>
      <c r="G667" s="37"/>
      <c r="H667" s="39" t="str">
        <f aca="false">IF(E667="","",E667*N(F667)*IF(G667="",1,G667))</f>
        <v/>
      </c>
      <c r="I667" s="37"/>
      <c r="J667" s="37"/>
      <c r="K667" s="37"/>
    </row>
    <row r="668" customFormat="false" ht="15" hidden="false" customHeight="false" outlineLevel="0" collapsed="false">
      <c r="A668" s="35"/>
      <c r="B668" s="36" t="str">
        <f aca="false">IF(A668="","",MONTH(A668))</f>
        <v/>
      </c>
      <c r="C668" s="37"/>
      <c r="D668" s="37"/>
      <c r="E668" s="37"/>
      <c r="F668" s="38"/>
      <c r="G668" s="37"/>
      <c r="H668" s="39" t="str">
        <f aca="false">IF(E668="","",E668*N(F668)*IF(G668="",1,G668))</f>
        <v/>
      </c>
      <c r="I668" s="37"/>
      <c r="J668" s="37"/>
      <c r="K668" s="37"/>
    </row>
    <row r="669" customFormat="false" ht="15" hidden="false" customHeight="false" outlineLevel="0" collapsed="false">
      <c r="A669" s="35"/>
      <c r="B669" s="36" t="str">
        <f aca="false">IF(A669="","",MONTH(A669))</f>
        <v/>
      </c>
      <c r="C669" s="37"/>
      <c r="D669" s="37"/>
      <c r="E669" s="37"/>
      <c r="F669" s="38"/>
      <c r="G669" s="37"/>
      <c r="H669" s="39" t="str">
        <f aca="false">IF(E669="","",E669*N(F669)*IF(G669="",1,G669))</f>
        <v/>
      </c>
      <c r="I669" s="37"/>
      <c r="J669" s="37"/>
      <c r="K669" s="37"/>
    </row>
    <row r="670" customFormat="false" ht="15" hidden="false" customHeight="false" outlineLevel="0" collapsed="false">
      <c r="A670" s="35"/>
      <c r="B670" s="36" t="str">
        <f aca="false">IF(A670="","",MONTH(A670))</f>
        <v/>
      </c>
      <c r="C670" s="37"/>
      <c r="D670" s="37"/>
      <c r="E670" s="37"/>
      <c r="F670" s="38"/>
      <c r="G670" s="37"/>
      <c r="H670" s="39" t="str">
        <f aca="false">IF(E670="","",E670*N(F670)*IF(G670="",1,G670))</f>
        <v/>
      </c>
      <c r="I670" s="37"/>
      <c r="J670" s="37"/>
      <c r="K670" s="37"/>
    </row>
    <row r="671" customFormat="false" ht="15" hidden="false" customHeight="false" outlineLevel="0" collapsed="false">
      <c r="A671" s="35"/>
      <c r="B671" s="36" t="str">
        <f aca="false">IF(A671="","",MONTH(A671))</f>
        <v/>
      </c>
      <c r="C671" s="37"/>
      <c r="D671" s="37"/>
      <c r="E671" s="37"/>
      <c r="F671" s="38"/>
      <c r="G671" s="37"/>
      <c r="H671" s="39" t="str">
        <f aca="false">IF(E671="","",E671*N(F671)*IF(G671="",1,G671))</f>
        <v/>
      </c>
      <c r="I671" s="37"/>
      <c r="J671" s="37"/>
      <c r="K671" s="37"/>
    </row>
    <row r="672" customFormat="false" ht="15" hidden="false" customHeight="false" outlineLevel="0" collapsed="false">
      <c r="A672" s="35"/>
      <c r="B672" s="36" t="str">
        <f aca="false">IF(A672="","",MONTH(A672))</f>
        <v/>
      </c>
      <c r="C672" s="37"/>
      <c r="D672" s="37"/>
      <c r="E672" s="37"/>
      <c r="F672" s="38"/>
      <c r="G672" s="37"/>
      <c r="H672" s="39" t="str">
        <f aca="false">IF(E672="","",E672*N(F672)*IF(G672="",1,G672))</f>
        <v/>
      </c>
      <c r="I672" s="37"/>
      <c r="J672" s="37"/>
      <c r="K672" s="37"/>
    </row>
    <row r="673" customFormat="false" ht="15" hidden="false" customHeight="false" outlineLevel="0" collapsed="false">
      <c r="A673" s="35"/>
      <c r="B673" s="36" t="str">
        <f aca="false">IF(A673="","",MONTH(A673))</f>
        <v/>
      </c>
      <c r="C673" s="37"/>
      <c r="D673" s="37"/>
      <c r="E673" s="37"/>
      <c r="F673" s="38"/>
      <c r="G673" s="37"/>
      <c r="H673" s="39" t="str">
        <f aca="false">IF(E673="","",E673*N(F673)*IF(G673="",1,G673))</f>
        <v/>
      </c>
      <c r="I673" s="37"/>
      <c r="J673" s="37"/>
      <c r="K673" s="37"/>
    </row>
    <row r="674" customFormat="false" ht="15" hidden="false" customHeight="false" outlineLevel="0" collapsed="false">
      <c r="A674" s="35"/>
      <c r="B674" s="36" t="str">
        <f aca="false">IF(A674="","",MONTH(A674))</f>
        <v/>
      </c>
      <c r="C674" s="37"/>
      <c r="D674" s="37"/>
      <c r="E674" s="37"/>
      <c r="F674" s="38"/>
      <c r="G674" s="37"/>
      <c r="H674" s="39" t="str">
        <f aca="false">IF(E674="","",E674*N(F674)*IF(G674="",1,G674))</f>
        <v/>
      </c>
      <c r="I674" s="37"/>
      <c r="J674" s="37"/>
      <c r="K674" s="37"/>
    </row>
    <row r="675" customFormat="false" ht="15" hidden="false" customHeight="false" outlineLevel="0" collapsed="false">
      <c r="A675" s="35"/>
      <c r="B675" s="36" t="str">
        <f aca="false">IF(A675="","",MONTH(A675))</f>
        <v/>
      </c>
      <c r="C675" s="37"/>
      <c r="D675" s="37"/>
      <c r="E675" s="37"/>
      <c r="F675" s="38"/>
      <c r="G675" s="37"/>
      <c r="H675" s="39" t="str">
        <f aca="false">IF(E675="","",E675*N(F675)*IF(G675="",1,G675))</f>
        <v/>
      </c>
      <c r="I675" s="37"/>
      <c r="J675" s="37"/>
      <c r="K675" s="37"/>
    </row>
    <row r="676" customFormat="false" ht="15" hidden="false" customHeight="false" outlineLevel="0" collapsed="false">
      <c r="A676" s="35"/>
      <c r="B676" s="36" t="str">
        <f aca="false">IF(A676="","",MONTH(A676))</f>
        <v/>
      </c>
      <c r="C676" s="37"/>
      <c r="D676" s="37"/>
      <c r="E676" s="37"/>
      <c r="F676" s="38"/>
      <c r="G676" s="37"/>
      <c r="H676" s="39" t="str">
        <f aca="false">IF(E676="","",E676*N(F676)*IF(G676="",1,G676))</f>
        <v/>
      </c>
      <c r="I676" s="37"/>
      <c r="J676" s="37"/>
      <c r="K676" s="37"/>
    </row>
    <row r="677" customFormat="false" ht="15" hidden="false" customHeight="false" outlineLevel="0" collapsed="false">
      <c r="A677" s="35"/>
      <c r="B677" s="36" t="str">
        <f aca="false">IF(A677="","",MONTH(A677))</f>
        <v/>
      </c>
      <c r="C677" s="37"/>
      <c r="D677" s="37"/>
      <c r="E677" s="37"/>
      <c r="F677" s="38"/>
      <c r="G677" s="37"/>
      <c r="H677" s="39" t="str">
        <f aca="false">IF(E677="","",E677*N(F677)*IF(G677="",1,G677))</f>
        <v/>
      </c>
      <c r="I677" s="37"/>
      <c r="J677" s="37"/>
      <c r="K677" s="37"/>
    </row>
    <row r="678" customFormat="false" ht="15" hidden="false" customHeight="false" outlineLevel="0" collapsed="false">
      <c r="A678" s="35"/>
      <c r="B678" s="36" t="str">
        <f aca="false">IF(A678="","",MONTH(A678))</f>
        <v/>
      </c>
      <c r="C678" s="37"/>
      <c r="D678" s="37"/>
      <c r="E678" s="37"/>
      <c r="F678" s="38"/>
      <c r="G678" s="37"/>
      <c r="H678" s="39" t="str">
        <f aca="false">IF(E678="","",E678*N(F678)*IF(G678="",1,G678))</f>
        <v/>
      </c>
      <c r="I678" s="37"/>
      <c r="J678" s="37"/>
      <c r="K678" s="37"/>
    </row>
    <row r="679" customFormat="false" ht="15" hidden="false" customHeight="false" outlineLevel="0" collapsed="false">
      <c r="A679" s="35"/>
      <c r="B679" s="36" t="str">
        <f aca="false">IF(A679="","",MONTH(A679))</f>
        <v/>
      </c>
      <c r="C679" s="37"/>
      <c r="D679" s="37"/>
      <c r="E679" s="37"/>
      <c r="F679" s="38"/>
      <c r="G679" s="37"/>
      <c r="H679" s="39" t="str">
        <f aca="false">IF(E679="","",E679*N(F679)*IF(G679="",1,G679))</f>
        <v/>
      </c>
      <c r="I679" s="37"/>
      <c r="J679" s="37"/>
      <c r="K679" s="37"/>
    </row>
    <row r="680" customFormat="false" ht="15" hidden="false" customHeight="false" outlineLevel="0" collapsed="false">
      <c r="A680" s="35"/>
      <c r="B680" s="36" t="str">
        <f aca="false">IF(A680="","",MONTH(A680))</f>
        <v/>
      </c>
      <c r="C680" s="37"/>
      <c r="D680" s="37"/>
      <c r="E680" s="37"/>
      <c r="F680" s="38"/>
      <c r="G680" s="37"/>
      <c r="H680" s="39" t="str">
        <f aca="false">IF(E680="","",E680*N(F680)*IF(G680="",1,G680))</f>
        <v/>
      </c>
      <c r="I680" s="37"/>
      <c r="J680" s="37"/>
      <c r="K680" s="37"/>
    </row>
    <row r="681" customFormat="false" ht="15" hidden="false" customHeight="false" outlineLevel="0" collapsed="false">
      <c r="A681" s="35"/>
      <c r="B681" s="36" t="str">
        <f aca="false">IF(A681="","",MONTH(A681))</f>
        <v/>
      </c>
      <c r="C681" s="37"/>
      <c r="D681" s="37"/>
      <c r="E681" s="37"/>
      <c r="F681" s="38"/>
      <c r="G681" s="37"/>
      <c r="H681" s="39" t="str">
        <f aca="false">IF(E681="","",E681*N(F681)*IF(G681="",1,G681))</f>
        <v/>
      </c>
      <c r="I681" s="37"/>
      <c r="J681" s="37"/>
      <c r="K681" s="37"/>
    </row>
    <row r="682" customFormat="false" ht="15" hidden="false" customHeight="false" outlineLevel="0" collapsed="false">
      <c r="A682" s="35"/>
      <c r="B682" s="36" t="str">
        <f aca="false">IF(A682="","",MONTH(A682))</f>
        <v/>
      </c>
      <c r="C682" s="37"/>
      <c r="D682" s="37"/>
      <c r="E682" s="37"/>
      <c r="F682" s="38"/>
      <c r="G682" s="37"/>
      <c r="H682" s="39" t="str">
        <f aca="false">IF(E682="","",E682*N(F682)*IF(G682="",1,G682))</f>
        <v/>
      </c>
      <c r="I682" s="37"/>
      <c r="J682" s="37"/>
      <c r="K682" s="37"/>
    </row>
    <row r="683" customFormat="false" ht="15" hidden="false" customHeight="false" outlineLevel="0" collapsed="false">
      <c r="A683" s="35"/>
      <c r="B683" s="36" t="str">
        <f aca="false">IF(A683="","",MONTH(A683))</f>
        <v/>
      </c>
      <c r="C683" s="37"/>
      <c r="D683" s="37"/>
      <c r="E683" s="37"/>
      <c r="F683" s="38"/>
      <c r="G683" s="37"/>
      <c r="H683" s="39" t="str">
        <f aca="false">IF(E683="","",E683*N(F683)*IF(G683="",1,G683))</f>
        <v/>
      </c>
      <c r="I683" s="37"/>
      <c r="J683" s="37"/>
      <c r="K683" s="37"/>
    </row>
    <row r="684" customFormat="false" ht="15" hidden="false" customHeight="false" outlineLevel="0" collapsed="false">
      <c r="A684" s="35"/>
      <c r="B684" s="36" t="str">
        <f aca="false">IF(A684="","",MONTH(A684))</f>
        <v/>
      </c>
      <c r="C684" s="37"/>
      <c r="D684" s="37"/>
      <c r="E684" s="37"/>
      <c r="F684" s="38"/>
      <c r="G684" s="37"/>
      <c r="H684" s="39" t="str">
        <f aca="false">IF(E684="","",E684*N(F684)*IF(G684="",1,G684))</f>
        <v/>
      </c>
      <c r="I684" s="37"/>
      <c r="J684" s="37"/>
      <c r="K684" s="37"/>
    </row>
    <row r="685" customFormat="false" ht="15" hidden="false" customHeight="false" outlineLevel="0" collapsed="false">
      <c r="A685" s="35"/>
      <c r="B685" s="36" t="str">
        <f aca="false">IF(A685="","",MONTH(A685))</f>
        <v/>
      </c>
      <c r="C685" s="37"/>
      <c r="D685" s="37"/>
      <c r="E685" s="37"/>
      <c r="F685" s="38"/>
      <c r="G685" s="37"/>
      <c r="H685" s="39" t="str">
        <f aca="false">IF(E685="","",E685*N(F685)*IF(G685="",1,G685))</f>
        <v/>
      </c>
      <c r="I685" s="37"/>
      <c r="J685" s="37"/>
      <c r="K685" s="37"/>
    </row>
    <row r="686" customFormat="false" ht="15" hidden="false" customHeight="false" outlineLevel="0" collapsed="false">
      <c r="A686" s="35"/>
      <c r="B686" s="36" t="str">
        <f aca="false">IF(A686="","",MONTH(A686))</f>
        <v/>
      </c>
      <c r="C686" s="37"/>
      <c r="D686" s="37"/>
      <c r="E686" s="37"/>
      <c r="F686" s="38"/>
      <c r="G686" s="37"/>
      <c r="H686" s="39" t="str">
        <f aca="false">IF(E686="","",E686*N(F686)*IF(G686="",1,G686))</f>
        <v/>
      </c>
      <c r="I686" s="37"/>
      <c r="J686" s="37"/>
      <c r="K686" s="37"/>
    </row>
    <row r="687" customFormat="false" ht="15" hidden="false" customHeight="false" outlineLevel="0" collapsed="false">
      <c r="A687" s="35"/>
      <c r="B687" s="36" t="str">
        <f aca="false">IF(A687="","",MONTH(A687))</f>
        <v/>
      </c>
      <c r="C687" s="37"/>
      <c r="D687" s="37"/>
      <c r="E687" s="37"/>
      <c r="F687" s="38"/>
      <c r="G687" s="37"/>
      <c r="H687" s="39" t="str">
        <f aca="false">IF(E687="","",E687*N(F687)*IF(G687="",1,G687))</f>
        <v/>
      </c>
      <c r="I687" s="37"/>
      <c r="J687" s="37"/>
      <c r="K687" s="37"/>
    </row>
    <row r="688" customFormat="false" ht="15" hidden="false" customHeight="false" outlineLevel="0" collapsed="false">
      <c r="A688" s="35"/>
      <c r="B688" s="36" t="str">
        <f aca="false">IF(A688="","",MONTH(A688))</f>
        <v/>
      </c>
      <c r="C688" s="37"/>
      <c r="D688" s="37"/>
      <c r="E688" s="37"/>
      <c r="F688" s="38"/>
      <c r="G688" s="37"/>
      <c r="H688" s="39" t="str">
        <f aca="false">IF(E688="","",E688*N(F688)*IF(G688="",1,G688))</f>
        <v/>
      </c>
      <c r="I688" s="37"/>
      <c r="J688" s="37"/>
      <c r="K688" s="37"/>
    </row>
    <row r="689" customFormat="false" ht="15" hidden="false" customHeight="false" outlineLevel="0" collapsed="false">
      <c r="A689" s="35"/>
      <c r="B689" s="36" t="str">
        <f aca="false">IF(A689="","",MONTH(A689))</f>
        <v/>
      </c>
      <c r="C689" s="37"/>
      <c r="D689" s="37"/>
      <c r="E689" s="37"/>
      <c r="F689" s="38"/>
      <c r="G689" s="37"/>
      <c r="H689" s="39" t="str">
        <f aca="false">IF(E689="","",E689*N(F689)*IF(G689="",1,G689))</f>
        <v/>
      </c>
      <c r="I689" s="37"/>
      <c r="J689" s="37"/>
      <c r="K689" s="37"/>
    </row>
    <row r="690" customFormat="false" ht="15" hidden="false" customHeight="false" outlineLevel="0" collapsed="false">
      <c r="A690" s="35"/>
      <c r="B690" s="36" t="str">
        <f aca="false">IF(A690="","",MONTH(A690))</f>
        <v/>
      </c>
      <c r="C690" s="37"/>
      <c r="D690" s="37"/>
      <c r="E690" s="37"/>
      <c r="F690" s="38"/>
      <c r="G690" s="37"/>
      <c r="H690" s="39" t="str">
        <f aca="false">IF(E690="","",E690*N(F690)*IF(G690="",1,G690))</f>
        <v/>
      </c>
      <c r="I690" s="37"/>
      <c r="J690" s="37"/>
      <c r="K690" s="37"/>
    </row>
    <row r="691" customFormat="false" ht="15" hidden="false" customHeight="false" outlineLevel="0" collapsed="false">
      <c r="A691" s="35"/>
      <c r="B691" s="36" t="str">
        <f aca="false">IF(A691="","",MONTH(A691))</f>
        <v/>
      </c>
      <c r="C691" s="37"/>
      <c r="D691" s="37"/>
      <c r="E691" s="37"/>
      <c r="F691" s="38"/>
      <c r="G691" s="37"/>
      <c r="H691" s="39" t="str">
        <f aca="false">IF(E691="","",E691*N(F691)*IF(G691="",1,G691))</f>
        <v/>
      </c>
      <c r="I691" s="37"/>
      <c r="J691" s="37"/>
      <c r="K691" s="37"/>
    </row>
    <row r="692" customFormat="false" ht="15" hidden="false" customHeight="false" outlineLevel="0" collapsed="false">
      <c r="A692" s="35"/>
      <c r="B692" s="36" t="str">
        <f aca="false">IF(A692="","",MONTH(A692))</f>
        <v/>
      </c>
      <c r="C692" s="37"/>
      <c r="D692" s="37"/>
      <c r="E692" s="37"/>
      <c r="F692" s="38"/>
      <c r="G692" s="37"/>
      <c r="H692" s="39" t="str">
        <f aca="false">IF(E692="","",E692*N(F692)*IF(G692="",1,G692))</f>
        <v/>
      </c>
      <c r="I692" s="37"/>
      <c r="J692" s="37"/>
      <c r="K692" s="37"/>
    </row>
    <row r="693" customFormat="false" ht="15" hidden="false" customHeight="false" outlineLevel="0" collapsed="false">
      <c r="A693" s="35"/>
      <c r="B693" s="36" t="str">
        <f aca="false">IF(A693="","",MONTH(A693))</f>
        <v/>
      </c>
      <c r="C693" s="37"/>
      <c r="D693" s="37"/>
      <c r="E693" s="37"/>
      <c r="F693" s="38"/>
      <c r="G693" s="37"/>
      <c r="H693" s="39" t="str">
        <f aca="false">IF(E693="","",E693*N(F693)*IF(G693="",1,G693))</f>
        <v/>
      </c>
      <c r="I693" s="37"/>
      <c r="J693" s="37"/>
      <c r="K693" s="37"/>
    </row>
    <row r="694" customFormat="false" ht="15" hidden="false" customHeight="false" outlineLevel="0" collapsed="false">
      <c r="A694" s="35"/>
      <c r="B694" s="36" t="str">
        <f aca="false">IF(A694="","",MONTH(A694))</f>
        <v/>
      </c>
      <c r="C694" s="37"/>
      <c r="D694" s="37"/>
      <c r="E694" s="37"/>
      <c r="F694" s="38"/>
      <c r="G694" s="37"/>
      <c r="H694" s="39" t="str">
        <f aca="false">IF(E694="","",E694*N(F694)*IF(G694="",1,G694))</f>
        <v/>
      </c>
      <c r="I694" s="37"/>
      <c r="J694" s="37"/>
      <c r="K694" s="37"/>
    </row>
    <row r="695" customFormat="false" ht="15" hidden="false" customHeight="false" outlineLevel="0" collapsed="false">
      <c r="A695" s="35"/>
      <c r="B695" s="36" t="str">
        <f aca="false">IF(A695="","",MONTH(A695))</f>
        <v/>
      </c>
      <c r="C695" s="37"/>
      <c r="D695" s="37"/>
      <c r="E695" s="37"/>
      <c r="F695" s="38"/>
      <c r="G695" s="37"/>
      <c r="H695" s="39" t="str">
        <f aca="false">IF(E695="","",E695*N(F695)*IF(G695="",1,G695))</f>
        <v/>
      </c>
      <c r="I695" s="37"/>
      <c r="J695" s="37"/>
      <c r="K695" s="37"/>
    </row>
    <row r="696" customFormat="false" ht="15" hidden="false" customHeight="false" outlineLevel="0" collapsed="false">
      <c r="A696" s="35"/>
      <c r="B696" s="36" t="str">
        <f aca="false">IF(A696="","",MONTH(A696))</f>
        <v/>
      </c>
      <c r="C696" s="37"/>
      <c r="D696" s="37"/>
      <c r="E696" s="37"/>
      <c r="F696" s="38"/>
      <c r="G696" s="37"/>
      <c r="H696" s="39" t="str">
        <f aca="false">IF(E696="","",E696*N(F696)*IF(G696="",1,G696))</f>
        <v/>
      </c>
      <c r="I696" s="37"/>
      <c r="J696" s="37"/>
      <c r="K696" s="37"/>
    </row>
    <row r="697" customFormat="false" ht="15" hidden="false" customHeight="false" outlineLevel="0" collapsed="false">
      <c r="A697" s="35"/>
      <c r="B697" s="36" t="str">
        <f aca="false">IF(A697="","",MONTH(A697))</f>
        <v/>
      </c>
      <c r="C697" s="37"/>
      <c r="D697" s="37"/>
      <c r="E697" s="37"/>
      <c r="F697" s="38"/>
      <c r="G697" s="37"/>
      <c r="H697" s="39" t="str">
        <f aca="false">IF(E697="","",E697*N(F697)*IF(G697="",1,G697))</f>
        <v/>
      </c>
      <c r="I697" s="37"/>
      <c r="J697" s="37"/>
      <c r="K697" s="37"/>
    </row>
    <row r="698" customFormat="false" ht="15" hidden="false" customHeight="false" outlineLevel="0" collapsed="false">
      <c r="A698" s="35"/>
      <c r="B698" s="36" t="str">
        <f aca="false">IF(A698="","",MONTH(A698))</f>
        <v/>
      </c>
      <c r="C698" s="37"/>
      <c r="D698" s="37"/>
      <c r="E698" s="37"/>
      <c r="F698" s="38"/>
      <c r="G698" s="37"/>
      <c r="H698" s="39" t="str">
        <f aca="false">IF(E698="","",E698*N(F698)*IF(G698="",1,G698))</f>
        <v/>
      </c>
      <c r="I698" s="37"/>
      <c r="J698" s="37"/>
      <c r="K698" s="37"/>
    </row>
    <row r="699" customFormat="false" ht="15" hidden="false" customHeight="false" outlineLevel="0" collapsed="false">
      <c r="A699" s="35"/>
      <c r="B699" s="36" t="str">
        <f aca="false">IF(A699="","",MONTH(A699))</f>
        <v/>
      </c>
      <c r="C699" s="37"/>
      <c r="D699" s="37"/>
      <c r="E699" s="37"/>
      <c r="F699" s="38"/>
      <c r="G699" s="37"/>
      <c r="H699" s="39" t="str">
        <f aca="false">IF(E699="","",E699*N(F699)*IF(G699="",1,G699))</f>
        <v/>
      </c>
      <c r="I699" s="37"/>
      <c r="J699" s="37"/>
      <c r="K699" s="37"/>
    </row>
    <row r="700" customFormat="false" ht="15" hidden="false" customHeight="false" outlineLevel="0" collapsed="false">
      <c r="A700" s="35"/>
      <c r="B700" s="36" t="str">
        <f aca="false">IF(A700="","",MONTH(A700))</f>
        <v/>
      </c>
      <c r="C700" s="37"/>
      <c r="D700" s="37"/>
      <c r="E700" s="37"/>
      <c r="F700" s="38"/>
      <c r="G700" s="37"/>
      <c r="H700" s="39" t="str">
        <f aca="false">IF(E700="","",E700*N(F700)*IF(G700="",1,G700))</f>
        <v/>
      </c>
      <c r="I700" s="37"/>
      <c r="J700" s="37"/>
      <c r="K700" s="37"/>
    </row>
    <row r="701" customFormat="false" ht="15" hidden="false" customHeight="false" outlineLevel="0" collapsed="false">
      <c r="A701" s="35"/>
      <c r="B701" s="36" t="str">
        <f aca="false">IF(A701="","",MONTH(A701))</f>
        <v/>
      </c>
      <c r="C701" s="37"/>
      <c r="D701" s="37"/>
      <c r="E701" s="37"/>
      <c r="F701" s="38"/>
      <c r="G701" s="37"/>
      <c r="H701" s="39" t="str">
        <f aca="false">IF(E701="","",E701*N(F701)*IF(G701="",1,G701))</f>
        <v/>
      </c>
      <c r="I701" s="37"/>
      <c r="J701" s="37"/>
      <c r="K701" s="37"/>
    </row>
    <row r="702" customFormat="false" ht="15" hidden="false" customHeight="false" outlineLevel="0" collapsed="false">
      <c r="A702" s="35"/>
      <c r="B702" s="36" t="str">
        <f aca="false">IF(A702="","",MONTH(A702))</f>
        <v/>
      </c>
      <c r="C702" s="37"/>
      <c r="D702" s="37"/>
      <c r="E702" s="37"/>
      <c r="F702" s="38"/>
      <c r="G702" s="37"/>
      <c r="H702" s="39" t="str">
        <f aca="false">IF(E702="","",E702*N(F702)*IF(G702="",1,G702))</f>
        <v/>
      </c>
      <c r="I702" s="37"/>
      <c r="J702" s="37"/>
      <c r="K702" s="37"/>
    </row>
    <row r="703" customFormat="false" ht="15" hidden="false" customHeight="false" outlineLevel="0" collapsed="false">
      <c r="A703" s="35"/>
      <c r="B703" s="36" t="str">
        <f aca="false">IF(A703="","",MONTH(A703))</f>
        <v/>
      </c>
      <c r="C703" s="37"/>
      <c r="D703" s="37"/>
      <c r="E703" s="37"/>
      <c r="F703" s="38"/>
      <c r="G703" s="37"/>
      <c r="H703" s="39" t="str">
        <f aca="false">IF(E703="","",E703*N(F703)*IF(G703="",1,G703))</f>
        <v/>
      </c>
      <c r="I703" s="37"/>
      <c r="J703" s="37"/>
      <c r="K703" s="37"/>
    </row>
    <row r="704" customFormat="false" ht="15" hidden="false" customHeight="false" outlineLevel="0" collapsed="false">
      <c r="A704" s="35"/>
      <c r="B704" s="36" t="str">
        <f aca="false">IF(A704="","",MONTH(A704))</f>
        <v/>
      </c>
      <c r="C704" s="37"/>
      <c r="D704" s="37"/>
      <c r="E704" s="37"/>
      <c r="F704" s="38"/>
      <c r="G704" s="37"/>
      <c r="H704" s="39" t="str">
        <f aca="false">IF(E704="","",E704*N(F704)*IF(G704="",1,G704))</f>
        <v/>
      </c>
      <c r="I704" s="37"/>
      <c r="J704" s="37"/>
      <c r="K704" s="37"/>
    </row>
    <row r="705" customFormat="false" ht="15" hidden="false" customHeight="false" outlineLevel="0" collapsed="false">
      <c r="A705" s="35"/>
      <c r="B705" s="36" t="str">
        <f aca="false">IF(A705="","",MONTH(A705))</f>
        <v/>
      </c>
      <c r="C705" s="37"/>
      <c r="D705" s="37"/>
      <c r="E705" s="37"/>
      <c r="F705" s="38"/>
      <c r="G705" s="37"/>
      <c r="H705" s="39" t="str">
        <f aca="false">IF(E705="","",E705*N(F705)*IF(G705="",1,G705))</f>
        <v/>
      </c>
      <c r="I705" s="37"/>
      <c r="J705" s="37"/>
      <c r="K705" s="37"/>
    </row>
    <row r="706" customFormat="false" ht="15" hidden="false" customHeight="false" outlineLevel="0" collapsed="false">
      <c r="A706" s="35"/>
      <c r="B706" s="36" t="str">
        <f aca="false">IF(A706="","",MONTH(A706))</f>
        <v/>
      </c>
      <c r="C706" s="37"/>
      <c r="D706" s="37"/>
      <c r="E706" s="37"/>
      <c r="F706" s="38"/>
      <c r="G706" s="37"/>
      <c r="H706" s="39" t="str">
        <f aca="false">IF(E706="","",E706*N(F706)*IF(G706="",1,G706))</f>
        <v/>
      </c>
      <c r="I706" s="37"/>
      <c r="J706" s="37"/>
      <c r="K706" s="37"/>
    </row>
    <row r="707" customFormat="false" ht="15" hidden="false" customHeight="false" outlineLevel="0" collapsed="false">
      <c r="A707" s="35"/>
      <c r="B707" s="36" t="str">
        <f aca="false">IF(A707="","",MONTH(A707))</f>
        <v/>
      </c>
      <c r="C707" s="37"/>
      <c r="D707" s="37"/>
      <c r="E707" s="37"/>
      <c r="F707" s="38"/>
      <c r="G707" s="37"/>
      <c r="H707" s="39" t="str">
        <f aca="false">IF(E707="","",E707*N(F707)*IF(G707="",1,G707))</f>
        <v/>
      </c>
      <c r="I707" s="37"/>
      <c r="J707" s="37"/>
      <c r="K707" s="37"/>
    </row>
    <row r="708" customFormat="false" ht="15" hidden="false" customHeight="false" outlineLevel="0" collapsed="false">
      <c r="A708" s="35"/>
      <c r="B708" s="36" t="str">
        <f aca="false">IF(A708="","",MONTH(A708))</f>
        <v/>
      </c>
      <c r="C708" s="37"/>
      <c r="D708" s="37"/>
      <c r="E708" s="37"/>
      <c r="F708" s="38"/>
      <c r="G708" s="37"/>
      <c r="H708" s="39" t="str">
        <f aca="false">IF(E708="","",E708*N(F708)*IF(G708="",1,G708))</f>
        <v/>
      </c>
      <c r="I708" s="37"/>
      <c r="J708" s="37"/>
      <c r="K708" s="37"/>
    </row>
    <row r="709" customFormat="false" ht="15" hidden="false" customHeight="false" outlineLevel="0" collapsed="false">
      <c r="A709" s="35"/>
      <c r="B709" s="36" t="str">
        <f aca="false">IF(A709="","",MONTH(A709))</f>
        <v/>
      </c>
      <c r="C709" s="37"/>
      <c r="D709" s="37"/>
      <c r="E709" s="37"/>
      <c r="F709" s="38"/>
      <c r="G709" s="37"/>
      <c r="H709" s="39" t="str">
        <f aca="false">IF(E709="","",E709*N(F709)*IF(G709="",1,G709))</f>
        <v/>
      </c>
      <c r="I709" s="37"/>
      <c r="J709" s="37"/>
      <c r="K709" s="37"/>
    </row>
    <row r="710" customFormat="false" ht="15" hidden="false" customHeight="false" outlineLevel="0" collapsed="false">
      <c r="A710" s="35"/>
      <c r="B710" s="36" t="str">
        <f aca="false">IF(A710="","",MONTH(A710))</f>
        <v/>
      </c>
      <c r="C710" s="37"/>
      <c r="D710" s="37"/>
      <c r="E710" s="37"/>
      <c r="F710" s="38"/>
      <c r="G710" s="37"/>
      <c r="H710" s="39" t="str">
        <f aca="false">IF(E710="","",E710*N(F710)*IF(G710="",1,G710))</f>
        <v/>
      </c>
      <c r="I710" s="37"/>
      <c r="J710" s="37"/>
      <c r="K710" s="37"/>
    </row>
    <row r="711" customFormat="false" ht="15" hidden="false" customHeight="false" outlineLevel="0" collapsed="false">
      <c r="A711" s="35"/>
      <c r="B711" s="36" t="str">
        <f aca="false">IF(A711="","",MONTH(A711))</f>
        <v/>
      </c>
      <c r="C711" s="37"/>
      <c r="D711" s="37"/>
      <c r="E711" s="37"/>
      <c r="F711" s="38"/>
      <c r="G711" s="37"/>
      <c r="H711" s="39" t="str">
        <f aca="false">IF(E711="","",E711*N(F711)*IF(G711="",1,G711))</f>
        <v/>
      </c>
      <c r="I711" s="37"/>
      <c r="J711" s="37"/>
      <c r="K711" s="37"/>
    </row>
    <row r="712" customFormat="false" ht="15" hidden="false" customHeight="false" outlineLevel="0" collapsed="false">
      <c r="A712" s="35"/>
      <c r="B712" s="36" t="str">
        <f aca="false">IF(A712="","",MONTH(A712))</f>
        <v/>
      </c>
      <c r="C712" s="37"/>
      <c r="D712" s="37"/>
      <c r="E712" s="37"/>
      <c r="F712" s="38"/>
      <c r="G712" s="37"/>
      <c r="H712" s="39" t="str">
        <f aca="false">IF(E712="","",E712*N(F712)*IF(G712="",1,G712))</f>
        <v/>
      </c>
      <c r="I712" s="37"/>
      <c r="J712" s="37"/>
      <c r="K712" s="37"/>
    </row>
    <row r="713" customFormat="false" ht="15" hidden="false" customHeight="false" outlineLevel="0" collapsed="false">
      <c r="A713" s="35"/>
      <c r="B713" s="36" t="str">
        <f aca="false">IF(A713="","",MONTH(A713))</f>
        <v/>
      </c>
      <c r="C713" s="37"/>
      <c r="D713" s="37"/>
      <c r="E713" s="37"/>
      <c r="F713" s="38"/>
      <c r="G713" s="37"/>
      <c r="H713" s="39" t="str">
        <f aca="false">IF(E713="","",E713*N(F713)*IF(G713="",1,G713))</f>
        <v/>
      </c>
      <c r="I713" s="37"/>
      <c r="J713" s="37"/>
      <c r="K713" s="37"/>
    </row>
    <row r="714" customFormat="false" ht="15" hidden="false" customHeight="false" outlineLevel="0" collapsed="false">
      <c r="A714" s="35"/>
      <c r="B714" s="36" t="str">
        <f aca="false">IF(A714="","",MONTH(A714))</f>
        <v/>
      </c>
      <c r="C714" s="37"/>
      <c r="D714" s="37"/>
      <c r="E714" s="37"/>
      <c r="F714" s="38"/>
      <c r="G714" s="37"/>
      <c r="H714" s="39" t="str">
        <f aca="false">IF(E714="","",E714*N(F714)*IF(G714="",1,G714))</f>
        <v/>
      </c>
      <c r="I714" s="37"/>
      <c r="J714" s="37"/>
      <c r="K714" s="37"/>
    </row>
    <row r="715" customFormat="false" ht="15" hidden="false" customHeight="false" outlineLevel="0" collapsed="false">
      <c r="A715" s="35"/>
      <c r="B715" s="36" t="str">
        <f aca="false">IF(A715="","",MONTH(A715))</f>
        <v/>
      </c>
      <c r="C715" s="37"/>
      <c r="D715" s="37"/>
      <c r="E715" s="37"/>
      <c r="F715" s="38"/>
      <c r="G715" s="37"/>
      <c r="H715" s="39" t="str">
        <f aca="false">IF(E715="","",E715*N(F715)*IF(G715="",1,G715))</f>
        <v/>
      </c>
      <c r="I715" s="37"/>
      <c r="J715" s="37"/>
      <c r="K715" s="37"/>
    </row>
    <row r="716" customFormat="false" ht="15" hidden="false" customHeight="false" outlineLevel="0" collapsed="false">
      <c r="A716" s="35"/>
      <c r="B716" s="36" t="str">
        <f aca="false">IF(A716="","",MONTH(A716))</f>
        <v/>
      </c>
      <c r="C716" s="37"/>
      <c r="D716" s="37"/>
      <c r="E716" s="37"/>
      <c r="F716" s="38"/>
      <c r="G716" s="37"/>
      <c r="H716" s="39" t="str">
        <f aca="false">IF(E716="","",E716*N(F716)*IF(G716="",1,G716))</f>
        <v/>
      </c>
      <c r="I716" s="37"/>
      <c r="J716" s="37"/>
      <c r="K716" s="37"/>
    </row>
    <row r="717" customFormat="false" ht="15" hidden="false" customHeight="false" outlineLevel="0" collapsed="false">
      <c r="A717" s="35"/>
      <c r="B717" s="36" t="str">
        <f aca="false">IF(A717="","",MONTH(A717))</f>
        <v/>
      </c>
      <c r="C717" s="37"/>
      <c r="D717" s="37"/>
      <c r="E717" s="37"/>
      <c r="F717" s="38"/>
      <c r="G717" s="37"/>
      <c r="H717" s="39" t="str">
        <f aca="false">IF(E717="","",E717*N(F717)*IF(G717="",1,G717))</f>
        <v/>
      </c>
      <c r="I717" s="37"/>
      <c r="J717" s="37"/>
      <c r="K717" s="37"/>
    </row>
    <row r="718" customFormat="false" ht="15" hidden="false" customHeight="false" outlineLevel="0" collapsed="false">
      <c r="A718" s="35"/>
      <c r="B718" s="36" t="str">
        <f aca="false">IF(A718="","",MONTH(A718))</f>
        <v/>
      </c>
      <c r="C718" s="37"/>
      <c r="D718" s="37"/>
      <c r="E718" s="37"/>
      <c r="F718" s="38"/>
      <c r="G718" s="37"/>
      <c r="H718" s="39" t="str">
        <f aca="false">IF(E718="","",E718*N(F718)*IF(G718="",1,G718))</f>
        <v/>
      </c>
      <c r="I718" s="37"/>
      <c r="J718" s="37"/>
      <c r="K718" s="37"/>
    </row>
    <row r="719" customFormat="false" ht="15" hidden="false" customHeight="false" outlineLevel="0" collapsed="false">
      <c r="A719" s="35"/>
      <c r="B719" s="36" t="str">
        <f aca="false">IF(A719="","",MONTH(A719))</f>
        <v/>
      </c>
      <c r="C719" s="37"/>
      <c r="D719" s="37"/>
      <c r="E719" s="37"/>
      <c r="F719" s="38"/>
      <c r="G719" s="37"/>
      <c r="H719" s="39" t="str">
        <f aca="false">IF(E719="","",E719*N(F719)*IF(G719="",1,G719))</f>
        <v/>
      </c>
      <c r="I719" s="37"/>
      <c r="J719" s="37"/>
      <c r="K719" s="37"/>
    </row>
    <row r="720" customFormat="false" ht="15" hidden="false" customHeight="false" outlineLevel="0" collapsed="false">
      <c r="A720" s="35"/>
      <c r="B720" s="36" t="str">
        <f aca="false">IF(A720="","",MONTH(A720))</f>
        <v/>
      </c>
      <c r="C720" s="37"/>
      <c r="D720" s="37"/>
      <c r="E720" s="37"/>
      <c r="F720" s="38"/>
      <c r="G720" s="37"/>
      <c r="H720" s="39" t="str">
        <f aca="false">IF(E720="","",E720*N(F720)*IF(G720="",1,G720))</f>
        <v/>
      </c>
      <c r="I720" s="37"/>
      <c r="J720" s="37"/>
      <c r="K720" s="37"/>
    </row>
    <row r="721" customFormat="false" ht="15" hidden="false" customHeight="false" outlineLevel="0" collapsed="false">
      <c r="A721" s="35"/>
      <c r="B721" s="36" t="str">
        <f aca="false">IF(A721="","",MONTH(A721))</f>
        <v/>
      </c>
      <c r="C721" s="37"/>
      <c r="D721" s="37"/>
      <c r="E721" s="37"/>
      <c r="F721" s="38"/>
      <c r="G721" s="37"/>
      <c r="H721" s="39" t="str">
        <f aca="false">IF(E721="","",E721*N(F721)*IF(G721="",1,G721))</f>
        <v/>
      </c>
      <c r="I721" s="37"/>
      <c r="J721" s="37"/>
      <c r="K721" s="37"/>
    </row>
    <row r="722" customFormat="false" ht="15" hidden="false" customHeight="false" outlineLevel="0" collapsed="false">
      <c r="A722" s="35"/>
      <c r="B722" s="36" t="str">
        <f aca="false">IF(A722="","",MONTH(A722))</f>
        <v/>
      </c>
      <c r="C722" s="37"/>
      <c r="D722" s="37"/>
      <c r="E722" s="37"/>
      <c r="F722" s="38"/>
      <c r="G722" s="37"/>
      <c r="H722" s="39" t="str">
        <f aca="false">IF(E722="","",E722*N(F722)*IF(G722="",1,G722))</f>
        <v/>
      </c>
      <c r="I722" s="37"/>
      <c r="J722" s="37"/>
      <c r="K722" s="37"/>
    </row>
    <row r="723" customFormat="false" ht="15" hidden="false" customHeight="false" outlineLevel="0" collapsed="false">
      <c r="A723" s="35"/>
      <c r="B723" s="36" t="str">
        <f aca="false">IF(A723="","",MONTH(A723))</f>
        <v/>
      </c>
      <c r="C723" s="37"/>
      <c r="D723" s="37"/>
      <c r="E723" s="37"/>
      <c r="F723" s="38"/>
      <c r="G723" s="37"/>
      <c r="H723" s="39" t="str">
        <f aca="false">IF(E723="","",E723*N(F723)*IF(G723="",1,G723))</f>
        <v/>
      </c>
      <c r="I723" s="37"/>
      <c r="J723" s="37"/>
      <c r="K723" s="37"/>
    </row>
    <row r="724" customFormat="false" ht="15" hidden="false" customHeight="false" outlineLevel="0" collapsed="false">
      <c r="A724" s="35"/>
      <c r="B724" s="36" t="str">
        <f aca="false">IF(A724="","",MONTH(A724))</f>
        <v/>
      </c>
      <c r="C724" s="37"/>
      <c r="D724" s="37"/>
      <c r="E724" s="37"/>
      <c r="F724" s="38"/>
      <c r="G724" s="37"/>
      <c r="H724" s="39" t="str">
        <f aca="false">IF(E724="","",E724*N(F724)*IF(G724="",1,G724))</f>
        <v/>
      </c>
      <c r="I724" s="37"/>
      <c r="J724" s="37"/>
      <c r="K724" s="37"/>
    </row>
    <row r="725" customFormat="false" ht="15" hidden="false" customHeight="false" outlineLevel="0" collapsed="false">
      <c r="A725" s="35"/>
      <c r="B725" s="36" t="str">
        <f aca="false">IF(A725="","",MONTH(A725))</f>
        <v/>
      </c>
      <c r="C725" s="37"/>
      <c r="D725" s="37"/>
      <c r="E725" s="37"/>
      <c r="F725" s="38"/>
      <c r="G725" s="37"/>
      <c r="H725" s="39" t="str">
        <f aca="false">IF(E725="","",E725*N(F725)*IF(G725="",1,G725))</f>
        <v/>
      </c>
      <c r="I725" s="37"/>
      <c r="J725" s="37"/>
      <c r="K725" s="37"/>
    </row>
    <row r="726" customFormat="false" ht="15" hidden="false" customHeight="false" outlineLevel="0" collapsed="false">
      <c r="A726" s="35"/>
      <c r="B726" s="36" t="str">
        <f aca="false">IF(A726="","",MONTH(A726))</f>
        <v/>
      </c>
      <c r="C726" s="37"/>
      <c r="D726" s="37"/>
      <c r="E726" s="37"/>
      <c r="F726" s="38"/>
      <c r="G726" s="37"/>
      <c r="H726" s="39" t="str">
        <f aca="false">IF(E726="","",E726*N(F726)*IF(G726="",1,G726))</f>
        <v/>
      </c>
      <c r="I726" s="37"/>
      <c r="J726" s="37"/>
      <c r="K726" s="37"/>
    </row>
    <row r="727" customFormat="false" ht="15" hidden="false" customHeight="false" outlineLevel="0" collapsed="false">
      <c r="A727" s="35"/>
      <c r="B727" s="36" t="str">
        <f aca="false">IF(A727="","",MONTH(A727))</f>
        <v/>
      </c>
      <c r="C727" s="37"/>
      <c r="D727" s="37"/>
      <c r="E727" s="37"/>
      <c r="F727" s="38"/>
      <c r="G727" s="37"/>
      <c r="H727" s="39" t="str">
        <f aca="false">IF(E727="","",E727*N(F727)*IF(G727="",1,G727))</f>
        <v/>
      </c>
      <c r="I727" s="37"/>
      <c r="J727" s="37"/>
      <c r="K727" s="37"/>
    </row>
    <row r="728" customFormat="false" ht="15" hidden="false" customHeight="false" outlineLevel="0" collapsed="false">
      <c r="A728" s="35"/>
      <c r="B728" s="36" t="str">
        <f aca="false">IF(A728="","",MONTH(A728))</f>
        <v/>
      </c>
      <c r="C728" s="37"/>
      <c r="D728" s="37"/>
      <c r="E728" s="37"/>
      <c r="F728" s="38"/>
      <c r="G728" s="37"/>
      <c r="H728" s="39" t="str">
        <f aca="false">IF(E728="","",E728*N(F728)*IF(G728="",1,G728))</f>
        <v/>
      </c>
      <c r="I728" s="37"/>
      <c r="J728" s="37"/>
      <c r="K728" s="37"/>
    </row>
    <row r="729" customFormat="false" ht="15" hidden="false" customHeight="false" outlineLevel="0" collapsed="false">
      <c r="A729" s="35"/>
      <c r="B729" s="36" t="str">
        <f aca="false">IF(A729="","",MONTH(A729))</f>
        <v/>
      </c>
      <c r="C729" s="37"/>
      <c r="D729" s="37"/>
      <c r="E729" s="37"/>
      <c r="F729" s="38"/>
      <c r="G729" s="37"/>
      <c r="H729" s="39" t="str">
        <f aca="false">IF(E729="","",E729*N(F729)*IF(G729="",1,G729))</f>
        <v/>
      </c>
      <c r="I729" s="37"/>
      <c r="J729" s="37"/>
      <c r="K729" s="37"/>
    </row>
    <row r="730" customFormat="false" ht="15" hidden="false" customHeight="false" outlineLevel="0" collapsed="false">
      <c r="A730" s="35"/>
      <c r="B730" s="36" t="str">
        <f aca="false">IF(A730="","",MONTH(A730))</f>
        <v/>
      </c>
      <c r="C730" s="37"/>
      <c r="D730" s="37"/>
      <c r="E730" s="37"/>
      <c r="F730" s="38"/>
      <c r="G730" s="37"/>
      <c r="H730" s="39" t="str">
        <f aca="false">IF(E730="","",E730*N(F730)*IF(G730="",1,G730))</f>
        <v/>
      </c>
      <c r="I730" s="37"/>
      <c r="J730" s="37"/>
      <c r="K730" s="37"/>
    </row>
    <row r="731" customFormat="false" ht="15" hidden="false" customHeight="false" outlineLevel="0" collapsed="false">
      <c r="A731" s="35"/>
      <c r="B731" s="36" t="str">
        <f aca="false">IF(A731="","",MONTH(A731))</f>
        <v/>
      </c>
      <c r="C731" s="37"/>
      <c r="D731" s="37"/>
      <c r="E731" s="37"/>
      <c r="F731" s="38"/>
      <c r="G731" s="37"/>
      <c r="H731" s="39" t="str">
        <f aca="false">IF(E731="","",E731*N(F731)*IF(G731="",1,G731))</f>
        <v/>
      </c>
      <c r="I731" s="37"/>
      <c r="J731" s="37"/>
      <c r="K731" s="37"/>
    </row>
    <row r="732" customFormat="false" ht="15" hidden="false" customHeight="false" outlineLevel="0" collapsed="false">
      <c r="A732" s="35"/>
      <c r="B732" s="36" t="str">
        <f aca="false">IF(A732="","",MONTH(A732))</f>
        <v/>
      </c>
      <c r="C732" s="37"/>
      <c r="D732" s="37"/>
      <c r="E732" s="37"/>
      <c r="F732" s="38"/>
      <c r="G732" s="37"/>
      <c r="H732" s="39" t="str">
        <f aca="false">IF(E732="","",E732*N(F732)*IF(G732="",1,G732))</f>
        <v/>
      </c>
      <c r="I732" s="37"/>
      <c r="J732" s="37"/>
      <c r="K732" s="37"/>
    </row>
    <row r="733" customFormat="false" ht="15" hidden="false" customHeight="false" outlineLevel="0" collapsed="false">
      <c r="A733" s="35"/>
      <c r="B733" s="36" t="str">
        <f aca="false">IF(A733="","",MONTH(A733))</f>
        <v/>
      </c>
      <c r="C733" s="37"/>
      <c r="D733" s="37"/>
      <c r="E733" s="37"/>
      <c r="F733" s="38"/>
      <c r="G733" s="37"/>
      <c r="H733" s="39" t="str">
        <f aca="false">IF(E733="","",E733*N(F733)*IF(G733="",1,G733))</f>
        <v/>
      </c>
      <c r="I733" s="37"/>
      <c r="J733" s="37"/>
      <c r="K733" s="37"/>
    </row>
    <row r="734" customFormat="false" ht="15" hidden="false" customHeight="false" outlineLevel="0" collapsed="false">
      <c r="A734" s="35"/>
      <c r="B734" s="36" t="str">
        <f aca="false">IF(A734="","",MONTH(A734))</f>
        <v/>
      </c>
      <c r="C734" s="37"/>
      <c r="D734" s="37"/>
      <c r="E734" s="37"/>
      <c r="F734" s="38"/>
      <c r="G734" s="37"/>
      <c r="H734" s="39" t="str">
        <f aca="false">IF(E734="","",E734*N(F734)*IF(G734="",1,G734))</f>
        <v/>
      </c>
      <c r="I734" s="37"/>
      <c r="J734" s="37"/>
      <c r="K734" s="37"/>
    </row>
    <row r="735" customFormat="false" ht="15" hidden="false" customHeight="false" outlineLevel="0" collapsed="false">
      <c r="A735" s="35"/>
      <c r="B735" s="36" t="str">
        <f aca="false">IF(A735="","",MONTH(A735))</f>
        <v/>
      </c>
      <c r="C735" s="37"/>
      <c r="D735" s="37"/>
      <c r="E735" s="37"/>
      <c r="F735" s="38"/>
      <c r="G735" s="37"/>
      <c r="H735" s="39" t="str">
        <f aca="false">IF(E735="","",E735*N(F735)*IF(G735="",1,G735))</f>
        <v/>
      </c>
      <c r="I735" s="37"/>
      <c r="J735" s="37"/>
      <c r="K735" s="37"/>
    </row>
    <row r="736" customFormat="false" ht="15" hidden="false" customHeight="false" outlineLevel="0" collapsed="false">
      <c r="A736" s="35"/>
      <c r="B736" s="36" t="str">
        <f aca="false">IF(A736="","",MONTH(A736))</f>
        <v/>
      </c>
      <c r="C736" s="37"/>
      <c r="D736" s="37"/>
      <c r="E736" s="37"/>
      <c r="F736" s="38"/>
      <c r="G736" s="37"/>
      <c r="H736" s="39" t="str">
        <f aca="false">IF(E736="","",E736*N(F736)*IF(G736="",1,G736))</f>
        <v/>
      </c>
      <c r="I736" s="37"/>
      <c r="J736" s="37"/>
      <c r="K736" s="37"/>
    </row>
    <row r="737" customFormat="false" ht="15" hidden="false" customHeight="false" outlineLevel="0" collapsed="false">
      <c r="A737" s="35"/>
      <c r="B737" s="36" t="str">
        <f aca="false">IF(A737="","",MONTH(A737))</f>
        <v/>
      </c>
      <c r="C737" s="37"/>
      <c r="D737" s="37"/>
      <c r="E737" s="37"/>
      <c r="F737" s="38"/>
      <c r="G737" s="37"/>
      <c r="H737" s="39" t="str">
        <f aca="false">IF(E737="","",E737*N(F737)*IF(G737="",1,G737))</f>
        <v/>
      </c>
      <c r="I737" s="37"/>
      <c r="J737" s="37"/>
      <c r="K737" s="37"/>
    </row>
    <row r="738" customFormat="false" ht="15" hidden="false" customHeight="false" outlineLevel="0" collapsed="false">
      <c r="A738" s="35"/>
      <c r="B738" s="36" t="str">
        <f aca="false">IF(A738="","",MONTH(A738))</f>
        <v/>
      </c>
      <c r="C738" s="37"/>
      <c r="D738" s="37"/>
      <c r="E738" s="37"/>
      <c r="F738" s="38"/>
      <c r="G738" s="37"/>
      <c r="H738" s="39" t="str">
        <f aca="false">IF(E738="","",E738*N(F738)*IF(G738="",1,G738))</f>
        <v/>
      </c>
      <c r="I738" s="37"/>
      <c r="J738" s="37"/>
      <c r="K738" s="37"/>
    </row>
    <row r="739" customFormat="false" ht="15" hidden="false" customHeight="false" outlineLevel="0" collapsed="false">
      <c r="A739" s="35"/>
      <c r="B739" s="36" t="str">
        <f aca="false">IF(A739="","",MONTH(A739))</f>
        <v/>
      </c>
      <c r="C739" s="37"/>
      <c r="D739" s="37"/>
      <c r="E739" s="37"/>
      <c r="F739" s="38"/>
      <c r="G739" s="37"/>
      <c r="H739" s="39" t="str">
        <f aca="false">IF(E739="","",E739*N(F739)*IF(G739="",1,G739))</f>
        <v/>
      </c>
      <c r="I739" s="37"/>
      <c r="J739" s="37"/>
      <c r="K739" s="37"/>
    </row>
    <row r="740" customFormat="false" ht="15" hidden="false" customHeight="false" outlineLevel="0" collapsed="false">
      <c r="A740" s="35"/>
      <c r="B740" s="36" t="str">
        <f aca="false">IF(A740="","",MONTH(A740))</f>
        <v/>
      </c>
      <c r="C740" s="37"/>
      <c r="D740" s="37"/>
      <c r="E740" s="37"/>
      <c r="F740" s="38"/>
      <c r="G740" s="37"/>
      <c r="H740" s="39" t="str">
        <f aca="false">IF(E740="","",E740*N(F740)*IF(G740="",1,G740))</f>
        <v/>
      </c>
      <c r="I740" s="37"/>
      <c r="J740" s="37"/>
      <c r="K740" s="37"/>
    </row>
    <row r="741" customFormat="false" ht="15" hidden="false" customHeight="false" outlineLevel="0" collapsed="false">
      <c r="A741" s="35"/>
      <c r="B741" s="36" t="str">
        <f aca="false">IF(A741="","",MONTH(A741))</f>
        <v/>
      </c>
      <c r="C741" s="37"/>
      <c r="D741" s="37"/>
      <c r="E741" s="37"/>
      <c r="F741" s="38"/>
      <c r="G741" s="37"/>
      <c r="H741" s="39" t="str">
        <f aca="false">IF(E741="","",E741*N(F741)*IF(G741="",1,G741))</f>
        <v/>
      </c>
      <c r="I741" s="37"/>
      <c r="J741" s="37"/>
      <c r="K741" s="37"/>
    </row>
    <row r="742" customFormat="false" ht="15" hidden="false" customHeight="false" outlineLevel="0" collapsed="false">
      <c r="A742" s="35"/>
      <c r="B742" s="36" t="str">
        <f aca="false">IF(A742="","",MONTH(A742))</f>
        <v/>
      </c>
      <c r="C742" s="37"/>
      <c r="D742" s="37"/>
      <c r="E742" s="37"/>
      <c r="F742" s="38"/>
      <c r="G742" s="37"/>
      <c r="H742" s="39" t="str">
        <f aca="false">IF(E742="","",E742*N(F742)*IF(G742="",1,G742))</f>
        <v/>
      </c>
      <c r="I742" s="37"/>
      <c r="J742" s="37"/>
      <c r="K742" s="37"/>
    </row>
    <row r="743" customFormat="false" ht="15" hidden="false" customHeight="false" outlineLevel="0" collapsed="false">
      <c r="A743" s="35"/>
      <c r="B743" s="36" t="str">
        <f aca="false">IF(A743="","",MONTH(A743))</f>
        <v/>
      </c>
      <c r="C743" s="37"/>
      <c r="D743" s="37"/>
      <c r="E743" s="37"/>
      <c r="F743" s="38"/>
      <c r="G743" s="37"/>
      <c r="H743" s="39" t="str">
        <f aca="false">IF(E743="","",E743*N(F743)*IF(G743="",1,G743))</f>
        <v/>
      </c>
      <c r="I743" s="37"/>
      <c r="J743" s="37"/>
      <c r="K743" s="37"/>
    </row>
    <row r="744" customFormat="false" ht="15" hidden="false" customHeight="false" outlineLevel="0" collapsed="false">
      <c r="A744" s="35"/>
      <c r="B744" s="36" t="str">
        <f aca="false">IF(A744="","",MONTH(A744))</f>
        <v/>
      </c>
      <c r="C744" s="37"/>
      <c r="D744" s="37"/>
      <c r="E744" s="37"/>
      <c r="F744" s="38"/>
      <c r="G744" s="37"/>
      <c r="H744" s="39" t="str">
        <f aca="false">IF(E744="","",E744*N(F744)*IF(G744="",1,G744))</f>
        <v/>
      </c>
      <c r="I744" s="37"/>
      <c r="J744" s="37"/>
      <c r="K744" s="37"/>
    </row>
    <row r="745" customFormat="false" ht="15" hidden="false" customHeight="false" outlineLevel="0" collapsed="false">
      <c r="A745" s="35"/>
      <c r="B745" s="36" t="str">
        <f aca="false">IF(A745="","",MONTH(A745))</f>
        <v/>
      </c>
      <c r="C745" s="37"/>
      <c r="D745" s="37"/>
      <c r="E745" s="37"/>
      <c r="F745" s="38"/>
      <c r="G745" s="37"/>
      <c r="H745" s="39" t="str">
        <f aca="false">IF(E745="","",E745*N(F745)*IF(G745="",1,G745))</f>
        <v/>
      </c>
      <c r="I745" s="37"/>
      <c r="J745" s="37"/>
      <c r="K745" s="37"/>
    </row>
    <row r="746" customFormat="false" ht="15" hidden="false" customHeight="false" outlineLevel="0" collapsed="false">
      <c r="A746" s="35"/>
      <c r="B746" s="36" t="str">
        <f aca="false">IF(A746="","",MONTH(A746))</f>
        <v/>
      </c>
      <c r="C746" s="37"/>
      <c r="D746" s="37"/>
      <c r="E746" s="37"/>
      <c r="F746" s="38"/>
      <c r="G746" s="37"/>
      <c r="H746" s="39" t="str">
        <f aca="false">IF(E746="","",E746*N(F746)*IF(G746="",1,G746))</f>
        <v/>
      </c>
      <c r="I746" s="37"/>
      <c r="J746" s="37"/>
      <c r="K746" s="37"/>
    </row>
    <row r="747" customFormat="false" ht="15" hidden="false" customHeight="false" outlineLevel="0" collapsed="false">
      <c r="A747" s="35"/>
      <c r="B747" s="36" t="str">
        <f aca="false">IF(A747="","",MONTH(A747))</f>
        <v/>
      </c>
      <c r="C747" s="37"/>
      <c r="D747" s="37"/>
      <c r="E747" s="37"/>
      <c r="F747" s="38"/>
      <c r="G747" s="37"/>
      <c r="H747" s="39" t="str">
        <f aca="false">IF(E747="","",E747*N(F747)*IF(G747="",1,G747))</f>
        <v/>
      </c>
      <c r="I747" s="37"/>
      <c r="J747" s="37"/>
      <c r="K747" s="37"/>
    </row>
    <row r="748" customFormat="false" ht="15" hidden="false" customHeight="false" outlineLevel="0" collapsed="false">
      <c r="A748" s="35"/>
      <c r="B748" s="36" t="str">
        <f aca="false">IF(A748="","",MONTH(A748))</f>
        <v/>
      </c>
      <c r="C748" s="37"/>
      <c r="D748" s="37"/>
      <c r="E748" s="37"/>
      <c r="F748" s="38"/>
      <c r="G748" s="37"/>
      <c r="H748" s="39" t="str">
        <f aca="false">IF(E748="","",E748*N(F748)*IF(G748="",1,G748))</f>
        <v/>
      </c>
      <c r="I748" s="37"/>
      <c r="J748" s="37"/>
      <c r="K748" s="37"/>
    </row>
    <row r="749" customFormat="false" ht="15" hidden="false" customHeight="false" outlineLevel="0" collapsed="false">
      <c r="A749" s="35"/>
      <c r="B749" s="36" t="str">
        <f aca="false">IF(A749="","",MONTH(A749))</f>
        <v/>
      </c>
      <c r="C749" s="37"/>
      <c r="D749" s="37"/>
      <c r="E749" s="37"/>
      <c r="F749" s="38"/>
      <c r="G749" s="37"/>
      <c r="H749" s="39" t="str">
        <f aca="false">IF(E749="","",E749*N(F749)*IF(G749="",1,G749))</f>
        <v/>
      </c>
      <c r="I749" s="37"/>
      <c r="J749" s="37"/>
      <c r="K749" s="37"/>
    </row>
    <row r="750" customFormat="false" ht="15" hidden="false" customHeight="false" outlineLevel="0" collapsed="false">
      <c r="A750" s="35"/>
      <c r="B750" s="36" t="str">
        <f aca="false">IF(A750="","",MONTH(A750))</f>
        <v/>
      </c>
      <c r="C750" s="37"/>
      <c r="D750" s="37"/>
      <c r="E750" s="37"/>
      <c r="F750" s="38"/>
      <c r="G750" s="37"/>
      <c r="H750" s="39" t="str">
        <f aca="false">IF(E750="","",E750*N(F750)*IF(G750="",1,G750))</f>
        <v/>
      </c>
      <c r="I750" s="37"/>
      <c r="J750" s="37"/>
      <c r="K750" s="37"/>
    </row>
    <row r="751" customFormat="false" ht="15" hidden="false" customHeight="false" outlineLevel="0" collapsed="false">
      <c r="A751" s="35"/>
      <c r="B751" s="36" t="str">
        <f aca="false">IF(A751="","",MONTH(A751))</f>
        <v/>
      </c>
      <c r="C751" s="37"/>
      <c r="D751" s="37"/>
      <c r="E751" s="37"/>
      <c r="F751" s="38"/>
      <c r="G751" s="37"/>
      <c r="H751" s="39" t="str">
        <f aca="false">IF(E751="","",E751*N(F751)*IF(G751="",1,G751))</f>
        <v/>
      </c>
      <c r="I751" s="37"/>
      <c r="J751" s="37"/>
      <c r="K751" s="37"/>
    </row>
    <row r="752" customFormat="false" ht="15" hidden="false" customHeight="false" outlineLevel="0" collapsed="false">
      <c r="A752" s="35"/>
      <c r="B752" s="36" t="str">
        <f aca="false">IF(A752="","",MONTH(A752))</f>
        <v/>
      </c>
      <c r="C752" s="37"/>
      <c r="D752" s="37"/>
      <c r="E752" s="37"/>
      <c r="F752" s="38"/>
      <c r="G752" s="37"/>
      <c r="H752" s="39" t="str">
        <f aca="false">IF(E752="","",E752*N(F752)*IF(G752="",1,G752))</f>
        <v/>
      </c>
      <c r="I752" s="37"/>
      <c r="J752" s="37"/>
      <c r="K752" s="37"/>
    </row>
    <row r="753" customFormat="false" ht="15" hidden="false" customHeight="false" outlineLevel="0" collapsed="false">
      <c r="A753" s="35"/>
      <c r="B753" s="36" t="str">
        <f aca="false">IF(A753="","",MONTH(A753))</f>
        <v/>
      </c>
      <c r="C753" s="37"/>
      <c r="D753" s="37"/>
      <c r="E753" s="37"/>
      <c r="F753" s="38"/>
      <c r="G753" s="37"/>
      <c r="H753" s="39" t="str">
        <f aca="false">IF(E753="","",E753*N(F753)*IF(G753="",1,G753))</f>
        <v/>
      </c>
      <c r="I753" s="37"/>
      <c r="J753" s="37"/>
      <c r="K753" s="37"/>
    </row>
    <row r="754" customFormat="false" ht="15" hidden="false" customHeight="false" outlineLevel="0" collapsed="false">
      <c r="A754" s="35"/>
      <c r="B754" s="36" t="str">
        <f aca="false">IF(A754="","",MONTH(A754))</f>
        <v/>
      </c>
      <c r="C754" s="37"/>
      <c r="D754" s="37"/>
      <c r="E754" s="37"/>
      <c r="F754" s="38"/>
      <c r="G754" s="37"/>
      <c r="H754" s="39" t="str">
        <f aca="false">IF(E754="","",E754*N(F754)*IF(G754="",1,G754))</f>
        <v/>
      </c>
      <c r="I754" s="37"/>
      <c r="J754" s="37"/>
      <c r="K754" s="37"/>
    </row>
    <row r="755" customFormat="false" ht="15" hidden="false" customHeight="false" outlineLevel="0" collapsed="false">
      <c r="A755" s="35"/>
      <c r="B755" s="36" t="str">
        <f aca="false">IF(A755="","",MONTH(A755))</f>
        <v/>
      </c>
      <c r="C755" s="37"/>
      <c r="D755" s="37"/>
      <c r="E755" s="37"/>
      <c r="F755" s="38"/>
      <c r="G755" s="37"/>
      <c r="H755" s="39" t="str">
        <f aca="false">IF(E755="","",E755*N(F755)*IF(G755="",1,G755))</f>
        <v/>
      </c>
      <c r="I755" s="37"/>
      <c r="J755" s="37"/>
      <c r="K755" s="37"/>
    </row>
    <row r="756" customFormat="false" ht="15" hidden="false" customHeight="false" outlineLevel="0" collapsed="false">
      <c r="A756" s="35"/>
      <c r="B756" s="36" t="str">
        <f aca="false">IF(A756="","",MONTH(A756))</f>
        <v/>
      </c>
      <c r="C756" s="37"/>
      <c r="D756" s="37"/>
      <c r="E756" s="37"/>
      <c r="F756" s="38"/>
      <c r="G756" s="37"/>
      <c r="H756" s="39" t="str">
        <f aca="false">IF(E756="","",E756*N(F756)*IF(G756="",1,G756))</f>
        <v/>
      </c>
      <c r="I756" s="37"/>
      <c r="J756" s="37"/>
      <c r="K756" s="37"/>
    </row>
    <row r="757" customFormat="false" ht="15" hidden="false" customHeight="false" outlineLevel="0" collapsed="false">
      <c r="A757" s="35"/>
      <c r="B757" s="36" t="str">
        <f aca="false">IF(A757="","",MONTH(A757))</f>
        <v/>
      </c>
      <c r="C757" s="37"/>
      <c r="D757" s="37"/>
      <c r="E757" s="37"/>
      <c r="F757" s="38"/>
      <c r="G757" s="37"/>
      <c r="H757" s="39" t="str">
        <f aca="false">IF(E757="","",E757*N(F757)*IF(G757="",1,G757))</f>
        <v/>
      </c>
      <c r="I757" s="37"/>
      <c r="J757" s="37"/>
      <c r="K757" s="37"/>
    </row>
    <row r="758" customFormat="false" ht="15" hidden="false" customHeight="false" outlineLevel="0" collapsed="false">
      <c r="A758" s="35"/>
      <c r="B758" s="36" t="str">
        <f aca="false">IF(A758="","",MONTH(A758))</f>
        <v/>
      </c>
      <c r="C758" s="37"/>
      <c r="D758" s="37"/>
      <c r="E758" s="37"/>
      <c r="F758" s="38"/>
      <c r="G758" s="37"/>
      <c r="H758" s="39" t="str">
        <f aca="false">IF(E758="","",E758*N(F758)*IF(G758="",1,G758))</f>
        <v/>
      </c>
      <c r="I758" s="37"/>
      <c r="J758" s="37"/>
      <c r="K758" s="37"/>
    </row>
    <row r="759" customFormat="false" ht="15" hidden="false" customHeight="false" outlineLevel="0" collapsed="false">
      <c r="A759" s="35"/>
      <c r="B759" s="36" t="str">
        <f aca="false">IF(A759="","",MONTH(A759))</f>
        <v/>
      </c>
      <c r="C759" s="37"/>
      <c r="D759" s="37"/>
      <c r="E759" s="37"/>
      <c r="F759" s="38"/>
      <c r="G759" s="37"/>
      <c r="H759" s="39" t="str">
        <f aca="false">IF(E759="","",E759*N(F759)*IF(G759="",1,G759))</f>
        <v/>
      </c>
      <c r="I759" s="37"/>
      <c r="J759" s="37"/>
      <c r="K759" s="37"/>
    </row>
    <row r="760" customFormat="false" ht="15" hidden="false" customHeight="false" outlineLevel="0" collapsed="false">
      <c r="A760" s="35"/>
      <c r="B760" s="36" t="str">
        <f aca="false">IF(A760="","",MONTH(A760))</f>
        <v/>
      </c>
      <c r="C760" s="37"/>
      <c r="D760" s="37"/>
      <c r="E760" s="37"/>
      <c r="F760" s="38"/>
      <c r="G760" s="37"/>
      <c r="H760" s="39" t="str">
        <f aca="false">IF(E760="","",E760*N(F760)*IF(G760="",1,G760))</f>
        <v/>
      </c>
      <c r="I760" s="37"/>
      <c r="J760" s="37"/>
      <c r="K760" s="37"/>
    </row>
    <row r="761" customFormat="false" ht="15" hidden="false" customHeight="false" outlineLevel="0" collapsed="false">
      <c r="A761" s="35"/>
      <c r="B761" s="36" t="str">
        <f aca="false">IF(A761="","",MONTH(A761))</f>
        <v/>
      </c>
      <c r="C761" s="37"/>
      <c r="D761" s="37"/>
      <c r="E761" s="37"/>
      <c r="F761" s="38"/>
      <c r="G761" s="37"/>
      <c r="H761" s="39" t="str">
        <f aca="false">IF(E761="","",E761*N(F761)*IF(G761="",1,G761))</f>
        <v/>
      </c>
      <c r="I761" s="37"/>
      <c r="J761" s="37"/>
      <c r="K761" s="37"/>
    </row>
    <row r="762" customFormat="false" ht="15" hidden="false" customHeight="false" outlineLevel="0" collapsed="false">
      <c r="A762" s="35"/>
      <c r="B762" s="36" t="str">
        <f aca="false">IF(A762="","",MONTH(A762))</f>
        <v/>
      </c>
      <c r="C762" s="37"/>
      <c r="D762" s="37"/>
      <c r="E762" s="37"/>
      <c r="F762" s="38"/>
      <c r="G762" s="37"/>
      <c r="H762" s="39" t="str">
        <f aca="false">IF(E762="","",E762*N(F762)*IF(G762="",1,G762))</f>
        <v/>
      </c>
      <c r="I762" s="37"/>
      <c r="J762" s="37"/>
      <c r="K762" s="37"/>
    </row>
    <row r="763" customFormat="false" ht="15" hidden="false" customHeight="false" outlineLevel="0" collapsed="false">
      <c r="A763" s="35"/>
      <c r="B763" s="36" t="str">
        <f aca="false">IF(A763="","",MONTH(A763))</f>
        <v/>
      </c>
      <c r="C763" s="37"/>
      <c r="D763" s="37"/>
      <c r="E763" s="37"/>
      <c r="F763" s="38"/>
      <c r="G763" s="37"/>
      <c r="H763" s="39" t="str">
        <f aca="false">IF(E763="","",E763*N(F763)*IF(G763="",1,G763))</f>
        <v/>
      </c>
      <c r="I763" s="37"/>
      <c r="J763" s="37"/>
      <c r="K763" s="37"/>
    </row>
    <row r="764" customFormat="false" ht="15" hidden="false" customHeight="false" outlineLevel="0" collapsed="false">
      <c r="A764" s="35"/>
      <c r="B764" s="36" t="str">
        <f aca="false">IF(A764="","",MONTH(A764))</f>
        <v/>
      </c>
      <c r="C764" s="37"/>
      <c r="D764" s="37"/>
      <c r="E764" s="37"/>
      <c r="F764" s="38"/>
      <c r="G764" s="37"/>
      <c r="H764" s="39" t="str">
        <f aca="false">IF(E764="","",E764*N(F764)*IF(G764="",1,G764))</f>
        <v/>
      </c>
      <c r="I764" s="37"/>
      <c r="J764" s="37"/>
      <c r="K764" s="37"/>
    </row>
    <row r="765" customFormat="false" ht="15" hidden="false" customHeight="false" outlineLevel="0" collapsed="false">
      <c r="A765" s="35"/>
      <c r="B765" s="36" t="str">
        <f aca="false">IF(A765="","",MONTH(A765))</f>
        <v/>
      </c>
      <c r="C765" s="37"/>
      <c r="D765" s="37"/>
      <c r="E765" s="37"/>
      <c r="F765" s="38"/>
      <c r="G765" s="37"/>
      <c r="H765" s="39" t="str">
        <f aca="false">IF(E765="","",E765*N(F765)*IF(G765="",1,G765))</f>
        <v/>
      </c>
      <c r="I765" s="37"/>
      <c r="J765" s="37"/>
      <c r="K765" s="37"/>
    </row>
    <row r="766" customFormat="false" ht="15" hidden="false" customHeight="false" outlineLevel="0" collapsed="false">
      <c r="A766" s="35"/>
      <c r="B766" s="36" t="str">
        <f aca="false">IF(A766="","",MONTH(A766))</f>
        <v/>
      </c>
      <c r="C766" s="37"/>
      <c r="D766" s="37"/>
      <c r="E766" s="37"/>
      <c r="F766" s="38"/>
      <c r="G766" s="37"/>
      <c r="H766" s="39" t="str">
        <f aca="false">IF(E766="","",E766*N(F766)*IF(G766="",1,G766))</f>
        <v/>
      </c>
      <c r="I766" s="37"/>
      <c r="J766" s="37"/>
      <c r="K766" s="37"/>
    </row>
    <row r="767" customFormat="false" ht="15" hidden="false" customHeight="false" outlineLevel="0" collapsed="false">
      <c r="A767" s="35"/>
      <c r="B767" s="36" t="str">
        <f aca="false">IF(A767="","",MONTH(A767))</f>
        <v/>
      </c>
      <c r="C767" s="37"/>
      <c r="D767" s="37"/>
      <c r="E767" s="37"/>
      <c r="F767" s="38"/>
      <c r="G767" s="37"/>
      <c r="H767" s="39" t="str">
        <f aca="false">IF(E767="","",E767*N(F767)*IF(G767="",1,G767))</f>
        <v/>
      </c>
      <c r="I767" s="37"/>
      <c r="J767" s="37"/>
      <c r="K767" s="37"/>
    </row>
    <row r="768" customFormat="false" ht="15" hidden="false" customHeight="false" outlineLevel="0" collapsed="false">
      <c r="A768" s="35"/>
      <c r="B768" s="36" t="str">
        <f aca="false">IF(A768="","",MONTH(A768))</f>
        <v/>
      </c>
      <c r="C768" s="37"/>
      <c r="D768" s="37"/>
      <c r="E768" s="37"/>
      <c r="F768" s="38"/>
      <c r="G768" s="37"/>
      <c r="H768" s="39" t="str">
        <f aca="false">IF(E768="","",E768*N(F768)*IF(G768="",1,G768))</f>
        <v/>
      </c>
      <c r="I768" s="37"/>
      <c r="J768" s="37"/>
      <c r="K768" s="37"/>
    </row>
    <row r="769" customFormat="false" ht="15" hidden="false" customHeight="false" outlineLevel="0" collapsed="false">
      <c r="A769" s="35"/>
      <c r="B769" s="36" t="str">
        <f aca="false">IF(A769="","",MONTH(A769))</f>
        <v/>
      </c>
      <c r="C769" s="37"/>
      <c r="D769" s="37"/>
      <c r="E769" s="37"/>
      <c r="F769" s="38"/>
      <c r="G769" s="37"/>
      <c r="H769" s="39" t="str">
        <f aca="false">IF(E769="","",E769*N(F769)*IF(G769="",1,G769))</f>
        <v/>
      </c>
      <c r="I769" s="37"/>
      <c r="J769" s="37"/>
      <c r="K769" s="37"/>
    </row>
    <row r="770" customFormat="false" ht="15" hidden="false" customHeight="false" outlineLevel="0" collapsed="false">
      <c r="A770" s="35"/>
      <c r="B770" s="36" t="str">
        <f aca="false">IF(A770="","",MONTH(A770))</f>
        <v/>
      </c>
      <c r="C770" s="37"/>
      <c r="D770" s="37"/>
      <c r="E770" s="37"/>
      <c r="F770" s="38"/>
      <c r="G770" s="37"/>
      <c r="H770" s="39" t="str">
        <f aca="false">IF(E770="","",E770*N(F770)*IF(G770="",1,G770))</f>
        <v/>
      </c>
      <c r="I770" s="37"/>
      <c r="J770" s="37"/>
      <c r="K770" s="37"/>
    </row>
    <row r="771" customFormat="false" ht="15" hidden="false" customHeight="false" outlineLevel="0" collapsed="false">
      <c r="A771" s="35"/>
      <c r="B771" s="36" t="str">
        <f aca="false">IF(A771="","",MONTH(A771))</f>
        <v/>
      </c>
      <c r="C771" s="37"/>
      <c r="D771" s="37"/>
      <c r="E771" s="37"/>
      <c r="F771" s="38"/>
      <c r="G771" s="37"/>
      <c r="H771" s="39" t="str">
        <f aca="false">IF(E771="","",E771*N(F771)*IF(G771="",1,G771))</f>
        <v/>
      </c>
      <c r="I771" s="37"/>
      <c r="J771" s="37"/>
      <c r="K771" s="37"/>
    </row>
    <row r="772" customFormat="false" ht="15" hidden="false" customHeight="false" outlineLevel="0" collapsed="false">
      <c r="A772" s="35"/>
      <c r="B772" s="36" t="str">
        <f aca="false">IF(A772="","",MONTH(A772))</f>
        <v/>
      </c>
      <c r="C772" s="37"/>
      <c r="D772" s="37"/>
      <c r="E772" s="37"/>
      <c r="F772" s="38"/>
      <c r="G772" s="37"/>
      <c r="H772" s="39" t="str">
        <f aca="false">IF(E772="","",E772*N(F772)*IF(G772="",1,G772))</f>
        <v/>
      </c>
      <c r="I772" s="37"/>
      <c r="J772" s="37"/>
      <c r="K772" s="37"/>
    </row>
    <row r="773" customFormat="false" ht="15" hidden="false" customHeight="false" outlineLevel="0" collapsed="false">
      <c r="A773" s="35"/>
      <c r="B773" s="36" t="str">
        <f aca="false">IF(A773="","",MONTH(A773))</f>
        <v/>
      </c>
      <c r="C773" s="37"/>
      <c r="D773" s="37"/>
      <c r="E773" s="37"/>
      <c r="F773" s="38"/>
      <c r="G773" s="37"/>
      <c r="H773" s="39" t="str">
        <f aca="false">IF(E773="","",E773*N(F773)*IF(G773="",1,G773))</f>
        <v/>
      </c>
      <c r="I773" s="37"/>
      <c r="J773" s="37"/>
      <c r="K773" s="37"/>
    </row>
    <row r="774" customFormat="false" ht="15" hidden="false" customHeight="false" outlineLevel="0" collapsed="false">
      <c r="A774" s="35"/>
      <c r="B774" s="36" t="str">
        <f aca="false">IF(A774="","",MONTH(A774))</f>
        <v/>
      </c>
      <c r="C774" s="37"/>
      <c r="D774" s="37"/>
      <c r="E774" s="37"/>
      <c r="F774" s="38"/>
      <c r="G774" s="37"/>
      <c r="H774" s="39" t="str">
        <f aca="false">IF(E774="","",E774*N(F774)*IF(G774="",1,G774))</f>
        <v/>
      </c>
      <c r="I774" s="37"/>
      <c r="J774" s="37"/>
      <c r="K774" s="37"/>
    </row>
    <row r="775" customFormat="false" ht="15" hidden="false" customHeight="false" outlineLevel="0" collapsed="false">
      <c r="A775" s="35"/>
      <c r="B775" s="36" t="str">
        <f aca="false">IF(A775="","",MONTH(A775))</f>
        <v/>
      </c>
      <c r="C775" s="37"/>
      <c r="D775" s="37"/>
      <c r="E775" s="37"/>
      <c r="F775" s="38"/>
      <c r="G775" s="37"/>
      <c r="H775" s="39" t="str">
        <f aca="false">IF(E775="","",E775*N(F775)*IF(G775="",1,G775))</f>
        <v/>
      </c>
      <c r="I775" s="37"/>
      <c r="J775" s="37"/>
      <c r="K775" s="37"/>
    </row>
    <row r="776" customFormat="false" ht="15" hidden="false" customHeight="false" outlineLevel="0" collapsed="false">
      <c r="A776" s="35"/>
      <c r="B776" s="36" t="str">
        <f aca="false">IF(A776="","",MONTH(A776))</f>
        <v/>
      </c>
      <c r="C776" s="37"/>
      <c r="D776" s="37"/>
      <c r="E776" s="37"/>
      <c r="F776" s="38"/>
      <c r="G776" s="37"/>
      <c r="H776" s="39" t="str">
        <f aca="false">IF(E776="","",E776*N(F776)*IF(G776="",1,G776))</f>
        <v/>
      </c>
      <c r="I776" s="37"/>
      <c r="J776" s="37"/>
      <c r="K776" s="37"/>
    </row>
    <row r="777" customFormat="false" ht="15" hidden="false" customHeight="false" outlineLevel="0" collapsed="false">
      <c r="A777" s="35"/>
      <c r="B777" s="36" t="str">
        <f aca="false">IF(A777="","",MONTH(A777))</f>
        <v/>
      </c>
      <c r="C777" s="37"/>
      <c r="D777" s="37"/>
      <c r="E777" s="37"/>
      <c r="F777" s="38"/>
      <c r="G777" s="37"/>
      <c r="H777" s="39" t="str">
        <f aca="false">IF(E777="","",E777*N(F777)*IF(G777="",1,G777))</f>
        <v/>
      </c>
      <c r="I777" s="37"/>
      <c r="J777" s="37"/>
      <c r="K777" s="37"/>
    </row>
    <row r="778" customFormat="false" ht="15" hidden="false" customHeight="false" outlineLevel="0" collapsed="false">
      <c r="A778" s="35"/>
      <c r="B778" s="36" t="str">
        <f aca="false">IF(A778="","",MONTH(A778))</f>
        <v/>
      </c>
      <c r="C778" s="37"/>
      <c r="D778" s="37"/>
      <c r="E778" s="37"/>
      <c r="F778" s="38"/>
      <c r="G778" s="37"/>
      <c r="H778" s="39" t="str">
        <f aca="false">IF(E778="","",E778*N(F778)*IF(G778="",1,G778))</f>
        <v/>
      </c>
      <c r="I778" s="37"/>
      <c r="J778" s="37"/>
      <c r="K778" s="37"/>
    </row>
    <row r="779" customFormat="false" ht="15" hidden="false" customHeight="false" outlineLevel="0" collapsed="false">
      <c r="A779" s="35"/>
      <c r="B779" s="36" t="str">
        <f aca="false">IF(A779="","",MONTH(A779))</f>
        <v/>
      </c>
      <c r="C779" s="37"/>
      <c r="D779" s="37"/>
      <c r="E779" s="37"/>
      <c r="F779" s="38"/>
      <c r="G779" s="37"/>
      <c r="H779" s="39" t="str">
        <f aca="false">IF(E779="","",E779*N(F779)*IF(G779="",1,G779))</f>
        <v/>
      </c>
      <c r="I779" s="37"/>
      <c r="J779" s="37"/>
      <c r="K779" s="37"/>
    </row>
    <row r="780" customFormat="false" ht="15" hidden="false" customHeight="false" outlineLevel="0" collapsed="false">
      <c r="A780" s="35"/>
      <c r="B780" s="36" t="str">
        <f aca="false">IF(A780="","",MONTH(A780))</f>
        <v/>
      </c>
      <c r="C780" s="37"/>
      <c r="D780" s="37"/>
      <c r="E780" s="37"/>
      <c r="F780" s="38"/>
      <c r="G780" s="37"/>
      <c r="H780" s="39" t="str">
        <f aca="false">IF(E780="","",E780*N(F780)*IF(G780="",1,G780))</f>
        <v/>
      </c>
      <c r="I780" s="37"/>
      <c r="J780" s="37"/>
      <c r="K780" s="37"/>
    </row>
    <row r="781" customFormat="false" ht="15" hidden="false" customHeight="false" outlineLevel="0" collapsed="false">
      <c r="A781" s="35"/>
      <c r="B781" s="36" t="str">
        <f aca="false">IF(A781="","",MONTH(A781))</f>
        <v/>
      </c>
      <c r="C781" s="37"/>
      <c r="D781" s="37"/>
      <c r="E781" s="37"/>
      <c r="F781" s="38"/>
      <c r="G781" s="37"/>
      <c r="H781" s="39" t="str">
        <f aca="false">IF(E781="","",E781*N(F781)*IF(G781="",1,G781))</f>
        <v/>
      </c>
      <c r="I781" s="37"/>
      <c r="J781" s="37"/>
      <c r="K781" s="37"/>
    </row>
    <row r="782" customFormat="false" ht="15" hidden="false" customHeight="false" outlineLevel="0" collapsed="false">
      <c r="A782" s="35"/>
      <c r="B782" s="36" t="str">
        <f aca="false">IF(A782="","",MONTH(A782))</f>
        <v/>
      </c>
      <c r="C782" s="37"/>
      <c r="D782" s="37"/>
      <c r="E782" s="37"/>
      <c r="F782" s="38"/>
      <c r="G782" s="37"/>
      <c r="H782" s="39" t="str">
        <f aca="false">IF(E782="","",E782*N(F782)*IF(G782="",1,G782))</f>
        <v/>
      </c>
      <c r="I782" s="37"/>
      <c r="J782" s="37"/>
      <c r="K782" s="37"/>
    </row>
    <row r="783" customFormat="false" ht="15" hidden="false" customHeight="false" outlineLevel="0" collapsed="false">
      <c r="A783" s="35"/>
      <c r="B783" s="36" t="str">
        <f aca="false">IF(A783="","",MONTH(A783))</f>
        <v/>
      </c>
      <c r="C783" s="37"/>
      <c r="D783" s="37"/>
      <c r="E783" s="37"/>
      <c r="F783" s="38"/>
      <c r="G783" s="37"/>
      <c r="H783" s="39" t="str">
        <f aca="false">IF(E783="","",E783*N(F783)*IF(G783="",1,G783))</f>
        <v/>
      </c>
      <c r="I783" s="37"/>
      <c r="J783" s="37"/>
      <c r="K783" s="37"/>
    </row>
    <row r="784" customFormat="false" ht="15" hidden="false" customHeight="false" outlineLevel="0" collapsed="false">
      <c r="A784" s="35"/>
      <c r="B784" s="36" t="str">
        <f aca="false">IF(A784="","",MONTH(A784))</f>
        <v/>
      </c>
      <c r="C784" s="37"/>
      <c r="D784" s="37"/>
      <c r="E784" s="37"/>
      <c r="F784" s="38"/>
      <c r="G784" s="37"/>
      <c r="H784" s="39" t="str">
        <f aca="false">IF(E784="","",E784*N(F784)*IF(G784="",1,G784))</f>
        <v/>
      </c>
      <c r="I784" s="37"/>
      <c r="J784" s="37"/>
      <c r="K784" s="37"/>
    </row>
    <row r="785" customFormat="false" ht="15" hidden="false" customHeight="false" outlineLevel="0" collapsed="false">
      <c r="A785" s="35"/>
      <c r="B785" s="36" t="str">
        <f aca="false">IF(A785="","",MONTH(A785))</f>
        <v/>
      </c>
      <c r="C785" s="37"/>
      <c r="D785" s="37"/>
      <c r="E785" s="37"/>
      <c r="F785" s="38"/>
      <c r="G785" s="37"/>
      <c r="H785" s="39" t="str">
        <f aca="false">IF(E785="","",E785*N(F785)*IF(G785="",1,G785))</f>
        <v/>
      </c>
      <c r="I785" s="37"/>
      <c r="J785" s="37"/>
      <c r="K785" s="37"/>
    </row>
    <row r="786" customFormat="false" ht="15" hidden="false" customHeight="false" outlineLevel="0" collapsed="false">
      <c r="A786" s="35"/>
      <c r="B786" s="36" t="str">
        <f aca="false">IF(A786="","",MONTH(A786))</f>
        <v/>
      </c>
      <c r="C786" s="37"/>
      <c r="D786" s="37"/>
      <c r="E786" s="37"/>
      <c r="F786" s="38"/>
      <c r="G786" s="37"/>
      <c r="H786" s="39" t="str">
        <f aca="false">IF(E786="","",E786*N(F786)*IF(G786="",1,G786))</f>
        <v/>
      </c>
      <c r="I786" s="37"/>
      <c r="J786" s="37"/>
      <c r="K786" s="37"/>
    </row>
    <row r="787" customFormat="false" ht="15" hidden="false" customHeight="false" outlineLevel="0" collapsed="false">
      <c r="A787" s="35"/>
      <c r="B787" s="36" t="str">
        <f aca="false">IF(A787="","",MONTH(A787))</f>
        <v/>
      </c>
      <c r="C787" s="37"/>
      <c r="D787" s="37"/>
      <c r="E787" s="37"/>
      <c r="F787" s="38"/>
      <c r="G787" s="37"/>
      <c r="H787" s="39" t="str">
        <f aca="false">IF(E787="","",E787*N(F787)*IF(G787="",1,G787))</f>
        <v/>
      </c>
      <c r="I787" s="37"/>
      <c r="J787" s="37"/>
      <c r="K787" s="37"/>
    </row>
    <row r="788" customFormat="false" ht="15" hidden="false" customHeight="false" outlineLevel="0" collapsed="false">
      <c r="A788" s="35"/>
      <c r="B788" s="36" t="str">
        <f aca="false">IF(A788="","",MONTH(A788))</f>
        <v/>
      </c>
      <c r="C788" s="37"/>
      <c r="D788" s="37"/>
      <c r="E788" s="37"/>
      <c r="F788" s="38"/>
      <c r="G788" s="37"/>
      <c r="H788" s="39" t="str">
        <f aca="false">IF(E788="","",E788*N(F788)*IF(G788="",1,G788))</f>
        <v/>
      </c>
      <c r="I788" s="37"/>
      <c r="J788" s="37"/>
      <c r="K788" s="37"/>
    </row>
    <row r="789" customFormat="false" ht="15" hidden="false" customHeight="false" outlineLevel="0" collapsed="false">
      <c r="A789" s="35"/>
      <c r="B789" s="36" t="str">
        <f aca="false">IF(A789="","",MONTH(A789))</f>
        <v/>
      </c>
      <c r="C789" s="37"/>
      <c r="D789" s="37"/>
      <c r="E789" s="37"/>
      <c r="F789" s="38"/>
      <c r="G789" s="37"/>
      <c r="H789" s="39" t="str">
        <f aca="false">IF(E789="","",E789*N(F789)*IF(G789="",1,G789))</f>
        <v/>
      </c>
      <c r="I789" s="37"/>
      <c r="J789" s="37"/>
      <c r="K789" s="37"/>
    </row>
    <row r="790" customFormat="false" ht="15" hidden="false" customHeight="false" outlineLevel="0" collapsed="false">
      <c r="A790" s="35"/>
      <c r="B790" s="36" t="str">
        <f aca="false">IF(A790="","",MONTH(A790))</f>
        <v/>
      </c>
      <c r="C790" s="37"/>
      <c r="D790" s="37"/>
      <c r="E790" s="37"/>
      <c r="F790" s="38"/>
      <c r="G790" s="37"/>
      <c r="H790" s="39" t="str">
        <f aca="false">IF(E790="","",E790*N(F790)*IF(G790="",1,G790))</f>
        <v/>
      </c>
      <c r="I790" s="37"/>
      <c r="J790" s="37"/>
      <c r="K790" s="37"/>
    </row>
    <row r="791" customFormat="false" ht="15" hidden="false" customHeight="false" outlineLevel="0" collapsed="false">
      <c r="A791" s="35"/>
      <c r="B791" s="36" t="str">
        <f aca="false">IF(A791="","",MONTH(A791))</f>
        <v/>
      </c>
      <c r="C791" s="37"/>
      <c r="D791" s="37"/>
      <c r="E791" s="37"/>
      <c r="F791" s="38"/>
      <c r="G791" s="37"/>
      <c r="H791" s="39" t="str">
        <f aca="false">IF(E791="","",E791*N(F791)*IF(G791="",1,G791))</f>
        <v/>
      </c>
      <c r="I791" s="37"/>
      <c r="J791" s="37"/>
      <c r="K791" s="37"/>
    </row>
    <row r="792" customFormat="false" ht="15" hidden="false" customHeight="false" outlineLevel="0" collapsed="false">
      <c r="A792" s="35"/>
      <c r="B792" s="36" t="str">
        <f aca="false">IF(A792="","",MONTH(A792))</f>
        <v/>
      </c>
      <c r="C792" s="37"/>
      <c r="D792" s="37"/>
      <c r="E792" s="37"/>
      <c r="F792" s="38"/>
      <c r="G792" s="37"/>
      <c r="H792" s="39" t="str">
        <f aca="false">IF(E792="","",E792*N(F792)*IF(G792="",1,G792))</f>
        <v/>
      </c>
      <c r="I792" s="37"/>
      <c r="J792" s="37"/>
      <c r="K792" s="37"/>
    </row>
    <row r="793" customFormat="false" ht="15" hidden="false" customHeight="false" outlineLevel="0" collapsed="false">
      <c r="A793" s="35"/>
      <c r="B793" s="36" t="str">
        <f aca="false">IF(A793="","",MONTH(A793))</f>
        <v/>
      </c>
      <c r="C793" s="37"/>
      <c r="D793" s="37"/>
      <c r="E793" s="37"/>
      <c r="F793" s="38"/>
      <c r="G793" s="37"/>
      <c r="H793" s="39" t="str">
        <f aca="false">IF(E793="","",E793*N(F793)*IF(G793="",1,G793))</f>
        <v/>
      </c>
      <c r="I793" s="37"/>
      <c r="J793" s="37"/>
      <c r="K793" s="37"/>
    </row>
    <row r="794" customFormat="false" ht="15" hidden="false" customHeight="false" outlineLevel="0" collapsed="false">
      <c r="A794" s="35"/>
      <c r="B794" s="36" t="str">
        <f aca="false">IF(A794="","",MONTH(A794))</f>
        <v/>
      </c>
      <c r="C794" s="37"/>
      <c r="D794" s="37"/>
      <c r="E794" s="37"/>
      <c r="F794" s="38"/>
      <c r="G794" s="37"/>
      <c r="H794" s="39" t="str">
        <f aca="false">IF(E794="","",E794*N(F794)*IF(G794="",1,G794))</f>
        <v/>
      </c>
      <c r="I794" s="37"/>
      <c r="J794" s="37"/>
      <c r="K794" s="37"/>
    </row>
    <row r="795" customFormat="false" ht="15" hidden="false" customHeight="false" outlineLevel="0" collapsed="false">
      <c r="A795" s="35"/>
      <c r="B795" s="36" t="str">
        <f aca="false">IF(A795="","",MONTH(A795))</f>
        <v/>
      </c>
      <c r="C795" s="37"/>
      <c r="D795" s="37"/>
      <c r="E795" s="37"/>
      <c r="F795" s="38"/>
      <c r="G795" s="37"/>
      <c r="H795" s="39" t="str">
        <f aca="false">IF(E795="","",E795*N(F795)*IF(G795="",1,G795))</f>
        <v/>
      </c>
      <c r="I795" s="37"/>
      <c r="J795" s="37"/>
      <c r="K795" s="37"/>
    </row>
    <row r="796" customFormat="false" ht="15" hidden="false" customHeight="false" outlineLevel="0" collapsed="false">
      <c r="A796" s="35"/>
      <c r="B796" s="36" t="str">
        <f aca="false">IF(A796="","",MONTH(A796))</f>
        <v/>
      </c>
      <c r="C796" s="37"/>
      <c r="D796" s="37"/>
      <c r="E796" s="37"/>
      <c r="F796" s="38"/>
      <c r="G796" s="37"/>
      <c r="H796" s="39" t="str">
        <f aca="false">IF(E796="","",E796*N(F796)*IF(G796="",1,G796))</f>
        <v/>
      </c>
      <c r="I796" s="37"/>
      <c r="J796" s="37"/>
      <c r="K796" s="37"/>
    </row>
    <row r="797" customFormat="false" ht="15" hidden="false" customHeight="false" outlineLevel="0" collapsed="false">
      <c r="A797" s="35"/>
      <c r="B797" s="36" t="str">
        <f aca="false">IF(A797="","",MONTH(A797))</f>
        <v/>
      </c>
      <c r="C797" s="37"/>
      <c r="D797" s="37"/>
      <c r="E797" s="37"/>
      <c r="F797" s="38"/>
      <c r="G797" s="37"/>
      <c r="H797" s="39" t="str">
        <f aca="false">IF(E797="","",E797*N(F797)*IF(G797="",1,G797))</f>
        <v/>
      </c>
      <c r="I797" s="37"/>
      <c r="J797" s="37"/>
      <c r="K797" s="37"/>
    </row>
    <row r="798" customFormat="false" ht="15" hidden="false" customHeight="false" outlineLevel="0" collapsed="false">
      <c r="A798" s="35"/>
      <c r="B798" s="36" t="str">
        <f aca="false">IF(A798="","",MONTH(A798))</f>
        <v/>
      </c>
      <c r="C798" s="37"/>
      <c r="D798" s="37"/>
      <c r="E798" s="37"/>
      <c r="F798" s="38"/>
      <c r="G798" s="37"/>
      <c r="H798" s="39" t="str">
        <f aca="false">IF(E798="","",E798*N(F798)*IF(G798="",1,G798))</f>
        <v/>
      </c>
      <c r="I798" s="37"/>
      <c r="J798" s="37"/>
      <c r="K798" s="37"/>
    </row>
    <row r="799" customFormat="false" ht="15" hidden="false" customHeight="false" outlineLevel="0" collapsed="false">
      <c r="A799" s="35"/>
      <c r="B799" s="36" t="str">
        <f aca="false">IF(A799="","",MONTH(A799))</f>
        <v/>
      </c>
      <c r="C799" s="37"/>
      <c r="D799" s="37"/>
      <c r="E799" s="37"/>
      <c r="F799" s="38"/>
      <c r="G799" s="37"/>
      <c r="H799" s="39" t="str">
        <f aca="false">IF(E799="","",E799*N(F799)*IF(G799="",1,G799))</f>
        <v/>
      </c>
      <c r="I799" s="37"/>
      <c r="J799" s="37"/>
      <c r="K799" s="37"/>
    </row>
    <row r="800" customFormat="false" ht="15" hidden="false" customHeight="false" outlineLevel="0" collapsed="false">
      <c r="A800" s="35"/>
      <c r="B800" s="36" t="str">
        <f aca="false">IF(A800="","",MONTH(A800))</f>
        <v/>
      </c>
      <c r="C800" s="37"/>
      <c r="D800" s="37"/>
      <c r="E800" s="37"/>
      <c r="F800" s="38"/>
      <c r="G800" s="37"/>
      <c r="H800" s="39" t="str">
        <f aca="false">IF(E800="","",E800*N(F800)*IF(G800="",1,G800))</f>
        <v/>
      </c>
      <c r="I800" s="37"/>
      <c r="J800" s="37"/>
      <c r="K800" s="37"/>
    </row>
    <row r="801" customFormat="false" ht="15" hidden="false" customHeight="false" outlineLevel="0" collapsed="false">
      <c r="A801" s="35"/>
      <c r="B801" s="36" t="str">
        <f aca="false">IF(A801="","",MONTH(A801))</f>
        <v/>
      </c>
      <c r="C801" s="37"/>
      <c r="D801" s="37"/>
      <c r="E801" s="37"/>
      <c r="F801" s="38"/>
      <c r="G801" s="37"/>
      <c r="H801" s="39" t="str">
        <f aca="false">IF(E801="","",E801*N(F801)*IF(G801="",1,G801))</f>
        <v/>
      </c>
      <c r="I801" s="37"/>
      <c r="J801" s="37"/>
      <c r="K801" s="37"/>
    </row>
    <row r="802" customFormat="false" ht="15" hidden="false" customHeight="false" outlineLevel="0" collapsed="false">
      <c r="A802" s="35"/>
      <c r="B802" s="36" t="str">
        <f aca="false">IF(A802="","",MONTH(A802))</f>
        <v/>
      </c>
      <c r="C802" s="37"/>
      <c r="D802" s="37"/>
      <c r="E802" s="37"/>
      <c r="F802" s="38"/>
      <c r="G802" s="37"/>
      <c r="H802" s="39" t="str">
        <f aca="false">IF(E802="","",E802*N(F802)*IF(G802="",1,G802))</f>
        <v/>
      </c>
      <c r="I802" s="37"/>
      <c r="J802" s="37"/>
      <c r="K802" s="37"/>
    </row>
    <row r="803" customFormat="false" ht="15" hidden="false" customHeight="false" outlineLevel="0" collapsed="false">
      <c r="A803" s="35"/>
      <c r="B803" s="36" t="str">
        <f aca="false">IF(A803="","",MONTH(A803))</f>
        <v/>
      </c>
      <c r="C803" s="37"/>
      <c r="D803" s="37"/>
      <c r="E803" s="37"/>
      <c r="F803" s="38"/>
      <c r="G803" s="37"/>
      <c r="H803" s="39" t="str">
        <f aca="false">IF(E803="","",E803*N(F803)*IF(G803="",1,G803))</f>
        <v/>
      </c>
      <c r="I803" s="37"/>
      <c r="J803" s="37"/>
      <c r="K803" s="37"/>
    </row>
    <row r="804" customFormat="false" ht="15" hidden="false" customHeight="false" outlineLevel="0" collapsed="false">
      <c r="A804" s="35"/>
      <c r="B804" s="36" t="str">
        <f aca="false">IF(A804="","",MONTH(A804))</f>
        <v/>
      </c>
      <c r="C804" s="37"/>
      <c r="D804" s="37"/>
      <c r="E804" s="37"/>
      <c r="F804" s="38"/>
      <c r="G804" s="37"/>
      <c r="H804" s="39" t="str">
        <f aca="false">IF(E804="","",E804*N(F804)*IF(G804="",1,G804))</f>
        <v/>
      </c>
      <c r="I804" s="37"/>
      <c r="J804" s="37"/>
      <c r="K804" s="37"/>
    </row>
    <row r="805" customFormat="false" ht="15" hidden="false" customHeight="false" outlineLevel="0" collapsed="false">
      <c r="A805" s="35"/>
      <c r="B805" s="36" t="str">
        <f aca="false">IF(A805="","",MONTH(A805))</f>
        <v/>
      </c>
      <c r="C805" s="37"/>
      <c r="D805" s="37"/>
      <c r="E805" s="37"/>
      <c r="F805" s="38"/>
      <c r="G805" s="37"/>
      <c r="H805" s="39" t="str">
        <f aca="false">IF(E805="","",E805*N(F805)*IF(G805="",1,G805))</f>
        <v/>
      </c>
      <c r="I805" s="37"/>
      <c r="J805" s="37"/>
      <c r="K805" s="37"/>
    </row>
    <row r="806" customFormat="false" ht="15" hidden="false" customHeight="false" outlineLevel="0" collapsed="false">
      <c r="A806" s="35"/>
      <c r="B806" s="36" t="str">
        <f aca="false">IF(A806="","",MONTH(A806))</f>
        <v/>
      </c>
      <c r="C806" s="37"/>
      <c r="D806" s="37"/>
      <c r="E806" s="37"/>
      <c r="F806" s="38"/>
      <c r="G806" s="37"/>
      <c r="H806" s="39" t="str">
        <f aca="false">IF(E806="","",E806*N(F806)*IF(G806="",1,G806))</f>
        <v/>
      </c>
      <c r="I806" s="37"/>
      <c r="J806" s="37"/>
      <c r="K806" s="37"/>
    </row>
    <row r="807" customFormat="false" ht="15" hidden="false" customHeight="false" outlineLevel="0" collapsed="false">
      <c r="A807" s="35"/>
      <c r="B807" s="36" t="str">
        <f aca="false">IF(A807="","",MONTH(A807))</f>
        <v/>
      </c>
      <c r="C807" s="37"/>
      <c r="D807" s="37"/>
      <c r="E807" s="37"/>
      <c r="F807" s="38"/>
      <c r="G807" s="37"/>
      <c r="H807" s="39" t="str">
        <f aca="false">IF(E807="","",E807*N(F807)*IF(G807="",1,G807))</f>
        <v/>
      </c>
      <c r="I807" s="37"/>
      <c r="J807" s="37"/>
      <c r="K807" s="37"/>
    </row>
    <row r="808" customFormat="false" ht="15" hidden="false" customHeight="false" outlineLevel="0" collapsed="false">
      <c r="A808" s="35"/>
      <c r="B808" s="36" t="str">
        <f aca="false">IF(A808="","",MONTH(A808))</f>
        <v/>
      </c>
      <c r="C808" s="37"/>
      <c r="D808" s="37"/>
      <c r="E808" s="37"/>
      <c r="F808" s="38"/>
      <c r="G808" s="37"/>
      <c r="H808" s="39" t="str">
        <f aca="false">IF(E808="","",E808*N(F808)*IF(G808="",1,G808))</f>
        <v/>
      </c>
      <c r="I808" s="37"/>
      <c r="J808" s="37"/>
      <c r="K808" s="37"/>
    </row>
    <row r="809" customFormat="false" ht="15" hidden="false" customHeight="false" outlineLevel="0" collapsed="false">
      <c r="A809" s="35"/>
      <c r="B809" s="36" t="str">
        <f aca="false">IF(A809="","",MONTH(A809))</f>
        <v/>
      </c>
      <c r="C809" s="37"/>
      <c r="D809" s="37"/>
      <c r="E809" s="37"/>
      <c r="F809" s="38"/>
      <c r="G809" s="37"/>
      <c r="H809" s="39" t="str">
        <f aca="false">IF(E809="","",E809*N(F809)*IF(G809="",1,G809))</f>
        <v/>
      </c>
      <c r="I809" s="37"/>
      <c r="J809" s="37"/>
      <c r="K809" s="37"/>
    </row>
    <row r="810" customFormat="false" ht="15" hidden="false" customHeight="false" outlineLevel="0" collapsed="false">
      <c r="A810" s="35"/>
      <c r="B810" s="36" t="str">
        <f aca="false">IF(A810="","",MONTH(A810))</f>
        <v/>
      </c>
      <c r="C810" s="37"/>
      <c r="D810" s="37"/>
      <c r="E810" s="37"/>
      <c r="F810" s="38"/>
      <c r="G810" s="37"/>
      <c r="H810" s="39" t="str">
        <f aca="false">IF(E810="","",E810*N(F810)*IF(G810="",1,G810))</f>
        <v/>
      </c>
      <c r="I810" s="37"/>
      <c r="J810" s="37"/>
      <c r="K810" s="37"/>
    </row>
    <row r="811" customFormat="false" ht="15" hidden="false" customHeight="false" outlineLevel="0" collapsed="false">
      <c r="A811" s="35"/>
      <c r="B811" s="36" t="str">
        <f aca="false">IF(A811="","",MONTH(A811))</f>
        <v/>
      </c>
      <c r="C811" s="37"/>
      <c r="D811" s="37"/>
      <c r="E811" s="37"/>
      <c r="F811" s="38"/>
      <c r="G811" s="37"/>
      <c r="H811" s="39" t="str">
        <f aca="false">IF(E811="","",E811*N(F811)*IF(G811="",1,G811))</f>
        <v/>
      </c>
      <c r="I811" s="37"/>
      <c r="J811" s="37"/>
      <c r="K811" s="37"/>
    </row>
    <row r="812" customFormat="false" ht="15" hidden="false" customHeight="false" outlineLevel="0" collapsed="false">
      <c r="A812" s="35"/>
      <c r="B812" s="36" t="str">
        <f aca="false">IF(A812="","",MONTH(A812))</f>
        <v/>
      </c>
      <c r="C812" s="37"/>
      <c r="D812" s="37"/>
      <c r="E812" s="37"/>
      <c r="F812" s="38"/>
      <c r="G812" s="37"/>
      <c r="H812" s="39" t="str">
        <f aca="false">IF(E812="","",E812*N(F812)*IF(G812="",1,G812))</f>
        <v/>
      </c>
      <c r="I812" s="37"/>
      <c r="J812" s="37"/>
      <c r="K812" s="37"/>
    </row>
    <row r="813" customFormat="false" ht="15" hidden="false" customHeight="false" outlineLevel="0" collapsed="false">
      <c r="A813" s="35"/>
      <c r="B813" s="36" t="str">
        <f aca="false">IF(A813="","",MONTH(A813))</f>
        <v/>
      </c>
      <c r="C813" s="37"/>
      <c r="D813" s="37"/>
      <c r="E813" s="37"/>
      <c r="F813" s="38"/>
      <c r="G813" s="37"/>
      <c r="H813" s="39" t="str">
        <f aca="false">IF(E813="","",E813*N(F813)*IF(G813="",1,G813))</f>
        <v/>
      </c>
      <c r="I813" s="37"/>
      <c r="J813" s="37"/>
      <c r="K813" s="37"/>
    </row>
    <row r="814" customFormat="false" ht="15" hidden="false" customHeight="false" outlineLevel="0" collapsed="false">
      <c r="A814" s="35"/>
      <c r="B814" s="36" t="str">
        <f aca="false">IF(A814="","",MONTH(A814))</f>
        <v/>
      </c>
      <c r="C814" s="37"/>
      <c r="D814" s="37"/>
      <c r="E814" s="37"/>
      <c r="F814" s="38"/>
      <c r="G814" s="37"/>
      <c r="H814" s="39" t="str">
        <f aca="false">IF(E814="","",E814*N(F814)*IF(G814="",1,G814))</f>
        <v/>
      </c>
      <c r="I814" s="37"/>
      <c r="J814" s="37"/>
      <c r="K814" s="37"/>
    </row>
    <row r="815" customFormat="false" ht="15" hidden="false" customHeight="false" outlineLevel="0" collapsed="false">
      <c r="A815" s="35"/>
      <c r="B815" s="36" t="str">
        <f aca="false">IF(A815="","",MONTH(A815))</f>
        <v/>
      </c>
      <c r="C815" s="37"/>
      <c r="D815" s="37"/>
      <c r="E815" s="37"/>
      <c r="F815" s="38"/>
      <c r="G815" s="37"/>
      <c r="H815" s="39" t="str">
        <f aca="false">IF(E815="","",E815*N(F815)*IF(G815="",1,G815))</f>
        <v/>
      </c>
      <c r="I815" s="37"/>
      <c r="J815" s="37"/>
      <c r="K815" s="37"/>
    </row>
    <row r="816" customFormat="false" ht="15" hidden="false" customHeight="false" outlineLevel="0" collapsed="false">
      <c r="A816" s="35"/>
      <c r="B816" s="36" t="str">
        <f aca="false">IF(A816="","",MONTH(A816))</f>
        <v/>
      </c>
      <c r="C816" s="37"/>
      <c r="D816" s="37"/>
      <c r="E816" s="37"/>
      <c r="F816" s="38"/>
      <c r="G816" s="37"/>
      <c r="H816" s="39" t="str">
        <f aca="false">IF(E816="","",E816*N(F816)*IF(G816="",1,G816))</f>
        <v/>
      </c>
      <c r="I816" s="37"/>
      <c r="J816" s="37"/>
      <c r="K816" s="37"/>
    </row>
    <row r="817" customFormat="false" ht="15" hidden="false" customHeight="false" outlineLevel="0" collapsed="false">
      <c r="A817" s="35"/>
      <c r="B817" s="36" t="str">
        <f aca="false">IF(A817="","",MONTH(A817))</f>
        <v/>
      </c>
      <c r="C817" s="37"/>
      <c r="D817" s="37"/>
      <c r="E817" s="37"/>
      <c r="F817" s="38"/>
      <c r="G817" s="37"/>
      <c r="H817" s="39" t="str">
        <f aca="false">IF(E817="","",E817*N(F817)*IF(G817="",1,G817))</f>
        <v/>
      </c>
      <c r="I817" s="37"/>
      <c r="J817" s="37"/>
      <c r="K817" s="37"/>
    </row>
    <row r="818" customFormat="false" ht="15" hidden="false" customHeight="false" outlineLevel="0" collapsed="false">
      <c r="A818" s="35"/>
      <c r="B818" s="36" t="str">
        <f aca="false">IF(A818="","",MONTH(A818))</f>
        <v/>
      </c>
      <c r="C818" s="37"/>
      <c r="D818" s="37"/>
      <c r="E818" s="37"/>
      <c r="F818" s="38"/>
      <c r="G818" s="37"/>
      <c r="H818" s="39" t="str">
        <f aca="false">IF(E818="","",E818*N(F818)*IF(G818="",1,G818))</f>
        <v/>
      </c>
      <c r="I818" s="37"/>
      <c r="J818" s="37"/>
      <c r="K818" s="37"/>
    </row>
    <row r="819" customFormat="false" ht="15" hidden="false" customHeight="false" outlineLevel="0" collapsed="false">
      <c r="A819" s="35"/>
      <c r="B819" s="36" t="str">
        <f aca="false">IF(A819="","",MONTH(A819))</f>
        <v/>
      </c>
      <c r="C819" s="37"/>
      <c r="D819" s="37"/>
      <c r="E819" s="37"/>
      <c r="F819" s="38"/>
      <c r="G819" s="37"/>
      <c r="H819" s="39" t="str">
        <f aca="false">IF(E819="","",E819*N(F819)*IF(G819="",1,G819))</f>
        <v/>
      </c>
      <c r="I819" s="37"/>
      <c r="J819" s="37"/>
      <c r="K819" s="37"/>
    </row>
    <row r="820" customFormat="false" ht="15" hidden="false" customHeight="false" outlineLevel="0" collapsed="false">
      <c r="A820" s="35"/>
      <c r="B820" s="36" t="str">
        <f aca="false">IF(A820="","",MONTH(A820))</f>
        <v/>
      </c>
      <c r="C820" s="37"/>
      <c r="D820" s="37"/>
      <c r="E820" s="37"/>
      <c r="F820" s="38"/>
      <c r="G820" s="37"/>
      <c r="H820" s="39" t="str">
        <f aca="false">IF(E820="","",E820*N(F820)*IF(G820="",1,G820))</f>
        <v/>
      </c>
      <c r="I820" s="37"/>
      <c r="J820" s="37"/>
      <c r="K820" s="37"/>
    </row>
    <row r="821" customFormat="false" ht="15" hidden="false" customHeight="false" outlineLevel="0" collapsed="false">
      <c r="A821" s="35"/>
      <c r="B821" s="36" t="str">
        <f aca="false">IF(A821="","",MONTH(A821))</f>
        <v/>
      </c>
      <c r="C821" s="37"/>
      <c r="D821" s="37"/>
      <c r="E821" s="37"/>
      <c r="F821" s="38"/>
      <c r="G821" s="37"/>
      <c r="H821" s="39" t="str">
        <f aca="false">IF(E821="","",E821*N(F821)*IF(G821="",1,G821))</f>
        <v/>
      </c>
      <c r="I821" s="37"/>
      <c r="J821" s="37"/>
      <c r="K821" s="37"/>
    </row>
    <row r="822" customFormat="false" ht="15" hidden="false" customHeight="false" outlineLevel="0" collapsed="false">
      <c r="A822" s="35"/>
      <c r="B822" s="36" t="str">
        <f aca="false">IF(A822="","",MONTH(A822))</f>
        <v/>
      </c>
      <c r="C822" s="37"/>
      <c r="D822" s="37"/>
      <c r="E822" s="37"/>
      <c r="F822" s="38"/>
      <c r="G822" s="37"/>
      <c r="H822" s="39" t="str">
        <f aca="false">IF(E822="","",E822*N(F822)*IF(G822="",1,G822))</f>
        <v/>
      </c>
      <c r="I822" s="37"/>
      <c r="J822" s="37"/>
      <c r="K822" s="37"/>
    </row>
    <row r="823" customFormat="false" ht="15" hidden="false" customHeight="false" outlineLevel="0" collapsed="false">
      <c r="A823" s="35"/>
      <c r="B823" s="36" t="str">
        <f aca="false">IF(A823="","",MONTH(A823))</f>
        <v/>
      </c>
      <c r="C823" s="37"/>
      <c r="D823" s="37"/>
      <c r="E823" s="37"/>
      <c r="F823" s="38"/>
      <c r="G823" s="37"/>
      <c r="H823" s="39" t="str">
        <f aca="false">IF(E823="","",E823*N(F823)*IF(G823="",1,G823))</f>
        <v/>
      </c>
      <c r="I823" s="37"/>
      <c r="J823" s="37"/>
      <c r="K823" s="37"/>
    </row>
    <row r="824" customFormat="false" ht="15" hidden="false" customHeight="false" outlineLevel="0" collapsed="false">
      <c r="A824" s="35"/>
      <c r="B824" s="36" t="str">
        <f aca="false">IF(A824="","",MONTH(A824))</f>
        <v/>
      </c>
      <c r="C824" s="37"/>
      <c r="D824" s="37"/>
      <c r="E824" s="37"/>
      <c r="F824" s="38"/>
      <c r="G824" s="37"/>
      <c r="H824" s="39" t="str">
        <f aca="false">IF(E824="","",E824*N(F824)*IF(G824="",1,G824))</f>
        <v/>
      </c>
      <c r="I824" s="37"/>
      <c r="J824" s="37"/>
      <c r="K824" s="37"/>
    </row>
    <row r="825" customFormat="false" ht="15" hidden="false" customHeight="false" outlineLevel="0" collapsed="false">
      <c r="A825" s="35"/>
      <c r="B825" s="36" t="str">
        <f aca="false">IF(A825="","",MONTH(A825))</f>
        <v/>
      </c>
      <c r="C825" s="37"/>
      <c r="D825" s="37"/>
      <c r="E825" s="37"/>
      <c r="F825" s="38"/>
      <c r="G825" s="37"/>
      <c r="H825" s="39" t="str">
        <f aca="false">IF(E825="","",E825*N(F825)*IF(G825="",1,G825))</f>
        <v/>
      </c>
      <c r="I825" s="37"/>
      <c r="J825" s="37"/>
      <c r="K825" s="37"/>
    </row>
    <row r="826" customFormat="false" ht="15" hidden="false" customHeight="false" outlineLevel="0" collapsed="false">
      <c r="A826" s="35"/>
      <c r="B826" s="36" t="str">
        <f aca="false">IF(A826="","",MONTH(A826))</f>
        <v/>
      </c>
      <c r="C826" s="37"/>
      <c r="D826" s="37"/>
      <c r="E826" s="37"/>
      <c r="F826" s="38"/>
      <c r="G826" s="37"/>
      <c r="H826" s="39" t="str">
        <f aca="false">IF(E826="","",E826*N(F826)*IF(G826="",1,G826))</f>
        <v/>
      </c>
      <c r="I826" s="37"/>
      <c r="J826" s="37"/>
      <c r="K826" s="37"/>
    </row>
    <row r="827" customFormat="false" ht="15" hidden="false" customHeight="false" outlineLevel="0" collapsed="false">
      <c r="A827" s="35"/>
      <c r="B827" s="36" t="str">
        <f aca="false">IF(A827="","",MONTH(A827))</f>
        <v/>
      </c>
      <c r="C827" s="37"/>
      <c r="D827" s="37"/>
      <c r="E827" s="37"/>
      <c r="F827" s="38"/>
      <c r="G827" s="37"/>
      <c r="H827" s="39" t="str">
        <f aca="false">IF(E827="","",E827*N(F827)*IF(G827="",1,G827))</f>
        <v/>
      </c>
      <c r="I827" s="37"/>
      <c r="J827" s="37"/>
      <c r="K827" s="37"/>
    </row>
    <row r="828" customFormat="false" ht="15" hidden="false" customHeight="false" outlineLevel="0" collapsed="false">
      <c r="A828" s="35"/>
      <c r="B828" s="36" t="str">
        <f aca="false">IF(A828="","",MONTH(A828))</f>
        <v/>
      </c>
      <c r="C828" s="37"/>
      <c r="D828" s="37"/>
      <c r="E828" s="37"/>
      <c r="F828" s="38"/>
      <c r="G828" s="37"/>
      <c r="H828" s="39" t="str">
        <f aca="false">IF(E828="","",E828*N(F828)*IF(G828="",1,G828))</f>
        <v/>
      </c>
      <c r="I828" s="37"/>
      <c r="J828" s="37"/>
      <c r="K828" s="37"/>
    </row>
    <row r="829" customFormat="false" ht="15" hidden="false" customHeight="false" outlineLevel="0" collapsed="false">
      <c r="A829" s="35"/>
      <c r="B829" s="36" t="str">
        <f aca="false">IF(A829="","",MONTH(A829))</f>
        <v/>
      </c>
      <c r="C829" s="37"/>
      <c r="D829" s="37"/>
      <c r="E829" s="37"/>
      <c r="F829" s="38"/>
      <c r="G829" s="37"/>
      <c r="H829" s="39" t="str">
        <f aca="false">IF(E829="","",E829*N(F829)*IF(G829="",1,G829))</f>
        <v/>
      </c>
      <c r="I829" s="37"/>
      <c r="J829" s="37"/>
      <c r="K829" s="37"/>
    </row>
    <row r="830" customFormat="false" ht="15" hidden="false" customHeight="false" outlineLevel="0" collapsed="false">
      <c r="A830" s="35"/>
      <c r="B830" s="36" t="str">
        <f aca="false">IF(A830="","",MONTH(A830))</f>
        <v/>
      </c>
      <c r="C830" s="37"/>
      <c r="D830" s="37"/>
      <c r="E830" s="37"/>
      <c r="F830" s="38"/>
      <c r="G830" s="37"/>
      <c r="H830" s="39" t="str">
        <f aca="false">IF(E830="","",E830*N(F830)*IF(G830="",1,G830))</f>
        <v/>
      </c>
      <c r="I830" s="37"/>
      <c r="J830" s="37"/>
      <c r="K830" s="37"/>
    </row>
    <row r="831" customFormat="false" ht="15" hidden="false" customHeight="false" outlineLevel="0" collapsed="false">
      <c r="A831" s="35"/>
      <c r="B831" s="36" t="str">
        <f aca="false">IF(A831="","",MONTH(A831))</f>
        <v/>
      </c>
      <c r="C831" s="37"/>
      <c r="D831" s="37"/>
      <c r="E831" s="37"/>
      <c r="F831" s="38"/>
      <c r="G831" s="37"/>
      <c r="H831" s="39" t="str">
        <f aca="false">IF(E831="","",E831*N(F831)*IF(G831="",1,G831))</f>
        <v/>
      </c>
      <c r="I831" s="37"/>
      <c r="J831" s="37"/>
      <c r="K831" s="37"/>
    </row>
    <row r="832" customFormat="false" ht="15" hidden="false" customHeight="false" outlineLevel="0" collapsed="false">
      <c r="A832" s="35"/>
      <c r="B832" s="36" t="str">
        <f aca="false">IF(A832="","",MONTH(A832))</f>
        <v/>
      </c>
      <c r="C832" s="37"/>
      <c r="D832" s="37"/>
      <c r="E832" s="37"/>
      <c r="F832" s="38"/>
      <c r="G832" s="37"/>
      <c r="H832" s="39" t="str">
        <f aca="false">IF(E832="","",E832*N(F832)*IF(G832="",1,G832))</f>
        <v/>
      </c>
      <c r="I832" s="37"/>
      <c r="J832" s="37"/>
      <c r="K832" s="37"/>
    </row>
    <row r="833" customFormat="false" ht="15" hidden="false" customHeight="false" outlineLevel="0" collapsed="false">
      <c r="A833" s="35"/>
      <c r="B833" s="36" t="str">
        <f aca="false">IF(A833="","",MONTH(A833))</f>
        <v/>
      </c>
      <c r="C833" s="37"/>
      <c r="D833" s="37"/>
      <c r="E833" s="37"/>
      <c r="F833" s="38"/>
      <c r="G833" s="37"/>
      <c r="H833" s="39" t="str">
        <f aca="false">IF(E833="","",E833*N(F833)*IF(G833="",1,G833))</f>
        <v/>
      </c>
      <c r="I833" s="37"/>
      <c r="J833" s="37"/>
      <c r="K833" s="37"/>
    </row>
    <row r="834" customFormat="false" ht="15" hidden="false" customHeight="false" outlineLevel="0" collapsed="false">
      <c r="A834" s="35"/>
      <c r="B834" s="36" t="str">
        <f aca="false">IF(A834="","",MONTH(A834))</f>
        <v/>
      </c>
      <c r="C834" s="37"/>
      <c r="D834" s="37"/>
      <c r="E834" s="37"/>
      <c r="F834" s="38"/>
      <c r="G834" s="37"/>
      <c r="H834" s="39" t="str">
        <f aca="false">IF(E834="","",E834*N(F834)*IF(G834="",1,G834))</f>
        <v/>
      </c>
      <c r="I834" s="37"/>
      <c r="J834" s="37"/>
      <c r="K834" s="37"/>
    </row>
    <row r="835" customFormat="false" ht="15" hidden="false" customHeight="false" outlineLevel="0" collapsed="false">
      <c r="A835" s="35"/>
      <c r="B835" s="36" t="str">
        <f aca="false">IF(A835="","",MONTH(A835))</f>
        <v/>
      </c>
      <c r="C835" s="37"/>
      <c r="D835" s="37"/>
      <c r="E835" s="37"/>
      <c r="F835" s="38"/>
      <c r="G835" s="37"/>
      <c r="H835" s="39" t="str">
        <f aca="false">IF(E835="","",E835*N(F835)*IF(G835="",1,G835))</f>
        <v/>
      </c>
      <c r="I835" s="37"/>
      <c r="J835" s="37"/>
      <c r="K835" s="37"/>
    </row>
    <row r="836" customFormat="false" ht="15" hidden="false" customHeight="false" outlineLevel="0" collapsed="false">
      <c r="A836" s="35"/>
      <c r="B836" s="36" t="str">
        <f aca="false">IF(A836="","",MONTH(A836))</f>
        <v/>
      </c>
      <c r="C836" s="37"/>
      <c r="D836" s="37"/>
      <c r="E836" s="37"/>
      <c r="F836" s="38"/>
      <c r="G836" s="37"/>
      <c r="H836" s="39" t="str">
        <f aca="false">IF(E836="","",E836*N(F836)*IF(G836="",1,G836))</f>
        <v/>
      </c>
      <c r="I836" s="37"/>
      <c r="J836" s="37"/>
      <c r="K836" s="37"/>
    </row>
    <row r="837" customFormat="false" ht="15" hidden="false" customHeight="false" outlineLevel="0" collapsed="false">
      <c r="A837" s="35"/>
      <c r="B837" s="36" t="str">
        <f aca="false">IF(A837="","",MONTH(A837))</f>
        <v/>
      </c>
      <c r="C837" s="37"/>
      <c r="D837" s="37"/>
      <c r="E837" s="37"/>
      <c r="F837" s="38"/>
      <c r="G837" s="37"/>
      <c r="H837" s="39" t="str">
        <f aca="false">IF(E837="","",E837*N(F837)*IF(G837="",1,G837))</f>
        <v/>
      </c>
      <c r="I837" s="37"/>
      <c r="J837" s="37"/>
      <c r="K837" s="37"/>
    </row>
    <row r="838" customFormat="false" ht="15" hidden="false" customHeight="false" outlineLevel="0" collapsed="false">
      <c r="A838" s="35"/>
      <c r="B838" s="36" t="str">
        <f aca="false">IF(A838="","",MONTH(A838))</f>
        <v/>
      </c>
      <c r="C838" s="37"/>
      <c r="D838" s="37"/>
      <c r="E838" s="37"/>
      <c r="F838" s="38"/>
      <c r="G838" s="37"/>
      <c r="H838" s="39" t="str">
        <f aca="false">IF(E838="","",E838*N(F838)*IF(G838="",1,G838))</f>
        <v/>
      </c>
      <c r="I838" s="37"/>
      <c r="J838" s="37"/>
      <c r="K838" s="37"/>
    </row>
    <row r="839" customFormat="false" ht="15" hidden="false" customHeight="false" outlineLevel="0" collapsed="false">
      <c r="A839" s="35"/>
      <c r="B839" s="36" t="str">
        <f aca="false">IF(A839="","",MONTH(A839))</f>
        <v/>
      </c>
      <c r="C839" s="37"/>
      <c r="D839" s="37"/>
      <c r="E839" s="37"/>
      <c r="F839" s="38"/>
      <c r="G839" s="37"/>
      <c r="H839" s="39" t="str">
        <f aca="false">IF(E839="","",E839*N(F839)*IF(G839="",1,G839))</f>
        <v/>
      </c>
      <c r="I839" s="37"/>
      <c r="J839" s="37"/>
      <c r="K839" s="37"/>
    </row>
    <row r="840" customFormat="false" ht="15" hidden="false" customHeight="false" outlineLevel="0" collapsed="false">
      <c r="A840" s="35"/>
      <c r="B840" s="36" t="str">
        <f aca="false">IF(A840="","",MONTH(A840))</f>
        <v/>
      </c>
      <c r="C840" s="37"/>
      <c r="D840" s="37"/>
      <c r="E840" s="37"/>
      <c r="F840" s="38"/>
      <c r="G840" s="37"/>
      <c r="H840" s="39" t="str">
        <f aca="false">IF(E840="","",E840*N(F840)*IF(G840="",1,G840))</f>
        <v/>
      </c>
      <c r="I840" s="37"/>
      <c r="J840" s="37"/>
      <c r="K840" s="37"/>
    </row>
    <row r="841" customFormat="false" ht="15" hidden="false" customHeight="false" outlineLevel="0" collapsed="false">
      <c r="A841" s="35"/>
      <c r="B841" s="36" t="str">
        <f aca="false">IF(A841="","",MONTH(A841))</f>
        <v/>
      </c>
      <c r="C841" s="37"/>
      <c r="D841" s="37"/>
      <c r="E841" s="37"/>
      <c r="F841" s="38"/>
      <c r="G841" s="37"/>
      <c r="H841" s="39" t="str">
        <f aca="false">IF(E841="","",E841*N(F841)*IF(G841="",1,G841))</f>
        <v/>
      </c>
      <c r="I841" s="37"/>
      <c r="J841" s="37"/>
      <c r="K841" s="37"/>
    </row>
    <row r="842" customFormat="false" ht="15" hidden="false" customHeight="false" outlineLevel="0" collapsed="false">
      <c r="A842" s="35"/>
      <c r="B842" s="36" t="str">
        <f aca="false">IF(A842="","",MONTH(A842))</f>
        <v/>
      </c>
      <c r="C842" s="37"/>
      <c r="D842" s="37"/>
      <c r="E842" s="37"/>
      <c r="F842" s="38"/>
      <c r="G842" s="37"/>
      <c r="H842" s="39" t="str">
        <f aca="false">IF(E842="","",E842*N(F842)*IF(G842="",1,G842))</f>
        <v/>
      </c>
      <c r="I842" s="37"/>
      <c r="J842" s="37"/>
      <c r="K842" s="37"/>
    </row>
    <row r="843" customFormat="false" ht="15" hidden="false" customHeight="false" outlineLevel="0" collapsed="false">
      <c r="A843" s="35"/>
      <c r="B843" s="36" t="str">
        <f aca="false">IF(A843="","",MONTH(A843))</f>
        <v/>
      </c>
      <c r="C843" s="37"/>
      <c r="D843" s="37"/>
      <c r="E843" s="37"/>
      <c r="F843" s="38"/>
      <c r="G843" s="37"/>
      <c r="H843" s="39" t="str">
        <f aca="false">IF(E843="","",E843*N(F843)*IF(G843="",1,G843))</f>
        <v/>
      </c>
      <c r="I843" s="37"/>
      <c r="J843" s="37"/>
      <c r="K843" s="37"/>
    </row>
    <row r="844" customFormat="false" ht="15" hidden="false" customHeight="false" outlineLevel="0" collapsed="false">
      <c r="A844" s="35"/>
      <c r="B844" s="36" t="str">
        <f aca="false">IF(A844="","",MONTH(A844))</f>
        <v/>
      </c>
      <c r="C844" s="37"/>
      <c r="D844" s="37"/>
      <c r="E844" s="37"/>
      <c r="F844" s="38"/>
      <c r="G844" s="37"/>
      <c r="H844" s="39" t="str">
        <f aca="false">IF(E844="","",E844*N(F844)*IF(G844="",1,G844))</f>
        <v/>
      </c>
      <c r="I844" s="37"/>
      <c r="J844" s="37"/>
      <c r="K844" s="37"/>
    </row>
    <row r="845" customFormat="false" ht="15" hidden="false" customHeight="false" outlineLevel="0" collapsed="false">
      <c r="A845" s="35"/>
      <c r="B845" s="36" t="str">
        <f aca="false">IF(A845="","",MONTH(A845))</f>
        <v/>
      </c>
      <c r="C845" s="37"/>
      <c r="D845" s="37"/>
      <c r="E845" s="37"/>
      <c r="F845" s="38"/>
      <c r="G845" s="37"/>
      <c r="H845" s="39" t="str">
        <f aca="false">IF(E845="","",E845*N(F845)*IF(G845="",1,G845))</f>
        <v/>
      </c>
      <c r="I845" s="37"/>
      <c r="J845" s="37"/>
      <c r="K845" s="37"/>
    </row>
    <row r="846" customFormat="false" ht="15" hidden="false" customHeight="false" outlineLevel="0" collapsed="false">
      <c r="A846" s="35"/>
      <c r="B846" s="36" t="str">
        <f aca="false">IF(A846="","",MONTH(A846))</f>
        <v/>
      </c>
      <c r="C846" s="37"/>
      <c r="D846" s="37"/>
      <c r="E846" s="37"/>
      <c r="F846" s="38"/>
      <c r="G846" s="37"/>
      <c r="H846" s="39" t="str">
        <f aca="false">IF(E846="","",E846*N(F846)*IF(G846="",1,G846))</f>
        <v/>
      </c>
      <c r="I846" s="37"/>
      <c r="J846" s="37"/>
      <c r="K846" s="37"/>
    </row>
    <row r="847" customFormat="false" ht="15" hidden="false" customHeight="false" outlineLevel="0" collapsed="false">
      <c r="A847" s="35"/>
      <c r="B847" s="36" t="str">
        <f aca="false">IF(A847="","",MONTH(A847))</f>
        <v/>
      </c>
      <c r="C847" s="37"/>
      <c r="D847" s="37"/>
      <c r="E847" s="37"/>
      <c r="F847" s="38"/>
      <c r="G847" s="37"/>
      <c r="H847" s="39" t="str">
        <f aca="false">IF(E847="","",E847*N(F847)*IF(G847="",1,G847))</f>
        <v/>
      </c>
      <c r="I847" s="37"/>
      <c r="J847" s="37"/>
      <c r="K847" s="37"/>
    </row>
    <row r="848" customFormat="false" ht="15" hidden="false" customHeight="false" outlineLevel="0" collapsed="false">
      <c r="A848" s="35"/>
      <c r="B848" s="36" t="str">
        <f aca="false">IF(A848="","",MONTH(A848))</f>
        <v/>
      </c>
      <c r="C848" s="37"/>
      <c r="D848" s="37"/>
      <c r="E848" s="37"/>
      <c r="F848" s="38"/>
      <c r="G848" s="37"/>
      <c r="H848" s="39" t="str">
        <f aca="false">IF(E848="","",E848*N(F848)*IF(G848="",1,G848))</f>
        <v/>
      </c>
      <c r="I848" s="37"/>
      <c r="J848" s="37"/>
      <c r="K848" s="37"/>
    </row>
    <row r="849" customFormat="false" ht="15" hidden="false" customHeight="false" outlineLevel="0" collapsed="false">
      <c r="A849" s="35"/>
      <c r="B849" s="36" t="str">
        <f aca="false">IF(A849="","",MONTH(A849))</f>
        <v/>
      </c>
      <c r="C849" s="37"/>
      <c r="D849" s="37"/>
      <c r="E849" s="37"/>
      <c r="F849" s="38"/>
      <c r="G849" s="37"/>
      <c r="H849" s="39" t="str">
        <f aca="false">IF(E849="","",E849*N(F849)*IF(G849="",1,G849))</f>
        <v/>
      </c>
      <c r="I849" s="37"/>
      <c r="J849" s="37"/>
      <c r="K849" s="37"/>
    </row>
    <row r="850" customFormat="false" ht="15" hidden="false" customHeight="false" outlineLevel="0" collapsed="false">
      <c r="A850" s="35"/>
      <c r="B850" s="36" t="str">
        <f aca="false">IF(A850="","",MONTH(A850))</f>
        <v/>
      </c>
      <c r="C850" s="37"/>
      <c r="D850" s="37"/>
      <c r="E850" s="37"/>
      <c r="F850" s="38"/>
      <c r="G850" s="37"/>
      <c r="H850" s="39" t="str">
        <f aca="false">IF(E850="","",E850*N(F850)*IF(G850="",1,G850))</f>
        <v/>
      </c>
      <c r="I850" s="37"/>
      <c r="J850" s="37"/>
      <c r="K850" s="37"/>
    </row>
    <row r="851" customFormat="false" ht="15" hidden="false" customHeight="false" outlineLevel="0" collapsed="false">
      <c r="A851" s="35"/>
      <c r="B851" s="36" t="str">
        <f aca="false">IF(A851="","",MONTH(A851))</f>
        <v/>
      </c>
      <c r="C851" s="37"/>
      <c r="D851" s="37"/>
      <c r="E851" s="37"/>
      <c r="F851" s="38"/>
      <c r="G851" s="37"/>
      <c r="H851" s="39" t="str">
        <f aca="false">IF(E851="","",E851*N(F851)*IF(G851="",1,G851))</f>
        <v/>
      </c>
      <c r="I851" s="37"/>
      <c r="J851" s="37"/>
      <c r="K851" s="37"/>
    </row>
    <row r="852" customFormat="false" ht="15" hidden="false" customHeight="false" outlineLevel="0" collapsed="false">
      <c r="A852" s="35"/>
      <c r="B852" s="36" t="str">
        <f aca="false">IF(A852="","",MONTH(A852))</f>
        <v/>
      </c>
      <c r="C852" s="37"/>
      <c r="D852" s="37"/>
      <c r="E852" s="37"/>
      <c r="F852" s="38"/>
      <c r="G852" s="37"/>
      <c r="H852" s="39" t="str">
        <f aca="false">IF(E852="","",E852*N(F852)*IF(G852="",1,G852))</f>
        <v/>
      </c>
      <c r="I852" s="37"/>
      <c r="J852" s="37"/>
      <c r="K852" s="37"/>
    </row>
    <row r="853" customFormat="false" ht="15" hidden="false" customHeight="false" outlineLevel="0" collapsed="false">
      <c r="A853" s="35"/>
      <c r="B853" s="36" t="str">
        <f aca="false">IF(A853="","",MONTH(A853))</f>
        <v/>
      </c>
      <c r="C853" s="37"/>
      <c r="D853" s="37"/>
      <c r="E853" s="37"/>
      <c r="F853" s="38"/>
      <c r="G853" s="37"/>
      <c r="H853" s="39" t="str">
        <f aca="false">IF(E853="","",E853*N(F853)*IF(G853="",1,G853))</f>
        <v/>
      </c>
      <c r="I853" s="37"/>
      <c r="J853" s="37"/>
      <c r="K853" s="37"/>
    </row>
    <row r="854" customFormat="false" ht="15" hidden="false" customHeight="false" outlineLevel="0" collapsed="false">
      <c r="A854" s="35"/>
      <c r="B854" s="36" t="str">
        <f aca="false">IF(A854="","",MONTH(A854))</f>
        <v/>
      </c>
      <c r="C854" s="37"/>
      <c r="D854" s="37"/>
      <c r="E854" s="37"/>
      <c r="F854" s="38"/>
      <c r="G854" s="37"/>
      <c r="H854" s="39" t="str">
        <f aca="false">IF(E854="","",E854*N(F854)*IF(G854="",1,G854))</f>
        <v/>
      </c>
      <c r="I854" s="37"/>
      <c r="J854" s="37"/>
      <c r="K854" s="37"/>
    </row>
    <row r="855" customFormat="false" ht="15" hidden="false" customHeight="false" outlineLevel="0" collapsed="false">
      <c r="A855" s="35"/>
      <c r="B855" s="36" t="str">
        <f aca="false">IF(A855="","",MONTH(A855))</f>
        <v/>
      </c>
      <c r="C855" s="37"/>
      <c r="D855" s="37"/>
      <c r="E855" s="37"/>
      <c r="F855" s="38"/>
      <c r="G855" s="37"/>
      <c r="H855" s="39" t="str">
        <f aca="false">IF(E855="","",E855*N(F855)*IF(G855="",1,G855))</f>
        <v/>
      </c>
      <c r="I855" s="37"/>
      <c r="J855" s="37"/>
      <c r="K855" s="37"/>
    </row>
    <row r="856" customFormat="false" ht="15" hidden="false" customHeight="false" outlineLevel="0" collapsed="false">
      <c r="A856" s="35"/>
      <c r="B856" s="36" t="str">
        <f aca="false">IF(A856="","",MONTH(A856))</f>
        <v/>
      </c>
      <c r="C856" s="37"/>
      <c r="D856" s="37"/>
      <c r="E856" s="37"/>
      <c r="F856" s="38"/>
      <c r="G856" s="37"/>
      <c r="H856" s="39" t="str">
        <f aca="false">IF(E856="","",E856*N(F856)*IF(G856="",1,G856))</f>
        <v/>
      </c>
      <c r="I856" s="37"/>
      <c r="J856" s="37"/>
      <c r="K856" s="37"/>
    </row>
    <row r="857" customFormat="false" ht="15" hidden="false" customHeight="false" outlineLevel="0" collapsed="false">
      <c r="A857" s="35"/>
      <c r="B857" s="36" t="str">
        <f aca="false">IF(A857="","",MONTH(A857))</f>
        <v/>
      </c>
      <c r="C857" s="37"/>
      <c r="D857" s="37"/>
      <c r="E857" s="37"/>
      <c r="F857" s="38"/>
      <c r="G857" s="37"/>
      <c r="H857" s="39" t="str">
        <f aca="false">IF(E857="","",E857*N(F857)*IF(G857="",1,G857))</f>
        <v/>
      </c>
      <c r="I857" s="37"/>
      <c r="J857" s="37"/>
      <c r="K857" s="37"/>
    </row>
    <row r="858" customFormat="false" ht="15" hidden="false" customHeight="false" outlineLevel="0" collapsed="false">
      <c r="A858" s="35"/>
      <c r="B858" s="36" t="str">
        <f aca="false">IF(A858="","",MONTH(A858))</f>
        <v/>
      </c>
      <c r="C858" s="37"/>
      <c r="D858" s="37"/>
      <c r="E858" s="37"/>
      <c r="F858" s="38"/>
      <c r="G858" s="37"/>
      <c r="H858" s="39" t="str">
        <f aca="false">IF(E858="","",E858*N(F858)*IF(G858="",1,G858))</f>
        <v/>
      </c>
      <c r="I858" s="37"/>
      <c r="J858" s="37"/>
      <c r="K858" s="37"/>
    </row>
    <row r="859" customFormat="false" ht="15" hidden="false" customHeight="false" outlineLevel="0" collapsed="false">
      <c r="A859" s="35"/>
      <c r="B859" s="36" t="str">
        <f aca="false">IF(A859="","",MONTH(A859))</f>
        <v/>
      </c>
      <c r="C859" s="37"/>
      <c r="D859" s="37"/>
      <c r="E859" s="37"/>
      <c r="F859" s="38"/>
      <c r="G859" s="37"/>
      <c r="H859" s="39" t="str">
        <f aca="false">IF(E859="","",E859*N(F859)*IF(G859="",1,G859))</f>
        <v/>
      </c>
      <c r="I859" s="37"/>
      <c r="J859" s="37"/>
      <c r="K859" s="37"/>
    </row>
    <row r="860" customFormat="false" ht="15" hidden="false" customHeight="false" outlineLevel="0" collapsed="false">
      <c r="A860" s="35"/>
      <c r="B860" s="36" t="str">
        <f aca="false">IF(A860="","",MONTH(A860))</f>
        <v/>
      </c>
      <c r="C860" s="37"/>
      <c r="D860" s="37"/>
      <c r="E860" s="37"/>
      <c r="F860" s="38"/>
      <c r="G860" s="37"/>
      <c r="H860" s="39" t="str">
        <f aca="false">IF(E860="","",E860*N(F860)*IF(G860="",1,G860))</f>
        <v/>
      </c>
      <c r="I860" s="37"/>
      <c r="J860" s="37"/>
      <c r="K860" s="37"/>
    </row>
    <row r="861" customFormat="false" ht="15" hidden="false" customHeight="false" outlineLevel="0" collapsed="false">
      <c r="A861" s="35"/>
      <c r="B861" s="36" t="str">
        <f aca="false">IF(A861="","",MONTH(A861))</f>
        <v/>
      </c>
      <c r="C861" s="37"/>
      <c r="D861" s="37"/>
      <c r="E861" s="37"/>
      <c r="F861" s="38"/>
      <c r="G861" s="37"/>
      <c r="H861" s="39" t="str">
        <f aca="false">IF(E861="","",E861*N(F861)*IF(G861="",1,G861))</f>
        <v/>
      </c>
      <c r="I861" s="37"/>
      <c r="J861" s="37"/>
      <c r="K861" s="37"/>
    </row>
    <row r="862" customFormat="false" ht="15" hidden="false" customHeight="false" outlineLevel="0" collapsed="false">
      <c r="A862" s="35"/>
      <c r="B862" s="36" t="str">
        <f aca="false">IF(A862="","",MONTH(A862))</f>
        <v/>
      </c>
      <c r="C862" s="37"/>
      <c r="D862" s="37"/>
      <c r="E862" s="37"/>
      <c r="F862" s="38"/>
      <c r="G862" s="37"/>
      <c r="H862" s="39" t="str">
        <f aca="false">IF(E862="","",E862*N(F862)*IF(G862="",1,G862))</f>
        <v/>
      </c>
      <c r="I862" s="37"/>
      <c r="J862" s="37"/>
      <c r="K862" s="37"/>
    </row>
    <row r="863" customFormat="false" ht="15" hidden="false" customHeight="false" outlineLevel="0" collapsed="false">
      <c r="A863" s="35"/>
      <c r="B863" s="36" t="str">
        <f aca="false">IF(A863="","",MONTH(A863))</f>
        <v/>
      </c>
      <c r="C863" s="37"/>
      <c r="D863" s="37"/>
      <c r="E863" s="37"/>
      <c r="F863" s="38"/>
      <c r="G863" s="37"/>
      <c r="H863" s="39" t="str">
        <f aca="false">IF(E863="","",E863*N(F863)*IF(G863="",1,G863))</f>
        <v/>
      </c>
      <c r="I863" s="37"/>
      <c r="J863" s="37"/>
      <c r="K863" s="37"/>
    </row>
    <row r="864" customFormat="false" ht="15" hidden="false" customHeight="false" outlineLevel="0" collapsed="false">
      <c r="A864" s="35"/>
      <c r="B864" s="36" t="str">
        <f aca="false">IF(A864="","",MONTH(A864))</f>
        <v/>
      </c>
      <c r="C864" s="37"/>
      <c r="D864" s="37"/>
      <c r="E864" s="37"/>
      <c r="F864" s="38"/>
      <c r="G864" s="37"/>
      <c r="H864" s="39" t="str">
        <f aca="false">IF(E864="","",E864*N(F864)*IF(G864="",1,G864))</f>
        <v/>
      </c>
      <c r="I864" s="37"/>
      <c r="J864" s="37"/>
      <c r="K864" s="37"/>
    </row>
    <row r="865" customFormat="false" ht="15" hidden="false" customHeight="false" outlineLevel="0" collapsed="false">
      <c r="A865" s="35"/>
      <c r="B865" s="36" t="str">
        <f aca="false">IF(A865="","",MONTH(A865))</f>
        <v/>
      </c>
      <c r="C865" s="37"/>
      <c r="D865" s="37"/>
      <c r="E865" s="37"/>
      <c r="F865" s="38"/>
      <c r="G865" s="37"/>
      <c r="H865" s="39" t="str">
        <f aca="false">IF(E865="","",E865*N(F865)*IF(G865="",1,G865))</f>
        <v/>
      </c>
      <c r="I865" s="37"/>
      <c r="J865" s="37"/>
      <c r="K865" s="37"/>
    </row>
    <row r="866" customFormat="false" ht="15" hidden="false" customHeight="false" outlineLevel="0" collapsed="false">
      <c r="A866" s="35"/>
      <c r="B866" s="36" t="str">
        <f aca="false">IF(A866="","",MONTH(A866))</f>
        <v/>
      </c>
      <c r="C866" s="37"/>
      <c r="D866" s="37"/>
      <c r="E866" s="37"/>
      <c r="F866" s="38"/>
      <c r="G866" s="37"/>
      <c r="H866" s="39" t="str">
        <f aca="false">IF(E866="","",E866*N(F866)*IF(G866="",1,G866))</f>
        <v/>
      </c>
      <c r="I866" s="37"/>
      <c r="J866" s="37"/>
      <c r="K866" s="37"/>
    </row>
    <row r="867" customFormat="false" ht="15" hidden="false" customHeight="false" outlineLevel="0" collapsed="false">
      <c r="A867" s="35"/>
      <c r="B867" s="36" t="str">
        <f aca="false">IF(A867="","",MONTH(A867))</f>
        <v/>
      </c>
      <c r="C867" s="37"/>
      <c r="D867" s="37"/>
      <c r="E867" s="37"/>
      <c r="F867" s="38"/>
      <c r="G867" s="37"/>
      <c r="H867" s="39" t="str">
        <f aca="false">IF(E867="","",E867*N(F867)*IF(G867="",1,G867))</f>
        <v/>
      </c>
      <c r="I867" s="37"/>
      <c r="J867" s="37"/>
      <c r="K867" s="37"/>
    </row>
    <row r="868" customFormat="false" ht="15" hidden="false" customHeight="false" outlineLevel="0" collapsed="false">
      <c r="A868" s="35"/>
      <c r="B868" s="36" t="str">
        <f aca="false">IF(A868="","",MONTH(A868))</f>
        <v/>
      </c>
      <c r="C868" s="37"/>
      <c r="D868" s="37"/>
      <c r="E868" s="37"/>
      <c r="F868" s="38"/>
      <c r="G868" s="37"/>
      <c r="H868" s="39" t="str">
        <f aca="false">IF(E868="","",E868*N(F868)*IF(G868="",1,G868))</f>
        <v/>
      </c>
      <c r="I868" s="37"/>
      <c r="J868" s="37"/>
      <c r="K868" s="37"/>
    </row>
    <row r="869" customFormat="false" ht="15" hidden="false" customHeight="false" outlineLevel="0" collapsed="false">
      <c r="A869" s="35"/>
      <c r="B869" s="36" t="str">
        <f aca="false">IF(A869="","",MONTH(A869))</f>
        <v/>
      </c>
      <c r="C869" s="37"/>
      <c r="D869" s="37"/>
      <c r="E869" s="37"/>
      <c r="F869" s="38"/>
      <c r="G869" s="37"/>
      <c r="H869" s="39" t="str">
        <f aca="false">IF(E869="","",E869*N(F869)*IF(G869="",1,G869))</f>
        <v/>
      </c>
      <c r="I869" s="37"/>
      <c r="J869" s="37"/>
      <c r="K869" s="37"/>
    </row>
    <row r="870" customFormat="false" ht="15" hidden="false" customHeight="false" outlineLevel="0" collapsed="false">
      <c r="A870" s="35"/>
      <c r="B870" s="36" t="str">
        <f aca="false">IF(A870="","",MONTH(A870))</f>
        <v/>
      </c>
      <c r="C870" s="37"/>
      <c r="D870" s="37"/>
      <c r="E870" s="37"/>
      <c r="F870" s="38"/>
      <c r="G870" s="37"/>
      <c r="H870" s="39" t="str">
        <f aca="false">IF(E870="","",E870*N(F870)*IF(G870="",1,G870))</f>
        <v/>
      </c>
      <c r="I870" s="37"/>
      <c r="J870" s="37"/>
      <c r="K870" s="37"/>
    </row>
    <row r="871" customFormat="false" ht="15" hidden="false" customHeight="false" outlineLevel="0" collapsed="false">
      <c r="A871" s="35"/>
      <c r="B871" s="36" t="str">
        <f aca="false">IF(A871="","",MONTH(A871))</f>
        <v/>
      </c>
      <c r="C871" s="37"/>
      <c r="D871" s="37"/>
      <c r="E871" s="37"/>
      <c r="F871" s="38"/>
      <c r="G871" s="37"/>
      <c r="H871" s="39" t="str">
        <f aca="false">IF(E871="","",E871*N(F871)*IF(G871="",1,G871))</f>
        <v/>
      </c>
      <c r="I871" s="37"/>
      <c r="J871" s="37"/>
      <c r="K871" s="37"/>
    </row>
    <row r="872" customFormat="false" ht="15" hidden="false" customHeight="false" outlineLevel="0" collapsed="false">
      <c r="A872" s="35"/>
      <c r="B872" s="36" t="str">
        <f aca="false">IF(A872="","",MONTH(A872))</f>
        <v/>
      </c>
      <c r="C872" s="37"/>
      <c r="D872" s="37"/>
      <c r="E872" s="37"/>
      <c r="F872" s="38"/>
      <c r="G872" s="37"/>
      <c r="H872" s="39" t="str">
        <f aca="false">IF(E872="","",E872*N(F872)*IF(G872="",1,G872))</f>
        <v/>
      </c>
      <c r="I872" s="37"/>
      <c r="J872" s="37"/>
      <c r="K872" s="37"/>
    </row>
    <row r="873" customFormat="false" ht="15" hidden="false" customHeight="false" outlineLevel="0" collapsed="false">
      <c r="A873" s="35"/>
      <c r="B873" s="36" t="str">
        <f aca="false">IF(A873="","",MONTH(A873))</f>
        <v/>
      </c>
      <c r="C873" s="37"/>
      <c r="D873" s="37"/>
      <c r="E873" s="37"/>
      <c r="F873" s="38"/>
      <c r="G873" s="37"/>
      <c r="H873" s="39" t="str">
        <f aca="false">IF(E873="","",E873*N(F873)*IF(G873="",1,G873))</f>
        <v/>
      </c>
      <c r="I873" s="37"/>
      <c r="J873" s="37"/>
      <c r="K873" s="37"/>
    </row>
    <row r="874" customFormat="false" ht="15" hidden="false" customHeight="false" outlineLevel="0" collapsed="false">
      <c r="A874" s="35"/>
      <c r="B874" s="36" t="str">
        <f aca="false">IF(A874="","",MONTH(A874))</f>
        <v/>
      </c>
      <c r="C874" s="37"/>
      <c r="D874" s="37"/>
      <c r="E874" s="37"/>
      <c r="F874" s="38"/>
      <c r="G874" s="37"/>
      <c r="H874" s="39" t="str">
        <f aca="false">IF(E874="","",E874*N(F874)*IF(G874="",1,G874))</f>
        <v/>
      </c>
      <c r="I874" s="37"/>
      <c r="J874" s="37"/>
      <c r="K874" s="37"/>
    </row>
    <row r="875" customFormat="false" ht="15" hidden="false" customHeight="false" outlineLevel="0" collapsed="false">
      <c r="A875" s="35"/>
      <c r="B875" s="36" t="str">
        <f aca="false">IF(A875="","",MONTH(A875))</f>
        <v/>
      </c>
      <c r="C875" s="37"/>
      <c r="D875" s="37"/>
      <c r="E875" s="37"/>
      <c r="F875" s="38"/>
      <c r="G875" s="37"/>
      <c r="H875" s="39" t="str">
        <f aca="false">IF(E875="","",E875*N(F875)*IF(G875="",1,G875))</f>
        <v/>
      </c>
      <c r="I875" s="37"/>
      <c r="J875" s="37"/>
      <c r="K875" s="37"/>
    </row>
    <row r="876" customFormat="false" ht="15" hidden="false" customHeight="false" outlineLevel="0" collapsed="false">
      <c r="A876" s="35"/>
      <c r="B876" s="36" t="str">
        <f aca="false">IF(A876="","",MONTH(A876))</f>
        <v/>
      </c>
      <c r="C876" s="37"/>
      <c r="D876" s="37"/>
      <c r="E876" s="37"/>
      <c r="F876" s="38"/>
      <c r="G876" s="37"/>
      <c r="H876" s="39" t="str">
        <f aca="false">IF(E876="","",E876*N(F876)*IF(G876="",1,G876))</f>
        <v/>
      </c>
      <c r="I876" s="37"/>
      <c r="J876" s="37"/>
      <c r="K876" s="37"/>
    </row>
    <row r="877" customFormat="false" ht="15" hidden="false" customHeight="false" outlineLevel="0" collapsed="false">
      <c r="A877" s="35"/>
      <c r="B877" s="36" t="str">
        <f aca="false">IF(A877="","",MONTH(A877))</f>
        <v/>
      </c>
      <c r="C877" s="37"/>
      <c r="D877" s="37"/>
      <c r="E877" s="37"/>
      <c r="F877" s="38"/>
      <c r="G877" s="37"/>
      <c r="H877" s="39" t="str">
        <f aca="false">IF(E877="","",E877*N(F877)*IF(G877="",1,G877))</f>
        <v/>
      </c>
      <c r="I877" s="37"/>
      <c r="J877" s="37"/>
      <c r="K877" s="37"/>
    </row>
    <row r="878" customFormat="false" ht="15" hidden="false" customHeight="false" outlineLevel="0" collapsed="false">
      <c r="A878" s="35"/>
      <c r="B878" s="36" t="str">
        <f aca="false">IF(A878="","",MONTH(A878))</f>
        <v/>
      </c>
      <c r="C878" s="37"/>
      <c r="D878" s="37"/>
      <c r="E878" s="37"/>
      <c r="F878" s="38"/>
      <c r="G878" s="37"/>
      <c r="H878" s="39" t="str">
        <f aca="false">IF(E878="","",E878*N(F878)*IF(G878="",1,G878))</f>
        <v/>
      </c>
      <c r="I878" s="37"/>
      <c r="J878" s="37"/>
      <c r="K878" s="37"/>
    </row>
    <row r="879" customFormat="false" ht="15" hidden="false" customHeight="false" outlineLevel="0" collapsed="false">
      <c r="A879" s="35"/>
      <c r="B879" s="36" t="str">
        <f aca="false">IF(A879="","",MONTH(A879))</f>
        <v/>
      </c>
      <c r="C879" s="37"/>
      <c r="D879" s="37"/>
      <c r="E879" s="37"/>
      <c r="F879" s="38"/>
      <c r="G879" s="37"/>
      <c r="H879" s="39" t="str">
        <f aca="false">IF(E879="","",E879*N(F879)*IF(G879="",1,G879))</f>
        <v/>
      </c>
      <c r="I879" s="37"/>
      <c r="J879" s="37"/>
      <c r="K879" s="37"/>
    </row>
    <row r="880" customFormat="false" ht="15" hidden="false" customHeight="false" outlineLevel="0" collapsed="false">
      <c r="A880" s="35"/>
      <c r="B880" s="36" t="str">
        <f aca="false">IF(A880="","",MONTH(A880))</f>
        <v/>
      </c>
      <c r="C880" s="37"/>
      <c r="D880" s="37"/>
      <c r="E880" s="37"/>
      <c r="F880" s="38"/>
      <c r="G880" s="37"/>
      <c r="H880" s="39" t="str">
        <f aca="false">IF(E880="","",E880*N(F880)*IF(G880="",1,G880))</f>
        <v/>
      </c>
      <c r="I880" s="37"/>
      <c r="J880" s="37"/>
      <c r="K880" s="37"/>
    </row>
    <row r="881" customFormat="false" ht="15" hidden="false" customHeight="false" outlineLevel="0" collapsed="false">
      <c r="A881" s="35"/>
      <c r="B881" s="36" t="str">
        <f aca="false">IF(A881="","",MONTH(A881))</f>
        <v/>
      </c>
      <c r="C881" s="37"/>
      <c r="D881" s="37"/>
      <c r="E881" s="37"/>
      <c r="F881" s="38"/>
      <c r="G881" s="37"/>
      <c r="H881" s="39" t="str">
        <f aca="false">IF(E881="","",E881*N(F881)*IF(G881="",1,G881))</f>
        <v/>
      </c>
      <c r="I881" s="37"/>
      <c r="J881" s="37"/>
      <c r="K881" s="37"/>
    </row>
    <row r="882" customFormat="false" ht="15" hidden="false" customHeight="false" outlineLevel="0" collapsed="false">
      <c r="A882" s="35"/>
      <c r="B882" s="36" t="str">
        <f aca="false">IF(A882="","",MONTH(A882))</f>
        <v/>
      </c>
      <c r="C882" s="37"/>
      <c r="D882" s="37"/>
      <c r="E882" s="37"/>
      <c r="F882" s="38"/>
      <c r="G882" s="37"/>
      <c r="H882" s="39" t="str">
        <f aca="false">IF(E882="","",E882*N(F882)*IF(G882="",1,G882))</f>
        <v/>
      </c>
      <c r="I882" s="37"/>
      <c r="J882" s="37"/>
      <c r="K882" s="37"/>
    </row>
    <row r="883" customFormat="false" ht="15" hidden="false" customHeight="false" outlineLevel="0" collapsed="false">
      <c r="A883" s="35"/>
      <c r="B883" s="36" t="str">
        <f aca="false">IF(A883="","",MONTH(A883))</f>
        <v/>
      </c>
      <c r="C883" s="37"/>
      <c r="D883" s="37"/>
      <c r="E883" s="37"/>
      <c r="F883" s="38"/>
      <c r="G883" s="37"/>
      <c r="H883" s="39" t="str">
        <f aca="false">IF(E883="","",E883*N(F883)*IF(G883="",1,G883))</f>
        <v/>
      </c>
      <c r="I883" s="37"/>
      <c r="J883" s="37"/>
      <c r="K883" s="37"/>
    </row>
    <row r="884" customFormat="false" ht="15" hidden="false" customHeight="false" outlineLevel="0" collapsed="false">
      <c r="A884" s="35"/>
      <c r="B884" s="36" t="str">
        <f aca="false">IF(A884="","",MONTH(A884))</f>
        <v/>
      </c>
      <c r="C884" s="37"/>
      <c r="D884" s="37"/>
      <c r="E884" s="37"/>
      <c r="F884" s="38"/>
      <c r="G884" s="37"/>
      <c r="H884" s="39" t="str">
        <f aca="false">IF(E884="","",E884*N(F884)*IF(G884="",1,G884))</f>
        <v/>
      </c>
      <c r="I884" s="37"/>
      <c r="J884" s="37"/>
      <c r="K884" s="37"/>
    </row>
    <row r="885" customFormat="false" ht="15" hidden="false" customHeight="false" outlineLevel="0" collapsed="false">
      <c r="A885" s="35"/>
      <c r="B885" s="36" t="str">
        <f aca="false">IF(A885="","",MONTH(A885))</f>
        <v/>
      </c>
      <c r="C885" s="37"/>
      <c r="D885" s="37"/>
      <c r="E885" s="37"/>
      <c r="F885" s="38"/>
      <c r="G885" s="37"/>
      <c r="H885" s="39" t="str">
        <f aca="false">IF(E885="","",E885*N(F885)*IF(G885="",1,G885))</f>
        <v/>
      </c>
      <c r="I885" s="37"/>
      <c r="J885" s="37"/>
      <c r="K885" s="37"/>
    </row>
    <row r="886" customFormat="false" ht="15" hidden="false" customHeight="false" outlineLevel="0" collapsed="false">
      <c r="A886" s="35"/>
      <c r="B886" s="36" t="str">
        <f aca="false">IF(A886="","",MONTH(A886))</f>
        <v/>
      </c>
      <c r="C886" s="37"/>
      <c r="D886" s="37"/>
      <c r="E886" s="37"/>
      <c r="F886" s="38"/>
      <c r="G886" s="37"/>
      <c r="H886" s="39" t="str">
        <f aca="false">IF(E886="","",E886*N(F886)*IF(G886="",1,G886))</f>
        <v/>
      </c>
      <c r="I886" s="37"/>
      <c r="J886" s="37"/>
      <c r="K886" s="37"/>
    </row>
    <row r="887" customFormat="false" ht="15" hidden="false" customHeight="false" outlineLevel="0" collapsed="false">
      <c r="A887" s="35"/>
      <c r="B887" s="36" t="str">
        <f aca="false">IF(A887="","",MONTH(A887))</f>
        <v/>
      </c>
      <c r="C887" s="37"/>
      <c r="D887" s="37"/>
      <c r="E887" s="37"/>
      <c r="F887" s="38"/>
      <c r="G887" s="37"/>
      <c r="H887" s="39" t="str">
        <f aca="false">IF(E887="","",E887*N(F887)*IF(G887="",1,G887))</f>
        <v/>
      </c>
      <c r="I887" s="37"/>
      <c r="J887" s="37"/>
      <c r="K887" s="37"/>
    </row>
    <row r="888" customFormat="false" ht="15" hidden="false" customHeight="false" outlineLevel="0" collapsed="false">
      <c r="A888" s="35"/>
      <c r="B888" s="36" t="str">
        <f aca="false">IF(A888="","",MONTH(A888))</f>
        <v/>
      </c>
      <c r="C888" s="37"/>
      <c r="D888" s="37"/>
      <c r="E888" s="37"/>
      <c r="F888" s="38"/>
      <c r="G888" s="37"/>
      <c r="H888" s="39" t="str">
        <f aca="false">IF(E888="","",E888*N(F888)*IF(G888="",1,G888))</f>
        <v/>
      </c>
      <c r="I888" s="37"/>
      <c r="J888" s="37"/>
      <c r="K888" s="37"/>
    </row>
    <row r="889" customFormat="false" ht="15" hidden="false" customHeight="false" outlineLevel="0" collapsed="false">
      <c r="A889" s="35"/>
      <c r="B889" s="36" t="str">
        <f aca="false">IF(A889="","",MONTH(A889))</f>
        <v/>
      </c>
      <c r="C889" s="37"/>
      <c r="D889" s="37"/>
      <c r="E889" s="37"/>
      <c r="F889" s="38"/>
      <c r="G889" s="37"/>
      <c r="H889" s="39" t="str">
        <f aca="false">IF(E889="","",E889*N(F889)*IF(G889="",1,G889))</f>
        <v/>
      </c>
      <c r="I889" s="37"/>
      <c r="J889" s="37"/>
      <c r="K889" s="37"/>
    </row>
    <row r="890" customFormat="false" ht="15" hidden="false" customHeight="false" outlineLevel="0" collapsed="false">
      <c r="A890" s="35"/>
      <c r="B890" s="36" t="str">
        <f aca="false">IF(A890="","",MONTH(A890))</f>
        <v/>
      </c>
      <c r="C890" s="37"/>
      <c r="D890" s="37"/>
      <c r="E890" s="37"/>
      <c r="F890" s="38"/>
      <c r="G890" s="37"/>
      <c r="H890" s="39" t="str">
        <f aca="false">IF(E890="","",E890*N(F890)*IF(G890="",1,G890))</f>
        <v/>
      </c>
      <c r="I890" s="37"/>
      <c r="J890" s="37"/>
      <c r="K890" s="37"/>
    </row>
    <row r="891" customFormat="false" ht="15" hidden="false" customHeight="false" outlineLevel="0" collapsed="false">
      <c r="A891" s="35"/>
      <c r="B891" s="36" t="str">
        <f aca="false">IF(A891="","",MONTH(A891))</f>
        <v/>
      </c>
      <c r="C891" s="37"/>
      <c r="D891" s="37"/>
      <c r="E891" s="37"/>
      <c r="F891" s="38"/>
      <c r="G891" s="37"/>
      <c r="H891" s="39" t="str">
        <f aca="false">IF(E891="","",E891*N(F891)*IF(G891="",1,G891))</f>
        <v/>
      </c>
      <c r="I891" s="37"/>
      <c r="J891" s="37"/>
      <c r="K891" s="37"/>
    </row>
    <row r="892" customFormat="false" ht="15" hidden="false" customHeight="false" outlineLevel="0" collapsed="false">
      <c r="A892" s="35"/>
      <c r="B892" s="36" t="str">
        <f aca="false">IF(A892="","",MONTH(A892))</f>
        <v/>
      </c>
      <c r="C892" s="37"/>
      <c r="D892" s="37"/>
      <c r="E892" s="37"/>
      <c r="F892" s="38"/>
      <c r="G892" s="37"/>
      <c r="H892" s="39" t="str">
        <f aca="false">IF(E892="","",E892*N(F892)*IF(G892="",1,G892))</f>
        <v/>
      </c>
      <c r="I892" s="37"/>
      <c r="J892" s="37"/>
      <c r="K892" s="37"/>
    </row>
    <row r="893" customFormat="false" ht="15" hidden="false" customHeight="false" outlineLevel="0" collapsed="false">
      <c r="A893" s="35"/>
      <c r="B893" s="36" t="str">
        <f aca="false">IF(A893="","",MONTH(A893))</f>
        <v/>
      </c>
      <c r="C893" s="37"/>
      <c r="D893" s="37"/>
      <c r="E893" s="37"/>
      <c r="F893" s="38"/>
      <c r="G893" s="37"/>
      <c r="H893" s="39" t="str">
        <f aca="false">IF(E893="","",E893*N(F893)*IF(G893="",1,G893))</f>
        <v/>
      </c>
      <c r="I893" s="37"/>
      <c r="J893" s="37"/>
      <c r="K893" s="37"/>
    </row>
    <row r="894" customFormat="false" ht="15" hidden="false" customHeight="false" outlineLevel="0" collapsed="false">
      <c r="A894" s="35"/>
      <c r="B894" s="36" t="str">
        <f aca="false">IF(A894="","",MONTH(A894))</f>
        <v/>
      </c>
      <c r="C894" s="37"/>
      <c r="D894" s="37"/>
      <c r="E894" s="37"/>
      <c r="F894" s="38"/>
      <c r="G894" s="37"/>
      <c r="H894" s="39" t="str">
        <f aca="false">IF(E894="","",E894*N(F894)*IF(G894="",1,G894))</f>
        <v/>
      </c>
      <c r="I894" s="37"/>
      <c r="J894" s="37"/>
      <c r="K894" s="37"/>
    </row>
    <row r="895" customFormat="false" ht="15" hidden="false" customHeight="false" outlineLevel="0" collapsed="false">
      <c r="A895" s="35"/>
      <c r="B895" s="36" t="str">
        <f aca="false">IF(A895="","",MONTH(A895))</f>
        <v/>
      </c>
      <c r="C895" s="37"/>
      <c r="D895" s="37"/>
      <c r="E895" s="37"/>
      <c r="F895" s="38"/>
      <c r="G895" s="37"/>
      <c r="H895" s="39" t="str">
        <f aca="false">IF(E895="","",E895*N(F895)*IF(G895="",1,G895))</f>
        <v/>
      </c>
      <c r="I895" s="37"/>
      <c r="J895" s="37"/>
      <c r="K895" s="37"/>
    </row>
    <row r="896" customFormat="false" ht="15" hidden="false" customHeight="false" outlineLevel="0" collapsed="false">
      <c r="A896" s="35"/>
      <c r="B896" s="36" t="str">
        <f aca="false">IF(A896="","",MONTH(A896))</f>
        <v/>
      </c>
      <c r="C896" s="37"/>
      <c r="D896" s="37"/>
      <c r="E896" s="37"/>
      <c r="F896" s="38"/>
      <c r="G896" s="37"/>
      <c r="H896" s="39" t="str">
        <f aca="false">IF(E896="","",E896*N(F896)*IF(G896="",1,G896))</f>
        <v/>
      </c>
      <c r="I896" s="37"/>
      <c r="J896" s="37"/>
      <c r="K896" s="37"/>
    </row>
    <row r="897" customFormat="false" ht="15" hidden="false" customHeight="false" outlineLevel="0" collapsed="false">
      <c r="A897" s="35"/>
      <c r="B897" s="36" t="str">
        <f aca="false">IF(A897="","",MONTH(A897))</f>
        <v/>
      </c>
      <c r="C897" s="37"/>
      <c r="D897" s="37"/>
      <c r="E897" s="37"/>
      <c r="F897" s="38"/>
      <c r="G897" s="37"/>
      <c r="H897" s="39" t="str">
        <f aca="false">IF(E897="","",E897*N(F897)*IF(G897="",1,G897))</f>
        <v/>
      </c>
      <c r="I897" s="37"/>
      <c r="J897" s="37"/>
      <c r="K897" s="37"/>
    </row>
    <row r="898" customFormat="false" ht="15" hidden="false" customHeight="false" outlineLevel="0" collapsed="false">
      <c r="A898" s="35"/>
      <c r="B898" s="36" t="str">
        <f aca="false">IF(A898="","",MONTH(A898))</f>
        <v/>
      </c>
      <c r="C898" s="37"/>
      <c r="D898" s="37"/>
      <c r="E898" s="37"/>
      <c r="F898" s="38"/>
      <c r="G898" s="37"/>
      <c r="H898" s="39" t="str">
        <f aca="false">IF(E898="","",E898*N(F898)*IF(G898="",1,G898))</f>
        <v/>
      </c>
      <c r="I898" s="37"/>
      <c r="J898" s="37"/>
      <c r="K898" s="37"/>
    </row>
    <row r="899" customFormat="false" ht="15" hidden="false" customHeight="false" outlineLevel="0" collapsed="false">
      <c r="A899" s="35"/>
      <c r="B899" s="36" t="str">
        <f aca="false">IF(A899="","",MONTH(A899))</f>
        <v/>
      </c>
      <c r="C899" s="37"/>
      <c r="D899" s="37"/>
      <c r="E899" s="37"/>
      <c r="F899" s="38"/>
      <c r="G899" s="37"/>
      <c r="H899" s="39" t="str">
        <f aca="false">IF(E899="","",E899*N(F899)*IF(G899="",1,G899))</f>
        <v/>
      </c>
      <c r="I899" s="37"/>
      <c r="J899" s="37"/>
      <c r="K899" s="37"/>
    </row>
    <row r="900" customFormat="false" ht="15" hidden="false" customHeight="false" outlineLevel="0" collapsed="false">
      <c r="A900" s="35"/>
      <c r="B900" s="36" t="str">
        <f aca="false">IF(A900="","",MONTH(A900))</f>
        <v/>
      </c>
      <c r="C900" s="37"/>
      <c r="D900" s="37"/>
      <c r="E900" s="37"/>
      <c r="F900" s="38"/>
      <c r="G900" s="37"/>
      <c r="H900" s="39" t="str">
        <f aca="false">IF(E900="","",E900*N(F900)*IF(G900="",1,G900))</f>
        <v/>
      </c>
      <c r="I900" s="37"/>
      <c r="J900" s="37"/>
      <c r="K900" s="37"/>
    </row>
    <row r="901" customFormat="false" ht="15" hidden="false" customHeight="false" outlineLevel="0" collapsed="false">
      <c r="A901" s="35"/>
      <c r="B901" s="36" t="str">
        <f aca="false">IF(A901="","",MONTH(A901))</f>
        <v/>
      </c>
      <c r="C901" s="37"/>
      <c r="D901" s="37"/>
      <c r="E901" s="37"/>
      <c r="F901" s="38"/>
      <c r="G901" s="37"/>
      <c r="H901" s="39" t="str">
        <f aca="false">IF(E901="","",E901*N(F901)*IF(G901="",1,G901))</f>
        <v/>
      </c>
      <c r="I901" s="37"/>
      <c r="J901" s="37"/>
      <c r="K901" s="37"/>
    </row>
    <row r="902" customFormat="false" ht="15" hidden="false" customHeight="false" outlineLevel="0" collapsed="false">
      <c r="A902" s="35"/>
      <c r="B902" s="36" t="str">
        <f aca="false">IF(A902="","",MONTH(A902))</f>
        <v/>
      </c>
      <c r="C902" s="37"/>
      <c r="D902" s="37"/>
      <c r="E902" s="37"/>
      <c r="F902" s="38"/>
      <c r="G902" s="37"/>
      <c r="H902" s="39" t="str">
        <f aca="false">IF(E902="","",E902*N(F902)*IF(G902="",1,G902))</f>
        <v/>
      </c>
      <c r="I902" s="37"/>
      <c r="J902" s="37"/>
      <c r="K902" s="37"/>
    </row>
    <row r="903" customFormat="false" ht="15" hidden="false" customHeight="false" outlineLevel="0" collapsed="false">
      <c r="A903" s="35"/>
      <c r="B903" s="36" t="str">
        <f aca="false">IF(A903="","",MONTH(A903))</f>
        <v/>
      </c>
      <c r="C903" s="37"/>
      <c r="D903" s="37"/>
      <c r="E903" s="37"/>
      <c r="F903" s="38"/>
      <c r="G903" s="37"/>
      <c r="H903" s="39" t="str">
        <f aca="false">IF(E903="","",E903*N(F903)*IF(G903="",1,G903))</f>
        <v/>
      </c>
      <c r="I903" s="37"/>
      <c r="J903" s="37"/>
      <c r="K903" s="37"/>
    </row>
    <row r="904" customFormat="false" ht="15" hidden="false" customHeight="false" outlineLevel="0" collapsed="false">
      <c r="A904" s="35"/>
      <c r="B904" s="36" t="str">
        <f aca="false">IF(A904="","",MONTH(A904))</f>
        <v/>
      </c>
      <c r="C904" s="37"/>
      <c r="D904" s="37"/>
      <c r="E904" s="37"/>
      <c r="F904" s="38"/>
      <c r="G904" s="37"/>
      <c r="H904" s="39" t="str">
        <f aca="false">IF(E904="","",E904*N(F904)*IF(G904="",1,G904))</f>
        <v/>
      </c>
      <c r="I904" s="37"/>
      <c r="J904" s="37"/>
      <c r="K904" s="37"/>
    </row>
    <row r="905" customFormat="false" ht="15" hidden="false" customHeight="false" outlineLevel="0" collapsed="false">
      <c r="A905" s="35"/>
      <c r="B905" s="36" t="str">
        <f aca="false">IF(A905="","",MONTH(A905))</f>
        <v/>
      </c>
      <c r="C905" s="37"/>
      <c r="D905" s="37"/>
      <c r="E905" s="37"/>
      <c r="F905" s="38"/>
      <c r="G905" s="37"/>
      <c r="H905" s="39" t="str">
        <f aca="false">IF(E905="","",E905*N(F905)*IF(G905="",1,G905))</f>
        <v/>
      </c>
      <c r="I905" s="37"/>
      <c r="J905" s="37"/>
      <c r="K905" s="37"/>
    </row>
    <row r="906" customFormat="false" ht="15" hidden="false" customHeight="false" outlineLevel="0" collapsed="false">
      <c r="A906" s="35"/>
      <c r="B906" s="36" t="str">
        <f aca="false">IF(A906="","",MONTH(A906))</f>
        <v/>
      </c>
      <c r="C906" s="37"/>
      <c r="D906" s="37"/>
      <c r="E906" s="37"/>
      <c r="F906" s="38"/>
      <c r="G906" s="37"/>
      <c r="H906" s="39" t="str">
        <f aca="false">IF(E906="","",E906*N(F906)*IF(G906="",1,G906))</f>
        <v/>
      </c>
      <c r="I906" s="37"/>
      <c r="J906" s="37"/>
      <c r="K906" s="37"/>
    </row>
    <row r="907" customFormat="false" ht="15" hidden="false" customHeight="false" outlineLevel="0" collapsed="false">
      <c r="A907" s="35"/>
      <c r="B907" s="36" t="str">
        <f aca="false">IF(A907="","",MONTH(A907))</f>
        <v/>
      </c>
      <c r="C907" s="37"/>
      <c r="D907" s="37"/>
      <c r="E907" s="37"/>
      <c r="F907" s="38"/>
      <c r="G907" s="37"/>
      <c r="H907" s="39" t="str">
        <f aca="false">IF(E907="","",E907*N(F907)*IF(G907="",1,G907))</f>
        <v/>
      </c>
      <c r="I907" s="37"/>
      <c r="J907" s="37"/>
      <c r="K907" s="37"/>
    </row>
    <row r="908" customFormat="false" ht="15" hidden="false" customHeight="false" outlineLevel="0" collapsed="false">
      <c r="A908" s="35"/>
      <c r="B908" s="36" t="str">
        <f aca="false">IF(A908="","",MONTH(A908))</f>
        <v/>
      </c>
      <c r="C908" s="37"/>
      <c r="D908" s="37"/>
      <c r="E908" s="37"/>
      <c r="F908" s="38"/>
      <c r="G908" s="37"/>
      <c r="H908" s="39" t="str">
        <f aca="false">IF(E908="","",E908*N(F908)*IF(G908="",1,G908))</f>
        <v/>
      </c>
      <c r="I908" s="37"/>
      <c r="J908" s="37"/>
      <c r="K908" s="37"/>
    </row>
    <row r="909" customFormat="false" ht="15" hidden="false" customHeight="false" outlineLevel="0" collapsed="false">
      <c r="A909" s="35"/>
      <c r="B909" s="36" t="str">
        <f aca="false">IF(A909="","",MONTH(A909))</f>
        <v/>
      </c>
      <c r="C909" s="37"/>
      <c r="D909" s="37"/>
      <c r="E909" s="37"/>
      <c r="F909" s="38"/>
      <c r="G909" s="37"/>
      <c r="H909" s="39" t="str">
        <f aca="false">IF(E909="","",E909*N(F909)*IF(G909="",1,G909))</f>
        <v/>
      </c>
      <c r="I909" s="37"/>
      <c r="J909" s="37"/>
      <c r="K909" s="37"/>
    </row>
    <row r="910" customFormat="false" ht="15" hidden="false" customHeight="false" outlineLevel="0" collapsed="false">
      <c r="A910" s="35"/>
      <c r="B910" s="36" t="str">
        <f aca="false">IF(A910="","",MONTH(A910))</f>
        <v/>
      </c>
      <c r="C910" s="37"/>
      <c r="D910" s="37"/>
      <c r="E910" s="37"/>
      <c r="F910" s="38"/>
      <c r="G910" s="37"/>
      <c r="H910" s="39" t="str">
        <f aca="false">IF(E910="","",E910*N(F910)*IF(G910="",1,G910))</f>
        <v/>
      </c>
      <c r="I910" s="37"/>
      <c r="J910" s="37"/>
      <c r="K910" s="37"/>
    </row>
    <row r="911" customFormat="false" ht="15" hidden="false" customHeight="false" outlineLevel="0" collapsed="false">
      <c r="A911" s="35"/>
      <c r="B911" s="36" t="str">
        <f aca="false">IF(A911="","",MONTH(A911))</f>
        <v/>
      </c>
      <c r="C911" s="37"/>
      <c r="D911" s="37"/>
      <c r="E911" s="37"/>
      <c r="F911" s="38"/>
      <c r="G911" s="37"/>
      <c r="H911" s="39" t="str">
        <f aca="false">IF(E911="","",E911*N(F911)*IF(G911="",1,G911))</f>
        <v/>
      </c>
      <c r="I911" s="37"/>
      <c r="J911" s="37"/>
      <c r="K911" s="37"/>
    </row>
    <row r="912" customFormat="false" ht="15" hidden="false" customHeight="false" outlineLevel="0" collapsed="false">
      <c r="A912" s="35"/>
      <c r="B912" s="36" t="str">
        <f aca="false">IF(A912="","",MONTH(A912))</f>
        <v/>
      </c>
      <c r="C912" s="37"/>
      <c r="D912" s="37"/>
      <c r="E912" s="37"/>
      <c r="F912" s="38"/>
      <c r="G912" s="37"/>
      <c r="H912" s="39" t="str">
        <f aca="false">IF(E912="","",E912*N(F912)*IF(G912="",1,G912))</f>
        <v/>
      </c>
      <c r="I912" s="37"/>
      <c r="J912" s="37"/>
      <c r="K912" s="37"/>
    </row>
    <row r="913" customFormat="false" ht="15" hidden="false" customHeight="false" outlineLevel="0" collapsed="false">
      <c r="A913" s="35"/>
      <c r="B913" s="36" t="str">
        <f aca="false">IF(A913="","",MONTH(A913))</f>
        <v/>
      </c>
      <c r="C913" s="37"/>
      <c r="D913" s="37"/>
      <c r="E913" s="37"/>
      <c r="F913" s="38"/>
      <c r="G913" s="37"/>
      <c r="H913" s="39" t="str">
        <f aca="false">IF(E913="","",E913*N(F913)*IF(G913="",1,G913))</f>
        <v/>
      </c>
      <c r="I913" s="37"/>
      <c r="J913" s="37"/>
      <c r="K913" s="37"/>
    </row>
    <row r="914" customFormat="false" ht="15" hidden="false" customHeight="false" outlineLevel="0" collapsed="false">
      <c r="A914" s="35"/>
      <c r="B914" s="36" t="str">
        <f aca="false">IF(A914="","",MONTH(A914))</f>
        <v/>
      </c>
      <c r="C914" s="37"/>
      <c r="D914" s="37"/>
      <c r="E914" s="37"/>
      <c r="F914" s="38"/>
      <c r="G914" s="37"/>
      <c r="H914" s="39" t="str">
        <f aca="false">IF(E914="","",E914*N(F914)*IF(G914="",1,G914))</f>
        <v/>
      </c>
      <c r="I914" s="37"/>
      <c r="J914" s="37"/>
      <c r="K914" s="37"/>
    </row>
    <row r="915" customFormat="false" ht="15" hidden="false" customHeight="false" outlineLevel="0" collapsed="false">
      <c r="A915" s="35"/>
      <c r="B915" s="36" t="str">
        <f aca="false">IF(A915="","",MONTH(A915))</f>
        <v/>
      </c>
      <c r="C915" s="37"/>
      <c r="D915" s="37"/>
      <c r="E915" s="37"/>
      <c r="F915" s="38"/>
      <c r="G915" s="37"/>
      <c r="H915" s="39" t="str">
        <f aca="false">IF(E915="","",E915*N(F915)*IF(G915="",1,G915))</f>
        <v/>
      </c>
      <c r="I915" s="37"/>
      <c r="J915" s="37"/>
      <c r="K915" s="37"/>
    </row>
    <row r="916" customFormat="false" ht="15" hidden="false" customHeight="false" outlineLevel="0" collapsed="false">
      <c r="A916" s="35"/>
      <c r="B916" s="36" t="str">
        <f aca="false">IF(A916="","",MONTH(A916))</f>
        <v/>
      </c>
      <c r="C916" s="37"/>
      <c r="D916" s="37"/>
      <c r="E916" s="37"/>
      <c r="F916" s="38"/>
      <c r="G916" s="37"/>
      <c r="H916" s="39" t="str">
        <f aca="false">IF(E916="","",E916*N(F916)*IF(G916="",1,G916))</f>
        <v/>
      </c>
      <c r="I916" s="37"/>
      <c r="J916" s="37"/>
      <c r="K916" s="37"/>
    </row>
    <row r="917" customFormat="false" ht="15" hidden="false" customHeight="false" outlineLevel="0" collapsed="false">
      <c r="A917" s="35"/>
      <c r="B917" s="36" t="str">
        <f aca="false">IF(A917="","",MONTH(A917))</f>
        <v/>
      </c>
      <c r="C917" s="37"/>
      <c r="D917" s="37"/>
      <c r="E917" s="37"/>
      <c r="F917" s="38"/>
      <c r="G917" s="37"/>
      <c r="H917" s="39" t="str">
        <f aca="false">IF(E917="","",E917*N(F917)*IF(G917="",1,G917))</f>
        <v/>
      </c>
      <c r="I917" s="37"/>
      <c r="J917" s="37"/>
      <c r="K917" s="37"/>
    </row>
    <row r="918" customFormat="false" ht="15" hidden="false" customHeight="false" outlineLevel="0" collapsed="false">
      <c r="A918" s="35"/>
      <c r="B918" s="36" t="str">
        <f aca="false">IF(A918="","",MONTH(A918))</f>
        <v/>
      </c>
      <c r="C918" s="37"/>
      <c r="D918" s="37"/>
      <c r="E918" s="37"/>
      <c r="F918" s="38"/>
      <c r="G918" s="37"/>
      <c r="H918" s="39" t="str">
        <f aca="false">IF(E918="","",E918*N(F918)*IF(G918="",1,G918))</f>
        <v/>
      </c>
      <c r="I918" s="37"/>
      <c r="J918" s="37"/>
      <c r="K918" s="37"/>
    </row>
    <row r="919" customFormat="false" ht="15" hidden="false" customHeight="false" outlineLevel="0" collapsed="false">
      <c r="A919" s="35"/>
      <c r="B919" s="36" t="str">
        <f aca="false">IF(A919="","",MONTH(A919))</f>
        <v/>
      </c>
      <c r="C919" s="37"/>
      <c r="D919" s="37"/>
      <c r="E919" s="37"/>
      <c r="F919" s="38"/>
      <c r="G919" s="37"/>
      <c r="H919" s="39" t="str">
        <f aca="false">IF(E919="","",E919*N(F919)*IF(G919="",1,G919))</f>
        <v/>
      </c>
      <c r="I919" s="37"/>
      <c r="J919" s="37"/>
      <c r="K919" s="37"/>
    </row>
    <row r="920" customFormat="false" ht="15" hidden="false" customHeight="false" outlineLevel="0" collapsed="false">
      <c r="A920" s="35"/>
      <c r="B920" s="36" t="str">
        <f aca="false">IF(A920="","",MONTH(A920))</f>
        <v/>
      </c>
      <c r="C920" s="37"/>
      <c r="D920" s="37"/>
      <c r="E920" s="37"/>
      <c r="F920" s="38"/>
      <c r="G920" s="37"/>
      <c r="H920" s="39" t="str">
        <f aca="false">IF(E920="","",E920*N(F920)*IF(G920="",1,G920))</f>
        <v/>
      </c>
      <c r="I920" s="37"/>
      <c r="J920" s="37"/>
      <c r="K920" s="37"/>
    </row>
    <row r="921" customFormat="false" ht="15" hidden="false" customHeight="false" outlineLevel="0" collapsed="false">
      <c r="A921" s="35"/>
      <c r="B921" s="36" t="str">
        <f aca="false">IF(A921="","",MONTH(A921))</f>
        <v/>
      </c>
      <c r="C921" s="37"/>
      <c r="D921" s="37"/>
      <c r="E921" s="37"/>
      <c r="F921" s="38"/>
      <c r="G921" s="37"/>
      <c r="H921" s="39" t="str">
        <f aca="false">IF(E921="","",E921*N(F921)*IF(G921="",1,G921))</f>
        <v/>
      </c>
      <c r="I921" s="37"/>
      <c r="J921" s="37"/>
      <c r="K921" s="37"/>
    </row>
    <row r="922" customFormat="false" ht="15" hidden="false" customHeight="false" outlineLevel="0" collapsed="false">
      <c r="A922" s="35"/>
      <c r="B922" s="36" t="str">
        <f aca="false">IF(A922="","",MONTH(A922))</f>
        <v/>
      </c>
      <c r="C922" s="37"/>
      <c r="D922" s="37"/>
      <c r="E922" s="37"/>
      <c r="F922" s="38"/>
      <c r="G922" s="37"/>
      <c r="H922" s="39" t="str">
        <f aca="false">IF(E922="","",E922*N(F922)*IF(G922="",1,G922))</f>
        <v/>
      </c>
      <c r="I922" s="37"/>
      <c r="J922" s="37"/>
      <c r="K922" s="37"/>
    </row>
    <row r="923" customFormat="false" ht="15" hidden="false" customHeight="false" outlineLevel="0" collapsed="false">
      <c r="A923" s="35"/>
      <c r="B923" s="36" t="str">
        <f aca="false">IF(A923="","",MONTH(A923))</f>
        <v/>
      </c>
      <c r="C923" s="37"/>
      <c r="D923" s="37"/>
      <c r="E923" s="37"/>
      <c r="F923" s="38"/>
      <c r="G923" s="37"/>
      <c r="H923" s="39" t="str">
        <f aca="false">IF(E923="","",E923*N(F923)*IF(G923="",1,G923))</f>
        <v/>
      </c>
      <c r="I923" s="37"/>
      <c r="J923" s="37"/>
      <c r="K923" s="37"/>
    </row>
    <row r="924" customFormat="false" ht="15" hidden="false" customHeight="false" outlineLevel="0" collapsed="false">
      <c r="A924" s="35"/>
      <c r="B924" s="36" t="str">
        <f aca="false">IF(A924="","",MONTH(A924))</f>
        <v/>
      </c>
      <c r="C924" s="37"/>
      <c r="D924" s="37"/>
      <c r="E924" s="37"/>
      <c r="F924" s="38"/>
      <c r="G924" s="37"/>
      <c r="H924" s="39" t="str">
        <f aca="false">IF(E924="","",E924*N(F924)*IF(G924="",1,G924))</f>
        <v/>
      </c>
      <c r="I924" s="37"/>
      <c r="J924" s="37"/>
      <c r="K924" s="37"/>
    </row>
    <row r="925" customFormat="false" ht="15" hidden="false" customHeight="false" outlineLevel="0" collapsed="false">
      <c r="A925" s="35"/>
      <c r="B925" s="36" t="str">
        <f aca="false">IF(A925="","",MONTH(A925))</f>
        <v/>
      </c>
      <c r="C925" s="37"/>
      <c r="D925" s="37"/>
      <c r="E925" s="37"/>
      <c r="F925" s="38"/>
      <c r="G925" s="37"/>
      <c r="H925" s="39" t="str">
        <f aca="false">IF(E925="","",E925*N(F925)*IF(G925="",1,G925))</f>
        <v/>
      </c>
      <c r="I925" s="37"/>
      <c r="J925" s="37"/>
      <c r="K925" s="37"/>
    </row>
    <row r="926" customFormat="false" ht="15" hidden="false" customHeight="false" outlineLevel="0" collapsed="false">
      <c r="A926" s="35"/>
      <c r="B926" s="36" t="str">
        <f aca="false">IF(A926="","",MONTH(A926))</f>
        <v/>
      </c>
      <c r="C926" s="37"/>
      <c r="D926" s="37"/>
      <c r="E926" s="37"/>
      <c r="F926" s="38"/>
      <c r="G926" s="37"/>
      <c r="H926" s="39" t="str">
        <f aca="false">IF(E926="","",E926*N(F926)*IF(G926="",1,G926))</f>
        <v/>
      </c>
      <c r="I926" s="37"/>
      <c r="J926" s="37"/>
      <c r="K926" s="37"/>
    </row>
    <row r="927" customFormat="false" ht="15" hidden="false" customHeight="false" outlineLevel="0" collapsed="false">
      <c r="A927" s="35"/>
      <c r="B927" s="36" t="str">
        <f aca="false">IF(A927="","",MONTH(A927))</f>
        <v/>
      </c>
      <c r="C927" s="37"/>
      <c r="D927" s="37"/>
      <c r="E927" s="37"/>
      <c r="F927" s="38"/>
      <c r="G927" s="37"/>
      <c r="H927" s="39" t="str">
        <f aca="false">IF(E927="","",E927*N(F927)*IF(G927="",1,G927))</f>
        <v/>
      </c>
      <c r="I927" s="37"/>
      <c r="J927" s="37"/>
      <c r="K927" s="37"/>
    </row>
    <row r="928" customFormat="false" ht="15" hidden="false" customHeight="false" outlineLevel="0" collapsed="false">
      <c r="A928" s="35"/>
      <c r="B928" s="36" t="str">
        <f aca="false">IF(A928="","",MONTH(A928))</f>
        <v/>
      </c>
      <c r="C928" s="37"/>
      <c r="D928" s="37"/>
      <c r="E928" s="37"/>
      <c r="F928" s="38"/>
      <c r="G928" s="37"/>
      <c r="H928" s="39" t="str">
        <f aca="false">IF(E928="","",E928*N(F928)*IF(G928="",1,G928))</f>
        <v/>
      </c>
      <c r="I928" s="37"/>
      <c r="J928" s="37"/>
      <c r="K928" s="37"/>
    </row>
    <row r="929" customFormat="false" ht="15" hidden="false" customHeight="false" outlineLevel="0" collapsed="false">
      <c r="A929" s="35"/>
      <c r="B929" s="36" t="str">
        <f aca="false">IF(A929="","",MONTH(A929))</f>
        <v/>
      </c>
      <c r="C929" s="37"/>
      <c r="D929" s="37"/>
      <c r="E929" s="37"/>
      <c r="F929" s="38"/>
      <c r="G929" s="37"/>
      <c r="H929" s="39" t="str">
        <f aca="false">IF(E929="","",E929*N(F929)*IF(G929="",1,G929))</f>
        <v/>
      </c>
      <c r="I929" s="37"/>
      <c r="J929" s="37"/>
      <c r="K929" s="37"/>
    </row>
    <row r="930" customFormat="false" ht="15" hidden="false" customHeight="false" outlineLevel="0" collapsed="false">
      <c r="A930" s="35"/>
      <c r="B930" s="36" t="str">
        <f aca="false">IF(A930="","",MONTH(A930))</f>
        <v/>
      </c>
      <c r="C930" s="37"/>
      <c r="D930" s="37"/>
      <c r="E930" s="37"/>
      <c r="F930" s="38"/>
      <c r="G930" s="37"/>
      <c r="H930" s="39" t="str">
        <f aca="false">IF(E930="","",E930*N(F930)*IF(G930="",1,G930))</f>
        <v/>
      </c>
      <c r="I930" s="37"/>
      <c r="J930" s="37"/>
      <c r="K930" s="37"/>
    </row>
    <row r="931" customFormat="false" ht="15" hidden="false" customHeight="false" outlineLevel="0" collapsed="false">
      <c r="A931" s="35"/>
      <c r="B931" s="36" t="str">
        <f aca="false">IF(A931="","",MONTH(A931))</f>
        <v/>
      </c>
      <c r="C931" s="37"/>
      <c r="D931" s="37"/>
      <c r="E931" s="37"/>
      <c r="F931" s="38"/>
      <c r="G931" s="37"/>
      <c r="H931" s="39" t="str">
        <f aca="false">IF(E931="","",E931*N(F931)*IF(G931="",1,G931))</f>
        <v/>
      </c>
      <c r="I931" s="37"/>
      <c r="J931" s="37"/>
      <c r="K931" s="37"/>
    </row>
    <row r="932" customFormat="false" ht="15" hidden="false" customHeight="false" outlineLevel="0" collapsed="false">
      <c r="A932" s="35"/>
      <c r="B932" s="36" t="str">
        <f aca="false">IF(A932="","",MONTH(A932))</f>
        <v/>
      </c>
      <c r="C932" s="37"/>
      <c r="D932" s="37"/>
      <c r="E932" s="37"/>
      <c r="F932" s="38"/>
      <c r="G932" s="37"/>
      <c r="H932" s="39" t="str">
        <f aca="false">IF(E932="","",E932*N(F932)*IF(G932="",1,G932))</f>
        <v/>
      </c>
      <c r="I932" s="37"/>
      <c r="J932" s="37"/>
      <c r="K932" s="37"/>
    </row>
    <row r="933" customFormat="false" ht="15" hidden="false" customHeight="false" outlineLevel="0" collapsed="false">
      <c r="A933" s="35"/>
      <c r="B933" s="36" t="str">
        <f aca="false">IF(A933="","",MONTH(A933))</f>
        <v/>
      </c>
      <c r="C933" s="37"/>
      <c r="D933" s="37"/>
      <c r="E933" s="37"/>
      <c r="F933" s="38"/>
      <c r="G933" s="37"/>
      <c r="H933" s="39" t="str">
        <f aca="false">IF(E933="","",E933*N(F933)*IF(G933="",1,G933))</f>
        <v/>
      </c>
      <c r="I933" s="37"/>
      <c r="J933" s="37"/>
      <c r="K933" s="37"/>
    </row>
    <row r="934" customFormat="false" ht="15" hidden="false" customHeight="false" outlineLevel="0" collapsed="false">
      <c r="A934" s="35"/>
      <c r="B934" s="36" t="str">
        <f aca="false">IF(A934="","",MONTH(A934))</f>
        <v/>
      </c>
      <c r="C934" s="37"/>
      <c r="D934" s="37"/>
      <c r="E934" s="37"/>
      <c r="F934" s="38"/>
      <c r="G934" s="37"/>
      <c r="H934" s="39" t="str">
        <f aca="false">IF(E934="","",E934*N(F934)*IF(G934="",1,G934))</f>
        <v/>
      </c>
      <c r="I934" s="37"/>
      <c r="J934" s="37"/>
      <c r="K934" s="37"/>
    </row>
    <row r="935" customFormat="false" ht="15" hidden="false" customHeight="false" outlineLevel="0" collapsed="false">
      <c r="A935" s="35"/>
      <c r="B935" s="36" t="str">
        <f aca="false">IF(A935="","",MONTH(A935))</f>
        <v/>
      </c>
      <c r="C935" s="37"/>
      <c r="D935" s="37"/>
      <c r="E935" s="37"/>
      <c r="F935" s="38"/>
      <c r="G935" s="37"/>
      <c r="H935" s="39" t="str">
        <f aca="false">IF(E935="","",E935*N(F935)*IF(G935="",1,G935))</f>
        <v/>
      </c>
      <c r="I935" s="37"/>
      <c r="J935" s="37"/>
      <c r="K935" s="37"/>
    </row>
    <row r="936" customFormat="false" ht="15" hidden="false" customHeight="false" outlineLevel="0" collapsed="false">
      <c r="A936" s="35"/>
      <c r="B936" s="36" t="str">
        <f aca="false">IF(A936="","",MONTH(A936))</f>
        <v/>
      </c>
      <c r="C936" s="37"/>
      <c r="D936" s="37"/>
      <c r="E936" s="37"/>
      <c r="F936" s="38"/>
      <c r="G936" s="37"/>
      <c r="H936" s="39" t="str">
        <f aca="false">IF(E936="","",E936*N(F936)*IF(G936="",1,G936))</f>
        <v/>
      </c>
      <c r="I936" s="37"/>
      <c r="J936" s="37"/>
      <c r="K936" s="37"/>
    </row>
    <row r="937" customFormat="false" ht="15" hidden="false" customHeight="false" outlineLevel="0" collapsed="false">
      <c r="A937" s="35"/>
      <c r="B937" s="36" t="str">
        <f aca="false">IF(A937="","",MONTH(A937))</f>
        <v/>
      </c>
      <c r="C937" s="37"/>
      <c r="D937" s="37"/>
      <c r="E937" s="37"/>
      <c r="F937" s="38"/>
      <c r="G937" s="37"/>
      <c r="H937" s="39" t="str">
        <f aca="false">IF(E937="","",E937*N(F937)*IF(G937="",1,G937))</f>
        <v/>
      </c>
      <c r="I937" s="37"/>
      <c r="J937" s="37"/>
      <c r="K937" s="37"/>
    </row>
    <row r="938" customFormat="false" ht="15" hidden="false" customHeight="false" outlineLevel="0" collapsed="false">
      <c r="A938" s="35"/>
      <c r="B938" s="36" t="str">
        <f aca="false">IF(A938="","",MONTH(A938))</f>
        <v/>
      </c>
      <c r="C938" s="37"/>
      <c r="D938" s="37"/>
      <c r="E938" s="37"/>
      <c r="F938" s="38"/>
      <c r="G938" s="37"/>
      <c r="H938" s="39" t="str">
        <f aca="false">IF(E938="","",E938*N(F938)*IF(G938="",1,G938))</f>
        <v/>
      </c>
      <c r="I938" s="37"/>
      <c r="J938" s="37"/>
      <c r="K938" s="37"/>
    </row>
    <row r="939" customFormat="false" ht="15" hidden="false" customHeight="false" outlineLevel="0" collapsed="false">
      <c r="A939" s="35"/>
      <c r="B939" s="36" t="str">
        <f aca="false">IF(A939="","",MONTH(A939))</f>
        <v/>
      </c>
      <c r="C939" s="37"/>
      <c r="D939" s="37"/>
      <c r="E939" s="37"/>
      <c r="F939" s="38"/>
      <c r="G939" s="37"/>
      <c r="H939" s="39" t="str">
        <f aca="false">IF(E939="","",E939*N(F939)*IF(G939="",1,G939))</f>
        <v/>
      </c>
      <c r="I939" s="37"/>
      <c r="J939" s="37"/>
      <c r="K939" s="37"/>
    </row>
    <row r="940" customFormat="false" ht="15" hidden="false" customHeight="false" outlineLevel="0" collapsed="false">
      <c r="A940" s="35"/>
      <c r="B940" s="36" t="str">
        <f aca="false">IF(A940="","",MONTH(A940))</f>
        <v/>
      </c>
      <c r="C940" s="37"/>
      <c r="D940" s="37"/>
      <c r="E940" s="37"/>
      <c r="F940" s="38"/>
      <c r="G940" s="37"/>
      <c r="H940" s="39" t="str">
        <f aca="false">IF(E940="","",E940*N(F940)*IF(G940="",1,G940))</f>
        <v/>
      </c>
      <c r="I940" s="37"/>
      <c r="J940" s="37"/>
      <c r="K940" s="37"/>
    </row>
    <row r="941" customFormat="false" ht="15" hidden="false" customHeight="false" outlineLevel="0" collapsed="false">
      <c r="A941" s="35"/>
      <c r="B941" s="36" t="str">
        <f aca="false">IF(A941="","",MONTH(A941))</f>
        <v/>
      </c>
      <c r="C941" s="37"/>
      <c r="D941" s="37"/>
      <c r="E941" s="37"/>
      <c r="F941" s="38"/>
      <c r="G941" s="37"/>
      <c r="H941" s="39" t="str">
        <f aca="false">IF(E941="","",E941*N(F941)*IF(G941="",1,G941))</f>
        <v/>
      </c>
      <c r="I941" s="37"/>
      <c r="J941" s="37"/>
      <c r="K941" s="37"/>
    </row>
    <row r="942" customFormat="false" ht="15" hidden="false" customHeight="false" outlineLevel="0" collapsed="false">
      <c r="A942" s="35"/>
      <c r="B942" s="36" t="str">
        <f aca="false">IF(A942="","",MONTH(A942))</f>
        <v/>
      </c>
      <c r="C942" s="37"/>
      <c r="D942" s="37"/>
      <c r="E942" s="37"/>
      <c r="F942" s="38"/>
      <c r="G942" s="37"/>
      <c r="H942" s="39" t="str">
        <f aca="false">IF(E942="","",E942*N(F942)*IF(G942="",1,G942))</f>
        <v/>
      </c>
      <c r="I942" s="37"/>
      <c r="J942" s="37"/>
      <c r="K942" s="37"/>
    </row>
    <row r="943" customFormat="false" ht="15" hidden="false" customHeight="false" outlineLevel="0" collapsed="false">
      <c r="A943" s="35"/>
      <c r="B943" s="36" t="str">
        <f aca="false">IF(A943="","",MONTH(A943))</f>
        <v/>
      </c>
      <c r="C943" s="37"/>
      <c r="D943" s="37"/>
      <c r="E943" s="37"/>
      <c r="F943" s="38"/>
      <c r="G943" s="37"/>
      <c r="H943" s="39" t="str">
        <f aca="false">IF(E943="","",E943*N(F943)*IF(G943="",1,G943))</f>
        <v/>
      </c>
      <c r="I943" s="37"/>
      <c r="J943" s="37"/>
      <c r="K943" s="37"/>
    </row>
    <row r="944" customFormat="false" ht="15" hidden="false" customHeight="false" outlineLevel="0" collapsed="false">
      <c r="A944" s="35"/>
      <c r="B944" s="36" t="str">
        <f aca="false">IF(A944="","",MONTH(A944))</f>
        <v/>
      </c>
      <c r="C944" s="37"/>
      <c r="D944" s="37"/>
      <c r="E944" s="37"/>
      <c r="F944" s="38"/>
      <c r="G944" s="37"/>
      <c r="H944" s="39" t="str">
        <f aca="false">IF(E944="","",E944*N(F944)*IF(G944="",1,G944))</f>
        <v/>
      </c>
      <c r="I944" s="37"/>
      <c r="J944" s="37"/>
      <c r="K944" s="37"/>
    </row>
    <row r="945" customFormat="false" ht="15" hidden="false" customHeight="false" outlineLevel="0" collapsed="false">
      <c r="A945" s="35"/>
      <c r="B945" s="36" t="str">
        <f aca="false">IF(A945="","",MONTH(A945))</f>
        <v/>
      </c>
      <c r="C945" s="37"/>
      <c r="D945" s="37"/>
      <c r="E945" s="37"/>
      <c r="F945" s="38"/>
      <c r="G945" s="37"/>
      <c r="H945" s="39" t="str">
        <f aca="false">IF(E945="","",E945*N(F945)*IF(G945="",1,G945))</f>
        <v/>
      </c>
      <c r="I945" s="37"/>
      <c r="J945" s="37"/>
      <c r="K945" s="37"/>
    </row>
    <row r="946" customFormat="false" ht="15" hidden="false" customHeight="false" outlineLevel="0" collapsed="false">
      <c r="A946" s="35"/>
      <c r="B946" s="36" t="str">
        <f aca="false">IF(A946="","",MONTH(A946))</f>
        <v/>
      </c>
      <c r="C946" s="37"/>
      <c r="D946" s="37"/>
      <c r="E946" s="37"/>
      <c r="F946" s="38"/>
      <c r="G946" s="37"/>
      <c r="H946" s="39" t="str">
        <f aca="false">IF(E946="","",E946*N(F946)*IF(G946="",1,G946))</f>
        <v/>
      </c>
      <c r="I946" s="37"/>
      <c r="J946" s="37"/>
      <c r="K946" s="37"/>
    </row>
    <row r="947" customFormat="false" ht="15" hidden="false" customHeight="false" outlineLevel="0" collapsed="false">
      <c r="A947" s="35"/>
      <c r="B947" s="36" t="str">
        <f aca="false">IF(A947="","",MONTH(A947))</f>
        <v/>
      </c>
      <c r="C947" s="37"/>
      <c r="D947" s="37"/>
      <c r="E947" s="37"/>
      <c r="F947" s="38"/>
      <c r="G947" s="37"/>
      <c r="H947" s="39" t="str">
        <f aca="false">IF(E947="","",E947*N(F947)*IF(G947="",1,G947))</f>
        <v/>
      </c>
      <c r="I947" s="37"/>
      <c r="J947" s="37"/>
      <c r="K947" s="37"/>
    </row>
    <row r="948" customFormat="false" ht="15" hidden="false" customHeight="false" outlineLevel="0" collapsed="false">
      <c r="A948" s="35"/>
      <c r="B948" s="36" t="str">
        <f aca="false">IF(A948="","",MONTH(A948))</f>
        <v/>
      </c>
      <c r="C948" s="37"/>
      <c r="D948" s="37"/>
      <c r="E948" s="37"/>
      <c r="F948" s="38"/>
      <c r="G948" s="37"/>
      <c r="H948" s="39" t="str">
        <f aca="false">IF(E948="","",E948*N(F948)*IF(G948="",1,G948))</f>
        <v/>
      </c>
      <c r="I948" s="37"/>
      <c r="J948" s="37"/>
      <c r="K948" s="37"/>
    </row>
    <row r="949" customFormat="false" ht="15" hidden="false" customHeight="false" outlineLevel="0" collapsed="false">
      <c r="A949" s="35"/>
      <c r="B949" s="36" t="str">
        <f aca="false">IF(A949="","",MONTH(A949))</f>
        <v/>
      </c>
      <c r="C949" s="37"/>
      <c r="D949" s="37"/>
      <c r="E949" s="37"/>
      <c r="F949" s="38"/>
      <c r="G949" s="37"/>
      <c r="H949" s="39" t="str">
        <f aca="false">IF(E949="","",E949*N(F949)*IF(G949="",1,G949))</f>
        <v/>
      </c>
      <c r="I949" s="37"/>
      <c r="J949" s="37"/>
      <c r="K949" s="37"/>
    </row>
    <row r="950" customFormat="false" ht="15" hidden="false" customHeight="false" outlineLevel="0" collapsed="false">
      <c r="A950" s="35"/>
      <c r="B950" s="36" t="str">
        <f aca="false">IF(A950="","",MONTH(A950))</f>
        <v/>
      </c>
      <c r="C950" s="37"/>
      <c r="D950" s="37"/>
      <c r="E950" s="37"/>
      <c r="F950" s="38"/>
      <c r="G950" s="37"/>
      <c r="H950" s="39" t="str">
        <f aca="false">IF(E950="","",E950*N(F950)*IF(G950="",1,G950))</f>
        <v/>
      </c>
      <c r="I950" s="37"/>
      <c r="J950" s="37"/>
      <c r="K950" s="37"/>
    </row>
    <row r="951" customFormat="false" ht="15" hidden="false" customHeight="false" outlineLevel="0" collapsed="false">
      <c r="A951" s="35"/>
      <c r="B951" s="36" t="str">
        <f aca="false">IF(A951="","",MONTH(A951))</f>
        <v/>
      </c>
      <c r="C951" s="37"/>
      <c r="D951" s="37"/>
      <c r="E951" s="37"/>
      <c r="F951" s="38"/>
      <c r="G951" s="37"/>
      <c r="H951" s="39" t="str">
        <f aca="false">IF(E951="","",E951*N(F951)*IF(G951="",1,G951))</f>
        <v/>
      </c>
      <c r="I951" s="37"/>
      <c r="J951" s="37"/>
      <c r="K951" s="37"/>
    </row>
    <row r="952" customFormat="false" ht="15" hidden="false" customHeight="false" outlineLevel="0" collapsed="false">
      <c r="A952" s="35"/>
      <c r="B952" s="36" t="str">
        <f aca="false">IF(A952="","",MONTH(A952))</f>
        <v/>
      </c>
      <c r="C952" s="37"/>
      <c r="D952" s="37"/>
      <c r="E952" s="37"/>
      <c r="F952" s="38"/>
      <c r="G952" s="37"/>
      <c r="H952" s="39" t="str">
        <f aca="false">IF(E952="","",E952*N(F952)*IF(G952="",1,G952))</f>
        <v/>
      </c>
      <c r="I952" s="37"/>
      <c r="J952" s="37"/>
      <c r="K952" s="37"/>
    </row>
    <row r="953" customFormat="false" ht="15" hidden="false" customHeight="false" outlineLevel="0" collapsed="false">
      <c r="A953" s="35"/>
      <c r="B953" s="36" t="str">
        <f aca="false">IF(A953="","",MONTH(A953))</f>
        <v/>
      </c>
      <c r="C953" s="37"/>
      <c r="D953" s="37"/>
      <c r="E953" s="37"/>
      <c r="F953" s="38"/>
      <c r="G953" s="37"/>
      <c r="H953" s="39" t="str">
        <f aca="false">IF(E953="","",E953*N(F953)*IF(G953="",1,G953))</f>
        <v/>
      </c>
      <c r="I953" s="37"/>
      <c r="J953" s="37"/>
      <c r="K953" s="37"/>
    </row>
    <row r="954" customFormat="false" ht="15" hidden="false" customHeight="false" outlineLevel="0" collapsed="false">
      <c r="A954" s="35"/>
      <c r="B954" s="36" t="str">
        <f aca="false">IF(A954="","",MONTH(A954))</f>
        <v/>
      </c>
      <c r="C954" s="37"/>
      <c r="D954" s="37"/>
      <c r="E954" s="37"/>
      <c r="F954" s="38"/>
      <c r="G954" s="37"/>
      <c r="H954" s="39" t="str">
        <f aca="false">IF(E954="","",E954*N(F954)*IF(G954="",1,G954))</f>
        <v/>
      </c>
      <c r="I954" s="37"/>
      <c r="J954" s="37"/>
      <c r="K954" s="37"/>
    </row>
    <row r="955" customFormat="false" ht="15" hidden="false" customHeight="false" outlineLevel="0" collapsed="false">
      <c r="A955" s="35"/>
      <c r="B955" s="36" t="str">
        <f aca="false">IF(A955="","",MONTH(A955))</f>
        <v/>
      </c>
      <c r="C955" s="37"/>
      <c r="D955" s="37"/>
      <c r="E955" s="37"/>
      <c r="F955" s="38"/>
      <c r="G955" s="37"/>
      <c r="H955" s="39" t="str">
        <f aca="false">IF(E955="","",E955*N(F955)*IF(G955="",1,G955))</f>
        <v/>
      </c>
      <c r="I955" s="37"/>
      <c r="J955" s="37"/>
      <c r="K955" s="37"/>
    </row>
    <row r="956" customFormat="false" ht="15" hidden="false" customHeight="false" outlineLevel="0" collapsed="false">
      <c r="A956" s="35"/>
      <c r="B956" s="36" t="str">
        <f aca="false">IF(A956="","",MONTH(A956))</f>
        <v/>
      </c>
      <c r="C956" s="37"/>
      <c r="D956" s="37"/>
      <c r="E956" s="37"/>
      <c r="F956" s="38"/>
      <c r="G956" s="37"/>
      <c r="H956" s="39" t="str">
        <f aca="false">IF(E956="","",E956*N(F956)*IF(G956="",1,G956))</f>
        <v/>
      </c>
      <c r="I956" s="37"/>
      <c r="J956" s="37"/>
      <c r="K956" s="37"/>
    </row>
    <row r="957" customFormat="false" ht="15" hidden="false" customHeight="false" outlineLevel="0" collapsed="false">
      <c r="A957" s="35"/>
      <c r="B957" s="36" t="str">
        <f aca="false">IF(A957="","",MONTH(A957))</f>
        <v/>
      </c>
      <c r="C957" s="37"/>
      <c r="D957" s="37"/>
      <c r="E957" s="37"/>
      <c r="F957" s="38"/>
      <c r="G957" s="37"/>
      <c r="H957" s="39" t="str">
        <f aca="false">IF(E957="","",E957*N(F957)*IF(G957="",1,G957))</f>
        <v/>
      </c>
      <c r="I957" s="37"/>
      <c r="J957" s="37"/>
      <c r="K957" s="37"/>
    </row>
    <row r="958" customFormat="false" ht="15" hidden="false" customHeight="false" outlineLevel="0" collapsed="false">
      <c r="A958" s="35"/>
      <c r="B958" s="36" t="str">
        <f aca="false">IF(A958="","",MONTH(A958))</f>
        <v/>
      </c>
      <c r="C958" s="37"/>
      <c r="D958" s="37"/>
      <c r="E958" s="37"/>
      <c r="F958" s="38"/>
      <c r="G958" s="37"/>
      <c r="H958" s="39" t="str">
        <f aca="false">IF(E958="","",E958*N(F958)*IF(G958="",1,G958))</f>
        <v/>
      </c>
      <c r="I958" s="37"/>
      <c r="J958" s="37"/>
      <c r="K958" s="37"/>
    </row>
    <row r="959" customFormat="false" ht="15" hidden="false" customHeight="false" outlineLevel="0" collapsed="false">
      <c r="A959" s="35"/>
      <c r="B959" s="36" t="str">
        <f aca="false">IF(A959="","",MONTH(A959))</f>
        <v/>
      </c>
      <c r="C959" s="37"/>
      <c r="D959" s="37"/>
      <c r="E959" s="37"/>
      <c r="F959" s="38"/>
      <c r="G959" s="37"/>
      <c r="H959" s="39" t="str">
        <f aca="false">IF(E959="","",E959*N(F959)*IF(G959="",1,G959))</f>
        <v/>
      </c>
      <c r="I959" s="37"/>
      <c r="J959" s="37"/>
      <c r="K959" s="37"/>
    </row>
    <row r="960" customFormat="false" ht="15" hidden="false" customHeight="false" outlineLevel="0" collapsed="false">
      <c r="A960" s="35"/>
      <c r="B960" s="36" t="str">
        <f aca="false">IF(A960="","",MONTH(A960))</f>
        <v/>
      </c>
      <c r="C960" s="37"/>
      <c r="D960" s="37"/>
      <c r="E960" s="37"/>
      <c r="F960" s="38"/>
      <c r="G960" s="37"/>
      <c r="H960" s="39" t="str">
        <f aca="false">IF(E960="","",E960*N(F960)*IF(G960="",1,G960))</f>
        <v/>
      </c>
      <c r="I960" s="37"/>
      <c r="J960" s="37"/>
      <c r="K960" s="37"/>
    </row>
    <row r="961" customFormat="false" ht="15" hidden="false" customHeight="false" outlineLevel="0" collapsed="false">
      <c r="A961" s="35"/>
      <c r="B961" s="36" t="str">
        <f aca="false">IF(A961="","",MONTH(A961))</f>
        <v/>
      </c>
      <c r="C961" s="37"/>
      <c r="D961" s="37"/>
      <c r="E961" s="37"/>
      <c r="F961" s="38"/>
      <c r="G961" s="37"/>
      <c r="H961" s="39" t="str">
        <f aca="false">IF(E961="","",E961*N(F961)*IF(G961="",1,G961))</f>
        <v/>
      </c>
      <c r="I961" s="37"/>
      <c r="J961" s="37"/>
      <c r="K961" s="37"/>
    </row>
    <row r="962" customFormat="false" ht="15" hidden="false" customHeight="false" outlineLevel="0" collapsed="false">
      <c r="A962" s="35"/>
      <c r="B962" s="36" t="str">
        <f aca="false">IF(A962="","",MONTH(A962))</f>
        <v/>
      </c>
      <c r="C962" s="37"/>
      <c r="D962" s="37"/>
      <c r="E962" s="37"/>
      <c r="F962" s="38"/>
      <c r="G962" s="37"/>
      <c r="H962" s="39" t="str">
        <f aca="false">IF(E962="","",E962*N(F962)*IF(G962="",1,G962))</f>
        <v/>
      </c>
      <c r="I962" s="37"/>
      <c r="J962" s="37"/>
      <c r="K962" s="37"/>
    </row>
    <row r="963" customFormat="false" ht="15" hidden="false" customHeight="false" outlineLevel="0" collapsed="false">
      <c r="A963" s="35"/>
      <c r="B963" s="36" t="str">
        <f aca="false">IF(A963="","",MONTH(A963))</f>
        <v/>
      </c>
      <c r="C963" s="37"/>
      <c r="D963" s="37"/>
      <c r="E963" s="37"/>
      <c r="F963" s="38"/>
      <c r="G963" s="37"/>
      <c r="H963" s="39" t="str">
        <f aca="false">IF(E963="","",E963*N(F963)*IF(G963="",1,G963))</f>
        <v/>
      </c>
      <c r="I963" s="37"/>
      <c r="J963" s="37"/>
      <c r="K963" s="37"/>
    </row>
    <row r="964" customFormat="false" ht="15" hidden="false" customHeight="false" outlineLevel="0" collapsed="false">
      <c r="A964" s="35"/>
      <c r="B964" s="36" t="str">
        <f aca="false">IF(A964="","",MONTH(A964))</f>
        <v/>
      </c>
      <c r="C964" s="37"/>
      <c r="D964" s="37"/>
      <c r="E964" s="37"/>
      <c r="F964" s="38"/>
      <c r="G964" s="37"/>
      <c r="H964" s="39" t="str">
        <f aca="false">IF(E964="","",E964*N(F964)*IF(G964="",1,G964))</f>
        <v/>
      </c>
      <c r="I964" s="37"/>
      <c r="J964" s="37"/>
      <c r="K964" s="37"/>
    </row>
    <row r="965" customFormat="false" ht="15" hidden="false" customHeight="false" outlineLevel="0" collapsed="false">
      <c r="A965" s="35"/>
      <c r="B965" s="36" t="str">
        <f aca="false">IF(A965="","",MONTH(A965))</f>
        <v/>
      </c>
      <c r="C965" s="37"/>
      <c r="D965" s="37"/>
      <c r="E965" s="37"/>
      <c r="F965" s="38"/>
      <c r="G965" s="37"/>
      <c r="H965" s="39" t="str">
        <f aca="false">IF(E965="","",E965*N(F965)*IF(G965="",1,G965))</f>
        <v/>
      </c>
      <c r="I965" s="37"/>
      <c r="J965" s="37"/>
      <c r="K965" s="37"/>
    </row>
    <row r="966" customFormat="false" ht="15" hidden="false" customHeight="false" outlineLevel="0" collapsed="false">
      <c r="A966" s="35"/>
      <c r="B966" s="36" t="str">
        <f aca="false">IF(A966="","",MONTH(A966))</f>
        <v/>
      </c>
      <c r="C966" s="37"/>
      <c r="D966" s="37"/>
      <c r="E966" s="37"/>
      <c r="F966" s="38"/>
      <c r="G966" s="37"/>
      <c r="H966" s="39" t="str">
        <f aca="false">IF(E966="","",E966*N(F966)*IF(G966="",1,G966))</f>
        <v/>
      </c>
      <c r="I966" s="37"/>
      <c r="J966" s="37"/>
      <c r="K966" s="37"/>
    </row>
    <row r="967" customFormat="false" ht="15" hidden="false" customHeight="false" outlineLevel="0" collapsed="false">
      <c r="A967" s="35"/>
      <c r="B967" s="36" t="str">
        <f aca="false">IF(A967="","",MONTH(A967))</f>
        <v/>
      </c>
      <c r="C967" s="37"/>
      <c r="D967" s="37"/>
      <c r="E967" s="37"/>
      <c r="F967" s="38"/>
      <c r="G967" s="37"/>
      <c r="H967" s="39" t="str">
        <f aca="false">IF(E967="","",E967*N(F967)*IF(G967="",1,G967))</f>
        <v/>
      </c>
      <c r="I967" s="37"/>
      <c r="J967" s="37"/>
      <c r="K967" s="37"/>
    </row>
    <row r="968" customFormat="false" ht="15" hidden="false" customHeight="false" outlineLevel="0" collapsed="false">
      <c r="A968" s="35"/>
      <c r="B968" s="36" t="str">
        <f aca="false">IF(A968="","",MONTH(A968))</f>
        <v/>
      </c>
      <c r="C968" s="37"/>
      <c r="D968" s="37"/>
      <c r="E968" s="37"/>
      <c r="F968" s="38"/>
      <c r="G968" s="37"/>
      <c r="H968" s="39" t="str">
        <f aca="false">IF(E968="","",E968*N(F968)*IF(G968="",1,G968))</f>
        <v/>
      </c>
      <c r="I968" s="37"/>
      <c r="J968" s="37"/>
      <c r="K968" s="37"/>
    </row>
    <row r="969" customFormat="false" ht="15" hidden="false" customHeight="false" outlineLevel="0" collapsed="false">
      <c r="A969" s="35"/>
      <c r="B969" s="36" t="str">
        <f aca="false">IF(A969="","",MONTH(A969))</f>
        <v/>
      </c>
      <c r="C969" s="37"/>
      <c r="D969" s="37"/>
      <c r="E969" s="37"/>
      <c r="F969" s="38"/>
      <c r="G969" s="37"/>
      <c r="H969" s="39" t="str">
        <f aca="false">IF(E969="","",E969*N(F969)*IF(G969="",1,G969))</f>
        <v/>
      </c>
      <c r="I969" s="37"/>
      <c r="J969" s="37"/>
      <c r="K969" s="37"/>
    </row>
    <row r="970" customFormat="false" ht="15" hidden="false" customHeight="false" outlineLevel="0" collapsed="false">
      <c r="A970" s="35"/>
      <c r="B970" s="36" t="str">
        <f aca="false">IF(A970="","",MONTH(A970))</f>
        <v/>
      </c>
      <c r="C970" s="37"/>
      <c r="D970" s="37"/>
      <c r="E970" s="37"/>
      <c r="F970" s="38"/>
      <c r="G970" s="37"/>
      <c r="H970" s="39" t="str">
        <f aca="false">IF(E970="","",E970*N(F970)*IF(G970="",1,G970))</f>
        <v/>
      </c>
      <c r="I970" s="37"/>
      <c r="J970" s="37"/>
      <c r="K970" s="37"/>
    </row>
    <row r="971" customFormat="false" ht="15" hidden="false" customHeight="false" outlineLevel="0" collapsed="false">
      <c r="A971" s="35"/>
      <c r="B971" s="36" t="str">
        <f aca="false">IF(A971="","",MONTH(A971))</f>
        <v/>
      </c>
      <c r="C971" s="37"/>
      <c r="D971" s="37"/>
      <c r="E971" s="37"/>
      <c r="F971" s="38"/>
      <c r="G971" s="37"/>
      <c r="H971" s="39" t="str">
        <f aca="false">IF(E971="","",E971*N(F971)*IF(G971="",1,G971))</f>
        <v/>
      </c>
      <c r="I971" s="37"/>
      <c r="J971" s="37"/>
      <c r="K971" s="37"/>
    </row>
    <row r="972" customFormat="false" ht="15" hidden="false" customHeight="false" outlineLevel="0" collapsed="false">
      <c r="A972" s="35"/>
      <c r="B972" s="36" t="str">
        <f aca="false">IF(A972="","",MONTH(A972))</f>
        <v/>
      </c>
      <c r="C972" s="37"/>
      <c r="D972" s="37"/>
      <c r="E972" s="37"/>
      <c r="F972" s="38"/>
      <c r="G972" s="37"/>
      <c r="H972" s="39" t="str">
        <f aca="false">IF(E972="","",E972*N(F972)*IF(G972="",1,G972))</f>
        <v/>
      </c>
      <c r="I972" s="37"/>
      <c r="J972" s="37"/>
      <c r="K972" s="37"/>
    </row>
    <row r="973" customFormat="false" ht="15" hidden="false" customHeight="false" outlineLevel="0" collapsed="false">
      <c r="A973" s="35"/>
      <c r="B973" s="36" t="str">
        <f aca="false">IF(A973="","",MONTH(A973))</f>
        <v/>
      </c>
      <c r="C973" s="37"/>
      <c r="D973" s="37"/>
      <c r="E973" s="37"/>
      <c r="F973" s="38"/>
      <c r="G973" s="37"/>
      <c r="H973" s="39" t="str">
        <f aca="false">IF(E973="","",E973*N(F973)*IF(G973="",1,G973))</f>
        <v/>
      </c>
      <c r="I973" s="37"/>
      <c r="J973" s="37"/>
      <c r="K973" s="37"/>
    </row>
    <row r="974" customFormat="false" ht="15" hidden="false" customHeight="false" outlineLevel="0" collapsed="false">
      <c r="A974" s="35"/>
      <c r="B974" s="36" t="str">
        <f aca="false">IF(A974="","",MONTH(A974))</f>
        <v/>
      </c>
      <c r="C974" s="37"/>
      <c r="D974" s="37"/>
      <c r="E974" s="37"/>
      <c r="F974" s="38"/>
      <c r="G974" s="37"/>
      <c r="H974" s="39" t="str">
        <f aca="false">IF(E974="","",E974*N(F974)*IF(G974="",1,G974))</f>
        <v/>
      </c>
      <c r="I974" s="37"/>
      <c r="J974" s="37"/>
      <c r="K974" s="37"/>
    </row>
    <row r="975" customFormat="false" ht="15" hidden="false" customHeight="false" outlineLevel="0" collapsed="false">
      <c r="A975" s="35"/>
      <c r="B975" s="36" t="str">
        <f aca="false">IF(A975="","",MONTH(A975))</f>
        <v/>
      </c>
      <c r="C975" s="37"/>
      <c r="D975" s="37"/>
      <c r="E975" s="37"/>
      <c r="F975" s="38"/>
      <c r="G975" s="37"/>
      <c r="H975" s="39" t="str">
        <f aca="false">IF(E975="","",E975*N(F975)*IF(G975="",1,G975))</f>
        <v/>
      </c>
      <c r="I975" s="37"/>
      <c r="J975" s="37"/>
      <c r="K975" s="37"/>
    </row>
    <row r="976" customFormat="false" ht="15" hidden="false" customHeight="false" outlineLevel="0" collapsed="false">
      <c r="A976" s="35"/>
      <c r="B976" s="36" t="str">
        <f aca="false">IF(A976="","",MONTH(A976))</f>
        <v/>
      </c>
      <c r="C976" s="37"/>
      <c r="D976" s="37"/>
      <c r="E976" s="37"/>
      <c r="F976" s="38"/>
      <c r="G976" s="37"/>
      <c r="H976" s="39" t="str">
        <f aca="false">IF(E976="","",E976*N(F976)*IF(G976="",1,G976))</f>
        <v/>
      </c>
      <c r="I976" s="37"/>
      <c r="J976" s="37"/>
      <c r="K976" s="37"/>
    </row>
    <row r="977" customFormat="false" ht="15" hidden="false" customHeight="false" outlineLevel="0" collapsed="false">
      <c r="A977" s="35"/>
      <c r="B977" s="36" t="str">
        <f aca="false">IF(A977="","",MONTH(A977))</f>
        <v/>
      </c>
      <c r="C977" s="37"/>
      <c r="D977" s="37"/>
      <c r="E977" s="37"/>
      <c r="F977" s="38"/>
      <c r="G977" s="37"/>
      <c r="H977" s="39" t="str">
        <f aca="false">IF(E977="","",E977*N(F977)*IF(G977="",1,G977))</f>
        <v/>
      </c>
      <c r="I977" s="37"/>
      <c r="J977" s="37"/>
      <c r="K977" s="37"/>
    </row>
    <row r="978" customFormat="false" ht="15" hidden="false" customHeight="false" outlineLevel="0" collapsed="false">
      <c r="A978" s="35"/>
      <c r="B978" s="36" t="str">
        <f aca="false">IF(A978="","",MONTH(A978))</f>
        <v/>
      </c>
      <c r="C978" s="37"/>
      <c r="D978" s="37"/>
      <c r="E978" s="37"/>
      <c r="F978" s="38"/>
      <c r="G978" s="37"/>
      <c r="H978" s="39" t="str">
        <f aca="false">IF(E978="","",E978*N(F978)*IF(G978="",1,G978))</f>
        <v/>
      </c>
      <c r="I978" s="37"/>
      <c r="J978" s="37"/>
      <c r="K978" s="37"/>
    </row>
    <row r="979" customFormat="false" ht="15" hidden="false" customHeight="false" outlineLevel="0" collapsed="false">
      <c r="A979" s="35"/>
      <c r="B979" s="36" t="str">
        <f aca="false">IF(A979="","",MONTH(A979))</f>
        <v/>
      </c>
      <c r="C979" s="37"/>
      <c r="D979" s="37"/>
      <c r="E979" s="37"/>
      <c r="F979" s="38"/>
      <c r="G979" s="37"/>
      <c r="H979" s="39" t="str">
        <f aca="false">IF(E979="","",E979*N(F979)*IF(G979="",1,G979))</f>
        <v/>
      </c>
      <c r="I979" s="37"/>
      <c r="J979" s="37"/>
      <c r="K979" s="37"/>
    </row>
    <row r="980" customFormat="false" ht="15" hidden="false" customHeight="false" outlineLevel="0" collapsed="false">
      <c r="A980" s="35"/>
      <c r="B980" s="36" t="str">
        <f aca="false">IF(A980="","",MONTH(A980))</f>
        <v/>
      </c>
      <c r="C980" s="37"/>
      <c r="D980" s="37"/>
      <c r="E980" s="37"/>
      <c r="F980" s="38"/>
      <c r="G980" s="37"/>
      <c r="H980" s="39" t="str">
        <f aca="false">IF(E980="","",E980*N(F980)*IF(G980="",1,G980))</f>
        <v/>
      </c>
      <c r="I980" s="37"/>
      <c r="J980" s="37"/>
      <c r="K980" s="37"/>
    </row>
    <row r="981" customFormat="false" ht="15" hidden="false" customHeight="false" outlineLevel="0" collapsed="false">
      <c r="A981" s="35"/>
      <c r="B981" s="36" t="str">
        <f aca="false">IF(A981="","",MONTH(A981))</f>
        <v/>
      </c>
      <c r="C981" s="37"/>
      <c r="D981" s="37"/>
      <c r="E981" s="37"/>
      <c r="F981" s="38"/>
      <c r="G981" s="37"/>
      <c r="H981" s="39" t="str">
        <f aca="false">IF(E981="","",E981*N(F981)*IF(G981="",1,G981))</f>
        <v/>
      </c>
      <c r="I981" s="37"/>
      <c r="J981" s="37"/>
      <c r="K981" s="37"/>
    </row>
    <row r="982" customFormat="false" ht="15" hidden="false" customHeight="false" outlineLevel="0" collapsed="false">
      <c r="A982" s="35"/>
      <c r="B982" s="36" t="str">
        <f aca="false">IF(A982="","",MONTH(A982))</f>
        <v/>
      </c>
      <c r="C982" s="37"/>
      <c r="D982" s="37"/>
      <c r="E982" s="37"/>
      <c r="F982" s="38"/>
      <c r="G982" s="37"/>
      <c r="H982" s="39" t="str">
        <f aca="false">IF(E982="","",E982*N(F982)*IF(G982="",1,G982))</f>
        <v/>
      </c>
      <c r="I982" s="37"/>
      <c r="J982" s="37"/>
      <c r="K982" s="37"/>
    </row>
    <row r="983" customFormat="false" ht="15" hidden="false" customHeight="false" outlineLevel="0" collapsed="false">
      <c r="A983" s="35"/>
      <c r="B983" s="36" t="str">
        <f aca="false">IF(A983="","",MONTH(A983))</f>
        <v/>
      </c>
      <c r="C983" s="37"/>
      <c r="D983" s="37"/>
      <c r="E983" s="37"/>
      <c r="F983" s="38"/>
      <c r="G983" s="37"/>
      <c r="H983" s="39" t="str">
        <f aca="false">IF(E983="","",E983*N(F983)*IF(G983="",1,G983))</f>
        <v/>
      </c>
      <c r="I983" s="37"/>
      <c r="J983" s="37"/>
      <c r="K983" s="37"/>
    </row>
    <row r="984" customFormat="false" ht="15" hidden="false" customHeight="false" outlineLevel="0" collapsed="false">
      <c r="A984" s="35"/>
      <c r="B984" s="36" t="str">
        <f aca="false">IF(A984="","",MONTH(A984))</f>
        <v/>
      </c>
      <c r="C984" s="37"/>
      <c r="D984" s="37"/>
      <c r="E984" s="37"/>
      <c r="F984" s="38"/>
      <c r="G984" s="37"/>
      <c r="H984" s="39" t="str">
        <f aca="false">IF(E984="","",E984*N(F984)*IF(G984="",1,G984))</f>
        <v/>
      </c>
      <c r="I984" s="37"/>
      <c r="J984" s="37"/>
      <c r="K984" s="37"/>
    </row>
    <row r="985" customFormat="false" ht="15" hidden="false" customHeight="false" outlineLevel="0" collapsed="false">
      <c r="A985" s="35"/>
      <c r="B985" s="36" t="str">
        <f aca="false">IF(A985="","",MONTH(A985))</f>
        <v/>
      </c>
      <c r="C985" s="37"/>
      <c r="D985" s="37"/>
      <c r="E985" s="37"/>
      <c r="F985" s="38"/>
      <c r="G985" s="37"/>
      <c r="H985" s="39" t="str">
        <f aca="false">IF(E985="","",E985*N(F985)*IF(G985="",1,G985))</f>
        <v/>
      </c>
      <c r="I985" s="37"/>
      <c r="J985" s="37"/>
      <c r="K985" s="37"/>
    </row>
    <row r="986" customFormat="false" ht="15" hidden="false" customHeight="false" outlineLevel="0" collapsed="false">
      <c r="A986" s="35"/>
      <c r="B986" s="36" t="str">
        <f aca="false">IF(A986="","",MONTH(A986))</f>
        <v/>
      </c>
      <c r="C986" s="37"/>
      <c r="D986" s="37"/>
      <c r="E986" s="37"/>
      <c r="F986" s="38"/>
      <c r="G986" s="37"/>
      <c r="H986" s="39" t="str">
        <f aca="false">IF(E986="","",E986*N(F986)*IF(G986="",1,G986))</f>
        <v/>
      </c>
      <c r="I986" s="37"/>
      <c r="J986" s="37"/>
      <c r="K986" s="37"/>
    </row>
    <row r="987" customFormat="false" ht="15" hidden="false" customHeight="false" outlineLevel="0" collapsed="false">
      <c r="A987" s="35"/>
      <c r="B987" s="36" t="str">
        <f aca="false">IF(A987="","",MONTH(A987))</f>
        <v/>
      </c>
      <c r="C987" s="37"/>
      <c r="D987" s="37"/>
      <c r="E987" s="37"/>
      <c r="F987" s="38"/>
      <c r="G987" s="37"/>
      <c r="H987" s="39" t="str">
        <f aca="false">IF(E987="","",E987*N(F987)*IF(G987="",1,G987))</f>
        <v/>
      </c>
      <c r="I987" s="37"/>
      <c r="J987" s="37"/>
      <c r="K987" s="37"/>
    </row>
    <row r="988" customFormat="false" ht="15" hidden="false" customHeight="false" outlineLevel="0" collapsed="false">
      <c r="A988" s="35"/>
      <c r="B988" s="36" t="str">
        <f aca="false">IF(A988="","",MONTH(A988))</f>
        <v/>
      </c>
      <c r="C988" s="37"/>
      <c r="D988" s="37"/>
      <c r="E988" s="37"/>
      <c r="F988" s="38"/>
      <c r="G988" s="37"/>
      <c r="H988" s="39" t="str">
        <f aca="false">IF(E988="","",E988*N(F988)*IF(G988="",1,G988))</f>
        <v/>
      </c>
      <c r="I988" s="37"/>
      <c r="J988" s="37"/>
      <c r="K988" s="37"/>
    </row>
    <row r="989" customFormat="false" ht="15" hidden="false" customHeight="false" outlineLevel="0" collapsed="false">
      <c r="A989" s="35"/>
      <c r="B989" s="36" t="str">
        <f aca="false">IF(A989="","",MONTH(A989))</f>
        <v/>
      </c>
      <c r="C989" s="37"/>
      <c r="D989" s="37"/>
      <c r="E989" s="37"/>
      <c r="F989" s="38"/>
      <c r="G989" s="37"/>
      <c r="H989" s="39" t="str">
        <f aca="false">IF(E989="","",E989*N(F989)*IF(G989="",1,G989))</f>
        <v/>
      </c>
      <c r="I989" s="37"/>
      <c r="J989" s="37"/>
      <c r="K989" s="37"/>
    </row>
    <row r="990" customFormat="false" ht="15" hidden="false" customHeight="false" outlineLevel="0" collapsed="false">
      <c r="A990" s="35"/>
      <c r="B990" s="36" t="str">
        <f aca="false">IF(A990="","",MONTH(A990))</f>
        <v/>
      </c>
      <c r="C990" s="37"/>
      <c r="D990" s="37"/>
      <c r="E990" s="37"/>
      <c r="F990" s="38"/>
      <c r="G990" s="37"/>
      <c r="H990" s="39" t="str">
        <f aca="false">IF(E990="","",E990*N(F990)*IF(G990="",1,G990))</f>
        <v/>
      </c>
      <c r="I990" s="37"/>
      <c r="J990" s="37"/>
      <c r="K990" s="37"/>
    </row>
    <row r="991" customFormat="false" ht="15" hidden="false" customHeight="false" outlineLevel="0" collapsed="false">
      <c r="A991" s="35"/>
      <c r="B991" s="36" t="str">
        <f aca="false">IF(A991="","",MONTH(A991))</f>
        <v/>
      </c>
      <c r="C991" s="37"/>
      <c r="D991" s="37"/>
      <c r="E991" s="37"/>
      <c r="F991" s="38"/>
      <c r="G991" s="37"/>
      <c r="H991" s="39" t="str">
        <f aca="false">IF(E991="","",E991*N(F991)*IF(G991="",1,G991))</f>
        <v/>
      </c>
      <c r="I991" s="37"/>
      <c r="J991" s="37"/>
      <c r="K991" s="37"/>
    </row>
    <row r="992" customFormat="false" ht="15" hidden="false" customHeight="false" outlineLevel="0" collapsed="false">
      <c r="A992" s="35"/>
      <c r="B992" s="36" t="str">
        <f aca="false">IF(A992="","",MONTH(A992))</f>
        <v/>
      </c>
      <c r="C992" s="37"/>
      <c r="D992" s="37"/>
      <c r="E992" s="37"/>
      <c r="F992" s="38"/>
      <c r="G992" s="37"/>
      <c r="H992" s="39" t="str">
        <f aca="false">IF(E992="","",E992*N(F992)*IF(G992="",1,G992))</f>
        <v/>
      </c>
      <c r="I992" s="37"/>
      <c r="J992" s="37"/>
      <c r="K992" s="37"/>
    </row>
    <row r="993" customFormat="false" ht="15" hidden="false" customHeight="false" outlineLevel="0" collapsed="false">
      <c r="A993" s="35"/>
      <c r="B993" s="36" t="str">
        <f aca="false">IF(A993="","",MONTH(A993))</f>
        <v/>
      </c>
      <c r="C993" s="37"/>
      <c r="D993" s="37"/>
      <c r="E993" s="37"/>
      <c r="F993" s="38"/>
      <c r="G993" s="37"/>
      <c r="H993" s="39" t="str">
        <f aca="false">IF(E993="","",E993*N(F993)*IF(G993="",1,G993))</f>
        <v/>
      </c>
      <c r="I993" s="37"/>
      <c r="J993" s="37"/>
      <c r="K993" s="37"/>
    </row>
    <row r="994" customFormat="false" ht="15" hidden="false" customHeight="false" outlineLevel="0" collapsed="false">
      <c r="A994" s="35"/>
      <c r="B994" s="36" t="str">
        <f aca="false">IF(A994="","",MONTH(A994))</f>
        <v/>
      </c>
      <c r="C994" s="37"/>
      <c r="D994" s="37"/>
      <c r="E994" s="37"/>
      <c r="F994" s="38"/>
      <c r="G994" s="37"/>
      <c r="H994" s="39" t="str">
        <f aca="false">IF(E994="","",E994*N(F994)*IF(G994="",1,G994))</f>
        <v/>
      </c>
      <c r="I994" s="37"/>
      <c r="J994" s="37"/>
      <c r="K994" s="37"/>
    </row>
    <row r="995" customFormat="false" ht="15" hidden="false" customHeight="false" outlineLevel="0" collapsed="false">
      <c r="A995" s="35"/>
      <c r="B995" s="36" t="str">
        <f aca="false">IF(A995="","",MONTH(A995))</f>
        <v/>
      </c>
      <c r="C995" s="37"/>
      <c r="D995" s="37"/>
      <c r="E995" s="37"/>
      <c r="F995" s="38"/>
      <c r="G995" s="37"/>
      <c r="H995" s="39" t="str">
        <f aca="false">IF(E995="","",E995*N(F995)*IF(G995="",1,G995))</f>
        <v/>
      </c>
      <c r="I995" s="37"/>
      <c r="J995" s="37"/>
      <c r="K995" s="37"/>
    </row>
    <row r="996" customFormat="false" ht="15" hidden="false" customHeight="false" outlineLevel="0" collapsed="false">
      <c r="A996" s="35"/>
      <c r="B996" s="36" t="str">
        <f aca="false">IF(A996="","",MONTH(A996))</f>
        <v/>
      </c>
      <c r="C996" s="37"/>
      <c r="D996" s="37"/>
      <c r="E996" s="37"/>
      <c r="F996" s="38"/>
      <c r="G996" s="37"/>
      <c r="H996" s="39" t="str">
        <f aca="false">IF(E996="","",E996*N(F996)*IF(G996="",1,G996))</f>
        <v/>
      </c>
      <c r="I996" s="37"/>
      <c r="J996" s="37"/>
      <c r="K996" s="37"/>
    </row>
    <row r="997" customFormat="false" ht="15" hidden="false" customHeight="false" outlineLevel="0" collapsed="false">
      <c r="A997" s="35"/>
      <c r="B997" s="36" t="str">
        <f aca="false">IF(A997="","",MONTH(A997))</f>
        <v/>
      </c>
      <c r="C997" s="37"/>
      <c r="D997" s="37"/>
      <c r="E997" s="37"/>
      <c r="F997" s="38"/>
      <c r="G997" s="37"/>
      <c r="H997" s="39" t="str">
        <f aca="false">IF(E997="","",E997*N(F997)*IF(G997="",1,G997))</f>
        <v/>
      </c>
      <c r="I997" s="37"/>
      <c r="J997" s="37"/>
      <c r="K997" s="37"/>
    </row>
    <row r="998" customFormat="false" ht="15" hidden="false" customHeight="false" outlineLevel="0" collapsed="false">
      <c r="A998" s="35"/>
      <c r="B998" s="36" t="str">
        <f aca="false">IF(A998="","",MONTH(A998))</f>
        <v/>
      </c>
      <c r="C998" s="37"/>
      <c r="D998" s="37"/>
      <c r="E998" s="37"/>
      <c r="F998" s="38"/>
      <c r="G998" s="37"/>
      <c r="H998" s="39" t="str">
        <f aca="false">IF(E998="","",E998*N(F998)*IF(G998="",1,G998))</f>
        <v/>
      </c>
      <c r="I998" s="37"/>
      <c r="J998" s="37"/>
      <c r="K998" s="37"/>
    </row>
    <row r="999" customFormat="false" ht="15" hidden="false" customHeight="false" outlineLevel="0" collapsed="false">
      <c r="A999" s="35"/>
      <c r="B999" s="36" t="str">
        <f aca="false">IF(A999="","",MONTH(A999))</f>
        <v/>
      </c>
      <c r="C999" s="37"/>
      <c r="D999" s="37"/>
      <c r="E999" s="37"/>
      <c r="F999" s="38"/>
      <c r="G999" s="37"/>
      <c r="H999" s="39" t="str">
        <f aca="false">IF(E999="","",E999*N(F999)*IF(G999="",1,G999))</f>
        <v/>
      </c>
      <c r="I999" s="37"/>
      <c r="J999" s="37"/>
      <c r="K999" s="37"/>
    </row>
    <row r="1000" customFormat="false" ht="15" hidden="false" customHeight="false" outlineLevel="0" collapsed="false">
      <c r="A1000" s="35"/>
      <c r="B1000" s="36" t="str">
        <f aca="false">IF(A1000="","",MONTH(A1000))</f>
        <v/>
      </c>
      <c r="C1000" s="37"/>
      <c r="D1000" s="37"/>
      <c r="E1000" s="37"/>
      <c r="F1000" s="38"/>
      <c r="G1000" s="37"/>
      <c r="H1000" s="39" t="str">
        <f aca="false">IF(E1000="","",E1000*N(F1000)*IF(G1000="",1,G1000))</f>
        <v/>
      </c>
      <c r="I1000" s="37"/>
      <c r="J1000" s="37"/>
      <c r="K1000" s="37"/>
    </row>
    <row r="1001" customFormat="false" ht="15" hidden="false" customHeight="false" outlineLevel="0" collapsed="false">
      <c r="A1001" s="35"/>
      <c r="B1001" s="36" t="str">
        <f aca="false">IF(A1001="","",MONTH(A1001))</f>
        <v/>
      </c>
      <c r="C1001" s="37"/>
      <c r="D1001" s="37"/>
      <c r="E1001" s="37"/>
      <c r="F1001" s="38"/>
      <c r="G1001" s="37"/>
      <c r="H1001" s="39" t="str">
        <f aca="false">IF(E1001="","",E1001*N(F1001)*IF(G1001="",1,G1001))</f>
        <v/>
      </c>
      <c r="I1001" s="37"/>
      <c r="J1001" s="37"/>
      <c r="K1001" s="37"/>
    </row>
    <row r="1002" customFormat="false" ht="15" hidden="false" customHeight="false" outlineLevel="0" collapsed="false">
      <c r="A1002" s="35"/>
      <c r="B1002" s="36" t="str">
        <f aca="false">IF(A1002="","",MONTH(A1002))</f>
        <v/>
      </c>
      <c r="C1002" s="37"/>
      <c r="D1002" s="37"/>
      <c r="E1002" s="37"/>
      <c r="F1002" s="38"/>
      <c r="G1002" s="37"/>
      <c r="H1002" s="39" t="str">
        <f aca="false">IF(E1002="","",E1002*N(F1002)*IF(G1002="",1,G1002))</f>
        <v/>
      </c>
      <c r="I1002" s="37"/>
      <c r="J1002" s="37"/>
      <c r="K1002" s="37"/>
    </row>
    <row r="1003" customFormat="false" ht="15" hidden="false" customHeight="false" outlineLevel="0" collapsed="false">
      <c r="A1003" s="35"/>
      <c r="B1003" s="36" t="str">
        <f aca="false">IF(A1003="","",MONTH(A1003))</f>
        <v/>
      </c>
      <c r="C1003" s="37"/>
      <c r="D1003" s="37"/>
      <c r="E1003" s="37"/>
      <c r="F1003" s="38"/>
      <c r="G1003" s="37"/>
      <c r="H1003" s="39" t="str">
        <f aca="false">IF(E1003="","",E1003*N(F1003)*IF(G1003="",1,G1003))</f>
        <v/>
      </c>
      <c r="I1003" s="37"/>
      <c r="J1003" s="37"/>
      <c r="K1003" s="37"/>
    </row>
    <row r="1004" customFormat="false" ht="15" hidden="false" customHeight="false" outlineLevel="0" collapsed="false">
      <c r="A1004" s="35"/>
      <c r="B1004" s="36" t="str">
        <f aca="false">IF(A1004="","",MONTH(A1004))</f>
        <v/>
      </c>
      <c r="C1004" s="37"/>
      <c r="D1004" s="37"/>
      <c r="E1004" s="37"/>
      <c r="F1004" s="38"/>
      <c r="G1004" s="37"/>
      <c r="H1004" s="39" t="str">
        <f aca="false">IF(E1004="","",E1004*N(F1004)*IF(G1004="",1,G1004))</f>
        <v/>
      </c>
      <c r="I1004" s="37"/>
      <c r="J1004" s="37"/>
      <c r="K1004" s="37"/>
    </row>
  </sheetData>
  <autoFilter ref="A4:K1004"/>
  <conditionalFormatting sqref="K5:K1004">
    <cfRule type="expression" priority="2" aboveAverage="0" equalAverage="0" bottom="0" percent="0" rank="0" text="" dxfId="20">
      <formula>LEN(K5)&gt;0</formula>
    </cfRule>
  </conditionalFormatting>
  <dataValidations count="2">
    <dataValidation allowBlank="true" error="Chọn mã trong danh sách (xem sheet DANH MỤC)" errorStyle="stop" operator="between" showDropDown="false" showErrorMessage="false" showInputMessage="false" sqref="C5:C1004" type="list">
      <formula1>'DANH MỤC'!$A$5:$A$48</formula1>
      <formula2>0</formula2>
    </dataValidation>
    <dataValidation allowBlank="true" errorStyle="stop" operator="between" showDropDown="false" showErrorMessage="false" showInputMessage="false" sqref="D5:D1004" type="list">
      <formula1>"1L,5L,18L,Bao"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34"/>
    <col collapsed="false" customWidth="true" hidden="false" outlineLevel="0" max="7" min="7" style="0" width="16"/>
    <col collapsed="false" customWidth="true" hidden="false" outlineLevel="0" max="8" min="8" style="0" width="50"/>
  </cols>
  <sheetData>
    <row r="1" customFormat="false" ht="19.7" hidden="false" customHeight="false" outlineLevel="0" collapsed="false">
      <c r="A1" s="22" t="s">
        <v>558</v>
      </c>
    </row>
    <row r="2" customFormat="false" ht="15" hidden="false" customHeight="false" outlineLevel="0" collapsed="false">
      <c r="A2" s="2" t="s">
        <v>559</v>
      </c>
    </row>
    <row r="3" customFormat="false" ht="15" hidden="false" customHeight="false" outlineLevel="0" collapsed="false">
      <c r="A3" s="41" t="s">
        <v>560</v>
      </c>
    </row>
    <row r="4" customFormat="false" ht="33.75" hidden="false" customHeight="true" outlineLevel="0" collapsed="false">
      <c r="A4" s="13" t="s">
        <v>561</v>
      </c>
      <c r="B4" s="13" t="s">
        <v>108</v>
      </c>
      <c r="C4" s="13" t="s">
        <v>8</v>
      </c>
      <c r="D4" s="13" t="s">
        <v>9</v>
      </c>
      <c r="E4" s="13" t="s">
        <v>109</v>
      </c>
      <c r="F4" s="13" t="s">
        <v>562</v>
      </c>
      <c r="G4" s="13" t="s">
        <v>114</v>
      </c>
      <c r="H4" s="13" t="s">
        <v>115</v>
      </c>
    </row>
    <row r="5" customFormat="false" ht="15" hidden="false" customHeight="false" outlineLevel="0" collapsed="false">
      <c r="A5" s="35" t="n">
        <v>46181</v>
      </c>
      <c r="B5" s="36" t="n">
        <f aca="false">IF(A5="","",MONTH(A5))</f>
        <v>6</v>
      </c>
      <c r="C5" s="37" t="s">
        <v>90</v>
      </c>
      <c r="D5" s="37" t="s">
        <v>54</v>
      </c>
      <c r="E5" s="37" t="n">
        <v>1</v>
      </c>
      <c r="F5" s="37" t="s">
        <v>563</v>
      </c>
      <c r="G5" s="37" t="s">
        <v>564</v>
      </c>
      <c r="H5" s="37"/>
    </row>
    <row r="6" customFormat="false" ht="15" hidden="false" customHeight="false" outlineLevel="0" collapsed="false">
      <c r="A6" s="35" t="n">
        <v>46190</v>
      </c>
      <c r="B6" s="36" t="n">
        <f aca="false">IF(A6="","",MONTH(A6))</f>
        <v>6</v>
      </c>
      <c r="C6" s="37" t="s">
        <v>63</v>
      </c>
      <c r="D6" s="37" t="s">
        <v>53</v>
      </c>
      <c r="E6" s="37" t="n">
        <v>2</v>
      </c>
      <c r="F6" s="37" t="s">
        <v>565</v>
      </c>
      <c r="G6" s="37" t="s">
        <v>566</v>
      </c>
      <c r="H6" s="37"/>
    </row>
    <row r="7" customFormat="false" ht="15" hidden="false" customHeight="false" outlineLevel="0" collapsed="false">
      <c r="A7" s="35" t="n">
        <v>46190</v>
      </c>
      <c r="B7" s="36" t="n">
        <f aca="false">IF(A7="","",MONTH(A7))</f>
        <v>6</v>
      </c>
      <c r="C7" s="37" t="s">
        <v>65</v>
      </c>
      <c r="D7" s="37" t="s">
        <v>53</v>
      </c>
      <c r="E7" s="37" t="n">
        <v>2</v>
      </c>
      <c r="F7" s="37" t="s">
        <v>565</v>
      </c>
      <c r="G7" s="37" t="s">
        <v>567</v>
      </c>
      <c r="H7" s="37"/>
    </row>
    <row r="8" customFormat="false" ht="15" hidden="false" customHeight="false" outlineLevel="0" collapsed="false">
      <c r="A8" s="35" t="n">
        <v>46190</v>
      </c>
      <c r="B8" s="36" t="n">
        <f aca="false">IF(A8="","",MONTH(A8))</f>
        <v>6</v>
      </c>
      <c r="C8" s="37" t="s">
        <v>82</v>
      </c>
      <c r="D8" s="37" t="s">
        <v>53</v>
      </c>
      <c r="E8" s="37" t="n">
        <v>1</v>
      </c>
      <c r="F8" s="37" t="s">
        <v>565</v>
      </c>
      <c r="G8" s="37" t="s">
        <v>568</v>
      </c>
      <c r="H8" s="37"/>
    </row>
    <row r="9" customFormat="false" ht="15" hidden="false" customHeight="false" outlineLevel="0" collapsed="false">
      <c r="A9" s="35" t="n">
        <v>46195</v>
      </c>
      <c r="B9" s="36" t="n">
        <f aca="false">IF(A9="","",MONTH(A9))</f>
        <v>6</v>
      </c>
      <c r="C9" s="37" t="s">
        <v>69</v>
      </c>
      <c r="D9" s="37" t="s">
        <v>54</v>
      </c>
      <c r="E9" s="37" t="n">
        <v>2</v>
      </c>
      <c r="F9" s="37" t="s">
        <v>569</v>
      </c>
      <c r="G9" s="37" t="s">
        <v>570</v>
      </c>
      <c r="H9" s="37"/>
    </row>
    <row r="10" customFormat="false" ht="15" hidden="false" customHeight="false" outlineLevel="0" collapsed="false">
      <c r="A10" s="35" t="n">
        <v>46195</v>
      </c>
      <c r="B10" s="36" t="n">
        <f aca="false">IF(A10="","",MONTH(A10))</f>
        <v>6</v>
      </c>
      <c r="C10" s="37" t="s">
        <v>51</v>
      </c>
      <c r="D10" s="37" t="s">
        <v>54</v>
      </c>
      <c r="E10" s="37" t="n">
        <v>1</v>
      </c>
      <c r="F10" s="37" t="s">
        <v>571</v>
      </c>
      <c r="G10" s="37" t="s">
        <v>572</v>
      </c>
      <c r="H10" s="37"/>
    </row>
    <row r="11" customFormat="false" ht="15" hidden="false" customHeight="false" outlineLevel="0" collapsed="false">
      <c r="A11" s="35" t="n">
        <v>46195</v>
      </c>
      <c r="B11" s="36" t="n">
        <f aca="false">IF(A11="","",MONTH(A11))</f>
        <v>6</v>
      </c>
      <c r="C11" s="37" t="s">
        <v>75</v>
      </c>
      <c r="D11" s="37" t="s">
        <v>54</v>
      </c>
      <c r="E11" s="37" t="n">
        <v>1</v>
      </c>
      <c r="F11" s="37" t="s">
        <v>565</v>
      </c>
      <c r="G11" s="37" t="s">
        <v>573</v>
      </c>
      <c r="H11" s="40" t="s">
        <v>574</v>
      </c>
    </row>
    <row r="12" customFormat="false" ht="15" hidden="false" customHeight="false" outlineLevel="0" collapsed="false">
      <c r="A12" s="35" t="n">
        <v>46219</v>
      </c>
      <c r="B12" s="36" t="n">
        <f aca="false">IF(A12="","",MONTH(A12))</f>
        <v>7</v>
      </c>
      <c r="C12" s="37" t="s">
        <v>51</v>
      </c>
      <c r="D12" s="37" t="s">
        <v>54</v>
      </c>
      <c r="E12" s="37" t="n">
        <v>2</v>
      </c>
      <c r="F12" s="37" t="s">
        <v>565</v>
      </c>
      <c r="G12" s="37" t="s">
        <v>575</v>
      </c>
      <c r="H12" s="37"/>
    </row>
    <row r="13" customFormat="false" ht="15" hidden="false" customHeight="false" outlineLevel="0" collapsed="false">
      <c r="A13" s="35" t="n">
        <v>46219</v>
      </c>
      <c r="B13" s="36" t="n">
        <f aca="false">IF(A13="","",MONTH(A13))</f>
        <v>7</v>
      </c>
      <c r="C13" s="37" t="s">
        <v>84</v>
      </c>
      <c r="D13" s="37" t="s">
        <v>54</v>
      </c>
      <c r="E13" s="37" t="n">
        <v>1</v>
      </c>
      <c r="F13" s="37" t="s">
        <v>576</v>
      </c>
      <c r="G13" s="37" t="s">
        <v>577</v>
      </c>
      <c r="H13" s="40" t="s">
        <v>578</v>
      </c>
    </row>
    <row r="14" customFormat="false" ht="15" hidden="false" customHeight="false" outlineLevel="0" collapsed="false">
      <c r="A14" s="35" t="n">
        <v>46219</v>
      </c>
      <c r="B14" s="36" t="n">
        <f aca="false">IF(A14="","",MONTH(A14))</f>
        <v>7</v>
      </c>
      <c r="C14" s="37" t="s">
        <v>55</v>
      </c>
      <c r="D14" s="37" t="s">
        <v>54</v>
      </c>
      <c r="E14" s="37" t="n">
        <v>1</v>
      </c>
      <c r="F14" s="37" t="s">
        <v>565</v>
      </c>
      <c r="G14" s="37" t="s">
        <v>579</v>
      </c>
      <c r="H14" s="37"/>
    </row>
    <row r="15" customFormat="false" ht="15" hidden="false" customHeight="false" outlineLevel="0" collapsed="false">
      <c r="A15" s="35" t="n">
        <v>46230</v>
      </c>
      <c r="B15" s="36" t="n">
        <f aca="false">IF(A15="","",MONTH(A15))</f>
        <v>7</v>
      </c>
      <c r="C15" s="37" t="s">
        <v>51</v>
      </c>
      <c r="D15" s="37" t="s">
        <v>54</v>
      </c>
      <c r="E15" s="37" t="n">
        <v>2</v>
      </c>
      <c r="F15" s="37" t="s">
        <v>580</v>
      </c>
      <c r="G15" s="37" t="s">
        <v>581</v>
      </c>
      <c r="H15" s="37"/>
    </row>
    <row r="16" customFormat="false" ht="15" hidden="false" customHeight="false" outlineLevel="0" collapsed="false">
      <c r="A16" s="35" t="n">
        <v>46230</v>
      </c>
      <c r="B16" s="36" t="n">
        <f aca="false">IF(A16="","",MONTH(A16))</f>
        <v>7</v>
      </c>
      <c r="C16" s="37" t="s">
        <v>71</v>
      </c>
      <c r="D16" s="37" t="s">
        <v>54</v>
      </c>
      <c r="E16" s="37" t="n">
        <v>1</v>
      </c>
      <c r="F16" s="37" t="s">
        <v>582</v>
      </c>
      <c r="G16" s="37" t="s">
        <v>583</v>
      </c>
      <c r="H16" s="37"/>
    </row>
    <row r="17" customFormat="false" ht="15" hidden="false" customHeight="false" outlineLevel="0" collapsed="false">
      <c r="A17" s="35" t="n">
        <v>46230</v>
      </c>
      <c r="B17" s="36" t="n">
        <f aca="false">IF(A17="","",MONTH(A17))</f>
        <v>7</v>
      </c>
      <c r="C17" s="37" t="s">
        <v>88</v>
      </c>
      <c r="D17" s="37" t="s">
        <v>54</v>
      </c>
      <c r="E17" s="37" t="n">
        <v>1</v>
      </c>
      <c r="F17" s="37" t="s">
        <v>565</v>
      </c>
      <c r="G17" s="37" t="s">
        <v>584</v>
      </c>
      <c r="H17" s="37"/>
    </row>
    <row r="18" customFormat="false" ht="15" hidden="false" customHeight="false" outlineLevel="0" collapsed="false">
      <c r="A18" s="35" t="n">
        <v>46233</v>
      </c>
      <c r="B18" s="36" t="n">
        <f aca="false">IF(A18="","",MONTH(A18))</f>
        <v>7</v>
      </c>
      <c r="C18" s="37" t="s">
        <v>69</v>
      </c>
      <c r="D18" s="37" t="s">
        <v>54</v>
      </c>
      <c r="E18" s="37" t="n">
        <v>1</v>
      </c>
      <c r="F18" s="37" t="s">
        <v>585</v>
      </c>
      <c r="G18" s="37" t="s">
        <v>586</v>
      </c>
      <c r="H18" s="37"/>
    </row>
    <row r="19" customFormat="false" ht="15" hidden="false" customHeight="false" outlineLevel="0" collapsed="false">
      <c r="A19" s="35"/>
      <c r="B19" s="36" t="str">
        <f aca="false">IF(A19="","",MONTH(A19))</f>
        <v/>
      </c>
      <c r="C19" s="37"/>
      <c r="D19" s="37"/>
      <c r="E19" s="37"/>
      <c r="F19" s="37"/>
      <c r="G19" s="37"/>
      <c r="H19" s="37"/>
    </row>
    <row r="20" customFormat="false" ht="15" hidden="false" customHeight="false" outlineLevel="0" collapsed="false">
      <c r="A20" s="35"/>
      <c r="B20" s="36" t="str">
        <f aca="false">IF(A20="","",MONTH(A20))</f>
        <v/>
      </c>
      <c r="C20" s="37"/>
      <c r="D20" s="37"/>
      <c r="E20" s="37"/>
      <c r="F20" s="37"/>
      <c r="G20" s="37"/>
      <c r="H20" s="37"/>
    </row>
    <row r="21" customFormat="false" ht="15" hidden="false" customHeight="false" outlineLevel="0" collapsed="false">
      <c r="A21" s="35"/>
      <c r="B21" s="36" t="str">
        <f aca="false">IF(A21="","",MONTH(A21))</f>
        <v/>
      </c>
      <c r="C21" s="37"/>
      <c r="D21" s="37"/>
      <c r="E21" s="37"/>
      <c r="F21" s="37"/>
      <c r="G21" s="37"/>
      <c r="H21" s="37"/>
    </row>
    <row r="22" customFormat="false" ht="15" hidden="false" customHeight="false" outlineLevel="0" collapsed="false">
      <c r="A22" s="35"/>
      <c r="B22" s="36" t="str">
        <f aca="false">IF(A22="","",MONTH(A22))</f>
        <v/>
      </c>
      <c r="C22" s="37"/>
      <c r="D22" s="37"/>
      <c r="E22" s="37"/>
      <c r="F22" s="37"/>
      <c r="G22" s="37"/>
      <c r="H22" s="37"/>
    </row>
    <row r="23" customFormat="false" ht="15" hidden="false" customHeight="false" outlineLevel="0" collapsed="false">
      <c r="A23" s="35"/>
      <c r="B23" s="36" t="str">
        <f aca="false">IF(A23="","",MONTH(A23))</f>
        <v/>
      </c>
      <c r="C23" s="37"/>
      <c r="D23" s="37"/>
      <c r="E23" s="37"/>
      <c r="F23" s="37"/>
      <c r="G23" s="37"/>
      <c r="H23" s="37"/>
    </row>
    <row r="24" customFormat="false" ht="15" hidden="false" customHeight="false" outlineLevel="0" collapsed="false">
      <c r="A24" s="35"/>
      <c r="B24" s="36" t="str">
        <f aca="false">IF(A24="","",MONTH(A24))</f>
        <v/>
      </c>
      <c r="C24" s="37"/>
      <c r="D24" s="37"/>
      <c r="E24" s="37"/>
      <c r="F24" s="37"/>
      <c r="G24" s="37"/>
      <c r="H24" s="37"/>
    </row>
    <row r="25" customFormat="false" ht="15" hidden="false" customHeight="false" outlineLevel="0" collapsed="false">
      <c r="A25" s="35"/>
      <c r="B25" s="36" t="str">
        <f aca="false">IF(A25="","",MONTH(A25))</f>
        <v/>
      </c>
      <c r="C25" s="37"/>
      <c r="D25" s="37"/>
      <c r="E25" s="37"/>
      <c r="F25" s="37"/>
      <c r="G25" s="37"/>
      <c r="H25" s="37"/>
    </row>
    <row r="26" customFormat="false" ht="15" hidden="false" customHeight="false" outlineLevel="0" collapsed="false">
      <c r="A26" s="35"/>
      <c r="B26" s="36" t="str">
        <f aca="false">IF(A26="","",MONTH(A26))</f>
        <v/>
      </c>
      <c r="C26" s="37"/>
      <c r="D26" s="37"/>
      <c r="E26" s="37"/>
      <c r="F26" s="37"/>
      <c r="G26" s="37"/>
      <c r="H26" s="37"/>
    </row>
    <row r="27" customFormat="false" ht="15" hidden="false" customHeight="false" outlineLevel="0" collapsed="false">
      <c r="A27" s="35"/>
      <c r="B27" s="36" t="str">
        <f aca="false">IF(A27="","",MONTH(A27))</f>
        <v/>
      </c>
      <c r="C27" s="37"/>
      <c r="D27" s="37"/>
      <c r="E27" s="37"/>
      <c r="F27" s="37"/>
      <c r="G27" s="37"/>
      <c r="H27" s="37"/>
    </row>
    <row r="28" customFormat="false" ht="15" hidden="false" customHeight="false" outlineLevel="0" collapsed="false">
      <c r="A28" s="35"/>
      <c r="B28" s="36" t="str">
        <f aca="false">IF(A28="","",MONTH(A28))</f>
        <v/>
      </c>
      <c r="C28" s="37"/>
      <c r="D28" s="37"/>
      <c r="E28" s="37"/>
      <c r="F28" s="37"/>
      <c r="G28" s="37"/>
      <c r="H28" s="37"/>
    </row>
    <row r="29" customFormat="false" ht="15" hidden="false" customHeight="false" outlineLevel="0" collapsed="false">
      <c r="A29" s="35"/>
      <c r="B29" s="36" t="str">
        <f aca="false">IF(A29="","",MONTH(A29))</f>
        <v/>
      </c>
      <c r="C29" s="37"/>
      <c r="D29" s="37"/>
      <c r="E29" s="37"/>
      <c r="F29" s="37"/>
      <c r="G29" s="37"/>
      <c r="H29" s="37"/>
    </row>
    <row r="30" customFormat="false" ht="15" hidden="false" customHeight="false" outlineLevel="0" collapsed="false">
      <c r="A30" s="35"/>
      <c r="B30" s="36" t="str">
        <f aca="false">IF(A30="","",MONTH(A30))</f>
        <v/>
      </c>
      <c r="C30" s="37"/>
      <c r="D30" s="37"/>
      <c r="E30" s="37"/>
      <c r="F30" s="37"/>
      <c r="G30" s="37"/>
      <c r="H30" s="37"/>
    </row>
    <row r="31" customFormat="false" ht="15" hidden="false" customHeight="false" outlineLevel="0" collapsed="false">
      <c r="A31" s="35"/>
      <c r="B31" s="36" t="str">
        <f aca="false">IF(A31="","",MONTH(A31))</f>
        <v/>
      </c>
      <c r="C31" s="37"/>
      <c r="D31" s="37"/>
      <c r="E31" s="37"/>
      <c r="F31" s="37"/>
      <c r="G31" s="37"/>
      <c r="H31" s="37"/>
    </row>
    <row r="32" customFormat="false" ht="15" hidden="false" customHeight="false" outlineLevel="0" collapsed="false">
      <c r="A32" s="35"/>
      <c r="B32" s="36" t="str">
        <f aca="false">IF(A32="","",MONTH(A32))</f>
        <v/>
      </c>
      <c r="C32" s="37"/>
      <c r="D32" s="37"/>
      <c r="E32" s="37"/>
      <c r="F32" s="37"/>
      <c r="G32" s="37"/>
      <c r="H32" s="37"/>
    </row>
    <row r="33" customFormat="false" ht="15" hidden="false" customHeight="false" outlineLevel="0" collapsed="false">
      <c r="A33" s="35"/>
      <c r="B33" s="36" t="str">
        <f aca="false">IF(A33="","",MONTH(A33))</f>
        <v/>
      </c>
      <c r="C33" s="37"/>
      <c r="D33" s="37"/>
      <c r="E33" s="37"/>
      <c r="F33" s="37"/>
      <c r="G33" s="37"/>
      <c r="H33" s="37"/>
    </row>
    <row r="34" customFormat="false" ht="15" hidden="false" customHeight="false" outlineLevel="0" collapsed="false">
      <c r="A34" s="35"/>
      <c r="B34" s="36" t="str">
        <f aca="false">IF(A34="","",MONTH(A34))</f>
        <v/>
      </c>
      <c r="C34" s="37"/>
      <c r="D34" s="37"/>
      <c r="E34" s="37"/>
      <c r="F34" s="37"/>
      <c r="G34" s="37"/>
      <c r="H34" s="37"/>
    </row>
    <row r="35" customFormat="false" ht="15" hidden="false" customHeight="false" outlineLevel="0" collapsed="false">
      <c r="A35" s="35"/>
      <c r="B35" s="36" t="str">
        <f aca="false">IF(A35="","",MONTH(A35))</f>
        <v/>
      </c>
      <c r="C35" s="37"/>
      <c r="D35" s="37"/>
      <c r="E35" s="37"/>
      <c r="F35" s="37"/>
      <c r="G35" s="37"/>
      <c r="H35" s="37"/>
    </row>
    <row r="36" customFormat="false" ht="15" hidden="false" customHeight="false" outlineLevel="0" collapsed="false">
      <c r="A36" s="35"/>
      <c r="B36" s="36" t="str">
        <f aca="false">IF(A36="","",MONTH(A36))</f>
        <v/>
      </c>
      <c r="C36" s="37"/>
      <c r="D36" s="37"/>
      <c r="E36" s="37"/>
      <c r="F36" s="37"/>
      <c r="G36" s="37"/>
      <c r="H36" s="37"/>
    </row>
    <row r="37" customFormat="false" ht="15" hidden="false" customHeight="false" outlineLevel="0" collapsed="false">
      <c r="A37" s="35"/>
      <c r="B37" s="36" t="str">
        <f aca="false">IF(A37="","",MONTH(A37))</f>
        <v/>
      </c>
      <c r="C37" s="37"/>
      <c r="D37" s="37"/>
      <c r="E37" s="37"/>
      <c r="F37" s="37"/>
      <c r="G37" s="37"/>
      <c r="H37" s="37"/>
    </row>
    <row r="38" customFormat="false" ht="15" hidden="false" customHeight="false" outlineLevel="0" collapsed="false">
      <c r="A38" s="35"/>
      <c r="B38" s="36" t="str">
        <f aca="false">IF(A38="","",MONTH(A38))</f>
        <v/>
      </c>
      <c r="C38" s="37"/>
      <c r="D38" s="37"/>
      <c r="E38" s="37"/>
      <c r="F38" s="37"/>
      <c r="G38" s="37"/>
      <c r="H38" s="37"/>
    </row>
    <row r="39" customFormat="false" ht="15" hidden="false" customHeight="false" outlineLevel="0" collapsed="false">
      <c r="A39" s="35"/>
      <c r="B39" s="36" t="str">
        <f aca="false">IF(A39="","",MONTH(A39))</f>
        <v/>
      </c>
      <c r="C39" s="37"/>
      <c r="D39" s="37"/>
      <c r="E39" s="37"/>
      <c r="F39" s="37"/>
      <c r="G39" s="37"/>
      <c r="H39" s="37"/>
    </row>
    <row r="40" customFormat="false" ht="15" hidden="false" customHeight="false" outlineLevel="0" collapsed="false">
      <c r="A40" s="35"/>
      <c r="B40" s="36" t="str">
        <f aca="false">IF(A40="","",MONTH(A40))</f>
        <v/>
      </c>
      <c r="C40" s="37"/>
      <c r="D40" s="37"/>
      <c r="E40" s="37"/>
      <c r="F40" s="37"/>
      <c r="G40" s="37"/>
      <c r="H40" s="37"/>
    </row>
    <row r="41" customFormat="false" ht="15" hidden="false" customHeight="false" outlineLevel="0" collapsed="false">
      <c r="A41" s="35"/>
      <c r="B41" s="36" t="str">
        <f aca="false">IF(A41="","",MONTH(A41))</f>
        <v/>
      </c>
      <c r="C41" s="37"/>
      <c r="D41" s="37"/>
      <c r="E41" s="37"/>
      <c r="F41" s="37"/>
      <c r="G41" s="37"/>
      <c r="H41" s="37"/>
    </row>
    <row r="42" customFormat="false" ht="15" hidden="false" customHeight="false" outlineLevel="0" collapsed="false">
      <c r="A42" s="35"/>
      <c r="B42" s="36" t="str">
        <f aca="false">IF(A42="","",MONTH(A42))</f>
        <v/>
      </c>
      <c r="C42" s="37"/>
      <c r="D42" s="37"/>
      <c r="E42" s="37"/>
      <c r="F42" s="37"/>
      <c r="G42" s="37"/>
      <c r="H42" s="37"/>
    </row>
    <row r="43" customFormat="false" ht="15" hidden="false" customHeight="false" outlineLevel="0" collapsed="false">
      <c r="A43" s="35"/>
      <c r="B43" s="36" t="str">
        <f aca="false">IF(A43="","",MONTH(A43))</f>
        <v/>
      </c>
      <c r="C43" s="37"/>
      <c r="D43" s="37"/>
      <c r="E43" s="37"/>
      <c r="F43" s="37"/>
      <c r="G43" s="37"/>
      <c r="H43" s="37"/>
    </row>
    <row r="44" customFormat="false" ht="15" hidden="false" customHeight="false" outlineLevel="0" collapsed="false">
      <c r="A44" s="35"/>
      <c r="B44" s="36" t="str">
        <f aca="false">IF(A44="","",MONTH(A44))</f>
        <v/>
      </c>
      <c r="C44" s="37"/>
      <c r="D44" s="37"/>
      <c r="E44" s="37"/>
      <c r="F44" s="37"/>
      <c r="G44" s="37"/>
      <c r="H44" s="37"/>
    </row>
    <row r="45" customFormat="false" ht="15" hidden="false" customHeight="false" outlineLevel="0" collapsed="false">
      <c r="A45" s="35"/>
      <c r="B45" s="36" t="str">
        <f aca="false">IF(A45="","",MONTH(A45))</f>
        <v/>
      </c>
      <c r="C45" s="37"/>
      <c r="D45" s="37"/>
      <c r="E45" s="37"/>
      <c r="F45" s="37"/>
      <c r="G45" s="37"/>
      <c r="H45" s="37"/>
    </row>
    <row r="46" customFormat="false" ht="15" hidden="false" customHeight="false" outlineLevel="0" collapsed="false">
      <c r="A46" s="35"/>
      <c r="B46" s="36" t="str">
        <f aca="false">IF(A46="","",MONTH(A46))</f>
        <v/>
      </c>
      <c r="C46" s="37"/>
      <c r="D46" s="37"/>
      <c r="E46" s="37"/>
      <c r="F46" s="37"/>
      <c r="G46" s="37"/>
      <c r="H46" s="37"/>
    </row>
    <row r="47" customFormat="false" ht="15" hidden="false" customHeight="false" outlineLevel="0" collapsed="false">
      <c r="A47" s="35"/>
      <c r="B47" s="36" t="str">
        <f aca="false">IF(A47="","",MONTH(A47))</f>
        <v/>
      </c>
      <c r="C47" s="37"/>
      <c r="D47" s="37"/>
      <c r="E47" s="37"/>
      <c r="F47" s="37"/>
      <c r="G47" s="37"/>
      <c r="H47" s="37"/>
    </row>
    <row r="48" customFormat="false" ht="15" hidden="false" customHeight="false" outlineLevel="0" collapsed="false">
      <c r="A48" s="35"/>
      <c r="B48" s="36" t="str">
        <f aca="false">IF(A48="","",MONTH(A48))</f>
        <v/>
      </c>
      <c r="C48" s="37"/>
      <c r="D48" s="37"/>
      <c r="E48" s="37"/>
      <c r="F48" s="37"/>
      <c r="G48" s="37"/>
      <c r="H48" s="37"/>
    </row>
    <row r="49" customFormat="false" ht="15" hidden="false" customHeight="false" outlineLevel="0" collapsed="false">
      <c r="A49" s="35"/>
      <c r="B49" s="36" t="str">
        <f aca="false">IF(A49="","",MONTH(A49))</f>
        <v/>
      </c>
      <c r="C49" s="37"/>
      <c r="D49" s="37"/>
      <c r="E49" s="37"/>
      <c r="F49" s="37"/>
      <c r="G49" s="37"/>
      <c r="H49" s="37"/>
    </row>
    <row r="50" customFormat="false" ht="15" hidden="false" customHeight="false" outlineLevel="0" collapsed="false">
      <c r="A50" s="35"/>
      <c r="B50" s="36" t="str">
        <f aca="false">IF(A50="","",MONTH(A50))</f>
        <v/>
      </c>
      <c r="C50" s="37"/>
      <c r="D50" s="37"/>
      <c r="E50" s="37"/>
      <c r="F50" s="37"/>
      <c r="G50" s="37"/>
      <c r="H50" s="37"/>
    </row>
    <row r="51" customFormat="false" ht="15" hidden="false" customHeight="false" outlineLevel="0" collapsed="false">
      <c r="A51" s="35"/>
      <c r="B51" s="36" t="str">
        <f aca="false">IF(A51="","",MONTH(A51))</f>
        <v/>
      </c>
      <c r="C51" s="37"/>
      <c r="D51" s="37"/>
      <c r="E51" s="37"/>
      <c r="F51" s="37"/>
      <c r="G51" s="37"/>
      <c r="H51" s="37"/>
    </row>
    <row r="52" customFormat="false" ht="15" hidden="false" customHeight="false" outlineLevel="0" collapsed="false">
      <c r="A52" s="35"/>
      <c r="B52" s="36" t="str">
        <f aca="false">IF(A52="","",MONTH(A52))</f>
        <v/>
      </c>
      <c r="C52" s="37"/>
      <c r="D52" s="37"/>
      <c r="E52" s="37"/>
      <c r="F52" s="37"/>
      <c r="G52" s="37"/>
      <c r="H52" s="37"/>
    </row>
    <row r="53" customFormat="false" ht="15" hidden="false" customHeight="false" outlineLevel="0" collapsed="false">
      <c r="A53" s="35"/>
      <c r="B53" s="36" t="str">
        <f aca="false">IF(A53="","",MONTH(A53))</f>
        <v/>
      </c>
      <c r="C53" s="37"/>
      <c r="D53" s="37"/>
      <c r="E53" s="37"/>
      <c r="F53" s="37"/>
      <c r="G53" s="37"/>
      <c r="H53" s="37"/>
    </row>
    <row r="54" customFormat="false" ht="15" hidden="false" customHeight="false" outlineLevel="0" collapsed="false">
      <c r="A54" s="35"/>
      <c r="B54" s="36" t="str">
        <f aca="false">IF(A54="","",MONTH(A54))</f>
        <v/>
      </c>
      <c r="C54" s="37"/>
      <c r="D54" s="37"/>
      <c r="E54" s="37"/>
      <c r="F54" s="37"/>
      <c r="G54" s="37"/>
      <c r="H54" s="37"/>
    </row>
    <row r="55" customFormat="false" ht="15" hidden="false" customHeight="false" outlineLevel="0" collapsed="false">
      <c r="A55" s="35"/>
      <c r="B55" s="36" t="str">
        <f aca="false">IF(A55="","",MONTH(A55))</f>
        <v/>
      </c>
      <c r="C55" s="37"/>
      <c r="D55" s="37"/>
      <c r="E55" s="37"/>
      <c r="F55" s="37"/>
      <c r="G55" s="37"/>
      <c r="H55" s="37"/>
    </row>
    <row r="56" customFormat="false" ht="15" hidden="false" customHeight="false" outlineLevel="0" collapsed="false">
      <c r="A56" s="35"/>
      <c r="B56" s="36" t="str">
        <f aca="false">IF(A56="","",MONTH(A56))</f>
        <v/>
      </c>
      <c r="C56" s="37"/>
      <c r="D56" s="37"/>
      <c r="E56" s="37"/>
      <c r="F56" s="37"/>
      <c r="G56" s="37"/>
      <c r="H56" s="37"/>
    </row>
    <row r="57" customFormat="false" ht="15" hidden="false" customHeight="false" outlineLevel="0" collapsed="false">
      <c r="A57" s="35"/>
      <c r="B57" s="36" t="str">
        <f aca="false">IF(A57="","",MONTH(A57))</f>
        <v/>
      </c>
      <c r="C57" s="37"/>
      <c r="D57" s="37"/>
      <c r="E57" s="37"/>
      <c r="F57" s="37"/>
      <c r="G57" s="37"/>
      <c r="H57" s="37"/>
    </row>
    <row r="58" customFormat="false" ht="15" hidden="false" customHeight="false" outlineLevel="0" collapsed="false">
      <c r="A58" s="35"/>
      <c r="B58" s="36" t="str">
        <f aca="false">IF(A58="","",MONTH(A58))</f>
        <v/>
      </c>
      <c r="C58" s="37"/>
      <c r="D58" s="37"/>
      <c r="E58" s="37"/>
      <c r="F58" s="37"/>
      <c r="G58" s="37"/>
      <c r="H58" s="37"/>
    </row>
    <row r="59" customFormat="false" ht="15" hidden="false" customHeight="false" outlineLevel="0" collapsed="false">
      <c r="A59" s="35"/>
      <c r="B59" s="36" t="str">
        <f aca="false">IF(A59="","",MONTH(A59))</f>
        <v/>
      </c>
      <c r="C59" s="37"/>
      <c r="D59" s="37"/>
      <c r="E59" s="37"/>
      <c r="F59" s="37"/>
      <c r="G59" s="37"/>
      <c r="H59" s="37"/>
    </row>
    <row r="60" customFormat="false" ht="15" hidden="false" customHeight="false" outlineLevel="0" collapsed="false">
      <c r="A60" s="35"/>
      <c r="B60" s="36" t="str">
        <f aca="false">IF(A60="","",MONTH(A60))</f>
        <v/>
      </c>
      <c r="C60" s="37"/>
      <c r="D60" s="37"/>
      <c r="E60" s="37"/>
      <c r="F60" s="37"/>
      <c r="G60" s="37"/>
      <c r="H60" s="37"/>
    </row>
    <row r="61" customFormat="false" ht="15" hidden="false" customHeight="false" outlineLevel="0" collapsed="false">
      <c r="A61" s="35"/>
      <c r="B61" s="36" t="str">
        <f aca="false">IF(A61="","",MONTH(A61))</f>
        <v/>
      </c>
      <c r="C61" s="37"/>
      <c r="D61" s="37"/>
      <c r="E61" s="37"/>
      <c r="F61" s="37"/>
      <c r="G61" s="37"/>
      <c r="H61" s="37"/>
    </row>
    <row r="62" customFormat="false" ht="15" hidden="false" customHeight="false" outlineLevel="0" collapsed="false">
      <c r="A62" s="35"/>
      <c r="B62" s="36" t="str">
        <f aca="false">IF(A62="","",MONTH(A62))</f>
        <v/>
      </c>
      <c r="C62" s="37"/>
      <c r="D62" s="37"/>
      <c r="E62" s="37"/>
      <c r="F62" s="37"/>
      <c r="G62" s="37"/>
      <c r="H62" s="37"/>
    </row>
    <row r="63" customFormat="false" ht="15" hidden="false" customHeight="false" outlineLevel="0" collapsed="false">
      <c r="A63" s="35"/>
      <c r="B63" s="36" t="str">
        <f aca="false">IF(A63="","",MONTH(A63))</f>
        <v/>
      </c>
      <c r="C63" s="37"/>
      <c r="D63" s="37"/>
      <c r="E63" s="37"/>
      <c r="F63" s="37"/>
      <c r="G63" s="37"/>
      <c r="H63" s="37"/>
    </row>
    <row r="64" customFormat="false" ht="15" hidden="false" customHeight="false" outlineLevel="0" collapsed="false">
      <c r="A64" s="35"/>
      <c r="B64" s="36" t="str">
        <f aca="false">IF(A64="","",MONTH(A64))</f>
        <v/>
      </c>
      <c r="C64" s="37"/>
      <c r="D64" s="37"/>
      <c r="E64" s="37"/>
      <c r="F64" s="37"/>
      <c r="G64" s="37"/>
      <c r="H64" s="37"/>
    </row>
    <row r="65" customFormat="false" ht="15" hidden="false" customHeight="false" outlineLevel="0" collapsed="false">
      <c r="A65" s="35"/>
      <c r="B65" s="36" t="str">
        <f aca="false">IF(A65="","",MONTH(A65))</f>
        <v/>
      </c>
      <c r="C65" s="37"/>
      <c r="D65" s="37"/>
      <c r="E65" s="37"/>
      <c r="F65" s="37"/>
      <c r="G65" s="37"/>
      <c r="H65" s="37"/>
    </row>
    <row r="66" customFormat="false" ht="15" hidden="false" customHeight="false" outlineLevel="0" collapsed="false">
      <c r="A66" s="35"/>
      <c r="B66" s="36" t="str">
        <f aca="false">IF(A66="","",MONTH(A66))</f>
        <v/>
      </c>
      <c r="C66" s="37"/>
      <c r="D66" s="37"/>
      <c r="E66" s="37"/>
      <c r="F66" s="37"/>
      <c r="G66" s="37"/>
      <c r="H66" s="37"/>
    </row>
    <row r="67" customFormat="false" ht="15" hidden="false" customHeight="false" outlineLevel="0" collapsed="false">
      <c r="A67" s="35"/>
      <c r="B67" s="36" t="str">
        <f aca="false">IF(A67="","",MONTH(A67))</f>
        <v/>
      </c>
      <c r="C67" s="37"/>
      <c r="D67" s="37"/>
      <c r="E67" s="37"/>
      <c r="F67" s="37"/>
      <c r="G67" s="37"/>
      <c r="H67" s="37"/>
    </row>
    <row r="68" customFormat="false" ht="15" hidden="false" customHeight="false" outlineLevel="0" collapsed="false">
      <c r="A68" s="35"/>
      <c r="B68" s="36" t="str">
        <f aca="false">IF(A68="","",MONTH(A68))</f>
        <v/>
      </c>
      <c r="C68" s="37"/>
      <c r="D68" s="37"/>
      <c r="E68" s="37"/>
      <c r="F68" s="37"/>
      <c r="G68" s="37"/>
      <c r="H68" s="37"/>
    </row>
    <row r="69" customFormat="false" ht="15" hidden="false" customHeight="false" outlineLevel="0" collapsed="false">
      <c r="A69" s="35"/>
      <c r="B69" s="36" t="str">
        <f aca="false">IF(A69="","",MONTH(A69))</f>
        <v/>
      </c>
      <c r="C69" s="37"/>
      <c r="D69" s="37"/>
      <c r="E69" s="37"/>
      <c r="F69" s="37"/>
      <c r="G69" s="37"/>
      <c r="H69" s="37"/>
    </row>
    <row r="70" customFormat="false" ht="15" hidden="false" customHeight="false" outlineLevel="0" collapsed="false">
      <c r="A70" s="35"/>
      <c r="B70" s="36" t="str">
        <f aca="false">IF(A70="","",MONTH(A70))</f>
        <v/>
      </c>
      <c r="C70" s="37"/>
      <c r="D70" s="37"/>
      <c r="E70" s="37"/>
      <c r="F70" s="37"/>
      <c r="G70" s="37"/>
      <c r="H70" s="37"/>
    </row>
    <row r="71" customFormat="false" ht="15" hidden="false" customHeight="false" outlineLevel="0" collapsed="false">
      <c r="A71" s="35"/>
      <c r="B71" s="36" t="str">
        <f aca="false">IF(A71="","",MONTH(A71))</f>
        <v/>
      </c>
      <c r="C71" s="37"/>
      <c r="D71" s="37"/>
      <c r="E71" s="37"/>
      <c r="F71" s="37"/>
      <c r="G71" s="37"/>
      <c r="H71" s="37"/>
    </row>
    <row r="72" customFormat="false" ht="15" hidden="false" customHeight="false" outlineLevel="0" collapsed="false">
      <c r="A72" s="35"/>
      <c r="B72" s="36" t="str">
        <f aca="false">IF(A72="","",MONTH(A72))</f>
        <v/>
      </c>
      <c r="C72" s="37"/>
      <c r="D72" s="37"/>
      <c r="E72" s="37"/>
      <c r="F72" s="37"/>
      <c r="G72" s="37"/>
      <c r="H72" s="37"/>
    </row>
    <row r="73" customFormat="false" ht="15" hidden="false" customHeight="false" outlineLevel="0" collapsed="false">
      <c r="A73" s="35"/>
      <c r="B73" s="36" t="str">
        <f aca="false">IF(A73="","",MONTH(A73))</f>
        <v/>
      </c>
      <c r="C73" s="37"/>
      <c r="D73" s="37"/>
      <c r="E73" s="37"/>
      <c r="F73" s="37"/>
      <c r="G73" s="37"/>
      <c r="H73" s="37"/>
    </row>
    <row r="74" customFormat="false" ht="15" hidden="false" customHeight="false" outlineLevel="0" collapsed="false">
      <c r="A74" s="35"/>
      <c r="B74" s="36" t="str">
        <f aca="false">IF(A74="","",MONTH(A74))</f>
        <v/>
      </c>
      <c r="C74" s="37"/>
      <c r="D74" s="37"/>
      <c r="E74" s="37"/>
      <c r="F74" s="37"/>
      <c r="G74" s="37"/>
      <c r="H74" s="37"/>
    </row>
    <row r="75" customFormat="false" ht="15" hidden="false" customHeight="false" outlineLevel="0" collapsed="false">
      <c r="A75" s="35"/>
      <c r="B75" s="36" t="str">
        <f aca="false">IF(A75="","",MONTH(A75))</f>
        <v/>
      </c>
      <c r="C75" s="37"/>
      <c r="D75" s="37"/>
      <c r="E75" s="37"/>
      <c r="F75" s="37"/>
      <c r="G75" s="37"/>
      <c r="H75" s="37"/>
    </row>
    <row r="76" customFormat="false" ht="15" hidden="false" customHeight="false" outlineLevel="0" collapsed="false">
      <c r="A76" s="35"/>
      <c r="B76" s="36" t="str">
        <f aca="false">IF(A76="","",MONTH(A76))</f>
        <v/>
      </c>
      <c r="C76" s="37"/>
      <c r="D76" s="37"/>
      <c r="E76" s="37"/>
      <c r="F76" s="37"/>
      <c r="G76" s="37"/>
      <c r="H76" s="37"/>
    </row>
    <row r="77" customFormat="false" ht="15" hidden="false" customHeight="false" outlineLevel="0" collapsed="false">
      <c r="A77" s="35"/>
      <c r="B77" s="36" t="str">
        <f aca="false">IF(A77="","",MONTH(A77))</f>
        <v/>
      </c>
      <c r="C77" s="37"/>
      <c r="D77" s="37"/>
      <c r="E77" s="37"/>
      <c r="F77" s="37"/>
      <c r="G77" s="37"/>
      <c r="H77" s="37"/>
    </row>
    <row r="78" customFormat="false" ht="15" hidden="false" customHeight="false" outlineLevel="0" collapsed="false">
      <c r="A78" s="35"/>
      <c r="B78" s="36" t="str">
        <f aca="false">IF(A78="","",MONTH(A78))</f>
        <v/>
      </c>
      <c r="C78" s="37"/>
      <c r="D78" s="37"/>
      <c r="E78" s="37"/>
      <c r="F78" s="37"/>
      <c r="G78" s="37"/>
      <c r="H78" s="37"/>
    </row>
    <row r="79" customFormat="false" ht="15" hidden="false" customHeight="false" outlineLevel="0" collapsed="false">
      <c r="A79" s="35"/>
      <c r="B79" s="36" t="str">
        <f aca="false">IF(A79="","",MONTH(A79))</f>
        <v/>
      </c>
      <c r="C79" s="37"/>
      <c r="D79" s="37"/>
      <c r="E79" s="37"/>
      <c r="F79" s="37"/>
      <c r="G79" s="37"/>
      <c r="H79" s="37"/>
    </row>
    <row r="80" customFormat="false" ht="15" hidden="false" customHeight="false" outlineLevel="0" collapsed="false">
      <c r="A80" s="35"/>
      <c r="B80" s="36" t="str">
        <f aca="false">IF(A80="","",MONTH(A80))</f>
        <v/>
      </c>
      <c r="C80" s="37"/>
      <c r="D80" s="37"/>
      <c r="E80" s="37"/>
      <c r="F80" s="37"/>
      <c r="G80" s="37"/>
      <c r="H80" s="37"/>
    </row>
    <row r="81" customFormat="false" ht="15" hidden="false" customHeight="false" outlineLevel="0" collapsed="false">
      <c r="A81" s="35"/>
      <c r="B81" s="36" t="str">
        <f aca="false">IF(A81="","",MONTH(A81))</f>
        <v/>
      </c>
      <c r="C81" s="37"/>
      <c r="D81" s="37"/>
      <c r="E81" s="37"/>
      <c r="F81" s="37"/>
      <c r="G81" s="37"/>
      <c r="H81" s="37"/>
    </row>
    <row r="82" customFormat="false" ht="15" hidden="false" customHeight="false" outlineLevel="0" collapsed="false">
      <c r="A82" s="35"/>
      <c r="B82" s="36" t="str">
        <f aca="false">IF(A82="","",MONTH(A82))</f>
        <v/>
      </c>
      <c r="C82" s="37"/>
      <c r="D82" s="37"/>
      <c r="E82" s="37"/>
      <c r="F82" s="37"/>
      <c r="G82" s="37"/>
      <c r="H82" s="37"/>
    </row>
    <row r="83" customFormat="false" ht="15" hidden="false" customHeight="false" outlineLevel="0" collapsed="false">
      <c r="A83" s="35"/>
      <c r="B83" s="36" t="str">
        <f aca="false">IF(A83="","",MONTH(A83))</f>
        <v/>
      </c>
      <c r="C83" s="37"/>
      <c r="D83" s="37"/>
      <c r="E83" s="37"/>
      <c r="F83" s="37"/>
      <c r="G83" s="37"/>
      <c r="H83" s="37"/>
    </row>
    <row r="84" customFormat="false" ht="15" hidden="false" customHeight="false" outlineLevel="0" collapsed="false">
      <c r="A84" s="35"/>
      <c r="B84" s="36" t="str">
        <f aca="false">IF(A84="","",MONTH(A84))</f>
        <v/>
      </c>
      <c r="C84" s="37"/>
      <c r="D84" s="37"/>
      <c r="E84" s="37"/>
      <c r="F84" s="37"/>
      <c r="G84" s="37"/>
      <c r="H84" s="37"/>
    </row>
    <row r="85" customFormat="false" ht="15" hidden="false" customHeight="false" outlineLevel="0" collapsed="false">
      <c r="A85" s="35"/>
      <c r="B85" s="36" t="str">
        <f aca="false">IF(A85="","",MONTH(A85))</f>
        <v/>
      </c>
      <c r="C85" s="37"/>
      <c r="D85" s="37"/>
      <c r="E85" s="37"/>
      <c r="F85" s="37"/>
      <c r="G85" s="37"/>
      <c r="H85" s="37"/>
    </row>
    <row r="86" customFormat="false" ht="15" hidden="false" customHeight="false" outlineLevel="0" collapsed="false">
      <c r="A86" s="35"/>
      <c r="B86" s="36" t="str">
        <f aca="false">IF(A86="","",MONTH(A86))</f>
        <v/>
      </c>
      <c r="C86" s="37"/>
      <c r="D86" s="37"/>
      <c r="E86" s="37"/>
      <c r="F86" s="37"/>
      <c r="G86" s="37"/>
      <c r="H86" s="37"/>
    </row>
    <row r="87" customFormat="false" ht="15" hidden="false" customHeight="false" outlineLevel="0" collapsed="false">
      <c r="A87" s="35"/>
      <c r="B87" s="36" t="str">
        <f aca="false">IF(A87="","",MONTH(A87))</f>
        <v/>
      </c>
      <c r="C87" s="37"/>
      <c r="D87" s="37"/>
      <c r="E87" s="37"/>
      <c r="F87" s="37"/>
      <c r="G87" s="37"/>
      <c r="H87" s="37"/>
    </row>
    <row r="88" customFormat="false" ht="15" hidden="false" customHeight="false" outlineLevel="0" collapsed="false">
      <c r="A88" s="35"/>
      <c r="B88" s="36" t="str">
        <f aca="false">IF(A88="","",MONTH(A88))</f>
        <v/>
      </c>
      <c r="C88" s="37"/>
      <c r="D88" s="37"/>
      <c r="E88" s="37"/>
      <c r="F88" s="37"/>
      <c r="G88" s="37"/>
      <c r="H88" s="37"/>
    </row>
    <row r="89" customFormat="false" ht="15" hidden="false" customHeight="false" outlineLevel="0" collapsed="false">
      <c r="A89" s="35"/>
      <c r="B89" s="36" t="str">
        <f aca="false">IF(A89="","",MONTH(A89))</f>
        <v/>
      </c>
      <c r="C89" s="37"/>
      <c r="D89" s="37"/>
      <c r="E89" s="37"/>
      <c r="F89" s="37"/>
      <c r="G89" s="37"/>
      <c r="H89" s="37"/>
    </row>
    <row r="90" customFormat="false" ht="15" hidden="false" customHeight="false" outlineLevel="0" collapsed="false">
      <c r="A90" s="35"/>
      <c r="B90" s="36" t="str">
        <f aca="false">IF(A90="","",MONTH(A90))</f>
        <v/>
      </c>
      <c r="C90" s="37"/>
      <c r="D90" s="37"/>
      <c r="E90" s="37"/>
      <c r="F90" s="37"/>
      <c r="G90" s="37"/>
      <c r="H90" s="37"/>
    </row>
    <row r="91" customFormat="false" ht="15" hidden="false" customHeight="false" outlineLevel="0" collapsed="false">
      <c r="A91" s="35"/>
      <c r="B91" s="36" t="str">
        <f aca="false">IF(A91="","",MONTH(A91))</f>
        <v/>
      </c>
      <c r="C91" s="37"/>
      <c r="D91" s="37"/>
      <c r="E91" s="37"/>
      <c r="F91" s="37"/>
      <c r="G91" s="37"/>
      <c r="H91" s="37"/>
    </row>
    <row r="92" customFormat="false" ht="15" hidden="false" customHeight="false" outlineLevel="0" collapsed="false">
      <c r="A92" s="35"/>
      <c r="B92" s="36" t="str">
        <f aca="false">IF(A92="","",MONTH(A92))</f>
        <v/>
      </c>
      <c r="C92" s="37"/>
      <c r="D92" s="37"/>
      <c r="E92" s="37"/>
      <c r="F92" s="37"/>
      <c r="G92" s="37"/>
      <c r="H92" s="37"/>
    </row>
    <row r="93" customFormat="false" ht="15" hidden="false" customHeight="false" outlineLevel="0" collapsed="false">
      <c r="A93" s="35"/>
      <c r="B93" s="36" t="str">
        <f aca="false">IF(A93="","",MONTH(A93))</f>
        <v/>
      </c>
      <c r="C93" s="37"/>
      <c r="D93" s="37"/>
      <c r="E93" s="37"/>
      <c r="F93" s="37"/>
      <c r="G93" s="37"/>
      <c r="H93" s="37"/>
    </row>
    <row r="94" customFormat="false" ht="15" hidden="false" customHeight="false" outlineLevel="0" collapsed="false">
      <c r="A94" s="35"/>
      <c r="B94" s="36" t="str">
        <f aca="false">IF(A94="","",MONTH(A94))</f>
        <v/>
      </c>
      <c r="C94" s="37"/>
      <c r="D94" s="37"/>
      <c r="E94" s="37"/>
      <c r="F94" s="37"/>
      <c r="G94" s="37"/>
      <c r="H94" s="37"/>
    </row>
    <row r="95" customFormat="false" ht="15" hidden="false" customHeight="false" outlineLevel="0" collapsed="false">
      <c r="A95" s="35"/>
      <c r="B95" s="36" t="str">
        <f aca="false">IF(A95="","",MONTH(A95))</f>
        <v/>
      </c>
      <c r="C95" s="37"/>
      <c r="D95" s="37"/>
      <c r="E95" s="37"/>
      <c r="F95" s="37"/>
      <c r="G95" s="37"/>
      <c r="H95" s="37"/>
    </row>
    <row r="96" customFormat="false" ht="15" hidden="false" customHeight="false" outlineLevel="0" collapsed="false">
      <c r="A96" s="35"/>
      <c r="B96" s="36" t="str">
        <f aca="false">IF(A96="","",MONTH(A96))</f>
        <v/>
      </c>
      <c r="C96" s="37"/>
      <c r="D96" s="37"/>
      <c r="E96" s="37"/>
      <c r="F96" s="37"/>
      <c r="G96" s="37"/>
      <c r="H96" s="37"/>
    </row>
    <row r="97" customFormat="false" ht="15" hidden="false" customHeight="false" outlineLevel="0" collapsed="false">
      <c r="A97" s="35"/>
      <c r="B97" s="36" t="str">
        <f aca="false">IF(A97="","",MONTH(A97))</f>
        <v/>
      </c>
      <c r="C97" s="37"/>
      <c r="D97" s="37"/>
      <c r="E97" s="37"/>
      <c r="F97" s="37"/>
      <c r="G97" s="37"/>
      <c r="H97" s="37"/>
    </row>
    <row r="98" customFormat="false" ht="15" hidden="false" customHeight="false" outlineLevel="0" collapsed="false">
      <c r="A98" s="35"/>
      <c r="B98" s="36" t="str">
        <f aca="false">IF(A98="","",MONTH(A98))</f>
        <v/>
      </c>
      <c r="C98" s="37"/>
      <c r="D98" s="37"/>
      <c r="E98" s="37"/>
      <c r="F98" s="37"/>
      <c r="G98" s="37"/>
      <c r="H98" s="37"/>
    </row>
    <row r="99" customFormat="false" ht="15" hidden="false" customHeight="false" outlineLevel="0" collapsed="false">
      <c r="A99" s="35"/>
      <c r="B99" s="36" t="str">
        <f aca="false">IF(A99="","",MONTH(A99))</f>
        <v/>
      </c>
      <c r="C99" s="37"/>
      <c r="D99" s="37"/>
      <c r="E99" s="37"/>
      <c r="F99" s="37"/>
      <c r="G99" s="37"/>
      <c r="H99" s="37"/>
    </row>
    <row r="100" customFormat="false" ht="15" hidden="false" customHeight="false" outlineLevel="0" collapsed="false">
      <c r="A100" s="35"/>
      <c r="B100" s="36" t="str">
        <f aca="false">IF(A100="","",MONTH(A100))</f>
        <v/>
      </c>
      <c r="C100" s="37"/>
      <c r="D100" s="37"/>
      <c r="E100" s="37"/>
      <c r="F100" s="37"/>
      <c r="G100" s="37"/>
      <c r="H100" s="37"/>
    </row>
    <row r="101" customFormat="false" ht="15" hidden="false" customHeight="false" outlineLevel="0" collapsed="false">
      <c r="A101" s="35"/>
      <c r="B101" s="36" t="str">
        <f aca="false">IF(A101="","",MONTH(A101))</f>
        <v/>
      </c>
      <c r="C101" s="37"/>
      <c r="D101" s="37"/>
      <c r="E101" s="37"/>
      <c r="F101" s="37"/>
      <c r="G101" s="37"/>
      <c r="H101" s="37"/>
    </row>
    <row r="102" customFormat="false" ht="15" hidden="false" customHeight="false" outlineLevel="0" collapsed="false">
      <c r="A102" s="35"/>
      <c r="B102" s="36" t="str">
        <f aca="false">IF(A102="","",MONTH(A102))</f>
        <v/>
      </c>
      <c r="C102" s="37"/>
      <c r="D102" s="37"/>
      <c r="E102" s="37"/>
      <c r="F102" s="37"/>
      <c r="G102" s="37"/>
      <c r="H102" s="37"/>
    </row>
    <row r="103" customFormat="false" ht="15" hidden="false" customHeight="false" outlineLevel="0" collapsed="false">
      <c r="A103" s="35"/>
      <c r="B103" s="36" t="str">
        <f aca="false">IF(A103="","",MONTH(A103))</f>
        <v/>
      </c>
      <c r="C103" s="37"/>
      <c r="D103" s="37"/>
      <c r="E103" s="37"/>
      <c r="F103" s="37"/>
      <c r="G103" s="37"/>
      <c r="H103" s="37"/>
    </row>
    <row r="104" customFormat="false" ht="15" hidden="false" customHeight="false" outlineLevel="0" collapsed="false">
      <c r="A104" s="35"/>
      <c r="B104" s="36" t="str">
        <f aca="false">IF(A104="","",MONTH(A104))</f>
        <v/>
      </c>
      <c r="C104" s="37"/>
      <c r="D104" s="37"/>
      <c r="E104" s="37"/>
      <c r="F104" s="37"/>
      <c r="G104" s="37"/>
      <c r="H104" s="37"/>
    </row>
    <row r="105" customFormat="false" ht="15" hidden="false" customHeight="false" outlineLevel="0" collapsed="false">
      <c r="A105" s="35"/>
      <c r="B105" s="36" t="str">
        <f aca="false">IF(A105="","",MONTH(A105))</f>
        <v/>
      </c>
      <c r="C105" s="37"/>
      <c r="D105" s="37"/>
      <c r="E105" s="37"/>
      <c r="F105" s="37"/>
      <c r="G105" s="37"/>
      <c r="H105" s="37"/>
    </row>
    <row r="106" customFormat="false" ht="15" hidden="false" customHeight="false" outlineLevel="0" collapsed="false">
      <c r="A106" s="35"/>
      <c r="B106" s="36" t="str">
        <f aca="false">IF(A106="","",MONTH(A106))</f>
        <v/>
      </c>
      <c r="C106" s="37"/>
      <c r="D106" s="37"/>
      <c r="E106" s="37"/>
      <c r="F106" s="37"/>
      <c r="G106" s="37"/>
      <c r="H106" s="37"/>
    </row>
    <row r="107" customFormat="false" ht="15" hidden="false" customHeight="false" outlineLevel="0" collapsed="false">
      <c r="A107" s="35"/>
      <c r="B107" s="36" t="str">
        <f aca="false">IF(A107="","",MONTH(A107))</f>
        <v/>
      </c>
      <c r="C107" s="37"/>
      <c r="D107" s="37"/>
      <c r="E107" s="37"/>
      <c r="F107" s="37"/>
      <c r="G107" s="37"/>
      <c r="H107" s="37"/>
    </row>
    <row r="108" customFormat="false" ht="15" hidden="false" customHeight="false" outlineLevel="0" collapsed="false">
      <c r="A108" s="35"/>
      <c r="B108" s="36" t="str">
        <f aca="false">IF(A108="","",MONTH(A108))</f>
        <v/>
      </c>
      <c r="C108" s="37"/>
      <c r="D108" s="37"/>
      <c r="E108" s="37"/>
      <c r="F108" s="37"/>
      <c r="G108" s="37"/>
      <c r="H108" s="37"/>
    </row>
    <row r="109" customFormat="false" ht="15" hidden="false" customHeight="false" outlineLevel="0" collapsed="false">
      <c r="A109" s="35"/>
      <c r="B109" s="36" t="str">
        <f aca="false">IF(A109="","",MONTH(A109))</f>
        <v/>
      </c>
      <c r="C109" s="37"/>
      <c r="D109" s="37"/>
      <c r="E109" s="37"/>
      <c r="F109" s="37"/>
      <c r="G109" s="37"/>
      <c r="H109" s="37"/>
    </row>
    <row r="110" customFormat="false" ht="15" hidden="false" customHeight="false" outlineLevel="0" collapsed="false">
      <c r="A110" s="35"/>
      <c r="B110" s="36" t="str">
        <f aca="false">IF(A110="","",MONTH(A110))</f>
        <v/>
      </c>
      <c r="C110" s="37"/>
      <c r="D110" s="37"/>
      <c r="E110" s="37"/>
      <c r="F110" s="37"/>
      <c r="G110" s="37"/>
      <c r="H110" s="37"/>
    </row>
    <row r="111" customFormat="false" ht="15" hidden="false" customHeight="false" outlineLevel="0" collapsed="false">
      <c r="A111" s="35"/>
      <c r="B111" s="36" t="str">
        <f aca="false">IF(A111="","",MONTH(A111))</f>
        <v/>
      </c>
      <c r="C111" s="37"/>
      <c r="D111" s="37"/>
      <c r="E111" s="37"/>
      <c r="F111" s="37"/>
      <c r="G111" s="37"/>
      <c r="H111" s="37"/>
    </row>
    <row r="112" customFormat="false" ht="15" hidden="false" customHeight="false" outlineLevel="0" collapsed="false">
      <c r="A112" s="35"/>
      <c r="B112" s="36" t="str">
        <f aca="false">IF(A112="","",MONTH(A112))</f>
        <v/>
      </c>
      <c r="C112" s="37"/>
      <c r="D112" s="37"/>
      <c r="E112" s="37"/>
      <c r="F112" s="37"/>
      <c r="G112" s="37"/>
      <c r="H112" s="37"/>
    </row>
    <row r="113" customFormat="false" ht="15" hidden="false" customHeight="false" outlineLevel="0" collapsed="false">
      <c r="A113" s="35"/>
      <c r="B113" s="36" t="str">
        <f aca="false">IF(A113="","",MONTH(A113))</f>
        <v/>
      </c>
      <c r="C113" s="37"/>
      <c r="D113" s="37"/>
      <c r="E113" s="37"/>
      <c r="F113" s="37"/>
      <c r="G113" s="37"/>
      <c r="H113" s="37"/>
    </row>
    <row r="114" customFormat="false" ht="15" hidden="false" customHeight="false" outlineLevel="0" collapsed="false">
      <c r="A114" s="35"/>
      <c r="B114" s="36" t="str">
        <f aca="false">IF(A114="","",MONTH(A114))</f>
        <v/>
      </c>
      <c r="C114" s="37"/>
      <c r="D114" s="37"/>
      <c r="E114" s="37"/>
      <c r="F114" s="37"/>
      <c r="G114" s="37"/>
      <c r="H114" s="37"/>
    </row>
    <row r="115" customFormat="false" ht="15" hidden="false" customHeight="false" outlineLevel="0" collapsed="false">
      <c r="A115" s="35"/>
      <c r="B115" s="36" t="str">
        <f aca="false">IF(A115="","",MONTH(A115))</f>
        <v/>
      </c>
      <c r="C115" s="37"/>
      <c r="D115" s="37"/>
      <c r="E115" s="37"/>
      <c r="F115" s="37"/>
      <c r="G115" s="37"/>
      <c r="H115" s="37"/>
    </row>
    <row r="116" customFormat="false" ht="15" hidden="false" customHeight="false" outlineLevel="0" collapsed="false">
      <c r="A116" s="35"/>
      <c r="B116" s="36" t="str">
        <f aca="false">IF(A116="","",MONTH(A116))</f>
        <v/>
      </c>
      <c r="C116" s="37"/>
      <c r="D116" s="37"/>
      <c r="E116" s="37"/>
      <c r="F116" s="37"/>
      <c r="G116" s="37"/>
      <c r="H116" s="37"/>
    </row>
    <row r="117" customFormat="false" ht="15" hidden="false" customHeight="false" outlineLevel="0" collapsed="false">
      <c r="A117" s="35"/>
      <c r="B117" s="36" t="str">
        <f aca="false">IF(A117="","",MONTH(A117))</f>
        <v/>
      </c>
      <c r="C117" s="37"/>
      <c r="D117" s="37"/>
      <c r="E117" s="37"/>
      <c r="F117" s="37"/>
      <c r="G117" s="37"/>
      <c r="H117" s="37"/>
    </row>
    <row r="118" customFormat="false" ht="15" hidden="false" customHeight="false" outlineLevel="0" collapsed="false">
      <c r="A118" s="35"/>
      <c r="B118" s="36" t="str">
        <f aca="false">IF(A118="","",MONTH(A118))</f>
        <v/>
      </c>
      <c r="C118" s="37"/>
      <c r="D118" s="37"/>
      <c r="E118" s="37"/>
      <c r="F118" s="37"/>
      <c r="G118" s="37"/>
      <c r="H118" s="37"/>
    </row>
    <row r="119" customFormat="false" ht="15" hidden="false" customHeight="false" outlineLevel="0" collapsed="false">
      <c r="A119" s="35"/>
      <c r="B119" s="36" t="str">
        <f aca="false">IF(A119="","",MONTH(A119))</f>
        <v/>
      </c>
      <c r="C119" s="37"/>
      <c r="D119" s="37"/>
      <c r="E119" s="37"/>
      <c r="F119" s="37"/>
      <c r="G119" s="37"/>
      <c r="H119" s="37"/>
    </row>
    <row r="120" customFormat="false" ht="15" hidden="false" customHeight="false" outlineLevel="0" collapsed="false">
      <c r="A120" s="35"/>
      <c r="B120" s="36" t="str">
        <f aca="false">IF(A120="","",MONTH(A120))</f>
        <v/>
      </c>
      <c r="C120" s="37"/>
      <c r="D120" s="37"/>
      <c r="E120" s="37"/>
      <c r="F120" s="37"/>
      <c r="G120" s="37"/>
      <c r="H120" s="37"/>
    </row>
    <row r="121" customFormat="false" ht="15" hidden="false" customHeight="false" outlineLevel="0" collapsed="false">
      <c r="A121" s="35"/>
      <c r="B121" s="36" t="str">
        <f aca="false">IF(A121="","",MONTH(A121))</f>
        <v/>
      </c>
      <c r="C121" s="37"/>
      <c r="D121" s="37"/>
      <c r="E121" s="37"/>
      <c r="F121" s="37"/>
      <c r="G121" s="37"/>
      <c r="H121" s="37"/>
    </row>
    <row r="122" customFormat="false" ht="15" hidden="false" customHeight="false" outlineLevel="0" collapsed="false">
      <c r="A122" s="35"/>
      <c r="B122" s="36" t="str">
        <f aca="false">IF(A122="","",MONTH(A122))</f>
        <v/>
      </c>
      <c r="C122" s="37"/>
      <c r="D122" s="37"/>
      <c r="E122" s="37"/>
      <c r="F122" s="37"/>
      <c r="G122" s="37"/>
      <c r="H122" s="37"/>
    </row>
    <row r="123" customFormat="false" ht="15" hidden="false" customHeight="false" outlineLevel="0" collapsed="false">
      <c r="A123" s="35"/>
      <c r="B123" s="36" t="str">
        <f aca="false">IF(A123="","",MONTH(A123))</f>
        <v/>
      </c>
      <c r="C123" s="37"/>
      <c r="D123" s="37"/>
      <c r="E123" s="37"/>
      <c r="F123" s="37"/>
      <c r="G123" s="37"/>
      <c r="H123" s="37"/>
    </row>
    <row r="124" customFormat="false" ht="15" hidden="false" customHeight="false" outlineLevel="0" collapsed="false">
      <c r="A124" s="35"/>
      <c r="B124" s="36" t="str">
        <f aca="false">IF(A124="","",MONTH(A124))</f>
        <v/>
      </c>
      <c r="C124" s="37"/>
      <c r="D124" s="37"/>
      <c r="E124" s="37"/>
      <c r="F124" s="37"/>
      <c r="G124" s="37"/>
      <c r="H124" s="37"/>
    </row>
    <row r="125" customFormat="false" ht="15" hidden="false" customHeight="false" outlineLevel="0" collapsed="false">
      <c r="A125" s="35"/>
      <c r="B125" s="36" t="str">
        <f aca="false">IF(A125="","",MONTH(A125))</f>
        <v/>
      </c>
      <c r="C125" s="37"/>
      <c r="D125" s="37"/>
      <c r="E125" s="37"/>
      <c r="F125" s="37"/>
      <c r="G125" s="37"/>
      <c r="H125" s="37"/>
    </row>
    <row r="126" customFormat="false" ht="15" hidden="false" customHeight="false" outlineLevel="0" collapsed="false">
      <c r="A126" s="35"/>
      <c r="B126" s="36" t="str">
        <f aca="false">IF(A126="","",MONTH(A126))</f>
        <v/>
      </c>
      <c r="C126" s="37"/>
      <c r="D126" s="37"/>
      <c r="E126" s="37"/>
      <c r="F126" s="37"/>
      <c r="G126" s="37"/>
      <c r="H126" s="37"/>
    </row>
    <row r="127" customFormat="false" ht="15" hidden="false" customHeight="false" outlineLevel="0" collapsed="false">
      <c r="A127" s="35"/>
      <c r="B127" s="36" t="str">
        <f aca="false">IF(A127="","",MONTH(A127))</f>
        <v/>
      </c>
      <c r="C127" s="37"/>
      <c r="D127" s="37"/>
      <c r="E127" s="37"/>
      <c r="F127" s="37"/>
      <c r="G127" s="37"/>
      <c r="H127" s="37"/>
    </row>
    <row r="128" customFormat="false" ht="15" hidden="false" customHeight="false" outlineLevel="0" collapsed="false">
      <c r="A128" s="35"/>
      <c r="B128" s="36" t="str">
        <f aca="false">IF(A128="","",MONTH(A128))</f>
        <v/>
      </c>
      <c r="C128" s="37"/>
      <c r="D128" s="37"/>
      <c r="E128" s="37"/>
      <c r="F128" s="37"/>
      <c r="G128" s="37"/>
      <c r="H128" s="37"/>
    </row>
    <row r="129" customFormat="false" ht="15" hidden="false" customHeight="false" outlineLevel="0" collapsed="false">
      <c r="A129" s="35"/>
      <c r="B129" s="36" t="str">
        <f aca="false">IF(A129="","",MONTH(A129))</f>
        <v/>
      </c>
      <c r="C129" s="37"/>
      <c r="D129" s="37"/>
      <c r="E129" s="37"/>
      <c r="F129" s="37"/>
      <c r="G129" s="37"/>
      <c r="H129" s="37"/>
    </row>
    <row r="130" customFormat="false" ht="15" hidden="false" customHeight="false" outlineLevel="0" collapsed="false">
      <c r="A130" s="35"/>
      <c r="B130" s="36" t="str">
        <f aca="false">IF(A130="","",MONTH(A130))</f>
        <v/>
      </c>
      <c r="C130" s="37"/>
      <c r="D130" s="37"/>
      <c r="E130" s="37"/>
      <c r="F130" s="37"/>
      <c r="G130" s="37"/>
      <c r="H130" s="37"/>
    </row>
    <row r="131" customFormat="false" ht="15" hidden="false" customHeight="false" outlineLevel="0" collapsed="false">
      <c r="A131" s="35"/>
      <c r="B131" s="36" t="str">
        <f aca="false">IF(A131="","",MONTH(A131))</f>
        <v/>
      </c>
      <c r="C131" s="37"/>
      <c r="D131" s="37"/>
      <c r="E131" s="37"/>
      <c r="F131" s="37"/>
      <c r="G131" s="37"/>
      <c r="H131" s="37"/>
    </row>
    <row r="132" customFormat="false" ht="15" hidden="false" customHeight="false" outlineLevel="0" collapsed="false">
      <c r="A132" s="35"/>
      <c r="B132" s="36" t="str">
        <f aca="false">IF(A132="","",MONTH(A132))</f>
        <v/>
      </c>
      <c r="C132" s="37"/>
      <c r="D132" s="37"/>
      <c r="E132" s="37"/>
      <c r="F132" s="37"/>
      <c r="G132" s="37"/>
      <c r="H132" s="37"/>
    </row>
    <row r="133" customFormat="false" ht="15" hidden="false" customHeight="false" outlineLevel="0" collapsed="false">
      <c r="A133" s="35"/>
      <c r="B133" s="36" t="str">
        <f aca="false">IF(A133="","",MONTH(A133))</f>
        <v/>
      </c>
      <c r="C133" s="37"/>
      <c r="D133" s="37"/>
      <c r="E133" s="37"/>
      <c r="F133" s="37"/>
      <c r="G133" s="37"/>
      <c r="H133" s="37"/>
    </row>
    <row r="134" customFormat="false" ht="15" hidden="false" customHeight="false" outlineLevel="0" collapsed="false">
      <c r="A134" s="35"/>
      <c r="B134" s="36" t="str">
        <f aca="false">IF(A134="","",MONTH(A134))</f>
        <v/>
      </c>
      <c r="C134" s="37"/>
      <c r="D134" s="37"/>
      <c r="E134" s="37"/>
      <c r="F134" s="37"/>
      <c r="G134" s="37"/>
      <c r="H134" s="37"/>
    </row>
    <row r="135" customFormat="false" ht="15" hidden="false" customHeight="false" outlineLevel="0" collapsed="false">
      <c r="A135" s="35"/>
      <c r="B135" s="36" t="str">
        <f aca="false">IF(A135="","",MONTH(A135))</f>
        <v/>
      </c>
      <c r="C135" s="37"/>
      <c r="D135" s="37"/>
      <c r="E135" s="37"/>
      <c r="F135" s="37"/>
      <c r="G135" s="37"/>
      <c r="H135" s="37"/>
    </row>
    <row r="136" customFormat="false" ht="15" hidden="false" customHeight="false" outlineLevel="0" collapsed="false">
      <c r="A136" s="35"/>
      <c r="B136" s="36" t="str">
        <f aca="false">IF(A136="","",MONTH(A136))</f>
        <v/>
      </c>
      <c r="C136" s="37"/>
      <c r="D136" s="37"/>
      <c r="E136" s="37"/>
      <c r="F136" s="37"/>
      <c r="G136" s="37"/>
      <c r="H136" s="37"/>
    </row>
    <row r="137" customFormat="false" ht="15" hidden="false" customHeight="false" outlineLevel="0" collapsed="false">
      <c r="A137" s="35"/>
      <c r="B137" s="36" t="str">
        <f aca="false">IF(A137="","",MONTH(A137))</f>
        <v/>
      </c>
      <c r="C137" s="37"/>
      <c r="D137" s="37"/>
      <c r="E137" s="37"/>
      <c r="F137" s="37"/>
      <c r="G137" s="37"/>
      <c r="H137" s="37"/>
    </row>
    <row r="138" customFormat="false" ht="15" hidden="false" customHeight="false" outlineLevel="0" collapsed="false">
      <c r="A138" s="35"/>
      <c r="B138" s="36" t="str">
        <f aca="false">IF(A138="","",MONTH(A138))</f>
        <v/>
      </c>
      <c r="C138" s="37"/>
      <c r="D138" s="37"/>
      <c r="E138" s="37"/>
      <c r="F138" s="37"/>
      <c r="G138" s="37"/>
      <c r="H138" s="37"/>
    </row>
    <row r="139" customFormat="false" ht="15" hidden="false" customHeight="false" outlineLevel="0" collapsed="false">
      <c r="A139" s="35"/>
      <c r="B139" s="36" t="str">
        <f aca="false">IF(A139="","",MONTH(A139))</f>
        <v/>
      </c>
      <c r="C139" s="37"/>
      <c r="D139" s="37"/>
      <c r="E139" s="37"/>
      <c r="F139" s="37"/>
      <c r="G139" s="37"/>
      <c r="H139" s="37"/>
    </row>
    <row r="140" customFormat="false" ht="15" hidden="false" customHeight="false" outlineLevel="0" collapsed="false">
      <c r="A140" s="35"/>
      <c r="B140" s="36" t="str">
        <f aca="false">IF(A140="","",MONTH(A140))</f>
        <v/>
      </c>
      <c r="C140" s="37"/>
      <c r="D140" s="37"/>
      <c r="E140" s="37"/>
      <c r="F140" s="37"/>
      <c r="G140" s="37"/>
      <c r="H140" s="37"/>
    </row>
    <row r="141" customFormat="false" ht="15" hidden="false" customHeight="false" outlineLevel="0" collapsed="false">
      <c r="A141" s="35"/>
      <c r="B141" s="36" t="str">
        <f aca="false">IF(A141="","",MONTH(A141))</f>
        <v/>
      </c>
      <c r="C141" s="37"/>
      <c r="D141" s="37"/>
      <c r="E141" s="37"/>
      <c r="F141" s="37"/>
      <c r="G141" s="37"/>
      <c r="H141" s="37"/>
    </row>
    <row r="142" customFormat="false" ht="15" hidden="false" customHeight="false" outlineLevel="0" collapsed="false">
      <c r="A142" s="35"/>
      <c r="B142" s="36" t="str">
        <f aca="false">IF(A142="","",MONTH(A142))</f>
        <v/>
      </c>
      <c r="C142" s="37"/>
      <c r="D142" s="37"/>
      <c r="E142" s="37"/>
      <c r="F142" s="37"/>
      <c r="G142" s="37"/>
      <c r="H142" s="37"/>
    </row>
    <row r="143" customFormat="false" ht="15" hidden="false" customHeight="false" outlineLevel="0" collapsed="false">
      <c r="A143" s="35"/>
      <c r="B143" s="36" t="str">
        <f aca="false">IF(A143="","",MONTH(A143))</f>
        <v/>
      </c>
      <c r="C143" s="37"/>
      <c r="D143" s="37"/>
      <c r="E143" s="37"/>
      <c r="F143" s="37"/>
      <c r="G143" s="37"/>
      <c r="H143" s="37"/>
    </row>
    <row r="144" customFormat="false" ht="15" hidden="false" customHeight="false" outlineLevel="0" collapsed="false">
      <c r="A144" s="35"/>
      <c r="B144" s="36" t="str">
        <f aca="false">IF(A144="","",MONTH(A144))</f>
        <v/>
      </c>
      <c r="C144" s="37"/>
      <c r="D144" s="37"/>
      <c r="E144" s="37"/>
      <c r="F144" s="37"/>
      <c r="G144" s="37"/>
      <c r="H144" s="37"/>
    </row>
    <row r="145" customFormat="false" ht="15" hidden="false" customHeight="false" outlineLevel="0" collapsed="false">
      <c r="A145" s="35"/>
      <c r="B145" s="36" t="str">
        <f aca="false">IF(A145="","",MONTH(A145))</f>
        <v/>
      </c>
      <c r="C145" s="37"/>
      <c r="D145" s="37"/>
      <c r="E145" s="37"/>
      <c r="F145" s="37"/>
      <c r="G145" s="37"/>
      <c r="H145" s="37"/>
    </row>
    <row r="146" customFormat="false" ht="15" hidden="false" customHeight="false" outlineLevel="0" collapsed="false">
      <c r="A146" s="35"/>
      <c r="B146" s="36" t="str">
        <f aca="false">IF(A146="","",MONTH(A146))</f>
        <v/>
      </c>
      <c r="C146" s="37"/>
      <c r="D146" s="37"/>
      <c r="E146" s="37"/>
      <c r="F146" s="37"/>
      <c r="G146" s="37"/>
      <c r="H146" s="37"/>
    </row>
    <row r="147" customFormat="false" ht="15" hidden="false" customHeight="false" outlineLevel="0" collapsed="false">
      <c r="A147" s="35"/>
      <c r="B147" s="36" t="str">
        <f aca="false">IF(A147="","",MONTH(A147))</f>
        <v/>
      </c>
      <c r="C147" s="37"/>
      <c r="D147" s="37"/>
      <c r="E147" s="37"/>
      <c r="F147" s="37"/>
      <c r="G147" s="37"/>
      <c r="H147" s="37"/>
    </row>
    <row r="148" customFormat="false" ht="15" hidden="false" customHeight="false" outlineLevel="0" collapsed="false">
      <c r="A148" s="35"/>
      <c r="B148" s="36" t="str">
        <f aca="false">IF(A148="","",MONTH(A148))</f>
        <v/>
      </c>
      <c r="C148" s="37"/>
      <c r="D148" s="37"/>
      <c r="E148" s="37"/>
      <c r="F148" s="37"/>
      <c r="G148" s="37"/>
      <c r="H148" s="37"/>
    </row>
    <row r="149" customFormat="false" ht="15" hidden="false" customHeight="false" outlineLevel="0" collapsed="false">
      <c r="A149" s="35"/>
      <c r="B149" s="36" t="str">
        <f aca="false">IF(A149="","",MONTH(A149))</f>
        <v/>
      </c>
      <c r="C149" s="37"/>
      <c r="D149" s="37"/>
      <c r="E149" s="37"/>
      <c r="F149" s="37"/>
      <c r="G149" s="37"/>
      <c r="H149" s="37"/>
    </row>
    <row r="150" customFormat="false" ht="15" hidden="false" customHeight="false" outlineLevel="0" collapsed="false">
      <c r="A150" s="35"/>
      <c r="B150" s="36" t="str">
        <f aca="false">IF(A150="","",MONTH(A150))</f>
        <v/>
      </c>
      <c r="C150" s="37"/>
      <c r="D150" s="37"/>
      <c r="E150" s="37"/>
      <c r="F150" s="37"/>
      <c r="G150" s="37"/>
      <c r="H150" s="37"/>
    </row>
    <row r="151" customFormat="false" ht="15" hidden="false" customHeight="false" outlineLevel="0" collapsed="false">
      <c r="A151" s="35"/>
      <c r="B151" s="36" t="str">
        <f aca="false">IF(A151="","",MONTH(A151))</f>
        <v/>
      </c>
      <c r="C151" s="37"/>
      <c r="D151" s="37"/>
      <c r="E151" s="37"/>
      <c r="F151" s="37"/>
      <c r="G151" s="37"/>
      <c r="H151" s="37"/>
    </row>
    <row r="152" customFormat="false" ht="15" hidden="false" customHeight="false" outlineLevel="0" collapsed="false">
      <c r="A152" s="35"/>
      <c r="B152" s="36" t="str">
        <f aca="false">IF(A152="","",MONTH(A152))</f>
        <v/>
      </c>
      <c r="C152" s="37"/>
      <c r="D152" s="37"/>
      <c r="E152" s="37"/>
      <c r="F152" s="37"/>
      <c r="G152" s="37"/>
      <c r="H152" s="37"/>
    </row>
    <row r="153" customFormat="false" ht="15" hidden="false" customHeight="false" outlineLevel="0" collapsed="false">
      <c r="A153" s="35"/>
      <c r="B153" s="36" t="str">
        <f aca="false">IF(A153="","",MONTH(A153))</f>
        <v/>
      </c>
      <c r="C153" s="37"/>
      <c r="D153" s="37"/>
      <c r="E153" s="37"/>
      <c r="F153" s="37"/>
      <c r="G153" s="37"/>
      <c r="H153" s="37"/>
    </row>
    <row r="154" customFormat="false" ht="15" hidden="false" customHeight="false" outlineLevel="0" collapsed="false">
      <c r="A154" s="35"/>
      <c r="B154" s="36" t="str">
        <f aca="false">IF(A154="","",MONTH(A154))</f>
        <v/>
      </c>
      <c r="C154" s="37"/>
      <c r="D154" s="37"/>
      <c r="E154" s="37"/>
      <c r="F154" s="37"/>
      <c r="G154" s="37"/>
      <c r="H154" s="37"/>
    </row>
    <row r="155" customFormat="false" ht="15" hidden="false" customHeight="false" outlineLevel="0" collapsed="false">
      <c r="A155" s="35"/>
      <c r="B155" s="36" t="str">
        <f aca="false">IF(A155="","",MONTH(A155))</f>
        <v/>
      </c>
      <c r="C155" s="37"/>
      <c r="D155" s="37"/>
      <c r="E155" s="37"/>
      <c r="F155" s="37"/>
      <c r="G155" s="37"/>
      <c r="H155" s="37"/>
    </row>
    <row r="156" customFormat="false" ht="15" hidden="false" customHeight="false" outlineLevel="0" collapsed="false">
      <c r="A156" s="35"/>
      <c r="B156" s="36" t="str">
        <f aca="false">IF(A156="","",MONTH(A156))</f>
        <v/>
      </c>
      <c r="C156" s="37"/>
      <c r="D156" s="37"/>
      <c r="E156" s="37"/>
      <c r="F156" s="37"/>
      <c r="G156" s="37"/>
      <c r="H156" s="37"/>
    </row>
    <row r="157" customFormat="false" ht="15" hidden="false" customHeight="false" outlineLevel="0" collapsed="false">
      <c r="A157" s="35"/>
      <c r="B157" s="36" t="str">
        <f aca="false">IF(A157="","",MONTH(A157))</f>
        <v/>
      </c>
      <c r="C157" s="37"/>
      <c r="D157" s="37"/>
      <c r="E157" s="37"/>
      <c r="F157" s="37"/>
      <c r="G157" s="37"/>
      <c r="H157" s="37"/>
    </row>
    <row r="158" customFormat="false" ht="15" hidden="false" customHeight="false" outlineLevel="0" collapsed="false">
      <c r="A158" s="35"/>
      <c r="B158" s="36" t="str">
        <f aca="false">IF(A158="","",MONTH(A158))</f>
        <v/>
      </c>
      <c r="C158" s="37"/>
      <c r="D158" s="37"/>
      <c r="E158" s="37"/>
      <c r="F158" s="37"/>
      <c r="G158" s="37"/>
      <c r="H158" s="37"/>
    </row>
    <row r="159" customFormat="false" ht="15" hidden="false" customHeight="false" outlineLevel="0" collapsed="false">
      <c r="A159" s="35"/>
      <c r="B159" s="36" t="str">
        <f aca="false">IF(A159="","",MONTH(A159))</f>
        <v/>
      </c>
      <c r="C159" s="37"/>
      <c r="D159" s="37"/>
      <c r="E159" s="37"/>
      <c r="F159" s="37"/>
      <c r="G159" s="37"/>
      <c r="H159" s="37"/>
    </row>
    <row r="160" customFormat="false" ht="15" hidden="false" customHeight="false" outlineLevel="0" collapsed="false">
      <c r="A160" s="35"/>
      <c r="B160" s="36" t="str">
        <f aca="false">IF(A160="","",MONTH(A160))</f>
        <v/>
      </c>
      <c r="C160" s="37"/>
      <c r="D160" s="37"/>
      <c r="E160" s="37"/>
      <c r="F160" s="37"/>
      <c r="G160" s="37"/>
      <c r="H160" s="37"/>
    </row>
    <row r="161" customFormat="false" ht="15" hidden="false" customHeight="false" outlineLevel="0" collapsed="false">
      <c r="A161" s="35"/>
      <c r="B161" s="36" t="str">
        <f aca="false">IF(A161="","",MONTH(A161))</f>
        <v/>
      </c>
      <c r="C161" s="37"/>
      <c r="D161" s="37"/>
      <c r="E161" s="37"/>
      <c r="F161" s="37"/>
      <c r="G161" s="37"/>
      <c r="H161" s="37"/>
    </row>
    <row r="162" customFormat="false" ht="15" hidden="false" customHeight="false" outlineLevel="0" collapsed="false">
      <c r="A162" s="35"/>
      <c r="B162" s="36" t="str">
        <f aca="false">IF(A162="","",MONTH(A162))</f>
        <v/>
      </c>
      <c r="C162" s="37"/>
      <c r="D162" s="37"/>
      <c r="E162" s="37"/>
      <c r="F162" s="37"/>
      <c r="G162" s="37"/>
      <c r="H162" s="37"/>
    </row>
    <row r="163" customFormat="false" ht="15" hidden="false" customHeight="false" outlineLevel="0" collapsed="false">
      <c r="A163" s="35"/>
      <c r="B163" s="36" t="str">
        <f aca="false">IF(A163="","",MONTH(A163))</f>
        <v/>
      </c>
      <c r="C163" s="37"/>
      <c r="D163" s="37"/>
      <c r="E163" s="37"/>
      <c r="F163" s="37"/>
      <c r="G163" s="37"/>
      <c r="H163" s="37"/>
    </row>
    <row r="164" customFormat="false" ht="15" hidden="false" customHeight="false" outlineLevel="0" collapsed="false">
      <c r="A164" s="35"/>
      <c r="B164" s="36" t="str">
        <f aca="false">IF(A164="","",MONTH(A164))</f>
        <v/>
      </c>
      <c r="C164" s="37"/>
      <c r="D164" s="37"/>
      <c r="E164" s="37"/>
      <c r="F164" s="37"/>
      <c r="G164" s="37"/>
      <c r="H164" s="37"/>
    </row>
    <row r="165" customFormat="false" ht="15" hidden="false" customHeight="false" outlineLevel="0" collapsed="false">
      <c r="A165" s="35"/>
      <c r="B165" s="36" t="str">
        <f aca="false">IF(A165="","",MONTH(A165))</f>
        <v/>
      </c>
      <c r="C165" s="37"/>
      <c r="D165" s="37"/>
      <c r="E165" s="37"/>
      <c r="F165" s="37"/>
      <c r="G165" s="37"/>
      <c r="H165" s="37"/>
    </row>
    <row r="166" customFormat="false" ht="15" hidden="false" customHeight="false" outlineLevel="0" collapsed="false">
      <c r="A166" s="35"/>
      <c r="B166" s="36" t="str">
        <f aca="false">IF(A166="","",MONTH(A166))</f>
        <v/>
      </c>
      <c r="C166" s="37"/>
      <c r="D166" s="37"/>
      <c r="E166" s="37"/>
      <c r="F166" s="37"/>
      <c r="G166" s="37"/>
      <c r="H166" s="37"/>
    </row>
    <row r="167" customFormat="false" ht="15" hidden="false" customHeight="false" outlineLevel="0" collapsed="false">
      <c r="A167" s="35"/>
      <c r="B167" s="36" t="str">
        <f aca="false">IF(A167="","",MONTH(A167))</f>
        <v/>
      </c>
      <c r="C167" s="37"/>
      <c r="D167" s="37"/>
      <c r="E167" s="37"/>
      <c r="F167" s="37"/>
      <c r="G167" s="37"/>
      <c r="H167" s="37"/>
    </row>
    <row r="168" customFormat="false" ht="15" hidden="false" customHeight="false" outlineLevel="0" collapsed="false">
      <c r="A168" s="35"/>
      <c r="B168" s="36" t="str">
        <f aca="false">IF(A168="","",MONTH(A168))</f>
        <v/>
      </c>
      <c r="C168" s="37"/>
      <c r="D168" s="37"/>
      <c r="E168" s="37"/>
      <c r="F168" s="37"/>
      <c r="G168" s="37"/>
      <c r="H168" s="37"/>
    </row>
    <row r="169" customFormat="false" ht="15" hidden="false" customHeight="false" outlineLevel="0" collapsed="false">
      <c r="A169" s="35"/>
      <c r="B169" s="36" t="str">
        <f aca="false">IF(A169="","",MONTH(A169))</f>
        <v/>
      </c>
      <c r="C169" s="37"/>
      <c r="D169" s="37"/>
      <c r="E169" s="37"/>
      <c r="F169" s="37"/>
      <c r="G169" s="37"/>
      <c r="H169" s="37"/>
    </row>
    <row r="170" customFormat="false" ht="15" hidden="false" customHeight="false" outlineLevel="0" collapsed="false">
      <c r="A170" s="35"/>
      <c r="B170" s="36" t="str">
        <f aca="false">IF(A170="","",MONTH(A170))</f>
        <v/>
      </c>
      <c r="C170" s="37"/>
      <c r="D170" s="37"/>
      <c r="E170" s="37"/>
      <c r="F170" s="37"/>
      <c r="G170" s="37"/>
      <c r="H170" s="37"/>
    </row>
    <row r="171" customFormat="false" ht="15" hidden="false" customHeight="false" outlineLevel="0" collapsed="false">
      <c r="A171" s="35"/>
      <c r="B171" s="36" t="str">
        <f aca="false">IF(A171="","",MONTH(A171))</f>
        <v/>
      </c>
      <c r="C171" s="37"/>
      <c r="D171" s="37"/>
      <c r="E171" s="37"/>
      <c r="F171" s="37"/>
      <c r="G171" s="37"/>
      <c r="H171" s="37"/>
    </row>
    <row r="172" customFormat="false" ht="15" hidden="false" customHeight="false" outlineLevel="0" collapsed="false">
      <c r="A172" s="35"/>
      <c r="B172" s="36" t="str">
        <f aca="false">IF(A172="","",MONTH(A172))</f>
        <v/>
      </c>
      <c r="C172" s="37"/>
      <c r="D172" s="37"/>
      <c r="E172" s="37"/>
      <c r="F172" s="37"/>
      <c r="G172" s="37"/>
      <c r="H172" s="37"/>
    </row>
    <row r="173" customFormat="false" ht="15" hidden="false" customHeight="false" outlineLevel="0" collapsed="false">
      <c r="A173" s="35"/>
      <c r="B173" s="36" t="str">
        <f aca="false">IF(A173="","",MONTH(A173))</f>
        <v/>
      </c>
      <c r="C173" s="37"/>
      <c r="D173" s="37"/>
      <c r="E173" s="37"/>
      <c r="F173" s="37"/>
      <c r="G173" s="37"/>
      <c r="H173" s="37"/>
    </row>
    <row r="174" customFormat="false" ht="15" hidden="false" customHeight="false" outlineLevel="0" collapsed="false">
      <c r="A174" s="35"/>
      <c r="B174" s="36" t="str">
        <f aca="false">IF(A174="","",MONTH(A174))</f>
        <v/>
      </c>
      <c r="C174" s="37"/>
      <c r="D174" s="37"/>
      <c r="E174" s="37"/>
      <c r="F174" s="37"/>
      <c r="G174" s="37"/>
      <c r="H174" s="37"/>
    </row>
    <row r="175" customFormat="false" ht="15" hidden="false" customHeight="false" outlineLevel="0" collapsed="false">
      <c r="A175" s="35"/>
      <c r="B175" s="36" t="str">
        <f aca="false">IF(A175="","",MONTH(A175))</f>
        <v/>
      </c>
      <c r="C175" s="37"/>
      <c r="D175" s="37"/>
      <c r="E175" s="37"/>
      <c r="F175" s="37"/>
      <c r="G175" s="37"/>
      <c r="H175" s="37"/>
    </row>
    <row r="176" customFormat="false" ht="15" hidden="false" customHeight="false" outlineLevel="0" collapsed="false">
      <c r="A176" s="35"/>
      <c r="B176" s="36" t="str">
        <f aca="false">IF(A176="","",MONTH(A176))</f>
        <v/>
      </c>
      <c r="C176" s="37"/>
      <c r="D176" s="37"/>
      <c r="E176" s="37"/>
      <c r="F176" s="37"/>
      <c r="G176" s="37"/>
      <c r="H176" s="37"/>
    </row>
    <row r="177" customFormat="false" ht="15" hidden="false" customHeight="false" outlineLevel="0" collapsed="false">
      <c r="A177" s="35"/>
      <c r="B177" s="36" t="str">
        <f aca="false">IF(A177="","",MONTH(A177))</f>
        <v/>
      </c>
      <c r="C177" s="37"/>
      <c r="D177" s="37"/>
      <c r="E177" s="37"/>
      <c r="F177" s="37"/>
      <c r="G177" s="37"/>
      <c r="H177" s="37"/>
    </row>
    <row r="178" customFormat="false" ht="15" hidden="false" customHeight="false" outlineLevel="0" collapsed="false">
      <c r="A178" s="35"/>
      <c r="B178" s="36" t="str">
        <f aca="false">IF(A178="","",MONTH(A178))</f>
        <v/>
      </c>
      <c r="C178" s="37"/>
      <c r="D178" s="37"/>
      <c r="E178" s="37"/>
      <c r="F178" s="37"/>
      <c r="G178" s="37"/>
      <c r="H178" s="37"/>
    </row>
    <row r="179" customFormat="false" ht="15" hidden="false" customHeight="false" outlineLevel="0" collapsed="false">
      <c r="A179" s="35"/>
      <c r="B179" s="36" t="str">
        <f aca="false">IF(A179="","",MONTH(A179))</f>
        <v/>
      </c>
      <c r="C179" s="37"/>
      <c r="D179" s="37"/>
      <c r="E179" s="37"/>
      <c r="F179" s="37"/>
      <c r="G179" s="37"/>
      <c r="H179" s="37"/>
    </row>
    <row r="180" customFormat="false" ht="15" hidden="false" customHeight="false" outlineLevel="0" collapsed="false">
      <c r="A180" s="35"/>
      <c r="B180" s="36" t="str">
        <f aca="false">IF(A180="","",MONTH(A180))</f>
        <v/>
      </c>
      <c r="C180" s="37"/>
      <c r="D180" s="37"/>
      <c r="E180" s="37"/>
      <c r="F180" s="37"/>
      <c r="G180" s="37"/>
      <c r="H180" s="37"/>
    </row>
    <row r="181" customFormat="false" ht="15" hidden="false" customHeight="false" outlineLevel="0" collapsed="false">
      <c r="A181" s="35"/>
      <c r="B181" s="36" t="str">
        <f aca="false">IF(A181="","",MONTH(A181))</f>
        <v/>
      </c>
      <c r="C181" s="37"/>
      <c r="D181" s="37"/>
      <c r="E181" s="37"/>
      <c r="F181" s="37"/>
      <c r="G181" s="37"/>
      <c r="H181" s="37"/>
    </row>
    <row r="182" customFormat="false" ht="15" hidden="false" customHeight="false" outlineLevel="0" collapsed="false">
      <c r="A182" s="35"/>
      <c r="B182" s="36" t="str">
        <f aca="false">IF(A182="","",MONTH(A182))</f>
        <v/>
      </c>
      <c r="C182" s="37"/>
      <c r="D182" s="37"/>
      <c r="E182" s="37"/>
      <c r="F182" s="37"/>
      <c r="G182" s="37"/>
      <c r="H182" s="37"/>
    </row>
    <row r="183" customFormat="false" ht="15" hidden="false" customHeight="false" outlineLevel="0" collapsed="false">
      <c r="A183" s="35"/>
      <c r="B183" s="36" t="str">
        <f aca="false">IF(A183="","",MONTH(A183))</f>
        <v/>
      </c>
      <c r="C183" s="37"/>
      <c r="D183" s="37"/>
      <c r="E183" s="37"/>
      <c r="F183" s="37"/>
      <c r="G183" s="37"/>
      <c r="H183" s="37"/>
    </row>
    <row r="184" customFormat="false" ht="15" hidden="false" customHeight="false" outlineLevel="0" collapsed="false">
      <c r="A184" s="35"/>
      <c r="B184" s="36" t="str">
        <f aca="false">IF(A184="","",MONTH(A184))</f>
        <v/>
      </c>
      <c r="C184" s="37"/>
      <c r="D184" s="37"/>
      <c r="E184" s="37"/>
      <c r="F184" s="37"/>
      <c r="G184" s="37"/>
      <c r="H184" s="37"/>
    </row>
    <row r="185" customFormat="false" ht="15" hidden="false" customHeight="false" outlineLevel="0" collapsed="false">
      <c r="A185" s="35"/>
      <c r="B185" s="36" t="str">
        <f aca="false">IF(A185="","",MONTH(A185))</f>
        <v/>
      </c>
      <c r="C185" s="37"/>
      <c r="D185" s="37"/>
      <c r="E185" s="37"/>
      <c r="F185" s="37"/>
      <c r="G185" s="37"/>
      <c r="H185" s="37"/>
    </row>
    <row r="186" customFormat="false" ht="15" hidden="false" customHeight="false" outlineLevel="0" collapsed="false">
      <c r="A186" s="35"/>
      <c r="B186" s="36" t="str">
        <f aca="false">IF(A186="","",MONTH(A186))</f>
        <v/>
      </c>
      <c r="C186" s="37"/>
      <c r="D186" s="37"/>
      <c r="E186" s="37"/>
      <c r="F186" s="37"/>
      <c r="G186" s="37"/>
      <c r="H186" s="37"/>
    </row>
    <row r="187" customFormat="false" ht="15" hidden="false" customHeight="false" outlineLevel="0" collapsed="false">
      <c r="A187" s="35"/>
      <c r="B187" s="36" t="str">
        <f aca="false">IF(A187="","",MONTH(A187))</f>
        <v/>
      </c>
      <c r="C187" s="37"/>
      <c r="D187" s="37"/>
      <c r="E187" s="37"/>
      <c r="F187" s="37"/>
      <c r="G187" s="37"/>
      <c r="H187" s="37"/>
    </row>
    <row r="188" customFormat="false" ht="15" hidden="false" customHeight="false" outlineLevel="0" collapsed="false">
      <c r="A188" s="35"/>
      <c r="B188" s="36" t="str">
        <f aca="false">IF(A188="","",MONTH(A188))</f>
        <v/>
      </c>
      <c r="C188" s="37"/>
      <c r="D188" s="37"/>
      <c r="E188" s="37"/>
      <c r="F188" s="37"/>
      <c r="G188" s="37"/>
      <c r="H188" s="37"/>
    </row>
    <row r="189" customFormat="false" ht="15" hidden="false" customHeight="false" outlineLevel="0" collapsed="false">
      <c r="A189" s="35"/>
      <c r="B189" s="36" t="str">
        <f aca="false">IF(A189="","",MONTH(A189))</f>
        <v/>
      </c>
      <c r="C189" s="37"/>
      <c r="D189" s="37"/>
      <c r="E189" s="37"/>
      <c r="F189" s="37"/>
      <c r="G189" s="37"/>
      <c r="H189" s="37"/>
    </row>
    <row r="190" customFormat="false" ht="15" hidden="false" customHeight="false" outlineLevel="0" collapsed="false">
      <c r="A190" s="35"/>
      <c r="B190" s="36" t="str">
        <f aca="false">IF(A190="","",MONTH(A190))</f>
        <v/>
      </c>
      <c r="C190" s="37"/>
      <c r="D190" s="37"/>
      <c r="E190" s="37"/>
      <c r="F190" s="37"/>
      <c r="G190" s="37"/>
      <c r="H190" s="37"/>
    </row>
    <row r="191" customFormat="false" ht="15" hidden="false" customHeight="false" outlineLevel="0" collapsed="false">
      <c r="A191" s="35"/>
      <c r="B191" s="36" t="str">
        <f aca="false">IF(A191="","",MONTH(A191))</f>
        <v/>
      </c>
      <c r="C191" s="37"/>
      <c r="D191" s="37"/>
      <c r="E191" s="37"/>
      <c r="F191" s="37"/>
      <c r="G191" s="37"/>
      <c r="H191" s="37"/>
    </row>
    <row r="192" customFormat="false" ht="15" hidden="false" customHeight="false" outlineLevel="0" collapsed="false">
      <c r="A192" s="35"/>
      <c r="B192" s="36" t="str">
        <f aca="false">IF(A192="","",MONTH(A192))</f>
        <v/>
      </c>
      <c r="C192" s="37"/>
      <c r="D192" s="37"/>
      <c r="E192" s="37"/>
      <c r="F192" s="37"/>
      <c r="G192" s="37"/>
      <c r="H192" s="37"/>
    </row>
    <row r="193" customFormat="false" ht="15" hidden="false" customHeight="false" outlineLevel="0" collapsed="false">
      <c r="A193" s="35"/>
      <c r="B193" s="36" t="str">
        <f aca="false">IF(A193="","",MONTH(A193))</f>
        <v/>
      </c>
      <c r="C193" s="37"/>
      <c r="D193" s="37"/>
      <c r="E193" s="37"/>
      <c r="F193" s="37"/>
      <c r="G193" s="37"/>
      <c r="H193" s="37"/>
    </row>
    <row r="194" customFormat="false" ht="15" hidden="false" customHeight="false" outlineLevel="0" collapsed="false">
      <c r="A194" s="35"/>
      <c r="B194" s="36" t="str">
        <f aca="false">IF(A194="","",MONTH(A194))</f>
        <v/>
      </c>
      <c r="C194" s="37"/>
      <c r="D194" s="37"/>
      <c r="E194" s="37"/>
      <c r="F194" s="37"/>
      <c r="G194" s="37"/>
      <c r="H194" s="37"/>
    </row>
    <row r="195" customFormat="false" ht="15" hidden="false" customHeight="false" outlineLevel="0" collapsed="false">
      <c r="A195" s="35"/>
      <c r="B195" s="36" t="str">
        <f aca="false">IF(A195="","",MONTH(A195))</f>
        <v/>
      </c>
      <c r="C195" s="37"/>
      <c r="D195" s="37"/>
      <c r="E195" s="37"/>
      <c r="F195" s="37"/>
      <c r="G195" s="37"/>
      <c r="H195" s="37"/>
    </row>
    <row r="196" customFormat="false" ht="15" hidden="false" customHeight="false" outlineLevel="0" collapsed="false">
      <c r="A196" s="35"/>
      <c r="B196" s="36" t="str">
        <f aca="false">IF(A196="","",MONTH(A196))</f>
        <v/>
      </c>
      <c r="C196" s="37"/>
      <c r="D196" s="37"/>
      <c r="E196" s="37"/>
      <c r="F196" s="37"/>
      <c r="G196" s="37"/>
      <c r="H196" s="37"/>
    </row>
    <row r="197" customFormat="false" ht="15" hidden="false" customHeight="false" outlineLevel="0" collapsed="false">
      <c r="A197" s="35"/>
      <c r="B197" s="36" t="str">
        <f aca="false">IF(A197="","",MONTH(A197))</f>
        <v/>
      </c>
      <c r="C197" s="37"/>
      <c r="D197" s="37"/>
      <c r="E197" s="37"/>
      <c r="F197" s="37"/>
      <c r="G197" s="37"/>
      <c r="H197" s="37"/>
    </row>
    <row r="198" customFormat="false" ht="15" hidden="false" customHeight="false" outlineLevel="0" collapsed="false">
      <c r="A198" s="35"/>
      <c r="B198" s="36" t="str">
        <f aca="false">IF(A198="","",MONTH(A198))</f>
        <v/>
      </c>
      <c r="C198" s="37"/>
      <c r="D198" s="37"/>
      <c r="E198" s="37"/>
      <c r="F198" s="37"/>
      <c r="G198" s="37"/>
      <c r="H198" s="37"/>
    </row>
    <row r="199" customFormat="false" ht="15" hidden="false" customHeight="false" outlineLevel="0" collapsed="false">
      <c r="A199" s="35"/>
      <c r="B199" s="36" t="str">
        <f aca="false">IF(A199="","",MONTH(A199))</f>
        <v/>
      </c>
      <c r="C199" s="37"/>
      <c r="D199" s="37"/>
      <c r="E199" s="37"/>
      <c r="F199" s="37"/>
      <c r="G199" s="37"/>
      <c r="H199" s="37"/>
    </row>
    <row r="200" customFormat="false" ht="15" hidden="false" customHeight="false" outlineLevel="0" collapsed="false">
      <c r="A200" s="35"/>
      <c r="B200" s="36" t="str">
        <f aca="false">IF(A200="","",MONTH(A200))</f>
        <v/>
      </c>
      <c r="C200" s="37"/>
      <c r="D200" s="37"/>
      <c r="E200" s="37"/>
      <c r="F200" s="37"/>
      <c r="G200" s="37"/>
      <c r="H200" s="37"/>
    </row>
    <row r="201" customFormat="false" ht="15" hidden="false" customHeight="false" outlineLevel="0" collapsed="false">
      <c r="A201" s="35"/>
      <c r="B201" s="36" t="str">
        <f aca="false">IF(A201="","",MONTH(A201))</f>
        <v/>
      </c>
      <c r="C201" s="37"/>
      <c r="D201" s="37"/>
      <c r="E201" s="37"/>
      <c r="F201" s="37"/>
      <c r="G201" s="37"/>
      <c r="H201" s="37"/>
    </row>
    <row r="202" customFormat="false" ht="15" hidden="false" customHeight="false" outlineLevel="0" collapsed="false">
      <c r="A202" s="35"/>
      <c r="B202" s="36" t="str">
        <f aca="false">IF(A202="","",MONTH(A202))</f>
        <v/>
      </c>
      <c r="C202" s="37"/>
      <c r="D202" s="37"/>
      <c r="E202" s="37"/>
      <c r="F202" s="37"/>
      <c r="G202" s="37"/>
      <c r="H202" s="37"/>
    </row>
    <row r="203" customFormat="false" ht="15" hidden="false" customHeight="false" outlineLevel="0" collapsed="false">
      <c r="A203" s="35"/>
      <c r="B203" s="36" t="str">
        <f aca="false">IF(A203="","",MONTH(A203))</f>
        <v/>
      </c>
      <c r="C203" s="37"/>
      <c r="D203" s="37"/>
      <c r="E203" s="37"/>
      <c r="F203" s="37"/>
      <c r="G203" s="37"/>
      <c r="H203" s="37"/>
    </row>
    <row r="204" customFormat="false" ht="15" hidden="false" customHeight="false" outlineLevel="0" collapsed="false">
      <c r="A204" s="35"/>
      <c r="B204" s="36" t="str">
        <f aca="false">IF(A204="","",MONTH(A204))</f>
        <v/>
      </c>
      <c r="C204" s="37"/>
      <c r="D204" s="37"/>
      <c r="E204" s="37"/>
      <c r="F204" s="37"/>
      <c r="G204" s="37"/>
      <c r="H204" s="37"/>
    </row>
    <row r="205" customFormat="false" ht="15" hidden="false" customHeight="false" outlineLevel="0" collapsed="false">
      <c r="A205" s="35"/>
      <c r="B205" s="36" t="str">
        <f aca="false">IF(A205="","",MONTH(A205))</f>
        <v/>
      </c>
      <c r="C205" s="37"/>
      <c r="D205" s="37"/>
      <c r="E205" s="37"/>
      <c r="F205" s="37"/>
      <c r="G205" s="37"/>
      <c r="H205" s="37"/>
    </row>
    <row r="206" customFormat="false" ht="15" hidden="false" customHeight="false" outlineLevel="0" collapsed="false">
      <c r="A206" s="35"/>
      <c r="B206" s="36" t="str">
        <f aca="false">IF(A206="","",MONTH(A206))</f>
        <v/>
      </c>
      <c r="C206" s="37"/>
      <c r="D206" s="37"/>
      <c r="E206" s="37"/>
      <c r="F206" s="37"/>
      <c r="G206" s="37"/>
      <c r="H206" s="37"/>
    </row>
    <row r="207" customFormat="false" ht="15" hidden="false" customHeight="false" outlineLevel="0" collapsed="false">
      <c r="A207" s="35"/>
      <c r="B207" s="36" t="str">
        <f aca="false">IF(A207="","",MONTH(A207))</f>
        <v/>
      </c>
      <c r="C207" s="37"/>
      <c r="D207" s="37"/>
      <c r="E207" s="37"/>
      <c r="F207" s="37"/>
      <c r="G207" s="37"/>
      <c r="H207" s="37"/>
    </row>
    <row r="208" customFormat="false" ht="15" hidden="false" customHeight="false" outlineLevel="0" collapsed="false">
      <c r="A208" s="35"/>
      <c r="B208" s="36" t="str">
        <f aca="false">IF(A208="","",MONTH(A208))</f>
        <v/>
      </c>
      <c r="C208" s="37"/>
      <c r="D208" s="37"/>
      <c r="E208" s="37"/>
      <c r="F208" s="37"/>
      <c r="G208" s="37"/>
      <c r="H208" s="37"/>
    </row>
    <row r="209" customFormat="false" ht="15" hidden="false" customHeight="false" outlineLevel="0" collapsed="false">
      <c r="A209" s="35"/>
      <c r="B209" s="36" t="str">
        <f aca="false">IF(A209="","",MONTH(A209))</f>
        <v/>
      </c>
      <c r="C209" s="37"/>
      <c r="D209" s="37"/>
      <c r="E209" s="37"/>
      <c r="F209" s="37"/>
      <c r="G209" s="37"/>
      <c r="H209" s="37"/>
    </row>
    <row r="210" customFormat="false" ht="15" hidden="false" customHeight="false" outlineLevel="0" collapsed="false">
      <c r="A210" s="35"/>
      <c r="B210" s="36" t="str">
        <f aca="false">IF(A210="","",MONTH(A210))</f>
        <v/>
      </c>
      <c r="C210" s="37"/>
      <c r="D210" s="37"/>
      <c r="E210" s="37"/>
      <c r="F210" s="37"/>
      <c r="G210" s="37"/>
      <c r="H210" s="37"/>
    </row>
    <row r="211" customFormat="false" ht="15" hidden="false" customHeight="false" outlineLevel="0" collapsed="false">
      <c r="A211" s="35"/>
      <c r="B211" s="36" t="str">
        <f aca="false">IF(A211="","",MONTH(A211))</f>
        <v/>
      </c>
      <c r="C211" s="37"/>
      <c r="D211" s="37"/>
      <c r="E211" s="37"/>
      <c r="F211" s="37"/>
      <c r="G211" s="37"/>
      <c r="H211" s="37"/>
    </row>
    <row r="212" customFormat="false" ht="15" hidden="false" customHeight="false" outlineLevel="0" collapsed="false">
      <c r="A212" s="35"/>
      <c r="B212" s="36" t="str">
        <f aca="false">IF(A212="","",MONTH(A212))</f>
        <v/>
      </c>
      <c r="C212" s="37"/>
      <c r="D212" s="37"/>
      <c r="E212" s="37"/>
      <c r="F212" s="37"/>
      <c r="G212" s="37"/>
      <c r="H212" s="37"/>
    </row>
    <row r="213" customFormat="false" ht="15" hidden="false" customHeight="false" outlineLevel="0" collapsed="false">
      <c r="A213" s="35"/>
      <c r="B213" s="36" t="str">
        <f aca="false">IF(A213="","",MONTH(A213))</f>
        <v/>
      </c>
      <c r="C213" s="37"/>
      <c r="D213" s="37"/>
      <c r="E213" s="37"/>
      <c r="F213" s="37"/>
      <c r="G213" s="37"/>
      <c r="H213" s="37"/>
    </row>
    <row r="214" customFormat="false" ht="15" hidden="false" customHeight="false" outlineLevel="0" collapsed="false">
      <c r="A214" s="35"/>
      <c r="B214" s="36" t="str">
        <f aca="false">IF(A214="","",MONTH(A214))</f>
        <v/>
      </c>
      <c r="C214" s="37"/>
      <c r="D214" s="37"/>
      <c r="E214" s="37"/>
      <c r="F214" s="37"/>
      <c r="G214" s="37"/>
      <c r="H214" s="37"/>
    </row>
    <row r="215" customFormat="false" ht="15" hidden="false" customHeight="false" outlineLevel="0" collapsed="false">
      <c r="A215" s="35"/>
      <c r="B215" s="36" t="str">
        <f aca="false">IF(A215="","",MONTH(A215))</f>
        <v/>
      </c>
      <c r="C215" s="37"/>
      <c r="D215" s="37"/>
      <c r="E215" s="37"/>
      <c r="F215" s="37"/>
      <c r="G215" s="37"/>
      <c r="H215" s="37"/>
    </row>
    <row r="216" customFormat="false" ht="15" hidden="false" customHeight="false" outlineLevel="0" collapsed="false">
      <c r="A216" s="35"/>
      <c r="B216" s="36" t="str">
        <f aca="false">IF(A216="","",MONTH(A216))</f>
        <v/>
      </c>
      <c r="C216" s="37"/>
      <c r="D216" s="37"/>
      <c r="E216" s="37"/>
      <c r="F216" s="37"/>
      <c r="G216" s="37"/>
      <c r="H216" s="37"/>
    </row>
    <row r="217" customFormat="false" ht="15" hidden="false" customHeight="false" outlineLevel="0" collapsed="false">
      <c r="A217" s="35"/>
      <c r="B217" s="36" t="str">
        <f aca="false">IF(A217="","",MONTH(A217))</f>
        <v/>
      </c>
      <c r="C217" s="37"/>
      <c r="D217" s="37"/>
      <c r="E217" s="37"/>
      <c r="F217" s="37"/>
      <c r="G217" s="37"/>
      <c r="H217" s="37"/>
    </row>
    <row r="218" customFormat="false" ht="15" hidden="false" customHeight="false" outlineLevel="0" collapsed="false">
      <c r="A218" s="35"/>
      <c r="B218" s="36" t="str">
        <f aca="false">IF(A218="","",MONTH(A218))</f>
        <v/>
      </c>
      <c r="C218" s="37"/>
      <c r="D218" s="37"/>
      <c r="E218" s="37"/>
      <c r="F218" s="37"/>
      <c r="G218" s="37"/>
      <c r="H218" s="37"/>
    </row>
    <row r="219" customFormat="false" ht="15" hidden="false" customHeight="false" outlineLevel="0" collapsed="false">
      <c r="A219" s="35"/>
      <c r="B219" s="36" t="str">
        <f aca="false">IF(A219="","",MONTH(A219))</f>
        <v/>
      </c>
      <c r="C219" s="37"/>
      <c r="D219" s="37"/>
      <c r="E219" s="37"/>
      <c r="F219" s="37"/>
      <c r="G219" s="37"/>
      <c r="H219" s="37"/>
    </row>
    <row r="220" customFormat="false" ht="15" hidden="false" customHeight="false" outlineLevel="0" collapsed="false">
      <c r="A220" s="35"/>
      <c r="B220" s="36" t="str">
        <f aca="false">IF(A220="","",MONTH(A220))</f>
        <v/>
      </c>
      <c r="C220" s="37"/>
      <c r="D220" s="37"/>
      <c r="E220" s="37"/>
      <c r="F220" s="37"/>
      <c r="G220" s="37"/>
      <c r="H220" s="37"/>
    </row>
    <row r="221" customFormat="false" ht="15" hidden="false" customHeight="false" outlineLevel="0" collapsed="false">
      <c r="A221" s="35"/>
      <c r="B221" s="36" t="str">
        <f aca="false">IF(A221="","",MONTH(A221))</f>
        <v/>
      </c>
      <c r="C221" s="37"/>
      <c r="D221" s="37"/>
      <c r="E221" s="37"/>
      <c r="F221" s="37"/>
      <c r="G221" s="37"/>
      <c r="H221" s="37"/>
    </row>
    <row r="222" customFormat="false" ht="15" hidden="false" customHeight="false" outlineLevel="0" collapsed="false">
      <c r="A222" s="35"/>
      <c r="B222" s="36" t="str">
        <f aca="false">IF(A222="","",MONTH(A222))</f>
        <v/>
      </c>
      <c r="C222" s="37"/>
      <c r="D222" s="37"/>
      <c r="E222" s="37"/>
      <c r="F222" s="37"/>
      <c r="G222" s="37"/>
      <c r="H222" s="37"/>
    </row>
    <row r="223" customFormat="false" ht="15" hidden="false" customHeight="false" outlineLevel="0" collapsed="false">
      <c r="A223" s="35"/>
      <c r="B223" s="36" t="str">
        <f aca="false">IF(A223="","",MONTH(A223))</f>
        <v/>
      </c>
      <c r="C223" s="37"/>
      <c r="D223" s="37"/>
      <c r="E223" s="37"/>
      <c r="F223" s="37"/>
      <c r="G223" s="37"/>
      <c r="H223" s="37"/>
    </row>
    <row r="224" customFormat="false" ht="15" hidden="false" customHeight="false" outlineLevel="0" collapsed="false">
      <c r="A224" s="35"/>
      <c r="B224" s="36" t="str">
        <f aca="false">IF(A224="","",MONTH(A224))</f>
        <v/>
      </c>
      <c r="C224" s="37"/>
      <c r="D224" s="37"/>
      <c r="E224" s="37"/>
      <c r="F224" s="37"/>
      <c r="G224" s="37"/>
      <c r="H224" s="37"/>
    </row>
    <row r="225" customFormat="false" ht="15" hidden="false" customHeight="false" outlineLevel="0" collapsed="false">
      <c r="A225" s="35"/>
      <c r="B225" s="36" t="str">
        <f aca="false">IF(A225="","",MONTH(A225))</f>
        <v/>
      </c>
      <c r="C225" s="37"/>
      <c r="D225" s="37"/>
      <c r="E225" s="37"/>
      <c r="F225" s="37"/>
      <c r="G225" s="37"/>
      <c r="H225" s="37"/>
    </row>
    <row r="226" customFormat="false" ht="15" hidden="false" customHeight="false" outlineLevel="0" collapsed="false">
      <c r="A226" s="35"/>
      <c r="B226" s="36" t="str">
        <f aca="false">IF(A226="","",MONTH(A226))</f>
        <v/>
      </c>
      <c r="C226" s="37"/>
      <c r="D226" s="37"/>
      <c r="E226" s="37"/>
      <c r="F226" s="37"/>
      <c r="G226" s="37"/>
      <c r="H226" s="37"/>
    </row>
    <row r="227" customFormat="false" ht="15" hidden="false" customHeight="false" outlineLevel="0" collapsed="false">
      <c r="A227" s="35"/>
      <c r="B227" s="36" t="str">
        <f aca="false">IF(A227="","",MONTH(A227))</f>
        <v/>
      </c>
      <c r="C227" s="37"/>
      <c r="D227" s="37"/>
      <c r="E227" s="37"/>
      <c r="F227" s="37"/>
      <c r="G227" s="37"/>
      <c r="H227" s="37"/>
    </row>
    <row r="228" customFormat="false" ht="15" hidden="false" customHeight="false" outlineLevel="0" collapsed="false">
      <c r="A228" s="35"/>
      <c r="B228" s="36" t="str">
        <f aca="false">IF(A228="","",MONTH(A228))</f>
        <v/>
      </c>
      <c r="C228" s="37"/>
      <c r="D228" s="37"/>
      <c r="E228" s="37"/>
      <c r="F228" s="37"/>
      <c r="G228" s="37"/>
      <c r="H228" s="37"/>
    </row>
    <row r="229" customFormat="false" ht="15" hidden="false" customHeight="false" outlineLevel="0" collapsed="false">
      <c r="A229" s="35"/>
      <c r="B229" s="36" t="str">
        <f aca="false">IF(A229="","",MONTH(A229))</f>
        <v/>
      </c>
      <c r="C229" s="37"/>
      <c r="D229" s="37"/>
      <c r="E229" s="37"/>
      <c r="F229" s="37"/>
      <c r="G229" s="37"/>
      <c r="H229" s="37"/>
    </row>
    <row r="230" customFormat="false" ht="15" hidden="false" customHeight="false" outlineLevel="0" collapsed="false">
      <c r="A230" s="35"/>
      <c r="B230" s="36" t="str">
        <f aca="false">IF(A230="","",MONTH(A230))</f>
        <v/>
      </c>
      <c r="C230" s="37"/>
      <c r="D230" s="37"/>
      <c r="E230" s="37"/>
      <c r="F230" s="37"/>
      <c r="G230" s="37"/>
      <c r="H230" s="37"/>
    </row>
    <row r="231" customFormat="false" ht="15" hidden="false" customHeight="false" outlineLevel="0" collapsed="false">
      <c r="A231" s="35"/>
      <c r="B231" s="36" t="str">
        <f aca="false">IF(A231="","",MONTH(A231))</f>
        <v/>
      </c>
      <c r="C231" s="37"/>
      <c r="D231" s="37"/>
      <c r="E231" s="37"/>
      <c r="F231" s="37"/>
      <c r="G231" s="37"/>
      <c r="H231" s="37"/>
    </row>
    <row r="232" customFormat="false" ht="15" hidden="false" customHeight="false" outlineLevel="0" collapsed="false">
      <c r="A232" s="35"/>
      <c r="B232" s="36" t="str">
        <f aca="false">IF(A232="","",MONTH(A232))</f>
        <v/>
      </c>
      <c r="C232" s="37"/>
      <c r="D232" s="37"/>
      <c r="E232" s="37"/>
      <c r="F232" s="37"/>
      <c r="G232" s="37"/>
      <c r="H232" s="37"/>
    </row>
    <row r="233" customFormat="false" ht="15" hidden="false" customHeight="false" outlineLevel="0" collapsed="false">
      <c r="A233" s="35"/>
      <c r="B233" s="36" t="str">
        <f aca="false">IF(A233="","",MONTH(A233))</f>
        <v/>
      </c>
      <c r="C233" s="37"/>
      <c r="D233" s="37"/>
      <c r="E233" s="37"/>
      <c r="F233" s="37"/>
      <c r="G233" s="37"/>
      <c r="H233" s="37"/>
    </row>
    <row r="234" customFormat="false" ht="15" hidden="false" customHeight="false" outlineLevel="0" collapsed="false">
      <c r="A234" s="35"/>
      <c r="B234" s="36" t="str">
        <f aca="false">IF(A234="","",MONTH(A234))</f>
        <v/>
      </c>
      <c r="C234" s="37"/>
      <c r="D234" s="37"/>
      <c r="E234" s="37"/>
      <c r="F234" s="37"/>
      <c r="G234" s="37"/>
      <c r="H234" s="37"/>
    </row>
    <row r="235" customFormat="false" ht="15" hidden="false" customHeight="false" outlineLevel="0" collapsed="false">
      <c r="A235" s="35"/>
      <c r="B235" s="36" t="str">
        <f aca="false">IF(A235="","",MONTH(A235))</f>
        <v/>
      </c>
      <c r="C235" s="37"/>
      <c r="D235" s="37"/>
      <c r="E235" s="37"/>
      <c r="F235" s="37"/>
      <c r="G235" s="37"/>
      <c r="H235" s="37"/>
    </row>
    <row r="236" customFormat="false" ht="15" hidden="false" customHeight="false" outlineLevel="0" collapsed="false">
      <c r="A236" s="35"/>
      <c r="B236" s="36" t="str">
        <f aca="false">IF(A236="","",MONTH(A236))</f>
        <v/>
      </c>
      <c r="C236" s="37"/>
      <c r="D236" s="37"/>
      <c r="E236" s="37"/>
      <c r="F236" s="37"/>
      <c r="G236" s="37"/>
      <c r="H236" s="37"/>
    </row>
    <row r="237" customFormat="false" ht="15" hidden="false" customHeight="false" outlineLevel="0" collapsed="false">
      <c r="A237" s="35"/>
      <c r="B237" s="36" t="str">
        <f aca="false">IF(A237="","",MONTH(A237))</f>
        <v/>
      </c>
      <c r="C237" s="37"/>
      <c r="D237" s="37"/>
      <c r="E237" s="37"/>
      <c r="F237" s="37"/>
      <c r="G237" s="37"/>
      <c r="H237" s="37"/>
    </row>
    <row r="238" customFormat="false" ht="15" hidden="false" customHeight="false" outlineLevel="0" collapsed="false">
      <c r="A238" s="35"/>
      <c r="B238" s="36" t="str">
        <f aca="false">IF(A238="","",MONTH(A238))</f>
        <v/>
      </c>
      <c r="C238" s="37"/>
      <c r="D238" s="37"/>
      <c r="E238" s="37"/>
      <c r="F238" s="37"/>
      <c r="G238" s="37"/>
      <c r="H238" s="37"/>
    </row>
    <row r="239" customFormat="false" ht="15" hidden="false" customHeight="false" outlineLevel="0" collapsed="false">
      <c r="A239" s="35"/>
      <c r="B239" s="36" t="str">
        <f aca="false">IF(A239="","",MONTH(A239))</f>
        <v/>
      </c>
      <c r="C239" s="37"/>
      <c r="D239" s="37"/>
      <c r="E239" s="37"/>
      <c r="F239" s="37"/>
      <c r="G239" s="37"/>
      <c r="H239" s="37"/>
    </row>
    <row r="240" customFormat="false" ht="15" hidden="false" customHeight="false" outlineLevel="0" collapsed="false">
      <c r="A240" s="35"/>
      <c r="B240" s="36" t="str">
        <f aca="false">IF(A240="","",MONTH(A240))</f>
        <v/>
      </c>
      <c r="C240" s="37"/>
      <c r="D240" s="37"/>
      <c r="E240" s="37"/>
      <c r="F240" s="37"/>
      <c r="G240" s="37"/>
      <c r="H240" s="37"/>
    </row>
    <row r="241" customFormat="false" ht="15" hidden="false" customHeight="false" outlineLevel="0" collapsed="false">
      <c r="A241" s="35"/>
      <c r="B241" s="36" t="str">
        <f aca="false">IF(A241="","",MONTH(A241))</f>
        <v/>
      </c>
      <c r="C241" s="37"/>
      <c r="D241" s="37"/>
      <c r="E241" s="37"/>
      <c r="F241" s="37"/>
      <c r="G241" s="37"/>
      <c r="H241" s="37"/>
    </row>
    <row r="242" customFormat="false" ht="15" hidden="false" customHeight="false" outlineLevel="0" collapsed="false">
      <c r="A242" s="35"/>
      <c r="B242" s="36" t="str">
        <f aca="false">IF(A242="","",MONTH(A242))</f>
        <v/>
      </c>
      <c r="C242" s="37"/>
      <c r="D242" s="37"/>
      <c r="E242" s="37"/>
      <c r="F242" s="37"/>
      <c r="G242" s="37"/>
      <c r="H242" s="37"/>
    </row>
    <row r="243" customFormat="false" ht="15" hidden="false" customHeight="false" outlineLevel="0" collapsed="false">
      <c r="A243" s="35"/>
      <c r="B243" s="36" t="str">
        <f aca="false">IF(A243="","",MONTH(A243))</f>
        <v/>
      </c>
      <c r="C243" s="37"/>
      <c r="D243" s="37"/>
      <c r="E243" s="37"/>
      <c r="F243" s="37"/>
      <c r="G243" s="37"/>
      <c r="H243" s="37"/>
    </row>
    <row r="244" customFormat="false" ht="15" hidden="false" customHeight="false" outlineLevel="0" collapsed="false">
      <c r="A244" s="35"/>
      <c r="B244" s="36" t="str">
        <f aca="false">IF(A244="","",MONTH(A244))</f>
        <v/>
      </c>
      <c r="C244" s="37"/>
      <c r="D244" s="37"/>
      <c r="E244" s="37"/>
      <c r="F244" s="37"/>
      <c r="G244" s="37"/>
      <c r="H244" s="37"/>
    </row>
    <row r="245" customFormat="false" ht="15" hidden="false" customHeight="false" outlineLevel="0" collapsed="false">
      <c r="A245" s="35"/>
      <c r="B245" s="36" t="str">
        <f aca="false">IF(A245="","",MONTH(A245))</f>
        <v/>
      </c>
      <c r="C245" s="37"/>
      <c r="D245" s="37"/>
      <c r="E245" s="37"/>
      <c r="F245" s="37"/>
      <c r="G245" s="37"/>
      <c r="H245" s="37"/>
    </row>
    <row r="246" customFormat="false" ht="15" hidden="false" customHeight="false" outlineLevel="0" collapsed="false">
      <c r="A246" s="35"/>
      <c r="B246" s="36" t="str">
        <f aca="false">IF(A246="","",MONTH(A246))</f>
        <v/>
      </c>
      <c r="C246" s="37"/>
      <c r="D246" s="37"/>
      <c r="E246" s="37"/>
      <c r="F246" s="37"/>
      <c r="G246" s="37"/>
      <c r="H246" s="37"/>
    </row>
    <row r="247" customFormat="false" ht="15" hidden="false" customHeight="false" outlineLevel="0" collapsed="false">
      <c r="A247" s="35"/>
      <c r="B247" s="36" t="str">
        <f aca="false">IF(A247="","",MONTH(A247))</f>
        <v/>
      </c>
      <c r="C247" s="37"/>
      <c r="D247" s="37"/>
      <c r="E247" s="37"/>
      <c r="F247" s="37"/>
      <c r="G247" s="37"/>
      <c r="H247" s="37"/>
    </row>
    <row r="248" customFormat="false" ht="15" hidden="false" customHeight="false" outlineLevel="0" collapsed="false">
      <c r="A248" s="35"/>
      <c r="B248" s="36" t="str">
        <f aca="false">IF(A248="","",MONTH(A248))</f>
        <v/>
      </c>
      <c r="C248" s="37"/>
      <c r="D248" s="37"/>
      <c r="E248" s="37"/>
      <c r="F248" s="37"/>
      <c r="G248" s="37"/>
      <c r="H248" s="37"/>
    </row>
    <row r="249" customFormat="false" ht="15" hidden="false" customHeight="false" outlineLevel="0" collapsed="false">
      <c r="A249" s="35"/>
      <c r="B249" s="36" t="str">
        <f aca="false">IF(A249="","",MONTH(A249))</f>
        <v/>
      </c>
      <c r="C249" s="37"/>
      <c r="D249" s="37"/>
      <c r="E249" s="37"/>
      <c r="F249" s="37"/>
      <c r="G249" s="37"/>
      <c r="H249" s="37"/>
    </row>
    <row r="250" customFormat="false" ht="15" hidden="false" customHeight="false" outlineLevel="0" collapsed="false">
      <c r="A250" s="35"/>
      <c r="B250" s="36" t="str">
        <f aca="false">IF(A250="","",MONTH(A250))</f>
        <v/>
      </c>
      <c r="C250" s="37"/>
      <c r="D250" s="37"/>
      <c r="E250" s="37"/>
      <c r="F250" s="37"/>
      <c r="G250" s="37"/>
      <c r="H250" s="37"/>
    </row>
    <row r="251" customFormat="false" ht="15" hidden="false" customHeight="false" outlineLevel="0" collapsed="false">
      <c r="A251" s="35"/>
      <c r="B251" s="36" t="str">
        <f aca="false">IF(A251="","",MONTH(A251))</f>
        <v/>
      </c>
      <c r="C251" s="37"/>
      <c r="D251" s="37"/>
      <c r="E251" s="37"/>
      <c r="F251" s="37"/>
      <c r="G251" s="37"/>
      <c r="H251" s="37"/>
    </row>
    <row r="252" customFormat="false" ht="15" hidden="false" customHeight="false" outlineLevel="0" collapsed="false">
      <c r="A252" s="35"/>
      <c r="B252" s="36" t="str">
        <f aca="false">IF(A252="","",MONTH(A252))</f>
        <v/>
      </c>
      <c r="C252" s="37"/>
      <c r="D252" s="37"/>
      <c r="E252" s="37"/>
      <c r="F252" s="37"/>
      <c r="G252" s="37"/>
      <c r="H252" s="37"/>
    </row>
    <row r="253" customFormat="false" ht="15" hidden="false" customHeight="false" outlineLevel="0" collapsed="false">
      <c r="A253" s="35"/>
      <c r="B253" s="36" t="str">
        <f aca="false">IF(A253="","",MONTH(A253))</f>
        <v/>
      </c>
      <c r="C253" s="37"/>
      <c r="D253" s="37"/>
      <c r="E253" s="37"/>
      <c r="F253" s="37"/>
      <c r="G253" s="37"/>
      <c r="H253" s="37"/>
    </row>
    <row r="254" customFormat="false" ht="15" hidden="false" customHeight="false" outlineLevel="0" collapsed="false">
      <c r="A254" s="35"/>
      <c r="B254" s="36" t="str">
        <f aca="false">IF(A254="","",MONTH(A254))</f>
        <v/>
      </c>
      <c r="C254" s="37"/>
      <c r="D254" s="37"/>
      <c r="E254" s="37"/>
      <c r="F254" s="37"/>
      <c r="G254" s="37"/>
      <c r="H254" s="37"/>
    </row>
    <row r="255" customFormat="false" ht="15" hidden="false" customHeight="false" outlineLevel="0" collapsed="false">
      <c r="A255" s="35"/>
      <c r="B255" s="36" t="str">
        <f aca="false">IF(A255="","",MONTH(A255))</f>
        <v/>
      </c>
      <c r="C255" s="37"/>
      <c r="D255" s="37"/>
      <c r="E255" s="37"/>
      <c r="F255" s="37"/>
      <c r="G255" s="37"/>
      <c r="H255" s="37"/>
    </row>
    <row r="256" customFormat="false" ht="15" hidden="false" customHeight="false" outlineLevel="0" collapsed="false">
      <c r="A256" s="35"/>
      <c r="B256" s="36" t="str">
        <f aca="false">IF(A256="","",MONTH(A256))</f>
        <v/>
      </c>
      <c r="C256" s="37"/>
      <c r="D256" s="37"/>
      <c r="E256" s="37"/>
      <c r="F256" s="37"/>
      <c r="G256" s="37"/>
      <c r="H256" s="37"/>
    </row>
    <row r="257" customFormat="false" ht="15" hidden="false" customHeight="false" outlineLevel="0" collapsed="false">
      <c r="A257" s="35"/>
      <c r="B257" s="36" t="str">
        <f aca="false">IF(A257="","",MONTH(A257))</f>
        <v/>
      </c>
      <c r="C257" s="37"/>
      <c r="D257" s="37"/>
      <c r="E257" s="37"/>
      <c r="F257" s="37"/>
      <c r="G257" s="37"/>
      <c r="H257" s="37"/>
    </row>
    <row r="258" customFormat="false" ht="15" hidden="false" customHeight="false" outlineLevel="0" collapsed="false">
      <c r="A258" s="35"/>
      <c r="B258" s="36" t="str">
        <f aca="false">IF(A258="","",MONTH(A258))</f>
        <v/>
      </c>
      <c r="C258" s="37"/>
      <c r="D258" s="37"/>
      <c r="E258" s="37"/>
      <c r="F258" s="37"/>
      <c r="G258" s="37"/>
      <c r="H258" s="37"/>
    </row>
    <row r="259" customFormat="false" ht="15" hidden="false" customHeight="false" outlineLevel="0" collapsed="false">
      <c r="A259" s="35"/>
      <c r="B259" s="36" t="str">
        <f aca="false">IF(A259="","",MONTH(A259))</f>
        <v/>
      </c>
      <c r="C259" s="37"/>
      <c r="D259" s="37"/>
      <c r="E259" s="37"/>
      <c r="F259" s="37"/>
      <c r="G259" s="37"/>
      <c r="H259" s="37"/>
    </row>
    <row r="260" customFormat="false" ht="15" hidden="false" customHeight="false" outlineLevel="0" collapsed="false">
      <c r="A260" s="35"/>
      <c r="B260" s="36" t="str">
        <f aca="false">IF(A260="","",MONTH(A260))</f>
        <v/>
      </c>
      <c r="C260" s="37"/>
      <c r="D260" s="37"/>
      <c r="E260" s="37"/>
      <c r="F260" s="37"/>
      <c r="G260" s="37"/>
      <c r="H260" s="37"/>
    </row>
    <row r="261" customFormat="false" ht="15" hidden="false" customHeight="false" outlineLevel="0" collapsed="false">
      <c r="A261" s="35"/>
      <c r="B261" s="36" t="str">
        <f aca="false">IF(A261="","",MONTH(A261))</f>
        <v/>
      </c>
      <c r="C261" s="37"/>
      <c r="D261" s="37"/>
      <c r="E261" s="37"/>
      <c r="F261" s="37"/>
      <c r="G261" s="37"/>
      <c r="H261" s="37"/>
    </row>
    <row r="262" customFormat="false" ht="15" hidden="false" customHeight="false" outlineLevel="0" collapsed="false">
      <c r="A262" s="35"/>
      <c r="B262" s="36" t="str">
        <f aca="false">IF(A262="","",MONTH(A262))</f>
        <v/>
      </c>
      <c r="C262" s="37"/>
      <c r="D262" s="37"/>
      <c r="E262" s="37"/>
      <c r="F262" s="37"/>
      <c r="G262" s="37"/>
      <c r="H262" s="37"/>
    </row>
    <row r="263" customFormat="false" ht="15" hidden="false" customHeight="false" outlineLevel="0" collapsed="false">
      <c r="A263" s="35"/>
      <c r="B263" s="36" t="str">
        <f aca="false">IF(A263="","",MONTH(A263))</f>
        <v/>
      </c>
      <c r="C263" s="37"/>
      <c r="D263" s="37"/>
      <c r="E263" s="37"/>
      <c r="F263" s="37"/>
      <c r="G263" s="37"/>
      <c r="H263" s="37"/>
    </row>
    <row r="264" customFormat="false" ht="15" hidden="false" customHeight="false" outlineLevel="0" collapsed="false">
      <c r="A264" s="35"/>
      <c r="B264" s="36" t="str">
        <f aca="false">IF(A264="","",MONTH(A264))</f>
        <v/>
      </c>
      <c r="C264" s="37"/>
      <c r="D264" s="37"/>
      <c r="E264" s="37"/>
      <c r="F264" s="37"/>
      <c r="G264" s="37"/>
      <c r="H264" s="37"/>
    </row>
    <row r="265" customFormat="false" ht="15" hidden="false" customHeight="false" outlineLevel="0" collapsed="false">
      <c r="A265" s="35"/>
      <c r="B265" s="36" t="str">
        <f aca="false">IF(A265="","",MONTH(A265))</f>
        <v/>
      </c>
      <c r="C265" s="37"/>
      <c r="D265" s="37"/>
      <c r="E265" s="37"/>
      <c r="F265" s="37"/>
      <c r="G265" s="37"/>
      <c r="H265" s="37"/>
    </row>
    <row r="266" customFormat="false" ht="15" hidden="false" customHeight="false" outlineLevel="0" collapsed="false">
      <c r="A266" s="35"/>
      <c r="B266" s="36" t="str">
        <f aca="false">IF(A266="","",MONTH(A266))</f>
        <v/>
      </c>
      <c r="C266" s="37"/>
      <c r="D266" s="37"/>
      <c r="E266" s="37"/>
      <c r="F266" s="37"/>
      <c r="G266" s="37"/>
      <c r="H266" s="37"/>
    </row>
    <row r="267" customFormat="false" ht="15" hidden="false" customHeight="false" outlineLevel="0" collapsed="false">
      <c r="A267" s="35"/>
      <c r="B267" s="36" t="str">
        <f aca="false">IF(A267="","",MONTH(A267))</f>
        <v/>
      </c>
      <c r="C267" s="37"/>
      <c r="D267" s="37"/>
      <c r="E267" s="37"/>
      <c r="F267" s="37"/>
      <c r="G267" s="37"/>
      <c r="H267" s="37"/>
    </row>
    <row r="268" customFormat="false" ht="15" hidden="false" customHeight="false" outlineLevel="0" collapsed="false">
      <c r="A268" s="35"/>
      <c r="B268" s="36" t="str">
        <f aca="false">IF(A268="","",MONTH(A268))</f>
        <v/>
      </c>
      <c r="C268" s="37"/>
      <c r="D268" s="37"/>
      <c r="E268" s="37"/>
      <c r="F268" s="37"/>
      <c r="G268" s="37"/>
      <c r="H268" s="37"/>
    </row>
    <row r="269" customFormat="false" ht="15" hidden="false" customHeight="false" outlineLevel="0" collapsed="false">
      <c r="A269" s="35"/>
      <c r="B269" s="36" t="str">
        <f aca="false">IF(A269="","",MONTH(A269))</f>
        <v/>
      </c>
      <c r="C269" s="37"/>
      <c r="D269" s="37"/>
      <c r="E269" s="37"/>
      <c r="F269" s="37"/>
      <c r="G269" s="37"/>
      <c r="H269" s="37"/>
    </row>
    <row r="270" customFormat="false" ht="15" hidden="false" customHeight="false" outlineLevel="0" collapsed="false">
      <c r="A270" s="35"/>
      <c r="B270" s="36" t="str">
        <f aca="false">IF(A270="","",MONTH(A270))</f>
        <v/>
      </c>
      <c r="C270" s="37"/>
      <c r="D270" s="37"/>
      <c r="E270" s="37"/>
      <c r="F270" s="37"/>
      <c r="G270" s="37"/>
      <c r="H270" s="37"/>
    </row>
    <row r="271" customFormat="false" ht="15" hidden="false" customHeight="false" outlineLevel="0" collapsed="false">
      <c r="A271" s="35"/>
      <c r="B271" s="36" t="str">
        <f aca="false">IF(A271="","",MONTH(A271))</f>
        <v/>
      </c>
      <c r="C271" s="37"/>
      <c r="D271" s="37"/>
      <c r="E271" s="37"/>
      <c r="F271" s="37"/>
      <c r="G271" s="37"/>
      <c r="H271" s="37"/>
    </row>
    <row r="272" customFormat="false" ht="15" hidden="false" customHeight="false" outlineLevel="0" collapsed="false">
      <c r="A272" s="35"/>
      <c r="B272" s="36" t="str">
        <f aca="false">IF(A272="","",MONTH(A272))</f>
        <v/>
      </c>
      <c r="C272" s="37"/>
      <c r="D272" s="37"/>
      <c r="E272" s="37"/>
      <c r="F272" s="37"/>
      <c r="G272" s="37"/>
      <c r="H272" s="37"/>
    </row>
    <row r="273" customFormat="false" ht="15" hidden="false" customHeight="false" outlineLevel="0" collapsed="false">
      <c r="A273" s="35"/>
      <c r="B273" s="36" t="str">
        <f aca="false">IF(A273="","",MONTH(A273))</f>
        <v/>
      </c>
      <c r="C273" s="37"/>
      <c r="D273" s="37"/>
      <c r="E273" s="37"/>
      <c r="F273" s="37"/>
      <c r="G273" s="37"/>
      <c r="H273" s="37"/>
    </row>
    <row r="274" customFormat="false" ht="15" hidden="false" customHeight="false" outlineLevel="0" collapsed="false">
      <c r="A274" s="35"/>
      <c r="B274" s="36" t="str">
        <f aca="false">IF(A274="","",MONTH(A274))</f>
        <v/>
      </c>
      <c r="C274" s="37"/>
      <c r="D274" s="37"/>
      <c r="E274" s="37"/>
      <c r="F274" s="37"/>
      <c r="G274" s="37"/>
      <c r="H274" s="37"/>
    </row>
    <row r="275" customFormat="false" ht="15" hidden="false" customHeight="false" outlineLevel="0" collapsed="false">
      <c r="A275" s="35"/>
      <c r="B275" s="36" t="str">
        <f aca="false">IF(A275="","",MONTH(A275))</f>
        <v/>
      </c>
      <c r="C275" s="37"/>
      <c r="D275" s="37"/>
      <c r="E275" s="37"/>
      <c r="F275" s="37"/>
      <c r="G275" s="37"/>
      <c r="H275" s="37"/>
    </row>
    <row r="276" customFormat="false" ht="15" hidden="false" customHeight="false" outlineLevel="0" collapsed="false">
      <c r="A276" s="35"/>
      <c r="B276" s="36" t="str">
        <f aca="false">IF(A276="","",MONTH(A276))</f>
        <v/>
      </c>
      <c r="C276" s="37"/>
      <c r="D276" s="37"/>
      <c r="E276" s="37"/>
      <c r="F276" s="37"/>
      <c r="G276" s="37"/>
      <c r="H276" s="37"/>
    </row>
    <row r="277" customFormat="false" ht="15" hidden="false" customHeight="false" outlineLevel="0" collapsed="false">
      <c r="A277" s="35"/>
      <c r="B277" s="36" t="str">
        <f aca="false">IF(A277="","",MONTH(A277))</f>
        <v/>
      </c>
      <c r="C277" s="37"/>
      <c r="D277" s="37"/>
      <c r="E277" s="37"/>
      <c r="F277" s="37"/>
      <c r="G277" s="37"/>
      <c r="H277" s="37"/>
    </row>
    <row r="278" customFormat="false" ht="15" hidden="false" customHeight="false" outlineLevel="0" collapsed="false">
      <c r="A278" s="35"/>
      <c r="B278" s="36" t="str">
        <f aca="false">IF(A278="","",MONTH(A278))</f>
        <v/>
      </c>
      <c r="C278" s="37"/>
      <c r="D278" s="37"/>
      <c r="E278" s="37"/>
      <c r="F278" s="37"/>
      <c r="G278" s="37"/>
      <c r="H278" s="37"/>
    </row>
    <row r="279" customFormat="false" ht="15" hidden="false" customHeight="false" outlineLevel="0" collapsed="false">
      <c r="A279" s="35"/>
      <c r="B279" s="36" t="str">
        <f aca="false">IF(A279="","",MONTH(A279))</f>
        <v/>
      </c>
      <c r="C279" s="37"/>
      <c r="D279" s="37"/>
      <c r="E279" s="37"/>
      <c r="F279" s="37"/>
      <c r="G279" s="37"/>
      <c r="H279" s="37"/>
    </row>
    <row r="280" customFormat="false" ht="15" hidden="false" customHeight="false" outlineLevel="0" collapsed="false">
      <c r="A280" s="35"/>
      <c r="B280" s="36" t="str">
        <f aca="false">IF(A280="","",MONTH(A280))</f>
        <v/>
      </c>
      <c r="C280" s="37"/>
      <c r="D280" s="37"/>
      <c r="E280" s="37"/>
      <c r="F280" s="37"/>
      <c r="G280" s="37"/>
      <c r="H280" s="37"/>
    </row>
    <row r="281" customFormat="false" ht="15" hidden="false" customHeight="false" outlineLevel="0" collapsed="false">
      <c r="A281" s="35"/>
      <c r="B281" s="36" t="str">
        <f aca="false">IF(A281="","",MONTH(A281))</f>
        <v/>
      </c>
      <c r="C281" s="37"/>
      <c r="D281" s="37"/>
      <c r="E281" s="37"/>
      <c r="F281" s="37"/>
      <c r="G281" s="37"/>
      <c r="H281" s="37"/>
    </row>
    <row r="282" customFormat="false" ht="15" hidden="false" customHeight="false" outlineLevel="0" collapsed="false">
      <c r="A282" s="35"/>
      <c r="B282" s="36" t="str">
        <f aca="false">IF(A282="","",MONTH(A282))</f>
        <v/>
      </c>
      <c r="C282" s="37"/>
      <c r="D282" s="37"/>
      <c r="E282" s="37"/>
      <c r="F282" s="37"/>
      <c r="G282" s="37"/>
      <c r="H282" s="37"/>
    </row>
    <row r="283" customFormat="false" ht="15" hidden="false" customHeight="false" outlineLevel="0" collapsed="false">
      <c r="A283" s="35"/>
      <c r="B283" s="36" t="str">
        <f aca="false">IF(A283="","",MONTH(A283))</f>
        <v/>
      </c>
      <c r="C283" s="37"/>
      <c r="D283" s="37"/>
      <c r="E283" s="37"/>
      <c r="F283" s="37"/>
      <c r="G283" s="37"/>
      <c r="H283" s="37"/>
    </row>
    <row r="284" customFormat="false" ht="15" hidden="false" customHeight="false" outlineLevel="0" collapsed="false">
      <c r="A284" s="35"/>
      <c r="B284" s="36" t="str">
        <f aca="false">IF(A284="","",MONTH(A284))</f>
        <v/>
      </c>
      <c r="C284" s="37"/>
      <c r="D284" s="37"/>
      <c r="E284" s="37"/>
      <c r="F284" s="37"/>
      <c r="G284" s="37"/>
      <c r="H284" s="37"/>
    </row>
    <row r="285" customFormat="false" ht="15" hidden="false" customHeight="false" outlineLevel="0" collapsed="false">
      <c r="A285" s="35"/>
      <c r="B285" s="36" t="str">
        <f aca="false">IF(A285="","",MONTH(A285))</f>
        <v/>
      </c>
      <c r="C285" s="37"/>
      <c r="D285" s="37"/>
      <c r="E285" s="37"/>
      <c r="F285" s="37"/>
      <c r="G285" s="37"/>
      <c r="H285" s="37"/>
    </row>
    <row r="286" customFormat="false" ht="15" hidden="false" customHeight="false" outlineLevel="0" collapsed="false">
      <c r="A286" s="35"/>
      <c r="B286" s="36" t="str">
        <f aca="false">IF(A286="","",MONTH(A286))</f>
        <v/>
      </c>
      <c r="C286" s="37"/>
      <c r="D286" s="37"/>
      <c r="E286" s="37"/>
      <c r="F286" s="37"/>
      <c r="G286" s="37"/>
      <c r="H286" s="37"/>
    </row>
    <row r="287" customFormat="false" ht="15" hidden="false" customHeight="false" outlineLevel="0" collapsed="false">
      <c r="A287" s="35"/>
      <c r="B287" s="36" t="str">
        <f aca="false">IF(A287="","",MONTH(A287))</f>
        <v/>
      </c>
      <c r="C287" s="37"/>
      <c r="D287" s="37"/>
      <c r="E287" s="37"/>
      <c r="F287" s="37"/>
      <c r="G287" s="37"/>
      <c r="H287" s="37"/>
    </row>
    <row r="288" customFormat="false" ht="15" hidden="false" customHeight="false" outlineLevel="0" collapsed="false">
      <c r="A288" s="35"/>
      <c r="B288" s="36" t="str">
        <f aca="false">IF(A288="","",MONTH(A288))</f>
        <v/>
      </c>
      <c r="C288" s="37"/>
      <c r="D288" s="37"/>
      <c r="E288" s="37"/>
      <c r="F288" s="37"/>
      <c r="G288" s="37"/>
      <c r="H288" s="37"/>
    </row>
    <row r="289" customFormat="false" ht="15" hidden="false" customHeight="false" outlineLevel="0" collapsed="false">
      <c r="A289" s="35"/>
      <c r="B289" s="36" t="str">
        <f aca="false">IF(A289="","",MONTH(A289))</f>
        <v/>
      </c>
      <c r="C289" s="37"/>
      <c r="D289" s="37"/>
      <c r="E289" s="37"/>
      <c r="F289" s="37"/>
      <c r="G289" s="37"/>
      <c r="H289" s="37"/>
    </row>
    <row r="290" customFormat="false" ht="15" hidden="false" customHeight="false" outlineLevel="0" collapsed="false">
      <c r="A290" s="35"/>
      <c r="B290" s="36" t="str">
        <f aca="false">IF(A290="","",MONTH(A290))</f>
        <v/>
      </c>
      <c r="C290" s="37"/>
      <c r="D290" s="37"/>
      <c r="E290" s="37"/>
      <c r="F290" s="37"/>
      <c r="G290" s="37"/>
      <c r="H290" s="37"/>
    </row>
    <row r="291" customFormat="false" ht="15" hidden="false" customHeight="false" outlineLevel="0" collapsed="false">
      <c r="A291" s="35"/>
      <c r="B291" s="36" t="str">
        <f aca="false">IF(A291="","",MONTH(A291))</f>
        <v/>
      </c>
      <c r="C291" s="37"/>
      <c r="D291" s="37"/>
      <c r="E291" s="37"/>
      <c r="F291" s="37"/>
      <c r="G291" s="37"/>
      <c r="H291" s="37"/>
    </row>
    <row r="292" customFormat="false" ht="15" hidden="false" customHeight="false" outlineLevel="0" collapsed="false">
      <c r="A292" s="35"/>
      <c r="B292" s="36" t="str">
        <f aca="false">IF(A292="","",MONTH(A292))</f>
        <v/>
      </c>
      <c r="C292" s="37"/>
      <c r="D292" s="37"/>
      <c r="E292" s="37"/>
      <c r="F292" s="37"/>
      <c r="G292" s="37"/>
      <c r="H292" s="37"/>
    </row>
    <row r="293" customFormat="false" ht="15" hidden="false" customHeight="false" outlineLevel="0" collapsed="false">
      <c r="A293" s="35"/>
      <c r="B293" s="36" t="str">
        <f aca="false">IF(A293="","",MONTH(A293))</f>
        <v/>
      </c>
      <c r="C293" s="37"/>
      <c r="D293" s="37"/>
      <c r="E293" s="37"/>
      <c r="F293" s="37"/>
      <c r="G293" s="37"/>
      <c r="H293" s="37"/>
    </row>
    <row r="294" customFormat="false" ht="15" hidden="false" customHeight="false" outlineLevel="0" collapsed="false">
      <c r="A294" s="35"/>
      <c r="B294" s="36" t="str">
        <f aca="false">IF(A294="","",MONTH(A294))</f>
        <v/>
      </c>
      <c r="C294" s="37"/>
      <c r="D294" s="37"/>
      <c r="E294" s="37"/>
      <c r="F294" s="37"/>
      <c r="G294" s="37"/>
      <c r="H294" s="37"/>
    </row>
    <row r="295" customFormat="false" ht="15" hidden="false" customHeight="false" outlineLevel="0" collapsed="false">
      <c r="A295" s="35"/>
      <c r="B295" s="36" t="str">
        <f aca="false">IF(A295="","",MONTH(A295))</f>
        <v/>
      </c>
      <c r="C295" s="37"/>
      <c r="D295" s="37"/>
      <c r="E295" s="37"/>
      <c r="F295" s="37"/>
      <c r="G295" s="37"/>
      <c r="H295" s="37"/>
    </row>
    <row r="296" customFormat="false" ht="15" hidden="false" customHeight="false" outlineLevel="0" collapsed="false">
      <c r="A296" s="35"/>
      <c r="B296" s="36" t="str">
        <f aca="false">IF(A296="","",MONTH(A296))</f>
        <v/>
      </c>
      <c r="C296" s="37"/>
      <c r="D296" s="37"/>
      <c r="E296" s="37"/>
      <c r="F296" s="37"/>
      <c r="G296" s="37"/>
      <c r="H296" s="37"/>
    </row>
    <row r="297" customFormat="false" ht="15" hidden="false" customHeight="false" outlineLevel="0" collapsed="false">
      <c r="A297" s="35"/>
      <c r="B297" s="36" t="str">
        <f aca="false">IF(A297="","",MONTH(A297))</f>
        <v/>
      </c>
      <c r="C297" s="37"/>
      <c r="D297" s="37"/>
      <c r="E297" s="37"/>
      <c r="F297" s="37"/>
      <c r="G297" s="37"/>
      <c r="H297" s="37"/>
    </row>
    <row r="298" customFormat="false" ht="15" hidden="false" customHeight="false" outlineLevel="0" collapsed="false">
      <c r="A298" s="35"/>
      <c r="B298" s="36" t="str">
        <f aca="false">IF(A298="","",MONTH(A298))</f>
        <v/>
      </c>
      <c r="C298" s="37"/>
      <c r="D298" s="37"/>
      <c r="E298" s="37"/>
      <c r="F298" s="37"/>
      <c r="G298" s="37"/>
      <c r="H298" s="37"/>
    </row>
    <row r="299" customFormat="false" ht="15" hidden="false" customHeight="false" outlineLevel="0" collapsed="false">
      <c r="A299" s="35"/>
      <c r="B299" s="36" t="str">
        <f aca="false">IF(A299="","",MONTH(A299))</f>
        <v/>
      </c>
      <c r="C299" s="37"/>
      <c r="D299" s="37"/>
      <c r="E299" s="37"/>
      <c r="F299" s="37"/>
      <c r="G299" s="37"/>
      <c r="H299" s="37"/>
    </row>
    <row r="300" customFormat="false" ht="15" hidden="false" customHeight="false" outlineLevel="0" collapsed="false">
      <c r="A300" s="35"/>
      <c r="B300" s="36" t="str">
        <f aca="false">IF(A300="","",MONTH(A300))</f>
        <v/>
      </c>
      <c r="C300" s="37"/>
      <c r="D300" s="37"/>
      <c r="E300" s="37"/>
      <c r="F300" s="37"/>
      <c r="G300" s="37"/>
      <c r="H300" s="37"/>
    </row>
    <row r="301" customFormat="false" ht="15" hidden="false" customHeight="false" outlineLevel="0" collapsed="false">
      <c r="A301" s="35"/>
      <c r="B301" s="36" t="str">
        <f aca="false">IF(A301="","",MONTH(A301))</f>
        <v/>
      </c>
      <c r="C301" s="37"/>
      <c r="D301" s="37"/>
      <c r="E301" s="37"/>
      <c r="F301" s="37"/>
      <c r="G301" s="37"/>
      <c r="H301" s="37"/>
    </row>
    <row r="302" customFormat="false" ht="15" hidden="false" customHeight="false" outlineLevel="0" collapsed="false">
      <c r="A302" s="35"/>
      <c r="B302" s="36" t="str">
        <f aca="false">IF(A302="","",MONTH(A302))</f>
        <v/>
      </c>
      <c r="C302" s="37"/>
      <c r="D302" s="37"/>
      <c r="E302" s="37"/>
      <c r="F302" s="37"/>
      <c r="G302" s="37"/>
      <c r="H302" s="37"/>
    </row>
    <row r="303" customFormat="false" ht="15" hidden="false" customHeight="false" outlineLevel="0" collapsed="false">
      <c r="A303" s="35"/>
      <c r="B303" s="36" t="str">
        <f aca="false">IF(A303="","",MONTH(A303))</f>
        <v/>
      </c>
      <c r="C303" s="37"/>
      <c r="D303" s="37"/>
      <c r="E303" s="37"/>
      <c r="F303" s="37"/>
      <c r="G303" s="37"/>
      <c r="H303" s="37"/>
    </row>
    <row r="304" customFormat="false" ht="15" hidden="false" customHeight="false" outlineLevel="0" collapsed="false">
      <c r="A304" s="35"/>
      <c r="B304" s="36" t="str">
        <f aca="false">IF(A304="","",MONTH(A304))</f>
        <v/>
      </c>
      <c r="C304" s="37"/>
      <c r="D304" s="37"/>
      <c r="E304" s="37"/>
      <c r="F304" s="37"/>
      <c r="G304" s="37"/>
      <c r="H304" s="37"/>
    </row>
    <row r="305" customFormat="false" ht="15" hidden="false" customHeight="false" outlineLevel="0" collapsed="false">
      <c r="A305" s="35"/>
      <c r="B305" s="36" t="str">
        <f aca="false">IF(A305="","",MONTH(A305))</f>
        <v/>
      </c>
      <c r="C305" s="37"/>
      <c r="D305" s="37"/>
      <c r="E305" s="37"/>
      <c r="F305" s="37"/>
      <c r="G305" s="37"/>
      <c r="H305" s="37"/>
    </row>
    <row r="306" customFormat="false" ht="15" hidden="false" customHeight="false" outlineLevel="0" collapsed="false">
      <c r="A306" s="35"/>
      <c r="B306" s="36" t="str">
        <f aca="false">IF(A306="","",MONTH(A306))</f>
        <v/>
      </c>
      <c r="C306" s="37"/>
      <c r="D306" s="37"/>
      <c r="E306" s="37"/>
      <c r="F306" s="37"/>
      <c r="G306" s="37"/>
      <c r="H306" s="37"/>
    </row>
    <row r="307" customFormat="false" ht="15" hidden="false" customHeight="false" outlineLevel="0" collapsed="false">
      <c r="A307" s="35"/>
      <c r="B307" s="36" t="str">
        <f aca="false">IF(A307="","",MONTH(A307))</f>
        <v/>
      </c>
      <c r="C307" s="37"/>
      <c r="D307" s="37"/>
      <c r="E307" s="37"/>
      <c r="F307" s="37"/>
      <c r="G307" s="37"/>
      <c r="H307" s="37"/>
    </row>
    <row r="308" customFormat="false" ht="15" hidden="false" customHeight="false" outlineLevel="0" collapsed="false">
      <c r="A308" s="35"/>
      <c r="B308" s="36" t="str">
        <f aca="false">IF(A308="","",MONTH(A308))</f>
        <v/>
      </c>
      <c r="C308" s="37"/>
      <c r="D308" s="37"/>
      <c r="E308" s="37"/>
      <c r="F308" s="37"/>
      <c r="G308" s="37"/>
      <c r="H308" s="37"/>
    </row>
    <row r="309" customFormat="false" ht="15" hidden="false" customHeight="false" outlineLevel="0" collapsed="false">
      <c r="A309" s="35"/>
      <c r="B309" s="36" t="str">
        <f aca="false">IF(A309="","",MONTH(A309))</f>
        <v/>
      </c>
      <c r="C309" s="37"/>
      <c r="D309" s="37"/>
      <c r="E309" s="37"/>
      <c r="F309" s="37"/>
      <c r="G309" s="37"/>
      <c r="H309" s="37"/>
    </row>
    <row r="310" customFormat="false" ht="15" hidden="false" customHeight="false" outlineLevel="0" collapsed="false">
      <c r="A310" s="35"/>
      <c r="B310" s="36" t="str">
        <f aca="false">IF(A310="","",MONTH(A310))</f>
        <v/>
      </c>
      <c r="C310" s="37"/>
      <c r="D310" s="37"/>
      <c r="E310" s="37"/>
      <c r="F310" s="37"/>
      <c r="G310" s="37"/>
      <c r="H310" s="37"/>
    </row>
    <row r="311" customFormat="false" ht="15" hidden="false" customHeight="false" outlineLevel="0" collapsed="false">
      <c r="A311" s="35"/>
      <c r="B311" s="36" t="str">
        <f aca="false">IF(A311="","",MONTH(A311))</f>
        <v/>
      </c>
      <c r="C311" s="37"/>
      <c r="D311" s="37"/>
      <c r="E311" s="37"/>
      <c r="F311" s="37"/>
      <c r="G311" s="37"/>
      <c r="H311" s="37"/>
    </row>
    <row r="312" customFormat="false" ht="15" hidden="false" customHeight="false" outlineLevel="0" collapsed="false">
      <c r="A312" s="35"/>
      <c r="B312" s="36" t="str">
        <f aca="false">IF(A312="","",MONTH(A312))</f>
        <v/>
      </c>
      <c r="C312" s="37"/>
      <c r="D312" s="37"/>
      <c r="E312" s="37"/>
      <c r="F312" s="37"/>
      <c r="G312" s="37"/>
      <c r="H312" s="37"/>
    </row>
    <row r="313" customFormat="false" ht="15" hidden="false" customHeight="false" outlineLevel="0" collapsed="false">
      <c r="A313" s="35"/>
      <c r="B313" s="36" t="str">
        <f aca="false">IF(A313="","",MONTH(A313))</f>
        <v/>
      </c>
      <c r="C313" s="37"/>
      <c r="D313" s="37"/>
      <c r="E313" s="37"/>
      <c r="F313" s="37"/>
      <c r="G313" s="37"/>
      <c r="H313" s="37"/>
    </row>
    <row r="314" customFormat="false" ht="15" hidden="false" customHeight="false" outlineLevel="0" collapsed="false">
      <c r="A314" s="35"/>
      <c r="B314" s="36" t="str">
        <f aca="false">IF(A314="","",MONTH(A314))</f>
        <v/>
      </c>
      <c r="C314" s="37"/>
      <c r="D314" s="37"/>
      <c r="E314" s="37"/>
      <c r="F314" s="37"/>
      <c r="G314" s="37"/>
      <c r="H314" s="37"/>
    </row>
    <row r="315" customFormat="false" ht="15" hidden="false" customHeight="false" outlineLevel="0" collapsed="false">
      <c r="A315" s="35"/>
      <c r="B315" s="36" t="str">
        <f aca="false">IF(A315="","",MONTH(A315))</f>
        <v/>
      </c>
      <c r="C315" s="37"/>
      <c r="D315" s="37"/>
      <c r="E315" s="37"/>
      <c r="F315" s="37"/>
      <c r="G315" s="37"/>
      <c r="H315" s="37"/>
    </row>
    <row r="316" customFormat="false" ht="15" hidden="false" customHeight="false" outlineLevel="0" collapsed="false">
      <c r="A316" s="35"/>
      <c r="B316" s="36" t="str">
        <f aca="false">IF(A316="","",MONTH(A316))</f>
        <v/>
      </c>
      <c r="C316" s="37"/>
      <c r="D316" s="37"/>
      <c r="E316" s="37"/>
      <c r="F316" s="37"/>
      <c r="G316" s="37"/>
      <c r="H316" s="37"/>
    </row>
    <row r="317" customFormat="false" ht="15" hidden="false" customHeight="false" outlineLevel="0" collapsed="false">
      <c r="A317" s="35"/>
      <c r="B317" s="36" t="str">
        <f aca="false">IF(A317="","",MONTH(A317))</f>
        <v/>
      </c>
      <c r="C317" s="37"/>
      <c r="D317" s="37"/>
      <c r="E317" s="37"/>
      <c r="F317" s="37"/>
      <c r="G317" s="37"/>
      <c r="H317" s="37"/>
    </row>
    <row r="318" customFormat="false" ht="15" hidden="false" customHeight="false" outlineLevel="0" collapsed="false">
      <c r="A318" s="35"/>
      <c r="B318" s="36" t="str">
        <f aca="false">IF(A318="","",MONTH(A318))</f>
        <v/>
      </c>
      <c r="C318" s="37"/>
      <c r="D318" s="37"/>
      <c r="E318" s="37"/>
      <c r="F318" s="37"/>
      <c r="G318" s="37"/>
      <c r="H318" s="37"/>
    </row>
    <row r="319" customFormat="false" ht="15" hidden="false" customHeight="false" outlineLevel="0" collapsed="false">
      <c r="A319" s="35"/>
      <c r="B319" s="36" t="str">
        <f aca="false">IF(A319="","",MONTH(A319))</f>
        <v/>
      </c>
      <c r="C319" s="37"/>
      <c r="D319" s="37"/>
      <c r="E319" s="37"/>
      <c r="F319" s="37"/>
      <c r="G319" s="37"/>
      <c r="H319" s="37"/>
    </row>
    <row r="320" customFormat="false" ht="15" hidden="false" customHeight="false" outlineLevel="0" collapsed="false">
      <c r="A320" s="35"/>
      <c r="B320" s="36" t="str">
        <f aca="false">IF(A320="","",MONTH(A320))</f>
        <v/>
      </c>
      <c r="C320" s="37"/>
      <c r="D320" s="37"/>
      <c r="E320" s="37"/>
      <c r="F320" s="37"/>
      <c r="G320" s="37"/>
      <c r="H320" s="37"/>
    </row>
    <row r="321" customFormat="false" ht="15" hidden="false" customHeight="false" outlineLevel="0" collapsed="false">
      <c r="A321" s="35"/>
      <c r="B321" s="36" t="str">
        <f aca="false">IF(A321="","",MONTH(A321))</f>
        <v/>
      </c>
      <c r="C321" s="37"/>
      <c r="D321" s="37"/>
      <c r="E321" s="37"/>
      <c r="F321" s="37"/>
      <c r="G321" s="37"/>
      <c r="H321" s="37"/>
    </row>
    <row r="322" customFormat="false" ht="15" hidden="false" customHeight="false" outlineLevel="0" collapsed="false">
      <c r="A322" s="35"/>
      <c r="B322" s="36" t="str">
        <f aca="false">IF(A322="","",MONTH(A322))</f>
        <v/>
      </c>
      <c r="C322" s="37"/>
      <c r="D322" s="37"/>
      <c r="E322" s="37"/>
      <c r="F322" s="37"/>
      <c r="G322" s="37"/>
      <c r="H322" s="37"/>
    </row>
    <row r="323" customFormat="false" ht="15" hidden="false" customHeight="false" outlineLevel="0" collapsed="false">
      <c r="A323" s="35"/>
      <c r="B323" s="36" t="str">
        <f aca="false">IF(A323="","",MONTH(A323))</f>
        <v/>
      </c>
      <c r="C323" s="37"/>
      <c r="D323" s="37"/>
      <c r="E323" s="37"/>
      <c r="F323" s="37"/>
      <c r="G323" s="37"/>
      <c r="H323" s="37"/>
    </row>
    <row r="324" customFormat="false" ht="15" hidden="false" customHeight="false" outlineLevel="0" collapsed="false">
      <c r="A324" s="35"/>
      <c r="B324" s="36" t="str">
        <f aca="false">IF(A324="","",MONTH(A324))</f>
        <v/>
      </c>
      <c r="C324" s="37"/>
      <c r="D324" s="37"/>
      <c r="E324" s="37"/>
      <c r="F324" s="37"/>
      <c r="G324" s="37"/>
      <c r="H324" s="37"/>
    </row>
    <row r="325" customFormat="false" ht="15" hidden="false" customHeight="false" outlineLevel="0" collapsed="false">
      <c r="A325" s="35"/>
      <c r="B325" s="36" t="str">
        <f aca="false">IF(A325="","",MONTH(A325))</f>
        <v/>
      </c>
      <c r="C325" s="37"/>
      <c r="D325" s="37"/>
      <c r="E325" s="37"/>
      <c r="F325" s="37"/>
      <c r="G325" s="37"/>
      <c r="H325" s="37"/>
    </row>
    <row r="326" customFormat="false" ht="15" hidden="false" customHeight="false" outlineLevel="0" collapsed="false">
      <c r="A326" s="35"/>
      <c r="B326" s="36" t="str">
        <f aca="false">IF(A326="","",MONTH(A326))</f>
        <v/>
      </c>
      <c r="C326" s="37"/>
      <c r="D326" s="37"/>
      <c r="E326" s="37"/>
      <c r="F326" s="37"/>
      <c r="G326" s="37"/>
      <c r="H326" s="37"/>
    </row>
    <row r="327" customFormat="false" ht="15" hidden="false" customHeight="false" outlineLevel="0" collapsed="false">
      <c r="A327" s="35"/>
      <c r="B327" s="36" t="str">
        <f aca="false">IF(A327="","",MONTH(A327))</f>
        <v/>
      </c>
      <c r="C327" s="37"/>
      <c r="D327" s="37"/>
      <c r="E327" s="37"/>
      <c r="F327" s="37"/>
      <c r="G327" s="37"/>
      <c r="H327" s="37"/>
    </row>
    <row r="328" customFormat="false" ht="15" hidden="false" customHeight="false" outlineLevel="0" collapsed="false">
      <c r="A328" s="35"/>
      <c r="B328" s="36" t="str">
        <f aca="false">IF(A328="","",MONTH(A328))</f>
        <v/>
      </c>
      <c r="C328" s="37"/>
      <c r="D328" s="37"/>
      <c r="E328" s="37"/>
      <c r="F328" s="37"/>
      <c r="G328" s="37"/>
      <c r="H328" s="37"/>
    </row>
    <row r="329" customFormat="false" ht="15" hidden="false" customHeight="false" outlineLevel="0" collapsed="false">
      <c r="A329" s="35"/>
      <c r="B329" s="36" t="str">
        <f aca="false">IF(A329="","",MONTH(A329))</f>
        <v/>
      </c>
      <c r="C329" s="37"/>
      <c r="D329" s="37"/>
      <c r="E329" s="37"/>
      <c r="F329" s="37"/>
      <c r="G329" s="37"/>
      <c r="H329" s="37"/>
    </row>
    <row r="330" customFormat="false" ht="15" hidden="false" customHeight="false" outlineLevel="0" collapsed="false">
      <c r="A330" s="35"/>
      <c r="B330" s="36" t="str">
        <f aca="false">IF(A330="","",MONTH(A330))</f>
        <v/>
      </c>
      <c r="C330" s="37"/>
      <c r="D330" s="37"/>
      <c r="E330" s="37"/>
      <c r="F330" s="37"/>
      <c r="G330" s="37"/>
      <c r="H330" s="37"/>
    </row>
    <row r="331" customFormat="false" ht="15" hidden="false" customHeight="false" outlineLevel="0" collapsed="false">
      <c r="A331" s="35"/>
      <c r="B331" s="36" t="str">
        <f aca="false">IF(A331="","",MONTH(A331))</f>
        <v/>
      </c>
      <c r="C331" s="37"/>
      <c r="D331" s="37"/>
      <c r="E331" s="37"/>
      <c r="F331" s="37"/>
      <c r="G331" s="37"/>
      <c r="H331" s="37"/>
    </row>
    <row r="332" customFormat="false" ht="15" hidden="false" customHeight="false" outlineLevel="0" collapsed="false">
      <c r="A332" s="35"/>
      <c r="B332" s="36" t="str">
        <f aca="false">IF(A332="","",MONTH(A332))</f>
        <v/>
      </c>
      <c r="C332" s="37"/>
      <c r="D332" s="37"/>
      <c r="E332" s="37"/>
      <c r="F332" s="37"/>
      <c r="G332" s="37"/>
      <c r="H332" s="37"/>
    </row>
    <row r="333" customFormat="false" ht="15" hidden="false" customHeight="false" outlineLevel="0" collapsed="false">
      <c r="A333" s="35"/>
      <c r="B333" s="36" t="str">
        <f aca="false">IF(A333="","",MONTH(A333))</f>
        <v/>
      </c>
      <c r="C333" s="37"/>
      <c r="D333" s="37"/>
      <c r="E333" s="37"/>
      <c r="F333" s="37"/>
      <c r="G333" s="37"/>
      <c r="H333" s="37"/>
    </row>
    <row r="334" customFormat="false" ht="15" hidden="false" customHeight="false" outlineLevel="0" collapsed="false">
      <c r="A334" s="35"/>
      <c r="B334" s="36" t="str">
        <f aca="false">IF(A334="","",MONTH(A334))</f>
        <v/>
      </c>
      <c r="C334" s="37"/>
      <c r="D334" s="37"/>
      <c r="E334" s="37"/>
      <c r="F334" s="37"/>
      <c r="G334" s="37"/>
      <c r="H334" s="37"/>
    </row>
    <row r="335" customFormat="false" ht="15" hidden="false" customHeight="false" outlineLevel="0" collapsed="false">
      <c r="A335" s="35"/>
      <c r="B335" s="36" t="str">
        <f aca="false">IF(A335="","",MONTH(A335))</f>
        <v/>
      </c>
      <c r="C335" s="37"/>
      <c r="D335" s="37"/>
      <c r="E335" s="37"/>
      <c r="F335" s="37"/>
      <c r="G335" s="37"/>
      <c r="H335" s="37"/>
    </row>
    <row r="336" customFormat="false" ht="15" hidden="false" customHeight="false" outlineLevel="0" collapsed="false">
      <c r="A336" s="35"/>
      <c r="B336" s="36" t="str">
        <f aca="false">IF(A336="","",MONTH(A336))</f>
        <v/>
      </c>
      <c r="C336" s="37"/>
      <c r="D336" s="37"/>
      <c r="E336" s="37"/>
      <c r="F336" s="37"/>
      <c r="G336" s="37"/>
      <c r="H336" s="37"/>
    </row>
    <row r="337" customFormat="false" ht="15" hidden="false" customHeight="false" outlineLevel="0" collapsed="false">
      <c r="A337" s="35"/>
      <c r="B337" s="36" t="str">
        <f aca="false">IF(A337="","",MONTH(A337))</f>
        <v/>
      </c>
      <c r="C337" s="37"/>
      <c r="D337" s="37"/>
      <c r="E337" s="37"/>
      <c r="F337" s="37"/>
      <c r="G337" s="37"/>
      <c r="H337" s="37"/>
    </row>
    <row r="338" customFormat="false" ht="15" hidden="false" customHeight="false" outlineLevel="0" collapsed="false">
      <c r="A338" s="35"/>
      <c r="B338" s="36" t="str">
        <f aca="false">IF(A338="","",MONTH(A338))</f>
        <v/>
      </c>
      <c r="C338" s="37"/>
      <c r="D338" s="37"/>
      <c r="E338" s="37"/>
      <c r="F338" s="37"/>
      <c r="G338" s="37"/>
      <c r="H338" s="37"/>
    </row>
    <row r="339" customFormat="false" ht="15" hidden="false" customHeight="false" outlineLevel="0" collapsed="false">
      <c r="A339" s="35"/>
      <c r="B339" s="36" t="str">
        <f aca="false">IF(A339="","",MONTH(A339))</f>
        <v/>
      </c>
      <c r="C339" s="37"/>
      <c r="D339" s="37"/>
      <c r="E339" s="37"/>
      <c r="F339" s="37"/>
      <c r="G339" s="37"/>
      <c r="H339" s="37"/>
    </row>
    <row r="340" customFormat="false" ht="15" hidden="false" customHeight="false" outlineLevel="0" collapsed="false">
      <c r="A340" s="35"/>
      <c r="B340" s="36" t="str">
        <f aca="false">IF(A340="","",MONTH(A340))</f>
        <v/>
      </c>
      <c r="C340" s="37"/>
      <c r="D340" s="37"/>
      <c r="E340" s="37"/>
      <c r="F340" s="37"/>
      <c r="G340" s="37"/>
      <c r="H340" s="37"/>
    </row>
    <row r="341" customFormat="false" ht="15" hidden="false" customHeight="false" outlineLevel="0" collapsed="false">
      <c r="A341" s="35"/>
      <c r="B341" s="36" t="str">
        <f aca="false">IF(A341="","",MONTH(A341))</f>
        <v/>
      </c>
      <c r="C341" s="37"/>
      <c r="D341" s="37"/>
      <c r="E341" s="37"/>
      <c r="F341" s="37"/>
      <c r="G341" s="37"/>
      <c r="H341" s="37"/>
    </row>
    <row r="342" customFormat="false" ht="15" hidden="false" customHeight="false" outlineLevel="0" collapsed="false">
      <c r="A342" s="35"/>
      <c r="B342" s="36" t="str">
        <f aca="false">IF(A342="","",MONTH(A342))</f>
        <v/>
      </c>
      <c r="C342" s="37"/>
      <c r="D342" s="37"/>
      <c r="E342" s="37"/>
      <c r="F342" s="37"/>
      <c r="G342" s="37"/>
      <c r="H342" s="37"/>
    </row>
    <row r="343" customFormat="false" ht="15" hidden="false" customHeight="false" outlineLevel="0" collapsed="false">
      <c r="A343" s="35"/>
      <c r="B343" s="36" t="str">
        <f aca="false">IF(A343="","",MONTH(A343))</f>
        <v/>
      </c>
      <c r="C343" s="37"/>
      <c r="D343" s="37"/>
      <c r="E343" s="37"/>
      <c r="F343" s="37"/>
      <c r="G343" s="37"/>
      <c r="H343" s="37"/>
    </row>
    <row r="344" customFormat="false" ht="15" hidden="false" customHeight="false" outlineLevel="0" collapsed="false">
      <c r="A344" s="35"/>
      <c r="B344" s="36" t="str">
        <f aca="false">IF(A344="","",MONTH(A344))</f>
        <v/>
      </c>
      <c r="C344" s="37"/>
      <c r="D344" s="37"/>
      <c r="E344" s="37"/>
      <c r="F344" s="37"/>
      <c r="G344" s="37"/>
      <c r="H344" s="37"/>
    </row>
    <row r="345" customFormat="false" ht="15" hidden="false" customHeight="false" outlineLevel="0" collapsed="false">
      <c r="A345" s="35"/>
      <c r="B345" s="36" t="str">
        <f aca="false">IF(A345="","",MONTH(A345))</f>
        <v/>
      </c>
      <c r="C345" s="37"/>
      <c r="D345" s="37"/>
      <c r="E345" s="37"/>
      <c r="F345" s="37"/>
      <c r="G345" s="37"/>
      <c r="H345" s="37"/>
    </row>
    <row r="346" customFormat="false" ht="15" hidden="false" customHeight="false" outlineLevel="0" collapsed="false">
      <c r="A346" s="35"/>
      <c r="B346" s="36" t="str">
        <f aca="false">IF(A346="","",MONTH(A346))</f>
        <v/>
      </c>
      <c r="C346" s="37"/>
      <c r="D346" s="37"/>
      <c r="E346" s="37"/>
      <c r="F346" s="37"/>
      <c r="G346" s="37"/>
      <c r="H346" s="37"/>
    </row>
    <row r="347" customFormat="false" ht="15" hidden="false" customHeight="false" outlineLevel="0" collapsed="false">
      <c r="A347" s="35"/>
      <c r="B347" s="36" t="str">
        <f aca="false">IF(A347="","",MONTH(A347))</f>
        <v/>
      </c>
      <c r="C347" s="37"/>
      <c r="D347" s="37"/>
      <c r="E347" s="37"/>
      <c r="F347" s="37"/>
      <c r="G347" s="37"/>
      <c r="H347" s="37"/>
    </row>
    <row r="348" customFormat="false" ht="15" hidden="false" customHeight="false" outlineLevel="0" collapsed="false">
      <c r="A348" s="35"/>
      <c r="B348" s="36" t="str">
        <f aca="false">IF(A348="","",MONTH(A348))</f>
        <v/>
      </c>
      <c r="C348" s="37"/>
      <c r="D348" s="37"/>
      <c r="E348" s="37"/>
      <c r="F348" s="37"/>
      <c r="G348" s="37"/>
      <c r="H348" s="37"/>
    </row>
    <row r="349" customFormat="false" ht="15" hidden="false" customHeight="false" outlineLevel="0" collapsed="false">
      <c r="A349" s="35"/>
      <c r="B349" s="36" t="str">
        <f aca="false">IF(A349="","",MONTH(A349))</f>
        <v/>
      </c>
      <c r="C349" s="37"/>
      <c r="D349" s="37"/>
      <c r="E349" s="37"/>
      <c r="F349" s="37"/>
      <c r="G349" s="37"/>
      <c r="H349" s="37"/>
    </row>
    <row r="350" customFormat="false" ht="15" hidden="false" customHeight="false" outlineLevel="0" collapsed="false">
      <c r="A350" s="35"/>
      <c r="B350" s="36" t="str">
        <f aca="false">IF(A350="","",MONTH(A350))</f>
        <v/>
      </c>
      <c r="C350" s="37"/>
      <c r="D350" s="37"/>
      <c r="E350" s="37"/>
      <c r="F350" s="37"/>
      <c r="G350" s="37"/>
      <c r="H350" s="37"/>
    </row>
    <row r="351" customFormat="false" ht="15" hidden="false" customHeight="false" outlineLevel="0" collapsed="false">
      <c r="A351" s="35"/>
      <c r="B351" s="36" t="str">
        <f aca="false">IF(A351="","",MONTH(A351))</f>
        <v/>
      </c>
      <c r="C351" s="37"/>
      <c r="D351" s="37"/>
      <c r="E351" s="37"/>
      <c r="F351" s="37"/>
      <c r="G351" s="37"/>
      <c r="H351" s="37"/>
    </row>
    <row r="352" customFormat="false" ht="15" hidden="false" customHeight="false" outlineLevel="0" collapsed="false">
      <c r="A352" s="35"/>
      <c r="B352" s="36" t="str">
        <f aca="false">IF(A352="","",MONTH(A352))</f>
        <v/>
      </c>
      <c r="C352" s="37"/>
      <c r="D352" s="37"/>
      <c r="E352" s="37"/>
      <c r="F352" s="37"/>
      <c r="G352" s="37"/>
      <c r="H352" s="37"/>
    </row>
    <row r="353" customFormat="false" ht="15" hidden="false" customHeight="false" outlineLevel="0" collapsed="false">
      <c r="A353" s="35"/>
      <c r="B353" s="36" t="str">
        <f aca="false">IF(A353="","",MONTH(A353))</f>
        <v/>
      </c>
      <c r="C353" s="37"/>
      <c r="D353" s="37"/>
      <c r="E353" s="37"/>
      <c r="F353" s="37"/>
      <c r="G353" s="37"/>
      <c r="H353" s="37"/>
    </row>
    <row r="354" customFormat="false" ht="15" hidden="false" customHeight="false" outlineLevel="0" collapsed="false">
      <c r="A354" s="35"/>
      <c r="B354" s="36" t="str">
        <f aca="false">IF(A354="","",MONTH(A354))</f>
        <v/>
      </c>
      <c r="C354" s="37"/>
      <c r="D354" s="37"/>
      <c r="E354" s="37"/>
      <c r="F354" s="37"/>
      <c r="G354" s="37"/>
      <c r="H354" s="37"/>
    </row>
    <row r="355" customFormat="false" ht="15" hidden="false" customHeight="false" outlineLevel="0" collapsed="false">
      <c r="A355" s="35"/>
      <c r="B355" s="36" t="str">
        <f aca="false">IF(A355="","",MONTH(A355))</f>
        <v/>
      </c>
      <c r="C355" s="37"/>
      <c r="D355" s="37"/>
      <c r="E355" s="37"/>
      <c r="F355" s="37"/>
      <c r="G355" s="37"/>
      <c r="H355" s="37"/>
    </row>
    <row r="356" customFormat="false" ht="15" hidden="false" customHeight="false" outlineLevel="0" collapsed="false">
      <c r="A356" s="35"/>
      <c r="B356" s="36" t="str">
        <f aca="false">IF(A356="","",MONTH(A356))</f>
        <v/>
      </c>
      <c r="C356" s="37"/>
      <c r="D356" s="37"/>
      <c r="E356" s="37"/>
      <c r="F356" s="37"/>
      <c r="G356" s="37"/>
      <c r="H356" s="37"/>
    </row>
    <row r="357" customFormat="false" ht="15" hidden="false" customHeight="false" outlineLevel="0" collapsed="false">
      <c r="A357" s="35"/>
      <c r="B357" s="36" t="str">
        <f aca="false">IF(A357="","",MONTH(A357))</f>
        <v/>
      </c>
      <c r="C357" s="37"/>
      <c r="D357" s="37"/>
      <c r="E357" s="37"/>
      <c r="F357" s="37"/>
      <c r="G357" s="37"/>
      <c r="H357" s="37"/>
    </row>
    <row r="358" customFormat="false" ht="15" hidden="false" customHeight="false" outlineLevel="0" collapsed="false">
      <c r="A358" s="35"/>
      <c r="B358" s="36" t="str">
        <f aca="false">IF(A358="","",MONTH(A358))</f>
        <v/>
      </c>
      <c r="C358" s="37"/>
      <c r="D358" s="37"/>
      <c r="E358" s="37"/>
      <c r="F358" s="37"/>
      <c r="G358" s="37"/>
      <c r="H358" s="37"/>
    </row>
    <row r="359" customFormat="false" ht="15" hidden="false" customHeight="false" outlineLevel="0" collapsed="false">
      <c r="A359" s="35"/>
      <c r="B359" s="36" t="str">
        <f aca="false">IF(A359="","",MONTH(A359))</f>
        <v/>
      </c>
      <c r="C359" s="37"/>
      <c r="D359" s="37"/>
      <c r="E359" s="37"/>
      <c r="F359" s="37"/>
      <c r="G359" s="37"/>
      <c r="H359" s="37"/>
    </row>
    <row r="360" customFormat="false" ht="15" hidden="false" customHeight="false" outlineLevel="0" collapsed="false">
      <c r="A360" s="35"/>
      <c r="B360" s="36" t="str">
        <f aca="false">IF(A360="","",MONTH(A360))</f>
        <v/>
      </c>
      <c r="C360" s="37"/>
      <c r="D360" s="37"/>
      <c r="E360" s="37"/>
      <c r="F360" s="37"/>
      <c r="G360" s="37"/>
      <c r="H360" s="37"/>
    </row>
    <row r="361" customFormat="false" ht="15" hidden="false" customHeight="false" outlineLevel="0" collapsed="false">
      <c r="A361" s="35"/>
      <c r="B361" s="36" t="str">
        <f aca="false">IF(A361="","",MONTH(A361))</f>
        <v/>
      </c>
      <c r="C361" s="37"/>
      <c r="D361" s="37"/>
      <c r="E361" s="37"/>
      <c r="F361" s="37"/>
      <c r="G361" s="37"/>
      <c r="H361" s="37"/>
    </row>
    <row r="362" customFormat="false" ht="15" hidden="false" customHeight="false" outlineLevel="0" collapsed="false">
      <c r="A362" s="35"/>
      <c r="B362" s="36" t="str">
        <f aca="false">IF(A362="","",MONTH(A362))</f>
        <v/>
      </c>
      <c r="C362" s="37"/>
      <c r="D362" s="37"/>
      <c r="E362" s="37"/>
      <c r="F362" s="37"/>
      <c r="G362" s="37"/>
      <c r="H362" s="37"/>
    </row>
    <row r="363" customFormat="false" ht="15" hidden="false" customHeight="false" outlineLevel="0" collapsed="false">
      <c r="A363" s="35"/>
      <c r="B363" s="36" t="str">
        <f aca="false">IF(A363="","",MONTH(A363))</f>
        <v/>
      </c>
      <c r="C363" s="37"/>
      <c r="D363" s="37"/>
      <c r="E363" s="37"/>
      <c r="F363" s="37"/>
      <c r="G363" s="37"/>
      <c r="H363" s="37"/>
    </row>
    <row r="364" customFormat="false" ht="15" hidden="false" customHeight="false" outlineLevel="0" collapsed="false">
      <c r="A364" s="35"/>
      <c r="B364" s="36" t="str">
        <f aca="false">IF(A364="","",MONTH(A364))</f>
        <v/>
      </c>
      <c r="C364" s="37"/>
      <c r="D364" s="37"/>
      <c r="E364" s="37"/>
      <c r="F364" s="37"/>
      <c r="G364" s="37"/>
      <c r="H364" s="37"/>
    </row>
    <row r="365" customFormat="false" ht="15" hidden="false" customHeight="false" outlineLevel="0" collapsed="false">
      <c r="A365" s="35"/>
      <c r="B365" s="36" t="str">
        <f aca="false">IF(A365="","",MONTH(A365))</f>
        <v/>
      </c>
      <c r="C365" s="37"/>
      <c r="D365" s="37"/>
      <c r="E365" s="37"/>
      <c r="F365" s="37"/>
      <c r="G365" s="37"/>
      <c r="H365" s="37"/>
    </row>
    <row r="366" customFormat="false" ht="15" hidden="false" customHeight="false" outlineLevel="0" collapsed="false">
      <c r="A366" s="35"/>
      <c r="B366" s="36" t="str">
        <f aca="false">IF(A366="","",MONTH(A366))</f>
        <v/>
      </c>
      <c r="C366" s="37"/>
      <c r="D366" s="37"/>
      <c r="E366" s="37"/>
      <c r="F366" s="37"/>
      <c r="G366" s="37"/>
      <c r="H366" s="37"/>
    </row>
    <row r="367" customFormat="false" ht="15" hidden="false" customHeight="false" outlineLevel="0" collapsed="false">
      <c r="A367" s="35"/>
      <c r="B367" s="36" t="str">
        <f aca="false">IF(A367="","",MONTH(A367))</f>
        <v/>
      </c>
      <c r="C367" s="37"/>
      <c r="D367" s="37"/>
      <c r="E367" s="37"/>
      <c r="F367" s="37"/>
      <c r="G367" s="37"/>
      <c r="H367" s="37"/>
    </row>
    <row r="368" customFormat="false" ht="15" hidden="false" customHeight="false" outlineLevel="0" collapsed="false">
      <c r="A368" s="35"/>
      <c r="B368" s="36" t="str">
        <f aca="false">IF(A368="","",MONTH(A368))</f>
        <v/>
      </c>
      <c r="C368" s="37"/>
      <c r="D368" s="37"/>
      <c r="E368" s="37"/>
      <c r="F368" s="37"/>
      <c r="G368" s="37"/>
      <c r="H368" s="37"/>
    </row>
    <row r="369" customFormat="false" ht="15" hidden="false" customHeight="false" outlineLevel="0" collapsed="false">
      <c r="A369" s="35"/>
      <c r="B369" s="36" t="str">
        <f aca="false">IF(A369="","",MONTH(A369))</f>
        <v/>
      </c>
      <c r="C369" s="37"/>
      <c r="D369" s="37"/>
      <c r="E369" s="37"/>
      <c r="F369" s="37"/>
      <c r="G369" s="37"/>
      <c r="H369" s="37"/>
    </row>
    <row r="370" customFormat="false" ht="15" hidden="false" customHeight="false" outlineLevel="0" collapsed="false">
      <c r="A370" s="35"/>
      <c r="B370" s="36" t="str">
        <f aca="false">IF(A370="","",MONTH(A370))</f>
        <v/>
      </c>
      <c r="C370" s="37"/>
      <c r="D370" s="37"/>
      <c r="E370" s="37"/>
      <c r="F370" s="37"/>
      <c r="G370" s="37"/>
      <c r="H370" s="37"/>
    </row>
    <row r="371" customFormat="false" ht="15" hidden="false" customHeight="false" outlineLevel="0" collapsed="false">
      <c r="A371" s="35"/>
      <c r="B371" s="36" t="str">
        <f aca="false">IF(A371="","",MONTH(A371))</f>
        <v/>
      </c>
      <c r="C371" s="37"/>
      <c r="D371" s="37"/>
      <c r="E371" s="37"/>
      <c r="F371" s="37"/>
      <c r="G371" s="37"/>
      <c r="H371" s="37"/>
    </row>
    <row r="372" customFormat="false" ht="15" hidden="false" customHeight="false" outlineLevel="0" collapsed="false">
      <c r="A372" s="35"/>
      <c r="B372" s="36" t="str">
        <f aca="false">IF(A372="","",MONTH(A372))</f>
        <v/>
      </c>
      <c r="C372" s="37"/>
      <c r="D372" s="37"/>
      <c r="E372" s="37"/>
      <c r="F372" s="37"/>
      <c r="G372" s="37"/>
      <c r="H372" s="37"/>
    </row>
    <row r="373" customFormat="false" ht="15" hidden="false" customHeight="false" outlineLevel="0" collapsed="false">
      <c r="A373" s="35"/>
      <c r="B373" s="36" t="str">
        <f aca="false">IF(A373="","",MONTH(A373))</f>
        <v/>
      </c>
      <c r="C373" s="37"/>
      <c r="D373" s="37"/>
      <c r="E373" s="37"/>
      <c r="F373" s="37"/>
      <c r="G373" s="37"/>
      <c r="H373" s="37"/>
    </row>
    <row r="374" customFormat="false" ht="15" hidden="false" customHeight="false" outlineLevel="0" collapsed="false">
      <c r="A374" s="35"/>
      <c r="B374" s="36" t="str">
        <f aca="false">IF(A374="","",MONTH(A374))</f>
        <v/>
      </c>
      <c r="C374" s="37"/>
      <c r="D374" s="37"/>
      <c r="E374" s="37"/>
      <c r="F374" s="37"/>
      <c r="G374" s="37"/>
      <c r="H374" s="37"/>
    </row>
    <row r="375" customFormat="false" ht="15" hidden="false" customHeight="false" outlineLevel="0" collapsed="false">
      <c r="A375" s="35"/>
      <c r="B375" s="36" t="str">
        <f aca="false">IF(A375="","",MONTH(A375))</f>
        <v/>
      </c>
      <c r="C375" s="37"/>
      <c r="D375" s="37"/>
      <c r="E375" s="37"/>
      <c r="F375" s="37"/>
      <c r="G375" s="37"/>
      <c r="H375" s="37"/>
    </row>
    <row r="376" customFormat="false" ht="15" hidden="false" customHeight="false" outlineLevel="0" collapsed="false">
      <c r="A376" s="35"/>
      <c r="B376" s="36" t="str">
        <f aca="false">IF(A376="","",MONTH(A376))</f>
        <v/>
      </c>
      <c r="C376" s="37"/>
      <c r="D376" s="37"/>
      <c r="E376" s="37"/>
      <c r="F376" s="37"/>
      <c r="G376" s="37"/>
      <c r="H376" s="37"/>
    </row>
    <row r="377" customFormat="false" ht="15" hidden="false" customHeight="false" outlineLevel="0" collapsed="false">
      <c r="A377" s="35"/>
      <c r="B377" s="36" t="str">
        <f aca="false">IF(A377="","",MONTH(A377))</f>
        <v/>
      </c>
      <c r="C377" s="37"/>
      <c r="D377" s="37"/>
      <c r="E377" s="37"/>
      <c r="F377" s="37"/>
      <c r="G377" s="37"/>
      <c r="H377" s="37"/>
    </row>
    <row r="378" customFormat="false" ht="15" hidden="false" customHeight="false" outlineLevel="0" collapsed="false">
      <c r="A378" s="35"/>
      <c r="B378" s="36" t="str">
        <f aca="false">IF(A378="","",MONTH(A378))</f>
        <v/>
      </c>
      <c r="C378" s="37"/>
      <c r="D378" s="37"/>
      <c r="E378" s="37"/>
      <c r="F378" s="37"/>
      <c r="G378" s="37"/>
      <c r="H378" s="37"/>
    </row>
    <row r="379" customFormat="false" ht="15" hidden="false" customHeight="false" outlineLevel="0" collapsed="false">
      <c r="A379" s="35"/>
      <c r="B379" s="36" t="str">
        <f aca="false">IF(A379="","",MONTH(A379))</f>
        <v/>
      </c>
      <c r="C379" s="37"/>
      <c r="D379" s="37"/>
      <c r="E379" s="37"/>
      <c r="F379" s="37"/>
      <c r="G379" s="37"/>
      <c r="H379" s="37"/>
    </row>
    <row r="380" customFormat="false" ht="15" hidden="false" customHeight="false" outlineLevel="0" collapsed="false">
      <c r="A380" s="35"/>
      <c r="B380" s="36" t="str">
        <f aca="false">IF(A380="","",MONTH(A380))</f>
        <v/>
      </c>
      <c r="C380" s="37"/>
      <c r="D380" s="37"/>
      <c r="E380" s="37"/>
      <c r="F380" s="37"/>
      <c r="G380" s="37"/>
      <c r="H380" s="37"/>
    </row>
    <row r="381" customFormat="false" ht="15" hidden="false" customHeight="false" outlineLevel="0" collapsed="false">
      <c r="A381" s="35"/>
      <c r="B381" s="36" t="str">
        <f aca="false">IF(A381="","",MONTH(A381))</f>
        <v/>
      </c>
      <c r="C381" s="37"/>
      <c r="D381" s="37"/>
      <c r="E381" s="37"/>
      <c r="F381" s="37"/>
      <c r="G381" s="37"/>
      <c r="H381" s="37"/>
    </row>
    <row r="382" customFormat="false" ht="15" hidden="false" customHeight="false" outlineLevel="0" collapsed="false">
      <c r="A382" s="35"/>
      <c r="B382" s="36" t="str">
        <f aca="false">IF(A382="","",MONTH(A382))</f>
        <v/>
      </c>
      <c r="C382" s="37"/>
      <c r="D382" s="37"/>
      <c r="E382" s="37"/>
      <c r="F382" s="37"/>
      <c r="G382" s="37"/>
      <c r="H382" s="37"/>
    </row>
    <row r="383" customFormat="false" ht="15" hidden="false" customHeight="false" outlineLevel="0" collapsed="false">
      <c r="A383" s="35"/>
      <c r="B383" s="36" t="str">
        <f aca="false">IF(A383="","",MONTH(A383))</f>
        <v/>
      </c>
      <c r="C383" s="37"/>
      <c r="D383" s="37"/>
      <c r="E383" s="37"/>
      <c r="F383" s="37"/>
      <c r="G383" s="37"/>
      <c r="H383" s="37"/>
    </row>
    <row r="384" customFormat="false" ht="15" hidden="false" customHeight="false" outlineLevel="0" collapsed="false">
      <c r="A384" s="35"/>
      <c r="B384" s="36" t="str">
        <f aca="false">IF(A384="","",MONTH(A384))</f>
        <v/>
      </c>
      <c r="C384" s="37"/>
      <c r="D384" s="37"/>
      <c r="E384" s="37"/>
      <c r="F384" s="37"/>
      <c r="G384" s="37"/>
      <c r="H384" s="37"/>
    </row>
    <row r="385" customFormat="false" ht="15" hidden="false" customHeight="false" outlineLevel="0" collapsed="false">
      <c r="A385" s="35"/>
      <c r="B385" s="36" t="str">
        <f aca="false">IF(A385="","",MONTH(A385))</f>
        <v/>
      </c>
      <c r="C385" s="37"/>
      <c r="D385" s="37"/>
      <c r="E385" s="37"/>
      <c r="F385" s="37"/>
      <c r="G385" s="37"/>
      <c r="H385" s="37"/>
    </row>
    <row r="386" customFormat="false" ht="15" hidden="false" customHeight="false" outlineLevel="0" collapsed="false">
      <c r="A386" s="35"/>
      <c r="B386" s="36" t="str">
        <f aca="false">IF(A386="","",MONTH(A386))</f>
        <v/>
      </c>
      <c r="C386" s="37"/>
      <c r="D386" s="37"/>
      <c r="E386" s="37"/>
      <c r="F386" s="37"/>
      <c r="G386" s="37"/>
      <c r="H386" s="37"/>
    </row>
    <row r="387" customFormat="false" ht="15" hidden="false" customHeight="false" outlineLevel="0" collapsed="false">
      <c r="A387" s="35"/>
      <c r="B387" s="36" t="str">
        <f aca="false">IF(A387="","",MONTH(A387))</f>
        <v/>
      </c>
      <c r="C387" s="37"/>
      <c r="D387" s="37"/>
      <c r="E387" s="37"/>
      <c r="F387" s="37"/>
      <c r="G387" s="37"/>
      <c r="H387" s="37"/>
    </row>
    <row r="388" customFormat="false" ht="15" hidden="false" customHeight="false" outlineLevel="0" collapsed="false">
      <c r="A388" s="35"/>
      <c r="B388" s="36" t="str">
        <f aca="false">IF(A388="","",MONTH(A388))</f>
        <v/>
      </c>
      <c r="C388" s="37"/>
      <c r="D388" s="37"/>
      <c r="E388" s="37"/>
      <c r="F388" s="37"/>
      <c r="G388" s="37"/>
      <c r="H388" s="37"/>
    </row>
    <row r="389" customFormat="false" ht="15" hidden="false" customHeight="false" outlineLevel="0" collapsed="false">
      <c r="A389" s="35"/>
      <c r="B389" s="36" t="str">
        <f aca="false">IF(A389="","",MONTH(A389))</f>
        <v/>
      </c>
      <c r="C389" s="37"/>
      <c r="D389" s="37"/>
      <c r="E389" s="37"/>
      <c r="F389" s="37"/>
      <c r="G389" s="37"/>
      <c r="H389" s="37"/>
    </row>
    <row r="390" customFormat="false" ht="15" hidden="false" customHeight="false" outlineLevel="0" collapsed="false">
      <c r="A390" s="35"/>
      <c r="B390" s="36" t="str">
        <f aca="false">IF(A390="","",MONTH(A390))</f>
        <v/>
      </c>
      <c r="C390" s="37"/>
      <c r="D390" s="37"/>
      <c r="E390" s="37"/>
      <c r="F390" s="37"/>
      <c r="G390" s="37"/>
      <c r="H390" s="37"/>
    </row>
    <row r="391" customFormat="false" ht="15" hidden="false" customHeight="false" outlineLevel="0" collapsed="false">
      <c r="A391" s="35"/>
      <c r="B391" s="36" t="str">
        <f aca="false">IF(A391="","",MONTH(A391))</f>
        <v/>
      </c>
      <c r="C391" s="37"/>
      <c r="D391" s="37"/>
      <c r="E391" s="37"/>
      <c r="F391" s="37"/>
      <c r="G391" s="37"/>
      <c r="H391" s="37"/>
    </row>
    <row r="392" customFormat="false" ht="15" hidden="false" customHeight="false" outlineLevel="0" collapsed="false">
      <c r="A392" s="35"/>
      <c r="B392" s="36" t="str">
        <f aca="false">IF(A392="","",MONTH(A392))</f>
        <v/>
      </c>
      <c r="C392" s="37"/>
      <c r="D392" s="37"/>
      <c r="E392" s="37"/>
      <c r="F392" s="37"/>
      <c r="G392" s="37"/>
      <c r="H392" s="37"/>
    </row>
    <row r="393" customFormat="false" ht="15" hidden="false" customHeight="false" outlineLevel="0" collapsed="false">
      <c r="A393" s="35"/>
      <c r="B393" s="36" t="str">
        <f aca="false">IF(A393="","",MONTH(A393))</f>
        <v/>
      </c>
      <c r="C393" s="37"/>
      <c r="D393" s="37"/>
      <c r="E393" s="37"/>
      <c r="F393" s="37"/>
      <c r="G393" s="37"/>
      <c r="H393" s="37"/>
    </row>
    <row r="394" customFormat="false" ht="15" hidden="false" customHeight="false" outlineLevel="0" collapsed="false">
      <c r="A394" s="35"/>
      <c r="B394" s="36" t="str">
        <f aca="false">IF(A394="","",MONTH(A394))</f>
        <v/>
      </c>
      <c r="C394" s="37"/>
      <c r="D394" s="37"/>
      <c r="E394" s="37"/>
      <c r="F394" s="37"/>
      <c r="G394" s="37"/>
      <c r="H394" s="37"/>
    </row>
    <row r="395" customFormat="false" ht="15" hidden="false" customHeight="false" outlineLevel="0" collapsed="false">
      <c r="A395" s="35"/>
      <c r="B395" s="36" t="str">
        <f aca="false">IF(A395="","",MONTH(A395))</f>
        <v/>
      </c>
      <c r="C395" s="37"/>
      <c r="D395" s="37"/>
      <c r="E395" s="37"/>
      <c r="F395" s="37"/>
      <c r="G395" s="37"/>
      <c r="H395" s="37"/>
    </row>
    <row r="396" customFormat="false" ht="15" hidden="false" customHeight="false" outlineLevel="0" collapsed="false">
      <c r="A396" s="35"/>
      <c r="B396" s="36" t="str">
        <f aca="false">IF(A396="","",MONTH(A396))</f>
        <v/>
      </c>
      <c r="C396" s="37"/>
      <c r="D396" s="37"/>
      <c r="E396" s="37"/>
      <c r="F396" s="37"/>
      <c r="G396" s="37"/>
      <c r="H396" s="37"/>
    </row>
    <row r="397" customFormat="false" ht="15" hidden="false" customHeight="false" outlineLevel="0" collapsed="false">
      <c r="A397" s="35"/>
      <c r="B397" s="36" t="str">
        <f aca="false">IF(A397="","",MONTH(A397))</f>
        <v/>
      </c>
      <c r="C397" s="37"/>
      <c r="D397" s="37"/>
      <c r="E397" s="37"/>
      <c r="F397" s="37"/>
      <c r="G397" s="37"/>
      <c r="H397" s="37"/>
    </row>
    <row r="398" customFormat="false" ht="15" hidden="false" customHeight="false" outlineLevel="0" collapsed="false">
      <c r="A398" s="35"/>
      <c r="B398" s="36" t="str">
        <f aca="false">IF(A398="","",MONTH(A398))</f>
        <v/>
      </c>
      <c r="C398" s="37"/>
      <c r="D398" s="37"/>
      <c r="E398" s="37"/>
      <c r="F398" s="37"/>
      <c r="G398" s="37"/>
      <c r="H398" s="37"/>
    </row>
    <row r="399" customFormat="false" ht="15" hidden="false" customHeight="false" outlineLevel="0" collapsed="false">
      <c r="A399" s="35"/>
      <c r="B399" s="36" t="str">
        <f aca="false">IF(A399="","",MONTH(A399))</f>
        <v/>
      </c>
      <c r="C399" s="37"/>
      <c r="D399" s="37"/>
      <c r="E399" s="37"/>
      <c r="F399" s="37"/>
      <c r="G399" s="37"/>
      <c r="H399" s="37"/>
    </row>
    <row r="400" customFormat="false" ht="15" hidden="false" customHeight="false" outlineLevel="0" collapsed="false">
      <c r="A400" s="35"/>
      <c r="B400" s="36" t="str">
        <f aca="false">IF(A400="","",MONTH(A400))</f>
        <v/>
      </c>
      <c r="C400" s="37"/>
      <c r="D400" s="37"/>
      <c r="E400" s="37"/>
      <c r="F400" s="37"/>
      <c r="G400" s="37"/>
      <c r="H400" s="37"/>
    </row>
    <row r="401" customFormat="false" ht="15" hidden="false" customHeight="false" outlineLevel="0" collapsed="false">
      <c r="A401" s="35"/>
      <c r="B401" s="36" t="str">
        <f aca="false">IF(A401="","",MONTH(A401))</f>
        <v/>
      </c>
      <c r="C401" s="37"/>
      <c r="D401" s="37"/>
      <c r="E401" s="37"/>
      <c r="F401" s="37"/>
      <c r="G401" s="37"/>
      <c r="H401" s="37"/>
    </row>
    <row r="402" customFormat="false" ht="15" hidden="false" customHeight="false" outlineLevel="0" collapsed="false">
      <c r="A402" s="35"/>
      <c r="B402" s="36" t="str">
        <f aca="false">IF(A402="","",MONTH(A402))</f>
        <v/>
      </c>
      <c r="C402" s="37"/>
      <c r="D402" s="37"/>
      <c r="E402" s="37"/>
      <c r="F402" s="37"/>
      <c r="G402" s="37"/>
      <c r="H402" s="37"/>
    </row>
    <row r="403" customFormat="false" ht="15" hidden="false" customHeight="false" outlineLevel="0" collapsed="false">
      <c r="A403" s="35"/>
      <c r="B403" s="36" t="str">
        <f aca="false">IF(A403="","",MONTH(A403))</f>
        <v/>
      </c>
      <c r="C403" s="37"/>
      <c r="D403" s="37"/>
      <c r="E403" s="37"/>
      <c r="F403" s="37"/>
      <c r="G403" s="37"/>
      <c r="H403" s="37"/>
    </row>
    <row r="404" customFormat="false" ht="15" hidden="false" customHeight="false" outlineLevel="0" collapsed="false">
      <c r="A404" s="35"/>
      <c r="B404" s="36" t="str">
        <f aca="false">IF(A404="","",MONTH(A404))</f>
        <v/>
      </c>
      <c r="C404" s="37"/>
      <c r="D404" s="37"/>
      <c r="E404" s="37"/>
      <c r="F404" s="37"/>
      <c r="G404" s="37"/>
      <c r="H404" s="37"/>
    </row>
    <row r="405" customFormat="false" ht="15" hidden="false" customHeight="false" outlineLevel="0" collapsed="false">
      <c r="A405" s="35"/>
      <c r="B405" s="36" t="str">
        <f aca="false">IF(A405="","",MONTH(A405))</f>
        <v/>
      </c>
      <c r="C405" s="37"/>
      <c r="D405" s="37"/>
      <c r="E405" s="37"/>
      <c r="F405" s="37"/>
      <c r="G405" s="37"/>
      <c r="H405" s="37"/>
    </row>
    <row r="406" customFormat="false" ht="15" hidden="false" customHeight="false" outlineLevel="0" collapsed="false">
      <c r="A406" s="35"/>
      <c r="B406" s="36" t="str">
        <f aca="false">IF(A406="","",MONTH(A406))</f>
        <v/>
      </c>
      <c r="C406" s="37"/>
      <c r="D406" s="37"/>
      <c r="E406" s="37"/>
      <c r="F406" s="37"/>
      <c r="G406" s="37"/>
      <c r="H406" s="37"/>
    </row>
    <row r="407" customFormat="false" ht="15" hidden="false" customHeight="false" outlineLevel="0" collapsed="false">
      <c r="A407" s="35"/>
      <c r="B407" s="36" t="str">
        <f aca="false">IF(A407="","",MONTH(A407))</f>
        <v/>
      </c>
      <c r="C407" s="37"/>
      <c r="D407" s="37"/>
      <c r="E407" s="37"/>
      <c r="F407" s="37"/>
      <c r="G407" s="37"/>
      <c r="H407" s="37"/>
    </row>
    <row r="408" customFormat="false" ht="15" hidden="false" customHeight="false" outlineLevel="0" collapsed="false">
      <c r="A408" s="35"/>
      <c r="B408" s="36" t="str">
        <f aca="false">IF(A408="","",MONTH(A408))</f>
        <v/>
      </c>
      <c r="C408" s="37"/>
      <c r="D408" s="37"/>
      <c r="E408" s="37"/>
      <c r="F408" s="37"/>
      <c r="G408" s="37"/>
      <c r="H408" s="37"/>
    </row>
    <row r="409" customFormat="false" ht="15" hidden="false" customHeight="false" outlineLevel="0" collapsed="false">
      <c r="A409" s="35"/>
      <c r="B409" s="36" t="str">
        <f aca="false">IF(A409="","",MONTH(A409))</f>
        <v/>
      </c>
      <c r="C409" s="37"/>
      <c r="D409" s="37"/>
      <c r="E409" s="37"/>
      <c r="F409" s="37"/>
      <c r="G409" s="37"/>
      <c r="H409" s="37"/>
    </row>
    <row r="410" customFormat="false" ht="15" hidden="false" customHeight="false" outlineLevel="0" collapsed="false">
      <c r="A410" s="35"/>
      <c r="B410" s="36" t="str">
        <f aca="false">IF(A410="","",MONTH(A410))</f>
        <v/>
      </c>
      <c r="C410" s="37"/>
      <c r="D410" s="37"/>
      <c r="E410" s="37"/>
      <c r="F410" s="37"/>
      <c r="G410" s="37"/>
      <c r="H410" s="37"/>
    </row>
    <row r="411" customFormat="false" ht="15" hidden="false" customHeight="false" outlineLevel="0" collapsed="false">
      <c r="A411" s="35"/>
      <c r="B411" s="36" t="str">
        <f aca="false">IF(A411="","",MONTH(A411))</f>
        <v/>
      </c>
      <c r="C411" s="37"/>
      <c r="D411" s="37"/>
      <c r="E411" s="37"/>
      <c r="F411" s="37"/>
      <c r="G411" s="37"/>
      <c r="H411" s="37"/>
    </row>
    <row r="412" customFormat="false" ht="15" hidden="false" customHeight="false" outlineLevel="0" collapsed="false">
      <c r="A412" s="35"/>
      <c r="B412" s="36" t="str">
        <f aca="false">IF(A412="","",MONTH(A412))</f>
        <v/>
      </c>
      <c r="C412" s="37"/>
      <c r="D412" s="37"/>
      <c r="E412" s="37"/>
      <c r="F412" s="37"/>
      <c r="G412" s="37"/>
      <c r="H412" s="37"/>
    </row>
    <row r="413" customFormat="false" ht="15" hidden="false" customHeight="false" outlineLevel="0" collapsed="false">
      <c r="A413" s="35"/>
      <c r="B413" s="36" t="str">
        <f aca="false">IF(A413="","",MONTH(A413))</f>
        <v/>
      </c>
      <c r="C413" s="37"/>
      <c r="D413" s="37"/>
      <c r="E413" s="37"/>
      <c r="F413" s="37"/>
      <c r="G413" s="37"/>
      <c r="H413" s="37"/>
    </row>
    <row r="414" customFormat="false" ht="15" hidden="false" customHeight="false" outlineLevel="0" collapsed="false">
      <c r="A414" s="35"/>
      <c r="B414" s="36" t="str">
        <f aca="false">IF(A414="","",MONTH(A414))</f>
        <v/>
      </c>
      <c r="C414" s="37"/>
      <c r="D414" s="37"/>
      <c r="E414" s="37"/>
      <c r="F414" s="37"/>
      <c r="G414" s="37"/>
      <c r="H414" s="37"/>
    </row>
    <row r="415" customFormat="false" ht="15" hidden="false" customHeight="false" outlineLevel="0" collapsed="false">
      <c r="A415" s="35"/>
      <c r="B415" s="36" t="str">
        <f aca="false">IF(A415="","",MONTH(A415))</f>
        <v/>
      </c>
      <c r="C415" s="37"/>
      <c r="D415" s="37"/>
      <c r="E415" s="37"/>
      <c r="F415" s="37"/>
      <c r="G415" s="37"/>
      <c r="H415" s="37"/>
    </row>
    <row r="416" customFormat="false" ht="15" hidden="false" customHeight="false" outlineLevel="0" collapsed="false">
      <c r="A416" s="35"/>
      <c r="B416" s="36" t="str">
        <f aca="false">IF(A416="","",MONTH(A416))</f>
        <v/>
      </c>
      <c r="C416" s="37"/>
      <c r="D416" s="37"/>
      <c r="E416" s="37"/>
      <c r="F416" s="37"/>
      <c r="G416" s="37"/>
      <c r="H416" s="37"/>
    </row>
    <row r="417" customFormat="false" ht="15" hidden="false" customHeight="false" outlineLevel="0" collapsed="false">
      <c r="A417" s="35"/>
      <c r="B417" s="36" t="str">
        <f aca="false">IF(A417="","",MONTH(A417))</f>
        <v/>
      </c>
      <c r="C417" s="37"/>
      <c r="D417" s="37"/>
      <c r="E417" s="37"/>
      <c r="F417" s="37"/>
      <c r="G417" s="37"/>
      <c r="H417" s="37"/>
    </row>
    <row r="418" customFormat="false" ht="15" hidden="false" customHeight="false" outlineLevel="0" collapsed="false">
      <c r="A418" s="35"/>
      <c r="B418" s="36" t="str">
        <f aca="false">IF(A418="","",MONTH(A418))</f>
        <v/>
      </c>
      <c r="C418" s="37"/>
      <c r="D418" s="37"/>
      <c r="E418" s="37"/>
      <c r="F418" s="37"/>
      <c r="G418" s="37"/>
      <c r="H418" s="37"/>
    </row>
    <row r="419" customFormat="false" ht="15" hidden="false" customHeight="false" outlineLevel="0" collapsed="false">
      <c r="A419" s="35"/>
      <c r="B419" s="36" t="str">
        <f aca="false">IF(A419="","",MONTH(A419))</f>
        <v/>
      </c>
      <c r="C419" s="37"/>
      <c r="D419" s="37"/>
      <c r="E419" s="37"/>
      <c r="F419" s="37"/>
      <c r="G419" s="37"/>
      <c r="H419" s="37"/>
    </row>
    <row r="420" customFormat="false" ht="15" hidden="false" customHeight="false" outlineLevel="0" collapsed="false">
      <c r="A420" s="35"/>
      <c r="B420" s="36" t="str">
        <f aca="false">IF(A420="","",MONTH(A420))</f>
        <v/>
      </c>
      <c r="C420" s="37"/>
      <c r="D420" s="37"/>
      <c r="E420" s="37"/>
      <c r="F420" s="37"/>
      <c r="G420" s="37"/>
      <c r="H420" s="37"/>
    </row>
    <row r="421" customFormat="false" ht="15" hidden="false" customHeight="false" outlineLevel="0" collapsed="false">
      <c r="A421" s="35"/>
      <c r="B421" s="36" t="str">
        <f aca="false">IF(A421="","",MONTH(A421))</f>
        <v/>
      </c>
      <c r="C421" s="37"/>
      <c r="D421" s="37"/>
      <c r="E421" s="37"/>
      <c r="F421" s="37"/>
      <c r="G421" s="37"/>
      <c r="H421" s="37"/>
    </row>
    <row r="422" customFormat="false" ht="15" hidden="false" customHeight="false" outlineLevel="0" collapsed="false">
      <c r="A422" s="35"/>
      <c r="B422" s="36" t="str">
        <f aca="false">IF(A422="","",MONTH(A422))</f>
        <v/>
      </c>
      <c r="C422" s="37"/>
      <c r="D422" s="37"/>
      <c r="E422" s="37"/>
      <c r="F422" s="37"/>
      <c r="G422" s="37"/>
      <c r="H422" s="37"/>
    </row>
    <row r="423" customFormat="false" ht="15" hidden="false" customHeight="false" outlineLevel="0" collapsed="false">
      <c r="A423" s="35"/>
      <c r="B423" s="36" t="str">
        <f aca="false">IF(A423="","",MONTH(A423))</f>
        <v/>
      </c>
      <c r="C423" s="37"/>
      <c r="D423" s="37"/>
      <c r="E423" s="37"/>
      <c r="F423" s="37"/>
      <c r="G423" s="37"/>
      <c r="H423" s="37"/>
    </row>
    <row r="424" customFormat="false" ht="15" hidden="false" customHeight="false" outlineLevel="0" collapsed="false">
      <c r="A424" s="35"/>
      <c r="B424" s="36" t="str">
        <f aca="false">IF(A424="","",MONTH(A424))</f>
        <v/>
      </c>
      <c r="C424" s="37"/>
      <c r="D424" s="37"/>
      <c r="E424" s="37"/>
      <c r="F424" s="37"/>
      <c r="G424" s="37"/>
      <c r="H424" s="37"/>
    </row>
    <row r="425" customFormat="false" ht="15" hidden="false" customHeight="false" outlineLevel="0" collapsed="false">
      <c r="A425" s="35"/>
      <c r="B425" s="36" t="str">
        <f aca="false">IF(A425="","",MONTH(A425))</f>
        <v/>
      </c>
      <c r="C425" s="37"/>
      <c r="D425" s="37"/>
      <c r="E425" s="37"/>
      <c r="F425" s="37"/>
      <c r="G425" s="37"/>
      <c r="H425" s="37"/>
    </row>
    <row r="426" customFormat="false" ht="15" hidden="false" customHeight="false" outlineLevel="0" collapsed="false">
      <c r="A426" s="35"/>
      <c r="B426" s="36" t="str">
        <f aca="false">IF(A426="","",MONTH(A426))</f>
        <v/>
      </c>
      <c r="C426" s="37"/>
      <c r="D426" s="37"/>
      <c r="E426" s="37"/>
      <c r="F426" s="37"/>
      <c r="G426" s="37"/>
      <c r="H426" s="37"/>
    </row>
    <row r="427" customFormat="false" ht="15" hidden="false" customHeight="false" outlineLevel="0" collapsed="false">
      <c r="A427" s="35"/>
      <c r="B427" s="36" t="str">
        <f aca="false">IF(A427="","",MONTH(A427))</f>
        <v/>
      </c>
      <c r="C427" s="37"/>
      <c r="D427" s="37"/>
      <c r="E427" s="37"/>
      <c r="F427" s="37"/>
      <c r="G427" s="37"/>
      <c r="H427" s="37"/>
    </row>
    <row r="428" customFormat="false" ht="15" hidden="false" customHeight="false" outlineLevel="0" collapsed="false">
      <c r="A428" s="35"/>
      <c r="B428" s="36" t="str">
        <f aca="false">IF(A428="","",MONTH(A428))</f>
        <v/>
      </c>
      <c r="C428" s="37"/>
      <c r="D428" s="37"/>
      <c r="E428" s="37"/>
      <c r="F428" s="37"/>
      <c r="G428" s="37"/>
      <c r="H428" s="37"/>
    </row>
    <row r="429" customFormat="false" ht="15" hidden="false" customHeight="false" outlineLevel="0" collapsed="false">
      <c r="A429" s="35"/>
      <c r="B429" s="36" t="str">
        <f aca="false">IF(A429="","",MONTH(A429))</f>
        <v/>
      </c>
      <c r="C429" s="37"/>
      <c r="D429" s="37"/>
      <c r="E429" s="37"/>
      <c r="F429" s="37"/>
      <c r="G429" s="37"/>
      <c r="H429" s="37"/>
    </row>
    <row r="430" customFormat="false" ht="15" hidden="false" customHeight="false" outlineLevel="0" collapsed="false">
      <c r="A430" s="35"/>
      <c r="B430" s="36" t="str">
        <f aca="false">IF(A430="","",MONTH(A430))</f>
        <v/>
      </c>
      <c r="C430" s="37"/>
      <c r="D430" s="37"/>
      <c r="E430" s="37"/>
      <c r="F430" s="37"/>
      <c r="G430" s="37"/>
      <c r="H430" s="37"/>
    </row>
    <row r="431" customFormat="false" ht="15" hidden="false" customHeight="false" outlineLevel="0" collapsed="false">
      <c r="A431" s="35"/>
      <c r="B431" s="36" t="str">
        <f aca="false">IF(A431="","",MONTH(A431))</f>
        <v/>
      </c>
      <c r="C431" s="37"/>
      <c r="D431" s="37"/>
      <c r="E431" s="37"/>
      <c r="F431" s="37"/>
      <c r="G431" s="37"/>
      <c r="H431" s="37"/>
    </row>
    <row r="432" customFormat="false" ht="15" hidden="false" customHeight="false" outlineLevel="0" collapsed="false">
      <c r="A432" s="35"/>
      <c r="B432" s="36" t="str">
        <f aca="false">IF(A432="","",MONTH(A432))</f>
        <v/>
      </c>
      <c r="C432" s="37"/>
      <c r="D432" s="37"/>
      <c r="E432" s="37"/>
      <c r="F432" s="37"/>
      <c r="G432" s="37"/>
      <c r="H432" s="37"/>
    </row>
    <row r="433" customFormat="false" ht="15" hidden="false" customHeight="false" outlineLevel="0" collapsed="false">
      <c r="A433" s="35"/>
      <c r="B433" s="36" t="str">
        <f aca="false">IF(A433="","",MONTH(A433))</f>
        <v/>
      </c>
      <c r="C433" s="37"/>
      <c r="D433" s="37"/>
      <c r="E433" s="37"/>
      <c r="F433" s="37"/>
      <c r="G433" s="37"/>
      <c r="H433" s="37"/>
    </row>
    <row r="434" customFormat="false" ht="15" hidden="false" customHeight="false" outlineLevel="0" collapsed="false">
      <c r="A434" s="35"/>
      <c r="B434" s="36" t="str">
        <f aca="false">IF(A434="","",MONTH(A434))</f>
        <v/>
      </c>
      <c r="C434" s="37"/>
      <c r="D434" s="37"/>
      <c r="E434" s="37"/>
      <c r="F434" s="37"/>
      <c r="G434" s="37"/>
      <c r="H434" s="37"/>
    </row>
    <row r="435" customFormat="false" ht="15" hidden="false" customHeight="false" outlineLevel="0" collapsed="false">
      <c r="A435" s="35"/>
      <c r="B435" s="36" t="str">
        <f aca="false">IF(A435="","",MONTH(A435))</f>
        <v/>
      </c>
      <c r="C435" s="37"/>
      <c r="D435" s="37"/>
      <c r="E435" s="37"/>
      <c r="F435" s="37"/>
      <c r="G435" s="37"/>
      <c r="H435" s="37"/>
    </row>
    <row r="436" customFormat="false" ht="15" hidden="false" customHeight="false" outlineLevel="0" collapsed="false">
      <c r="A436" s="35"/>
      <c r="B436" s="36" t="str">
        <f aca="false">IF(A436="","",MONTH(A436))</f>
        <v/>
      </c>
      <c r="C436" s="37"/>
      <c r="D436" s="37"/>
      <c r="E436" s="37"/>
      <c r="F436" s="37"/>
      <c r="G436" s="37"/>
      <c r="H436" s="37"/>
    </row>
    <row r="437" customFormat="false" ht="15" hidden="false" customHeight="false" outlineLevel="0" collapsed="false">
      <c r="A437" s="35"/>
      <c r="B437" s="36" t="str">
        <f aca="false">IF(A437="","",MONTH(A437))</f>
        <v/>
      </c>
      <c r="C437" s="37"/>
      <c r="D437" s="37"/>
      <c r="E437" s="37"/>
      <c r="F437" s="37"/>
      <c r="G437" s="37"/>
      <c r="H437" s="37"/>
    </row>
    <row r="438" customFormat="false" ht="15" hidden="false" customHeight="false" outlineLevel="0" collapsed="false">
      <c r="A438" s="35"/>
      <c r="B438" s="36" t="str">
        <f aca="false">IF(A438="","",MONTH(A438))</f>
        <v/>
      </c>
      <c r="C438" s="37"/>
      <c r="D438" s="37"/>
      <c r="E438" s="37"/>
      <c r="F438" s="37"/>
      <c r="G438" s="37"/>
      <c r="H438" s="37"/>
    </row>
    <row r="439" customFormat="false" ht="15" hidden="false" customHeight="false" outlineLevel="0" collapsed="false">
      <c r="A439" s="35"/>
      <c r="B439" s="36" t="str">
        <f aca="false">IF(A439="","",MONTH(A439))</f>
        <v/>
      </c>
      <c r="C439" s="37"/>
      <c r="D439" s="37"/>
      <c r="E439" s="37"/>
      <c r="F439" s="37"/>
      <c r="G439" s="37"/>
      <c r="H439" s="37"/>
    </row>
    <row r="440" customFormat="false" ht="15" hidden="false" customHeight="false" outlineLevel="0" collapsed="false">
      <c r="A440" s="35"/>
      <c r="B440" s="36" t="str">
        <f aca="false">IF(A440="","",MONTH(A440))</f>
        <v/>
      </c>
      <c r="C440" s="37"/>
      <c r="D440" s="37"/>
      <c r="E440" s="37"/>
      <c r="F440" s="37"/>
      <c r="G440" s="37"/>
      <c r="H440" s="37"/>
    </row>
    <row r="441" customFormat="false" ht="15" hidden="false" customHeight="false" outlineLevel="0" collapsed="false">
      <c r="A441" s="35"/>
      <c r="B441" s="36" t="str">
        <f aca="false">IF(A441="","",MONTH(A441))</f>
        <v/>
      </c>
      <c r="C441" s="37"/>
      <c r="D441" s="37"/>
      <c r="E441" s="37"/>
      <c r="F441" s="37"/>
      <c r="G441" s="37"/>
      <c r="H441" s="37"/>
    </row>
    <row r="442" customFormat="false" ht="15" hidden="false" customHeight="false" outlineLevel="0" collapsed="false">
      <c r="A442" s="35"/>
      <c r="B442" s="36" t="str">
        <f aca="false">IF(A442="","",MONTH(A442))</f>
        <v/>
      </c>
      <c r="C442" s="37"/>
      <c r="D442" s="37"/>
      <c r="E442" s="37"/>
      <c r="F442" s="37"/>
      <c r="G442" s="37"/>
      <c r="H442" s="37"/>
    </row>
    <row r="443" customFormat="false" ht="15" hidden="false" customHeight="false" outlineLevel="0" collapsed="false">
      <c r="A443" s="35"/>
      <c r="B443" s="36" t="str">
        <f aca="false">IF(A443="","",MONTH(A443))</f>
        <v/>
      </c>
      <c r="C443" s="37"/>
      <c r="D443" s="37"/>
      <c r="E443" s="37"/>
      <c r="F443" s="37"/>
      <c r="G443" s="37"/>
      <c r="H443" s="37"/>
    </row>
    <row r="444" customFormat="false" ht="15" hidden="false" customHeight="false" outlineLevel="0" collapsed="false">
      <c r="A444" s="35"/>
      <c r="B444" s="36" t="str">
        <f aca="false">IF(A444="","",MONTH(A444))</f>
        <v/>
      </c>
      <c r="C444" s="37"/>
      <c r="D444" s="37"/>
      <c r="E444" s="37"/>
      <c r="F444" s="37"/>
      <c r="G444" s="37"/>
      <c r="H444" s="37"/>
    </row>
    <row r="445" customFormat="false" ht="15" hidden="false" customHeight="false" outlineLevel="0" collapsed="false">
      <c r="A445" s="35"/>
      <c r="B445" s="36" t="str">
        <f aca="false">IF(A445="","",MONTH(A445))</f>
        <v/>
      </c>
      <c r="C445" s="37"/>
      <c r="D445" s="37"/>
      <c r="E445" s="37"/>
      <c r="F445" s="37"/>
      <c r="G445" s="37"/>
      <c r="H445" s="37"/>
    </row>
    <row r="446" customFormat="false" ht="15" hidden="false" customHeight="false" outlineLevel="0" collapsed="false">
      <c r="A446" s="35"/>
      <c r="B446" s="36" t="str">
        <f aca="false">IF(A446="","",MONTH(A446))</f>
        <v/>
      </c>
      <c r="C446" s="37"/>
      <c r="D446" s="37"/>
      <c r="E446" s="37"/>
      <c r="F446" s="37"/>
      <c r="G446" s="37"/>
      <c r="H446" s="37"/>
    </row>
    <row r="447" customFormat="false" ht="15" hidden="false" customHeight="false" outlineLevel="0" collapsed="false">
      <c r="A447" s="35"/>
      <c r="B447" s="36" t="str">
        <f aca="false">IF(A447="","",MONTH(A447))</f>
        <v/>
      </c>
      <c r="C447" s="37"/>
      <c r="D447" s="37"/>
      <c r="E447" s="37"/>
      <c r="F447" s="37"/>
      <c r="G447" s="37"/>
      <c r="H447" s="37"/>
    </row>
    <row r="448" customFormat="false" ht="15" hidden="false" customHeight="false" outlineLevel="0" collapsed="false">
      <c r="A448" s="35"/>
      <c r="B448" s="36" t="str">
        <f aca="false">IF(A448="","",MONTH(A448))</f>
        <v/>
      </c>
      <c r="C448" s="37"/>
      <c r="D448" s="37"/>
      <c r="E448" s="37"/>
      <c r="F448" s="37"/>
      <c r="G448" s="37"/>
      <c r="H448" s="37"/>
    </row>
    <row r="449" customFormat="false" ht="15" hidden="false" customHeight="false" outlineLevel="0" collapsed="false">
      <c r="A449" s="35"/>
      <c r="B449" s="36" t="str">
        <f aca="false">IF(A449="","",MONTH(A449))</f>
        <v/>
      </c>
      <c r="C449" s="37"/>
      <c r="D449" s="37"/>
      <c r="E449" s="37"/>
      <c r="F449" s="37"/>
      <c r="G449" s="37"/>
      <c r="H449" s="37"/>
    </row>
    <row r="450" customFormat="false" ht="15" hidden="false" customHeight="false" outlineLevel="0" collapsed="false">
      <c r="A450" s="35"/>
      <c r="B450" s="36" t="str">
        <f aca="false">IF(A450="","",MONTH(A450))</f>
        <v/>
      </c>
      <c r="C450" s="37"/>
      <c r="D450" s="37"/>
      <c r="E450" s="37"/>
      <c r="F450" s="37"/>
      <c r="G450" s="37"/>
      <c r="H450" s="37"/>
    </row>
    <row r="451" customFormat="false" ht="15" hidden="false" customHeight="false" outlineLevel="0" collapsed="false">
      <c r="A451" s="35"/>
      <c r="B451" s="36" t="str">
        <f aca="false">IF(A451="","",MONTH(A451))</f>
        <v/>
      </c>
      <c r="C451" s="37"/>
      <c r="D451" s="37"/>
      <c r="E451" s="37"/>
      <c r="F451" s="37"/>
      <c r="G451" s="37"/>
      <c r="H451" s="37"/>
    </row>
    <row r="452" customFormat="false" ht="15" hidden="false" customHeight="false" outlineLevel="0" collapsed="false">
      <c r="A452" s="35"/>
      <c r="B452" s="36" t="str">
        <f aca="false">IF(A452="","",MONTH(A452))</f>
        <v/>
      </c>
      <c r="C452" s="37"/>
      <c r="D452" s="37"/>
      <c r="E452" s="37"/>
      <c r="F452" s="37"/>
      <c r="G452" s="37"/>
      <c r="H452" s="37"/>
    </row>
    <row r="453" customFormat="false" ht="15" hidden="false" customHeight="false" outlineLevel="0" collapsed="false">
      <c r="A453" s="35"/>
      <c r="B453" s="36" t="str">
        <f aca="false">IF(A453="","",MONTH(A453))</f>
        <v/>
      </c>
      <c r="C453" s="37"/>
      <c r="D453" s="37"/>
      <c r="E453" s="37"/>
      <c r="F453" s="37"/>
      <c r="G453" s="37"/>
      <c r="H453" s="37"/>
    </row>
    <row r="454" customFormat="false" ht="15" hidden="false" customHeight="false" outlineLevel="0" collapsed="false">
      <c r="A454" s="35"/>
      <c r="B454" s="36" t="str">
        <f aca="false">IF(A454="","",MONTH(A454))</f>
        <v/>
      </c>
      <c r="C454" s="37"/>
      <c r="D454" s="37"/>
      <c r="E454" s="37"/>
      <c r="F454" s="37"/>
      <c r="G454" s="37"/>
      <c r="H454" s="37"/>
    </row>
    <row r="455" customFormat="false" ht="15" hidden="false" customHeight="false" outlineLevel="0" collapsed="false">
      <c r="A455" s="35"/>
      <c r="B455" s="36" t="str">
        <f aca="false">IF(A455="","",MONTH(A455))</f>
        <v/>
      </c>
      <c r="C455" s="37"/>
      <c r="D455" s="37"/>
      <c r="E455" s="37"/>
      <c r="F455" s="37"/>
      <c r="G455" s="37"/>
      <c r="H455" s="37"/>
    </row>
    <row r="456" customFormat="false" ht="15" hidden="false" customHeight="false" outlineLevel="0" collapsed="false">
      <c r="A456" s="35"/>
      <c r="B456" s="36" t="str">
        <f aca="false">IF(A456="","",MONTH(A456))</f>
        <v/>
      </c>
      <c r="C456" s="37"/>
      <c r="D456" s="37"/>
      <c r="E456" s="37"/>
      <c r="F456" s="37"/>
      <c r="G456" s="37"/>
      <c r="H456" s="37"/>
    </row>
    <row r="457" customFormat="false" ht="15" hidden="false" customHeight="false" outlineLevel="0" collapsed="false">
      <c r="A457" s="35"/>
      <c r="B457" s="36" t="str">
        <f aca="false">IF(A457="","",MONTH(A457))</f>
        <v/>
      </c>
      <c r="C457" s="37"/>
      <c r="D457" s="37"/>
      <c r="E457" s="37"/>
      <c r="F457" s="37"/>
      <c r="G457" s="37"/>
      <c r="H457" s="37"/>
    </row>
    <row r="458" customFormat="false" ht="15" hidden="false" customHeight="false" outlineLevel="0" collapsed="false">
      <c r="A458" s="35"/>
      <c r="B458" s="36" t="str">
        <f aca="false">IF(A458="","",MONTH(A458))</f>
        <v/>
      </c>
      <c r="C458" s="37"/>
      <c r="D458" s="37"/>
      <c r="E458" s="37"/>
      <c r="F458" s="37"/>
      <c r="G458" s="37"/>
      <c r="H458" s="37"/>
    </row>
    <row r="459" customFormat="false" ht="15" hidden="false" customHeight="false" outlineLevel="0" collapsed="false">
      <c r="A459" s="35"/>
      <c r="B459" s="36" t="str">
        <f aca="false">IF(A459="","",MONTH(A459))</f>
        <v/>
      </c>
      <c r="C459" s="37"/>
      <c r="D459" s="37"/>
      <c r="E459" s="37"/>
      <c r="F459" s="37"/>
      <c r="G459" s="37"/>
      <c r="H459" s="37"/>
    </row>
    <row r="460" customFormat="false" ht="15" hidden="false" customHeight="false" outlineLevel="0" collapsed="false">
      <c r="A460" s="35"/>
      <c r="B460" s="36" t="str">
        <f aca="false">IF(A460="","",MONTH(A460))</f>
        <v/>
      </c>
      <c r="C460" s="37"/>
      <c r="D460" s="37"/>
      <c r="E460" s="37"/>
      <c r="F460" s="37"/>
      <c r="G460" s="37"/>
      <c r="H460" s="37"/>
    </row>
    <row r="461" customFormat="false" ht="15" hidden="false" customHeight="false" outlineLevel="0" collapsed="false">
      <c r="A461" s="35"/>
      <c r="B461" s="36" t="str">
        <f aca="false">IF(A461="","",MONTH(A461))</f>
        <v/>
      </c>
      <c r="C461" s="37"/>
      <c r="D461" s="37"/>
      <c r="E461" s="37"/>
      <c r="F461" s="37"/>
      <c r="G461" s="37"/>
      <c r="H461" s="37"/>
    </row>
    <row r="462" customFormat="false" ht="15" hidden="false" customHeight="false" outlineLevel="0" collapsed="false">
      <c r="A462" s="35"/>
      <c r="B462" s="36" t="str">
        <f aca="false">IF(A462="","",MONTH(A462))</f>
        <v/>
      </c>
      <c r="C462" s="37"/>
      <c r="D462" s="37"/>
      <c r="E462" s="37"/>
      <c r="F462" s="37"/>
      <c r="G462" s="37"/>
      <c r="H462" s="37"/>
    </row>
    <row r="463" customFormat="false" ht="15" hidden="false" customHeight="false" outlineLevel="0" collapsed="false">
      <c r="A463" s="35"/>
      <c r="B463" s="36" t="str">
        <f aca="false">IF(A463="","",MONTH(A463))</f>
        <v/>
      </c>
      <c r="C463" s="37"/>
      <c r="D463" s="37"/>
      <c r="E463" s="37"/>
      <c r="F463" s="37"/>
      <c r="G463" s="37"/>
      <c r="H463" s="37"/>
    </row>
    <row r="464" customFormat="false" ht="15" hidden="false" customHeight="false" outlineLevel="0" collapsed="false">
      <c r="A464" s="35"/>
      <c r="B464" s="36" t="str">
        <f aca="false">IF(A464="","",MONTH(A464))</f>
        <v/>
      </c>
      <c r="C464" s="37"/>
      <c r="D464" s="37"/>
      <c r="E464" s="37"/>
      <c r="F464" s="37"/>
      <c r="G464" s="37"/>
      <c r="H464" s="37"/>
    </row>
    <row r="465" customFormat="false" ht="15" hidden="false" customHeight="false" outlineLevel="0" collapsed="false">
      <c r="A465" s="35"/>
      <c r="B465" s="36" t="str">
        <f aca="false">IF(A465="","",MONTH(A465))</f>
        <v/>
      </c>
      <c r="C465" s="37"/>
      <c r="D465" s="37"/>
      <c r="E465" s="37"/>
      <c r="F465" s="37"/>
      <c r="G465" s="37"/>
      <c r="H465" s="37"/>
    </row>
    <row r="466" customFormat="false" ht="15" hidden="false" customHeight="false" outlineLevel="0" collapsed="false">
      <c r="A466" s="35"/>
      <c r="B466" s="36" t="str">
        <f aca="false">IF(A466="","",MONTH(A466))</f>
        <v/>
      </c>
      <c r="C466" s="37"/>
      <c r="D466" s="37"/>
      <c r="E466" s="37"/>
      <c r="F466" s="37"/>
      <c r="G466" s="37"/>
      <c r="H466" s="37"/>
    </row>
    <row r="467" customFormat="false" ht="15" hidden="false" customHeight="false" outlineLevel="0" collapsed="false">
      <c r="A467" s="35"/>
      <c r="B467" s="36" t="str">
        <f aca="false">IF(A467="","",MONTH(A467))</f>
        <v/>
      </c>
      <c r="C467" s="37"/>
      <c r="D467" s="37"/>
      <c r="E467" s="37"/>
      <c r="F467" s="37"/>
      <c r="G467" s="37"/>
      <c r="H467" s="37"/>
    </row>
    <row r="468" customFormat="false" ht="15" hidden="false" customHeight="false" outlineLevel="0" collapsed="false">
      <c r="A468" s="35"/>
      <c r="B468" s="36" t="str">
        <f aca="false">IF(A468="","",MONTH(A468))</f>
        <v/>
      </c>
      <c r="C468" s="37"/>
      <c r="D468" s="37"/>
      <c r="E468" s="37"/>
      <c r="F468" s="37"/>
      <c r="G468" s="37"/>
      <c r="H468" s="37"/>
    </row>
    <row r="469" customFormat="false" ht="15" hidden="false" customHeight="false" outlineLevel="0" collapsed="false">
      <c r="A469" s="35"/>
      <c r="B469" s="36" t="str">
        <f aca="false">IF(A469="","",MONTH(A469))</f>
        <v/>
      </c>
      <c r="C469" s="37"/>
      <c r="D469" s="37"/>
      <c r="E469" s="37"/>
      <c r="F469" s="37"/>
      <c r="G469" s="37"/>
      <c r="H469" s="37"/>
    </row>
    <row r="470" customFormat="false" ht="15" hidden="false" customHeight="false" outlineLevel="0" collapsed="false">
      <c r="A470" s="35"/>
      <c r="B470" s="36" t="str">
        <f aca="false">IF(A470="","",MONTH(A470))</f>
        <v/>
      </c>
      <c r="C470" s="37"/>
      <c r="D470" s="37"/>
      <c r="E470" s="37"/>
      <c r="F470" s="37"/>
      <c r="G470" s="37"/>
      <c r="H470" s="37"/>
    </row>
    <row r="471" customFormat="false" ht="15" hidden="false" customHeight="false" outlineLevel="0" collapsed="false">
      <c r="A471" s="35"/>
      <c r="B471" s="36" t="str">
        <f aca="false">IF(A471="","",MONTH(A471))</f>
        <v/>
      </c>
      <c r="C471" s="37"/>
      <c r="D471" s="37"/>
      <c r="E471" s="37"/>
      <c r="F471" s="37"/>
      <c r="G471" s="37"/>
      <c r="H471" s="37"/>
    </row>
    <row r="472" customFormat="false" ht="15" hidden="false" customHeight="false" outlineLevel="0" collapsed="false">
      <c r="A472" s="35"/>
      <c r="B472" s="36" t="str">
        <f aca="false">IF(A472="","",MONTH(A472))</f>
        <v/>
      </c>
      <c r="C472" s="37"/>
      <c r="D472" s="37"/>
      <c r="E472" s="37"/>
      <c r="F472" s="37"/>
      <c r="G472" s="37"/>
      <c r="H472" s="37"/>
    </row>
    <row r="473" customFormat="false" ht="15" hidden="false" customHeight="false" outlineLevel="0" collapsed="false">
      <c r="A473" s="35"/>
      <c r="B473" s="36" t="str">
        <f aca="false">IF(A473="","",MONTH(A473))</f>
        <v/>
      </c>
      <c r="C473" s="37"/>
      <c r="D473" s="37"/>
      <c r="E473" s="37"/>
      <c r="F473" s="37"/>
      <c r="G473" s="37"/>
      <c r="H473" s="37"/>
    </row>
    <row r="474" customFormat="false" ht="15" hidden="false" customHeight="false" outlineLevel="0" collapsed="false">
      <c r="A474" s="35"/>
      <c r="B474" s="36" t="str">
        <f aca="false">IF(A474="","",MONTH(A474))</f>
        <v/>
      </c>
      <c r="C474" s="37"/>
      <c r="D474" s="37"/>
      <c r="E474" s="37"/>
      <c r="F474" s="37"/>
      <c r="G474" s="37"/>
      <c r="H474" s="37"/>
    </row>
    <row r="475" customFormat="false" ht="15" hidden="false" customHeight="false" outlineLevel="0" collapsed="false">
      <c r="A475" s="35"/>
      <c r="B475" s="36" t="str">
        <f aca="false">IF(A475="","",MONTH(A475))</f>
        <v/>
      </c>
      <c r="C475" s="37"/>
      <c r="D475" s="37"/>
      <c r="E475" s="37"/>
      <c r="F475" s="37"/>
      <c r="G475" s="37"/>
      <c r="H475" s="37"/>
    </row>
    <row r="476" customFormat="false" ht="15" hidden="false" customHeight="false" outlineLevel="0" collapsed="false">
      <c r="A476" s="35"/>
      <c r="B476" s="36" t="str">
        <f aca="false">IF(A476="","",MONTH(A476))</f>
        <v/>
      </c>
      <c r="C476" s="37"/>
      <c r="D476" s="37"/>
      <c r="E476" s="37"/>
      <c r="F476" s="37"/>
      <c r="G476" s="37"/>
      <c r="H476" s="37"/>
    </row>
    <row r="477" customFormat="false" ht="15" hidden="false" customHeight="false" outlineLevel="0" collapsed="false">
      <c r="A477" s="35"/>
      <c r="B477" s="36" t="str">
        <f aca="false">IF(A477="","",MONTH(A477))</f>
        <v/>
      </c>
      <c r="C477" s="37"/>
      <c r="D477" s="37"/>
      <c r="E477" s="37"/>
      <c r="F477" s="37"/>
      <c r="G477" s="37"/>
      <c r="H477" s="37"/>
    </row>
    <row r="478" customFormat="false" ht="15" hidden="false" customHeight="false" outlineLevel="0" collapsed="false">
      <c r="A478" s="35"/>
      <c r="B478" s="36" t="str">
        <f aca="false">IF(A478="","",MONTH(A478))</f>
        <v/>
      </c>
      <c r="C478" s="37"/>
      <c r="D478" s="37"/>
      <c r="E478" s="37"/>
      <c r="F478" s="37"/>
      <c r="G478" s="37"/>
      <c r="H478" s="37"/>
    </row>
    <row r="479" customFormat="false" ht="15" hidden="false" customHeight="false" outlineLevel="0" collapsed="false">
      <c r="A479" s="35"/>
      <c r="B479" s="36" t="str">
        <f aca="false">IF(A479="","",MONTH(A479))</f>
        <v/>
      </c>
      <c r="C479" s="37"/>
      <c r="D479" s="37"/>
      <c r="E479" s="37"/>
      <c r="F479" s="37"/>
      <c r="G479" s="37"/>
      <c r="H479" s="37"/>
    </row>
    <row r="480" customFormat="false" ht="15" hidden="false" customHeight="false" outlineLevel="0" collapsed="false">
      <c r="A480" s="35"/>
      <c r="B480" s="36" t="str">
        <f aca="false">IF(A480="","",MONTH(A480))</f>
        <v/>
      </c>
      <c r="C480" s="37"/>
      <c r="D480" s="37"/>
      <c r="E480" s="37"/>
      <c r="F480" s="37"/>
      <c r="G480" s="37"/>
      <c r="H480" s="37"/>
    </row>
    <row r="481" customFormat="false" ht="15" hidden="false" customHeight="false" outlineLevel="0" collapsed="false">
      <c r="A481" s="35"/>
      <c r="B481" s="36" t="str">
        <f aca="false">IF(A481="","",MONTH(A481))</f>
        <v/>
      </c>
      <c r="C481" s="37"/>
      <c r="D481" s="37"/>
      <c r="E481" s="37"/>
      <c r="F481" s="37"/>
      <c r="G481" s="37"/>
      <c r="H481" s="37"/>
    </row>
    <row r="482" customFormat="false" ht="15" hidden="false" customHeight="false" outlineLevel="0" collapsed="false">
      <c r="A482" s="35"/>
      <c r="B482" s="36" t="str">
        <f aca="false">IF(A482="","",MONTH(A482))</f>
        <v/>
      </c>
      <c r="C482" s="37"/>
      <c r="D482" s="37"/>
      <c r="E482" s="37"/>
      <c r="F482" s="37"/>
      <c r="G482" s="37"/>
      <c r="H482" s="37"/>
    </row>
    <row r="483" customFormat="false" ht="15" hidden="false" customHeight="false" outlineLevel="0" collapsed="false">
      <c r="A483" s="35"/>
      <c r="B483" s="36" t="str">
        <f aca="false">IF(A483="","",MONTH(A483))</f>
        <v/>
      </c>
      <c r="C483" s="37"/>
      <c r="D483" s="37"/>
      <c r="E483" s="37"/>
      <c r="F483" s="37"/>
      <c r="G483" s="37"/>
      <c r="H483" s="37"/>
    </row>
    <row r="484" customFormat="false" ht="15" hidden="false" customHeight="false" outlineLevel="0" collapsed="false">
      <c r="A484" s="35"/>
      <c r="B484" s="36" t="str">
        <f aca="false">IF(A484="","",MONTH(A484))</f>
        <v/>
      </c>
      <c r="C484" s="37"/>
      <c r="D484" s="37"/>
      <c r="E484" s="37"/>
      <c r="F484" s="37"/>
      <c r="G484" s="37"/>
      <c r="H484" s="37"/>
    </row>
    <row r="485" customFormat="false" ht="15" hidden="false" customHeight="false" outlineLevel="0" collapsed="false">
      <c r="A485" s="35"/>
      <c r="B485" s="36" t="str">
        <f aca="false">IF(A485="","",MONTH(A485))</f>
        <v/>
      </c>
      <c r="C485" s="37"/>
      <c r="D485" s="37"/>
      <c r="E485" s="37"/>
      <c r="F485" s="37"/>
      <c r="G485" s="37"/>
      <c r="H485" s="37"/>
    </row>
    <row r="486" customFormat="false" ht="15" hidden="false" customHeight="false" outlineLevel="0" collapsed="false">
      <c r="A486" s="35"/>
      <c r="B486" s="36" t="str">
        <f aca="false">IF(A486="","",MONTH(A486))</f>
        <v/>
      </c>
      <c r="C486" s="37"/>
      <c r="D486" s="37"/>
      <c r="E486" s="37"/>
      <c r="F486" s="37"/>
      <c r="G486" s="37"/>
      <c r="H486" s="37"/>
    </row>
    <row r="487" customFormat="false" ht="15" hidden="false" customHeight="false" outlineLevel="0" collapsed="false">
      <c r="A487" s="35"/>
      <c r="B487" s="36" t="str">
        <f aca="false">IF(A487="","",MONTH(A487))</f>
        <v/>
      </c>
      <c r="C487" s="37"/>
      <c r="D487" s="37"/>
      <c r="E487" s="37"/>
      <c r="F487" s="37"/>
      <c r="G487" s="37"/>
      <c r="H487" s="37"/>
    </row>
    <row r="488" customFormat="false" ht="15" hidden="false" customHeight="false" outlineLevel="0" collapsed="false">
      <c r="A488" s="35"/>
      <c r="B488" s="36" t="str">
        <f aca="false">IF(A488="","",MONTH(A488))</f>
        <v/>
      </c>
      <c r="C488" s="37"/>
      <c r="D488" s="37"/>
      <c r="E488" s="37"/>
      <c r="F488" s="37"/>
      <c r="G488" s="37"/>
      <c r="H488" s="37"/>
    </row>
    <row r="489" customFormat="false" ht="15" hidden="false" customHeight="false" outlineLevel="0" collapsed="false">
      <c r="A489" s="35"/>
      <c r="B489" s="36" t="str">
        <f aca="false">IF(A489="","",MONTH(A489))</f>
        <v/>
      </c>
      <c r="C489" s="37"/>
      <c r="D489" s="37"/>
      <c r="E489" s="37"/>
      <c r="F489" s="37"/>
      <c r="G489" s="37"/>
      <c r="H489" s="37"/>
    </row>
    <row r="490" customFormat="false" ht="15" hidden="false" customHeight="false" outlineLevel="0" collapsed="false">
      <c r="A490" s="35"/>
      <c r="B490" s="36" t="str">
        <f aca="false">IF(A490="","",MONTH(A490))</f>
        <v/>
      </c>
      <c r="C490" s="37"/>
      <c r="D490" s="37"/>
      <c r="E490" s="37"/>
      <c r="F490" s="37"/>
      <c r="G490" s="37"/>
      <c r="H490" s="37"/>
    </row>
    <row r="491" customFormat="false" ht="15" hidden="false" customHeight="false" outlineLevel="0" collapsed="false">
      <c r="A491" s="35"/>
      <c r="B491" s="36" t="str">
        <f aca="false">IF(A491="","",MONTH(A491))</f>
        <v/>
      </c>
      <c r="C491" s="37"/>
      <c r="D491" s="37"/>
      <c r="E491" s="37"/>
      <c r="F491" s="37"/>
      <c r="G491" s="37"/>
      <c r="H491" s="37"/>
    </row>
    <row r="492" customFormat="false" ht="15" hidden="false" customHeight="false" outlineLevel="0" collapsed="false">
      <c r="A492" s="35"/>
      <c r="B492" s="36" t="str">
        <f aca="false">IF(A492="","",MONTH(A492))</f>
        <v/>
      </c>
      <c r="C492" s="37"/>
      <c r="D492" s="37"/>
      <c r="E492" s="37"/>
      <c r="F492" s="37"/>
      <c r="G492" s="37"/>
      <c r="H492" s="37"/>
    </row>
    <row r="493" customFormat="false" ht="15" hidden="false" customHeight="false" outlineLevel="0" collapsed="false">
      <c r="A493" s="35"/>
      <c r="B493" s="36" t="str">
        <f aca="false">IF(A493="","",MONTH(A493))</f>
        <v/>
      </c>
      <c r="C493" s="37"/>
      <c r="D493" s="37"/>
      <c r="E493" s="37"/>
      <c r="F493" s="37"/>
      <c r="G493" s="37"/>
      <c r="H493" s="37"/>
    </row>
    <row r="494" customFormat="false" ht="15" hidden="false" customHeight="false" outlineLevel="0" collapsed="false">
      <c r="A494" s="35"/>
      <c r="B494" s="36" t="str">
        <f aca="false">IF(A494="","",MONTH(A494))</f>
        <v/>
      </c>
      <c r="C494" s="37"/>
      <c r="D494" s="37"/>
      <c r="E494" s="37"/>
      <c r="F494" s="37"/>
      <c r="G494" s="37"/>
      <c r="H494" s="37"/>
    </row>
    <row r="495" customFormat="false" ht="15" hidden="false" customHeight="false" outlineLevel="0" collapsed="false">
      <c r="A495" s="35"/>
      <c r="B495" s="36" t="str">
        <f aca="false">IF(A495="","",MONTH(A495))</f>
        <v/>
      </c>
      <c r="C495" s="37"/>
      <c r="D495" s="37"/>
      <c r="E495" s="37"/>
      <c r="F495" s="37"/>
      <c r="G495" s="37"/>
      <c r="H495" s="37"/>
    </row>
    <row r="496" customFormat="false" ht="15" hidden="false" customHeight="false" outlineLevel="0" collapsed="false">
      <c r="A496" s="35"/>
      <c r="B496" s="36" t="str">
        <f aca="false">IF(A496="","",MONTH(A496))</f>
        <v/>
      </c>
      <c r="C496" s="37"/>
      <c r="D496" s="37"/>
      <c r="E496" s="37"/>
      <c r="F496" s="37"/>
      <c r="G496" s="37"/>
      <c r="H496" s="37"/>
    </row>
    <row r="497" customFormat="false" ht="15" hidden="false" customHeight="false" outlineLevel="0" collapsed="false">
      <c r="A497" s="35"/>
      <c r="B497" s="36" t="str">
        <f aca="false">IF(A497="","",MONTH(A497))</f>
        <v/>
      </c>
      <c r="C497" s="37"/>
      <c r="D497" s="37"/>
      <c r="E497" s="37"/>
      <c r="F497" s="37"/>
      <c r="G497" s="37"/>
      <c r="H497" s="37"/>
    </row>
    <row r="498" customFormat="false" ht="15" hidden="false" customHeight="false" outlineLevel="0" collapsed="false">
      <c r="A498" s="35"/>
      <c r="B498" s="36" t="str">
        <f aca="false">IF(A498="","",MONTH(A498))</f>
        <v/>
      </c>
      <c r="C498" s="37"/>
      <c r="D498" s="37"/>
      <c r="E498" s="37"/>
      <c r="F498" s="37"/>
      <c r="G498" s="37"/>
      <c r="H498" s="37"/>
    </row>
    <row r="499" customFormat="false" ht="15" hidden="false" customHeight="false" outlineLevel="0" collapsed="false">
      <c r="A499" s="35"/>
      <c r="B499" s="36" t="str">
        <f aca="false">IF(A499="","",MONTH(A499))</f>
        <v/>
      </c>
      <c r="C499" s="37"/>
      <c r="D499" s="37"/>
      <c r="E499" s="37"/>
      <c r="F499" s="37"/>
      <c r="G499" s="37"/>
      <c r="H499" s="37"/>
    </row>
    <row r="500" customFormat="false" ht="15" hidden="false" customHeight="false" outlineLevel="0" collapsed="false">
      <c r="A500" s="35"/>
      <c r="B500" s="36" t="str">
        <f aca="false">IF(A500="","",MONTH(A500))</f>
        <v/>
      </c>
      <c r="C500" s="37"/>
      <c r="D500" s="37"/>
      <c r="E500" s="37"/>
      <c r="F500" s="37"/>
      <c r="G500" s="37"/>
      <c r="H500" s="37"/>
    </row>
    <row r="501" customFormat="false" ht="15" hidden="false" customHeight="false" outlineLevel="0" collapsed="false">
      <c r="A501" s="35"/>
      <c r="B501" s="36" t="str">
        <f aca="false">IF(A501="","",MONTH(A501))</f>
        <v/>
      </c>
      <c r="C501" s="37"/>
      <c r="D501" s="37"/>
      <c r="E501" s="37"/>
      <c r="F501" s="37"/>
      <c r="G501" s="37"/>
      <c r="H501" s="37"/>
    </row>
    <row r="502" customFormat="false" ht="15" hidden="false" customHeight="false" outlineLevel="0" collapsed="false">
      <c r="A502" s="35"/>
      <c r="B502" s="36" t="str">
        <f aca="false">IF(A502="","",MONTH(A502))</f>
        <v/>
      </c>
      <c r="C502" s="37"/>
      <c r="D502" s="37"/>
      <c r="E502" s="37"/>
      <c r="F502" s="37"/>
      <c r="G502" s="37"/>
      <c r="H502" s="37"/>
    </row>
    <row r="503" customFormat="false" ht="15" hidden="false" customHeight="false" outlineLevel="0" collapsed="false">
      <c r="A503" s="35"/>
      <c r="B503" s="36" t="str">
        <f aca="false">IF(A503="","",MONTH(A503))</f>
        <v/>
      </c>
      <c r="C503" s="37"/>
      <c r="D503" s="37"/>
      <c r="E503" s="37"/>
      <c r="F503" s="37"/>
      <c r="G503" s="37"/>
      <c r="H503" s="37"/>
    </row>
    <row r="504" customFormat="false" ht="15" hidden="false" customHeight="false" outlineLevel="0" collapsed="false">
      <c r="A504" s="35"/>
      <c r="B504" s="36" t="str">
        <f aca="false">IF(A504="","",MONTH(A504))</f>
        <v/>
      </c>
      <c r="C504" s="37"/>
      <c r="D504" s="37"/>
      <c r="E504" s="37"/>
      <c r="F504" s="37"/>
      <c r="G504" s="37"/>
      <c r="H504" s="37"/>
    </row>
    <row r="505" customFormat="false" ht="15" hidden="false" customHeight="false" outlineLevel="0" collapsed="false">
      <c r="A505" s="35"/>
      <c r="B505" s="36" t="str">
        <f aca="false">IF(A505="","",MONTH(A505))</f>
        <v/>
      </c>
      <c r="C505" s="37"/>
      <c r="D505" s="37"/>
      <c r="E505" s="37"/>
      <c r="F505" s="37"/>
      <c r="G505" s="37"/>
      <c r="H505" s="37"/>
    </row>
    <row r="506" customFormat="false" ht="15" hidden="false" customHeight="false" outlineLevel="0" collapsed="false">
      <c r="A506" s="35"/>
      <c r="B506" s="36" t="str">
        <f aca="false">IF(A506="","",MONTH(A506))</f>
        <v/>
      </c>
      <c r="C506" s="37"/>
      <c r="D506" s="37"/>
      <c r="E506" s="37"/>
      <c r="F506" s="37"/>
      <c r="G506" s="37"/>
      <c r="H506" s="37"/>
    </row>
    <row r="507" customFormat="false" ht="15" hidden="false" customHeight="false" outlineLevel="0" collapsed="false">
      <c r="A507" s="35"/>
      <c r="B507" s="36" t="str">
        <f aca="false">IF(A507="","",MONTH(A507))</f>
        <v/>
      </c>
      <c r="C507" s="37"/>
      <c r="D507" s="37"/>
      <c r="E507" s="37"/>
      <c r="F507" s="37"/>
      <c r="G507" s="37"/>
      <c r="H507" s="37"/>
    </row>
    <row r="508" customFormat="false" ht="15" hidden="false" customHeight="false" outlineLevel="0" collapsed="false">
      <c r="A508" s="35"/>
      <c r="B508" s="36" t="str">
        <f aca="false">IF(A508="","",MONTH(A508))</f>
        <v/>
      </c>
      <c r="C508" s="37"/>
      <c r="D508" s="37"/>
      <c r="E508" s="37"/>
      <c r="F508" s="37"/>
      <c r="G508" s="37"/>
      <c r="H508" s="37"/>
    </row>
    <row r="509" customFormat="false" ht="15" hidden="false" customHeight="false" outlineLevel="0" collapsed="false">
      <c r="A509" s="35"/>
      <c r="B509" s="36" t="str">
        <f aca="false">IF(A509="","",MONTH(A509))</f>
        <v/>
      </c>
      <c r="C509" s="37"/>
      <c r="D509" s="37"/>
      <c r="E509" s="37"/>
      <c r="F509" s="37"/>
      <c r="G509" s="37"/>
      <c r="H509" s="37"/>
    </row>
    <row r="510" customFormat="false" ht="15" hidden="false" customHeight="false" outlineLevel="0" collapsed="false">
      <c r="A510" s="35"/>
      <c r="B510" s="36" t="str">
        <f aca="false">IF(A510="","",MONTH(A510))</f>
        <v/>
      </c>
      <c r="C510" s="37"/>
      <c r="D510" s="37"/>
      <c r="E510" s="37"/>
      <c r="F510" s="37"/>
      <c r="G510" s="37"/>
      <c r="H510" s="37"/>
    </row>
    <row r="511" customFormat="false" ht="15" hidden="false" customHeight="false" outlineLevel="0" collapsed="false">
      <c r="A511" s="35"/>
      <c r="B511" s="36" t="str">
        <f aca="false">IF(A511="","",MONTH(A511))</f>
        <v/>
      </c>
      <c r="C511" s="37"/>
      <c r="D511" s="37"/>
      <c r="E511" s="37"/>
      <c r="F511" s="37"/>
      <c r="G511" s="37"/>
      <c r="H511" s="37"/>
    </row>
    <row r="512" customFormat="false" ht="15" hidden="false" customHeight="false" outlineLevel="0" collapsed="false">
      <c r="A512" s="35"/>
      <c r="B512" s="36" t="str">
        <f aca="false">IF(A512="","",MONTH(A512))</f>
        <v/>
      </c>
      <c r="C512" s="37"/>
      <c r="D512" s="37"/>
      <c r="E512" s="37"/>
      <c r="F512" s="37"/>
      <c r="G512" s="37"/>
      <c r="H512" s="37"/>
    </row>
    <row r="513" customFormat="false" ht="15" hidden="false" customHeight="false" outlineLevel="0" collapsed="false">
      <c r="A513" s="35"/>
      <c r="B513" s="36" t="str">
        <f aca="false">IF(A513="","",MONTH(A513))</f>
        <v/>
      </c>
      <c r="C513" s="37"/>
      <c r="D513" s="37"/>
      <c r="E513" s="37"/>
      <c r="F513" s="37"/>
      <c r="G513" s="37"/>
      <c r="H513" s="37"/>
    </row>
    <row r="514" customFormat="false" ht="15" hidden="false" customHeight="false" outlineLevel="0" collapsed="false">
      <c r="A514" s="35"/>
      <c r="B514" s="36" t="str">
        <f aca="false">IF(A514="","",MONTH(A514))</f>
        <v/>
      </c>
      <c r="C514" s="37"/>
      <c r="D514" s="37"/>
      <c r="E514" s="37"/>
      <c r="F514" s="37"/>
      <c r="G514" s="37"/>
      <c r="H514" s="37"/>
    </row>
    <row r="515" customFormat="false" ht="15" hidden="false" customHeight="false" outlineLevel="0" collapsed="false">
      <c r="A515" s="35"/>
      <c r="B515" s="36" t="str">
        <f aca="false">IF(A515="","",MONTH(A515))</f>
        <v/>
      </c>
      <c r="C515" s="37"/>
      <c r="D515" s="37"/>
      <c r="E515" s="37"/>
      <c r="F515" s="37"/>
      <c r="G515" s="37"/>
      <c r="H515" s="37"/>
    </row>
    <row r="516" customFormat="false" ht="15" hidden="false" customHeight="false" outlineLevel="0" collapsed="false">
      <c r="A516" s="35"/>
      <c r="B516" s="36" t="str">
        <f aca="false">IF(A516="","",MONTH(A516))</f>
        <v/>
      </c>
      <c r="C516" s="37"/>
      <c r="D516" s="37"/>
      <c r="E516" s="37"/>
      <c r="F516" s="37"/>
      <c r="G516" s="37"/>
      <c r="H516" s="37"/>
    </row>
    <row r="517" customFormat="false" ht="15" hidden="false" customHeight="false" outlineLevel="0" collapsed="false">
      <c r="A517" s="35"/>
      <c r="B517" s="36" t="str">
        <f aca="false">IF(A517="","",MONTH(A517))</f>
        <v/>
      </c>
      <c r="C517" s="37"/>
      <c r="D517" s="37"/>
      <c r="E517" s="37"/>
      <c r="F517" s="37"/>
      <c r="G517" s="37"/>
      <c r="H517" s="37"/>
    </row>
    <row r="518" customFormat="false" ht="15" hidden="false" customHeight="false" outlineLevel="0" collapsed="false">
      <c r="A518" s="35"/>
      <c r="B518" s="36" t="str">
        <f aca="false">IF(A518="","",MONTH(A518))</f>
        <v/>
      </c>
      <c r="C518" s="37"/>
      <c r="D518" s="37"/>
      <c r="E518" s="37"/>
      <c r="F518" s="37"/>
      <c r="G518" s="37"/>
      <c r="H518" s="37"/>
    </row>
    <row r="519" customFormat="false" ht="15" hidden="false" customHeight="false" outlineLevel="0" collapsed="false">
      <c r="A519" s="35"/>
      <c r="B519" s="36" t="str">
        <f aca="false">IF(A519="","",MONTH(A519))</f>
        <v/>
      </c>
      <c r="C519" s="37"/>
      <c r="D519" s="37"/>
      <c r="E519" s="37"/>
      <c r="F519" s="37"/>
      <c r="G519" s="37"/>
      <c r="H519" s="37"/>
    </row>
    <row r="520" customFormat="false" ht="15" hidden="false" customHeight="false" outlineLevel="0" collapsed="false">
      <c r="A520" s="35"/>
      <c r="B520" s="36" t="str">
        <f aca="false">IF(A520="","",MONTH(A520))</f>
        <v/>
      </c>
      <c r="C520" s="37"/>
      <c r="D520" s="37"/>
      <c r="E520" s="37"/>
      <c r="F520" s="37"/>
      <c r="G520" s="37"/>
      <c r="H520" s="37"/>
    </row>
    <row r="521" customFormat="false" ht="15" hidden="false" customHeight="false" outlineLevel="0" collapsed="false">
      <c r="A521" s="35"/>
      <c r="B521" s="36" t="str">
        <f aca="false">IF(A521="","",MONTH(A521))</f>
        <v/>
      </c>
      <c r="C521" s="37"/>
      <c r="D521" s="37"/>
      <c r="E521" s="37"/>
      <c r="F521" s="37"/>
      <c r="G521" s="37"/>
      <c r="H521" s="37"/>
    </row>
    <row r="522" customFormat="false" ht="15" hidden="false" customHeight="false" outlineLevel="0" collapsed="false">
      <c r="A522" s="35"/>
      <c r="B522" s="36" t="str">
        <f aca="false">IF(A522="","",MONTH(A522))</f>
        <v/>
      </c>
      <c r="C522" s="37"/>
      <c r="D522" s="37"/>
      <c r="E522" s="37"/>
      <c r="F522" s="37"/>
      <c r="G522" s="37"/>
      <c r="H522" s="37"/>
    </row>
    <row r="523" customFormat="false" ht="15" hidden="false" customHeight="false" outlineLevel="0" collapsed="false">
      <c r="A523" s="35"/>
      <c r="B523" s="36" t="str">
        <f aca="false">IF(A523="","",MONTH(A523))</f>
        <v/>
      </c>
      <c r="C523" s="37"/>
      <c r="D523" s="37"/>
      <c r="E523" s="37"/>
      <c r="F523" s="37"/>
      <c r="G523" s="37"/>
      <c r="H523" s="37"/>
    </row>
    <row r="524" customFormat="false" ht="15" hidden="false" customHeight="false" outlineLevel="0" collapsed="false">
      <c r="A524" s="35"/>
      <c r="B524" s="36" t="str">
        <f aca="false">IF(A524="","",MONTH(A524))</f>
        <v/>
      </c>
      <c r="C524" s="37"/>
      <c r="D524" s="37"/>
      <c r="E524" s="37"/>
      <c r="F524" s="37"/>
      <c r="G524" s="37"/>
      <c r="H524" s="37"/>
    </row>
    <row r="525" customFormat="false" ht="15" hidden="false" customHeight="false" outlineLevel="0" collapsed="false">
      <c r="A525" s="35"/>
      <c r="B525" s="36" t="str">
        <f aca="false">IF(A525="","",MONTH(A525))</f>
        <v/>
      </c>
      <c r="C525" s="37"/>
      <c r="D525" s="37"/>
      <c r="E525" s="37"/>
      <c r="F525" s="37"/>
      <c r="G525" s="37"/>
      <c r="H525" s="37"/>
    </row>
    <row r="526" customFormat="false" ht="15" hidden="false" customHeight="false" outlineLevel="0" collapsed="false">
      <c r="A526" s="35"/>
      <c r="B526" s="36" t="str">
        <f aca="false">IF(A526="","",MONTH(A526))</f>
        <v/>
      </c>
      <c r="C526" s="37"/>
      <c r="D526" s="37"/>
      <c r="E526" s="37"/>
      <c r="F526" s="37"/>
      <c r="G526" s="37"/>
      <c r="H526" s="37"/>
    </row>
    <row r="527" customFormat="false" ht="15" hidden="false" customHeight="false" outlineLevel="0" collapsed="false">
      <c r="A527" s="35"/>
      <c r="B527" s="36" t="str">
        <f aca="false">IF(A527="","",MONTH(A527))</f>
        <v/>
      </c>
      <c r="C527" s="37"/>
      <c r="D527" s="37"/>
      <c r="E527" s="37"/>
      <c r="F527" s="37"/>
      <c r="G527" s="37"/>
      <c r="H527" s="37"/>
    </row>
    <row r="528" customFormat="false" ht="15" hidden="false" customHeight="false" outlineLevel="0" collapsed="false">
      <c r="A528" s="35"/>
      <c r="B528" s="36" t="str">
        <f aca="false">IF(A528="","",MONTH(A528))</f>
        <v/>
      </c>
      <c r="C528" s="37"/>
      <c r="D528" s="37"/>
      <c r="E528" s="37"/>
      <c r="F528" s="37"/>
      <c r="G528" s="37"/>
      <c r="H528" s="37"/>
    </row>
    <row r="529" customFormat="false" ht="15" hidden="false" customHeight="false" outlineLevel="0" collapsed="false">
      <c r="A529" s="35"/>
      <c r="B529" s="36" t="str">
        <f aca="false">IF(A529="","",MONTH(A529))</f>
        <v/>
      </c>
      <c r="C529" s="37"/>
      <c r="D529" s="37"/>
      <c r="E529" s="37"/>
      <c r="F529" s="37"/>
      <c r="G529" s="37"/>
      <c r="H529" s="37"/>
    </row>
    <row r="530" customFormat="false" ht="15" hidden="false" customHeight="false" outlineLevel="0" collapsed="false">
      <c r="A530" s="35"/>
      <c r="B530" s="36" t="str">
        <f aca="false">IF(A530="","",MONTH(A530))</f>
        <v/>
      </c>
      <c r="C530" s="37"/>
      <c r="D530" s="37"/>
      <c r="E530" s="37"/>
      <c r="F530" s="37"/>
      <c r="G530" s="37"/>
      <c r="H530" s="37"/>
    </row>
    <row r="531" customFormat="false" ht="15" hidden="false" customHeight="false" outlineLevel="0" collapsed="false">
      <c r="A531" s="35"/>
      <c r="B531" s="36" t="str">
        <f aca="false">IF(A531="","",MONTH(A531))</f>
        <v/>
      </c>
      <c r="C531" s="37"/>
      <c r="D531" s="37"/>
      <c r="E531" s="37"/>
      <c r="F531" s="37"/>
      <c r="G531" s="37"/>
      <c r="H531" s="37"/>
    </row>
    <row r="532" customFormat="false" ht="15" hidden="false" customHeight="false" outlineLevel="0" collapsed="false">
      <c r="A532" s="35"/>
      <c r="B532" s="36" t="str">
        <f aca="false">IF(A532="","",MONTH(A532))</f>
        <v/>
      </c>
      <c r="C532" s="37"/>
      <c r="D532" s="37"/>
      <c r="E532" s="37"/>
      <c r="F532" s="37"/>
      <c r="G532" s="37"/>
      <c r="H532" s="37"/>
    </row>
    <row r="533" customFormat="false" ht="15" hidden="false" customHeight="false" outlineLevel="0" collapsed="false">
      <c r="A533" s="35"/>
      <c r="B533" s="36" t="str">
        <f aca="false">IF(A533="","",MONTH(A533))</f>
        <v/>
      </c>
      <c r="C533" s="37"/>
      <c r="D533" s="37"/>
      <c r="E533" s="37"/>
      <c r="F533" s="37"/>
      <c r="G533" s="37"/>
      <c r="H533" s="37"/>
    </row>
    <row r="534" customFormat="false" ht="15" hidden="false" customHeight="false" outlineLevel="0" collapsed="false">
      <c r="A534" s="35"/>
      <c r="B534" s="36" t="str">
        <f aca="false">IF(A534="","",MONTH(A534))</f>
        <v/>
      </c>
      <c r="C534" s="37"/>
      <c r="D534" s="37"/>
      <c r="E534" s="37"/>
      <c r="F534" s="37"/>
      <c r="G534" s="37"/>
      <c r="H534" s="37"/>
    </row>
    <row r="535" customFormat="false" ht="15" hidden="false" customHeight="false" outlineLevel="0" collapsed="false">
      <c r="A535" s="35"/>
      <c r="B535" s="36" t="str">
        <f aca="false">IF(A535="","",MONTH(A535))</f>
        <v/>
      </c>
      <c r="C535" s="37"/>
      <c r="D535" s="37"/>
      <c r="E535" s="37"/>
      <c r="F535" s="37"/>
      <c r="G535" s="37"/>
      <c r="H535" s="37"/>
    </row>
    <row r="536" customFormat="false" ht="15" hidden="false" customHeight="false" outlineLevel="0" collapsed="false">
      <c r="A536" s="35"/>
      <c r="B536" s="36" t="str">
        <f aca="false">IF(A536="","",MONTH(A536))</f>
        <v/>
      </c>
      <c r="C536" s="37"/>
      <c r="D536" s="37"/>
      <c r="E536" s="37"/>
      <c r="F536" s="37"/>
      <c r="G536" s="37"/>
      <c r="H536" s="37"/>
    </row>
    <row r="537" customFormat="false" ht="15" hidden="false" customHeight="false" outlineLevel="0" collapsed="false">
      <c r="A537" s="35"/>
      <c r="B537" s="36" t="str">
        <f aca="false">IF(A537="","",MONTH(A537))</f>
        <v/>
      </c>
      <c r="C537" s="37"/>
      <c r="D537" s="37"/>
      <c r="E537" s="37"/>
      <c r="F537" s="37"/>
      <c r="G537" s="37"/>
      <c r="H537" s="37"/>
    </row>
    <row r="538" customFormat="false" ht="15" hidden="false" customHeight="false" outlineLevel="0" collapsed="false">
      <c r="A538" s="35"/>
      <c r="B538" s="36" t="str">
        <f aca="false">IF(A538="","",MONTH(A538))</f>
        <v/>
      </c>
      <c r="C538" s="37"/>
      <c r="D538" s="37"/>
      <c r="E538" s="37"/>
      <c r="F538" s="37"/>
      <c r="G538" s="37"/>
      <c r="H538" s="37"/>
    </row>
    <row r="539" customFormat="false" ht="15" hidden="false" customHeight="false" outlineLevel="0" collapsed="false">
      <c r="A539" s="35"/>
      <c r="B539" s="36" t="str">
        <f aca="false">IF(A539="","",MONTH(A539))</f>
        <v/>
      </c>
      <c r="C539" s="37"/>
      <c r="D539" s="37"/>
      <c r="E539" s="37"/>
      <c r="F539" s="37"/>
      <c r="G539" s="37"/>
      <c r="H539" s="37"/>
    </row>
    <row r="540" customFormat="false" ht="15" hidden="false" customHeight="false" outlineLevel="0" collapsed="false">
      <c r="A540" s="35"/>
      <c r="B540" s="36" t="str">
        <f aca="false">IF(A540="","",MONTH(A540))</f>
        <v/>
      </c>
      <c r="C540" s="37"/>
      <c r="D540" s="37"/>
      <c r="E540" s="37"/>
      <c r="F540" s="37"/>
      <c r="G540" s="37"/>
      <c r="H540" s="37"/>
    </row>
    <row r="541" customFormat="false" ht="15" hidden="false" customHeight="false" outlineLevel="0" collapsed="false">
      <c r="A541" s="35"/>
      <c r="B541" s="36" t="str">
        <f aca="false">IF(A541="","",MONTH(A541))</f>
        <v/>
      </c>
      <c r="C541" s="37"/>
      <c r="D541" s="37"/>
      <c r="E541" s="37"/>
      <c r="F541" s="37"/>
      <c r="G541" s="37"/>
      <c r="H541" s="37"/>
    </row>
    <row r="542" customFormat="false" ht="15" hidden="false" customHeight="false" outlineLevel="0" collapsed="false">
      <c r="A542" s="35"/>
      <c r="B542" s="36" t="str">
        <f aca="false">IF(A542="","",MONTH(A542))</f>
        <v/>
      </c>
      <c r="C542" s="37"/>
      <c r="D542" s="37"/>
      <c r="E542" s="37"/>
      <c r="F542" s="37"/>
      <c r="G542" s="37"/>
      <c r="H542" s="37"/>
    </row>
    <row r="543" customFormat="false" ht="15" hidden="false" customHeight="false" outlineLevel="0" collapsed="false">
      <c r="A543" s="35"/>
      <c r="B543" s="36" t="str">
        <f aca="false">IF(A543="","",MONTH(A543))</f>
        <v/>
      </c>
      <c r="C543" s="37"/>
      <c r="D543" s="37"/>
      <c r="E543" s="37"/>
      <c r="F543" s="37"/>
      <c r="G543" s="37"/>
      <c r="H543" s="37"/>
    </row>
    <row r="544" customFormat="false" ht="15" hidden="false" customHeight="false" outlineLevel="0" collapsed="false">
      <c r="A544" s="35"/>
      <c r="B544" s="36" t="str">
        <f aca="false">IF(A544="","",MONTH(A544))</f>
        <v/>
      </c>
      <c r="C544" s="37"/>
      <c r="D544" s="37"/>
      <c r="E544" s="37"/>
      <c r="F544" s="37"/>
      <c r="G544" s="37"/>
      <c r="H544" s="37"/>
    </row>
    <row r="545" customFormat="false" ht="15" hidden="false" customHeight="false" outlineLevel="0" collapsed="false">
      <c r="A545" s="35"/>
      <c r="B545" s="36" t="str">
        <f aca="false">IF(A545="","",MONTH(A545))</f>
        <v/>
      </c>
      <c r="C545" s="37"/>
      <c r="D545" s="37"/>
      <c r="E545" s="37"/>
      <c r="F545" s="37"/>
      <c r="G545" s="37"/>
      <c r="H545" s="37"/>
    </row>
    <row r="546" customFormat="false" ht="15" hidden="false" customHeight="false" outlineLevel="0" collapsed="false">
      <c r="A546" s="35"/>
      <c r="B546" s="36" t="str">
        <f aca="false">IF(A546="","",MONTH(A546))</f>
        <v/>
      </c>
      <c r="C546" s="37"/>
      <c r="D546" s="37"/>
      <c r="E546" s="37"/>
      <c r="F546" s="37"/>
      <c r="G546" s="37"/>
      <c r="H546" s="37"/>
    </row>
    <row r="547" customFormat="false" ht="15" hidden="false" customHeight="false" outlineLevel="0" collapsed="false">
      <c r="A547" s="35"/>
      <c r="B547" s="36" t="str">
        <f aca="false">IF(A547="","",MONTH(A547))</f>
        <v/>
      </c>
      <c r="C547" s="37"/>
      <c r="D547" s="37"/>
      <c r="E547" s="37"/>
      <c r="F547" s="37"/>
      <c r="G547" s="37"/>
      <c r="H547" s="37"/>
    </row>
    <row r="548" customFormat="false" ht="15" hidden="false" customHeight="false" outlineLevel="0" collapsed="false">
      <c r="A548" s="35"/>
      <c r="B548" s="36" t="str">
        <f aca="false">IF(A548="","",MONTH(A548))</f>
        <v/>
      </c>
      <c r="C548" s="37"/>
      <c r="D548" s="37"/>
      <c r="E548" s="37"/>
      <c r="F548" s="37"/>
      <c r="G548" s="37"/>
      <c r="H548" s="37"/>
    </row>
    <row r="549" customFormat="false" ht="15" hidden="false" customHeight="false" outlineLevel="0" collapsed="false">
      <c r="A549" s="35"/>
      <c r="B549" s="36" t="str">
        <f aca="false">IF(A549="","",MONTH(A549))</f>
        <v/>
      </c>
      <c r="C549" s="37"/>
      <c r="D549" s="37"/>
      <c r="E549" s="37"/>
      <c r="F549" s="37"/>
      <c r="G549" s="37"/>
      <c r="H549" s="37"/>
    </row>
    <row r="550" customFormat="false" ht="15" hidden="false" customHeight="false" outlineLevel="0" collapsed="false">
      <c r="A550" s="35"/>
      <c r="B550" s="36" t="str">
        <f aca="false">IF(A550="","",MONTH(A550))</f>
        <v/>
      </c>
      <c r="C550" s="37"/>
      <c r="D550" s="37"/>
      <c r="E550" s="37"/>
      <c r="F550" s="37"/>
      <c r="G550" s="37"/>
      <c r="H550" s="37"/>
    </row>
    <row r="551" customFormat="false" ht="15" hidden="false" customHeight="false" outlineLevel="0" collapsed="false">
      <c r="A551" s="35"/>
      <c r="B551" s="36" t="str">
        <f aca="false">IF(A551="","",MONTH(A551))</f>
        <v/>
      </c>
      <c r="C551" s="37"/>
      <c r="D551" s="37"/>
      <c r="E551" s="37"/>
      <c r="F551" s="37"/>
      <c r="G551" s="37"/>
      <c r="H551" s="37"/>
    </row>
    <row r="552" customFormat="false" ht="15" hidden="false" customHeight="false" outlineLevel="0" collapsed="false">
      <c r="A552" s="35"/>
      <c r="B552" s="36" t="str">
        <f aca="false">IF(A552="","",MONTH(A552))</f>
        <v/>
      </c>
      <c r="C552" s="37"/>
      <c r="D552" s="37"/>
      <c r="E552" s="37"/>
      <c r="F552" s="37"/>
      <c r="G552" s="37"/>
      <c r="H552" s="37"/>
    </row>
    <row r="553" customFormat="false" ht="15" hidden="false" customHeight="false" outlineLevel="0" collapsed="false">
      <c r="A553" s="35"/>
      <c r="B553" s="36" t="str">
        <f aca="false">IF(A553="","",MONTH(A553))</f>
        <v/>
      </c>
      <c r="C553" s="37"/>
      <c r="D553" s="37"/>
      <c r="E553" s="37"/>
      <c r="F553" s="37"/>
      <c r="G553" s="37"/>
      <c r="H553" s="37"/>
    </row>
    <row r="554" customFormat="false" ht="15" hidden="false" customHeight="false" outlineLevel="0" collapsed="false">
      <c r="A554" s="35"/>
      <c r="B554" s="36" t="str">
        <f aca="false">IF(A554="","",MONTH(A554))</f>
        <v/>
      </c>
      <c r="C554" s="37"/>
      <c r="D554" s="37"/>
      <c r="E554" s="37"/>
      <c r="F554" s="37"/>
      <c r="G554" s="37"/>
      <c r="H554" s="37"/>
    </row>
    <row r="555" customFormat="false" ht="15" hidden="false" customHeight="false" outlineLevel="0" collapsed="false">
      <c r="A555" s="35"/>
      <c r="B555" s="36" t="str">
        <f aca="false">IF(A555="","",MONTH(A555))</f>
        <v/>
      </c>
      <c r="C555" s="37"/>
      <c r="D555" s="37"/>
      <c r="E555" s="37"/>
      <c r="F555" s="37"/>
      <c r="G555" s="37"/>
      <c r="H555" s="37"/>
    </row>
    <row r="556" customFormat="false" ht="15" hidden="false" customHeight="false" outlineLevel="0" collapsed="false">
      <c r="A556" s="35"/>
      <c r="B556" s="36" t="str">
        <f aca="false">IF(A556="","",MONTH(A556))</f>
        <v/>
      </c>
      <c r="C556" s="37"/>
      <c r="D556" s="37"/>
      <c r="E556" s="37"/>
      <c r="F556" s="37"/>
      <c r="G556" s="37"/>
      <c r="H556" s="37"/>
    </row>
    <row r="557" customFormat="false" ht="15" hidden="false" customHeight="false" outlineLevel="0" collapsed="false">
      <c r="A557" s="35"/>
      <c r="B557" s="36" t="str">
        <f aca="false">IF(A557="","",MONTH(A557))</f>
        <v/>
      </c>
      <c r="C557" s="37"/>
      <c r="D557" s="37"/>
      <c r="E557" s="37"/>
      <c r="F557" s="37"/>
      <c r="G557" s="37"/>
      <c r="H557" s="37"/>
    </row>
    <row r="558" customFormat="false" ht="15" hidden="false" customHeight="false" outlineLevel="0" collapsed="false">
      <c r="A558" s="35"/>
      <c r="B558" s="36" t="str">
        <f aca="false">IF(A558="","",MONTH(A558))</f>
        <v/>
      </c>
      <c r="C558" s="37"/>
      <c r="D558" s="37"/>
      <c r="E558" s="37"/>
      <c r="F558" s="37"/>
      <c r="G558" s="37"/>
      <c r="H558" s="37"/>
    </row>
    <row r="559" customFormat="false" ht="15" hidden="false" customHeight="false" outlineLevel="0" collapsed="false">
      <c r="A559" s="35"/>
      <c r="B559" s="36" t="str">
        <f aca="false">IF(A559="","",MONTH(A559))</f>
        <v/>
      </c>
      <c r="C559" s="37"/>
      <c r="D559" s="37"/>
      <c r="E559" s="37"/>
      <c r="F559" s="37"/>
      <c r="G559" s="37"/>
      <c r="H559" s="37"/>
    </row>
    <row r="560" customFormat="false" ht="15" hidden="false" customHeight="false" outlineLevel="0" collapsed="false">
      <c r="A560" s="35"/>
      <c r="B560" s="36" t="str">
        <f aca="false">IF(A560="","",MONTH(A560))</f>
        <v/>
      </c>
      <c r="C560" s="37"/>
      <c r="D560" s="37"/>
      <c r="E560" s="37"/>
      <c r="F560" s="37"/>
      <c r="G560" s="37"/>
      <c r="H560" s="37"/>
    </row>
    <row r="561" customFormat="false" ht="15" hidden="false" customHeight="false" outlineLevel="0" collapsed="false">
      <c r="A561" s="35"/>
      <c r="B561" s="36" t="str">
        <f aca="false">IF(A561="","",MONTH(A561))</f>
        <v/>
      </c>
      <c r="C561" s="37"/>
      <c r="D561" s="37"/>
      <c r="E561" s="37"/>
      <c r="F561" s="37"/>
      <c r="G561" s="37"/>
      <c r="H561" s="37"/>
    </row>
    <row r="562" customFormat="false" ht="15" hidden="false" customHeight="false" outlineLevel="0" collapsed="false">
      <c r="A562" s="35"/>
      <c r="B562" s="36" t="str">
        <f aca="false">IF(A562="","",MONTH(A562))</f>
        <v/>
      </c>
      <c r="C562" s="37"/>
      <c r="D562" s="37"/>
      <c r="E562" s="37"/>
      <c r="F562" s="37"/>
      <c r="G562" s="37"/>
      <c r="H562" s="37"/>
    </row>
    <row r="563" customFormat="false" ht="15" hidden="false" customHeight="false" outlineLevel="0" collapsed="false">
      <c r="A563" s="35"/>
      <c r="B563" s="36" t="str">
        <f aca="false">IF(A563="","",MONTH(A563))</f>
        <v/>
      </c>
      <c r="C563" s="37"/>
      <c r="D563" s="37"/>
      <c r="E563" s="37"/>
      <c r="F563" s="37"/>
      <c r="G563" s="37"/>
      <c r="H563" s="37"/>
    </row>
    <row r="564" customFormat="false" ht="15" hidden="false" customHeight="false" outlineLevel="0" collapsed="false">
      <c r="A564" s="35"/>
      <c r="B564" s="36" t="str">
        <f aca="false">IF(A564="","",MONTH(A564))</f>
        <v/>
      </c>
      <c r="C564" s="37"/>
      <c r="D564" s="37"/>
      <c r="E564" s="37"/>
      <c r="F564" s="37"/>
      <c r="G564" s="37"/>
      <c r="H564" s="37"/>
    </row>
    <row r="565" customFormat="false" ht="15" hidden="false" customHeight="false" outlineLevel="0" collapsed="false">
      <c r="A565" s="35"/>
      <c r="B565" s="36" t="str">
        <f aca="false">IF(A565="","",MONTH(A565))</f>
        <v/>
      </c>
      <c r="C565" s="37"/>
      <c r="D565" s="37"/>
      <c r="E565" s="37"/>
      <c r="F565" s="37"/>
      <c r="G565" s="37"/>
      <c r="H565" s="37"/>
    </row>
    <row r="566" customFormat="false" ht="15" hidden="false" customHeight="false" outlineLevel="0" collapsed="false">
      <c r="A566" s="35"/>
      <c r="B566" s="36" t="str">
        <f aca="false">IF(A566="","",MONTH(A566))</f>
        <v/>
      </c>
      <c r="C566" s="37"/>
      <c r="D566" s="37"/>
      <c r="E566" s="37"/>
      <c r="F566" s="37"/>
      <c r="G566" s="37"/>
      <c r="H566" s="37"/>
    </row>
    <row r="567" customFormat="false" ht="15" hidden="false" customHeight="false" outlineLevel="0" collapsed="false">
      <c r="A567" s="35"/>
      <c r="B567" s="36" t="str">
        <f aca="false">IF(A567="","",MONTH(A567))</f>
        <v/>
      </c>
      <c r="C567" s="37"/>
      <c r="D567" s="37"/>
      <c r="E567" s="37"/>
      <c r="F567" s="37"/>
      <c r="G567" s="37"/>
      <c r="H567" s="37"/>
    </row>
    <row r="568" customFormat="false" ht="15" hidden="false" customHeight="false" outlineLevel="0" collapsed="false">
      <c r="A568" s="35"/>
      <c r="B568" s="36" t="str">
        <f aca="false">IF(A568="","",MONTH(A568))</f>
        <v/>
      </c>
      <c r="C568" s="37"/>
      <c r="D568" s="37"/>
      <c r="E568" s="37"/>
      <c r="F568" s="37"/>
      <c r="G568" s="37"/>
      <c r="H568" s="37"/>
    </row>
    <row r="569" customFormat="false" ht="15" hidden="false" customHeight="false" outlineLevel="0" collapsed="false">
      <c r="A569" s="35"/>
      <c r="B569" s="36" t="str">
        <f aca="false">IF(A569="","",MONTH(A569))</f>
        <v/>
      </c>
      <c r="C569" s="37"/>
      <c r="D569" s="37"/>
      <c r="E569" s="37"/>
      <c r="F569" s="37"/>
      <c r="G569" s="37"/>
      <c r="H569" s="37"/>
    </row>
    <row r="570" customFormat="false" ht="15" hidden="false" customHeight="false" outlineLevel="0" collapsed="false">
      <c r="A570" s="35"/>
      <c r="B570" s="36" t="str">
        <f aca="false">IF(A570="","",MONTH(A570))</f>
        <v/>
      </c>
      <c r="C570" s="37"/>
      <c r="D570" s="37"/>
      <c r="E570" s="37"/>
      <c r="F570" s="37"/>
      <c r="G570" s="37"/>
      <c r="H570" s="37"/>
    </row>
    <row r="571" customFormat="false" ht="15" hidden="false" customHeight="false" outlineLevel="0" collapsed="false">
      <c r="A571" s="35"/>
      <c r="B571" s="36" t="str">
        <f aca="false">IF(A571="","",MONTH(A571))</f>
        <v/>
      </c>
      <c r="C571" s="37"/>
      <c r="D571" s="37"/>
      <c r="E571" s="37"/>
      <c r="F571" s="37"/>
      <c r="G571" s="37"/>
      <c r="H571" s="37"/>
    </row>
    <row r="572" customFormat="false" ht="15" hidden="false" customHeight="false" outlineLevel="0" collapsed="false">
      <c r="A572" s="35"/>
      <c r="B572" s="36" t="str">
        <f aca="false">IF(A572="","",MONTH(A572))</f>
        <v/>
      </c>
      <c r="C572" s="37"/>
      <c r="D572" s="37"/>
      <c r="E572" s="37"/>
      <c r="F572" s="37"/>
      <c r="G572" s="37"/>
      <c r="H572" s="37"/>
    </row>
    <row r="573" customFormat="false" ht="15" hidden="false" customHeight="false" outlineLevel="0" collapsed="false">
      <c r="A573" s="35"/>
      <c r="B573" s="36" t="str">
        <f aca="false">IF(A573="","",MONTH(A573))</f>
        <v/>
      </c>
      <c r="C573" s="37"/>
      <c r="D573" s="37"/>
      <c r="E573" s="37"/>
      <c r="F573" s="37"/>
      <c r="G573" s="37"/>
      <c r="H573" s="37"/>
    </row>
    <row r="574" customFormat="false" ht="15" hidden="false" customHeight="false" outlineLevel="0" collapsed="false">
      <c r="A574" s="35"/>
      <c r="B574" s="36" t="str">
        <f aca="false">IF(A574="","",MONTH(A574))</f>
        <v/>
      </c>
      <c r="C574" s="37"/>
      <c r="D574" s="37"/>
      <c r="E574" s="37"/>
      <c r="F574" s="37"/>
      <c r="G574" s="37"/>
      <c r="H574" s="37"/>
    </row>
    <row r="575" customFormat="false" ht="15" hidden="false" customHeight="false" outlineLevel="0" collapsed="false">
      <c r="A575" s="35"/>
      <c r="B575" s="36" t="str">
        <f aca="false">IF(A575="","",MONTH(A575))</f>
        <v/>
      </c>
      <c r="C575" s="37"/>
      <c r="D575" s="37"/>
      <c r="E575" s="37"/>
      <c r="F575" s="37"/>
      <c r="G575" s="37"/>
      <c r="H575" s="37"/>
    </row>
    <row r="576" customFormat="false" ht="15" hidden="false" customHeight="false" outlineLevel="0" collapsed="false">
      <c r="A576" s="35"/>
      <c r="B576" s="36" t="str">
        <f aca="false">IF(A576="","",MONTH(A576))</f>
        <v/>
      </c>
      <c r="C576" s="37"/>
      <c r="D576" s="37"/>
      <c r="E576" s="37"/>
      <c r="F576" s="37"/>
      <c r="G576" s="37"/>
      <c r="H576" s="37"/>
    </row>
    <row r="577" customFormat="false" ht="15" hidden="false" customHeight="false" outlineLevel="0" collapsed="false">
      <c r="A577" s="35"/>
      <c r="B577" s="36" t="str">
        <f aca="false">IF(A577="","",MONTH(A577))</f>
        <v/>
      </c>
      <c r="C577" s="37"/>
      <c r="D577" s="37"/>
      <c r="E577" s="37"/>
      <c r="F577" s="37"/>
      <c r="G577" s="37"/>
      <c r="H577" s="37"/>
    </row>
    <row r="578" customFormat="false" ht="15" hidden="false" customHeight="false" outlineLevel="0" collapsed="false">
      <c r="A578" s="35"/>
      <c r="B578" s="36" t="str">
        <f aca="false">IF(A578="","",MONTH(A578))</f>
        <v/>
      </c>
      <c r="C578" s="37"/>
      <c r="D578" s="37"/>
      <c r="E578" s="37"/>
      <c r="F578" s="37"/>
      <c r="G578" s="37"/>
      <c r="H578" s="37"/>
    </row>
    <row r="579" customFormat="false" ht="15" hidden="false" customHeight="false" outlineLevel="0" collapsed="false">
      <c r="A579" s="35"/>
      <c r="B579" s="36" t="str">
        <f aca="false">IF(A579="","",MONTH(A579))</f>
        <v/>
      </c>
      <c r="C579" s="37"/>
      <c r="D579" s="37"/>
      <c r="E579" s="37"/>
      <c r="F579" s="37"/>
      <c r="G579" s="37"/>
      <c r="H579" s="37"/>
    </row>
    <row r="580" customFormat="false" ht="15" hidden="false" customHeight="false" outlineLevel="0" collapsed="false">
      <c r="A580" s="35"/>
      <c r="B580" s="36" t="str">
        <f aca="false">IF(A580="","",MONTH(A580))</f>
        <v/>
      </c>
      <c r="C580" s="37"/>
      <c r="D580" s="37"/>
      <c r="E580" s="37"/>
      <c r="F580" s="37"/>
      <c r="G580" s="37"/>
      <c r="H580" s="37"/>
    </row>
    <row r="581" customFormat="false" ht="15" hidden="false" customHeight="false" outlineLevel="0" collapsed="false">
      <c r="A581" s="35"/>
      <c r="B581" s="36" t="str">
        <f aca="false">IF(A581="","",MONTH(A581))</f>
        <v/>
      </c>
      <c r="C581" s="37"/>
      <c r="D581" s="37"/>
      <c r="E581" s="37"/>
      <c r="F581" s="37"/>
      <c r="G581" s="37"/>
      <c r="H581" s="37"/>
    </row>
    <row r="582" customFormat="false" ht="15" hidden="false" customHeight="false" outlineLevel="0" collapsed="false">
      <c r="A582" s="35"/>
      <c r="B582" s="36" t="str">
        <f aca="false">IF(A582="","",MONTH(A582))</f>
        <v/>
      </c>
      <c r="C582" s="37"/>
      <c r="D582" s="37"/>
      <c r="E582" s="37"/>
      <c r="F582" s="37"/>
      <c r="G582" s="37"/>
      <c r="H582" s="37"/>
    </row>
    <row r="583" customFormat="false" ht="15" hidden="false" customHeight="false" outlineLevel="0" collapsed="false">
      <c r="A583" s="35"/>
      <c r="B583" s="36" t="str">
        <f aca="false">IF(A583="","",MONTH(A583))</f>
        <v/>
      </c>
      <c r="C583" s="37"/>
      <c r="D583" s="37"/>
      <c r="E583" s="37"/>
      <c r="F583" s="37"/>
      <c r="G583" s="37"/>
      <c r="H583" s="37"/>
    </row>
    <row r="584" customFormat="false" ht="15" hidden="false" customHeight="false" outlineLevel="0" collapsed="false">
      <c r="A584" s="35"/>
      <c r="B584" s="36" t="str">
        <f aca="false">IF(A584="","",MONTH(A584))</f>
        <v/>
      </c>
      <c r="C584" s="37"/>
      <c r="D584" s="37"/>
      <c r="E584" s="37"/>
      <c r="F584" s="37"/>
      <c r="G584" s="37"/>
      <c r="H584" s="37"/>
    </row>
    <row r="585" customFormat="false" ht="15" hidden="false" customHeight="false" outlineLevel="0" collapsed="false">
      <c r="A585" s="35"/>
      <c r="B585" s="36" t="str">
        <f aca="false">IF(A585="","",MONTH(A585))</f>
        <v/>
      </c>
      <c r="C585" s="37"/>
      <c r="D585" s="37"/>
      <c r="E585" s="37"/>
      <c r="F585" s="37"/>
      <c r="G585" s="37"/>
      <c r="H585" s="37"/>
    </row>
    <row r="586" customFormat="false" ht="15" hidden="false" customHeight="false" outlineLevel="0" collapsed="false">
      <c r="A586" s="35"/>
      <c r="B586" s="36" t="str">
        <f aca="false">IF(A586="","",MONTH(A586))</f>
        <v/>
      </c>
      <c r="C586" s="37"/>
      <c r="D586" s="37"/>
      <c r="E586" s="37"/>
      <c r="F586" s="37"/>
      <c r="G586" s="37"/>
      <c r="H586" s="37"/>
    </row>
    <row r="587" customFormat="false" ht="15" hidden="false" customHeight="false" outlineLevel="0" collapsed="false">
      <c r="A587" s="35"/>
      <c r="B587" s="36" t="str">
        <f aca="false">IF(A587="","",MONTH(A587))</f>
        <v/>
      </c>
      <c r="C587" s="37"/>
      <c r="D587" s="37"/>
      <c r="E587" s="37"/>
      <c r="F587" s="37"/>
      <c r="G587" s="37"/>
      <c r="H587" s="37"/>
    </row>
    <row r="588" customFormat="false" ht="15" hidden="false" customHeight="false" outlineLevel="0" collapsed="false">
      <c r="A588" s="35"/>
      <c r="B588" s="36" t="str">
        <f aca="false">IF(A588="","",MONTH(A588))</f>
        <v/>
      </c>
      <c r="C588" s="37"/>
      <c r="D588" s="37"/>
      <c r="E588" s="37"/>
      <c r="F588" s="37"/>
      <c r="G588" s="37"/>
      <c r="H588" s="37"/>
    </row>
    <row r="589" customFormat="false" ht="15" hidden="false" customHeight="false" outlineLevel="0" collapsed="false">
      <c r="A589" s="35"/>
      <c r="B589" s="36" t="str">
        <f aca="false">IF(A589="","",MONTH(A589))</f>
        <v/>
      </c>
      <c r="C589" s="37"/>
      <c r="D589" s="37"/>
      <c r="E589" s="37"/>
      <c r="F589" s="37"/>
      <c r="G589" s="37"/>
      <c r="H589" s="37"/>
    </row>
    <row r="590" customFormat="false" ht="15" hidden="false" customHeight="false" outlineLevel="0" collapsed="false">
      <c r="A590" s="35"/>
      <c r="B590" s="36" t="str">
        <f aca="false">IF(A590="","",MONTH(A590))</f>
        <v/>
      </c>
      <c r="C590" s="37"/>
      <c r="D590" s="37"/>
      <c r="E590" s="37"/>
      <c r="F590" s="37"/>
      <c r="G590" s="37"/>
      <c r="H590" s="37"/>
    </row>
    <row r="591" customFormat="false" ht="15" hidden="false" customHeight="false" outlineLevel="0" collapsed="false">
      <c r="A591" s="35"/>
      <c r="B591" s="36" t="str">
        <f aca="false">IF(A591="","",MONTH(A591))</f>
        <v/>
      </c>
      <c r="C591" s="37"/>
      <c r="D591" s="37"/>
      <c r="E591" s="37"/>
      <c r="F591" s="37"/>
      <c r="G591" s="37"/>
      <c r="H591" s="37"/>
    </row>
    <row r="592" customFormat="false" ht="15" hidden="false" customHeight="false" outlineLevel="0" collapsed="false">
      <c r="A592" s="35"/>
      <c r="B592" s="36" t="str">
        <f aca="false">IF(A592="","",MONTH(A592))</f>
        <v/>
      </c>
      <c r="C592" s="37"/>
      <c r="D592" s="37"/>
      <c r="E592" s="37"/>
      <c r="F592" s="37"/>
      <c r="G592" s="37"/>
      <c r="H592" s="37"/>
    </row>
    <row r="593" customFormat="false" ht="15" hidden="false" customHeight="false" outlineLevel="0" collapsed="false">
      <c r="A593" s="35"/>
      <c r="B593" s="36" t="str">
        <f aca="false">IF(A593="","",MONTH(A593))</f>
        <v/>
      </c>
      <c r="C593" s="37"/>
      <c r="D593" s="37"/>
      <c r="E593" s="37"/>
      <c r="F593" s="37"/>
      <c r="G593" s="37"/>
      <c r="H593" s="37"/>
    </row>
    <row r="594" customFormat="false" ht="15" hidden="false" customHeight="false" outlineLevel="0" collapsed="false">
      <c r="A594" s="35"/>
      <c r="B594" s="36" t="str">
        <f aca="false">IF(A594="","",MONTH(A594))</f>
        <v/>
      </c>
      <c r="C594" s="37"/>
      <c r="D594" s="37"/>
      <c r="E594" s="37"/>
      <c r="F594" s="37"/>
      <c r="G594" s="37"/>
      <c r="H594" s="37"/>
    </row>
    <row r="595" customFormat="false" ht="15" hidden="false" customHeight="false" outlineLevel="0" collapsed="false">
      <c r="A595" s="35"/>
      <c r="B595" s="36" t="str">
        <f aca="false">IF(A595="","",MONTH(A595))</f>
        <v/>
      </c>
      <c r="C595" s="37"/>
      <c r="D595" s="37"/>
      <c r="E595" s="37"/>
      <c r="F595" s="37"/>
      <c r="G595" s="37"/>
      <c r="H595" s="37"/>
    </row>
    <row r="596" customFormat="false" ht="15" hidden="false" customHeight="false" outlineLevel="0" collapsed="false">
      <c r="A596" s="35"/>
      <c r="B596" s="36" t="str">
        <f aca="false">IF(A596="","",MONTH(A596))</f>
        <v/>
      </c>
      <c r="C596" s="37"/>
      <c r="D596" s="37"/>
      <c r="E596" s="37"/>
      <c r="F596" s="37"/>
      <c r="G596" s="37"/>
      <c r="H596" s="37"/>
    </row>
    <row r="597" customFormat="false" ht="15" hidden="false" customHeight="false" outlineLevel="0" collapsed="false">
      <c r="A597" s="35"/>
      <c r="B597" s="36" t="str">
        <f aca="false">IF(A597="","",MONTH(A597))</f>
        <v/>
      </c>
      <c r="C597" s="37"/>
      <c r="D597" s="37"/>
      <c r="E597" s="37"/>
      <c r="F597" s="37"/>
      <c r="G597" s="37"/>
      <c r="H597" s="37"/>
    </row>
    <row r="598" customFormat="false" ht="15" hidden="false" customHeight="false" outlineLevel="0" collapsed="false">
      <c r="A598" s="35"/>
      <c r="B598" s="36" t="str">
        <f aca="false">IF(A598="","",MONTH(A598))</f>
        <v/>
      </c>
      <c r="C598" s="37"/>
      <c r="D598" s="37"/>
      <c r="E598" s="37"/>
      <c r="F598" s="37"/>
      <c r="G598" s="37"/>
      <c r="H598" s="37"/>
    </row>
    <row r="599" customFormat="false" ht="15" hidden="false" customHeight="false" outlineLevel="0" collapsed="false">
      <c r="A599" s="35"/>
      <c r="B599" s="36" t="str">
        <f aca="false">IF(A599="","",MONTH(A599))</f>
        <v/>
      </c>
      <c r="C599" s="37"/>
      <c r="D599" s="37"/>
      <c r="E599" s="37"/>
      <c r="F599" s="37"/>
      <c r="G599" s="37"/>
      <c r="H599" s="37"/>
    </row>
    <row r="600" customFormat="false" ht="15" hidden="false" customHeight="false" outlineLevel="0" collapsed="false">
      <c r="A600" s="35"/>
      <c r="B600" s="36" t="str">
        <f aca="false">IF(A600="","",MONTH(A600))</f>
        <v/>
      </c>
      <c r="C600" s="37"/>
      <c r="D600" s="37"/>
      <c r="E600" s="37"/>
      <c r="F600" s="37"/>
      <c r="G600" s="37"/>
      <c r="H600" s="37"/>
    </row>
    <row r="601" customFormat="false" ht="15" hidden="false" customHeight="false" outlineLevel="0" collapsed="false">
      <c r="A601" s="35"/>
      <c r="B601" s="36" t="str">
        <f aca="false">IF(A601="","",MONTH(A601))</f>
        <v/>
      </c>
      <c r="C601" s="37"/>
      <c r="D601" s="37"/>
      <c r="E601" s="37"/>
      <c r="F601" s="37"/>
      <c r="G601" s="37"/>
      <c r="H601" s="37"/>
    </row>
    <row r="602" customFormat="false" ht="15" hidden="false" customHeight="false" outlineLevel="0" collapsed="false">
      <c r="A602" s="35"/>
      <c r="B602" s="36" t="str">
        <f aca="false">IF(A602="","",MONTH(A602))</f>
        <v/>
      </c>
      <c r="C602" s="37"/>
      <c r="D602" s="37"/>
      <c r="E602" s="37"/>
      <c r="F602" s="37"/>
      <c r="G602" s="37"/>
      <c r="H602" s="37"/>
    </row>
    <row r="603" customFormat="false" ht="15" hidden="false" customHeight="false" outlineLevel="0" collapsed="false">
      <c r="A603" s="35"/>
      <c r="B603" s="36" t="str">
        <f aca="false">IF(A603="","",MONTH(A603))</f>
        <v/>
      </c>
      <c r="C603" s="37"/>
      <c r="D603" s="37"/>
      <c r="E603" s="37"/>
      <c r="F603" s="37"/>
      <c r="G603" s="37"/>
      <c r="H603" s="37"/>
    </row>
    <row r="604" customFormat="false" ht="15" hidden="false" customHeight="false" outlineLevel="0" collapsed="false">
      <c r="A604" s="35"/>
      <c r="B604" s="36" t="str">
        <f aca="false">IF(A604="","",MONTH(A604))</f>
        <v/>
      </c>
      <c r="C604" s="37"/>
      <c r="D604" s="37"/>
      <c r="E604" s="37"/>
      <c r="F604" s="37"/>
      <c r="G604" s="37"/>
      <c r="H604" s="37"/>
    </row>
    <row r="605" customFormat="false" ht="15" hidden="false" customHeight="false" outlineLevel="0" collapsed="false">
      <c r="A605" s="35"/>
      <c r="B605" s="36" t="str">
        <f aca="false">IF(A605="","",MONTH(A605))</f>
        <v/>
      </c>
      <c r="C605" s="37"/>
      <c r="D605" s="37"/>
      <c r="E605" s="37"/>
      <c r="F605" s="37"/>
      <c r="G605" s="37"/>
      <c r="H605" s="37"/>
    </row>
    <row r="606" customFormat="false" ht="15" hidden="false" customHeight="false" outlineLevel="0" collapsed="false">
      <c r="A606" s="35"/>
      <c r="B606" s="36" t="str">
        <f aca="false">IF(A606="","",MONTH(A606))</f>
        <v/>
      </c>
      <c r="C606" s="37"/>
      <c r="D606" s="37"/>
      <c r="E606" s="37"/>
      <c r="F606" s="37"/>
      <c r="G606" s="37"/>
      <c r="H606" s="37"/>
    </row>
    <row r="607" customFormat="false" ht="15" hidden="false" customHeight="false" outlineLevel="0" collapsed="false">
      <c r="A607" s="35"/>
      <c r="B607" s="36" t="str">
        <f aca="false">IF(A607="","",MONTH(A607))</f>
        <v/>
      </c>
      <c r="C607" s="37"/>
      <c r="D607" s="37"/>
      <c r="E607" s="37"/>
      <c r="F607" s="37"/>
      <c r="G607" s="37"/>
      <c r="H607" s="37"/>
    </row>
    <row r="608" customFormat="false" ht="15" hidden="false" customHeight="false" outlineLevel="0" collapsed="false">
      <c r="A608" s="35"/>
      <c r="B608" s="36" t="str">
        <f aca="false">IF(A608="","",MONTH(A608))</f>
        <v/>
      </c>
      <c r="C608" s="37"/>
      <c r="D608" s="37"/>
      <c r="E608" s="37"/>
      <c r="F608" s="37"/>
      <c r="G608" s="37"/>
      <c r="H608" s="37"/>
    </row>
    <row r="609" customFormat="false" ht="15" hidden="false" customHeight="false" outlineLevel="0" collapsed="false">
      <c r="A609" s="35"/>
      <c r="B609" s="36" t="str">
        <f aca="false">IF(A609="","",MONTH(A609))</f>
        <v/>
      </c>
      <c r="C609" s="37"/>
      <c r="D609" s="37"/>
      <c r="E609" s="37"/>
      <c r="F609" s="37"/>
      <c r="G609" s="37"/>
      <c r="H609" s="37"/>
    </row>
    <row r="610" customFormat="false" ht="15" hidden="false" customHeight="false" outlineLevel="0" collapsed="false">
      <c r="A610" s="35"/>
      <c r="B610" s="36" t="str">
        <f aca="false">IF(A610="","",MONTH(A610))</f>
        <v/>
      </c>
      <c r="C610" s="37"/>
      <c r="D610" s="37"/>
      <c r="E610" s="37"/>
      <c r="F610" s="37"/>
      <c r="G610" s="37"/>
      <c r="H610" s="37"/>
    </row>
    <row r="611" customFormat="false" ht="15" hidden="false" customHeight="false" outlineLevel="0" collapsed="false">
      <c r="A611" s="35"/>
      <c r="B611" s="36" t="str">
        <f aca="false">IF(A611="","",MONTH(A611))</f>
        <v/>
      </c>
      <c r="C611" s="37"/>
      <c r="D611" s="37"/>
      <c r="E611" s="37"/>
      <c r="F611" s="37"/>
      <c r="G611" s="37"/>
      <c r="H611" s="37"/>
    </row>
    <row r="612" customFormat="false" ht="15" hidden="false" customHeight="false" outlineLevel="0" collapsed="false">
      <c r="A612" s="35"/>
      <c r="B612" s="36" t="str">
        <f aca="false">IF(A612="","",MONTH(A612))</f>
        <v/>
      </c>
      <c r="C612" s="37"/>
      <c r="D612" s="37"/>
      <c r="E612" s="37"/>
      <c r="F612" s="37"/>
      <c r="G612" s="37"/>
      <c r="H612" s="37"/>
    </row>
    <row r="613" customFormat="false" ht="15" hidden="false" customHeight="false" outlineLevel="0" collapsed="false">
      <c r="A613" s="35"/>
      <c r="B613" s="36" t="str">
        <f aca="false">IF(A613="","",MONTH(A613))</f>
        <v/>
      </c>
      <c r="C613" s="37"/>
      <c r="D613" s="37"/>
      <c r="E613" s="37"/>
      <c r="F613" s="37"/>
      <c r="G613" s="37"/>
      <c r="H613" s="37"/>
    </row>
    <row r="614" customFormat="false" ht="15" hidden="false" customHeight="false" outlineLevel="0" collapsed="false">
      <c r="A614" s="35"/>
      <c r="B614" s="36" t="str">
        <f aca="false">IF(A614="","",MONTH(A614))</f>
        <v/>
      </c>
      <c r="C614" s="37"/>
      <c r="D614" s="37"/>
      <c r="E614" s="37"/>
      <c r="F614" s="37"/>
      <c r="G614" s="37"/>
      <c r="H614" s="37"/>
    </row>
    <row r="615" customFormat="false" ht="15" hidden="false" customHeight="false" outlineLevel="0" collapsed="false">
      <c r="A615" s="35"/>
      <c r="B615" s="36" t="str">
        <f aca="false">IF(A615="","",MONTH(A615))</f>
        <v/>
      </c>
      <c r="C615" s="37"/>
      <c r="D615" s="37"/>
      <c r="E615" s="37"/>
      <c r="F615" s="37"/>
      <c r="G615" s="37"/>
      <c r="H615" s="37"/>
    </row>
    <row r="616" customFormat="false" ht="15" hidden="false" customHeight="false" outlineLevel="0" collapsed="false">
      <c r="A616" s="35"/>
      <c r="B616" s="36" t="str">
        <f aca="false">IF(A616="","",MONTH(A616))</f>
        <v/>
      </c>
      <c r="C616" s="37"/>
      <c r="D616" s="37"/>
      <c r="E616" s="37"/>
      <c r="F616" s="37"/>
      <c r="G616" s="37"/>
      <c r="H616" s="37"/>
    </row>
    <row r="617" customFormat="false" ht="15" hidden="false" customHeight="false" outlineLevel="0" collapsed="false">
      <c r="A617" s="35"/>
      <c r="B617" s="36" t="str">
        <f aca="false">IF(A617="","",MONTH(A617))</f>
        <v/>
      </c>
      <c r="C617" s="37"/>
      <c r="D617" s="37"/>
      <c r="E617" s="37"/>
      <c r="F617" s="37"/>
      <c r="G617" s="37"/>
      <c r="H617" s="37"/>
    </row>
    <row r="618" customFormat="false" ht="15" hidden="false" customHeight="false" outlineLevel="0" collapsed="false">
      <c r="A618" s="35"/>
      <c r="B618" s="36" t="str">
        <f aca="false">IF(A618="","",MONTH(A618))</f>
        <v/>
      </c>
      <c r="C618" s="37"/>
      <c r="D618" s="37"/>
      <c r="E618" s="37"/>
      <c r="F618" s="37"/>
      <c r="G618" s="37"/>
      <c r="H618" s="37"/>
    </row>
    <row r="619" customFormat="false" ht="15" hidden="false" customHeight="false" outlineLevel="0" collapsed="false">
      <c r="A619" s="35"/>
      <c r="B619" s="36" t="str">
        <f aca="false">IF(A619="","",MONTH(A619))</f>
        <v/>
      </c>
      <c r="C619" s="37"/>
      <c r="D619" s="37"/>
      <c r="E619" s="37"/>
      <c r="F619" s="37"/>
      <c r="G619" s="37"/>
      <c r="H619" s="37"/>
    </row>
    <row r="620" customFormat="false" ht="15" hidden="false" customHeight="false" outlineLevel="0" collapsed="false">
      <c r="A620" s="35"/>
      <c r="B620" s="36" t="str">
        <f aca="false">IF(A620="","",MONTH(A620))</f>
        <v/>
      </c>
      <c r="C620" s="37"/>
      <c r="D620" s="37"/>
      <c r="E620" s="37"/>
      <c r="F620" s="37"/>
      <c r="G620" s="37"/>
      <c r="H620" s="37"/>
    </row>
    <row r="621" customFormat="false" ht="15" hidden="false" customHeight="false" outlineLevel="0" collapsed="false">
      <c r="A621" s="35"/>
      <c r="B621" s="36" t="str">
        <f aca="false">IF(A621="","",MONTH(A621))</f>
        <v/>
      </c>
      <c r="C621" s="37"/>
      <c r="D621" s="37"/>
      <c r="E621" s="37"/>
      <c r="F621" s="37"/>
      <c r="G621" s="37"/>
      <c r="H621" s="37"/>
    </row>
    <row r="622" customFormat="false" ht="15" hidden="false" customHeight="false" outlineLevel="0" collapsed="false">
      <c r="A622" s="35"/>
      <c r="B622" s="36" t="str">
        <f aca="false">IF(A622="","",MONTH(A622))</f>
        <v/>
      </c>
      <c r="C622" s="37"/>
      <c r="D622" s="37"/>
      <c r="E622" s="37"/>
      <c r="F622" s="37"/>
      <c r="G622" s="37"/>
      <c r="H622" s="37"/>
    </row>
    <row r="623" customFormat="false" ht="15" hidden="false" customHeight="false" outlineLevel="0" collapsed="false">
      <c r="A623" s="35"/>
      <c r="B623" s="36" t="str">
        <f aca="false">IF(A623="","",MONTH(A623))</f>
        <v/>
      </c>
      <c r="C623" s="37"/>
      <c r="D623" s="37"/>
      <c r="E623" s="37"/>
      <c r="F623" s="37"/>
      <c r="G623" s="37"/>
      <c r="H623" s="37"/>
    </row>
    <row r="624" customFormat="false" ht="15" hidden="false" customHeight="false" outlineLevel="0" collapsed="false">
      <c r="A624" s="35"/>
      <c r="B624" s="36" t="str">
        <f aca="false">IF(A624="","",MONTH(A624))</f>
        <v/>
      </c>
      <c r="C624" s="37"/>
      <c r="D624" s="37"/>
      <c r="E624" s="37"/>
      <c r="F624" s="37"/>
      <c r="G624" s="37"/>
      <c r="H624" s="37"/>
    </row>
    <row r="625" customFormat="false" ht="15" hidden="false" customHeight="false" outlineLevel="0" collapsed="false">
      <c r="A625" s="35"/>
      <c r="B625" s="36" t="str">
        <f aca="false">IF(A625="","",MONTH(A625))</f>
        <v/>
      </c>
      <c r="C625" s="37"/>
      <c r="D625" s="37"/>
      <c r="E625" s="37"/>
      <c r="F625" s="37"/>
      <c r="G625" s="37"/>
      <c r="H625" s="37"/>
    </row>
    <row r="626" customFormat="false" ht="15" hidden="false" customHeight="false" outlineLevel="0" collapsed="false">
      <c r="A626" s="35"/>
      <c r="B626" s="36" t="str">
        <f aca="false">IF(A626="","",MONTH(A626))</f>
        <v/>
      </c>
      <c r="C626" s="37"/>
      <c r="D626" s="37"/>
      <c r="E626" s="37"/>
      <c r="F626" s="37"/>
      <c r="G626" s="37"/>
      <c r="H626" s="37"/>
    </row>
    <row r="627" customFormat="false" ht="15" hidden="false" customHeight="false" outlineLevel="0" collapsed="false">
      <c r="A627" s="35"/>
      <c r="B627" s="36" t="str">
        <f aca="false">IF(A627="","",MONTH(A627))</f>
        <v/>
      </c>
      <c r="C627" s="37"/>
      <c r="D627" s="37"/>
      <c r="E627" s="37"/>
      <c r="F627" s="37"/>
      <c r="G627" s="37"/>
      <c r="H627" s="37"/>
    </row>
    <row r="628" customFormat="false" ht="15" hidden="false" customHeight="false" outlineLevel="0" collapsed="false">
      <c r="A628" s="35"/>
      <c r="B628" s="36" t="str">
        <f aca="false">IF(A628="","",MONTH(A628))</f>
        <v/>
      </c>
      <c r="C628" s="37"/>
      <c r="D628" s="37"/>
      <c r="E628" s="37"/>
      <c r="F628" s="37"/>
      <c r="G628" s="37"/>
      <c r="H628" s="37"/>
    </row>
    <row r="629" customFormat="false" ht="15" hidden="false" customHeight="false" outlineLevel="0" collapsed="false">
      <c r="A629" s="35"/>
      <c r="B629" s="36" t="str">
        <f aca="false">IF(A629="","",MONTH(A629))</f>
        <v/>
      </c>
      <c r="C629" s="37"/>
      <c r="D629" s="37"/>
      <c r="E629" s="37"/>
      <c r="F629" s="37"/>
      <c r="G629" s="37"/>
      <c r="H629" s="37"/>
    </row>
    <row r="630" customFormat="false" ht="15" hidden="false" customHeight="false" outlineLevel="0" collapsed="false">
      <c r="A630" s="35"/>
      <c r="B630" s="36" t="str">
        <f aca="false">IF(A630="","",MONTH(A630))</f>
        <v/>
      </c>
      <c r="C630" s="37"/>
      <c r="D630" s="37"/>
      <c r="E630" s="37"/>
      <c r="F630" s="37"/>
      <c r="G630" s="37"/>
      <c r="H630" s="37"/>
    </row>
    <row r="631" customFormat="false" ht="15" hidden="false" customHeight="false" outlineLevel="0" collapsed="false">
      <c r="A631" s="35"/>
      <c r="B631" s="36" t="str">
        <f aca="false">IF(A631="","",MONTH(A631))</f>
        <v/>
      </c>
      <c r="C631" s="37"/>
      <c r="D631" s="37"/>
      <c r="E631" s="37"/>
      <c r="F631" s="37"/>
      <c r="G631" s="37"/>
      <c r="H631" s="37"/>
    </row>
    <row r="632" customFormat="false" ht="15" hidden="false" customHeight="false" outlineLevel="0" collapsed="false">
      <c r="A632" s="35"/>
      <c r="B632" s="36" t="str">
        <f aca="false">IF(A632="","",MONTH(A632))</f>
        <v/>
      </c>
      <c r="C632" s="37"/>
      <c r="D632" s="37"/>
      <c r="E632" s="37"/>
      <c r="F632" s="37"/>
      <c r="G632" s="37"/>
      <c r="H632" s="37"/>
    </row>
    <row r="633" customFormat="false" ht="15" hidden="false" customHeight="false" outlineLevel="0" collapsed="false">
      <c r="A633" s="35"/>
      <c r="B633" s="36" t="str">
        <f aca="false">IF(A633="","",MONTH(A633))</f>
        <v/>
      </c>
      <c r="C633" s="37"/>
      <c r="D633" s="37"/>
      <c r="E633" s="37"/>
      <c r="F633" s="37"/>
      <c r="G633" s="37"/>
      <c r="H633" s="37"/>
    </row>
    <row r="634" customFormat="false" ht="15" hidden="false" customHeight="false" outlineLevel="0" collapsed="false">
      <c r="A634" s="35"/>
      <c r="B634" s="36" t="str">
        <f aca="false">IF(A634="","",MONTH(A634))</f>
        <v/>
      </c>
      <c r="C634" s="37"/>
      <c r="D634" s="37"/>
      <c r="E634" s="37"/>
      <c r="F634" s="37"/>
      <c r="G634" s="37"/>
      <c r="H634" s="37"/>
    </row>
    <row r="635" customFormat="false" ht="15" hidden="false" customHeight="false" outlineLevel="0" collapsed="false">
      <c r="A635" s="35"/>
      <c r="B635" s="36" t="str">
        <f aca="false">IF(A635="","",MONTH(A635))</f>
        <v/>
      </c>
      <c r="C635" s="37"/>
      <c r="D635" s="37"/>
      <c r="E635" s="37"/>
      <c r="F635" s="37"/>
      <c r="G635" s="37"/>
      <c r="H635" s="37"/>
    </row>
    <row r="636" customFormat="false" ht="15" hidden="false" customHeight="false" outlineLevel="0" collapsed="false">
      <c r="A636" s="35"/>
      <c r="B636" s="36" t="str">
        <f aca="false">IF(A636="","",MONTH(A636))</f>
        <v/>
      </c>
      <c r="C636" s="37"/>
      <c r="D636" s="37"/>
      <c r="E636" s="37"/>
      <c r="F636" s="37"/>
      <c r="G636" s="37"/>
      <c r="H636" s="37"/>
    </row>
    <row r="637" customFormat="false" ht="15" hidden="false" customHeight="false" outlineLevel="0" collapsed="false">
      <c r="A637" s="35"/>
      <c r="B637" s="36" t="str">
        <f aca="false">IF(A637="","",MONTH(A637))</f>
        <v/>
      </c>
      <c r="C637" s="37"/>
      <c r="D637" s="37"/>
      <c r="E637" s="37"/>
      <c r="F637" s="37"/>
      <c r="G637" s="37"/>
      <c r="H637" s="37"/>
    </row>
    <row r="638" customFormat="false" ht="15" hidden="false" customHeight="false" outlineLevel="0" collapsed="false">
      <c r="A638" s="35"/>
      <c r="B638" s="36" t="str">
        <f aca="false">IF(A638="","",MONTH(A638))</f>
        <v/>
      </c>
      <c r="C638" s="37"/>
      <c r="D638" s="37"/>
      <c r="E638" s="37"/>
      <c r="F638" s="37"/>
      <c r="G638" s="37"/>
      <c r="H638" s="37"/>
    </row>
    <row r="639" customFormat="false" ht="15" hidden="false" customHeight="false" outlineLevel="0" collapsed="false">
      <c r="A639" s="35"/>
      <c r="B639" s="36" t="str">
        <f aca="false">IF(A639="","",MONTH(A639))</f>
        <v/>
      </c>
      <c r="C639" s="37"/>
      <c r="D639" s="37"/>
      <c r="E639" s="37"/>
      <c r="F639" s="37"/>
      <c r="G639" s="37"/>
      <c r="H639" s="37"/>
    </row>
    <row r="640" customFormat="false" ht="15" hidden="false" customHeight="false" outlineLevel="0" collapsed="false">
      <c r="A640" s="35"/>
      <c r="B640" s="36" t="str">
        <f aca="false">IF(A640="","",MONTH(A640))</f>
        <v/>
      </c>
      <c r="C640" s="37"/>
      <c r="D640" s="37"/>
      <c r="E640" s="37"/>
      <c r="F640" s="37"/>
      <c r="G640" s="37"/>
      <c r="H640" s="37"/>
    </row>
    <row r="641" customFormat="false" ht="15" hidden="false" customHeight="false" outlineLevel="0" collapsed="false">
      <c r="A641" s="35"/>
      <c r="B641" s="36" t="str">
        <f aca="false">IF(A641="","",MONTH(A641))</f>
        <v/>
      </c>
      <c r="C641" s="37"/>
      <c r="D641" s="37"/>
      <c r="E641" s="37"/>
      <c r="F641" s="37"/>
      <c r="G641" s="37"/>
      <c r="H641" s="37"/>
    </row>
    <row r="642" customFormat="false" ht="15" hidden="false" customHeight="false" outlineLevel="0" collapsed="false">
      <c r="A642" s="35"/>
      <c r="B642" s="36" t="str">
        <f aca="false">IF(A642="","",MONTH(A642))</f>
        <v/>
      </c>
      <c r="C642" s="37"/>
      <c r="D642" s="37"/>
      <c r="E642" s="37"/>
      <c r="F642" s="37"/>
      <c r="G642" s="37"/>
      <c r="H642" s="37"/>
    </row>
    <row r="643" customFormat="false" ht="15" hidden="false" customHeight="false" outlineLevel="0" collapsed="false">
      <c r="A643" s="35"/>
      <c r="B643" s="36" t="str">
        <f aca="false">IF(A643="","",MONTH(A643))</f>
        <v/>
      </c>
      <c r="C643" s="37"/>
      <c r="D643" s="37"/>
      <c r="E643" s="37"/>
      <c r="F643" s="37"/>
      <c r="G643" s="37"/>
      <c r="H643" s="37"/>
    </row>
    <row r="644" customFormat="false" ht="15" hidden="false" customHeight="false" outlineLevel="0" collapsed="false">
      <c r="A644" s="35"/>
      <c r="B644" s="36" t="str">
        <f aca="false">IF(A644="","",MONTH(A644))</f>
        <v/>
      </c>
      <c r="C644" s="37"/>
      <c r="D644" s="37"/>
      <c r="E644" s="37"/>
      <c r="F644" s="37"/>
      <c r="G644" s="37"/>
      <c r="H644" s="37"/>
    </row>
    <row r="645" customFormat="false" ht="15" hidden="false" customHeight="false" outlineLevel="0" collapsed="false">
      <c r="A645" s="35"/>
      <c r="B645" s="36" t="str">
        <f aca="false">IF(A645="","",MONTH(A645))</f>
        <v/>
      </c>
      <c r="C645" s="37"/>
      <c r="D645" s="37"/>
      <c r="E645" s="37"/>
      <c r="F645" s="37"/>
      <c r="G645" s="37"/>
      <c r="H645" s="37"/>
    </row>
    <row r="646" customFormat="false" ht="15" hidden="false" customHeight="false" outlineLevel="0" collapsed="false">
      <c r="A646" s="35"/>
      <c r="B646" s="36" t="str">
        <f aca="false">IF(A646="","",MONTH(A646))</f>
        <v/>
      </c>
      <c r="C646" s="37"/>
      <c r="D646" s="37"/>
      <c r="E646" s="37"/>
      <c r="F646" s="37"/>
      <c r="G646" s="37"/>
      <c r="H646" s="37"/>
    </row>
    <row r="647" customFormat="false" ht="15" hidden="false" customHeight="false" outlineLevel="0" collapsed="false">
      <c r="A647" s="35"/>
      <c r="B647" s="36" t="str">
        <f aca="false">IF(A647="","",MONTH(A647))</f>
        <v/>
      </c>
      <c r="C647" s="37"/>
      <c r="D647" s="37"/>
      <c r="E647" s="37"/>
      <c r="F647" s="37"/>
      <c r="G647" s="37"/>
      <c r="H647" s="37"/>
    </row>
    <row r="648" customFormat="false" ht="15" hidden="false" customHeight="false" outlineLevel="0" collapsed="false">
      <c r="A648" s="35"/>
      <c r="B648" s="36" t="str">
        <f aca="false">IF(A648="","",MONTH(A648))</f>
        <v/>
      </c>
      <c r="C648" s="37"/>
      <c r="D648" s="37"/>
      <c r="E648" s="37"/>
      <c r="F648" s="37"/>
      <c r="G648" s="37"/>
      <c r="H648" s="37"/>
    </row>
    <row r="649" customFormat="false" ht="15" hidden="false" customHeight="false" outlineLevel="0" collapsed="false">
      <c r="A649" s="35"/>
      <c r="B649" s="36" t="str">
        <f aca="false">IF(A649="","",MONTH(A649))</f>
        <v/>
      </c>
      <c r="C649" s="37"/>
      <c r="D649" s="37"/>
      <c r="E649" s="37"/>
      <c r="F649" s="37"/>
      <c r="G649" s="37"/>
      <c r="H649" s="37"/>
    </row>
    <row r="650" customFormat="false" ht="15" hidden="false" customHeight="false" outlineLevel="0" collapsed="false">
      <c r="A650" s="35"/>
      <c r="B650" s="36" t="str">
        <f aca="false">IF(A650="","",MONTH(A650))</f>
        <v/>
      </c>
      <c r="C650" s="37"/>
      <c r="D650" s="37"/>
      <c r="E650" s="37"/>
      <c r="F650" s="37"/>
      <c r="G650" s="37"/>
      <c r="H650" s="37"/>
    </row>
    <row r="651" customFormat="false" ht="15" hidden="false" customHeight="false" outlineLevel="0" collapsed="false">
      <c r="A651" s="35"/>
      <c r="B651" s="36" t="str">
        <f aca="false">IF(A651="","",MONTH(A651))</f>
        <v/>
      </c>
      <c r="C651" s="37"/>
      <c r="D651" s="37"/>
      <c r="E651" s="37"/>
      <c r="F651" s="37"/>
      <c r="G651" s="37"/>
      <c r="H651" s="37"/>
    </row>
    <row r="652" customFormat="false" ht="15" hidden="false" customHeight="false" outlineLevel="0" collapsed="false">
      <c r="A652" s="35"/>
      <c r="B652" s="36" t="str">
        <f aca="false">IF(A652="","",MONTH(A652))</f>
        <v/>
      </c>
      <c r="C652" s="37"/>
      <c r="D652" s="37"/>
      <c r="E652" s="37"/>
      <c r="F652" s="37"/>
      <c r="G652" s="37"/>
      <c r="H652" s="37"/>
    </row>
    <row r="653" customFormat="false" ht="15" hidden="false" customHeight="false" outlineLevel="0" collapsed="false">
      <c r="A653" s="35"/>
      <c r="B653" s="36" t="str">
        <f aca="false">IF(A653="","",MONTH(A653))</f>
        <v/>
      </c>
      <c r="C653" s="37"/>
      <c r="D653" s="37"/>
      <c r="E653" s="37"/>
      <c r="F653" s="37"/>
      <c r="G653" s="37"/>
      <c r="H653" s="37"/>
    </row>
    <row r="654" customFormat="false" ht="15" hidden="false" customHeight="false" outlineLevel="0" collapsed="false">
      <c r="A654" s="35"/>
      <c r="B654" s="36" t="str">
        <f aca="false">IF(A654="","",MONTH(A654))</f>
        <v/>
      </c>
      <c r="C654" s="37"/>
      <c r="D654" s="37"/>
      <c r="E654" s="37"/>
      <c r="F654" s="37"/>
      <c r="G654" s="37"/>
      <c r="H654" s="37"/>
    </row>
    <row r="655" customFormat="false" ht="15" hidden="false" customHeight="false" outlineLevel="0" collapsed="false">
      <c r="A655" s="35"/>
      <c r="B655" s="36" t="str">
        <f aca="false">IF(A655="","",MONTH(A655))</f>
        <v/>
      </c>
      <c r="C655" s="37"/>
      <c r="D655" s="37"/>
      <c r="E655" s="37"/>
      <c r="F655" s="37"/>
      <c r="G655" s="37"/>
      <c r="H655" s="37"/>
    </row>
    <row r="656" customFormat="false" ht="15" hidden="false" customHeight="false" outlineLevel="0" collapsed="false">
      <c r="A656" s="35"/>
      <c r="B656" s="36" t="str">
        <f aca="false">IF(A656="","",MONTH(A656))</f>
        <v/>
      </c>
      <c r="C656" s="37"/>
      <c r="D656" s="37"/>
      <c r="E656" s="37"/>
      <c r="F656" s="37"/>
      <c r="G656" s="37"/>
      <c r="H656" s="37"/>
    </row>
    <row r="657" customFormat="false" ht="15" hidden="false" customHeight="false" outlineLevel="0" collapsed="false">
      <c r="A657" s="35"/>
      <c r="B657" s="36" t="str">
        <f aca="false">IF(A657="","",MONTH(A657))</f>
        <v/>
      </c>
      <c r="C657" s="37"/>
      <c r="D657" s="37"/>
      <c r="E657" s="37"/>
      <c r="F657" s="37"/>
      <c r="G657" s="37"/>
      <c r="H657" s="37"/>
    </row>
    <row r="658" customFormat="false" ht="15" hidden="false" customHeight="false" outlineLevel="0" collapsed="false">
      <c r="A658" s="35"/>
      <c r="B658" s="36" t="str">
        <f aca="false">IF(A658="","",MONTH(A658))</f>
        <v/>
      </c>
      <c r="C658" s="37"/>
      <c r="D658" s="37"/>
      <c r="E658" s="37"/>
      <c r="F658" s="37"/>
      <c r="G658" s="37"/>
      <c r="H658" s="37"/>
    </row>
    <row r="659" customFormat="false" ht="15" hidden="false" customHeight="false" outlineLevel="0" collapsed="false">
      <c r="A659" s="35"/>
      <c r="B659" s="36" t="str">
        <f aca="false">IF(A659="","",MONTH(A659))</f>
        <v/>
      </c>
      <c r="C659" s="37"/>
      <c r="D659" s="37"/>
      <c r="E659" s="37"/>
      <c r="F659" s="37"/>
      <c r="G659" s="37"/>
      <c r="H659" s="37"/>
    </row>
    <row r="660" customFormat="false" ht="15" hidden="false" customHeight="false" outlineLevel="0" collapsed="false">
      <c r="A660" s="35"/>
      <c r="B660" s="36" t="str">
        <f aca="false">IF(A660="","",MONTH(A660))</f>
        <v/>
      </c>
      <c r="C660" s="37"/>
      <c r="D660" s="37"/>
      <c r="E660" s="37"/>
      <c r="F660" s="37"/>
      <c r="G660" s="37"/>
      <c r="H660" s="37"/>
    </row>
    <row r="661" customFormat="false" ht="15" hidden="false" customHeight="false" outlineLevel="0" collapsed="false">
      <c r="A661" s="35"/>
      <c r="B661" s="36" t="str">
        <f aca="false">IF(A661="","",MONTH(A661))</f>
        <v/>
      </c>
      <c r="C661" s="37"/>
      <c r="D661" s="37"/>
      <c r="E661" s="37"/>
      <c r="F661" s="37"/>
      <c r="G661" s="37"/>
      <c r="H661" s="37"/>
    </row>
    <row r="662" customFormat="false" ht="15" hidden="false" customHeight="false" outlineLevel="0" collapsed="false">
      <c r="A662" s="35"/>
      <c r="B662" s="36" t="str">
        <f aca="false">IF(A662="","",MONTH(A662))</f>
        <v/>
      </c>
      <c r="C662" s="37"/>
      <c r="D662" s="37"/>
      <c r="E662" s="37"/>
      <c r="F662" s="37"/>
      <c r="G662" s="37"/>
      <c r="H662" s="37"/>
    </row>
    <row r="663" customFormat="false" ht="15" hidden="false" customHeight="false" outlineLevel="0" collapsed="false">
      <c r="A663" s="35"/>
      <c r="B663" s="36" t="str">
        <f aca="false">IF(A663="","",MONTH(A663))</f>
        <v/>
      </c>
      <c r="C663" s="37"/>
      <c r="D663" s="37"/>
      <c r="E663" s="37"/>
      <c r="F663" s="37"/>
      <c r="G663" s="37"/>
      <c r="H663" s="37"/>
    </row>
    <row r="664" customFormat="false" ht="15" hidden="false" customHeight="false" outlineLevel="0" collapsed="false">
      <c r="A664" s="35"/>
      <c r="B664" s="36" t="str">
        <f aca="false">IF(A664="","",MONTH(A664))</f>
        <v/>
      </c>
      <c r="C664" s="37"/>
      <c r="D664" s="37"/>
      <c r="E664" s="37"/>
      <c r="F664" s="37"/>
      <c r="G664" s="37"/>
      <c r="H664" s="37"/>
    </row>
    <row r="665" customFormat="false" ht="15" hidden="false" customHeight="false" outlineLevel="0" collapsed="false">
      <c r="A665" s="35"/>
      <c r="B665" s="36" t="str">
        <f aca="false">IF(A665="","",MONTH(A665))</f>
        <v/>
      </c>
      <c r="C665" s="37"/>
      <c r="D665" s="37"/>
      <c r="E665" s="37"/>
      <c r="F665" s="37"/>
      <c r="G665" s="37"/>
      <c r="H665" s="37"/>
    </row>
    <row r="666" customFormat="false" ht="15" hidden="false" customHeight="false" outlineLevel="0" collapsed="false">
      <c r="A666" s="35"/>
      <c r="B666" s="36" t="str">
        <f aca="false">IF(A666="","",MONTH(A666))</f>
        <v/>
      </c>
      <c r="C666" s="37"/>
      <c r="D666" s="37"/>
      <c r="E666" s="37"/>
      <c r="F666" s="37"/>
      <c r="G666" s="37"/>
      <c r="H666" s="37"/>
    </row>
    <row r="667" customFormat="false" ht="15" hidden="false" customHeight="false" outlineLevel="0" collapsed="false">
      <c r="A667" s="35"/>
      <c r="B667" s="36" t="str">
        <f aca="false">IF(A667="","",MONTH(A667))</f>
        <v/>
      </c>
      <c r="C667" s="37"/>
      <c r="D667" s="37"/>
      <c r="E667" s="37"/>
      <c r="F667" s="37"/>
      <c r="G667" s="37"/>
      <c r="H667" s="37"/>
    </row>
    <row r="668" customFormat="false" ht="15" hidden="false" customHeight="false" outlineLevel="0" collapsed="false">
      <c r="A668" s="35"/>
      <c r="B668" s="36" t="str">
        <f aca="false">IF(A668="","",MONTH(A668))</f>
        <v/>
      </c>
      <c r="C668" s="37"/>
      <c r="D668" s="37"/>
      <c r="E668" s="37"/>
      <c r="F668" s="37"/>
      <c r="G668" s="37"/>
      <c r="H668" s="37"/>
    </row>
    <row r="669" customFormat="false" ht="15" hidden="false" customHeight="false" outlineLevel="0" collapsed="false">
      <c r="A669" s="35"/>
      <c r="B669" s="36" t="str">
        <f aca="false">IF(A669="","",MONTH(A669))</f>
        <v/>
      </c>
      <c r="C669" s="37"/>
      <c r="D669" s="37"/>
      <c r="E669" s="37"/>
      <c r="F669" s="37"/>
      <c r="G669" s="37"/>
      <c r="H669" s="37"/>
    </row>
    <row r="670" customFormat="false" ht="15" hidden="false" customHeight="false" outlineLevel="0" collapsed="false">
      <c r="A670" s="35"/>
      <c r="B670" s="36" t="str">
        <f aca="false">IF(A670="","",MONTH(A670))</f>
        <v/>
      </c>
      <c r="C670" s="37"/>
      <c r="D670" s="37"/>
      <c r="E670" s="37"/>
      <c r="F670" s="37"/>
      <c r="G670" s="37"/>
      <c r="H670" s="37"/>
    </row>
    <row r="671" customFormat="false" ht="15" hidden="false" customHeight="false" outlineLevel="0" collapsed="false">
      <c r="A671" s="35"/>
      <c r="B671" s="36" t="str">
        <f aca="false">IF(A671="","",MONTH(A671))</f>
        <v/>
      </c>
      <c r="C671" s="37"/>
      <c r="D671" s="37"/>
      <c r="E671" s="37"/>
      <c r="F671" s="37"/>
      <c r="G671" s="37"/>
      <c r="H671" s="37"/>
    </row>
    <row r="672" customFormat="false" ht="15" hidden="false" customHeight="false" outlineLevel="0" collapsed="false">
      <c r="A672" s="35"/>
      <c r="B672" s="36" t="str">
        <f aca="false">IF(A672="","",MONTH(A672))</f>
        <v/>
      </c>
      <c r="C672" s="37"/>
      <c r="D672" s="37"/>
      <c r="E672" s="37"/>
      <c r="F672" s="37"/>
      <c r="G672" s="37"/>
      <c r="H672" s="37"/>
    </row>
    <row r="673" customFormat="false" ht="15" hidden="false" customHeight="false" outlineLevel="0" collapsed="false">
      <c r="A673" s="35"/>
      <c r="B673" s="36" t="str">
        <f aca="false">IF(A673="","",MONTH(A673))</f>
        <v/>
      </c>
      <c r="C673" s="37"/>
      <c r="D673" s="37"/>
      <c r="E673" s="37"/>
      <c r="F673" s="37"/>
      <c r="G673" s="37"/>
      <c r="H673" s="37"/>
    </row>
    <row r="674" customFormat="false" ht="15" hidden="false" customHeight="false" outlineLevel="0" collapsed="false">
      <c r="A674" s="35"/>
      <c r="B674" s="36" t="str">
        <f aca="false">IF(A674="","",MONTH(A674))</f>
        <v/>
      </c>
      <c r="C674" s="37"/>
      <c r="D674" s="37"/>
      <c r="E674" s="37"/>
      <c r="F674" s="37"/>
      <c r="G674" s="37"/>
      <c r="H674" s="37"/>
    </row>
    <row r="675" customFormat="false" ht="15" hidden="false" customHeight="false" outlineLevel="0" collapsed="false">
      <c r="A675" s="35"/>
      <c r="B675" s="36" t="str">
        <f aca="false">IF(A675="","",MONTH(A675))</f>
        <v/>
      </c>
      <c r="C675" s="37"/>
      <c r="D675" s="37"/>
      <c r="E675" s="37"/>
      <c r="F675" s="37"/>
      <c r="G675" s="37"/>
      <c r="H675" s="37"/>
    </row>
    <row r="676" customFormat="false" ht="15" hidden="false" customHeight="false" outlineLevel="0" collapsed="false">
      <c r="A676" s="35"/>
      <c r="B676" s="36" t="str">
        <f aca="false">IF(A676="","",MONTH(A676))</f>
        <v/>
      </c>
      <c r="C676" s="37"/>
      <c r="D676" s="37"/>
      <c r="E676" s="37"/>
      <c r="F676" s="37"/>
      <c r="G676" s="37"/>
      <c r="H676" s="37"/>
    </row>
    <row r="677" customFormat="false" ht="15" hidden="false" customHeight="false" outlineLevel="0" collapsed="false">
      <c r="A677" s="35"/>
      <c r="B677" s="36" t="str">
        <f aca="false">IF(A677="","",MONTH(A677))</f>
        <v/>
      </c>
      <c r="C677" s="37"/>
      <c r="D677" s="37"/>
      <c r="E677" s="37"/>
      <c r="F677" s="37"/>
      <c r="G677" s="37"/>
      <c r="H677" s="37"/>
    </row>
    <row r="678" customFormat="false" ht="15" hidden="false" customHeight="false" outlineLevel="0" collapsed="false">
      <c r="A678" s="35"/>
      <c r="B678" s="36" t="str">
        <f aca="false">IF(A678="","",MONTH(A678))</f>
        <v/>
      </c>
      <c r="C678" s="37"/>
      <c r="D678" s="37"/>
      <c r="E678" s="37"/>
      <c r="F678" s="37"/>
      <c r="G678" s="37"/>
      <c r="H678" s="37"/>
    </row>
    <row r="679" customFormat="false" ht="15" hidden="false" customHeight="false" outlineLevel="0" collapsed="false">
      <c r="A679" s="35"/>
      <c r="B679" s="36" t="str">
        <f aca="false">IF(A679="","",MONTH(A679))</f>
        <v/>
      </c>
      <c r="C679" s="37"/>
      <c r="D679" s="37"/>
      <c r="E679" s="37"/>
      <c r="F679" s="37"/>
      <c r="G679" s="37"/>
      <c r="H679" s="37"/>
    </row>
    <row r="680" customFormat="false" ht="15" hidden="false" customHeight="false" outlineLevel="0" collapsed="false">
      <c r="A680" s="35"/>
      <c r="B680" s="36" t="str">
        <f aca="false">IF(A680="","",MONTH(A680))</f>
        <v/>
      </c>
      <c r="C680" s="37"/>
      <c r="D680" s="37"/>
      <c r="E680" s="37"/>
      <c r="F680" s="37"/>
      <c r="G680" s="37"/>
      <c r="H680" s="37"/>
    </row>
    <row r="681" customFormat="false" ht="15" hidden="false" customHeight="false" outlineLevel="0" collapsed="false">
      <c r="A681" s="35"/>
      <c r="B681" s="36" t="str">
        <f aca="false">IF(A681="","",MONTH(A681))</f>
        <v/>
      </c>
      <c r="C681" s="37"/>
      <c r="D681" s="37"/>
      <c r="E681" s="37"/>
      <c r="F681" s="37"/>
      <c r="G681" s="37"/>
      <c r="H681" s="37"/>
    </row>
    <row r="682" customFormat="false" ht="15" hidden="false" customHeight="false" outlineLevel="0" collapsed="false">
      <c r="A682" s="35"/>
      <c r="B682" s="36" t="str">
        <f aca="false">IF(A682="","",MONTH(A682))</f>
        <v/>
      </c>
      <c r="C682" s="37"/>
      <c r="D682" s="37"/>
      <c r="E682" s="37"/>
      <c r="F682" s="37"/>
      <c r="G682" s="37"/>
      <c r="H682" s="37"/>
    </row>
    <row r="683" customFormat="false" ht="15" hidden="false" customHeight="false" outlineLevel="0" collapsed="false">
      <c r="A683" s="35"/>
      <c r="B683" s="36" t="str">
        <f aca="false">IF(A683="","",MONTH(A683))</f>
        <v/>
      </c>
      <c r="C683" s="37"/>
      <c r="D683" s="37"/>
      <c r="E683" s="37"/>
      <c r="F683" s="37"/>
      <c r="G683" s="37"/>
      <c r="H683" s="37"/>
    </row>
    <row r="684" customFormat="false" ht="15" hidden="false" customHeight="false" outlineLevel="0" collapsed="false">
      <c r="A684" s="35"/>
      <c r="B684" s="36" t="str">
        <f aca="false">IF(A684="","",MONTH(A684))</f>
        <v/>
      </c>
      <c r="C684" s="37"/>
      <c r="D684" s="37"/>
      <c r="E684" s="37"/>
      <c r="F684" s="37"/>
      <c r="G684" s="37"/>
      <c r="H684" s="37"/>
    </row>
    <row r="685" customFormat="false" ht="15" hidden="false" customHeight="false" outlineLevel="0" collapsed="false">
      <c r="A685" s="35"/>
      <c r="B685" s="36" t="str">
        <f aca="false">IF(A685="","",MONTH(A685))</f>
        <v/>
      </c>
      <c r="C685" s="37"/>
      <c r="D685" s="37"/>
      <c r="E685" s="37"/>
      <c r="F685" s="37"/>
      <c r="G685" s="37"/>
      <c r="H685" s="37"/>
    </row>
    <row r="686" customFormat="false" ht="15" hidden="false" customHeight="false" outlineLevel="0" collapsed="false">
      <c r="A686" s="35"/>
      <c r="B686" s="36" t="str">
        <f aca="false">IF(A686="","",MONTH(A686))</f>
        <v/>
      </c>
      <c r="C686" s="37"/>
      <c r="D686" s="37"/>
      <c r="E686" s="37"/>
      <c r="F686" s="37"/>
      <c r="G686" s="37"/>
      <c r="H686" s="37"/>
    </row>
    <row r="687" customFormat="false" ht="15" hidden="false" customHeight="false" outlineLevel="0" collapsed="false">
      <c r="A687" s="35"/>
      <c r="B687" s="36" t="str">
        <f aca="false">IF(A687="","",MONTH(A687))</f>
        <v/>
      </c>
      <c r="C687" s="37"/>
      <c r="D687" s="37"/>
      <c r="E687" s="37"/>
      <c r="F687" s="37"/>
      <c r="G687" s="37"/>
      <c r="H687" s="37"/>
    </row>
    <row r="688" customFormat="false" ht="15" hidden="false" customHeight="false" outlineLevel="0" collapsed="false">
      <c r="A688" s="35"/>
      <c r="B688" s="36" t="str">
        <f aca="false">IF(A688="","",MONTH(A688))</f>
        <v/>
      </c>
      <c r="C688" s="37"/>
      <c r="D688" s="37"/>
      <c r="E688" s="37"/>
      <c r="F688" s="37"/>
      <c r="G688" s="37"/>
      <c r="H688" s="37"/>
    </row>
    <row r="689" customFormat="false" ht="15" hidden="false" customHeight="false" outlineLevel="0" collapsed="false">
      <c r="A689" s="35"/>
      <c r="B689" s="36" t="str">
        <f aca="false">IF(A689="","",MONTH(A689))</f>
        <v/>
      </c>
      <c r="C689" s="37"/>
      <c r="D689" s="37"/>
      <c r="E689" s="37"/>
      <c r="F689" s="37"/>
      <c r="G689" s="37"/>
      <c r="H689" s="37"/>
    </row>
    <row r="690" customFormat="false" ht="15" hidden="false" customHeight="false" outlineLevel="0" collapsed="false">
      <c r="A690" s="35"/>
      <c r="B690" s="36" t="str">
        <f aca="false">IF(A690="","",MONTH(A690))</f>
        <v/>
      </c>
      <c r="C690" s="37"/>
      <c r="D690" s="37"/>
      <c r="E690" s="37"/>
      <c r="F690" s="37"/>
      <c r="G690" s="37"/>
      <c r="H690" s="37"/>
    </row>
    <row r="691" customFormat="false" ht="15" hidden="false" customHeight="false" outlineLevel="0" collapsed="false">
      <c r="A691" s="35"/>
      <c r="B691" s="36" t="str">
        <f aca="false">IF(A691="","",MONTH(A691))</f>
        <v/>
      </c>
      <c r="C691" s="37"/>
      <c r="D691" s="37"/>
      <c r="E691" s="37"/>
      <c r="F691" s="37"/>
      <c r="G691" s="37"/>
      <c r="H691" s="37"/>
    </row>
    <row r="692" customFormat="false" ht="15" hidden="false" customHeight="false" outlineLevel="0" collapsed="false">
      <c r="A692" s="35"/>
      <c r="B692" s="36" t="str">
        <f aca="false">IF(A692="","",MONTH(A692))</f>
        <v/>
      </c>
      <c r="C692" s="37"/>
      <c r="D692" s="37"/>
      <c r="E692" s="37"/>
      <c r="F692" s="37"/>
      <c r="G692" s="37"/>
      <c r="H692" s="37"/>
    </row>
    <row r="693" customFormat="false" ht="15" hidden="false" customHeight="false" outlineLevel="0" collapsed="false">
      <c r="A693" s="35"/>
      <c r="B693" s="36" t="str">
        <f aca="false">IF(A693="","",MONTH(A693))</f>
        <v/>
      </c>
      <c r="C693" s="37"/>
      <c r="D693" s="37"/>
      <c r="E693" s="37"/>
      <c r="F693" s="37"/>
      <c r="G693" s="37"/>
      <c r="H693" s="37"/>
    </row>
    <row r="694" customFormat="false" ht="15" hidden="false" customHeight="false" outlineLevel="0" collapsed="false">
      <c r="A694" s="35"/>
      <c r="B694" s="36" t="str">
        <f aca="false">IF(A694="","",MONTH(A694))</f>
        <v/>
      </c>
      <c r="C694" s="37"/>
      <c r="D694" s="37"/>
      <c r="E694" s="37"/>
      <c r="F694" s="37"/>
      <c r="G694" s="37"/>
      <c r="H694" s="37"/>
    </row>
    <row r="695" customFormat="false" ht="15" hidden="false" customHeight="false" outlineLevel="0" collapsed="false">
      <c r="A695" s="35"/>
      <c r="B695" s="36" t="str">
        <f aca="false">IF(A695="","",MONTH(A695))</f>
        <v/>
      </c>
      <c r="C695" s="37"/>
      <c r="D695" s="37"/>
      <c r="E695" s="37"/>
      <c r="F695" s="37"/>
      <c r="G695" s="37"/>
      <c r="H695" s="37"/>
    </row>
    <row r="696" customFormat="false" ht="15" hidden="false" customHeight="false" outlineLevel="0" collapsed="false">
      <c r="A696" s="35"/>
      <c r="B696" s="36" t="str">
        <f aca="false">IF(A696="","",MONTH(A696))</f>
        <v/>
      </c>
      <c r="C696" s="37"/>
      <c r="D696" s="37"/>
      <c r="E696" s="37"/>
      <c r="F696" s="37"/>
      <c r="G696" s="37"/>
      <c r="H696" s="37"/>
    </row>
    <row r="697" customFormat="false" ht="15" hidden="false" customHeight="false" outlineLevel="0" collapsed="false">
      <c r="A697" s="35"/>
      <c r="B697" s="36" t="str">
        <f aca="false">IF(A697="","",MONTH(A697))</f>
        <v/>
      </c>
      <c r="C697" s="37"/>
      <c r="D697" s="37"/>
      <c r="E697" s="37"/>
      <c r="F697" s="37"/>
      <c r="G697" s="37"/>
      <c r="H697" s="37"/>
    </row>
    <row r="698" customFormat="false" ht="15" hidden="false" customHeight="false" outlineLevel="0" collapsed="false">
      <c r="A698" s="35"/>
      <c r="B698" s="36" t="str">
        <f aca="false">IF(A698="","",MONTH(A698))</f>
        <v/>
      </c>
      <c r="C698" s="37"/>
      <c r="D698" s="37"/>
      <c r="E698" s="37"/>
      <c r="F698" s="37"/>
      <c r="G698" s="37"/>
      <c r="H698" s="37"/>
    </row>
    <row r="699" customFormat="false" ht="15" hidden="false" customHeight="false" outlineLevel="0" collapsed="false">
      <c r="A699" s="35"/>
      <c r="B699" s="36" t="str">
        <f aca="false">IF(A699="","",MONTH(A699))</f>
        <v/>
      </c>
      <c r="C699" s="37"/>
      <c r="D699" s="37"/>
      <c r="E699" s="37"/>
      <c r="F699" s="37"/>
      <c r="G699" s="37"/>
      <c r="H699" s="37"/>
    </row>
    <row r="700" customFormat="false" ht="15" hidden="false" customHeight="false" outlineLevel="0" collapsed="false">
      <c r="A700" s="35"/>
      <c r="B700" s="36" t="str">
        <f aca="false">IF(A700="","",MONTH(A700))</f>
        <v/>
      </c>
      <c r="C700" s="37"/>
      <c r="D700" s="37"/>
      <c r="E700" s="37"/>
      <c r="F700" s="37"/>
      <c r="G700" s="37"/>
      <c r="H700" s="37"/>
    </row>
    <row r="701" customFormat="false" ht="15" hidden="false" customHeight="false" outlineLevel="0" collapsed="false">
      <c r="A701" s="35"/>
      <c r="B701" s="36" t="str">
        <f aca="false">IF(A701="","",MONTH(A701))</f>
        <v/>
      </c>
      <c r="C701" s="37"/>
      <c r="D701" s="37"/>
      <c r="E701" s="37"/>
      <c r="F701" s="37"/>
      <c r="G701" s="37"/>
      <c r="H701" s="37"/>
    </row>
    <row r="702" customFormat="false" ht="15" hidden="false" customHeight="false" outlineLevel="0" collapsed="false">
      <c r="A702" s="35"/>
      <c r="B702" s="36" t="str">
        <f aca="false">IF(A702="","",MONTH(A702))</f>
        <v/>
      </c>
      <c r="C702" s="37"/>
      <c r="D702" s="37"/>
      <c r="E702" s="37"/>
      <c r="F702" s="37"/>
      <c r="G702" s="37"/>
      <c r="H702" s="37"/>
    </row>
    <row r="703" customFormat="false" ht="15" hidden="false" customHeight="false" outlineLevel="0" collapsed="false">
      <c r="A703" s="35"/>
      <c r="B703" s="36" t="str">
        <f aca="false">IF(A703="","",MONTH(A703))</f>
        <v/>
      </c>
      <c r="C703" s="37"/>
      <c r="D703" s="37"/>
      <c r="E703" s="37"/>
      <c r="F703" s="37"/>
      <c r="G703" s="37"/>
      <c r="H703" s="37"/>
    </row>
    <row r="704" customFormat="false" ht="15" hidden="false" customHeight="false" outlineLevel="0" collapsed="false">
      <c r="A704" s="35"/>
      <c r="B704" s="36" t="str">
        <f aca="false">IF(A704="","",MONTH(A704))</f>
        <v/>
      </c>
      <c r="C704" s="37"/>
      <c r="D704" s="37"/>
      <c r="E704" s="37"/>
      <c r="F704" s="37"/>
      <c r="G704" s="37"/>
      <c r="H704" s="37"/>
    </row>
    <row r="705" customFormat="false" ht="15" hidden="false" customHeight="false" outlineLevel="0" collapsed="false">
      <c r="A705" s="35"/>
      <c r="B705" s="36" t="str">
        <f aca="false">IF(A705="","",MONTH(A705))</f>
        <v/>
      </c>
      <c r="C705" s="37"/>
      <c r="D705" s="37"/>
      <c r="E705" s="37"/>
      <c r="F705" s="37"/>
      <c r="G705" s="37"/>
      <c r="H705" s="37"/>
    </row>
    <row r="706" customFormat="false" ht="15" hidden="false" customHeight="false" outlineLevel="0" collapsed="false">
      <c r="A706" s="35"/>
      <c r="B706" s="36" t="str">
        <f aca="false">IF(A706="","",MONTH(A706))</f>
        <v/>
      </c>
      <c r="C706" s="37"/>
      <c r="D706" s="37"/>
      <c r="E706" s="37"/>
      <c r="F706" s="37"/>
      <c r="G706" s="37"/>
      <c r="H706" s="37"/>
    </row>
    <row r="707" customFormat="false" ht="15" hidden="false" customHeight="false" outlineLevel="0" collapsed="false">
      <c r="A707" s="35"/>
      <c r="B707" s="36" t="str">
        <f aca="false">IF(A707="","",MONTH(A707))</f>
        <v/>
      </c>
      <c r="C707" s="37"/>
      <c r="D707" s="37"/>
      <c r="E707" s="37"/>
      <c r="F707" s="37"/>
      <c r="G707" s="37"/>
      <c r="H707" s="37"/>
    </row>
    <row r="708" customFormat="false" ht="15" hidden="false" customHeight="false" outlineLevel="0" collapsed="false">
      <c r="A708" s="35"/>
      <c r="B708" s="36" t="str">
        <f aca="false">IF(A708="","",MONTH(A708))</f>
        <v/>
      </c>
      <c r="C708" s="37"/>
      <c r="D708" s="37"/>
      <c r="E708" s="37"/>
      <c r="F708" s="37"/>
      <c r="G708" s="37"/>
      <c r="H708" s="37"/>
    </row>
    <row r="709" customFormat="false" ht="15" hidden="false" customHeight="false" outlineLevel="0" collapsed="false">
      <c r="A709" s="35"/>
      <c r="B709" s="36" t="str">
        <f aca="false">IF(A709="","",MONTH(A709))</f>
        <v/>
      </c>
      <c r="C709" s="37"/>
      <c r="D709" s="37"/>
      <c r="E709" s="37"/>
      <c r="F709" s="37"/>
      <c r="G709" s="37"/>
      <c r="H709" s="37"/>
    </row>
    <row r="710" customFormat="false" ht="15" hidden="false" customHeight="false" outlineLevel="0" collapsed="false">
      <c r="A710" s="35"/>
      <c r="B710" s="36" t="str">
        <f aca="false">IF(A710="","",MONTH(A710))</f>
        <v/>
      </c>
      <c r="C710" s="37"/>
      <c r="D710" s="37"/>
      <c r="E710" s="37"/>
      <c r="F710" s="37"/>
      <c r="G710" s="37"/>
      <c r="H710" s="37"/>
    </row>
    <row r="711" customFormat="false" ht="15" hidden="false" customHeight="false" outlineLevel="0" collapsed="false">
      <c r="A711" s="35"/>
      <c r="B711" s="36" t="str">
        <f aca="false">IF(A711="","",MONTH(A711))</f>
        <v/>
      </c>
      <c r="C711" s="37"/>
      <c r="D711" s="37"/>
      <c r="E711" s="37"/>
      <c r="F711" s="37"/>
      <c r="G711" s="37"/>
      <c r="H711" s="37"/>
    </row>
    <row r="712" customFormat="false" ht="15" hidden="false" customHeight="false" outlineLevel="0" collapsed="false">
      <c r="A712" s="35"/>
      <c r="B712" s="36" t="str">
        <f aca="false">IF(A712="","",MONTH(A712))</f>
        <v/>
      </c>
      <c r="C712" s="37"/>
      <c r="D712" s="37"/>
      <c r="E712" s="37"/>
      <c r="F712" s="37"/>
      <c r="G712" s="37"/>
      <c r="H712" s="37"/>
    </row>
    <row r="713" customFormat="false" ht="15" hidden="false" customHeight="false" outlineLevel="0" collapsed="false">
      <c r="A713" s="35"/>
      <c r="B713" s="36" t="str">
        <f aca="false">IF(A713="","",MONTH(A713))</f>
        <v/>
      </c>
      <c r="C713" s="37"/>
      <c r="D713" s="37"/>
      <c r="E713" s="37"/>
      <c r="F713" s="37"/>
      <c r="G713" s="37"/>
      <c r="H713" s="37"/>
    </row>
    <row r="714" customFormat="false" ht="15" hidden="false" customHeight="false" outlineLevel="0" collapsed="false">
      <c r="A714" s="35"/>
      <c r="B714" s="36" t="str">
        <f aca="false">IF(A714="","",MONTH(A714))</f>
        <v/>
      </c>
      <c r="C714" s="37"/>
      <c r="D714" s="37"/>
      <c r="E714" s="37"/>
      <c r="F714" s="37"/>
      <c r="G714" s="37"/>
      <c r="H714" s="37"/>
    </row>
    <row r="715" customFormat="false" ht="15" hidden="false" customHeight="false" outlineLevel="0" collapsed="false">
      <c r="A715" s="35"/>
      <c r="B715" s="36" t="str">
        <f aca="false">IF(A715="","",MONTH(A715))</f>
        <v/>
      </c>
      <c r="C715" s="37"/>
      <c r="D715" s="37"/>
      <c r="E715" s="37"/>
      <c r="F715" s="37"/>
      <c r="G715" s="37"/>
      <c r="H715" s="37"/>
    </row>
    <row r="716" customFormat="false" ht="15" hidden="false" customHeight="false" outlineLevel="0" collapsed="false">
      <c r="A716" s="35"/>
      <c r="B716" s="36" t="str">
        <f aca="false">IF(A716="","",MONTH(A716))</f>
        <v/>
      </c>
      <c r="C716" s="37"/>
      <c r="D716" s="37"/>
      <c r="E716" s="37"/>
      <c r="F716" s="37"/>
      <c r="G716" s="37"/>
      <c r="H716" s="37"/>
    </row>
    <row r="717" customFormat="false" ht="15" hidden="false" customHeight="false" outlineLevel="0" collapsed="false">
      <c r="A717" s="35"/>
      <c r="B717" s="36" t="str">
        <f aca="false">IF(A717="","",MONTH(A717))</f>
        <v/>
      </c>
      <c r="C717" s="37"/>
      <c r="D717" s="37"/>
      <c r="E717" s="37"/>
      <c r="F717" s="37"/>
      <c r="G717" s="37"/>
      <c r="H717" s="37"/>
    </row>
    <row r="718" customFormat="false" ht="15" hidden="false" customHeight="false" outlineLevel="0" collapsed="false">
      <c r="A718" s="35"/>
      <c r="B718" s="36" t="str">
        <f aca="false">IF(A718="","",MONTH(A718))</f>
        <v/>
      </c>
      <c r="C718" s="37"/>
      <c r="D718" s="37"/>
      <c r="E718" s="37"/>
      <c r="F718" s="37"/>
      <c r="G718" s="37"/>
      <c r="H718" s="37"/>
    </row>
    <row r="719" customFormat="false" ht="15" hidden="false" customHeight="false" outlineLevel="0" collapsed="false">
      <c r="A719" s="35"/>
      <c r="B719" s="36" t="str">
        <f aca="false">IF(A719="","",MONTH(A719))</f>
        <v/>
      </c>
      <c r="C719" s="37"/>
      <c r="D719" s="37"/>
      <c r="E719" s="37"/>
      <c r="F719" s="37"/>
      <c r="G719" s="37"/>
      <c r="H719" s="37"/>
    </row>
    <row r="720" customFormat="false" ht="15" hidden="false" customHeight="false" outlineLevel="0" collapsed="false">
      <c r="A720" s="35"/>
      <c r="B720" s="36" t="str">
        <f aca="false">IF(A720="","",MONTH(A720))</f>
        <v/>
      </c>
      <c r="C720" s="37"/>
      <c r="D720" s="37"/>
      <c r="E720" s="37"/>
      <c r="F720" s="37"/>
      <c r="G720" s="37"/>
      <c r="H720" s="37"/>
    </row>
    <row r="721" customFormat="false" ht="15" hidden="false" customHeight="false" outlineLevel="0" collapsed="false">
      <c r="A721" s="35"/>
      <c r="B721" s="36" t="str">
        <f aca="false">IF(A721="","",MONTH(A721))</f>
        <v/>
      </c>
      <c r="C721" s="37"/>
      <c r="D721" s="37"/>
      <c r="E721" s="37"/>
      <c r="F721" s="37"/>
      <c r="G721" s="37"/>
      <c r="H721" s="37"/>
    </row>
    <row r="722" customFormat="false" ht="15" hidden="false" customHeight="false" outlineLevel="0" collapsed="false">
      <c r="A722" s="35"/>
      <c r="B722" s="36" t="str">
        <f aca="false">IF(A722="","",MONTH(A722))</f>
        <v/>
      </c>
      <c r="C722" s="37"/>
      <c r="D722" s="37"/>
      <c r="E722" s="37"/>
      <c r="F722" s="37"/>
      <c r="G722" s="37"/>
      <c r="H722" s="37"/>
    </row>
    <row r="723" customFormat="false" ht="15" hidden="false" customHeight="false" outlineLevel="0" collapsed="false">
      <c r="A723" s="35"/>
      <c r="B723" s="36" t="str">
        <f aca="false">IF(A723="","",MONTH(A723))</f>
        <v/>
      </c>
      <c r="C723" s="37"/>
      <c r="D723" s="37"/>
      <c r="E723" s="37"/>
      <c r="F723" s="37"/>
      <c r="G723" s="37"/>
      <c r="H723" s="37"/>
    </row>
    <row r="724" customFormat="false" ht="15" hidden="false" customHeight="false" outlineLevel="0" collapsed="false">
      <c r="A724" s="35"/>
      <c r="B724" s="36" t="str">
        <f aca="false">IF(A724="","",MONTH(A724))</f>
        <v/>
      </c>
      <c r="C724" s="37"/>
      <c r="D724" s="37"/>
      <c r="E724" s="37"/>
      <c r="F724" s="37"/>
      <c r="G724" s="37"/>
      <c r="H724" s="37"/>
    </row>
    <row r="725" customFormat="false" ht="15" hidden="false" customHeight="false" outlineLevel="0" collapsed="false">
      <c r="A725" s="35"/>
      <c r="B725" s="36" t="str">
        <f aca="false">IF(A725="","",MONTH(A725))</f>
        <v/>
      </c>
      <c r="C725" s="37"/>
      <c r="D725" s="37"/>
      <c r="E725" s="37"/>
      <c r="F725" s="37"/>
      <c r="G725" s="37"/>
      <c r="H725" s="37"/>
    </row>
    <row r="726" customFormat="false" ht="15" hidden="false" customHeight="false" outlineLevel="0" collapsed="false">
      <c r="A726" s="35"/>
      <c r="B726" s="36" t="str">
        <f aca="false">IF(A726="","",MONTH(A726))</f>
        <v/>
      </c>
      <c r="C726" s="37"/>
      <c r="D726" s="37"/>
      <c r="E726" s="37"/>
      <c r="F726" s="37"/>
      <c r="G726" s="37"/>
      <c r="H726" s="37"/>
    </row>
    <row r="727" customFormat="false" ht="15" hidden="false" customHeight="false" outlineLevel="0" collapsed="false">
      <c r="A727" s="35"/>
      <c r="B727" s="36" t="str">
        <f aca="false">IF(A727="","",MONTH(A727))</f>
        <v/>
      </c>
      <c r="C727" s="37"/>
      <c r="D727" s="37"/>
      <c r="E727" s="37"/>
      <c r="F727" s="37"/>
      <c r="G727" s="37"/>
      <c r="H727" s="37"/>
    </row>
    <row r="728" customFormat="false" ht="15" hidden="false" customHeight="false" outlineLevel="0" collapsed="false">
      <c r="A728" s="35"/>
      <c r="B728" s="36" t="str">
        <f aca="false">IF(A728="","",MONTH(A728))</f>
        <v/>
      </c>
      <c r="C728" s="37"/>
      <c r="D728" s="37"/>
      <c r="E728" s="37"/>
      <c r="F728" s="37"/>
      <c r="G728" s="37"/>
      <c r="H728" s="37"/>
    </row>
    <row r="729" customFormat="false" ht="15" hidden="false" customHeight="false" outlineLevel="0" collapsed="false">
      <c r="A729" s="35"/>
      <c r="B729" s="36" t="str">
        <f aca="false">IF(A729="","",MONTH(A729))</f>
        <v/>
      </c>
      <c r="C729" s="37"/>
      <c r="D729" s="37"/>
      <c r="E729" s="37"/>
      <c r="F729" s="37"/>
      <c r="G729" s="37"/>
      <c r="H729" s="37"/>
    </row>
    <row r="730" customFormat="false" ht="15" hidden="false" customHeight="false" outlineLevel="0" collapsed="false">
      <c r="A730" s="35"/>
      <c r="B730" s="36" t="str">
        <f aca="false">IF(A730="","",MONTH(A730))</f>
        <v/>
      </c>
      <c r="C730" s="37"/>
      <c r="D730" s="37"/>
      <c r="E730" s="37"/>
      <c r="F730" s="37"/>
      <c r="G730" s="37"/>
      <c r="H730" s="37"/>
    </row>
    <row r="731" customFormat="false" ht="15" hidden="false" customHeight="false" outlineLevel="0" collapsed="false">
      <c r="A731" s="35"/>
      <c r="B731" s="36" t="str">
        <f aca="false">IF(A731="","",MONTH(A731))</f>
        <v/>
      </c>
      <c r="C731" s="37"/>
      <c r="D731" s="37"/>
      <c r="E731" s="37"/>
      <c r="F731" s="37"/>
      <c r="G731" s="37"/>
      <c r="H731" s="37"/>
    </row>
    <row r="732" customFormat="false" ht="15" hidden="false" customHeight="false" outlineLevel="0" collapsed="false">
      <c r="A732" s="35"/>
      <c r="B732" s="36" t="str">
        <f aca="false">IF(A732="","",MONTH(A732))</f>
        <v/>
      </c>
      <c r="C732" s="37"/>
      <c r="D732" s="37"/>
      <c r="E732" s="37"/>
      <c r="F732" s="37"/>
      <c r="G732" s="37"/>
      <c r="H732" s="37"/>
    </row>
    <row r="733" customFormat="false" ht="15" hidden="false" customHeight="false" outlineLevel="0" collapsed="false">
      <c r="A733" s="35"/>
      <c r="B733" s="36" t="str">
        <f aca="false">IF(A733="","",MONTH(A733))</f>
        <v/>
      </c>
      <c r="C733" s="37"/>
      <c r="D733" s="37"/>
      <c r="E733" s="37"/>
      <c r="F733" s="37"/>
      <c r="G733" s="37"/>
      <c r="H733" s="37"/>
    </row>
    <row r="734" customFormat="false" ht="15" hidden="false" customHeight="false" outlineLevel="0" collapsed="false">
      <c r="A734" s="35"/>
      <c r="B734" s="36" t="str">
        <f aca="false">IF(A734="","",MONTH(A734))</f>
        <v/>
      </c>
      <c r="C734" s="37"/>
      <c r="D734" s="37"/>
      <c r="E734" s="37"/>
      <c r="F734" s="37"/>
      <c r="G734" s="37"/>
      <c r="H734" s="37"/>
    </row>
    <row r="735" customFormat="false" ht="15" hidden="false" customHeight="false" outlineLevel="0" collapsed="false">
      <c r="A735" s="35"/>
      <c r="B735" s="36" t="str">
        <f aca="false">IF(A735="","",MONTH(A735))</f>
        <v/>
      </c>
      <c r="C735" s="37"/>
      <c r="D735" s="37"/>
      <c r="E735" s="37"/>
      <c r="F735" s="37"/>
      <c r="G735" s="37"/>
      <c r="H735" s="37"/>
    </row>
    <row r="736" customFormat="false" ht="15" hidden="false" customHeight="false" outlineLevel="0" collapsed="false">
      <c r="A736" s="35"/>
      <c r="B736" s="36" t="str">
        <f aca="false">IF(A736="","",MONTH(A736))</f>
        <v/>
      </c>
      <c r="C736" s="37"/>
      <c r="D736" s="37"/>
      <c r="E736" s="37"/>
      <c r="F736" s="37"/>
      <c r="G736" s="37"/>
      <c r="H736" s="37"/>
    </row>
    <row r="737" customFormat="false" ht="15" hidden="false" customHeight="false" outlineLevel="0" collapsed="false">
      <c r="A737" s="35"/>
      <c r="B737" s="36" t="str">
        <f aca="false">IF(A737="","",MONTH(A737))</f>
        <v/>
      </c>
      <c r="C737" s="37"/>
      <c r="D737" s="37"/>
      <c r="E737" s="37"/>
      <c r="F737" s="37"/>
      <c r="G737" s="37"/>
      <c r="H737" s="37"/>
    </row>
    <row r="738" customFormat="false" ht="15" hidden="false" customHeight="false" outlineLevel="0" collapsed="false">
      <c r="A738" s="35"/>
      <c r="B738" s="36" t="str">
        <f aca="false">IF(A738="","",MONTH(A738))</f>
        <v/>
      </c>
      <c r="C738" s="37"/>
      <c r="D738" s="37"/>
      <c r="E738" s="37"/>
      <c r="F738" s="37"/>
      <c r="G738" s="37"/>
      <c r="H738" s="37"/>
    </row>
    <row r="739" customFormat="false" ht="15" hidden="false" customHeight="false" outlineLevel="0" collapsed="false">
      <c r="A739" s="35"/>
      <c r="B739" s="36" t="str">
        <f aca="false">IF(A739="","",MONTH(A739))</f>
        <v/>
      </c>
      <c r="C739" s="37"/>
      <c r="D739" s="37"/>
      <c r="E739" s="37"/>
      <c r="F739" s="37"/>
      <c r="G739" s="37"/>
      <c r="H739" s="37"/>
    </row>
    <row r="740" customFormat="false" ht="15" hidden="false" customHeight="false" outlineLevel="0" collapsed="false">
      <c r="A740" s="35"/>
      <c r="B740" s="36" t="str">
        <f aca="false">IF(A740="","",MONTH(A740))</f>
        <v/>
      </c>
      <c r="C740" s="37"/>
      <c r="D740" s="37"/>
      <c r="E740" s="37"/>
      <c r="F740" s="37"/>
      <c r="G740" s="37"/>
      <c r="H740" s="37"/>
    </row>
    <row r="741" customFormat="false" ht="15" hidden="false" customHeight="false" outlineLevel="0" collapsed="false">
      <c r="A741" s="35"/>
      <c r="B741" s="36" t="str">
        <f aca="false">IF(A741="","",MONTH(A741))</f>
        <v/>
      </c>
      <c r="C741" s="37"/>
      <c r="D741" s="37"/>
      <c r="E741" s="37"/>
      <c r="F741" s="37"/>
      <c r="G741" s="37"/>
      <c r="H741" s="37"/>
    </row>
    <row r="742" customFormat="false" ht="15" hidden="false" customHeight="false" outlineLevel="0" collapsed="false">
      <c r="A742" s="35"/>
      <c r="B742" s="36" t="str">
        <f aca="false">IF(A742="","",MONTH(A742))</f>
        <v/>
      </c>
      <c r="C742" s="37"/>
      <c r="D742" s="37"/>
      <c r="E742" s="37"/>
      <c r="F742" s="37"/>
      <c r="G742" s="37"/>
      <c r="H742" s="37"/>
    </row>
    <row r="743" customFormat="false" ht="15" hidden="false" customHeight="false" outlineLevel="0" collapsed="false">
      <c r="A743" s="35"/>
      <c r="B743" s="36" t="str">
        <f aca="false">IF(A743="","",MONTH(A743))</f>
        <v/>
      </c>
      <c r="C743" s="37"/>
      <c r="D743" s="37"/>
      <c r="E743" s="37"/>
      <c r="F743" s="37"/>
      <c r="G743" s="37"/>
      <c r="H743" s="37"/>
    </row>
    <row r="744" customFormat="false" ht="15" hidden="false" customHeight="false" outlineLevel="0" collapsed="false">
      <c r="A744" s="35"/>
      <c r="B744" s="36" t="str">
        <f aca="false">IF(A744="","",MONTH(A744))</f>
        <v/>
      </c>
      <c r="C744" s="37"/>
      <c r="D744" s="37"/>
      <c r="E744" s="37"/>
      <c r="F744" s="37"/>
      <c r="G744" s="37"/>
      <c r="H744" s="37"/>
    </row>
    <row r="745" customFormat="false" ht="15" hidden="false" customHeight="false" outlineLevel="0" collapsed="false">
      <c r="A745" s="35"/>
      <c r="B745" s="36" t="str">
        <f aca="false">IF(A745="","",MONTH(A745))</f>
        <v/>
      </c>
      <c r="C745" s="37"/>
      <c r="D745" s="37"/>
      <c r="E745" s="37"/>
      <c r="F745" s="37"/>
      <c r="G745" s="37"/>
      <c r="H745" s="37"/>
    </row>
    <row r="746" customFormat="false" ht="15" hidden="false" customHeight="false" outlineLevel="0" collapsed="false">
      <c r="A746" s="35"/>
      <c r="B746" s="36" t="str">
        <f aca="false">IF(A746="","",MONTH(A746))</f>
        <v/>
      </c>
      <c r="C746" s="37"/>
      <c r="D746" s="37"/>
      <c r="E746" s="37"/>
      <c r="F746" s="37"/>
      <c r="G746" s="37"/>
      <c r="H746" s="37"/>
    </row>
    <row r="747" customFormat="false" ht="15" hidden="false" customHeight="false" outlineLevel="0" collapsed="false">
      <c r="A747" s="35"/>
      <c r="B747" s="36" t="str">
        <f aca="false">IF(A747="","",MONTH(A747))</f>
        <v/>
      </c>
      <c r="C747" s="37"/>
      <c r="D747" s="37"/>
      <c r="E747" s="37"/>
      <c r="F747" s="37"/>
      <c r="G747" s="37"/>
      <c r="H747" s="37"/>
    </row>
    <row r="748" customFormat="false" ht="15" hidden="false" customHeight="false" outlineLevel="0" collapsed="false">
      <c r="A748" s="35"/>
      <c r="B748" s="36" t="str">
        <f aca="false">IF(A748="","",MONTH(A748))</f>
        <v/>
      </c>
      <c r="C748" s="37"/>
      <c r="D748" s="37"/>
      <c r="E748" s="37"/>
      <c r="F748" s="37"/>
      <c r="G748" s="37"/>
      <c r="H748" s="37"/>
    </row>
    <row r="749" customFormat="false" ht="15" hidden="false" customHeight="false" outlineLevel="0" collapsed="false">
      <c r="A749" s="35"/>
      <c r="B749" s="36" t="str">
        <f aca="false">IF(A749="","",MONTH(A749))</f>
        <v/>
      </c>
      <c r="C749" s="37"/>
      <c r="D749" s="37"/>
      <c r="E749" s="37"/>
      <c r="F749" s="37"/>
      <c r="G749" s="37"/>
      <c r="H749" s="37"/>
    </row>
    <row r="750" customFormat="false" ht="15" hidden="false" customHeight="false" outlineLevel="0" collapsed="false">
      <c r="A750" s="35"/>
      <c r="B750" s="36" t="str">
        <f aca="false">IF(A750="","",MONTH(A750))</f>
        <v/>
      </c>
      <c r="C750" s="37"/>
      <c r="D750" s="37"/>
      <c r="E750" s="37"/>
      <c r="F750" s="37"/>
      <c r="G750" s="37"/>
      <c r="H750" s="37"/>
    </row>
    <row r="751" customFormat="false" ht="15" hidden="false" customHeight="false" outlineLevel="0" collapsed="false">
      <c r="A751" s="35"/>
      <c r="B751" s="36" t="str">
        <f aca="false">IF(A751="","",MONTH(A751))</f>
        <v/>
      </c>
      <c r="C751" s="37"/>
      <c r="D751" s="37"/>
      <c r="E751" s="37"/>
      <c r="F751" s="37"/>
      <c r="G751" s="37"/>
      <c r="H751" s="37"/>
    </row>
    <row r="752" customFormat="false" ht="15" hidden="false" customHeight="false" outlineLevel="0" collapsed="false">
      <c r="A752" s="35"/>
      <c r="B752" s="36" t="str">
        <f aca="false">IF(A752="","",MONTH(A752))</f>
        <v/>
      </c>
      <c r="C752" s="37"/>
      <c r="D752" s="37"/>
      <c r="E752" s="37"/>
      <c r="F752" s="37"/>
      <c r="G752" s="37"/>
      <c r="H752" s="37"/>
    </row>
    <row r="753" customFormat="false" ht="15" hidden="false" customHeight="false" outlineLevel="0" collapsed="false">
      <c r="A753" s="35"/>
      <c r="B753" s="36" t="str">
        <f aca="false">IF(A753="","",MONTH(A753))</f>
        <v/>
      </c>
      <c r="C753" s="37"/>
      <c r="D753" s="37"/>
      <c r="E753" s="37"/>
      <c r="F753" s="37"/>
      <c r="G753" s="37"/>
      <c r="H753" s="37"/>
    </row>
    <row r="754" customFormat="false" ht="15" hidden="false" customHeight="false" outlineLevel="0" collapsed="false">
      <c r="A754" s="35"/>
      <c r="B754" s="36" t="str">
        <f aca="false">IF(A754="","",MONTH(A754))</f>
        <v/>
      </c>
      <c r="C754" s="37"/>
      <c r="D754" s="37"/>
      <c r="E754" s="37"/>
      <c r="F754" s="37"/>
      <c r="G754" s="37"/>
      <c r="H754" s="37"/>
    </row>
    <row r="755" customFormat="false" ht="15" hidden="false" customHeight="false" outlineLevel="0" collapsed="false">
      <c r="A755" s="35"/>
      <c r="B755" s="36" t="str">
        <f aca="false">IF(A755="","",MONTH(A755))</f>
        <v/>
      </c>
      <c r="C755" s="37"/>
      <c r="D755" s="37"/>
      <c r="E755" s="37"/>
      <c r="F755" s="37"/>
      <c r="G755" s="37"/>
      <c r="H755" s="37"/>
    </row>
    <row r="756" customFormat="false" ht="15" hidden="false" customHeight="false" outlineLevel="0" collapsed="false">
      <c r="A756" s="35"/>
      <c r="B756" s="36" t="str">
        <f aca="false">IF(A756="","",MONTH(A756))</f>
        <v/>
      </c>
      <c r="C756" s="37"/>
      <c r="D756" s="37"/>
      <c r="E756" s="37"/>
      <c r="F756" s="37"/>
      <c r="G756" s="37"/>
      <c r="H756" s="37"/>
    </row>
    <row r="757" customFormat="false" ht="15" hidden="false" customHeight="false" outlineLevel="0" collapsed="false">
      <c r="A757" s="35"/>
      <c r="B757" s="36" t="str">
        <f aca="false">IF(A757="","",MONTH(A757))</f>
        <v/>
      </c>
      <c r="C757" s="37"/>
      <c r="D757" s="37"/>
      <c r="E757" s="37"/>
      <c r="F757" s="37"/>
      <c r="G757" s="37"/>
      <c r="H757" s="37"/>
    </row>
    <row r="758" customFormat="false" ht="15" hidden="false" customHeight="false" outlineLevel="0" collapsed="false">
      <c r="A758" s="35"/>
      <c r="B758" s="36" t="str">
        <f aca="false">IF(A758="","",MONTH(A758))</f>
        <v/>
      </c>
      <c r="C758" s="37"/>
      <c r="D758" s="37"/>
      <c r="E758" s="37"/>
      <c r="F758" s="37"/>
      <c r="G758" s="37"/>
      <c r="H758" s="37"/>
    </row>
    <row r="759" customFormat="false" ht="15" hidden="false" customHeight="false" outlineLevel="0" collapsed="false">
      <c r="A759" s="35"/>
      <c r="B759" s="36" t="str">
        <f aca="false">IF(A759="","",MONTH(A759))</f>
        <v/>
      </c>
      <c r="C759" s="37"/>
      <c r="D759" s="37"/>
      <c r="E759" s="37"/>
      <c r="F759" s="37"/>
      <c r="G759" s="37"/>
      <c r="H759" s="37"/>
    </row>
    <row r="760" customFormat="false" ht="15" hidden="false" customHeight="false" outlineLevel="0" collapsed="false">
      <c r="A760" s="35"/>
      <c r="B760" s="36" t="str">
        <f aca="false">IF(A760="","",MONTH(A760))</f>
        <v/>
      </c>
      <c r="C760" s="37"/>
      <c r="D760" s="37"/>
      <c r="E760" s="37"/>
      <c r="F760" s="37"/>
      <c r="G760" s="37"/>
      <c r="H760" s="37"/>
    </row>
    <row r="761" customFormat="false" ht="15" hidden="false" customHeight="false" outlineLevel="0" collapsed="false">
      <c r="A761" s="35"/>
      <c r="B761" s="36" t="str">
        <f aca="false">IF(A761="","",MONTH(A761))</f>
        <v/>
      </c>
      <c r="C761" s="37"/>
      <c r="D761" s="37"/>
      <c r="E761" s="37"/>
      <c r="F761" s="37"/>
      <c r="G761" s="37"/>
      <c r="H761" s="37"/>
    </row>
    <row r="762" customFormat="false" ht="15" hidden="false" customHeight="false" outlineLevel="0" collapsed="false">
      <c r="A762" s="35"/>
      <c r="B762" s="36" t="str">
        <f aca="false">IF(A762="","",MONTH(A762))</f>
        <v/>
      </c>
      <c r="C762" s="37"/>
      <c r="D762" s="37"/>
      <c r="E762" s="37"/>
      <c r="F762" s="37"/>
      <c r="G762" s="37"/>
      <c r="H762" s="37"/>
    </row>
    <row r="763" customFormat="false" ht="15" hidden="false" customHeight="false" outlineLevel="0" collapsed="false">
      <c r="A763" s="35"/>
      <c r="B763" s="36" t="str">
        <f aca="false">IF(A763="","",MONTH(A763))</f>
        <v/>
      </c>
      <c r="C763" s="37"/>
      <c r="D763" s="37"/>
      <c r="E763" s="37"/>
      <c r="F763" s="37"/>
      <c r="G763" s="37"/>
      <c r="H763" s="37"/>
    </row>
    <row r="764" customFormat="false" ht="15" hidden="false" customHeight="false" outlineLevel="0" collapsed="false">
      <c r="A764" s="35"/>
      <c r="B764" s="36" t="str">
        <f aca="false">IF(A764="","",MONTH(A764))</f>
        <v/>
      </c>
      <c r="C764" s="37"/>
      <c r="D764" s="37"/>
      <c r="E764" s="37"/>
      <c r="F764" s="37"/>
      <c r="G764" s="37"/>
      <c r="H764" s="37"/>
    </row>
    <row r="765" customFormat="false" ht="15" hidden="false" customHeight="false" outlineLevel="0" collapsed="false">
      <c r="A765" s="35"/>
      <c r="B765" s="36" t="str">
        <f aca="false">IF(A765="","",MONTH(A765))</f>
        <v/>
      </c>
      <c r="C765" s="37"/>
      <c r="D765" s="37"/>
      <c r="E765" s="37"/>
      <c r="F765" s="37"/>
      <c r="G765" s="37"/>
      <c r="H765" s="37"/>
    </row>
    <row r="766" customFormat="false" ht="15" hidden="false" customHeight="false" outlineLevel="0" collapsed="false">
      <c r="A766" s="35"/>
      <c r="B766" s="36" t="str">
        <f aca="false">IF(A766="","",MONTH(A766))</f>
        <v/>
      </c>
      <c r="C766" s="37"/>
      <c r="D766" s="37"/>
      <c r="E766" s="37"/>
      <c r="F766" s="37"/>
      <c r="G766" s="37"/>
      <c r="H766" s="37"/>
    </row>
    <row r="767" customFormat="false" ht="15" hidden="false" customHeight="false" outlineLevel="0" collapsed="false">
      <c r="A767" s="35"/>
      <c r="B767" s="36" t="str">
        <f aca="false">IF(A767="","",MONTH(A767))</f>
        <v/>
      </c>
      <c r="C767" s="37"/>
      <c r="D767" s="37"/>
      <c r="E767" s="37"/>
      <c r="F767" s="37"/>
      <c r="G767" s="37"/>
      <c r="H767" s="37"/>
    </row>
    <row r="768" customFormat="false" ht="15" hidden="false" customHeight="false" outlineLevel="0" collapsed="false">
      <c r="A768" s="35"/>
      <c r="B768" s="36" t="str">
        <f aca="false">IF(A768="","",MONTH(A768))</f>
        <v/>
      </c>
      <c r="C768" s="37"/>
      <c r="D768" s="37"/>
      <c r="E768" s="37"/>
      <c r="F768" s="37"/>
      <c r="G768" s="37"/>
      <c r="H768" s="37"/>
    </row>
    <row r="769" customFormat="false" ht="15" hidden="false" customHeight="false" outlineLevel="0" collapsed="false">
      <c r="A769" s="35"/>
      <c r="B769" s="36" t="str">
        <f aca="false">IF(A769="","",MONTH(A769))</f>
        <v/>
      </c>
      <c r="C769" s="37"/>
      <c r="D769" s="37"/>
      <c r="E769" s="37"/>
      <c r="F769" s="37"/>
      <c r="G769" s="37"/>
      <c r="H769" s="37"/>
    </row>
    <row r="770" customFormat="false" ht="15" hidden="false" customHeight="false" outlineLevel="0" collapsed="false">
      <c r="A770" s="35"/>
      <c r="B770" s="36" t="str">
        <f aca="false">IF(A770="","",MONTH(A770))</f>
        <v/>
      </c>
      <c r="C770" s="37"/>
      <c r="D770" s="37"/>
      <c r="E770" s="37"/>
      <c r="F770" s="37"/>
      <c r="G770" s="37"/>
      <c r="H770" s="37"/>
    </row>
    <row r="771" customFormat="false" ht="15" hidden="false" customHeight="false" outlineLevel="0" collapsed="false">
      <c r="A771" s="35"/>
      <c r="B771" s="36" t="str">
        <f aca="false">IF(A771="","",MONTH(A771))</f>
        <v/>
      </c>
      <c r="C771" s="37"/>
      <c r="D771" s="37"/>
      <c r="E771" s="37"/>
      <c r="F771" s="37"/>
      <c r="G771" s="37"/>
      <c r="H771" s="37"/>
    </row>
    <row r="772" customFormat="false" ht="15" hidden="false" customHeight="false" outlineLevel="0" collapsed="false">
      <c r="A772" s="35"/>
      <c r="B772" s="36" t="str">
        <f aca="false">IF(A772="","",MONTH(A772))</f>
        <v/>
      </c>
      <c r="C772" s="37"/>
      <c r="D772" s="37"/>
      <c r="E772" s="37"/>
      <c r="F772" s="37"/>
      <c r="G772" s="37"/>
      <c r="H772" s="37"/>
    </row>
    <row r="773" customFormat="false" ht="15" hidden="false" customHeight="false" outlineLevel="0" collapsed="false">
      <c r="A773" s="35"/>
      <c r="B773" s="36" t="str">
        <f aca="false">IF(A773="","",MONTH(A773))</f>
        <v/>
      </c>
      <c r="C773" s="37"/>
      <c r="D773" s="37"/>
      <c r="E773" s="37"/>
      <c r="F773" s="37"/>
      <c r="G773" s="37"/>
      <c r="H773" s="37"/>
    </row>
    <row r="774" customFormat="false" ht="15" hidden="false" customHeight="false" outlineLevel="0" collapsed="false">
      <c r="A774" s="35"/>
      <c r="B774" s="36" t="str">
        <f aca="false">IF(A774="","",MONTH(A774))</f>
        <v/>
      </c>
      <c r="C774" s="37"/>
      <c r="D774" s="37"/>
      <c r="E774" s="37"/>
      <c r="F774" s="37"/>
      <c r="G774" s="37"/>
      <c r="H774" s="37"/>
    </row>
    <row r="775" customFormat="false" ht="15" hidden="false" customHeight="false" outlineLevel="0" collapsed="false">
      <c r="A775" s="35"/>
      <c r="B775" s="36" t="str">
        <f aca="false">IF(A775="","",MONTH(A775))</f>
        <v/>
      </c>
      <c r="C775" s="37"/>
      <c r="D775" s="37"/>
      <c r="E775" s="37"/>
      <c r="F775" s="37"/>
      <c r="G775" s="37"/>
      <c r="H775" s="37"/>
    </row>
    <row r="776" customFormat="false" ht="15" hidden="false" customHeight="false" outlineLevel="0" collapsed="false">
      <c r="A776" s="35"/>
      <c r="B776" s="36" t="str">
        <f aca="false">IF(A776="","",MONTH(A776))</f>
        <v/>
      </c>
      <c r="C776" s="37"/>
      <c r="D776" s="37"/>
      <c r="E776" s="37"/>
      <c r="F776" s="37"/>
      <c r="G776" s="37"/>
      <c r="H776" s="37"/>
    </row>
    <row r="777" customFormat="false" ht="15" hidden="false" customHeight="false" outlineLevel="0" collapsed="false">
      <c r="A777" s="35"/>
      <c r="B777" s="36" t="str">
        <f aca="false">IF(A777="","",MONTH(A777))</f>
        <v/>
      </c>
      <c r="C777" s="37"/>
      <c r="D777" s="37"/>
      <c r="E777" s="37"/>
      <c r="F777" s="37"/>
      <c r="G777" s="37"/>
      <c r="H777" s="37"/>
    </row>
    <row r="778" customFormat="false" ht="15" hidden="false" customHeight="false" outlineLevel="0" collapsed="false">
      <c r="A778" s="35"/>
      <c r="B778" s="36" t="str">
        <f aca="false">IF(A778="","",MONTH(A778))</f>
        <v/>
      </c>
      <c r="C778" s="37"/>
      <c r="D778" s="37"/>
      <c r="E778" s="37"/>
      <c r="F778" s="37"/>
      <c r="G778" s="37"/>
      <c r="H778" s="37"/>
    </row>
    <row r="779" customFormat="false" ht="15" hidden="false" customHeight="false" outlineLevel="0" collapsed="false">
      <c r="A779" s="35"/>
      <c r="B779" s="36" t="str">
        <f aca="false">IF(A779="","",MONTH(A779))</f>
        <v/>
      </c>
      <c r="C779" s="37"/>
      <c r="D779" s="37"/>
      <c r="E779" s="37"/>
      <c r="F779" s="37"/>
      <c r="G779" s="37"/>
      <c r="H779" s="37"/>
    </row>
    <row r="780" customFormat="false" ht="15" hidden="false" customHeight="false" outlineLevel="0" collapsed="false">
      <c r="A780" s="35"/>
      <c r="B780" s="36" t="str">
        <f aca="false">IF(A780="","",MONTH(A780))</f>
        <v/>
      </c>
      <c r="C780" s="37"/>
      <c r="D780" s="37"/>
      <c r="E780" s="37"/>
      <c r="F780" s="37"/>
      <c r="G780" s="37"/>
      <c r="H780" s="37"/>
    </row>
    <row r="781" customFormat="false" ht="15" hidden="false" customHeight="false" outlineLevel="0" collapsed="false">
      <c r="A781" s="35"/>
      <c r="B781" s="36" t="str">
        <f aca="false">IF(A781="","",MONTH(A781))</f>
        <v/>
      </c>
      <c r="C781" s="37"/>
      <c r="D781" s="37"/>
      <c r="E781" s="37"/>
      <c r="F781" s="37"/>
      <c r="G781" s="37"/>
      <c r="H781" s="37"/>
    </row>
    <row r="782" customFormat="false" ht="15" hidden="false" customHeight="false" outlineLevel="0" collapsed="false">
      <c r="A782" s="35"/>
      <c r="B782" s="36" t="str">
        <f aca="false">IF(A782="","",MONTH(A782))</f>
        <v/>
      </c>
      <c r="C782" s="37"/>
      <c r="D782" s="37"/>
      <c r="E782" s="37"/>
      <c r="F782" s="37"/>
      <c r="G782" s="37"/>
      <c r="H782" s="37"/>
    </row>
    <row r="783" customFormat="false" ht="15" hidden="false" customHeight="false" outlineLevel="0" collapsed="false">
      <c r="A783" s="35"/>
      <c r="B783" s="36" t="str">
        <f aca="false">IF(A783="","",MONTH(A783))</f>
        <v/>
      </c>
      <c r="C783" s="37"/>
      <c r="D783" s="37"/>
      <c r="E783" s="37"/>
      <c r="F783" s="37"/>
      <c r="G783" s="37"/>
      <c r="H783" s="37"/>
    </row>
    <row r="784" customFormat="false" ht="15" hidden="false" customHeight="false" outlineLevel="0" collapsed="false">
      <c r="A784" s="35"/>
      <c r="B784" s="36" t="str">
        <f aca="false">IF(A784="","",MONTH(A784))</f>
        <v/>
      </c>
      <c r="C784" s="37"/>
      <c r="D784" s="37"/>
      <c r="E784" s="37"/>
      <c r="F784" s="37"/>
      <c r="G784" s="37"/>
      <c r="H784" s="37"/>
    </row>
    <row r="785" customFormat="false" ht="15" hidden="false" customHeight="false" outlineLevel="0" collapsed="false">
      <c r="A785" s="35"/>
      <c r="B785" s="36" t="str">
        <f aca="false">IF(A785="","",MONTH(A785))</f>
        <v/>
      </c>
      <c r="C785" s="37"/>
      <c r="D785" s="37"/>
      <c r="E785" s="37"/>
      <c r="F785" s="37"/>
      <c r="G785" s="37"/>
      <c r="H785" s="37"/>
    </row>
    <row r="786" customFormat="false" ht="15" hidden="false" customHeight="false" outlineLevel="0" collapsed="false">
      <c r="A786" s="35"/>
      <c r="B786" s="36" t="str">
        <f aca="false">IF(A786="","",MONTH(A786))</f>
        <v/>
      </c>
      <c r="C786" s="37"/>
      <c r="D786" s="37"/>
      <c r="E786" s="37"/>
      <c r="F786" s="37"/>
      <c r="G786" s="37"/>
      <c r="H786" s="37"/>
    </row>
    <row r="787" customFormat="false" ht="15" hidden="false" customHeight="false" outlineLevel="0" collapsed="false">
      <c r="A787" s="35"/>
      <c r="B787" s="36" t="str">
        <f aca="false">IF(A787="","",MONTH(A787))</f>
        <v/>
      </c>
      <c r="C787" s="37"/>
      <c r="D787" s="37"/>
      <c r="E787" s="37"/>
      <c r="F787" s="37"/>
      <c r="G787" s="37"/>
      <c r="H787" s="37"/>
    </row>
    <row r="788" customFormat="false" ht="15" hidden="false" customHeight="false" outlineLevel="0" collapsed="false">
      <c r="A788" s="35"/>
      <c r="B788" s="36" t="str">
        <f aca="false">IF(A788="","",MONTH(A788))</f>
        <v/>
      </c>
      <c r="C788" s="37"/>
      <c r="D788" s="37"/>
      <c r="E788" s="37"/>
      <c r="F788" s="37"/>
      <c r="G788" s="37"/>
      <c r="H788" s="37"/>
    </row>
    <row r="789" customFormat="false" ht="15" hidden="false" customHeight="false" outlineLevel="0" collapsed="false">
      <c r="A789" s="35"/>
      <c r="B789" s="36" t="str">
        <f aca="false">IF(A789="","",MONTH(A789))</f>
        <v/>
      </c>
      <c r="C789" s="37"/>
      <c r="D789" s="37"/>
      <c r="E789" s="37"/>
      <c r="F789" s="37"/>
      <c r="G789" s="37"/>
      <c r="H789" s="37"/>
    </row>
    <row r="790" customFormat="false" ht="15" hidden="false" customHeight="false" outlineLevel="0" collapsed="false">
      <c r="A790" s="35"/>
      <c r="B790" s="36" t="str">
        <f aca="false">IF(A790="","",MONTH(A790))</f>
        <v/>
      </c>
      <c r="C790" s="37"/>
      <c r="D790" s="37"/>
      <c r="E790" s="37"/>
      <c r="F790" s="37"/>
      <c r="G790" s="37"/>
      <c r="H790" s="37"/>
    </row>
    <row r="791" customFormat="false" ht="15" hidden="false" customHeight="false" outlineLevel="0" collapsed="false">
      <c r="A791" s="35"/>
      <c r="B791" s="36" t="str">
        <f aca="false">IF(A791="","",MONTH(A791))</f>
        <v/>
      </c>
      <c r="C791" s="37"/>
      <c r="D791" s="37"/>
      <c r="E791" s="37"/>
      <c r="F791" s="37"/>
      <c r="G791" s="37"/>
      <c r="H791" s="37"/>
    </row>
    <row r="792" customFormat="false" ht="15" hidden="false" customHeight="false" outlineLevel="0" collapsed="false">
      <c r="A792" s="35"/>
      <c r="B792" s="36" t="str">
        <f aca="false">IF(A792="","",MONTH(A792))</f>
        <v/>
      </c>
      <c r="C792" s="37"/>
      <c r="D792" s="37"/>
      <c r="E792" s="37"/>
      <c r="F792" s="37"/>
      <c r="G792" s="37"/>
      <c r="H792" s="37"/>
    </row>
    <row r="793" customFormat="false" ht="15" hidden="false" customHeight="false" outlineLevel="0" collapsed="false">
      <c r="A793" s="35"/>
      <c r="B793" s="36" t="str">
        <f aca="false">IF(A793="","",MONTH(A793))</f>
        <v/>
      </c>
      <c r="C793" s="37"/>
      <c r="D793" s="37"/>
      <c r="E793" s="37"/>
      <c r="F793" s="37"/>
      <c r="G793" s="37"/>
      <c r="H793" s="37"/>
    </row>
    <row r="794" customFormat="false" ht="15" hidden="false" customHeight="false" outlineLevel="0" collapsed="false">
      <c r="A794" s="35"/>
      <c r="B794" s="36" t="str">
        <f aca="false">IF(A794="","",MONTH(A794))</f>
        <v/>
      </c>
      <c r="C794" s="37"/>
      <c r="D794" s="37"/>
      <c r="E794" s="37"/>
      <c r="F794" s="37"/>
      <c r="G794" s="37"/>
      <c r="H794" s="37"/>
    </row>
    <row r="795" customFormat="false" ht="15" hidden="false" customHeight="false" outlineLevel="0" collapsed="false">
      <c r="A795" s="35"/>
      <c r="B795" s="36" t="str">
        <f aca="false">IF(A795="","",MONTH(A795))</f>
        <v/>
      </c>
      <c r="C795" s="37"/>
      <c r="D795" s="37"/>
      <c r="E795" s="37"/>
      <c r="F795" s="37"/>
      <c r="G795" s="37"/>
      <c r="H795" s="37"/>
    </row>
    <row r="796" customFormat="false" ht="15" hidden="false" customHeight="false" outlineLevel="0" collapsed="false">
      <c r="A796" s="35"/>
      <c r="B796" s="36" t="str">
        <f aca="false">IF(A796="","",MONTH(A796))</f>
        <v/>
      </c>
      <c r="C796" s="37"/>
      <c r="D796" s="37"/>
      <c r="E796" s="37"/>
      <c r="F796" s="37"/>
      <c r="G796" s="37"/>
      <c r="H796" s="37"/>
    </row>
    <row r="797" customFormat="false" ht="15" hidden="false" customHeight="false" outlineLevel="0" collapsed="false">
      <c r="A797" s="35"/>
      <c r="B797" s="36" t="str">
        <f aca="false">IF(A797="","",MONTH(A797))</f>
        <v/>
      </c>
      <c r="C797" s="37"/>
      <c r="D797" s="37"/>
      <c r="E797" s="37"/>
      <c r="F797" s="37"/>
      <c r="G797" s="37"/>
      <c r="H797" s="37"/>
    </row>
    <row r="798" customFormat="false" ht="15" hidden="false" customHeight="false" outlineLevel="0" collapsed="false">
      <c r="A798" s="35"/>
      <c r="B798" s="36" t="str">
        <f aca="false">IF(A798="","",MONTH(A798))</f>
        <v/>
      </c>
      <c r="C798" s="37"/>
      <c r="D798" s="37"/>
      <c r="E798" s="37"/>
      <c r="F798" s="37"/>
      <c r="G798" s="37"/>
      <c r="H798" s="37"/>
    </row>
    <row r="799" customFormat="false" ht="15" hidden="false" customHeight="false" outlineLevel="0" collapsed="false">
      <c r="A799" s="35"/>
      <c r="B799" s="36" t="str">
        <f aca="false">IF(A799="","",MONTH(A799))</f>
        <v/>
      </c>
      <c r="C799" s="37"/>
      <c r="D799" s="37"/>
      <c r="E799" s="37"/>
      <c r="F799" s="37"/>
      <c r="G799" s="37"/>
      <c r="H799" s="37"/>
    </row>
    <row r="800" customFormat="false" ht="15" hidden="false" customHeight="false" outlineLevel="0" collapsed="false">
      <c r="A800" s="35"/>
      <c r="B800" s="36" t="str">
        <f aca="false">IF(A800="","",MONTH(A800))</f>
        <v/>
      </c>
      <c r="C800" s="37"/>
      <c r="D800" s="37"/>
      <c r="E800" s="37"/>
      <c r="F800" s="37"/>
      <c r="G800" s="37"/>
      <c r="H800" s="37"/>
    </row>
    <row r="801" customFormat="false" ht="15" hidden="false" customHeight="false" outlineLevel="0" collapsed="false">
      <c r="A801" s="35"/>
      <c r="B801" s="36" t="str">
        <f aca="false">IF(A801="","",MONTH(A801))</f>
        <v/>
      </c>
      <c r="C801" s="37"/>
      <c r="D801" s="37"/>
      <c r="E801" s="37"/>
      <c r="F801" s="37"/>
      <c r="G801" s="37"/>
      <c r="H801" s="37"/>
    </row>
    <row r="802" customFormat="false" ht="15" hidden="false" customHeight="false" outlineLevel="0" collapsed="false">
      <c r="A802" s="35"/>
      <c r="B802" s="36" t="str">
        <f aca="false">IF(A802="","",MONTH(A802))</f>
        <v/>
      </c>
      <c r="C802" s="37"/>
      <c r="D802" s="37"/>
      <c r="E802" s="37"/>
      <c r="F802" s="37"/>
      <c r="G802" s="37"/>
      <c r="H802" s="37"/>
    </row>
    <row r="803" customFormat="false" ht="15" hidden="false" customHeight="false" outlineLevel="0" collapsed="false">
      <c r="A803" s="35"/>
      <c r="B803" s="36" t="str">
        <f aca="false">IF(A803="","",MONTH(A803))</f>
        <v/>
      </c>
      <c r="C803" s="37"/>
      <c r="D803" s="37"/>
      <c r="E803" s="37"/>
      <c r="F803" s="37"/>
      <c r="G803" s="37"/>
      <c r="H803" s="37"/>
    </row>
    <row r="804" customFormat="false" ht="15" hidden="false" customHeight="false" outlineLevel="0" collapsed="false">
      <c r="A804" s="35"/>
      <c r="B804" s="36" t="str">
        <f aca="false">IF(A804="","",MONTH(A804))</f>
        <v/>
      </c>
      <c r="C804" s="37"/>
      <c r="D804" s="37"/>
      <c r="E804" s="37"/>
      <c r="F804" s="37"/>
      <c r="G804" s="37"/>
      <c r="H804" s="37"/>
    </row>
    <row r="805" customFormat="false" ht="15" hidden="false" customHeight="false" outlineLevel="0" collapsed="false">
      <c r="A805" s="35"/>
      <c r="B805" s="36" t="str">
        <f aca="false">IF(A805="","",MONTH(A805))</f>
        <v/>
      </c>
      <c r="C805" s="37"/>
      <c r="D805" s="37"/>
      <c r="E805" s="37"/>
      <c r="F805" s="37"/>
      <c r="G805" s="37"/>
      <c r="H805" s="37"/>
    </row>
    <row r="806" customFormat="false" ht="15" hidden="false" customHeight="false" outlineLevel="0" collapsed="false">
      <c r="A806" s="35"/>
      <c r="B806" s="36" t="str">
        <f aca="false">IF(A806="","",MONTH(A806))</f>
        <v/>
      </c>
      <c r="C806" s="37"/>
      <c r="D806" s="37"/>
      <c r="E806" s="37"/>
      <c r="F806" s="37"/>
      <c r="G806" s="37"/>
      <c r="H806" s="37"/>
    </row>
    <row r="807" customFormat="false" ht="15" hidden="false" customHeight="false" outlineLevel="0" collapsed="false">
      <c r="A807" s="35"/>
      <c r="B807" s="36" t="str">
        <f aca="false">IF(A807="","",MONTH(A807))</f>
        <v/>
      </c>
      <c r="C807" s="37"/>
      <c r="D807" s="37"/>
      <c r="E807" s="37"/>
      <c r="F807" s="37"/>
      <c r="G807" s="37"/>
      <c r="H807" s="37"/>
    </row>
    <row r="808" customFormat="false" ht="15" hidden="false" customHeight="false" outlineLevel="0" collapsed="false">
      <c r="A808" s="35"/>
      <c r="B808" s="36" t="str">
        <f aca="false">IF(A808="","",MONTH(A808))</f>
        <v/>
      </c>
      <c r="C808" s="37"/>
      <c r="D808" s="37"/>
      <c r="E808" s="37"/>
      <c r="F808" s="37"/>
      <c r="G808" s="37"/>
      <c r="H808" s="37"/>
    </row>
    <row r="809" customFormat="false" ht="15" hidden="false" customHeight="false" outlineLevel="0" collapsed="false">
      <c r="A809" s="35"/>
      <c r="B809" s="36" t="str">
        <f aca="false">IF(A809="","",MONTH(A809))</f>
        <v/>
      </c>
      <c r="C809" s="37"/>
      <c r="D809" s="37"/>
      <c r="E809" s="37"/>
      <c r="F809" s="37"/>
      <c r="G809" s="37"/>
      <c r="H809" s="37"/>
    </row>
    <row r="810" customFormat="false" ht="15" hidden="false" customHeight="false" outlineLevel="0" collapsed="false">
      <c r="A810" s="35"/>
      <c r="B810" s="36" t="str">
        <f aca="false">IF(A810="","",MONTH(A810))</f>
        <v/>
      </c>
      <c r="C810" s="37"/>
      <c r="D810" s="37"/>
      <c r="E810" s="37"/>
      <c r="F810" s="37"/>
      <c r="G810" s="37"/>
      <c r="H810" s="37"/>
    </row>
    <row r="811" customFormat="false" ht="15" hidden="false" customHeight="false" outlineLevel="0" collapsed="false">
      <c r="A811" s="35"/>
      <c r="B811" s="36" t="str">
        <f aca="false">IF(A811="","",MONTH(A811))</f>
        <v/>
      </c>
      <c r="C811" s="37"/>
      <c r="D811" s="37"/>
      <c r="E811" s="37"/>
      <c r="F811" s="37"/>
      <c r="G811" s="37"/>
      <c r="H811" s="37"/>
    </row>
    <row r="812" customFormat="false" ht="15" hidden="false" customHeight="false" outlineLevel="0" collapsed="false">
      <c r="A812" s="35"/>
      <c r="B812" s="36" t="str">
        <f aca="false">IF(A812="","",MONTH(A812))</f>
        <v/>
      </c>
      <c r="C812" s="37"/>
      <c r="D812" s="37"/>
      <c r="E812" s="37"/>
      <c r="F812" s="37"/>
      <c r="G812" s="37"/>
      <c r="H812" s="37"/>
    </row>
    <row r="813" customFormat="false" ht="15" hidden="false" customHeight="false" outlineLevel="0" collapsed="false">
      <c r="A813" s="35"/>
      <c r="B813" s="36" t="str">
        <f aca="false">IF(A813="","",MONTH(A813))</f>
        <v/>
      </c>
      <c r="C813" s="37"/>
      <c r="D813" s="37"/>
      <c r="E813" s="37"/>
      <c r="F813" s="37"/>
      <c r="G813" s="37"/>
      <c r="H813" s="37"/>
    </row>
    <row r="814" customFormat="false" ht="15" hidden="false" customHeight="false" outlineLevel="0" collapsed="false">
      <c r="A814" s="35"/>
      <c r="B814" s="36" t="str">
        <f aca="false">IF(A814="","",MONTH(A814))</f>
        <v/>
      </c>
      <c r="C814" s="37"/>
      <c r="D814" s="37"/>
      <c r="E814" s="37"/>
      <c r="F814" s="37"/>
      <c r="G814" s="37"/>
      <c r="H814" s="37"/>
    </row>
    <row r="815" customFormat="false" ht="15" hidden="false" customHeight="false" outlineLevel="0" collapsed="false">
      <c r="A815" s="35"/>
      <c r="B815" s="36" t="str">
        <f aca="false">IF(A815="","",MONTH(A815))</f>
        <v/>
      </c>
      <c r="C815" s="37"/>
      <c r="D815" s="37"/>
      <c r="E815" s="37"/>
      <c r="F815" s="37"/>
      <c r="G815" s="37"/>
      <c r="H815" s="37"/>
    </row>
    <row r="816" customFormat="false" ht="15" hidden="false" customHeight="false" outlineLevel="0" collapsed="false">
      <c r="A816" s="35"/>
      <c r="B816" s="36" t="str">
        <f aca="false">IF(A816="","",MONTH(A816))</f>
        <v/>
      </c>
      <c r="C816" s="37"/>
      <c r="D816" s="37"/>
      <c r="E816" s="37"/>
      <c r="F816" s="37"/>
      <c r="G816" s="37"/>
      <c r="H816" s="37"/>
    </row>
    <row r="817" customFormat="false" ht="15" hidden="false" customHeight="false" outlineLevel="0" collapsed="false">
      <c r="A817" s="35"/>
      <c r="B817" s="36" t="str">
        <f aca="false">IF(A817="","",MONTH(A817))</f>
        <v/>
      </c>
      <c r="C817" s="37"/>
      <c r="D817" s="37"/>
      <c r="E817" s="37"/>
      <c r="F817" s="37"/>
      <c r="G817" s="37"/>
      <c r="H817" s="37"/>
    </row>
    <row r="818" customFormat="false" ht="15" hidden="false" customHeight="false" outlineLevel="0" collapsed="false">
      <c r="A818" s="35"/>
      <c r="B818" s="36" t="str">
        <f aca="false">IF(A818="","",MONTH(A818))</f>
        <v/>
      </c>
      <c r="C818" s="37"/>
      <c r="D818" s="37"/>
      <c r="E818" s="37"/>
      <c r="F818" s="37"/>
      <c r="G818" s="37"/>
      <c r="H818" s="37"/>
    </row>
    <row r="819" customFormat="false" ht="15" hidden="false" customHeight="false" outlineLevel="0" collapsed="false">
      <c r="A819" s="35"/>
      <c r="B819" s="36" t="str">
        <f aca="false">IF(A819="","",MONTH(A819))</f>
        <v/>
      </c>
      <c r="C819" s="37"/>
      <c r="D819" s="37"/>
      <c r="E819" s="37"/>
      <c r="F819" s="37"/>
      <c r="G819" s="37"/>
      <c r="H819" s="37"/>
    </row>
    <row r="820" customFormat="false" ht="15" hidden="false" customHeight="false" outlineLevel="0" collapsed="false">
      <c r="A820" s="35"/>
      <c r="B820" s="36" t="str">
        <f aca="false">IF(A820="","",MONTH(A820))</f>
        <v/>
      </c>
      <c r="C820" s="37"/>
      <c r="D820" s="37"/>
      <c r="E820" s="37"/>
      <c r="F820" s="37"/>
      <c r="G820" s="37"/>
      <c r="H820" s="37"/>
    </row>
    <row r="821" customFormat="false" ht="15" hidden="false" customHeight="false" outlineLevel="0" collapsed="false">
      <c r="A821" s="35"/>
      <c r="B821" s="36" t="str">
        <f aca="false">IF(A821="","",MONTH(A821))</f>
        <v/>
      </c>
      <c r="C821" s="37"/>
      <c r="D821" s="37"/>
      <c r="E821" s="37"/>
      <c r="F821" s="37"/>
      <c r="G821" s="37"/>
      <c r="H821" s="37"/>
    </row>
    <row r="822" customFormat="false" ht="15" hidden="false" customHeight="false" outlineLevel="0" collapsed="false">
      <c r="A822" s="35"/>
      <c r="B822" s="36" t="str">
        <f aca="false">IF(A822="","",MONTH(A822))</f>
        <v/>
      </c>
      <c r="C822" s="37"/>
      <c r="D822" s="37"/>
      <c r="E822" s="37"/>
      <c r="F822" s="37"/>
      <c r="G822" s="37"/>
      <c r="H822" s="37"/>
    </row>
    <row r="823" customFormat="false" ht="15" hidden="false" customHeight="false" outlineLevel="0" collapsed="false">
      <c r="A823" s="35"/>
      <c r="B823" s="36" t="str">
        <f aca="false">IF(A823="","",MONTH(A823))</f>
        <v/>
      </c>
      <c r="C823" s="37"/>
      <c r="D823" s="37"/>
      <c r="E823" s="37"/>
      <c r="F823" s="37"/>
      <c r="G823" s="37"/>
      <c r="H823" s="37"/>
    </row>
    <row r="824" customFormat="false" ht="15" hidden="false" customHeight="false" outlineLevel="0" collapsed="false">
      <c r="A824" s="35"/>
      <c r="B824" s="36" t="str">
        <f aca="false">IF(A824="","",MONTH(A824))</f>
        <v/>
      </c>
      <c r="C824" s="37"/>
      <c r="D824" s="37"/>
      <c r="E824" s="37"/>
      <c r="F824" s="37"/>
      <c r="G824" s="37"/>
      <c r="H824" s="37"/>
    </row>
    <row r="825" customFormat="false" ht="15" hidden="false" customHeight="false" outlineLevel="0" collapsed="false">
      <c r="A825" s="35"/>
      <c r="B825" s="36" t="str">
        <f aca="false">IF(A825="","",MONTH(A825))</f>
        <v/>
      </c>
      <c r="C825" s="37"/>
      <c r="D825" s="37"/>
      <c r="E825" s="37"/>
      <c r="F825" s="37"/>
      <c r="G825" s="37"/>
      <c r="H825" s="37"/>
    </row>
    <row r="826" customFormat="false" ht="15" hidden="false" customHeight="false" outlineLevel="0" collapsed="false">
      <c r="A826" s="35"/>
      <c r="B826" s="36" t="str">
        <f aca="false">IF(A826="","",MONTH(A826))</f>
        <v/>
      </c>
      <c r="C826" s="37"/>
      <c r="D826" s="37"/>
      <c r="E826" s="37"/>
      <c r="F826" s="37"/>
      <c r="G826" s="37"/>
      <c r="H826" s="37"/>
    </row>
    <row r="827" customFormat="false" ht="15" hidden="false" customHeight="false" outlineLevel="0" collapsed="false">
      <c r="A827" s="35"/>
      <c r="B827" s="36" t="str">
        <f aca="false">IF(A827="","",MONTH(A827))</f>
        <v/>
      </c>
      <c r="C827" s="37"/>
      <c r="D827" s="37"/>
      <c r="E827" s="37"/>
      <c r="F827" s="37"/>
      <c r="G827" s="37"/>
      <c r="H827" s="37"/>
    </row>
    <row r="828" customFormat="false" ht="15" hidden="false" customHeight="false" outlineLevel="0" collapsed="false">
      <c r="A828" s="35"/>
      <c r="B828" s="36" t="str">
        <f aca="false">IF(A828="","",MONTH(A828))</f>
        <v/>
      </c>
      <c r="C828" s="37"/>
      <c r="D828" s="37"/>
      <c r="E828" s="37"/>
      <c r="F828" s="37"/>
      <c r="G828" s="37"/>
      <c r="H828" s="37"/>
    </row>
    <row r="829" customFormat="false" ht="15" hidden="false" customHeight="false" outlineLevel="0" collapsed="false">
      <c r="A829" s="35"/>
      <c r="B829" s="36" t="str">
        <f aca="false">IF(A829="","",MONTH(A829))</f>
        <v/>
      </c>
      <c r="C829" s="37"/>
      <c r="D829" s="37"/>
      <c r="E829" s="37"/>
      <c r="F829" s="37"/>
      <c r="G829" s="37"/>
      <c r="H829" s="37"/>
    </row>
    <row r="830" customFormat="false" ht="15" hidden="false" customHeight="false" outlineLevel="0" collapsed="false">
      <c r="A830" s="35"/>
      <c r="B830" s="36" t="str">
        <f aca="false">IF(A830="","",MONTH(A830))</f>
        <v/>
      </c>
      <c r="C830" s="37"/>
      <c r="D830" s="37"/>
      <c r="E830" s="37"/>
      <c r="F830" s="37"/>
      <c r="G830" s="37"/>
      <c r="H830" s="37"/>
    </row>
    <row r="831" customFormat="false" ht="15" hidden="false" customHeight="false" outlineLevel="0" collapsed="false">
      <c r="A831" s="35"/>
      <c r="B831" s="36" t="str">
        <f aca="false">IF(A831="","",MONTH(A831))</f>
        <v/>
      </c>
      <c r="C831" s="37"/>
      <c r="D831" s="37"/>
      <c r="E831" s="37"/>
      <c r="F831" s="37"/>
      <c r="G831" s="37"/>
      <c r="H831" s="37"/>
    </row>
    <row r="832" customFormat="false" ht="15" hidden="false" customHeight="false" outlineLevel="0" collapsed="false">
      <c r="A832" s="35"/>
      <c r="B832" s="36" t="str">
        <f aca="false">IF(A832="","",MONTH(A832))</f>
        <v/>
      </c>
      <c r="C832" s="37"/>
      <c r="D832" s="37"/>
      <c r="E832" s="37"/>
      <c r="F832" s="37"/>
      <c r="G832" s="37"/>
      <c r="H832" s="37"/>
    </row>
    <row r="833" customFormat="false" ht="15" hidden="false" customHeight="false" outlineLevel="0" collapsed="false">
      <c r="A833" s="35"/>
      <c r="B833" s="36" t="str">
        <f aca="false">IF(A833="","",MONTH(A833))</f>
        <v/>
      </c>
      <c r="C833" s="37"/>
      <c r="D833" s="37"/>
      <c r="E833" s="37"/>
      <c r="F833" s="37"/>
      <c r="G833" s="37"/>
      <c r="H833" s="37"/>
    </row>
    <row r="834" customFormat="false" ht="15" hidden="false" customHeight="false" outlineLevel="0" collapsed="false">
      <c r="A834" s="35"/>
      <c r="B834" s="36" t="str">
        <f aca="false">IF(A834="","",MONTH(A834))</f>
        <v/>
      </c>
      <c r="C834" s="37"/>
      <c r="D834" s="37"/>
      <c r="E834" s="37"/>
      <c r="F834" s="37"/>
      <c r="G834" s="37"/>
      <c r="H834" s="37"/>
    </row>
    <row r="835" customFormat="false" ht="15" hidden="false" customHeight="false" outlineLevel="0" collapsed="false">
      <c r="A835" s="35"/>
      <c r="B835" s="36" t="str">
        <f aca="false">IF(A835="","",MONTH(A835))</f>
        <v/>
      </c>
      <c r="C835" s="37"/>
      <c r="D835" s="37"/>
      <c r="E835" s="37"/>
      <c r="F835" s="37"/>
      <c r="G835" s="37"/>
      <c r="H835" s="37"/>
    </row>
    <row r="836" customFormat="false" ht="15" hidden="false" customHeight="false" outlineLevel="0" collapsed="false">
      <c r="A836" s="35"/>
      <c r="B836" s="36" t="str">
        <f aca="false">IF(A836="","",MONTH(A836))</f>
        <v/>
      </c>
      <c r="C836" s="37"/>
      <c r="D836" s="37"/>
      <c r="E836" s="37"/>
      <c r="F836" s="37"/>
      <c r="G836" s="37"/>
      <c r="H836" s="37"/>
    </row>
    <row r="837" customFormat="false" ht="15" hidden="false" customHeight="false" outlineLevel="0" collapsed="false">
      <c r="A837" s="35"/>
      <c r="B837" s="36" t="str">
        <f aca="false">IF(A837="","",MONTH(A837))</f>
        <v/>
      </c>
      <c r="C837" s="37"/>
      <c r="D837" s="37"/>
      <c r="E837" s="37"/>
      <c r="F837" s="37"/>
      <c r="G837" s="37"/>
      <c r="H837" s="37"/>
    </row>
    <row r="838" customFormat="false" ht="15" hidden="false" customHeight="false" outlineLevel="0" collapsed="false">
      <c r="A838" s="35"/>
      <c r="B838" s="36" t="str">
        <f aca="false">IF(A838="","",MONTH(A838))</f>
        <v/>
      </c>
      <c r="C838" s="37"/>
      <c r="D838" s="37"/>
      <c r="E838" s="37"/>
      <c r="F838" s="37"/>
      <c r="G838" s="37"/>
      <c r="H838" s="37"/>
    </row>
    <row r="839" customFormat="false" ht="15" hidden="false" customHeight="false" outlineLevel="0" collapsed="false">
      <c r="A839" s="35"/>
      <c r="B839" s="36" t="str">
        <f aca="false">IF(A839="","",MONTH(A839))</f>
        <v/>
      </c>
      <c r="C839" s="37"/>
      <c r="D839" s="37"/>
      <c r="E839" s="37"/>
      <c r="F839" s="37"/>
      <c r="G839" s="37"/>
      <c r="H839" s="37"/>
    </row>
    <row r="840" customFormat="false" ht="15" hidden="false" customHeight="false" outlineLevel="0" collapsed="false">
      <c r="A840" s="35"/>
      <c r="B840" s="36" t="str">
        <f aca="false">IF(A840="","",MONTH(A840))</f>
        <v/>
      </c>
      <c r="C840" s="37"/>
      <c r="D840" s="37"/>
      <c r="E840" s="37"/>
      <c r="F840" s="37"/>
      <c r="G840" s="37"/>
      <c r="H840" s="37"/>
    </row>
    <row r="841" customFormat="false" ht="15" hidden="false" customHeight="false" outlineLevel="0" collapsed="false">
      <c r="A841" s="35"/>
      <c r="B841" s="36" t="str">
        <f aca="false">IF(A841="","",MONTH(A841))</f>
        <v/>
      </c>
      <c r="C841" s="37"/>
      <c r="D841" s="37"/>
      <c r="E841" s="37"/>
      <c r="F841" s="37"/>
      <c r="G841" s="37"/>
      <c r="H841" s="37"/>
    </row>
    <row r="842" customFormat="false" ht="15" hidden="false" customHeight="false" outlineLevel="0" collapsed="false">
      <c r="A842" s="35"/>
      <c r="B842" s="36" t="str">
        <f aca="false">IF(A842="","",MONTH(A842))</f>
        <v/>
      </c>
      <c r="C842" s="37"/>
      <c r="D842" s="37"/>
      <c r="E842" s="37"/>
      <c r="F842" s="37"/>
      <c r="G842" s="37"/>
      <c r="H842" s="37"/>
    </row>
    <row r="843" customFormat="false" ht="15" hidden="false" customHeight="false" outlineLevel="0" collapsed="false">
      <c r="A843" s="35"/>
      <c r="B843" s="36" t="str">
        <f aca="false">IF(A843="","",MONTH(A843))</f>
        <v/>
      </c>
      <c r="C843" s="37"/>
      <c r="D843" s="37"/>
      <c r="E843" s="37"/>
      <c r="F843" s="37"/>
      <c r="G843" s="37"/>
      <c r="H843" s="37"/>
    </row>
    <row r="844" customFormat="false" ht="15" hidden="false" customHeight="false" outlineLevel="0" collapsed="false">
      <c r="A844" s="35"/>
      <c r="B844" s="36" t="str">
        <f aca="false">IF(A844="","",MONTH(A844))</f>
        <v/>
      </c>
      <c r="C844" s="37"/>
      <c r="D844" s="37"/>
      <c r="E844" s="37"/>
      <c r="F844" s="37"/>
      <c r="G844" s="37"/>
      <c r="H844" s="37"/>
    </row>
    <row r="845" customFormat="false" ht="15" hidden="false" customHeight="false" outlineLevel="0" collapsed="false">
      <c r="A845" s="35"/>
      <c r="B845" s="36" t="str">
        <f aca="false">IF(A845="","",MONTH(A845))</f>
        <v/>
      </c>
      <c r="C845" s="37"/>
      <c r="D845" s="37"/>
      <c r="E845" s="37"/>
      <c r="F845" s="37"/>
      <c r="G845" s="37"/>
      <c r="H845" s="37"/>
    </row>
    <row r="846" customFormat="false" ht="15" hidden="false" customHeight="false" outlineLevel="0" collapsed="false">
      <c r="A846" s="35"/>
      <c r="B846" s="36" t="str">
        <f aca="false">IF(A846="","",MONTH(A846))</f>
        <v/>
      </c>
      <c r="C846" s="37"/>
      <c r="D846" s="37"/>
      <c r="E846" s="37"/>
      <c r="F846" s="37"/>
      <c r="G846" s="37"/>
      <c r="H846" s="37"/>
    </row>
    <row r="847" customFormat="false" ht="15" hidden="false" customHeight="false" outlineLevel="0" collapsed="false">
      <c r="A847" s="35"/>
      <c r="B847" s="36" t="str">
        <f aca="false">IF(A847="","",MONTH(A847))</f>
        <v/>
      </c>
      <c r="C847" s="37"/>
      <c r="D847" s="37"/>
      <c r="E847" s="37"/>
      <c r="F847" s="37"/>
      <c r="G847" s="37"/>
      <c r="H847" s="37"/>
    </row>
    <row r="848" customFormat="false" ht="15" hidden="false" customHeight="false" outlineLevel="0" collapsed="false">
      <c r="A848" s="35"/>
      <c r="B848" s="36" t="str">
        <f aca="false">IF(A848="","",MONTH(A848))</f>
        <v/>
      </c>
      <c r="C848" s="37"/>
      <c r="D848" s="37"/>
      <c r="E848" s="37"/>
      <c r="F848" s="37"/>
      <c r="G848" s="37"/>
      <c r="H848" s="37"/>
    </row>
    <row r="849" customFormat="false" ht="15" hidden="false" customHeight="false" outlineLevel="0" collapsed="false">
      <c r="A849" s="35"/>
      <c r="B849" s="36" t="str">
        <f aca="false">IF(A849="","",MONTH(A849))</f>
        <v/>
      </c>
      <c r="C849" s="37"/>
      <c r="D849" s="37"/>
      <c r="E849" s="37"/>
      <c r="F849" s="37"/>
      <c r="G849" s="37"/>
      <c r="H849" s="37"/>
    </row>
    <row r="850" customFormat="false" ht="15" hidden="false" customHeight="false" outlineLevel="0" collapsed="false">
      <c r="A850" s="35"/>
      <c r="B850" s="36" t="str">
        <f aca="false">IF(A850="","",MONTH(A850))</f>
        <v/>
      </c>
      <c r="C850" s="37"/>
      <c r="D850" s="37"/>
      <c r="E850" s="37"/>
      <c r="F850" s="37"/>
      <c r="G850" s="37"/>
      <c r="H850" s="37"/>
    </row>
    <row r="851" customFormat="false" ht="15" hidden="false" customHeight="false" outlineLevel="0" collapsed="false">
      <c r="A851" s="35"/>
      <c r="B851" s="36" t="str">
        <f aca="false">IF(A851="","",MONTH(A851))</f>
        <v/>
      </c>
      <c r="C851" s="37"/>
      <c r="D851" s="37"/>
      <c r="E851" s="37"/>
      <c r="F851" s="37"/>
      <c r="G851" s="37"/>
      <c r="H851" s="37"/>
    </row>
    <row r="852" customFormat="false" ht="15" hidden="false" customHeight="false" outlineLevel="0" collapsed="false">
      <c r="A852" s="35"/>
      <c r="B852" s="36" t="str">
        <f aca="false">IF(A852="","",MONTH(A852))</f>
        <v/>
      </c>
      <c r="C852" s="37"/>
      <c r="D852" s="37"/>
      <c r="E852" s="37"/>
      <c r="F852" s="37"/>
      <c r="G852" s="37"/>
      <c r="H852" s="37"/>
    </row>
    <row r="853" customFormat="false" ht="15" hidden="false" customHeight="false" outlineLevel="0" collapsed="false">
      <c r="A853" s="35"/>
      <c r="B853" s="36" t="str">
        <f aca="false">IF(A853="","",MONTH(A853))</f>
        <v/>
      </c>
      <c r="C853" s="37"/>
      <c r="D853" s="37"/>
      <c r="E853" s="37"/>
      <c r="F853" s="37"/>
      <c r="G853" s="37"/>
      <c r="H853" s="37"/>
    </row>
    <row r="854" customFormat="false" ht="15" hidden="false" customHeight="false" outlineLevel="0" collapsed="false">
      <c r="A854" s="35"/>
      <c r="B854" s="36" t="str">
        <f aca="false">IF(A854="","",MONTH(A854))</f>
        <v/>
      </c>
      <c r="C854" s="37"/>
      <c r="D854" s="37"/>
      <c r="E854" s="37"/>
      <c r="F854" s="37"/>
      <c r="G854" s="37"/>
      <c r="H854" s="37"/>
    </row>
    <row r="855" customFormat="false" ht="15" hidden="false" customHeight="false" outlineLevel="0" collapsed="false">
      <c r="A855" s="35"/>
      <c r="B855" s="36" t="str">
        <f aca="false">IF(A855="","",MONTH(A855))</f>
        <v/>
      </c>
      <c r="C855" s="37"/>
      <c r="D855" s="37"/>
      <c r="E855" s="37"/>
      <c r="F855" s="37"/>
      <c r="G855" s="37"/>
      <c r="H855" s="37"/>
    </row>
    <row r="856" customFormat="false" ht="15" hidden="false" customHeight="false" outlineLevel="0" collapsed="false">
      <c r="A856" s="35"/>
      <c r="B856" s="36" t="str">
        <f aca="false">IF(A856="","",MONTH(A856))</f>
        <v/>
      </c>
      <c r="C856" s="37"/>
      <c r="D856" s="37"/>
      <c r="E856" s="37"/>
      <c r="F856" s="37"/>
      <c r="G856" s="37"/>
      <c r="H856" s="37"/>
    </row>
    <row r="857" customFormat="false" ht="15" hidden="false" customHeight="false" outlineLevel="0" collapsed="false">
      <c r="A857" s="35"/>
      <c r="B857" s="36" t="str">
        <f aca="false">IF(A857="","",MONTH(A857))</f>
        <v/>
      </c>
      <c r="C857" s="37"/>
      <c r="D857" s="37"/>
      <c r="E857" s="37"/>
      <c r="F857" s="37"/>
      <c r="G857" s="37"/>
      <c r="H857" s="37"/>
    </row>
    <row r="858" customFormat="false" ht="15" hidden="false" customHeight="false" outlineLevel="0" collapsed="false">
      <c r="A858" s="35"/>
      <c r="B858" s="36" t="str">
        <f aca="false">IF(A858="","",MONTH(A858))</f>
        <v/>
      </c>
      <c r="C858" s="37"/>
      <c r="D858" s="37"/>
      <c r="E858" s="37"/>
      <c r="F858" s="37"/>
      <c r="G858" s="37"/>
      <c r="H858" s="37"/>
    </row>
    <row r="859" customFormat="false" ht="15" hidden="false" customHeight="false" outlineLevel="0" collapsed="false">
      <c r="A859" s="35"/>
      <c r="B859" s="36" t="str">
        <f aca="false">IF(A859="","",MONTH(A859))</f>
        <v/>
      </c>
      <c r="C859" s="37"/>
      <c r="D859" s="37"/>
      <c r="E859" s="37"/>
      <c r="F859" s="37"/>
      <c r="G859" s="37"/>
      <c r="H859" s="37"/>
    </row>
    <row r="860" customFormat="false" ht="15" hidden="false" customHeight="false" outlineLevel="0" collapsed="false">
      <c r="A860" s="35"/>
      <c r="B860" s="36" t="str">
        <f aca="false">IF(A860="","",MONTH(A860))</f>
        <v/>
      </c>
      <c r="C860" s="37"/>
      <c r="D860" s="37"/>
      <c r="E860" s="37"/>
      <c r="F860" s="37"/>
      <c r="G860" s="37"/>
      <c r="H860" s="37"/>
    </row>
    <row r="861" customFormat="false" ht="15" hidden="false" customHeight="false" outlineLevel="0" collapsed="false">
      <c r="A861" s="35"/>
      <c r="B861" s="36" t="str">
        <f aca="false">IF(A861="","",MONTH(A861))</f>
        <v/>
      </c>
      <c r="C861" s="37"/>
      <c r="D861" s="37"/>
      <c r="E861" s="37"/>
      <c r="F861" s="37"/>
      <c r="G861" s="37"/>
      <c r="H861" s="37"/>
    </row>
    <row r="862" customFormat="false" ht="15" hidden="false" customHeight="false" outlineLevel="0" collapsed="false">
      <c r="A862" s="35"/>
      <c r="B862" s="36" t="str">
        <f aca="false">IF(A862="","",MONTH(A862))</f>
        <v/>
      </c>
      <c r="C862" s="37"/>
      <c r="D862" s="37"/>
      <c r="E862" s="37"/>
      <c r="F862" s="37"/>
      <c r="G862" s="37"/>
      <c r="H862" s="37"/>
    </row>
    <row r="863" customFormat="false" ht="15" hidden="false" customHeight="false" outlineLevel="0" collapsed="false">
      <c r="A863" s="35"/>
      <c r="B863" s="36" t="str">
        <f aca="false">IF(A863="","",MONTH(A863))</f>
        <v/>
      </c>
      <c r="C863" s="37"/>
      <c r="D863" s="37"/>
      <c r="E863" s="37"/>
      <c r="F863" s="37"/>
      <c r="G863" s="37"/>
      <c r="H863" s="37"/>
    </row>
    <row r="864" customFormat="false" ht="15" hidden="false" customHeight="false" outlineLevel="0" collapsed="false">
      <c r="A864" s="35"/>
      <c r="B864" s="36" t="str">
        <f aca="false">IF(A864="","",MONTH(A864))</f>
        <v/>
      </c>
      <c r="C864" s="37"/>
      <c r="D864" s="37"/>
      <c r="E864" s="37"/>
      <c r="F864" s="37"/>
      <c r="G864" s="37"/>
      <c r="H864" s="37"/>
    </row>
    <row r="865" customFormat="false" ht="15" hidden="false" customHeight="false" outlineLevel="0" collapsed="false">
      <c r="A865" s="35"/>
      <c r="B865" s="36" t="str">
        <f aca="false">IF(A865="","",MONTH(A865))</f>
        <v/>
      </c>
      <c r="C865" s="37"/>
      <c r="D865" s="37"/>
      <c r="E865" s="37"/>
      <c r="F865" s="37"/>
      <c r="G865" s="37"/>
      <c r="H865" s="37"/>
    </row>
    <row r="866" customFormat="false" ht="15" hidden="false" customHeight="false" outlineLevel="0" collapsed="false">
      <c r="A866" s="35"/>
      <c r="B866" s="36" t="str">
        <f aca="false">IF(A866="","",MONTH(A866))</f>
        <v/>
      </c>
      <c r="C866" s="37"/>
      <c r="D866" s="37"/>
      <c r="E866" s="37"/>
      <c r="F866" s="37"/>
      <c r="G866" s="37"/>
      <c r="H866" s="37"/>
    </row>
    <row r="867" customFormat="false" ht="15" hidden="false" customHeight="false" outlineLevel="0" collapsed="false">
      <c r="A867" s="35"/>
      <c r="B867" s="36" t="str">
        <f aca="false">IF(A867="","",MONTH(A867))</f>
        <v/>
      </c>
      <c r="C867" s="37"/>
      <c r="D867" s="37"/>
      <c r="E867" s="37"/>
      <c r="F867" s="37"/>
      <c r="G867" s="37"/>
      <c r="H867" s="37"/>
    </row>
    <row r="868" customFormat="false" ht="15" hidden="false" customHeight="false" outlineLevel="0" collapsed="false">
      <c r="A868" s="35"/>
      <c r="B868" s="36" t="str">
        <f aca="false">IF(A868="","",MONTH(A868))</f>
        <v/>
      </c>
      <c r="C868" s="37"/>
      <c r="D868" s="37"/>
      <c r="E868" s="37"/>
      <c r="F868" s="37"/>
      <c r="G868" s="37"/>
      <c r="H868" s="37"/>
    </row>
    <row r="869" customFormat="false" ht="15" hidden="false" customHeight="false" outlineLevel="0" collapsed="false">
      <c r="A869" s="35"/>
      <c r="B869" s="36" t="str">
        <f aca="false">IF(A869="","",MONTH(A869))</f>
        <v/>
      </c>
      <c r="C869" s="37"/>
      <c r="D869" s="37"/>
      <c r="E869" s="37"/>
      <c r="F869" s="37"/>
      <c r="G869" s="37"/>
      <c r="H869" s="37"/>
    </row>
    <row r="870" customFormat="false" ht="15" hidden="false" customHeight="false" outlineLevel="0" collapsed="false">
      <c r="A870" s="35"/>
      <c r="B870" s="36" t="str">
        <f aca="false">IF(A870="","",MONTH(A870))</f>
        <v/>
      </c>
      <c r="C870" s="37"/>
      <c r="D870" s="37"/>
      <c r="E870" s="37"/>
      <c r="F870" s="37"/>
      <c r="G870" s="37"/>
      <c r="H870" s="37"/>
    </row>
    <row r="871" customFormat="false" ht="15" hidden="false" customHeight="false" outlineLevel="0" collapsed="false">
      <c r="A871" s="35"/>
      <c r="B871" s="36" t="str">
        <f aca="false">IF(A871="","",MONTH(A871))</f>
        <v/>
      </c>
      <c r="C871" s="37"/>
      <c r="D871" s="37"/>
      <c r="E871" s="37"/>
      <c r="F871" s="37"/>
      <c r="G871" s="37"/>
      <c r="H871" s="37"/>
    </row>
    <row r="872" customFormat="false" ht="15" hidden="false" customHeight="false" outlineLevel="0" collapsed="false">
      <c r="A872" s="35"/>
      <c r="B872" s="36" t="str">
        <f aca="false">IF(A872="","",MONTH(A872))</f>
        <v/>
      </c>
      <c r="C872" s="37"/>
      <c r="D872" s="37"/>
      <c r="E872" s="37"/>
      <c r="F872" s="37"/>
      <c r="G872" s="37"/>
      <c r="H872" s="37"/>
    </row>
    <row r="873" customFormat="false" ht="15" hidden="false" customHeight="false" outlineLevel="0" collapsed="false">
      <c r="A873" s="35"/>
      <c r="B873" s="36" t="str">
        <f aca="false">IF(A873="","",MONTH(A873))</f>
        <v/>
      </c>
      <c r="C873" s="37"/>
      <c r="D873" s="37"/>
      <c r="E873" s="37"/>
      <c r="F873" s="37"/>
      <c r="G873" s="37"/>
      <c r="H873" s="37"/>
    </row>
    <row r="874" customFormat="false" ht="15" hidden="false" customHeight="false" outlineLevel="0" collapsed="false">
      <c r="A874" s="35"/>
      <c r="B874" s="36" t="str">
        <f aca="false">IF(A874="","",MONTH(A874))</f>
        <v/>
      </c>
      <c r="C874" s="37"/>
      <c r="D874" s="37"/>
      <c r="E874" s="37"/>
      <c r="F874" s="37"/>
      <c r="G874" s="37"/>
      <c r="H874" s="37"/>
    </row>
    <row r="875" customFormat="false" ht="15" hidden="false" customHeight="false" outlineLevel="0" collapsed="false">
      <c r="A875" s="35"/>
      <c r="B875" s="36" t="str">
        <f aca="false">IF(A875="","",MONTH(A875))</f>
        <v/>
      </c>
      <c r="C875" s="37"/>
      <c r="D875" s="37"/>
      <c r="E875" s="37"/>
      <c r="F875" s="37"/>
      <c r="G875" s="37"/>
      <c r="H875" s="37"/>
    </row>
    <row r="876" customFormat="false" ht="15" hidden="false" customHeight="false" outlineLevel="0" collapsed="false">
      <c r="A876" s="35"/>
      <c r="B876" s="36" t="str">
        <f aca="false">IF(A876="","",MONTH(A876))</f>
        <v/>
      </c>
      <c r="C876" s="37"/>
      <c r="D876" s="37"/>
      <c r="E876" s="37"/>
      <c r="F876" s="37"/>
      <c r="G876" s="37"/>
      <c r="H876" s="37"/>
    </row>
    <row r="877" customFormat="false" ht="15" hidden="false" customHeight="false" outlineLevel="0" collapsed="false">
      <c r="A877" s="35"/>
      <c r="B877" s="36" t="str">
        <f aca="false">IF(A877="","",MONTH(A877))</f>
        <v/>
      </c>
      <c r="C877" s="37"/>
      <c r="D877" s="37"/>
      <c r="E877" s="37"/>
      <c r="F877" s="37"/>
      <c r="G877" s="37"/>
      <c r="H877" s="37"/>
    </row>
    <row r="878" customFormat="false" ht="15" hidden="false" customHeight="false" outlineLevel="0" collapsed="false">
      <c r="A878" s="35"/>
      <c r="B878" s="36" t="str">
        <f aca="false">IF(A878="","",MONTH(A878))</f>
        <v/>
      </c>
      <c r="C878" s="37"/>
      <c r="D878" s="37"/>
      <c r="E878" s="37"/>
      <c r="F878" s="37"/>
      <c r="G878" s="37"/>
      <c r="H878" s="37"/>
    </row>
    <row r="879" customFormat="false" ht="15" hidden="false" customHeight="false" outlineLevel="0" collapsed="false">
      <c r="A879" s="35"/>
      <c r="B879" s="36" t="str">
        <f aca="false">IF(A879="","",MONTH(A879))</f>
        <v/>
      </c>
      <c r="C879" s="37"/>
      <c r="D879" s="37"/>
      <c r="E879" s="37"/>
      <c r="F879" s="37"/>
      <c r="G879" s="37"/>
      <c r="H879" s="37"/>
    </row>
    <row r="880" customFormat="false" ht="15" hidden="false" customHeight="false" outlineLevel="0" collapsed="false">
      <c r="A880" s="35"/>
      <c r="B880" s="36" t="str">
        <f aca="false">IF(A880="","",MONTH(A880))</f>
        <v/>
      </c>
      <c r="C880" s="37"/>
      <c r="D880" s="37"/>
      <c r="E880" s="37"/>
      <c r="F880" s="37"/>
      <c r="G880" s="37"/>
      <c r="H880" s="37"/>
    </row>
    <row r="881" customFormat="false" ht="15" hidden="false" customHeight="false" outlineLevel="0" collapsed="false">
      <c r="A881" s="35"/>
      <c r="B881" s="36" t="str">
        <f aca="false">IF(A881="","",MONTH(A881))</f>
        <v/>
      </c>
      <c r="C881" s="37"/>
      <c r="D881" s="37"/>
      <c r="E881" s="37"/>
      <c r="F881" s="37"/>
      <c r="G881" s="37"/>
      <c r="H881" s="37"/>
    </row>
    <row r="882" customFormat="false" ht="15" hidden="false" customHeight="false" outlineLevel="0" collapsed="false">
      <c r="A882" s="35"/>
      <c r="B882" s="36" t="str">
        <f aca="false">IF(A882="","",MONTH(A882))</f>
        <v/>
      </c>
      <c r="C882" s="37"/>
      <c r="D882" s="37"/>
      <c r="E882" s="37"/>
      <c r="F882" s="37"/>
      <c r="G882" s="37"/>
      <c r="H882" s="37"/>
    </row>
    <row r="883" customFormat="false" ht="15" hidden="false" customHeight="false" outlineLevel="0" collapsed="false">
      <c r="A883" s="35"/>
      <c r="B883" s="36" t="str">
        <f aca="false">IF(A883="","",MONTH(A883))</f>
        <v/>
      </c>
      <c r="C883" s="37"/>
      <c r="D883" s="37"/>
      <c r="E883" s="37"/>
      <c r="F883" s="37"/>
      <c r="G883" s="37"/>
      <c r="H883" s="37"/>
    </row>
    <row r="884" customFormat="false" ht="15" hidden="false" customHeight="false" outlineLevel="0" collapsed="false">
      <c r="A884" s="35"/>
      <c r="B884" s="36" t="str">
        <f aca="false">IF(A884="","",MONTH(A884))</f>
        <v/>
      </c>
      <c r="C884" s="37"/>
      <c r="D884" s="37"/>
      <c r="E884" s="37"/>
      <c r="F884" s="37"/>
      <c r="G884" s="37"/>
      <c r="H884" s="37"/>
    </row>
    <row r="885" customFormat="false" ht="15" hidden="false" customHeight="false" outlineLevel="0" collapsed="false">
      <c r="A885" s="35"/>
      <c r="B885" s="36" t="str">
        <f aca="false">IF(A885="","",MONTH(A885))</f>
        <v/>
      </c>
      <c r="C885" s="37"/>
      <c r="D885" s="37"/>
      <c r="E885" s="37"/>
      <c r="F885" s="37"/>
      <c r="G885" s="37"/>
      <c r="H885" s="37"/>
    </row>
    <row r="886" customFormat="false" ht="15" hidden="false" customHeight="false" outlineLevel="0" collapsed="false">
      <c r="A886" s="35"/>
      <c r="B886" s="36" t="str">
        <f aca="false">IF(A886="","",MONTH(A886))</f>
        <v/>
      </c>
      <c r="C886" s="37"/>
      <c r="D886" s="37"/>
      <c r="E886" s="37"/>
      <c r="F886" s="37"/>
      <c r="G886" s="37"/>
      <c r="H886" s="37"/>
    </row>
    <row r="887" customFormat="false" ht="15" hidden="false" customHeight="false" outlineLevel="0" collapsed="false">
      <c r="A887" s="35"/>
      <c r="B887" s="36" t="str">
        <f aca="false">IF(A887="","",MONTH(A887))</f>
        <v/>
      </c>
      <c r="C887" s="37"/>
      <c r="D887" s="37"/>
      <c r="E887" s="37"/>
      <c r="F887" s="37"/>
      <c r="G887" s="37"/>
      <c r="H887" s="37"/>
    </row>
    <row r="888" customFormat="false" ht="15" hidden="false" customHeight="false" outlineLevel="0" collapsed="false">
      <c r="A888" s="35"/>
      <c r="B888" s="36" t="str">
        <f aca="false">IF(A888="","",MONTH(A888))</f>
        <v/>
      </c>
      <c r="C888" s="37"/>
      <c r="D888" s="37"/>
      <c r="E888" s="37"/>
      <c r="F888" s="37"/>
      <c r="G888" s="37"/>
      <c r="H888" s="37"/>
    </row>
    <row r="889" customFormat="false" ht="15" hidden="false" customHeight="false" outlineLevel="0" collapsed="false">
      <c r="A889" s="35"/>
      <c r="B889" s="36" t="str">
        <f aca="false">IF(A889="","",MONTH(A889))</f>
        <v/>
      </c>
      <c r="C889" s="37"/>
      <c r="D889" s="37"/>
      <c r="E889" s="37"/>
      <c r="F889" s="37"/>
      <c r="G889" s="37"/>
      <c r="H889" s="37"/>
    </row>
    <row r="890" customFormat="false" ht="15" hidden="false" customHeight="false" outlineLevel="0" collapsed="false">
      <c r="A890" s="35"/>
      <c r="B890" s="36" t="str">
        <f aca="false">IF(A890="","",MONTH(A890))</f>
        <v/>
      </c>
      <c r="C890" s="37"/>
      <c r="D890" s="37"/>
      <c r="E890" s="37"/>
      <c r="F890" s="37"/>
      <c r="G890" s="37"/>
      <c r="H890" s="37"/>
    </row>
    <row r="891" customFormat="false" ht="15" hidden="false" customHeight="false" outlineLevel="0" collapsed="false">
      <c r="A891" s="35"/>
      <c r="B891" s="36" t="str">
        <f aca="false">IF(A891="","",MONTH(A891))</f>
        <v/>
      </c>
      <c r="C891" s="37"/>
      <c r="D891" s="37"/>
      <c r="E891" s="37"/>
      <c r="F891" s="37"/>
      <c r="G891" s="37"/>
      <c r="H891" s="37"/>
    </row>
    <row r="892" customFormat="false" ht="15" hidden="false" customHeight="false" outlineLevel="0" collapsed="false">
      <c r="A892" s="35"/>
      <c r="B892" s="36" t="str">
        <f aca="false">IF(A892="","",MONTH(A892))</f>
        <v/>
      </c>
      <c r="C892" s="37"/>
      <c r="D892" s="37"/>
      <c r="E892" s="37"/>
      <c r="F892" s="37"/>
      <c r="G892" s="37"/>
      <c r="H892" s="37"/>
    </row>
    <row r="893" customFormat="false" ht="15" hidden="false" customHeight="false" outlineLevel="0" collapsed="false">
      <c r="A893" s="35"/>
      <c r="B893" s="36" t="str">
        <f aca="false">IF(A893="","",MONTH(A893))</f>
        <v/>
      </c>
      <c r="C893" s="37"/>
      <c r="D893" s="37"/>
      <c r="E893" s="37"/>
      <c r="F893" s="37"/>
      <c r="G893" s="37"/>
      <c r="H893" s="37"/>
    </row>
    <row r="894" customFormat="false" ht="15" hidden="false" customHeight="false" outlineLevel="0" collapsed="false">
      <c r="A894" s="35"/>
      <c r="B894" s="36" t="str">
        <f aca="false">IF(A894="","",MONTH(A894))</f>
        <v/>
      </c>
      <c r="C894" s="37"/>
      <c r="D894" s="37"/>
      <c r="E894" s="37"/>
      <c r="F894" s="37"/>
      <c r="G894" s="37"/>
      <c r="H894" s="37"/>
    </row>
    <row r="895" customFormat="false" ht="15" hidden="false" customHeight="false" outlineLevel="0" collapsed="false">
      <c r="A895" s="35"/>
      <c r="B895" s="36" t="str">
        <f aca="false">IF(A895="","",MONTH(A895))</f>
        <v/>
      </c>
      <c r="C895" s="37"/>
      <c r="D895" s="37"/>
      <c r="E895" s="37"/>
      <c r="F895" s="37"/>
      <c r="G895" s="37"/>
      <c r="H895" s="37"/>
    </row>
    <row r="896" customFormat="false" ht="15" hidden="false" customHeight="false" outlineLevel="0" collapsed="false">
      <c r="A896" s="35"/>
      <c r="B896" s="36" t="str">
        <f aca="false">IF(A896="","",MONTH(A896))</f>
        <v/>
      </c>
      <c r="C896" s="37"/>
      <c r="D896" s="37"/>
      <c r="E896" s="37"/>
      <c r="F896" s="37"/>
      <c r="G896" s="37"/>
      <c r="H896" s="37"/>
    </row>
    <row r="897" customFormat="false" ht="15" hidden="false" customHeight="false" outlineLevel="0" collapsed="false">
      <c r="A897" s="35"/>
      <c r="B897" s="36" t="str">
        <f aca="false">IF(A897="","",MONTH(A897))</f>
        <v/>
      </c>
      <c r="C897" s="37"/>
      <c r="D897" s="37"/>
      <c r="E897" s="37"/>
      <c r="F897" s="37"/>
      <c r="G897" s="37"/>
      <c r="H897" s="37"/>
    </row>
    <row r="898" customFormat="false" ht="15" hidden="false" customHeight="false" outlineLevel="0" collapsed="false">
      <c r="A898" s="35"/>
      <c r="B898" s="36" t="str">
        <f aca="false">IF(A898="","",MONTH(A898))</f>
        <v/>
      </c>
      <c r="C898" s="37"/>
      <c r="D898" s="37"/>
      <c r="E898" s="37"/>
      <c r="F898" s="37"/>
      <c r="G898" s="37"/>
      <c r="H898" s="37"/>
    </row>
    <row r="899" customFormat="false" ht="15" hidden="false" customHeight="false" outlineLevel="0" collapsed="false">
      <c r="A899" s="35"/>
      <c r="B899" s="36" t="str">
        <f aca="false">IF(A899="","",MONTH(A899))</f>
        <v/>
      </c>
      <c r="C899" s="37"/>
      <c r="D899" s="37"/>
      <c r="E899" s="37"/>
      <c r="F899" s="37"/>
      <c r="G899" s="37"/>
      <c r="H899" s="37"/>
    </row>
    <row r="900" customFormat="false" ht="15" hidden="false" customHeight="false" outlineLevel="0" collapsed="false">
      <c r="A900" s="35"/>
      <c r="B900" s="36" t="str">
        <f aca="false">IF(A900="","",MONTH(A900))</f>
        <v/>
      </c>
      <c r="C900" s="37"/>
      <c r="D900" s="37"/>
      <c r="E900" s="37"/>
      <c r="F900" s="37"/>
      <c r="G900" s="37"/>
      <c r="H900" s="37"/>
    </row>
    <row r="901" customFormat="false" ht="15" hidden="false" customHeight="false" outlineLevel="0" collapsed="false">
      <c r="A901" s="35"/>
      <c r="B901" s="36" t="str">
        <f aca="false">IF(A901="","",MONTH(A901))</f>
        <v/>
      </c>
      <c r="C901" s="37"/>
      <c r="D901" s="37"/>
      <c r="E901" s="37"/>
      <c r="F901" s="37"/>
      <c r="G901" s="37"/>
      <c r="H901" s="37"/>
    </row>
    <row r="902" customFormat="false" ht="15" hidden="false" customHeight="false" outlineLevel="0" collapsed="false">
      <c r="A902" s="35"/>
      <c r="B902" s="36" t="str">
        <f aca="false">IF(A902="","",MONTH(A902))</f>
        <v/>
      </c>
      <c r="C902" s="37"/>
      <c r="D902" s="37"/>
      <c r="E902" s="37"/>
      <c r="F902" s="37"/>
      <c r="G902" s="37"/>
      <c r="H902" s="37"/>
    </row>
    <row r="903" customFormat="false" ht="15" hidden="false" customHeight="false" outlineLevel="0" collapsed="false">
      <c r="A903" s="35"/>
      <c r="B903" s="36" t="str">
        <f aca="false">IF(A903="","",MONTH(A903))</f>
        <v/>
      </c>
      <c r="C903" s="37"/>
      <c r="D903" s="37"/>
      <c r="E903" s="37"/>
      <c r="F903" s="37"/>
      <c r="G903" s="37"/>
      <c r="H903" s="37"/>
    </row>
    <row r="904" customFormat="false" ht="15" hidden="false" customHeight="false" outlineLevel="0" collapsed="false">
      <c r="A904" s="35"/>
      <c r="B904" s="36" t="str">
        <f aca="false">IF(A904="","",MONTH(A904))</f>
        <v/>
      </c>
      <c r="C904" s="37"/>
      <c r="D904" s="37"/>
      <c r="E904" s="37"/>
      <c r="F904" s="37"/>
      <c r="G904" s="37"/>
      <c r="H904" s="37"/>
    </row>
    <row r="905" customFormat="false" ht="15" hidden="false" customHeight="false" outlineLevel="0" collapsed="false">
      <c r="A905" s="35"/>
      <c r="B905" s="36" t="str">
        <f aca="false">IF(A905="","",MONTH(A905))</f>
        <v/>
      </c>
      <c r="C905" s="37"/>
      <c r="D905" s="37"/>
      <c r="E905" s="37"/>
      <c r="F905" s="37"/>
      <c r="G905" s="37"/>
      <c r="H905" s="37"/>
    </row>
    <row r="906" customFormat="false" ht="15" hidden="false" customHeight="false" outlineLevel="0" collapsed="false">
      <c r="A906" s="35"/>
      <c r="B906" s="36" t="str">
        <f aca="false">IF(A906="","",MONTH(A906))</f>
        <v/>
      </c>
      <c r="C906" s="37"/>
      <c r="D906" s="37"/>
      <c r="E906" s="37"/>
      <c r="F906" s="37"/>
      <c r="G906" s="37"/>
      <c r="H906" s="37"/>
    </row>
    <row r="907" customFormat="false" ht="15" hidden="false" customHeight="false" outlineLevel="0" collapsed="false">
      <c r="A907" s="35"/>
      <c r="B907" s="36" t="str">
        <f aca="false">IF(A907="","",MONTH(A907))</f>
        <v/>
      </c>
      <c r="C907" s="37"/>
      <c r="D907" s="37"/>
      <c r="E907" s="37"/>
      <c r="F907" s="37"/>
      <c r="G907" s="37"/>
      <c r="H907" s="37"/>
    </row>
    <row r="908" customFormat="false" ht="15" hidden="false" customHeight="false" outlineLevel="0" collapsed="false">
      <c r="A908" s="35"/>
      <c r="B908" s="36" t="str">
        <f aca="false">IF(A908="","",MONTH(A908))</f>
        <v/>
      </c>
      <c r="C908" s="37"/>
      <c r="D908" s="37"/>
      <c r="E908" s="37"/>
      <c r="F908" s="37"/>
      <c r="G908" s="37"/>
      <c r="H908" s="37"/>
    </row>
    <row r="909" customFormat="false" ht="15" hidden="false" customHeight="false" outlineLevel="0" collapsed="false">
      <c r="A909" s="35"/>
      <c r="B909" s="36" t="str">
        <f aca="false">IF(A909="","",MONTH(A909))</f>
        <v/>
      </c>
      <c r="C909" s="37"/>
      <c r="D909" s="37"/>
      <c r="E909" s="37"/>
      <c r="F909" s="37"/>
      <c r="G909" s="37"/>
      <c r="H909" s="37"/>
    </row>
    <row r="910" customFormat="false" ht="15" hidden="false" customHeight="false" outlineLevel="0" collapsed="false">
      <c r="A910" s="35"/>
      <c r="B910" s="36" t="str">
        <f aca="false">IF(A910="","",MONTH(A910))</f>
        <v/>
      </c>
      <c r="C910" s="37"/>
      <c r="D910" s="37"/>
      <c r="E910" s="37"/>
      <c r="F910" s="37"/>
      <c r="G910" s="37"/>
      <c r="H910" s="37"/>
    </row>
    <row r="911" customFormat="false" ht="15" hidden="false" customHeight="false" outlineLevel="0" collapsed="false">
      <c r="A911" s="35"/>
      <c r="B911" s="36" t="str">
        <f aca="false">IF(A911="","",MONTH(A911))</f>
        <v/>
      </c>
      <c r="C911" s="37"/>
      <c r="D911" s="37"/>
      <c r="E911" s="37"/>
      <c r="F911" s="37"/>
      <c r="G911" s="37"/>
      <c r="H911" s="37"/>
    </row>
    <row r="912" customFormat="false" ht="15" hidden="false" customHeight="false" outlineLevel="0" collapsed="false">
      <c r="A912" s="35"/>
      <c r="B912" s="36" t="str">
        <f aca="false">IF(A912="","",MONTH(A912))</f>
        <v/>
      </c>
      <c r="C912" s="37"/>
      <c r="D912" s="37"/>
      <c r="E912" s="37"/>
      <c r="F912" s="37"/>
      <c r="G912" s="37"/>
      <c r="H912" s="37"/>
    </row>
    <row r="913" customFormat="false" ht="15" hidden="false" customHeight="false" outlineLevel="0" collapsed="false">
      <c r="A913" s="35"/>
      <c r="B913" s="36" t="str">
        <f aca="false">IF(A913="","",MONTH(A913))</f>
        <v/>
      </c>
      <c r="C913" s="37"/>
      <c r="D913" s="37"/>
      <c r="E913" s="37"/>
      <c r="F913" s="37"/>
      <c r="G913" s="37"/>
      <c r="H913" s="37"/>
    </row>
    <row r="914" customFormat="false" ht="15" hidden="false" customHeight="false" outlineLevel="0" collapsed="false">
      <c r="A914" s="35"/>
      <c r="B914" s="36" t="str">
        <f aca="false">IF(A914="","",MONTH(A914))</f>
        <v/>
      </c>
      <c r="C914" s="37"/>
      <c r="D914" s="37"/>
      <c r="E914" s="37"/>
      <c r="F914" s="37"/>
      <c r="G914" s="37"/>
      <c r="H914" s="37"/>
    </row>
    <row r="915" customFormat="false" ht="15" hidden="false" customHeight="false" outlineLevel="0" collapsed="false">
      <c r="A915" s="35"/>
      <c r="B915" s="36" t="str">
        <f aca="false">IF(A915="","",MONTH(A915))</f>
        <v/>
      </c>
      <c r="C915" s="37"/>
      <c r="D915" s="37"/>
      <c r="E915" s="37"/>
      <c r="F915" s="37"/>
      <c r="G915" s="37"/>
      <c r="H915" s="37"/>
    </row>
    <row r="916" customFormat="false" ht="15" hidden="false" customHeight="false" outlineLevel="0" collapsed="false">
      <c r="A916" s="35"/>
      <c r="B916" s="36" t="str">
        <f aca="false">IF(A916="","",MONTH(A916))</f>
        <v/>
      </c>
      <c r="C916" s="37"/>
      <c r="D916" s="37"/>
      <c r="E916" s="37"/>
      <c r="F916" s="37"/>
      <c r="G916" s="37"/>
      <c r="H916" s="37"/>
    </row>
    <row r="917" customFormat="false" ht="15" hidden="false" customHeight="false" outlineLevel="0" collapsed="false">
      <c r="A917" s="35"/>
      <c r="B917" s="36" t="str">
        <f aca="false">IF(A917="","",MONTH(A917))</f>
        <v/>
      </c>
      <c r="C917" s="37"/>
      <c r="D917" s="37"/>
      <c r="E917" s="37"/>
      <c r="F917" s="37"/>
      <c r="G917" s="37"/>
      <c r="H917" s="37"/>
    </row>
    <row r="918" customFormat="false" ht="15" hidden="false" customHeight="false" outlineLevel="0" collapsed="false">
      <c r="A918" s="35"/>
      <c r="B918" s="36" t="str">
        <f aca="false">IF(A918="","",MONTH(A918))</f>
        <v/>
      </c>
      <c r="C918" s="37"/>
      <c r="D918" s="37"/>
      <c r="E918" s="37"/>
      <c r="F918" s="37"/>
      <c r="G918" s="37"/>
      <c r="H918" s="37"/>
    </row>
    <row r="919" customFormat="false" ht="15" hidden="false" customHeight="false" outlineLevel="0" collapsed="false">
      <c r="A919" s="35"/>
      <c r="B919" s="36" t="str">
        <f aca="false">IF(A919="","",MONTH(A919))</f>
        <v/>
      </c>
      <c r="C919" s="37"/>
      <c r="D919" s="37"/>
      <c r="E919" s="37"/>
      <c r="F919" s="37"/>
      <c r="G919" s="37"/>
      <c r="H919" s="37"/>
    </row>
    <row r="920" customFormat="false" ht="15" hidden="false" customHeight="false" outlineLevel="0" collapsed="false">
      <c r="A920" s="35"/>
      <c r="B920" s="36" t="str">
        <f aca="false">IF(A920="","",MONTH(A920))</f>
        <v/>
      </c>
      <c r="C920" s="37"/>
      <c r="D920" s="37"/>
      <c r="E920" s="37"/>
      <c r="F920" s="37"/>
      <c r="G920" s="37"/>
      <c r="H920" s="37"/>
    </row>
    <row r="921" customFormat="false" ht="15" hidden="false" customHeight="false" outlineLevel="0" collapsed="false">
      <c r="A921" s="35"/>
      <c r="B921" s="36" t="str">
        <f aca="false">IF(A921="","",MONTH(A921))</f>
        <v/>
      </c>
      <c r="C921" s="37"/>
      <c r="D921" s="37"/>
      <c r="E921" s="37"/>
      <c r="F921" s="37"/>
      <c r="G921" s="37"/>
      <c r="H921" s="37"/>
    </row>
    <row r="922" customFormat="false" ht="15" hidden="false" customHeight="false" outlineLevel="0" collapsed="false">
      <c r="A922" s="35"/>
      <c r="B922" s="36" t="str">
        <f aca="false">IF(A922="","",MONTH(A922))</f>
        <v/>
      </c>
      <c r="C922" s="37"/>
      <c r="D922" s="37"/>
      <c r="E922" s="37"/>
      <c r="F922" s="37"/>
      <c r="G922" s="37"/>
      <c r="H922" s="37"/>
    </row>
    <row r="923" customFormat="false" ht="15" hidden="false" customHeight="false" outlineLevel="0" collapsed="false">
      <c r="A923" s="35"/>
      <c r="B923" s="36" t="str">
        <f aca="false">IF(A923="","",MONTH(A923))</f>
        <v/>
      </c>
      <c r="C923" s="37"/>
      <c r="D923" s="37"/>
      <c r="E923" s="37"/>
      <c r="F923" s="37"/>
      <c r="G923" s="37"/>
      <c r="H923" s="37"/>
    </row>
    <row r="924" customFormat="false" ht="15" hidden="false" customHeight="false" outlineLevel="0" collapsed="false">
      <c r="A924" s="35"/>
      <c r="B924" s="36" t="str">
        <f aca="false">IF(A924="","",MONTH(A924))</f>
        <v/>
      </c>
      <c r="C924" s="37"/>
      <c r="D924" s="37"/>
      <c r="E924" s="37"/>
      <c r="F924" s="37"/>
      <c r="G924" s="37"/>
      <c r="H924" s="37"/>
    </row>
    <row r="925" customFormat="false" ht="15" hidden="false" customHeight="false" outlineLevel="0" collapsed="false">
      <c r="A925" s="35"/>
      <c r="B925" s="36" t="str">
        <f aca="false">IF(A925="","",MONTH(A925))</f>
        <v/>
      </c>
      <c r="C925" s="37"/>
      <c r="D925" s="37"/>
      <c r="E925" s="37"/>
      <c r="F925" s="37"/>
      <c r="G925" s="37"/>
      <c r="H925" s="37"/>
    </row>
    <row r="926" customFormat="false" ht="15" hidden="false" customHeight="false" outlineLevel="0" collapsed="false">
      <c r="A926" s="35"/>
      <c r="B926" s="36" t="str">
        <f aca="false">IF(A926="","",MONTH(A926))</f>
        <v/>
      </c>
      <c r="C926" s="37"/>
      <c r="D926" s="37"/>
      <c r="E926" s="37"/>
      <c r="F926" s="37"/>
      <c r="G926" s="37"/>
      <c r="H926" s="37"/>
    </row>
    <row r="927" customFormat="false" ht="15" hidden="false" customHeight="false" outlineLevel="0" collapsed="false">
      <c r="A927" s="35"/>
      <c r="B927" s="36" t="str">
        <f aca="false">IF(A927="","",MONTH(A927))</f>
        <v/>
      </c>
      <c r="C927" s="37"/>
      <c r="D927" s="37"/>
      <c r="E927" s="37"/>
      <c r="F927" s="37"/>
      <c r="G927" s="37"/>
      <c r="H927" s="37"/>
    </row>
    <row r="928" customFormat="false" ht="15" hidden="false" customHeight="false" outlineLevel="0" collapsed="false">
      <c r="A928" s="35"/>
      <c r="B928" s="36" t="str">
        <f aca="false">IF(A928="","",MONTH(A928))</f>
        <v/>
      </c>
      <c r="C928" s="37"/>
      <c r="D928" s="37"/>
      <c r="E928" s="37"/>
      <c r="F928" s="37"/>
      <c r="G928" s="37"/>
      <c r="H928" s="37"/>
    </row>
    <row r="929" customFormat="false" ht="15" hidden="false" customHeight="false" outlineLevel="0" collapsed="false">
      <c r="A929" s="35"/>
      <c r="B929" s="36" t="str">
        <f aca="false">IF(A929="","",MONTH(A929))</f>
        <v/>
      </c>
      <c r="C929" s="37"/>
      <c r="D929" s="37"/>
      <c r="E929" s="37"/>
      <c r="F929" s="37"/>
      <c r="G929" s="37"/>
      <c r="H929" s="37"/>
    </row>
    <row r="930" customFormat="false" ht="15" hidden="false" customHeight="false" outlineLevel="0" collapsed="false">
      <c r="A930" s="35"/>
      <c r="B930" s="36" t="str">
        <f aca="false">IF(A930="","",MONTH(A930))</f>
        <v/>
      </c>
      <c r="C930" s="37"/>
      <c r="D930" s="37"/>
      <c r="E930" s="37"/>
      <c r="F930" s="37"/>
      <c r="G930" s="37"/>
      <c r="H930" s="37"/>
    </row>
    <row r="931" customFormat="false" ht="15" hidden="false" customHeight="false" outlineLevel="0" collapsed="false">
      <c r="A931" s="35"/>
      <c r="B931" s="36" t="str">
        <f aca="false">IF(A931="","",MONTH(A931))</f>
        <v/>
      </c>
      <c r="C931" s="37"/>
      <c r="D931" s="37"/>
      <c r="E931" s="37"/>
      <c r="F931" s="37"/>
      <c r="G931" s="37"/>
      <c r="H931" s="37"/>
    </row>
    <row r="932" customFormat="false" ht="15" hidden="false" customHeight="false" outlineLevel="0" collapsed="false">
      <c r="A932" s="35"/>
      <c r="B932" s="36" t="str">
        <f aca="false">IF(A932="","",MONTH(A932))</f>
        <v/>
      </c>
      <c r="C932" s="37"/>
      <c r="D932" s="37"/>
      <c r="E932" s="37"/>
      <c r="F932" s="37"/>
      <c r="G932" s="37"/>
      <c r="H932" s="37"/>
    </row>
    <row r="933" customFormat="false" ht="15" hidden="false" customHeight="false" outlineLevel="0" collapsed="false">
      <c r="A933" s="35"/>
      <c r="B933" s="36" t="str">
        <f aca="false">IF(A933="","",MONTH(A933))</f>
        <v/>
      </c>
      <c r="C933" s="37"/>
      <c r="D933" s="37"/>
      <c r="E933" s="37"/>
      <c r="F933" s="37"/>
      <c r="G933" s="37"/>
      <c r="H933" s="37"/>
    </row>
    <row r="934" customFormat="false" ht="15" hidden="false" customHeight="false" outlineLevel="0" collapsed="false">
      <c r="A934" s="35"/>
      <c r="B934" s="36" t="str">
        <f aca="false">IF(A934="","",MONTH(A934))</f>
        <v/>
      </c>
      <c r="C934" s="37"/>
      <c r="D934" s="37"/>
      <c r="E934" s="37"/>
      <c r="F934" s="37"/>
      <c r="G934" s="37"/>
      <c r="H934" s="37"/>
    </row>
    <row r="935" customFormat="false" ht="15" hidden="false" customHeight="false" outlineLevel="0" collapsed="false">
      <c r="A935" s="35"/>
      <c r="B935" s="36" t="str">
        <f aca="false">IF(A935="","",MONTH(A935))</f>
        <v/>
      </c>
      <c r="C935" s="37"/>
      <c r="D935" s="37"/>
      <c r="E935" s="37"/>
      <c r="F935" s="37"/>
      <c r="G935" s="37"/>
      <c r="H935" s="37"/>
    </row>
    <row r="936" customFormat="false" ht="15" hidden="false" customHeight="false" outlineLevel="0" collapsed="false">
      <c r="A936" s="35"/>
      <c r="B936" s="36" t="str">
        <f aca="false">IF(A936="","",MONTH(A936))</f>
        <v/>
      </c>
      <c r="C936" s="37"/>
      <c r="D936" s="37"/>
      <c r="E936" s="37"/>
      <c r="F936" s="37"/>
      <c r="G936" s="37"/>
      <c r="H936" s="37"/>
    </row>
    <row r="937" customFormat="false" ht="15" hidden="false" customHeight="false" outlineLevel="0" collapsed="false">
      <c r="A937" s="35"/>
      <c r="B937" s="36" t="str">
        <f aca="false">IF(A937="","",MONTH(A937))</f>
        <v/>
      </c>
      <c r="C937" s="37"/>
      <c r="D937" s="37"/>
      <c r="E937" s="37"/>
      <c r="F937" s="37"/>
      <c r="G937" s="37"/>
      <c r="H937" s="37"/>
    </row>
    <row r="938" customFormat="false" ht="15" hidden="false" customHeight="false" outlineLevel="0" collapsed="false">
      <c r="A938" s="35"/>
      <c r="B938" s="36" t="str">
        <f aca="false">IF(A938="","",MONTH(A938))</f>
        <v/>
      </c>
      <c r="C938" s="37"/>
      <c r="D938" s="37"/>
      <c r="E938" s="37"/>
      <c r="F938" s="37"/>
      <c r="G938" s="37"/>
      <c r="H938" s="37"/>
    </row>
    <row r="939" customFormat="false" ht="15" hidden="false" customHeight="false" outlineLevel="0" collapsed="false">
      <c r="A939" s="35"/>
      <c r="B939" s="36" t="str">
        <f aca="false">IF(A939="","",MONTH(A939))</f>
        <v/>
      </c>
      <c r="C939" s="37"/>
      <c r="D939" s="37"/>
      <c r="E939" s="37"/>
      <c r="F939" s="37"/>
      <c r="G939" s="37"/>
      <c r="H939" s="37"/>
    </row>
    <row r="940" customFormat="false" ht="15" hidden="false" customHeight="false" outlineLevel="0" collapsed="false">
      <c r="A940" s="35"/>
      <c r="B940" s="36" t="str">
        <f aca="false">IF(A940="","",MONTH(A940))</f>
        <v/>
      </c>
      <c r="C940" s="37"/>
      <c r="D940" s="37"/>
      <c r="E940" s="37"/>
      <c r="F940" s="37"/>
      <c r="G940" s="37"/>
      <c r="H940" s="37"/>
    </row>
    <row r="941" customFormat="false" ht="15" hidden="false" customHeight="false" outlineLevel="0" collapsed="false">
      <c r="A941" s="35"/>
      <c r="B941" s="36" t="str">
        <f aca="false">IF(A941="","",MONTH(A941))</f>
        <v/>
      </c>
      <c r="C941" s="37"/>
      <c r="D941" s="37"/>
      <c r="E941" s="37"/>
      <c r="F941" s="37"/>
      <c r="G941" s="37"/>
      <c r="H941" s="37"/>
    </row>
    <row r="942" customFormat="false" ht="15" hidden="false" customHeight="false" outlineLevel="0" collapsed="false">
      <c r="A942" s="35"/>
      <c r="B942" s="36" t="str">
        <f aca="false">IF(A942="","",MONTH(A942))</f>
        <v/>
      </c>
      <c r="C942" s="37"/>
      <c r="D942" s="37"/>
      <c r="E942" s="37"/>
      <c r="F942" s="37"/>
      <c r="G942" s="37"/>
      <c r="H942" s="37"/>
    </row>
    <row r="943" customFormat="false" ht="15" hidden="false" customHeight="false" outlineLevel="0" collapsed="false">
      <c r="A943" s="35"/>
      <c r="B943" s="36" t="str">
        <f aca="false">IF(A943="","",MONTH(A943))</f>
        <v/>
      </c>
      <c r="C943" s="37"/>
      <c r="D943" s="37"/>
      <c r="E943" s="37"/>
      <c r="F943" s="37"/>
      <c r="G943" s="37"/>
      <c r="H943" s="37"/>
    </row>
    <row r="944" customFormat="false" ht="15" hidden="false" customHeight="false" outlineLevel="0" collapsed="false">
      <c r="A944" s="35"/>
      <c r="B944" s="36" t="str">
        <f aca="false">IF(A944="","",MONTH(A944))</f>
        <v/>
      </c>
      <c r="C944" s="37"/>
      <c r="D944" s="37"/>
      <c r="E944" s="37"/>
      <c r="F944" s="37"/>
      <c r="G944" s="37"/>
      <c r="H944" s="37"/>
    </row>
    <row r="945" customFormat="false" ht="15" hidden="false" customHeight="false" outlineLevel="0" collapsed="false">
      <c r="A945" s="35"/>
      <c r="B945" s="36" t="str">
        <f aca="false">IF(A945="","",MONTH(A945))</f>
        <v/>
      </c>
      <c r="C945" s="37"/>
      <c r="D945" s="37"/>
      <c r="E945" s="37"/>
      <c r="F945" s="37"/>
      <c r="G945" s="37"/>
      <c r="H945" s="37"/>
    </row>
    <row r="946" customFormat="false" ht="15" hidden="false" customHeight="false" outlineLevel="0" collapsed="false">
      <c r="A946" s="35"/>
      <c r="B946" s="36" t="str">
        <f aca="false">IF(A946="","",MONTH(A946))</f>
        <v/>
      </c>
      <c r="C946" s="37"/>
      <c r="D946" s="37"/>
      <c r="E946" s="37"/>
      <c r="F946" s="37"/>
      <c r="G946" s="37"/>
      <c r="H946" s="37"/>
    </row>
    <row r="947" customFormat="false" ht="15" hidden="false" customHeight="false" outlineLevel="0" collapsed="false">
      <c r="A947" s="35"/>
      <c r="B947" s="36" t="str">
        <f aca="false">IF(A947="","",MONTH(A947))</f>
        <v/>
      </c>
      <c r="C947" s="37"/>
      <c r="D947" s="37"/>
      <c r="E947" s="37"/>
      <c r="F947" s="37"/>
      <c r="G947" s="37"/>
      <c r="H947" s="37"/>
    </row>
    <row r="948" customFormat="false" ht="15" hidden="false" customHeight="false" outlineLevel="0" collapsed="false">
      <c r="A948" s="35"/>
      <c r="B948" s="36" t="str">
        <f aca="false">IF(A948="","",MONTH(A948))</f>
        <v/>
      </c>
      <c r="C948" s="37"/>
      <c r="D948" s="37"/>
      <c r="E948" s="37"/>
      <c r="F948" s="37"/>
      <c r="G948" s="37"/>
      <c r="H948" s="37"/>
    </row>
    <row r="949" customFormat="false" ht="15" hidden="false" customHeight="false" outlineLevel="0" collapsed="false">
      <c r="A949" s="35"/>
      <c r="B949" s="36" t="str">
        <f aca="false">IF(A949="","",MONTH(A949))</f>
        <v/>
      </c>
      <c r="C949" s="37"/>
      <c r="D949" s="37"/>
      <c r="E949" s="37"/>
      <c r="F949" s="37"/>
      <c r="G949" s="37"/>
      <c r="H949" s="37"/>
    </row>
    <row r="950" customFormat="false" ht="15" hidden="false" customHeight="false" outlineLevel="0" collapsed="false">
      <c r="A950" s="35"/>
      <c r="B950" s="36" t="str">
        <f aca="false">IF(A950="","",MONTH(A950))</f>
        <v/>
      </c>
      <c r="C950" s="37"/>
      <c r="D950" s="37"/>
      <c r="E950" s="37"/>
      <c r="F950" s="37"/>
      <c r="G950" s="37"/>
      <c r="H950" s="37"/>
    </row>
    <row r="951" customFormat="false" ht="15" hidden="false" customHeight="false" outlineLevel="0" collapsed="false">
      <c r="A951" s="35"/>
      <c r="B951" s="36" t="str">
        <f aca="false">IF(A951="","",MONTH(A951))</f>
        <v/>
      </c>
      <c r="C951" s="37"/>
      <c r="D951" s="37"/>
      <c r="E951" s="37"/>
      <c r="F951" s="37"/>
      <c r="G951" s="37"/>
      <c r="H951" s="37"/>
    </row>
    <row r="952" customFormat="false" ht="15" hidden="false" customHeight="false" outlineLevel="0" collapsed="false">
      <c r="A952" s="35"/>
      <c r="B952" s="36" t="str">
        <f aca="false">IF(A952="","",MONTH(A952))</f>
        <v/>
      </c>
      <c r="C952" s="37"/>
      <c r="D952" s="37"/>
      <c r="E952" s="37"/>
      <c r="F952" s="37"/>
      <c r="G952" s="37"/>
      <c r="H952" s="37"/>
    </row>
    <row r="953" customFormat="false" ht="15" hidden="false" customHeight="false" outlineLevel="0" collapsed="false">
      <c r="A953" s="35"/>
      <c r="B953" s="36" t="str">
        <f aca="false">IF(A953="","",MONTH(A953))</f>
        <v/>
      </c>
      <c r="C953" s="37"/>
      <c r="D953" s="37"/>
      <c r="E953" s="37"/>
      <c r="F953" s="37"/>
      <c r="G953" s="37"/>
      <c r="H953" s="37"/>
    </row>
    <row r="954" customFormat="false" ht="15" hidden="false" customHeight="false" outlineLevel="0" collapsed="false">
      <c r="A954" s="35"/>
      <c r="B954" s="36" t="str">
        <f aca="false">IF(A954="","",MONTH(A954))</f>
        <v/>
      </c>
      <c r="C954" s="37"/>
      <c r="D954" s="37"/>
      <c r="E954" s="37"/>
      <c r="F954" s="37"/>
      <c r="G954" s="37"/>
      <c r="H954" s="37"/>
    </row>
    <row r="955" customFormat="false" ht="15" hidden="false" customHeight="false" outlineLevel="0" collapsed="false">
      <c r="A955" s="35"/>
      <c r="B955" s="36" t="str">
        <f aca="false">IF(A955="","",MONTH(A955))</f>
        <v/>
      </c>
      <c r="C955" s="37"/>
      <c r="D955" s="37"/>
      <c r="E955" s="37"/>
      <c r="F955" s="37"/>
      <c r="G955" s="37"/>
      <c r="H955" s="37"/>
    </row>
    <row r="956" customFormat="false" ht="15" hidden="false" customHeight="false" outlineLevel="0" collapsed="false">
      <c r="A956" s="35"/>
      <c r="B956" s="36" t="str">
        <f aca="false">IF(A956="","",MONTH(A956))</f>
        <v/>
      </c>
      <c r="C956" s="37"/>
      <c r="D956" s="37"/>
      <c r="E956" s="37"/>
      <c r="F956" s="37"/>
      <c r="G956" s="37"/>
      <c r="H956" s="37"/>
    </row>
    <row r="957" customFormat="false" ht="15" hidden="false" customHeight="false" outlineLevel="0" collapsed="false">
      <c r="A957" s="35"/>
      <c r="B957" s="36" t="str">
        <f aca="false">IF(A957="","",MONTH(A957))</f>
        <v/>
      </c>
      <c r="C957" s="37"/>
      <c r="D957" s="37"/>
      <c r="E957" s="37"/>
      <c r="F957" s="37"/>
      <c r="G957" s="37"/>
      <c r="H957" s="37"/>
    </row>
    <row r="958" customFormat="false" ht="15" hidden="false" customHeight="false" outlineLevel="0" collapsed="false">
      <c r="A958" s="35"/>
      <c r="B958" s="36" t="str">
        <f aca="false">IF(A958="","",MONTH(A958))</f>
        <v/>
      </c>
      <c r="C958" s="37"/>
      <c r="D958" s="37"/>
      <c r="E958" s="37"/>
      <c r="F958" s="37"/>
      <c r="G958" s="37"/>
      <c r="H958" s="37"/>
    </row>
    <row r="959" customFormat="false" ht="15" hidden="false" customHeight="false" outlineLevel="0" collapsed="false">
      <c r="A959" s="35"/>
      <c r="B959" s="36" t="str">
        <f aca="false">IF(A959="","",MONTH(A959))</f>
        <v/>
      </c>
      <c r="C959" s="37"/>
      <c r="D959" s="37"/>
      <c r="E959" s="37"/>
      <c r="F959" s="37"/>
      <c r="G959" s="37"/>
      <c r="H959" s="37"/>
    </row>
    <row r="960" customFormat="false" ht="15" hidden="false" customHeight="false" outlineLevel="0" collapsed="false">
      <c r="A960" s="35"/>
      <c r="B960" s="36" t="str">
        <f aca="false">IF(A960="","",MONTH(A960))</f>
        <v/>
      </c>
      <c r="C960" s="37"/>
      <c r="D960" s="37"/>
      <c r="E960" s="37"/>
      <c r="F960" s="37"/>
      <c r="G960" s="37"/>
      <c r="H960" s="37"/>
    </row>
    <row r="961" customFormat="false" ht="15" hidden="false" customHeight="false" outlineLevel="0" collapsed="false">
      <c r="A961" s="35"/>
      <c r="B961" s="36" t="str">
        <f aca="false">IF(A961="","",MONTH(A961))</f>
        <v/>
      </c>
      <c r="C961" s="37"/>
      <c r="D961" s="37"/>
      <c r="E961" s="37"/>
      <c r="F961" s="37"/>
      <c r="G961" s="37"/>
      <c r="H961" s="37"/>
    </row>
    <row r="962" customFormat="false" ht="15" hidden="false" customHeight="false" outlineLevel="0" collapsed="false">
      <c r="A962" s="35"/>
      <c r="B962" s="36" t="str">
        <f aca="false">IF(A962="","",MONTH(A962))</f>
        <v/>
      </c>
      <c r="C962" s="37"/>
      <c r="D962" s="37"/>
      <c r="E962" s="37"/>
      <c r="F962" s="37"/>
      <c r="G962" s="37"/>
      <c r="H962" s="37"/>
    </row>
    <row r="963" customFormat="false" ht="15" hidden="false" customHeight="false" outlineLevel="0" collapsed="false">
      <c r="A963" s="35"/>
      <c r="B963" s="36" t="str">
        <f aca="false">IF(A963="","",MONTH(A963))</f>
        <v/>
      </c>
      <c r="C963" s="37"/>
      <c r="D963" s="37"/>
      <c r="E963" s="37"/>
      <c r="F963" s="37"/>
      <c r="G963" s="37"/>
      <c r="H963" s="37"/>
    </row>
    <row r="964" customFormat="false" ht="15" hidden="false" customHeight="false" outlineLevel="0" collapsed="false">
      <c r="A964" s="35"/>
      <c r="B964" s="36" t="str">
        <f aca="false">IF(A964="","",MONTH(A964))</f>
        <v/>
      </c>
      <c r="C964" s="37"/>
      <c r="D964" s="37"/>
      <c r="E964" s="37"/>
      <c r="F964" s="37"/>
      <c r="G964" s="37"/>
      <c r="H964" s="37"/>
    </row>
    <row r="965" customFormat="false" ht="15" hidden="false" customHeight="false" outlineLevel="0" collapsed="false">
      <c r="A965" s="35"/>
      <c r="B965" s="36" t="str">
        <f aca="false">IF(A965="","",MONTH(A965))</f>
        <v/>
      </c>
      <c r="C965" s="37"/>
      <c r="D965" s="37"/>
      <c r="E965" s="37"/>
      <c r="F965" s="37"/>
      <c r="G965" s="37"/>
      <c r="H965" s="37"/>
    </row>
    <row r="966" customFormat="false" ht="15" hidden="false" customHeight="false" outlineLevel="0" collapsed="false">
      <c r="A966" s="35"/>
      <c r="B966" s="36" t="str">
        <f aca="false">IF(A966="","",MONTH(A966))</f>
        <v/>
      </c>
      <c r="C966" s="37"/>
      <c r="D966" s="37"/>
      <c r="E966" s="37"/>
      <c r="F966" s="37"/>
      <c r="G966" s="37"/>
      <c r="H966" s="37"/>
    </row>
    <row r="967" customFormat="false" ht="15" hidden="false" customHeight="false" outlineLevel="0" collapsed="false">
      <c r="A967" s="35"/>
      <c r="B967" s="36" t="str">
        <f aca="false">IF(A967="","",MONTH(A967))</f>
        <v/>
      </c>
      <c r="C967" s="37"/>
      <c r="D967" s="37"/>
      <c r="E967" s="37"/>
      <c r="F967" s="37"/>
      <c r="G967" s="37"/>
      <c r="H967" s="37"/>
    </row>
    <row r="968" customFormat="false" ht="15" hidden="false" customHeight="false" outlineLevel="0" collapsed="false">
      <c r="A968" s="35"/>
      <c r="B968" s="36" t="str">
        <f aca="false">IF(A968="","",MONTH(A968))</f>
        <v/>
      </c>
      <c r="C968" s="37"/>
      <c r="D968" s="37"/>
      <c r="E968" s="37"/>
      <c r="F968" s="37"/>
      <c r="G968" s="37"/>
      <c r="H968" s="37"/>
    </row>
    <row r="969" customFormat="false" ht="15" hidden="false" customHeight="false" outlineLevel="0" collapsed="false">
      <c r="A969" s="35"/>
      <c r="B969" s="36" t="str">
        <f aca="false">IF(A969="","",MONTH(A969))</f>
        <v/>
      </c>
      <c r="C969" s="37"/>
      <c r="D969" s="37"/>
      <c r="E969" s="37"/>
      <c r="F969" s="37"/>
      <c r="G969" s="37"/>
      <c r="H969" s="37"/>
    </row>
    <row r="970" customFormat="false" ht="15" hidden="false" customHeight="false" outlineLevel="0" collapsed="false">
      <c r="A970" s="35"/>
      <c r="B970" s="36" t="str">
        <f aca="false">IF(A970="","",MONTH(A970))</f>
        <v/>
      </c>
      <c r="C970" s="37"/>
      <c r="D970" s="37"/>
      <c r="E970" s="37"/>
      <c r="F970" s="37"/>
      <c r="G970" s="37"/>
      <c r="H970" s="37"/>
    </row>
    <row r="971" customFormat="false" ht="15" hidden="false" customHeight="false" outlineLevel="0" collapsed="false">
      <c r="A971" s="35"/>
      <c r="B971" s="36" t="str">
        <f aca="false">IF(A971="","",MONTH(A971))</f>
        <v/>
      </c>
      <c r="C971" s="37"/>
      <c r="D971" s="37"/>
      <c r="E971" s="37"/>
      <c r="F971" s="37"/>
      <c r="G971" s="37"/>
      <c r="H971" s="37"/>
    </row>
    <row r="972" customFormat="false" ht="15" hidden="false" customHeight="false" outlineLevel="0" collapsed="false">
      <c r="A972" s="35"/>
      <c r="B972" s="36" t="str">
        <f aca="false">IF(A972="","",MONTH(A972))</f>
        <v/>
      </c>
      <c r="C972" s="37"/>
      <c r="D972" s="37"/>
      <c r="E972" s="37"/>
      <c r="F972" s="37"/>
      <c r="G972" s="37"/>
      <c r="H972" s="37"/>
    </row>
    <row r="973" customFormat="false" ht="15" hidden="false" customHeight="false" outlineLevel="0" collapsed="false">
      <c r="A973" s="35"/>
      <c r="B973" s="36" t="str">
        <f aca="false">IF(A973="","",MONTH(A973))</f>
        <v/>
      </c>
      <c r="C973" s="37"/>
      <c r="D973" s="37"/>
      <c r="E973" s="37"/>
      <c r="F973" s="37"/>
      <c r="G973" s="37"/>
      <c r="H973" s="37"/>
    </row>
    <row r="974" customFormat="false" ht="15" hidden="false" customHeight="false" outlineLevel="0" collapsed="false">
      <c r="A974" s="35"/>
      <c r="B974" s="36" t="str">
        <f aca="false">IF(A974="","",MONTH(A974))</f>
        <v/>
      </c>
      <c r="C974" s="37"/>
      <c r="D974" s="37"/>
      <c r="E974" s="37"/>
      <c r="F974" s="37"/>
      <c r="G974" s="37"/>
      <c r="H974" s="37"/>
    </row>
    <row r="975" customFormat="false" ht="15" hidden="false" customHeight="false" outlineLevel="0" collapsed="false">
      <c r="A975" s="35"/>
      <c r="B975" s="36" t="str">
        <f aca="false">IF(A975="","",MONTH(A975))</f>
        <v/>
      </c>
      <c r="C975" s="37"/>
      <c r="D975" s="37"/>
      <c r="E975" s="37"/>
      <c r="F975" s="37"/>
      <c r="G975" s="37"/>
      <c r="H975" s="37"/>
    </row>
    <row r="976" customFormat="false" ht="15" hidden="false" customHeight="false" outlineLevel="0" collapsed="false">
      <c r="A976" s="35"/>
      <c r="B976" s="36" t="str">
        <f aca="false">IF(A976="","",MONTH(A976))</f>
        <v/>
      </c>
      <c r="C976" s="37"/>
      <c r="D976" s="37"/>
      <c r="E976" s="37"/>
      <c r="F976" s="37"/>
      <c r="G976" s="37"/>
      <c r="H976" s="37"/>
    </row>
    <row r="977" customFormat="false" ht="15" hidden="false" customHeight="false" outlineLevel="0" collapsed="false">
      <c r="A977" s="35"/>
      <c r="B977" s="36" t="str">
        <f aca="false">IF(A977="","",MONTH(A977))</f>
        <v/>
      </c>
      <c r="C977" s="37"/>
      <c r="D977" s="37"/>
      <c r="E977" s="37"/>
      <c r="F977" s="37"/>
      <c r="G977" s="37"/>
      <c r="H977" s="37"/>
    </row>
    <row r="978" customFormat="false" ht="15" hidden="false" customHeight="false" outlineLevel="0" collapsed="false">
      <c r="A978" s="35"/>
      <c r="B978" s="36" t="str">
        <f aca="false">IF(A978="","",MONTH(A978))</f>
        <v/>
      </c>
      <c r="C978" s="37"/>
      <c r="D978" s="37"/>
      <c r="E978" s="37"/>
      <c r="F978" s="37"/>
      <c r="G978" s="37"/>
      <c r="H978" s="37"/>
    </row>
    <row r="979" customFormat="false" ht="15" hidden="false" customHeight="false" outlineLevel="0" collapsed="false">
      <c r="A979" s="35"/>
      <c r="B979" s="36" t="str">
        <f aca="false">IF(A979="","",MONTH(A979))</f>
        <v/>
      </c>
      <c r="C979" s="37"/>
      <c r="D979" s="37"/>
      <c r="E979" s="37"/>
      <c r="F979" s="37"/>
      <c r="G979" s="37"/>
      <c r="H979" s="37"/>
    </row>
    <row r="980" customFormat="false" ht="15" hidden="false" customHeight="false" outlineLevel="0" collapsed="false">
      <c r="A980" s="35"/>
      <c r="B980" s="36" t="str">
        <f aca="false">IF(A980="","",MONTH(A980))</f>
        <v/>
      </c>
      <c r="C980" s="37"/>
      <c r="D980" s="37"/>
      <c r="E980" s="37"/>
      <c r="F980" s="37"/>
      <c r="G980" s="37"/>
      <c r="H980" s="37"/>
    </row>
    <row r="981" customFormat="false" ht="15" hidden="false" customHeight="false" outlineLevel="0" collapsed="false">
      <c r="A981" s="35"/>
      <c r="B981" s="36" t="str">
        <f aca="false">IF(A981="","",MONTH(A981))</f>
        <v/>
      </c>
      <c r="C981" s="37"/>
      <c r="D981" s="37"/>
      <c r="E981" s="37"/>
      <c r="F981" s="37"/>
      <c r="G981" s="37"/>
      <c r="H981" s="37"/>
    </row>
    <row r="982" customFormat="false" ht="15" hidden="false" customHeight="false" outlineLevel="0" collapsed="false">
      <c r="A982" s="35"/>
      <c r="B982" s="36" t="str">
        <f aca="false">IF(A982="","",MONTH(A982))</f>
        <v/>
      </c>
      <c r="C982" s="37"/>
      <c r="D982" s="37"/>
      <c r="E982" s="37"/>
      <c r="F982" s="37"/>
      <c r="G982" s="37"/>
      <c r="H982" s="37"/>
    </row>
    <row r="983" customFormat="false" ht="15" hidden="false" customHeight="false" outlineLevel="0" collapsed="false">
      <c r="A983" s="35"/>
      <c r="B983" s="36" t="str">
        <f aca="false">IF(A983="","",MONTH(A983))</f>
        <v/>
      </c>
      <c r="C983" s="37"/>
      <c r="D983" s="37"/>
      <c r="E983" s="37"/>
      <c r="F983" s="37"/>
      <c r="G983" s="37"/>
      <c r="H983" s="37"/>
    </row>
    <row r="984" customFormat="false" ht="15" hidden="false" customHeight="false" outlineLevel="0" collapsed="false">
      <c r="A984" s="35"/>
      <c r="B984" s="36" t="str">
        <f aca="false">IF(A984="","",MONTH(A984))</f>
        <v/>
      </c>
      <c r="C984" s="37"/>
      <c r="D984" s="37"/>
      <c r="E984" s="37"/>
      <c r="F984" s="37"/>
      <c r="G984" s="37"/>
      <c r="H984" s="37"/>
    </row>
    <row r="985" customFormat="false" ht="15" hidden="false" customHeight="false" outlineLevel="0" collapsed="false">
      <c r="A985" s="35"/>
      <c r="B985" s="36" t="str">
        <f aca="false">IF(A985="","",MONTH(A985))</f>
        <v/>
      </c>
      <c r="C985" s="37"/>
      <c r="D985" s="37"/>
      <c r="E985" s="37"/>
      <c r="F985" s="37"/>
      <c r="G985" s="37"/>
      <c r="H985" s="37"/>
    </row>
    <row r="986" customFormat="false" ht="15" hidden="false" customHeight="false" outlineLevel="0" collapsed="false">
      <c r="A986" s="35"/>
      <c r="B986" s="36" t="str">
        <f aca="false">IF(A986="","",MONTH(A986))</f>
        <v/>
      </c>
      <c r="C986" s="37"/>
      <c r="D986" s="37"/>
      <c r="E986" s="37"/>
      <c r="F986" s="37"/>
      <c r="G986" s="37"/>
      <c r="H986" s="37"/>
    </row>
    <row r="987" customFormat="false" ht="15" hidden="false" customHeight="false" outlineLevel="0" collapsed="false">
      <c r="A987" s="35"/>
      <c r="B987" s="36" t="str">
        <f aca="false">IF(A987="","",MONTH(A987))</f>
        <v/>
      </c>
      <c r="C987" s="37"/>
      <c r="D987" s="37"/>
      <c r="E987" s="37"/>
      <c r="F987" s="37"/>
      <c r="G987" s="37"/>
      <c r="H987" s="37"/>
    </row>
    <row r="988" customFormat="false" ht="15" hidden="false" customHeight="false" outlineLevel="0" collapsed="false">
      <c r="A988" s="35"/>
      <c r="B988" s="36" t="str">
        <f aca="false">IF(A988="","",MONTH(A988))</f>
        <v/>
      </c>
      <c r="C988" s="37"/>
      <c r="D988" s="37"/>
      <c r="E988" s="37"/>
      <c r="F988" s="37"/>
      <c r="G988" s="37"/>
      <c r="H988" s="37"/>
    </row>
    <row r="989" customFormat="false" ht="15" hidden="false" customHeight="false" outlineLevel="0" collapsed="false">
      <c r="A989" s="35"/>
      <c r="B989" s="36" t="str">
        <f aca="false">IF(A989="","",MONTH(A989))</f>
        <v/>
      </c>
      <c r="C989" s="37"/>
      <c r="D989" s="37"/>
      <c r="E989" s="37"/>
      <c r="F989" s="37"/>
      <c r="G989" s="37"/>
      <c r="H989" s="37"/>
    </row>
    <row r="990" customFormat="false" ht="15" hidden="false" customHeight="false" outlineLevel="0" collapsed="false">
      <c r="A990" s="35"/>
      <c r="B990" s="36" t="str">
        <f aca="false">IF(A990="","",MONTH(A990))</f>
        <v/>
      </c>
      <c r="C990" s="37"/>
      <c r="D990" s="37"/>
      <c r="E990" s="37"/>
      <c r="F990" s="37"/>
      <c r="G990" s="37"/>
      <c r="H990" s="37"/>
    </row>
    <row r="991" customFormat="false" ht="15" hidden="false" customHeight="false" outlineLevel="0" collapsed="false">
      <c r="A991" s="35"/>
      <c r="B991" s="36" t="str">
        <f aca="false">IF(A991="","",MONTH(A991))</f>
        <v/>
      </c>
      <c r="C991" s="37"/>
      <c r="D991" s="37"/>
      <c r="E991" s="37"/>
      <c r="F991" s="37"/>
      <c r="G991" s="37"/>
      <c r="H991" s="37"/>
    </row>
    <row r="992" customFormat="false" ht="15" hidden="false" customHeight="false" outlineLevel="0" collapsed="false">
      <c r="A992" s="35"/>
      <c r="B992" s="36" t="str">
        <f aca="false">IF(A992="","",MONTH(A992))</f>
        <v/>
      </c>
      <c r="C992" s="37"/>
      <c r="D992" s="37"/>
      <c r="E992" s="37"/>
      <c r="F992" s="37"/>
      <c r="G992" s="37"/>
      <c r="H992" s="37"/>
    </row>
    <row r="993" customFormat="false" ht="15" hidden="false" customHeight="false" outlineLevel="0" collapsed="false">
      <c r="A993" s="35"/>
      <c r="B993" s="36" t="str">
        <f aca="false">IF(A993="","",MONTH(A993))</f>
        <v/>
      </c>
      <c r="C993" s="37"/>
      <c r="D993" s="37"/>
      <c r="E993" s="37"/>
      <c r="F993" s="37"/>
      <c r="G993" s="37"/>
      <c r="H993" s="37"/>
    </row>
    <row r="994" customFormat="false" ht="15" hidden="false" customHeight="false" outlineLevel="0" collapsed="false">
      <c r="A994" s="35"/>
      <c r="B994" s="36" t="str">
        <f aca="false">IF(A994="","",MONTH(A994))</f>
        <v/>
      </c>
      <c r="C994" s="37"/>
      <c r="D994" s="37"/>
      <c r="E994" s="37"/>
      <c r="F994" s="37"/>
      <c r="G994" s="37"/>
      <c r="H994" s="37"/>
    </row>
    <row r="995" customFormat="false" ht="15" hidden="false" customHeight="false" outlineLevel="0" collapsed="false">
      <c r="A995" s="35"/>
      <c r="B995" s="36" t="str">
        <f aca="false">IF(A995="","",MONTH(A995))</f>
        <v/>
      </c>
      <c r="C995" s="37"/>
      <c r="D995" s="37"/>
      <c r="E995" s="37"/>
      <c r="F995" s="37"/>
      <c r="G995" s="37"/>
      <c r="H995" s="37"/>
    </row>
    <row r="996" customFormat="false" ht="15" hidden="false" customHeight="false" outlineLevel="0" collapsed="false">
      <c r="A996" s="35"/>
      <c r="B996" s="36" t="str">
        <f aca="false">IF(A996="","",MONTH(A996))</f>
        <v/>
      </c>
      <c r="C996" s="37"/>
      <c r="D996" s="37"/>
      <c r="E996" s="37"/>
      <c r="F996" s="37"/>
      <c r="G996" s="37"/>
      <c r="H996" s="37"/>
    </row>
    <row r="997" customFormat="false" ht="15" hidden="false" customHeight="false" outlineLevel="0" collapsed="false">
      <c r="A997" s="35"/>
      <c r="B997" s="36" t="str">
        <f aca="false">IF(A997="","",MONTH(A997))</f>
        <v/>
      </c>
      <c r="C997" s="37"/>
      <c r="D997" s="37"/>
      <c r="E997" s="37"/>
      <c r="F997" s="37"/>
      <c r="G997" s="37"/>
      <c r="H997" s="37"/>
    </row>
    <row r="998" customFormat="false" ht="15" hidden="false" customHeight="false" outlineLevel="0" collapsed="false">
      <c r="A998" s="35"/>
      <c r="B998" s="36" t="str">
        <f aca="false">IF(A998="","",MONTH(A998))</f>
        <v/>
      </c>
      <c r="C998" s="37"/>
      <c r="D998" s="37"/>
      <c r="E998" s="37"/>
      <c r="F998" s="37"/>
      <c r="G998" s="37"/>
      <c r="H998" s="37"/>
    </row>
    <row r="999" customFormat="false" ht="15" hidden="false" customHeight="false" outlineLevel="0" collapsed="false">
      <c r="A999" s="35"/>
      <c r="B999" s="36" t="str">
        <f aca="false">IF(A999="","",MONTH(A999))</f>
        <v/>
      </c>
      <c r="C999" s="37"/>
      <c r="D999" s="37"/>
      <c r="E999" s="37"/>
      <c r="F999" s="37"/>
      <c r="G999" s="37"/>
      <c r="H999" s="37"/>
    </row>
    <row r="1000" customFormat="false" ht="15" hidden="false" customHeight="false" outlineLevel="0" collapsed="false">
      <c r="A1000" s="35"/>
      <c r="B1000" s="36" t="str">
        <f aca="false">IF(A1000="","",MONTH(A1000))</f>
        <v/>
      </c>
      <c r="C1000" s="37"/>
      <c r="D1000" s="37"/>
      <c r="E1000" s="37"/>
      <c r="F1000" s="37"/>
      <c r="G1000" s="37"/>
      <c r="H1000" s="37"/>
    </row>
    <row r="1001" customFormat="false" ht="15" hidden="false" customHeight="false" outlineLevel="0" collapsed="false">
      <c r="A1001" s="35"/>
      <c r="B1001" s="36" t="str">
        <f aca="false">IF(A1001="","",MONTH(A1001))</f>
        <v/>
      </c>
      <c r="C1001" s="37"/>
      <c r="D1001" s="37"/>
      <c r="E1001" s="37"/>
      <c r="F1001" s="37"/>
      <c r="G1001" s="37"/>
      <c r="H1001" s="37"/>
    </row>
    <row r="1002" customFormat="false" ht="15" hidden="false" customHeight="false" outlineLevel="0" collapsed="false">
      <c r="A1002" s="35"/>
      <c r="B1002" s="36" t="str">
        <f aca="false">IF(A1002="","",MONTH(A1002))</f>
        <v/>
      </c>
      <c r="C1002" s="37"/>
      <c r="D1002" s="37"/>
      <c r="E1002" s="37"/>
      <c r="F1002" s="37"/>
      <c r="G1002" s="37"/>
      <c r="H1002" s="37"/>
    </row>
    <row r="1003" customFormat="false" ht="15" hidden="false" customHeight="false" outlineLevel="0" collapsed="false">
      <c r="A1003" s="35"/>
      <c r="B1003" s="36" t="str">
        <f aca="false">IF(A1003="","",MONTH(A1003))</f>
        <v/>
      </c>
      <c r="C1003" s="37"/>
      <c r="D1003" s="37"/>
      <c r="E1003" s="37"/>
      <c r="F1003" s="37"/>
      <c r="G1003" s="37"/>
      <c r="H1003" s="37"/>
    </row>
    <row r="1004" customFormat="false" ht="15" hidden="false" customHeight="false" outlineLevel="0" collapsed="false">
      <c r="A1004" s="35"/>
      <c r="B1004" s="36" t="str">
        <f aca="false">IF(A1004="","",MONTH(A1004))</f>
        <v/>
      </c>
      <c r="C1004" s="37"/>
      <c r="D1004" s="37"/>
      <c r="E1004" s="37"/>
      <c r="F1004" s="37"/>
      <c r="G1004" s="37"/>
      <c r="H1004" s="37"/>
    </row>
  </sheetData>
  <dataValidations count="2">
    <dataValidation allowBlank="true" errorStyle="stop" operator="between" showDropDown="false" showErrorMessage="false" showInputMessage="false" sqref="C5:C1004" type="list">
      <formula1>'DANH MỤC'!$A$5:$A$48</formula1>
      <formula2>0</formula2>
    </dataValidation>
    <dataValidation allowBlank="true" errorStyle="stop" operator="between" showDropDown="false" showErrorMessage="false" showInputMessage="false" sqref="D5:D1004" type="list">
      <formula1>"1L,5L,18L,Bao"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K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44"/>
    <col collapsed="false" customWidth="true" hidden="false" outlineLevel="0" max="11" min="4" style="0" width="11"/>
  </cols>
  <sheetData>
    <row r="1" customFormat="false" ht="19.7" hidden="false" customHeight="false" outlineLevel="0" collapsed="false">
      <c r="A1" s="22" t="s">
        <v>587</v>
      </c>
    </row>
    <row r="2" customFormat="false" ht="15" hidden="false" customHeight="false" outlineLevel="0" collapsed="false">
      <c r="A2" s="2" t="s">
        <v>588</v>
      </c>
    </row>
    <row r="4" customFormat="false" ht="30" hidden="false" customHeight="true" outlineLevel="0" collapsed="false">
      <c r="A4" s="13" t="s">
        <v>8</v>
      </c>
      <c r="B4" s="13" t="s">
        <v>9</v>
      </c>
      <c r="C4" s="13" t="s">
        <v>10</v>
      </c>
      <c r="D4" s="42" t="n">
        <v>46174</v>
      </c>
      <c r="E4" s="42" t="n">
        <v>46204</v>
      </c>
      <c r="F4" s="42" t="n">
        <v>46235</v>
      </c>
      <c r="G4" s="42" t="n">
        <v>46266</v>
      </c>
      <c r="H4" s="42" t="n">
        <v>46296</v>
      </c>
      <c r="I4" s="42" t="n">
        <v>46327</v>
      </c>
      <c r="J4" s="42" t="n">
        <v>46357</v>
      </c>
      <c r="K4" s="13" t="s">
        <v>589</v>
      </c>
    </row>
    <row r="5" customFormat="false" ht="15" hidden="false" customHeight="false" outlineLevel="0" collapsed="false">
      <c r="A5" s="15" t="str">
        <f aca="false">'TỒN KHO'!C11</f>
        <v>PI04</v>
      </c>
      <c r="B5" s="15" t="str">
        <f aca="false">'TỒN KHO'!E11</f>
        <v>5L</v>
      </c>
      <c r="C5" s="15" t="str">
        <f aca="false">'TỒN KHO'!D11</f>
        <v>Sơn lót nội thất kháng kiềm cao cấp Imperia PI04</v>
      </c>
      <c r="D5" s="43" t="n">
        <f aca="false">SUMIFS('XUẤT KHO'!$E$5:$E$1004,'XUẤT KHO'!$C$5:$C$1004,$A5,'XUẤT KHO'!$D$5:$D$1004,$B5,'XUẤT KHO'!$A$5:$A$1004,"&gt;="&amp;D$4,'XUẤT KHO'!$A$5:$A$1004,"&lt;"&amp;EDATE(D$4,1))</f>
        <v>4</v>
      </c>
      <c r="E5" s="43" t="n">
        <f aca="false">SUMIFS('XUẤT KHO'!$E$5:$E$1004,'XUẤT KHO'!$C$5:$C$1004,$A5,'XUẤT KHO'!$D$5:$D$1004,$B5,'XUẤT KHO'!$A$5:$A$1004,"&gt;="&amp;E$4,'XUẤT KHO'!$A$5:$A$1004,"&lt;"&amp;EDATE(E$4,1))</f>
        <v>0</v>
      </c>
      <c r="F5" s="43" t="n">
        <f aca="false">SUMIFS('XUẤT KHO'!$E$5:$E$1004,'XUẤT KHO'!$C$5:$C$1004,$A5,'XUẤT KHO'!$D$5:$D$1004,$B5,'XUẤT KHO'!$A$5:$A$1004,"&gt;="&amp;F$4,'XUẤT KHO'!$A$5:$A$1004,"&lt;"&amp;EDATE(F$4,1))</f>
        <v>0</v>
      </c>
      <c r="G5" s="43" t="n">
        <f aca="false">SUMIFS('XUẤT KHO'!$E$5:$E$1004,'XUẤT KHO'!$C$5:$C$1004,$A5,'XUẤT KHO'!$D$5:$D$1004,$B5,'XUẤT KHO'!$A$5:$A$1004,"&gt;="&amp;G$4,'XUẤT KHO'!$A$5:$A$1004,"&lt;"&amp;EDATE(G$4,1))</f>
        <v>0</v>
      </c>
      <c r="H5" s="43" t="n">
        <f aca="false">SUMIFS('XUẤT KHO'!$E$5:$E$1004,'XUẤT KHO'!$C$5:$C$1004,$A5,'XUẤT KHO'!$D$5:$D$1004,$B5,'XUẤT KHO'!$A$5:$A$1004,"&gt;="&amp;H$4,'XUẤT KHO'!$A$5:$A$1004,"&lt;"&amp;EDATE(H$4,1))</f>
        <v>0</v>
      </c>
      <c r="I5" s="43" t="n">
        <f aca="false">SUMIFS('XUẤT KHO'!$E$5:$E$1004,'XUẤT KHO'!$C$5:$C$1004,$A5,'XUẤT KHO'!$D$5:$D$1004,$B5,'XUẤT KHO'!$A$5:$A$1004,"&gt;="&amp;I$4,'XUẤT KHO'!$A$5:$A$1004,"&lt;"&amp;EDATE(I$4,1))</f>
        <v>0</v>
      </c>
      <c r="J5" s="43" t="n">
        <f aca="false">SUMIFS('XUẤT KHO'!$E$5:$E$1004,'XUẤT KHO'!$C$5:$C$1004,$A5,'XUẤT KHO'!$D$5:$D$1004,$B5,'XUẤT KHO'!$A$5:$A$1004,"&gt;="&amp;J$4,'XUẤT KHO'!$A$5:$A$1004,"&lt;"&amp;EDATE(J$4,1))</f>
        <v>0</v>
      </c>
      <c r="K5" s="44" t="n">
        <f aca="false">SUM(D5:J5)</f>
        <v>4</v>
      </c>
    </row>
    <row r="6" customFormat="false" ht="15" hidden="false" customHeight="false" outlineLevel="0" collapsed="false">
      <c r="A6" s="15" t="str">
        <f aca="false">'TỒN KHO'!C12</f>
        <v>PI04</v>
      </c>
      <c r="B6" s="15" t="str">
        <f aca="false">'TỒN KHO'!E12</f>
        <v>18L</v>
      </c>
      <c r="C6" s="15" t="str">
        <f aca="false">'TỒN KHO'!D12</f>
        <v>Sơn lót nội thất kháng kiềm cao cấp Imperia PI04</v>
      </c>
      <c r="D6" s="43" t="n">
        <f aca="false">SUMIFS('XUẤT KHO'!$E$5:$E$1004,'XUẤT KHO'!$C$5:$C$1004,$A6,'XUẤT KHO'!$D$5:$D$1004,$B6,'XUẤT KHO'!$A$5:$A$1004,"&gt;="&amp;D$4,'XUẤT KHO'!$A$5:$A$1004,"&lt;"&amp;EDATE(D$4,1))</f>
        <v>43</v>
      </c>
      <c r="E6" s="43" t="n">
        <f aca="false">SUMIFS('XUẤT KHO'!$E$5:$E$1004,'XUẤT KHO'!$C$5:$C$1004,$A6,'XUẤT KHO'!$D$5:$D$1004,$B6,'XUẤT KHO'!$A$5:$A$1004,"&gt;="&amp;E$4,'XUẤT KHO'!$A$5:$A$1004,"&lt;"&amp;EDATE(E$4,1))</f>
        <v>19</v>
      </c>
      <c r="F6" s="43" t="n">
        <f aca="false">SUMIFS('XUẤT KHO'!$E$5:$E$1004,'XUẤT KHO'!$C$5:$C$1004,$A6,'XUẤT KHO'!$D$5:$D$1004,$B6,'XUẤT KHO'!$A$5:$A$1004,"&gt;="&amp;F$4,'XUẤT KHO'!$A$5:$A$1004,"&lt;"&amp;EDATE(F$4,1))</f>
        <v>19</v>
      </c>
      <c r="G6" s="43" t="n">
        <f aca="false">SUMIFS('XUẤT KHO'!$E$5:$E$1004,'XUẤT KHO'!$C$5:$C$1004,$A6,'XUẤT KHO'!$D$5:$D$1004,$B6,'XUẤT KHO'!$A$5:$A$1004,"&gt;="&amp;G$4,'XUẤT KHO'!$A$5:$A$1004,"&lt;"&amp;EDATE(G$4,1))</f>
        <v>12</v>
      </c>
      <c r="H6" s="43" t="n">
        <f aca="false">SUMIFS('XUẤT KHO'!$E$5:$E$1004,'XUẤT KHO'!$C$5:$C$1004,$A6,'XUẤT KHO'!$D$5:$D$1004,$B6,'XUẤT KHO'!$A$5:$A$1004,"&gt;="&amp;H$4,'XUẤT KHO'!$A$5:$A$1004,"&lt;"&amp;EDATE(H$4,1))</f>
        <v>0</v>
      </c>
      <c r="I6" s="43" t="n">
        <f aca="false">SUMIFS('XUẤT KHO'!$E$5:$E$1004,'XUẤT KHO'!$C$5:$C$1004,$A6,'XUẤT KHO'!$D$5:$D$1004,$B6,'XUẤT KHO'!$A$5:$A$1004,"&gt;="&amp;I$4,'XUẤT KHO'!$A$5:$A$1004,"&lt;"&amp;EDATE(I$4,1))</f>
        <v>0</v>
      </c>
      <c r="J6" s="43" t="n">
        <f aca="false">SUMIFS('XUẤT KHO'!$E$5:$E$1004,'XUẤT KHO'!$C$5:$C$1004,$A6,'XUẤT KHO'!$D$5:$D$1004,$B6,'XUẤT KHO'!$A$5:$A$1004,"&gt;="&amp;J$4,'XUẤT KHO'!$A$5:$A$1004,"&lt;"&amp;EDATE(J$4,1))</f>
        <v>0</v>
      </c>
      <c r="K6" s="44" t="n">
        <f aca="false">SUM(D6:J6)</f>
        <v>93</v>
      </c>
    </row>
    <row r="7" customFormat="false" ht="15" hidden="false" customHeight="false" outlineLevel="0" collapsed="false">
      <c r="A7" s="15" t="str">
        <f aca="false">'TỒN KHO'!C13</f>
        <v>PE02</v>
      </c>
      <c r="B7" s="15" t="str">
        <f aca="false">'TỒN KHO'!E13</f>
        <v>5L</v>
      </c>
      <c r="C7" s="15" t="str">
        <f aca="false">'TỒN KHO'!D13</f>
        <v>Sơn lót ngoại thất kháng kiềm cao cấp Imperia PE02</v>
      </c>
      <c r="D7" s="43" t="n">
        <f aca="false">SUMIFS('XUẤT KHO'!$E$5:$E$1004,'XUẤT KHO'!$C$5:$C$1004,$A7,'XUẤT KHO'!$D$5:$D$1004,$B7,'XUẤT KHO'!$A$5:$A$1004,"&gt;="&amp;D$4,'XUẤT KHO'!$A$5:$A$1004,"&lt;"&amp;EDATE(D$4,1))</f>
        <v>0</v>
      </c>
      <c r="E7" s="43" t="n">
        <f aca="false">SUMIFS('XUẤT KHO'!$E$5:$E$1004,'XUẤT KHO'!$C$5:$C$1004,$A7,'XUẤT KHO'!$D$5:$D$1004,$B7,'XUẤT KHO'!$A$5:$A$1004,"&gt;="&amp;E$4,'XUẤT KHO'!$A$5:$A$1004,"&lt;"&amp;EDATE(E$4,1))</f>
        <v>0</v>
      </c>
      <c r="F7" s="43" t="n">
        <f aca="false">SUMIFS('XUẤT KHO'!$E$5:$E$1004,'XUẤT KHO'!$C$5:$C$1004,$A7,'XUẤT KHO'!$D$5:$D$1004,$B7,'XUẤT KHO'!$A$5:$A$1004,"&gt;="&amp;F$4,'XUẤT KHO'!$A$5:$A$1004,"&lt;"&amp;EDATE(F$4,1))</f>
        <v>1</v>
      </c>
      <c r="G7" s="43" t="n">
        <f aca="false">SUMIFS('XUẤT KHO'!$E$5:$E$1004,'XUẤT KHO'!$C$5:$C$1004,$A7,'XUẤT KHO'!$D$5:$D$1004,$B7,'XUẤT KHO'!$A$5:$A$1004,"&gt;="&amp;G$4,'XUẤT KHO'!$A$5:$A$1004,"&lt;"&amp;EDATE(G$4,1))</f>
        <v>3</v>
      </c>
      <c r="H7" s="43" t="n">
        <f aca="false">SUMIFS('XUẤT KHO'!$E$5:$E$1004,'XUẤT KHO'!$C$5:$C$1004,$A7,'XUẤT KHO'!$D$5:$D$1004,$B7,'XUẤT KHO'!$A$5:$A$1004,"&gt;="&amp;H$4,'XUẤT KHO'!$A$5:$A$1004,"&lt;"&amp;EDATE(H$4,1))</f>
        <v>0</v>
      </c>
      <c r="I7" s="43" t="n">
        <f aca="false">SUMIFS('XUẤT KHO'!$E$5:$E$1004,'XUẤT KHO'!$C$5:$C$1004,$A7,'XUẤT KHO'!$D$5:$D$1004,$B7,'XUẤT KHO'!$A$5:$A$1004,"&gt;="&amp;I$4,'XUẤT KHO'!$A$5:$A$1004,"&lt;"&amp;EDATE(I$4,1))</f>
        <v>0</v>
      </c>
      <c r="J7" s="43" t="n">
        <f aca="false">SUMIFS('XUẤT KHO'!$E$5:$E$1004,'XUẤT KHO'!$C$5:$C$1004,$A7,'XUẤT KHO'!$D$5:$D$1004,$B7,'XUẤT KHO'!$A$5:$A$1004,"&gt;="&amp;J$4,'XUẤT KHO'!$A$5:$A$1004,"&lt;"&amp;EDATE(J$4,1))</f>
        <v>0</v>
      </c>
      <c r="K7" s="44" t="n">
        <f aca="false">SUM(D7:J7)</f>
        <v>4</v>
      </c>
    </row>
    <row r="8" customFormat="false" ht="15" hidden="false" customHeight="false" outlineLevel="0" collapsed="false">
      <c r="A8" s="15" t="str">
        <f aca="false">'TỒN KHO'!C14</f>
        <v>PE02</v>
      </c>
      <c r="B8" s="15" t="str">
        <f aca="false">'TỒN KHO'!E14</f>
        <v>18L</v>
      </c>
      <c r="C8" s="15" t="str">
        <f aca="false">'TỒN KHO'!D14</f>
        <v>Sơn lót ngoại thất kháng kiềm cao cấp Imperia PE02</v>
      </c>
      <c r="D8" s="43" t="n">
        <f aca="false">SUMIFS('XUẤT KHO'!$E$5:$E$1004,'XUẤT KHO'!$C$5:$C$1004,$A8,'XUẤT KHO'!$D$5:$D$1004,$B8,'XUẤT KHO'!$A$5:$A$1004,"&gt;="&amp;D$4,'XUẤT KHO'!$A$5:$A$1004,"&lt;"&amp;EDATE(D$4,1))</f>
        <v>13</v>
      </c>
      <c r="E8" s="43" t="n">
        <f aca="false">SUMIFS('XUẤT KHO'!$E$5:$E$1004,'XUẤT KHO'!$C$5:$C$1004,$A8,'XUẤT KHO'!$D$5:$D$1004,$B8,'XUẤT KHO'!$A$5:$A$1004,"&gt;="&amp;E$4,'XUẤT KHO'!$A$5:$A$1004,"&lt;"&amp;EDATE(E$4,1))</f>
        <v>3</v>
      </c>
      <c r="F8" s="43" t="n">
        <f aca="false">SUMIFS('XUẤT KHO'!$E$5:$E$1004,'XUẤT KHO'!$C$5:$C$1004,$A8,'XUẤT KHO'!$D$5:$D$1004,$B8,'XUẤT KHO'!$A$5:$A$1004,"&gt;="&amp;F$4,'XUẤT KHO'!$A$5:$A$1004,"&lt;"&amp;EDATE(F$4,1))</f>
        <v>11</v>
      </c>
      <c r="G8" s="43" t="n">
        <f aca="false">SUMIFS('XUẤT KHO'!$E$5:$E$1004,'XUẤT KHO'!$C$5:$C$1004,$A8,'XUẤT KHO'!$D$5:$D$1004,$B8,'XUẤT KHO'!$A$5:$A$1004,"&gt;="&amp;G$4,'XUẤT KHO'!$A$5:$A$1004,"&lt;"&amp;EDATE(G$4,1))</f>
        <v>4</v>
      </c>
      <c r="H8" s="43" t="n">
        <f aca="false">SUMIFS('XUẤT KHO'!$E$5:$E$1004,'XUẤT KHO'!$C$5:$C$1004,$A8,'XUẤT KHO'!$D$5:$D$1004,$B8,'XUẤT KHO'!$A$5:$A$1004,"&gt;="&amp;H$4,'XUẤT KHO'!$A$5:$A$1004,"&lt;"&amp;EDATE(H$4,1))</f>
        <v>0</v>
      </c>
      <c r="I8" s="43" t="n">
        <f aca="false">SUMIFS('XUẤT KHO'!$E$5:$E$1004,'XUẤT KHO'!$C$5:$C$1004,$A8,'XUẤT KHO'!$D$5:$D$1004,$B8,'XUẤT KHO'!$A$5:$A$1004,"&gt;="&amp;I$4,'XUẤT KHO'!$A$5:$A$1004,"&lt;"&amp;EDATE(I$4,1))</f>
        <v>0</v>
      </c>
      <c r="J8" s="43" t="n">
        <f aca="false">SUMIFS('XUẤT KHO'!$E$5:$E$1004,'XUẤT KHO'!$C$5:$C$1004,$A8,'XUẤT KHO'!$D$5:$D$1004,$B8,'XUẤT KHO'!$A$5:$A$1004,"&gt;="&amp;J$4,'XUẤT KHO'!$A$5:$A$1004,"&lt;"&amp;EDATE(J$4,1))</f>
        <v>0</v>
      </c>
      <c r="K8" s="44" t="n">
        <f aca="false">SUM(D8:J8)</f>
        <v>31</v>
      </c>
    </row>
    <row r="9" customFormat="false" ht="15" hidden="false" customHeight="false" outlineLevel="0" collapsed="false">
      <c r="A9" s="15" t="str">
        <f aca="false">'TỒN KHO'!C15</f>
        <v>SPI03</v>
      </c>
      <c r="B9" s="15" t="str">
        <f aca="false">'TỒN KHO'!E15</f>
        <v>5L</v>
      </c>
      <c r="C9" s="15" t="str">
        <f aca="false">'TỒN KHO'!D15</f>
        <v>Sơn lót nội thất kháng kiềm siêu cao cấp SPI03</v>
      </c>
      <c r="D9" s="43" t="n">
        <f aca="false">SUMIFS('XUẤT KHO'!$E$5:$E$1004,'XUẤT KHO'!$C$5:$C$1004,$A9,'XUẤT KHO'!$D$5:$D$1004,$B9,'XUẤT KHO'!$A$5:$A$1004,"&gt;="&amp;D$4,'XUẤT KHO'!$A$5:$A$1004,"&lt;"&amp;EDATE(D$4,1))</f>
        <v>0</v>
      </c>
      <c r="E9" s="43" t="n">
        <f aca="false">SUMIFS('XUẤT KHO'!$E$5:$E$1004,'XUẤT KHO'!$C$5:$C$1004,$A9,'XUẤT KHO'!$D$5:$D$1004,$B9,'XUẤT KHO'!$A$5:$A$1004,"&gt;="&amp;E$4,'XUẤT KHO'!$A$5:$A$1004,"&lt;"&amp;EDATE(E$4,1))</f>
        <v>0</v>
      </c>
      <c r="F9" s="43" t="n">
        <f aca="false">SUMIFS('XUẤT KHO'!$E$5:$E$1004,'XUẤT KHO'!$C$5:$C$1004,$A9,'XUẤT KHO'!$D$5:$D$1004,$B9,'XUẤT KHO'!$A$5:$A$1004,"&gt;="&amp;F$4,'XUẤT KHO'!$A$5:$A$1004,"&lt;"&amp;EDATE(F$4,1))</f>
        <v>0</v>
      </c>
      <c r="G9" s="43" t="n">
        <f aca="false">SUMIFS('XUẤT KHO'!$E$5:$E$1004,'XUẤT KHO'!$C$5:$C$1004,$A9,'XUẤT KHO'!$D$5:$D$1004,$B9,'XUẤT KHO'!$A$5:$A$1004,"&gt;="&amp;G$4,'XUẤT KHO'!$A$5:$A$1004,"&lt;"&amp;EDATE(G$4,1))</f>
        <v>0</v>
      </c>
      <c r="H9" s="43" t="n">
        <f aca="false">SUMIFS('XUẤT KHO'!$E$5:$E$1004,'XUẤT KHO'!$C$5:$C$1004,$A9,'XUẤT KHO'!$D$5:$D$1004,$B9,'XUẤT KHO'!$A$5:$A$1004,"&gt;="&amp;H$4,'XUẤT KHO'!$A$5:$A$1004,"&lt;"&amp;EDATE(H$4,1))</f>
        <v>0</v>
      </c>
      <c r="I9" s="43" t="n">
        <f aca="false">SUMIFS('XUẤT KHO'!$E$5:$E$1004,'XUẤT KHO'!$C$5:$C$1004,$A9,'XUẤT KHO'!$D$5:$D$1004,$B9,'XUẤT KHO'!$A$5:$A$1004,"&gt;="&amp;I$4,'XUẤT KHO'!$A$5:$A$1004,"&lt;"&amp;EDATE(I$4,1))</f>
        <v>0</v>
      </c>
      <c r="J9" s="43" t="n">
        <f aca="false">SUMIFS('XUẤT KHO'!$E$5:$E$1004,'XUẤT KHO'!$C$5:$C$1004,$A9,'XUẤT KHO'!$D$5:$D$1004,$B9,'XUẤT KHO'!$A$5:$A$1004,"&gt;="&amp;J$4,'XUẤT KHO'!$A$5:$A$1004,"&lt;"&amp;EDATE(J$4,1))</f>
        <v>0</v>
      </c>
      <c r="K9" s="44" t="n">
        <f aca="false">SUM(D9:J9)</f>
        <v>0</v>
      </c>
    </row>
    <row r="10" customFormat="false" ht="15" hidden="false" customHeight="false" outlineLevel="0" collapsed="false">
      <c r="A10" s="15" t="str">
        <f aca="false">'TỒN KHO'!C16</f>
        <v>SPI03</v>
      </c>
      <c r="B10" s="15" t="str">
        <f aca="false">'TỒN KHO'!E16</f>
        <v>18L</v>
      </c>
      <c r="C10" s="15" t="str">
        <f aca="false">'TỒN KHO'!D16</f>
        <v>Sơn lót nội thất kháng kiềm siêu cao cấp SPI03</v>
      </c>
      <c r="D10" s="43" t="n">
        <f aca="false">SUMIFS('XUẤT KHO'!$E$5:$E$1004,'XUẤT KHO'!$C$5:$C$1004,$A10,'XUẤT KHO'!$D$5:$D$1004,$B10,'XUẤT KHO'!$A$5:$A$1004,"&gt;="&amp;D$4,'XUẤT KHO'!$A$5:$A$1004,"&lt;"&amp;EDATE(D$4,1))</f>
        <v>0</v>
      </c>
      <c r="E10" s="43" t="n">
        <f aca="false">SUMIFS('XUẤT KHO'!$E$5:$E$1004,'XUẤT KHO'!$C$5:$C$1004,$A10,'XUẤT KHO'!$D$5:$D$1004,$B10,'XUẤT KHO'!$A$5:$A$1004,"&gt;="&amp;E$4,'XUẤT KHO'!$A$5:$A$1004,"&lt;"&amp;EDATE(E$4,1))</f>
        <v>0</v>
      </c>
      <c r="F10" s="43" t="n">
        <f aca="false">SUMIFS('XUẤT KHO'!$E$5:$E$1004,'XUẤT KHO'!$C$5:$C$1004,$A10,'XUẤT KHO'!$D$5:$D$1004,$B10,'XUẤT KHO'!$A$5:$A$1004,"&gt;="&amp;F$4,'XUẤT KHO'!$A$5:$A$1004,"&lt;"&amp;EDATE(F$4,1))</f>
        <v>0</v>
      </c>
      <c r="G10" s="43" t="n">
        <f aca="false">SUMIFS('XUẤT KHO'!$E$5:$E$1004,'XUẤT KHO'!$C$5:$C$1004,$A10,'XUẤT KHO'!$D$5:$D$1004,$B10,'XUẤT KHO'!$A$5:$A$1004,"&gt;="&amp;G$4,'XUẤT KHO'!$A$5:$A$1004,"&lt;"&amp;EDATE(G$4,1))</f>
        <v>0</v>
      </c>
      <c r="H10" s="43" t="n">
        <f aca="false">SUMIFS('XUẤT KHO'!$E$5:$E$1004,'XUẤT KHO'!$C$5:$C$1004,$A10,'XUẤT KHO'!$D$5:$D$1004,$B10,'XUẤT KHO'!$A$5:$A$1004,"&gt;="&amp;H$4,'XUẤT KHO'!$A$5:$A$1004,"&lt;"&amp;EDATE(H$4,1))</f>
        <v>0</v>
      </c>
      <c r="I10" s="43" t="n">
        <f aca="false">SUMIFS('XUẤT KHO'!$E$5:$E$1004,'XUẤT KHO'!$C$5:$C$1004,$A10,'XUẤT KHO'!$D$5:$D$1004,$B10,'XUẤT KHO'!$A$5:$A$1004,"&gt;="&amp;I$4,'XUẤT KHO'!$A$5:$A$1004,"&lt;"&amp;EDATE(I$4,1))</f>
        <v>0</v>
      </c>
      <c r="J10" s="43" t="n">
        <f aca="false">SUMIFS('XUẤT KHO'!$E$5:$E$1004,'XUẤT KHO'!$C$5:$C$1004,$A10,'XUẤT KHO'!$D$5:$D$1004,$B10,'XUẤT KHO'!$A$5:$A$1004,"&gt;="&amp;J$4,'XUẤT KHO'!$A$5:$A$1004,"&lt;"&amp;EDATE(J$4,1))</f>
        <v>0</v>
      </c>
      <c r="K10" s="44" t="n">
        <f aca="false">SUM(D10:J10)</f>
        <v>0</v>
      </c>
    </row>
    <row r="11" customFormat="false" ht="15" hidden="false" customHeight="false" outlineLevel="0" collapsed="false">
      <c r="A11" s="15" t="str">
        <f aca="false">'TỒN KHO'!C17</f>
        <v>SPE01</v>
      </c>
      <c r="B11" s="15" t="str">
        <f aca="false">'TỒN KHO'!E17</f>
        <v>5L</v>
      </c>
      <c r="C11" s="15" t="str">
        <f aca="false">'TỒN KHO'!D17</f>
        <v>Sơn lót ngoại thất kháng kiềm siêu cao cấp SPE01</v>
      </c>
      <c r="D11" s="43" t="n">
        <f aca="false">SUMIFS('XUẤT KHO'!$E$5:$E$1004,'XUẤT KHO'!$C$5:$C$1004,$A11,'XUẤT KHO'!$D$5:$D$1004,$B11,'XUẤT KHO'!$A$5:$A$1004,"&gt;="&amp;D$4,'XUẤT KHO'!$A$5:$A$1004,"&lt;"&amp;EDATE(D$4,1))</f>
        <v>0</v>
      </c>
      <c r="E11" s="43" t="n">
        <f aca="false">SUMIFS('XUẤT KHO'!$E$5:$E$1004,'XUẤT KHO'!$C$5:$C$1004,$A11,'XUẤT KHO'!$D$5:$D$1004,$B11,'XUẤT KHO'!$A$5:$A$1004,"&gt;="&amp;E$4,'XUẤT KHO'!$A$5:$A$1004,"&lt;"&amp;EDATE(E$4,1))</f>
        <v>0</v>
      </c>
      <c r="F11" s="43" t="n">
        <f aca="false">SUMIFS('XUẤT KHO'!$E$5:$E$1004,'XUẤT KHO'!$C$5:$C$1004,$A11,'XUẤT KHO'!$D$5:$D$1004,$B11,'XUẤT KHO'!$A$5:$A$1004,"&gt;="&amp;F$4,'XUẤT KHO'!$A$5:$A$1004,"&lt;"&amp;EDATE(F$4,1))</f>
        <v>0</v>
      </c>
      <c r="G11" s="43" t="n">
        <f aca="false">SUMIFS('XUẤT KHO'!$E$5:$E$1004,'XUẤT KHO'!$C$5:$C$1004,$A11,'XUẤT KHO'!$D$5:$D$1004,$B11,'XUẤT KHO'!$A$5:$A$1004,"&gt;="&amp;G$4,'XUẤT KHO'!$A$5:$A$1004,"&lt;"&amp;EDATE(G$4,1))</f>
        <v>0</v>
      </c>
      <c r="H11" s="43" t="n">
        <f aca="false">SUMIFS('XUẤT KHO'!$E$5:$E$1004,'XUẤT KHO'!$C$5:$C$1004,$A11,'XUẤT KHO'!$D$5:$D$1004,$B11,'XUẤT KHO'!$A$5:$A$1004,"&gt;="&amp;H$4,'XUẤT KHO'!$A$5:$A$1004,"&lt;"&amp;EDATE(H$4,1))</f>
        <v>0</v>
      </c>
      <c r="I11" s="43" t="n">
        <f aca="false">SUMIFS('XUẤT KHO'!$E$5:$E$1004,'XUẤT KHO'!$C$5:$C$1004,$A11,'XUẤT KHO'!$D$5:$D$1004,$B11,'XUẤT KHO'!$A$5:$A$1004,"&gt;="&amp;I$4,'XUẤT KHO'!$A$5:$A$1004,"&lt;"&amp;EDATE(I$4,1))</f>
        <v>0</v>
      </c>
      <c r="J11" s="43" t="n">
        <f aca="false">SUMIFS('XUẤT KHO'!$E$5:$E$1004,'XUẤT KHO'!$C$5:$C$1004,$A11,'XUẤT KHO'!$D$5:$D$1004,$B11,'XUẤT KHO'!$A$5:$A$1004,"&gt;="&amp;J$4,'XUẤT KHO'!$A$5:$A$1004,"&lt;"&amp;EDATE(J$4,1))</f>
        <v>0</v>
      </c>
      <c r="K11" s="44" t="n">
        <f aca="false">SUM(D11:J11)</f>
        <v>0</v>
      </c>
    </row>
    <row r="12" customFormat="false" ht="15" hidden="false" customHeight="false" outlineLevel="0" collapsed="false">
      <c r="A12" s="15" t="str">
        <f aca="false">'TỒN KHO'!C18</f>
        <v>SPE01</v>
      </c>
      <c r="B12" s="15" t="str">
        <f aca="false">'TỒN KHO'!E18</f>
        <v>18L</v>
      </c>
      <c r="C12" s="15" t="str">
        <f aca="false">'TỒN KHO'!D18</f>
        <v>Sơn lót ngoại thất kháng kiềm siêu cao cấp SPE01</v>
      </c>
      <c r="D12" s="43" t="n">
        <f aca="false">SUMIFS('XUẤT KHO'!$E$5:$E$1004,'XUẤT KHO'!$C$5:$C$1004,$A12,'XUẤT KHO'!$D$5:$D$1004,$B12,'XUẤT KHO'!$A$5:$A$1004,"&gt;="&amp;D$4,'XUẤT KHO'!$A$5:$A$1004,"&lt;"&amp;EDATE(D$4,1))</f>
        <v>0</v>
      </c>
      <c r="E12" s="43" t="n">
        <f aca="false">SUMIFS('XUẤT KHO'!$E$5:$E$1004,'XUẤT KHO'!$C$5:$C$1004,$A12,'XUẤT KHO'!$D$5:$D$1004,$B12,'XUẤT KHO'!$A$5:$A$1004,"&gt;="&amp;E$4,'XUẤT KHO'!$A$5:$A$1004,"&lt;"&amp;EDATE(E$4,1))</f>
        <v>0</v>
      </c>
      <c r="F12" s="43" t="n">
        <f aca="false">SUMIFS('XUẤT KHO'!$E$5:$E$1004,'XUẤT KHO'!$C$5:$C$1004,$A12,'XUẤT KHO'!$D$5:$D$1004,$B12,'XUẤT KHO'!$A$5:$A$1004,"&gt;="&amp;F$4,'XUẤT KHO'!$A$5:$A$1004,"&lt;"&amp;EDATE(F$4,1))</f>
        <v>0</v>
      </c>
      <c r="G12" s="43" t="n">
        <f aca="false">SUMIFS('XUẤT KHO'!$E$5:$E$1004,'XUẤT KHO'!$C$5:$C$1004,$A12,'XUẤT KHO'!$D$5:$D$1004,$B12,'XUẤT KHO'!$A$5:$A$1004,"&gt;="&amp;G$4,'XUẤT KHO'!$A$5:$A$1004,"&lt;"&amp;EDATE(G$4,1))</f>
        <v>0</v>
      </c>
      <c r="H12" s="43" t="n">
        <f aca="false">SUMIFS('XUẤT KHO'!$E$5:$E$1004,'XUẤT KHO'!$C$5:$C$1004,$A12,'XUẤT KHO'!$D$5:$D$1004,$B12,'XUẤT KHO'!$A$5:$A$1004,"&gt;="&amp;H$4,'XUẤT KHO'!$A$5:$A$1004,"&lt;"&amp;EDATE(H$4,1))</f>
        <v>0</v>
      </c>
      <c r="I12" s="43" t="n">
        <f aca="false">SUMIFS('XUẤT KHO'!$E$5:$E$1004,'XUẤT KHO'!$C$5:$C$1004,$A12,'XUẤT KHO'!$D$5:$D$1004,$B12,'XUẤT KHO'!$A$5:$A$1004,"&gt;="&amp;I$4,'XUẤT KHO'!$A$5:$A$1004,"&lt;"&amp;EDATE(I$4,1))</f>
        <v>0</v>
      </c>
      <c r="J12" s="43" t="n">
        <f aca="false">SUMIFS('XUẤT KHO'!$E$5:$E$1004,'XUẤT KHO'!$C$5:$C$1004,$A12,'XUẤT KHO'!$D$5:$D$1004,$B12,'XUẤT KHO'!$A$5:$A$1004,"&gt;="&amp;J$4,'XUẤT KHO'!$A$5:$A$1004,"&lt;"&amp;EDATE(J$4,1))</f>
        <v>0</v>
      </c>
      <c r="K12" s="44" t="n">
        <f aca="false">SUM(D12:J12)</f>
        <v>0</v>
      </c>
    </row>
    <row r="13" customFormat="false" ht="15" hidden="false" customHeight="false" outlineLevel="0" collapsed="false">
      <c r="A13" s="15" t="str">
        <f aca="false">'TỒN KHO'!C19</f>
        <v>IL5</v>
      </c>
      <c r="B13" s="15" t="str">
        <f aca="false">'TỒN KHO'!E19</f>
        <v>5L</v>
      </c>
      <c r="C13" s="15" t="str">
        <f aca="false">'TỒN KHO'!D19</f>
        <v>Sơn lót nội thất kháng kiềm Silver IL5</v>
      </c>
      <c r="D13" s="43" t="n">
        <f aca="false">SUMIFS('XUẤT KHO'!$E$5:$E$1004,'XUẤT KHO'!$C$5:$C$1004,$A13,'XUẤT KHO'!$D$5:$D$1004,$B13,'XUẤT KHO'!$A$5:$A$1004,"&gt;="&amp;D$4,'XUẤT KHO'!$A$5:$A$1004,"&lt;"&amp;EDATE(D$4,1))</f>
        <v>1</v>
      </c>
      <c r="E13" s="43" t="n">
        <f aca="false">SUMIFS('XUẤT KHO'!$E$5:$E$1004,'XUẤT KHO'!$C$5:$C$1004,$A13,'XUẤT KHO'!$D$5:$D$1004,$B13,'XUẤT KHO'!$A$5:$A$1004,"&gt;="&amp;E$4,'XUẤT KHO'!$A$5:$A$1004,"&lt;"&amp;EDATE(E$4,1))</f>
        <v>0</v>
      </c>
      <c r="F13" s="43" t="n">
        <f aca="false">SUMIFS('XUẤT KHO'!$E$5:$E$1004,'XUẤT KHO'!$C$5:$C$1004,$A13,'XUẤT KHO'!$D$5:$D$1004,$B13,'XUẤT KHO'!$A$5:$A$1004,"&gt;="&amp;F$4,'XUẤT KHO'!$A$5:$A$1004,"&lt;"&amp;EDATE(F$4,1))</f>
        <v>0</v>
      </c>
      <c r="G13" s="43" t="n">
        <f aca="false">SUMIFS('XUẤT KHO'!$E$5:$E$1004,'XUẤT KHO'!$C$5:$C$1004,$A13,'XUẤT KHO'!$D$5:$D$1004,$B13,'XUẤT KHO'!$A$5:$A$1004,"&gt;="&amp;G$4,'XUẤT KHO'!$A$5:$A$1004,"&lt;"&amp;EDATE(G$4,1))</f>
        <v>0</v>
      </c>
      <c r="H13" s="43" t="n">
        <f aca="false">SUMIFS('XUẤT KHO'!$E$5:$E$1004,'XUẤT KHO'!$C$5:$C$1004,$A13,'XUẤT KHO'!$D$5:$D$1004,$B13,'XUẤT KHO'!$A$5:$A$1004,"&gt;="&amp;H$4,'XUẤT KHO'!$A$5:$A$1004,"&lt;"&amp;EDATE(H$4,1))</f>
        <v>0</v>
      </c>
      <c r="I13" s="43" t="n">
        <f aca="false">SUMIFS('XUẤT KHO'!$E$5:$E$1004,'XUẤT KHO'!$C$5:$C$1004,$A13,'XUẤT KHO'!$D$5:$D$1004,$B13,'XUẤT KHO'!$A$5:$A$1004,"&gt;="&amp;I$4,'XUẤT KHO'!$A$5:$A$1004,"&lt;"&amp;EDATE(I$4,1))</f>
        <v>0</v>
      </c>
      <c r="J13" s="43" t="n">
        <f aca="false">SUMIFS('XUẤT KHO'!$E$5:$E$1004,'XUẤT KHO'!$C$5:$C$1004,$A13,'XUẤT KHO'!$D$5:$D$1004,$B13,'XUẤT KHO'!$A$5:$A$1004,"&gt;="&amp;J$4,'XUẤT KHO'!$A$5:$A$1004,"&lt;"&amp;EDATE(J$4,1))</f>
        <v>0</v>
      </c>
      <c r="K13" s="44" t="n">
        <f aca="false">SUM(D13:J13)</f>
        <v>1</v>
      </c>
    </row>
    <row r="14" customFormat="false" ht="15" hidden="false" customHeight="false" outlineLevel="0" collapsed="false">
      <c r="A14" s="15" t="str">
        <f aca="false">'TỒN KHO'!C20</f>
        <v>IL5</v>
      </c>
      <c r="B14" s="15" t="str">
        <f aca="false">'TỒN KHO'!E20</f>
        <v>18L</v>
      </c>
      <c r="C14" s="15" t="str">
        <f aca="false">'TỒN KHO'!D20</f>
        <v>Sơn lót nội thất kháng kiềm Silver IL5</v>
      </c>
      <c r="D14" s="43" t="n">
        <f aca="false">SUMIFS('XUẤT KHO'!$E$5:$E$1004,'XUẤT KHO'!$C$5:$C$1004,$A14,'XUẤT KHO'!$D$5:$D$1004,$B14,'XUẤT KHO'!$A$5:$A$1004,"&gt;="&amp;D$4,'XUẤT KHO'!$A$5:$A$1004,"&lt;"&amp;EDATE(D$4,1))</f>
        <v>12</v>
      </c>
      <c r="E14" s="43" t="n">
        <f aca="false">SUMIFS('XUẤT KHO'!$E$5:$E$1004,'XUẤT KHO'!$C$5:$C$1004,$A14,'XUẤT KHO'!$D$5:$D$1004,$B14,'XUẤT KHO'!$A$5:$A$1004,"&gt;="&amp;E$4,'XUẤT KHO'!$A$5:$A$1004,"&lt;"&amp;EDATE(E$4,1))</f>
        <v>8</v>
      </c>
      <c r="F14" s="43" t="n">
        <f aca="false">SUMIFS('XUẤT KHO'!$E$5:$E$1004,'XUẤT KHO'!$C$5:$C$1004,$A14,'XUẤT KHO'!$D$5:$D$1004,$B14,'XUẤT KHO'!$A$5:$A$1004,"&gt;="&amp;F$4,'XUẤT KHO'!$A$5:$A$1004,"&lt;"&amp;EDATE(F$4,1))</f>
        <v>4</v>
      </c>
      <c r="G14" s="43" t="n">
        <f aca="false">SUMIFS('XUẤT KHO'!$E$5:$E$1004,'XUẤT KHO'!$C$5:$C$1004,$A14,'XUẤT KHO'!$D$5:$D$1004,$B14,'XUẤT KHO'!$A$5:$A$1004,"&gt;="&amp;G$4,'XUẤT KHO'!$A$5:$A$1004,"&lt;"&amp;EDATE(G$4,1))</f>
        <v>8</v>
      </c>
      <c r="H14" s="43" t="n">
        <f aca="false">SUMIFS('XUẤT KHO'!$E$5:$E$1004,'XUẤT KHO'!$C$5:$C$1004,$A14,'XUẤT KHO'!$D$5:$D$1004,$B14,'XUẤT KHO'!$A$5:$A$1004,"&gt;="&amp;H$4,'XUẤT KHO'!$A$5:$A$1004,"&lt;"&amp;EDATE(H$4,1))</f>
        <v>0</v>
      </c>
      <c r="I14" s="43" t="n">
        <f aca="false">SUMIFS('XUẤT KHO'!$E$5:$E$1004,'XUẤT KHO'!$C$5:$C$1004,$A14,'XUẤT KHO'!$D$5:$D$1004,$B14,'XUẤT KHO'!$A$5:$A$1004,"&gt;="&amp;I$4,'XUẤT KHO'!$A$5:$A$1004,"&lt;"&amp;EDATE(I$4,1))</f>
        <v>0</v>
      </c>
      <c r="J14" s="43" t="n">
        <f aca="false">SUMIFS('XUẤT KHO'!$E$5:$E$1004,'XUẤT KHO'!$C$5:$C$1004,$A14,'XUẤT KHO'!$D$5:$D$1004,$B14,'XUẤT KHO'!$A$5:$A$1004,"&gt;="&amp;J$4,'XUẤT KHO'!$A$5:$A$1004,"&lt;"&amp;EDATE(J$4,1))</f>
        <v>0</v>
      </c>
      <c r="K14" s="44" t="n">
        <f aca="false">SUM(D14:J14)</f>
        <v>32</v>
      </c>
    </row>
    <row r="15" customFormat="false" ht="15" hidden="false" customHeight="false" outlineLevel="0" collapsed="false">
      <c r="A15" s="15" t="str">
        <f aca="false">'TỒN KHO'!C21</f>
        <v>EL5</v>
      </c>
      <c r="B15" s="15" t="str">
        <f aca="false">'TỒN KHO'!E21</f>
        <v>5L</v>
      </c>
      <c r="C15" s="15" t="str">
        <f aca="false">'TỒN KHO'!D21</f>
        <v>Sơn lót ngoại thất kháng kiềm Silver EL5</v>
      </c>
      <c r="D15" s="43" t="n">
        <f aca="false">SUMIFS('XUẤT KHO'!$E$5:$E$1004,'XUẤT KHO'!$C$5:$C$1004,$A15,'XUẤT KHO'!$D$5:$D$1004,$B15,'XUẤT KHO'!$A$5:$A$1004,"&gt;="&amp;D$4,'XUẤT KHO'!$A$5:$A$1004,"&lt;"&amp;EDATE(D$4,1))</f>
        <v>2</v>
      </c>
      <c r="E15" s="43" t="n">
        <f aca="false">SUMIFS('XUẤT KHO'!$E$5:$E$1004,'XUẤT KHO'!$C$5:$C$1004,$A15,'XUẤT KHO'!$D$5:$D$1004,$B15,'XUẤT KHO'!$A$5:$A$1004,"&gt;="&amp;E$4,'XUẤT KHO'!$A$5:$A$1004,"&lt;"&amp;EDATE(E$4,1))</f>
        <v>0</v>
      </c>
      <c r="F15" s="43" t="n">
        <f aca="false">SUMIFS('XUẤT KHO'!$E$5:$E$1004,'XUẤT KHO'!$C$5:$C$1004,$A15,'XUẤT KHO'!$D$5:$D$1004,$B15,'XUẤT KHO'!$A$5:$A$1004,"&gt;="&amp;F$4,'XUẤT KHO'!$A$5:$A$1004,"&lt;"&amp;EDATE(F$4,1))</f>
        <v>0</v>
      </c>
      <c r="G15" s="43" t="n">
        <f aca="false">SUMIFS('XUẤT KHO'!$E$5:$E$1004,'XUẤT KHO'!$C$5:$C$1004,$A15,'XUẤT KHO'!$D$5:$D$1004,$B15,'XUẤT KHO'!$A$5:$A$1004,"&gt;="&amp;G$4,'XUẤT KHO'!$A$5:$A$1004,"&lt;"&amp;EDATE(G$4,1))</f>
        <v>0</v>
      </c>
      <c r="H15" s="43" t="n">
        <f aca="false">SUMIFS('XUẤT KHO'!$E$5:$E$1004,'XUẤT KHO'!$C$5:$C$1004,$A15,'XUẤT KHO'!$D$5:$D$1004,$B15,'XUẤT KHO'!$A$5:$A$1004,"&gt;="&amp;H$4,'XUẤT KHO'!$A$5:$A$1004,"&lt;"&amp;EDATE(H$4,1))</f>
        <v>0</v>
      </c>
      <c r="I15" s="43" t="n">
        <f aca="false">SUMIFS('XUẤT KHO'!$E$5:$E$1004,'XUẤT KHO'!$C$5:$C$1004,$A15,'XUẤT KHO'!$D$5:$D$1004,$B15,'XUẤT KHO'!$A$5:$A$1004,"&gt;="&amp;I$4,'XUẤT KHO'!$A$5:$A$1004,"&lt;"&amp;EDATE(I$4,1))</f>
        <v>0</v>
      </c>
      <c r="J15" s="43" t="n">
        <f aca="false">SUMIFS('XUẤT KHO'!$E$5:$E$1004,'XUẤT KHO'!$C$5:$C$1004,$A15,'XUẤT KHO'!$D$5:$D$1004,$B15,'XUẤT KHO'!$A$5:$A$1004,"&gt;="&amp;J$4,'XUẤT KHO'!$A$5:$A$1004,"&lt;"&amp;EDATE(J$4,1))</f>
        <v>0</v>
      </c>
      <c r="K15" s="44" t="n">
        <f aca="false">SUM(D15:J15)</f>
        <v>2</v>
      </c>
    </row>
    <row r="16" customFormat="false" ht="15" hidden="false" customHeight="false" outlineLevel="0" collapsed="false">
      <c r="A16" s="15" t="str">
        <f aca="false">'TỒN KHO'!C22</f>
        <v>EL5</v>
      </c>
      <c r="B16" s="15" t="str">
        <f aca="false">'TỒN KHO'!E22</f>
        <v>18L</v>
      </c>
      <c r="C16" s="15" t="str">
        <f aca="false">'TỒN KHO'!D22</f>
        <v>Sơn lót ngoại thất kháng kiềm Silver EL5</v>
      </c>
      <c r="D16" s="43" t="n">
        <f aca="false">SUMIFS('XUẤT KHO'!$E$5:$E$1004,'XUẤT KHO'!$C$5:$C$1004,$A16,'XUẤT KHO'!$D$5:$D$1004,$B16,'XUẤT KHO'!$A$5:$A$1004,"&gt;="&amp;D$4,'XUẤT KHO'!$A$5:$A$1004,"&lt;"&amp;EDATE(D$4,1))</f>
        <v>2</v>
      </c>
      <c r="E16" s="43" t="n">
        <f aca="false">SUMIFS('XUẤT KHO'!$E$5:$E$1004,'XUẤT KHO'!$C$5:$C$1004,$A16,'XUẤT KHO'!$D$5:$D$1004,$B16,'XUẤT KHO'!$A$5:$A$1004,"&gt;="&amp;E$4,'XUẤT KHO'!$A$5:$A$1004,"&lt;"&amp;EDATE(E$4,1))</f>
        <v>4</v>
      </c>
      <c r="F16" s="43" t="n">
        <f aca="false">SUMIFS('XUẤT KHO'!$E$5:$E$1004,'XUẤT KHO'!$C$5:$C$1004,$A16,'XUẤT KHO'!$D$5:$D$1004,$B16,'XUẤT KHO'!$A$5:$A$1004,"&gt;="&amp;F$4,'XUẤT KHO'!$A$5:$A$1004,"&lt;"&amp;EDATE(F$4,1))</f>
        <v>1</v>
      </c>
      <c r="G16" s="43" t="n">
        <f aca="false">SUMIFS('XUẤT KHO'!$E$5:$E$1004,'XUẤT KHO'!$C$5:$C$1004,$A16,'XUẤT KHO'!$D$5:$D$1004,$B16,'XUẤT KHO'!$A$5:$A$1004,"&gt;="&amp;G$4,'XUẤT KHO'!$A$5:$A$1004,"&lt;"&amp;EDATE(G$4,1))</f>
        <v>5</v>
      </c>
      <c r="H16" s="43" t="n">
        <f aca="false">SUMIFS('XUẤT KHO'!$E$5:$E$1004,'XUẤT KHO'!$C$5:$C$1004,$A16,'XUẤT KHO'!$D$5:$D$1004,$B16,'XUẤT KHO'!$A$5:$A$1004,"&gt;="&amp;H$4,'XUẤT KHO'!$A$5:$A$1004,"&lt;"&amp;EDATE(H$4,1))</f>
        <v>0</v>
      </c>
      <c r="I16" s="43" t="n">
        <f aca="false">SUMIFS('XUẤT KHO'!$E$5:$E$1004,'XUẤT KHO'!$C$5:$C$1004,$A16,'XUẤT KHO'!$D$5:$D$1004,$B16,'XUẤT KHO'!$A$5:$A$1004,"&gt;="&amp;I$4,'XUẤT KHO'!$A$5:$A$1004,"&lt;"&amp;EDATE(I$4,1))</f>
        <v>0</v>
      </c>
      <c r="J16" s="43" t="n">
        <f aca="false">SUMIFS('XUẤT KHO'!$E$5:$E$1004,'XUẤT KHO'!$C$5:$C$1004,$A16,'XUẤT KHO'!$D$5:$D$1004,$B16,'XUẤT KHO'!$A$5:$A$1004,"&gt;="&amp;J$4,'XUẤT KHO'!$A$5:$A$1004,"&lt;"&amp;EDATE(J$4,1))</f>
        <v>0</v>
      </c>
      <c r="K16" s="44" t="n">
        <f aca="false">SUM(D16:J16)</f>
        <v>12</v>
      </c>
    </row>
    <row r="17" customFormat="false" ht="15" hidden="false" customHeight="false" outlineLevel="0" collapsed="false">
      <c r="A17" s="15" t="str">
        <f aca="false">'TỒN KHO'!C23</f>
        <v>IEW</v>
      </c>
      <c r="B17" s="15" t="str">
        <f aca="false">'TỒN KHO'!E23</f>
        <v>5L</v>
      </c>
      <c r="C17" s="15" t="str">
        <f aca="false">'TỒN KHO'!D23</f>
        <v>Sơn nội thất siêu trắng Imperia IEW</v>
      </c>
      <c r="D17" s="43" t="n">
        <f aca="false">SUMIFS('XUẤT KHO'!$E$5:$E$1004,'XUẤT KHO'!$C$5:$C$1004,$A17,'XUẤT KHO'!$D$5:$D$1004,$B17,'XUẤT KHO'!$A$5:$A$1004,"&gt;="&amp;D$4,'XUẤT KHO'!$A$5:$A$1004,"&lt;"&amp;EDATE(D$4,1))</f>
        <v>0</v>
      </c>
      <c r="E17" s="43" t="n">
        <f aca="false">SUMIFS('XUẤT KHO'!$E$5:$E$1004,'XUẤT KHO'!$C$5:$C$1004,$A17,'XUẤT KHO'!$D$5:$D$1004,$B17,'XUẤT KHO'!$A$5:$A$1004,"&gt;="&amp;E$4,'XUẤT KHO'!$A$5:$A$1004,"&lt;"&amp;EDATE(E$4,1))</f>
        <v>3</v>
      </c>
      <c r="F17" s="43" t="n">
        <f aca="false">SUMIFS('XUẤT KHO'!$E$5:$E$1004,'XUẤT KHO'!$C$5:$C$1004,$A17,'XUẤT KHO'!$D$5:$D$1004,$B17,'XUẤT KHO'!$A$5:$A$1004,"&gt;="&amp;F$4,'XUẤT KHO'!$A$5:$A$1004,"&lt;"&amp;EDATE(F$4,1))</f>
        <v>0</v>
      </c>
      <c r="G17" s="43" t="n">
        <f aca="false">SUMIFS('XUẤT KHO'!$E$5:$E$1004,'XUẤT KHO'!$C$5:$C$1004,$A17,'XUẤT KHO'!$D$5:$D$1004,$B17,'XUẤT KHO'!$A$5:$A$1004,"&gt;="&amp;G$4,'XUẤT KHO'!$A$5:$A$1004,"&lt;"&amp;EDATE(G$4,1))</f>
        <v>1</v>
      </c>
      <c r="H17" s="43" t="n">
        <f aca="false">SUMIFS('XUẤT KHO'!$E$5:$E$1004,'XUẤT KHO'!$C$5:$C$1004,$A17,'XUẤT KHO'!$D$5:$D$1004,$B17,'XUẤT KHO'!$A$5:$A$1004,"&gt;="&amp;H$4,'XUẤT KHO'!$A$5:$A$1004,"&lt;"&amp;EDATE(H$4,1))</f>
        <v>0</v>
      </c>
      <c r="I17" s="43" t="n">
        <f aca="false">SUMIFS('XUẤT KHO'!$E$5:$E$1004,'XUẤT KHO'!$C$5:$C$1004,$A17,'XUẤT KHO'!$D$5:$D$1004,$B17,'XUẤT KHO'!$A$5:$A$1004,"&gt;="&amp;I$4,'XUẤT KHO'!$A$5:$A$1004,"&lt;"&amp;EDATE(I$4,1))</f>
        <v>0</v>
      </c>
      <c r="J17" s="43" t="n">
        <f aca="false">SUMIFS('XUẤT KHO'!$E$5:$E$1004,'XUẤT KHO'!$C$5:$C$1004,$A17,'XUẤT KHO'!$D$5:$D$1004,$B17,'XUẤT KHO'!$A$5:$A$1004,"&gt;="&amp;J$4,'XUẤT KHO'!$A$5:$A$1004,"&lt;"&amp;EDATE(J$4,1))</f>
        <v>0</v>
      </c>
      <c r="K17" s="44" t="n">
        <f aca="false">SUM(D17:J17)</f>
        <v>4</v>
      </c>
    </row>
    <row r="18" customFormat="false" ht="15" hidden="false" customHeight="false" outlineLevel="0" collapsed="false">
      <c r="A18" s="15" t="str">
        <f aca="false">'TỒN KHO'!C24</f>
        <v>IEW</v>
      </c>
      <c r="B18" s="15" t="str">
        <f aca="false">'TỒN KHO'!E24</f>
        <v>18L</v>
      </c>
      <c r="C18" s="15" t="str">
        <f aca="false">'TỒN KHO'!D24</f>
        <v>Sơn nội thất siêu trắng Imperia IEW</v>
      </c>
      <c r="D18" s="43" t="n">
        <f aca="false">SUMIFS('XUẤT KHO'!$E$5:$E$1004,'XUẤT KHO'!$C$5:$C$1004,$A18,'XUẤT KHO'!$D$5:$D$1004,$B18,'XUẤT KHO'!$A$5:$A$1004,"&gt;="&amp;D$4,'XUẤT KHO'!$A$5:$A$1004,"&lt;"&amp;EDATE(D$4,1))</f>
        <v>11</v>
      </c>
      <c r="E18" s="43" t="n">
        <f aca="false">SUMIFS('XUẤT KHO'!$E$5:$E$1004,'XUẤT KHO'!$C$5:$C$1004,$A18,'XUẤT KHO'!$D$5:$D$1004,$B18,'XUẤT KHO'!$A$5:$A$1004,"&gt;="&amp;E$4,'XUẤT KHO'!$A$5:$A$1004,"&lt;"&amp;EDATE(E$4,1))</f>
        <v>2</v>
      </c>
      <c r="F18" s="43" t="n">
        <f aca="false">SUMIFS('XUẤT KHO'!$E$5:$E$1004,'XUẤT KHO'!$C$5:$C$1004,$A18,'XUẤT KHO'!$D$5:$D$1004,$B18,'XUẤT KHO'!$A$5:$A$1004,"&gt;="&amp;F$4,'XUẤT KHO'!$A$5:$A$1004,"&lt;"&amp;EDATE(F$4,1))</f>
        <v>9</v>
      </c>
      <c r="G18" s="43" t="n">
        <f aca="false">SUMIFS('XUẤT KHO'!$E$5:$E$1004,'XUẤT KHO'!$C$5:$C$1004,$A18,'XUẤT KHO'!$D$5:$D$1004,$B18,'XUẤT KHO'!$A$5:$A$1004,"&gt;="&amp;G$4,'XUẤT KHO'!$A$5:$A$1004,"&lt;"&amp;EDATE(G$4,1))</f>
        <v>9</v>
      </c>
      <c r="H18" s="43" t="n">
        <f aca="false">SUMIFS('XUẤT KHO'!$E$5:$E$1004,'XUẤT KHO'!$C$5:$C$1004,$A18,'XUẤT KHO'!$D$5:$D$1004,$B18,'XUẤT KHO'!$A$5:$A$1004,"&gt;="&amp;H$4,'XUẤT KHO'!$A$5:$A$1004,"&lt;"&amp;EDATE(H$4,1))</f>
        <v>0</v>
      </c>
      <c r="I18" s="43" t="n">
        <f aca="false">SUMIFS('XUẤT KHO'!$E$5:$E$1004,'XUẤT KHO'!$C$5:$C$1004,$A18,'XUẤT KHO'!$D$5:$D$1004,$B18,'XUẤT KHO'!$A$5:$A$1004,"&gt;="&amp;I$4,'XUẤT KHO'!$A$5:$A$1004,"&lt;"&amp;EDATE(I$4,1))</f>
        <v>0</v>
      </c>
      <c r="J18" s="43" t="n">
        <f aca="false">SUMIFS('XUẤT KHO'!$E$5:$E$1004,'XUẤT KHO'!$C$5:$C$1004,$A18,'XUẤT KHO'!$D$5:$D$1004,$B18,'XUẤT KHO'!$A$5:$A$1004,"&gt;="&amp;J$4,'XUẤT KHO'!$A$5:$A$1004,"&lt;"&amp;EDATE(J$4,1))</f>
        <v>0</v>
      </c>
      <c r="K18" s="44" t="n">
        <f aca="false">SUM(D18:J18)</f>
        <v>31</v>
      </c>
    </row>
    <row r="19" customFormat="false" ht="15" hidden="false" customHeight="false" outlineLevel="0" collapsed="false">
      <c r="A19" s="15" t="str">
        <f aca="false">'TỒN KHO'!C25</f>
        <v>ISI</v>
      </c>
      <c r="B19" s="15" t="str">
        <f aca="false">'TỒN KHO'!E25</f>
        <v>5L</v>
      </c>
      <c r="C19" s="15" t="str">
        <f aca="false">'TỒN KHO'!D25</f>
        <v>Sơn nội thất bền màu Silver ISI</v>
      </c>
      <c r="D19" s="43" t="n">
        <f aca="false">SUMIFS('XUẤT KHO'!$E$5:$E$1004,'XUẤT KHO'!$C$5:$C$1004,$A19,'XUẤT KHO'!$D$5:$D$1004,$B19,'XUẤT KHO'!$A$5:$A$1004,"&gt;="&amp;D$4,'XUẤT KHO'!$A$5:$A$1004,"&lt;"&amp;EDATE(D$4,1))</f>
        <v>0</v>
      </c>
      <c r="E19" s="43" t="n">
        <f aca="false">SUMIFS('XUẤT KHO'!$E$5:$E$1004,'XUẤT KHO'!$C$5:$C$1004,$A19,'XUẤT KHO'!$D$5:$D$1004,$B19,'XUẤT KHO'!$A$5:$A$1004,"&gt;="&amp;E$4,'XUẤT KHO'!$A$5:$A$1004,"&lt;"&amp;EDATE(E$4,1))</f>
        <v>0</v>
      </c>
      <c r="F19" s="43" t="n">
        <f aca="false">SUMIFS('XUẤT KHO'!$E$5:$E$1004,'XUẤT KHO'!$C$5:$C$1004,$A19,'XUẤT KHO'!$D$5:$D$1004,$B19,'XUẤT KHO'!$A$5:$A$1004,"&gt;="&amp;F$4,'XUẤT KHO'!$A$5:$A$1004,"&lt;"&amp;EDATE(F$4,1))</f>
        <v>1</v>
      </c>
      <c r="G19" s="43" t="n">
        <f aca="false">SUMIFS('XUẤT KHO'!$E$5:$E$1004,'XUẤT KHO'!$C$5:$C$1004,$A19,'XUẤT KHO'!$D$5:$D$1004,$B19,'XUẤT KHO'!$A$5:$A$1004,"&gt;="&amp;G$4,'XUẤT KHO'!$A$5:$A$1004,"&lt;"&amp;EDATE(G$4,1))</f>
        <v>2</v>
      </c>
      <c r="H19" s="43" t="n">
        <f aca="false">SUMIFS('XUẤT KHO'!$E$5:$E$1004,'XUẤT KHO'!$C$5:$C$1004,$A19,'XUẤT KHO'!$D$5:$D$1004,$B19,'XUẤT KHO'!$A$5:$A$1004,"&gt;="&amp;H$4,'XUẤT KHO'!$A$5:$A$1004,"&lt;"&amp;EDATE(H$4,1))</f>
        <v>0</v>
      </c>
      <c r="I19" s="43" t="n">
        <f aca="false">SUMIFS('XUẤT KHO'!$E$5:$E$1004,'XUẤT KHO'!$C$5:$C$1004,$A19,'XUẤT KHO'!$D$5:$D$1004,$B19,'XUẤT KHO'!$A$5:$A$1004,"&gt;="&amp;I$4,'XUẤT KHO'!$A$5:$A$1004,"&lt;"&amp;EDATE(I$4,1))</f>
        <v>0</v>
      </c>
      <c r="J19" s="43" t="n">
        <f aca="false">SUMIFS('XUẤT KHO'!$E$5:$E$1004,'XUẤT KHO'!$C$5:$C$1004,$A19,'XUẤT KHO'!$D$5:$D$1004,$B19,'XUẤT KHO'!$A$5:$A$1004,"&gt;="&amp;J$4,'XUẤT KHO'!$A$5:$A$1004,"&lt;"&amp;EDATE(J$4,1))</f>
        <v>0</v>
      </c>
      <c r="K19" s="44" t="n">
        <f aca="false">SUM(D19:J19)</f>
        <v>3</v>
      </c>
    </row>
    <row r="20" customFormat="false" ht="15" hidden="false" customHeight="false" outlineLevel="0" collapsed="false">
      <c r="A20" s="15" t="str">
        <f aca="false">'TỒN KHO'!C26</f>
        <v>ISI</v>
      </c>
      <c r="B20" s="15" t="str">
        <f aca="false">'TỒN KHO'!E26</f>
        <v>18L</v>
      </c>
      <c r="C20" s="15" t="str">
        <f aca="false">'TỒN KHO'!D26</f>
        <v>Sơn nội thất bền màu Silver ISI</v>
      </c>
      <c r="D20" s="43" t="n">
        <f aca="false">SUMIFS('XUẤT KHO'!$E$5:$E$1004,'XUẤT KHO'!$C$5:$C$1004,$A20,'XUẤT KHO'!$D$5:$D$1004,$B20,'XUẤT KHO'!$A$5:$A$1004,"&gt;="&amp;D$4,'XUẤT KHO'!$A$5:$A$1004,"&lt;"&amp;EDATE(D$4,1))</f>
        <v>8</v>
      </c>
      <c r="E20" s="43" t="n">
        <f aca="false">SUMIFS('XUẤT KHO'!$E$5:$E$1004,'XUẤT KHO'!$C$5:$C$1004,$A20,'XUẤT KHO'!$D$5:$D$1004,$B20,'XUẤT KHO'!$A$5:$A$1004,"&gt;="&amp;E$4,'XUẤT KHO'!$A$5:$A$1004,"&lt;"&amp;EDATE(E$4,1))</f>
        <v>3</v>
      </c>
      <c r="F20" s="43" t="n">
        <f aca="false">SUMIFS('XUẤT KHO'!$E$5:$E$1004,'XUẤT KHO'!$C$5:$C$1004,$A20,'XUẤT KHO'!$D$5:$D$1004,$B20,'XUẤT KHO'!$A$5:$A$1004,"&gt;="&amp;F$4,'XUẤT KHO'!$A$5:$A$1004,"&lt;"&amp;EDATE(F$4,1))</f>
        <v>0</v>
      </c>
      <c r="G20" s="43" t="n">
        <f aca="false">SUMIFS('XUẤT KHO'!$E$5:$E$1004,'XUẤT KHO'!$C$5:$C$1004,$A20,'XUẤT KHO'!$D$5:$D$1004,$B20,'XUẤT KHO'!$A$5:$A$1004,"&gt;="&amp;G$4,'XUẤT KHO'!$A$5:$A$1004,"&lt;"&amp;EDATE(G$4,1))</f>
        <v>1</v>
      </c>
      <c r="H20" s="43" t="n">
        <f aca="false">SUMIFS('XUẤT KHO'!$E$5:$E$1004,'XUẤT KHO'!$C$5:$C$1004,$A20,'XUẤT KHO'!$D$5:$D$1004,$B20,'XUẤT KHO'!$A$5:$A$1004,"&gt;="&amp;H$4,'XUẤT KHO'!$A$5:$A$1004,"&lt;"&amp;EDATE(H$4,1))</f>
        <v>0</v>
      </c>
      <c r="I20" s="43" t="n">
        <f aca="false">SUMIFS('XUẤT KHO'!$E$5:$E$1004,'XUẤT KHO'!$C$5:$C$1004,$A20,'XUẤT KHO'!$D$5:$D$1004,$B20,'XUẤT KHO'!$A$5:$A$1004,"&gt;="&amp;I$4,'XUẤT KHO'!$A$5:$A$1004,"&lt;"&amp;EDATE(I$4,1))</f>
        <v>0</v>
      </c>
      <c r="J20" s="43" t="n">
        <f aca="false">SUMIFS('XUẤT KHO'!$E$5:$E$1004,'XUẤT KHO'!$C$5:$C$1004,$A20,'XUẤT KHO'!$D$5:$D$1004,$B20,'XUẤT KHO'!$A$5:$A$1004,"&gt;="&amp;J$4,'XUẤT KHO'!$A$5:$A$1004,"&lt;"&amp;EDATE(J$4,1))</f>
        <v>0</v>
      </c>
      <c r="K20" s="44" t="n">
        <f aca="false">SUM(D20:J20)</f>
        <v>12</v>
      </c>
    </row>
    <row r="21" customFormat="false" ht="15" hidden="false" customHeight="false" outlineLevel="0" collapsed="false">
      <c r="A21" s="15" t="str">
        <f aca="false">'TỒN KHO'!C27</f>
        <v>ISG06</v>
      </c>
      <c r="B21" s="15" t="str">
        <f aca="false">'TỒN KHO'!E27</f>
        <v>5L</v>
      </c>
      <c r="C21" s="15" t="str">
        <f aca="false">'TỒN KHO'!D27</f>
        <v>Sơn nội thất cao cấp bóng mờ Imperia ISG06</v>
      </c>
      <c r="D21" s="43" t="n">
        <f aca="false">SUMIFS('XUẤT KHO'!$E$5:$E$1004,'XUẤT KHO'!$C$5:$C$1004,$A21,'XUẤT KHO'!$D$5:$D$1004,$B21,'XUẤT KHO'!$A$5:$A$1004,"&gt;="&amp;D$4,'XUẤT KHO'!$A$5:$A$1004,"&lt;"&amp;EDATE(D$4,1))</f>
        <v>13</v>
      </c>
      <c r="E21" s="43" t="n">
        <f aca="false">SUMIFS('XUẤT KHO'!$E$5:$E$1004,'XUẤT KHO'!$C$5:$C$1004,$A21,'XUẤT KHO'!$D$5:$D$1004,$B21,'XUẤT KHO'!$A$5:$A$1004,"&gt;="&amp;E$4,'XUẤT KHO'!$A$5:$A$1004,"&lt;"&amp;EDATE(E$4,1))</f>
        <v>5</v>
      </c>
      <c r="F21" s="43" t="n">
        <f aca="false">SUMIFS('XUẤT KHO'!$E$5:$E$1004,'XUẤT KHO'!$C$5:$C$1004,$A21,'XUẤT KHO'!$D$5:$D$1004,$B21,'XUẤT KHO'!$A$5:$A$1004,"&gt;="&amp;F$4,'XUẤT KHO'!$A$5:$A$1004,"&lt;"&amp;EDATE(F$4,1))</f>
        <v>0</v>
      </c>
      <c r="G21" s="43" t="n">
        <f aca="false">SUMIFS('XUẤT KHO'!$E$5:$E$1004,'XUẤT KHO'!$C$5:$C$1004,$A21,'XUẤT KHO'!$D$5:$D$1004,$B21,'XUẤT KHO'!$A$5:$A$1004,"&gt;="&amp;G$4,'XUẤT KHO'!$A$5:$A$1004,"&lt;"&amp;EDATE(G$4,1))</f>
        <v>5</v>
      </c>
      <c r="H21" s="43" t="n">
        <f aca="false">SUMIFS('XUẤT KHO'!$E$5:$E$1004,'XUẤT KHO'!$C$5:$C$1004,$A21,'XUẤT KHO'!$D$5:$D$1004,$B21,'XUẤT KHO'!$A$5:$A$1004,"&gt;="&amp;H$4,'XUẤT KHO'!$A$5:$A$1004,"&lt;"&amp;EDATE(H$4,1))</f>
        <v>0</v>
      </c>
      <c r="I21" s="43" t="n">
        <f aca="false">SUMIFS('XUẤT KHO'!$E$5:$E$1004,'XUẤT KHO'!$C$5:$C$1004,$A21,'XUẤT KHO'!$D$5:$D$1004,$B21,'XUẤT KHO'!$A$5:$A$1004,"&gt;="&amp;I$4,'XUẤT KHO'!$A$5:$A$1004,"&lt;"&amp;EDATE(I$4,1))</f>
        <v>0</v>
      </c>
      <c r="J21" s="43" t="n">
        <f aca="false">SUMIFS('XUẤT KHO'!$E$5:$E$1004,'XUẤT KHO'!$C$5:$C$1004,$A21,'XUẤT KHO'!$D$5:$D$1004,$B21,'XUẤT KHO'!$A$5:$A$1004,"&gt;="&amp;J$4,'XUẤT KHO'!$A$5:$A$1004,"&lt;"&amp;EDATE(J$4,1))</f>
        <v>0</v>
      </c>
      <c r="K21" s="44" t="n">
        <f aca="false">SUM(D21:J21)</f>
        <v>23</v>
      </c>
    </row>
    <row r="22" customFormat="false" ht="15" hidden="false" customHeight="false" outlineLevel="0" collapsed="false">
      <c r="A22" s="15" t="str">
        <f aca="false">'TỒN KHO'!C28</f>
        <v>ISG06</v>
      </c>
      <c r="B22" s="15" t="str">
        <f aca="false">'TỒN KHO'!E28</f>
        <v>18L</v>
      </c>
      <c r="C22" s="15" t="str">
        <f aca="false">'TỒN KHO'!D28</f>
        <v>Sơn nội thất cao cấp bóng mờ Imperia ISG06</v>
      </c>
      <c r="D22" s="43" t="n">
        <f aca="false">SUMIFS('XUẤT KHO'!$E$5:$E$1004,'XUẤT KHO'!$C$5:$C$1004,$A22,'XUẤT KHO'!$D$5:$D$1004,$B22,'XUẤT KHO'!$A$5:$A$1004,"&gt;="&amp;D$4,'XUẤT KHO'!$A$5:$A$1004,"&lt;"&amp;EDATE(D$4,1))</f>
        <v>11</v>
      </c>
      <c r="E22" s="43" t="n">
        <f aca="false">SUMIFS('XUẤT KHO'!$E$5:$E$1004,'XUẤT KHO'!$C$5:$C$1004,$A22,'XUẤT KHO'!$D$5:$D$1004,$B22,'XUẤT KHO'!$A$5:$A$1004,"&gt;="&amp;E$4,'XUẤT KHO'!$A$5:$A$1004,"&lt;"&amp;EDATE(E$4,1))</f>
        <v>9</v>
      </c>
      <c r="F22" s="43" t="n">
        <f aca="false">SUMIFS('XUẤT KHO'!$E$5:$E$1004,'XUẤT KHO'!$C$5:$C$1004,$A22,'XUẤT KHO'!$D$5:$D$1004,$B22,'XUẤT KHO'!$A$5:$A$1004,"&gt;="&amp;F$4,'XUẤT KHO'!$A$5:$A$1004,"&lt;"&amp;EDATE(F$4,1))</f>
        <v>0</v>
      </c>
      <c r="G22" s="43" t="n">
        <f aca="false">SUMIFS('XUẤT KHO'!$E$5:$E$1004,'XUẤT KHO'!$C$5:$C$1004,$A22,'XUẤT KHO'!$D$5:$D$1004,$B22,'XUẤT KHO'!$A$5:$A$1004,"&gt;="&amp;G$4,'XUẤT KHO'!$A$5:$A$1004,"&lt;"&amp;EDATE(G$4,1))</f>
        <v>6</v>
      </c>
      <c r="H22" s="43" t="n">
        <f aca="false">SUMIFS('XUẤT KHO'!$E$5:$E$1004,'XUẤT KHO'!$C$5:$C$1004,$A22,'XUẤT KHO'!$D$5:$D$1004,$B22,'XUẤT KHO'!$A$5:$A$1004,"&gt;="&amp;H$4,'XUẤT KHO'!$A$5:$A$1004,"&lt;"&amp;EDATE(H$4,1))</f>
        <v>0</v>
      </c>
      <c r="I22" s="43" t="n">
        <f aca="false">SUMIFS('XUẤT KHO'!$E$5:$E$1004,'XUẤT KHO'!$C$5:$C$1004,$A22,'XUẤT KHO'!$D$5:$D$1004,$B22,'XUẤT KHO'!$A$5:$A$1004,"&gt;="&amp;I$4,'XUẤT KHO'!$A$5:$A$1004,"&lt;"&amp;EDATE(I$4,1))</f>
        <v>0</v>
      </c>
      <c r="J22" s="43" t="n">
        <f aca="false">SUMIFS('XUẤT KHO'!$E$5:$E$1004,'XUẤT KHO'!$C$5:$C$1004,$A22,'XUẤT KHO'!$D$5:$D$1004,$B22,'XUẤT KHO'!$A$5:$A$1004,"&gt;="&amp;J$4,'XUẤT KHO'!$A$5:$A$1004,"&lt;"&amp;EDATE(J$4,1))</f>
        <v>0</v>
      </c>
      <c r="K22" s="44" t="n">
        <f aca="false">SUM(D22:J22)</f>
        <v>26</v>
      </c>
    </row>
    <row r="23" customFormat="false" ht="15" hidden="false" customHeight="false" outlineLevel="0" collapsed="false">
      <c r="A23" s="15" t="str">
        <f aca="false">'TỒN KHO'!C29</f>
        <v>IG05</v>
      </c>
      <c r="B23" s="15" t="str">
        <f aca="false">'TỒN KHO'!E29</f>
        <v>5L</v>
      </c>
      <c r="C23" s="15" t="str">
        <f aca="false">'TỒN KHO'!D29</f>
        <v>Sơn nội thất siêu bóng cao cấp Imperia IG05</v>
      </c>
      <c r="D23" s="43" t="n">
        <f aca="false">SUMIFS('XUẤT KHO'!$E$5:$E$1004,'XUẤT KHO'!$C$5:$C$1004,$A23,'XUẤT KHO'!$D$5:$D$1004,$B23,'XUẤT KHO'!$A$5:$A$1004,"&gt;="&amp;D$4,'XUẤT KHO'!$A$5:$A$1004,"&lt;"&amp;EDATE(D$4,1))</f>
        <v>9</v>
      </c>
      <c r="E23" s="43" t="n">
        <f aca="false">SUMIFS('XUẤT KHO'!$E$5:$E$1004,'XUẤT KHO'!$C$5:$C$1004,$A23,'XUẤT KHO'!$D$5:$D$1004,$B23,'XUẤT KHO'!$A$5:$A$1004,"&gt;="&amp;E$4,'XUẤT KHO'!$A$5:$A$1004,"&lt;"&amp;EDATE(E$4,1))</f>
        <v>1</v>
      </c>
      <c r="F23" s="43" t="n">
        <f aca="false">SUMIFS('XUẤT KHO'!$E$5:$E$1004,'XUẤT KHO'!$C$5:$C$1004,$A23,'XUẤT KHO'!$D$5:$D$1004,$B23,'XUẤT KHO'!$A$5:$A$1004,"&gt;="&amp;F$4,'XUẤT KHO'!$A$5:$A$1004,"&lt;"&amp;EDATE(F$4,1))</f>
        <v>3</v>
      </c>
      <c r="G23" s="43" t="n">
        <f aca="false">SUMIFS('XUẤT KHO'!$E$5:$E$1004,'XUẤT KHO'!$C$5:$C$1004,$A23,'XUẤT KHO'!$D$5:$D$1004,$B23,'XUẤT KHO'!$A$5:$A$1004,"&gt;="&amp;G$4,'XUẤT KHO'!$A$5:$A$1004,"&lt;"&amp;EDATE(G$4,1))</f>
        <v>1</v>
      </c>
      <c r="H23" s="43" t="n">
        <f aca="false">SUMIFS('XUẤT KHO'!$E$5:$E$1004,'XUẤT KHO'!$C$5:$C$1004,$A23,'XUẤT KHO'!$D$5:$D$1004,$B23,'XUẤT KHO'!$A$5:$A$1004,"&gt;="&amp;H$4,'XUẤT KHO'!$A$5:$A$1004,"&lt;"&amp;EDATE(H$4,1))</f>
        <v>0</v>
      </c>
      <c r="I23" s="43" t="n">
        <f aca="false">SUMIFS('XUẤT KHO'!$E$5:$E$1004,'XUẤT KHO'!$C$5:$C$1004,$A23,'XUẤT KHO'!$D$5:$D$1004,$B23,'XUẤT KHO'!$A$5:$A$1004,"&gt;="&amp;I$4,'XUẤT KHO'!$A$5:$A$1004,"&lt;"&amp;EDATE(I$4,1))</f>
        <v>0</v>
      </c>
      <c r="J23" s="43" t="n">
        <f aca="false">SUMIFS('XUẤT KHO'!$E$5:$E$1004,'XUẤT KHO'!$C$5:$C$1004,$A23,'XUẤT KHO'!$D$5:$D$1004,$B23,'XUẤT KHO'!$A$5:$A$1004,"&gt;="&amp;J$4,'XUẤT KHO'!$A$5:$A$1004,"&lt;"&amp;EDATE(J$4,1))</f>
        <v>0</v>
      </c>
      <c r="K23" s="44" t="n">
        <f aca="false">SUM(D23:J23)</f>
        <v>14</v>
      </c>
    </row>
    <row r="24" customFormat="false" ht="15" hidden="false" customHeight="false" outlineLevel="0" collapsed="false">
      <c r="A24" s="15" t="str">
        <f aca="false">'TỒN KHO'!C30</f>
        <v>IG05</v>
      </c>
      <c r="B24" s="15" t="str">
        <f aca="false">'TỒN KHO'!E30</f>
        <v>18L</v>
      </c>
      <c r="C24" s="15" t="str">
        <f aca="false">'TỒN KHO'!D30</f>
        <v>Sơn nội thất siêu bóng cao cấp Imperia IG05</v>
      </c>
      <c r="D24" s="43" t="n">
        <f aca="false">SUMIFS('XUẤT KHO'!$E$5:$E$1004,'XUẤT KHO'!$C$5:$C$1004,$A24,'XUẤT KHO'!$D$5:$D$1004,$B24,'XUẤT KHO'!$A$5:$A$1004,"&gt;="&amp;D$4,'XUẤT KHO'!$A$5:$A$1004,"&lt;"&amp;EDATE(D$4,1))</f>
        <v>34</v>
      </c>
      <c r="E24" s="43" t="n">
        <f aca="false">SUMIFS('XUẤT KHO'!$E$5:$E$1004,'XUẤT KHO'!$C$5:$C$1004,$A24,'XUẤT KHO'!$D$5:$D$1004,$B24,'XUẤT KHO'!$A$5:$A$1004,"&gt;="&amp;E$4,'XUẤT KHO'!$A$5:$A$1004,"&lt;"&amp;EDATE(E$4,1))</f>
        <v>19</v>
      </c>
      <c r="F24" s="43" t="n">
        <f aca="false">SUMIFS('XUẤT KHO'!$E$5:$E$1004,'XUẤT KHO'!$C$5:$C$1004,$A24,'XUẤT KHO'!$D$5:$D$1004,$B24,'XUẤT KHO'!$A$5:$A$1004,"&gt;="&amp;F$4,'XUẤT KHO'!$A$5:$A$1004,"&lt;"&amp;EDATE(F$4,1))</f>
        <v>18</v>
      </c>
      <c r="G24" s="43" t="n">
        <f aca="false">SUMIFS('XUẤT KHO'!$E$5:$E$1004,'XUẤT KHO'!$C$5:$C$1004,$A24,'XUẤT KHO'!$D$5:$D$1004,$B24,'XUẤT KHO'!$A$5:$A$1004,"&gt;="&amp;G$4,'XUẤT KHO'!$A$5:$A$1004,"&lt;"&amp;EDATE(G$4,1))</f>
        <v>19</v>
      </c>
      <c r="H24" s="43" t="n">
        <f aca="false">SUMIFS('XUẤT KHO'!$E$5:$E$1004,'XUẤT KHO'!$C$5:$C$1004,$A24,'XUẤT KHO'!$D$5:$D$1004,$B24,'XUẤT KHO'!$A$5:$A$1004,"&gt;="&amp;H$4,'XUẤT KHO'!$A$5:$A$1004,"&lt;"&amp;EDATE(H$4,1))</f>
        <v>0</v>
      </c>
      <c r="I24" s="43" t="n">
        <f aca="false">SUMIFS('XUẤT KHO'!$E$5:$E$1004,'XUẤT KHO'!$C$5:$C$1004,$A24,'XUẤT KHO'!$D$5:$D$1004,$B24,'XUẤT KHO'!$A$5:$A$1004,"&gt;="&amp;I$4,'XUẤT KHO'!$A$5:$A$1004,"&lt;"&amp;EDATE(I$4,1))</f>
        <v>0</v>
      </c>
      <c r="J24" s="43" t="n">
        <f aca="false">SUMIFS('XUẤT KHO'!$E$5:$E$1004,'XUẤT KHO'!$C$5:$C$1004,$A24,'XUẤT KHO'!$D$5:$D$1004,$B24,'XUẤT KHO'!$A$5:$A$1004,"&gt;="&amp;J$4,'XUẤT KHO'!$A$5:$A$1004,"&lt;"&amp;EDATE(J$4,1))</f>
        <v>0</v>
      </c>
      <c r="K24" s="44" t="n">
        <f aca="false">SUM(D24:J24)</f>
        <v>90</v>
      </c>
    </row>
    <row r="25" customFormat="false" ht="15" hidden="false" customHeight="false" outlineLevel="0" collapsed="false">
      <c r="A25" s="15" t="str">
        <f aca="false">'TỒN KHO'!C31</f>
        <v>I9</v>
      </c>
      <c r="B25" s="15" t="str">
        <f aca="false">'TỒN KHO'!E31</f>
        <v>5L</v>
      </c>
      <c r="C25" s="15" t="str">
        <f aca="false">'TỒN KHO'!D31</f>
        <v>Sơn nội thất siêu bóng cao cấp Saphir I9</v>
      </c>
      <c r="D25" s="43" t="n">
        <f aca="false">SUMIFS('XUẤT KHO'!$E$5:$E$1004,'XUẤT KHO'!$C$5:$C$1004,$A25,'XUẤT KHO'!$D$5:$D$1004,$B25,'XUẤT KHO'!$A$5:$A$1004,"&gt;="&amp;D$4,'XUẤT KHO'!$A$5:$A$1004,"&lt;"&amp;EDATE(D$4,1))</f>
        <v>0</v>
      </c>
      <c r="E25" s="43" t="n">
        <f aca="false">SUMIFS('XUẤT KHO'!$E$5:$E$1004,'XUẤT KHO'!$C$5:$C$1004,$A25,'XUẤT KHO'!$D$5:$D$1004,$B25,'XUẤT KHO'!$A$5:$A$1004,"&gt;="&amp;E$4,'XUẤT KHO'!$A$5:$A$1004,"&lt;"&amp;EDATE(E$4,1))</f>
        <v>1</v>
      </c>
      <c r="F25" s="43" t="n">
        <f aca="false">SUMIFS('XUẤT KHO'!$E$5:$E$1004,'XUẤT KHO'!$C$5:$C$1004,$A25,'XUẤT KHO'!$D$5:$D$1004,$B25,'XUẤT KHO'!$A$5:$A$1004,"&gt;="&amp;F$4,'XUẤT KHO'!$A$5:$A$1004,"&lt;"&amp;EDATE(F$4,1))</f>
        <v>0</v>
      </c>
      <c r="G25" s="43" t="n">
        <f aca="false">SUMIFS('XUẤT KHO'!$E$5:$E$1004,'XUẤT KHO'!$C$5:$C$1004,$A25,'XUẤT KHO'!$D$5:$D$1004,$B25,'XUẤT KHO'!$A$5:$A$1004,"&gt;="&amp;G$4,'XUẤT KHO'!$A$5:$A$1004,"&lt;"&amp;EDATE(G$4,1))</f>
        <v>0</v>
      </c>
      <c r="H25" s="43" t="n">
        <f aca="false">SUMIFS('XUẤT KHO'!$E$5:$E$1004,'XUẤT KHO'!$C$5:$C$1004,$A25,'XUẤT KHO'!$D$5:$D$1004,$B25,'XUẤT KHO'!$A$5:$A$1004,"&gt;="&amp;H$4,'XUẤT KHO'!$A$5:$A$1004,"&lt;"&amp;EDATE(H$4,1))</f>
        <v>0</v>
      </c>
      <c r="I25" s="43" t="n">
        <f aca="false">SUMIFS('XUẤT KHO'!$E$5:$E$1004,'XUẤT KHO'!$C$5:$C$1004,$A25,'XUẤT KHO'!$D$5:$D$1004,$B25,'XUẤT KHO'!$A$5:$A$1004,"&gt;="&amp;I$4,'XUẤT KHO'!$A$5:$A$1004,"&lt;"&amp;EDATE(I$4,1))</f>
        <v>0</v>
      </c>
      <c r="J25" s="43" t="n">
        <f aca="false">SUMIFS('XUẤT KHO'!$E$5:$E$1004,'XUẤT KHO'!$C$5:$C$1004,$A25,'XUẤT KHO'!$D$5:$D$1004,$B25,'XUẤT KHO'!$A$5:$A$1004,"&gt;="&amp;J$4,'XUẤT KHO'!$A$5:$A$1004,"&lt;"&amp;EDATE(J$4,1))</f>
        <v>0</v>
      </c>
      <c r="K25" s="44" t="n">
        <f aca="false">SUM(D25:J25)</f>
        <v>1</v>
      </c>
    </row>
    <row r="26" customFormat="false" ht="15" hidden="false" customHeight="false" outlineLevel="0" collapsed="false">
      <c r="A26" s="15" t="str">
        <f aca="false">'TỒN KHO'!C32</f>
        <v>I9</v>
      </c>
      <c r="B26" s="15" t="str">
        <f aca="false">'TỒN KHO'!E32</f>
        <v>18L</v>
      </c>
      <c r="C26" s="15" t="str">
        <f aca="false">'TỒN KHO'!D32</f>
        <v>Sơn nội thất siêu bóng cao cấp Saphir I9</v>
      </c>
      <c r="D26" s="43" t="n">
        <f aca="false">SUMIFS('XUẤT KHO'!$E$5:$E$1004,'XUẤT KHO'!$C$5:$C$1004,$A26,'XUẤT KHO'!$D$5:$D$1004,$B26,'XUẤT KHO'!$A$5:$A$1004,"&gt;="&amp;D$4,'XUẤT KHO'!$A$5:$A$1004,"&lt;"&amp;EDATE(D$4,1))</f>
        <v>0</v>
      </c>
      <c r="E26" s="43" t="n">
        <f aca="false">SUMIFS('XUẤT KHO'!$E$5:$E$1004,'XUẤT KHO'!$C$5:$C$1004,$A26,'XUẤT KHO'!$D$5:$D$1004,$B26,'XUẤT KHO'!$A$5:$A$1004,"&gt;="&amp;E$4,'XUẤT KHO'!$A$5:$A$1004,"&lt;"&amp;EDATE(E$4,1))</f>
        <v>0</v>
      </c>
      <c r="F26" s="43" t="n">
        <f aca="false">SUMIFS('XUẤT KHO'!$E$5:$E$1004,'XUẤT KHO'!$C$5:$C$1004,$A26,'XUẤT KHO'!$D$5:$D$1004,$B26,'XUẤT KHO'!$A$5:$A$1004,"&gt;="&amp;F$4,'XUẤT KHO'!$A$5:$A$1004,"&lt;"&amp;EDATE(F$4,1))</f>
        <v>0</v>
      </c>
      <c r="G26" s="43" t="n">
        <f aca="false">SUMIFS('XUẤT KHO'!$E$5:$E$1004,'XUẤT KHO'!$C$5:$C$1004,$A26,'XUẤT KHO'!$D$5:$D$1004,$B26,'XUẤT KHO'!$A$5:$A$1004,"&gt;="&amp;G$4,'XUẤT KHO'!$A$5:$A$1004,"&lt;"&amp;EDATE(G$4,1))</f>
        <v>0</v>
      </c>
      <c r="H26" s="43" t="n">
        <f aca="false">SUMIFS('XUẤT KHO'!$E$5:$E$1004,'XUẤT KHO'!$C$5:$C$1004,$A26,'XUẤT KHO'!$D$5:$D$1004,$B26,'XUẤT KHO'!$A$5:$A$1004,"&gt;="&amp;H$4,'XUẤT KHO'!$A$5:$A$1004,"&lt;"&amp;EDATE(H$4,1))</f>
        <v>0</v>
      </c>
      <c r="I26" s="43" t="n">
        <f aca="false">SUMIFS('XUẤT KHO'!$E$5:$E$1004,'XUẤT KHO'!$C$5:$C$1004,$A26,'XUẤT KHO'!$D$5:$D$1004,$B26,'XUẤT KHO'!$A$5:$A$1004,"&gt;="&amp;I$4,'XUẤT KHO'!$A$5:$A$1004,"&lt;"&amp;EDATE(I$4,1))</f>
        <v>0</v>
      </c>
      <c r="J26" s="43" t="n">
        <f aca="false">SUMIFS('XUẤT KHO'!$E$5:$E$1004,'XUẤT KHO'!$C$5:$C$1004,$A26,'XUẤT KHO'!$D$5:$D$1004,$B26,'XUẤT KHO'!$A$5:$A$1004,"&gt;="&amp;J$4,'XUẤT KHO'!$A$5:$A$1004,"&lt;"&amp;EDATE(J$4,1))</f>
        <v>0</v>
      </c>
      <c r="K26" s="44" t="n">
        <f aca="false">SUM(D26:J26)</f>
        <v>0</v>
      </c>
    </row>
    <row r="27" customFormat="false" ht="15" hidden="false" customHeight="false" outlineLevel="0" collapsed="false">
      <c r="A27" s="15" t="str">
        <f aca="false">'TỒN KHO'!C33</f>
        <v>IDC</v>
      </c>
      <c r="B27" s="15" t="str">
        <f aca="false">'TỒN KHO'!E33</f>
        <v>18L</v>
      </c>
      <c r="C27" s="15" t="str">
        <f aca="false">'TỒN KHO'!D33</f>
        <v>Sơn nội thất kinh tế Deco IDC</v>
      </c>
      <c r="D27" s="43" t="n">
        <f aca="false">SUMIFS('XUẤT KHO'!$E$5:$E$1004,'XUẤT KHO'!$C$5:$C$1004,$A27,'XUẤT KHO'!$D$5:$D$1004,$B27,'XUẤT KHO'!$A$5:$A$1004,"&gt;="&amp;D$4,'XUẤT KHO'!$A$5:$A$1004,"&lt;"&amp;EDATE(D$4,1))</f>
        <v>5</v>
      </c>
      <c r="E27" s="43" t="n">
        <f aca="false">SUMIFS('XUẤT KHO'!$E$5:$E$1004,'XUẤT KHO'!$C$5:$C$1004,$A27,'XUẤT KHO'!$D$5:$D$1004,$B27,'XUẤT KHO'!$A$5:$A$1004,"&gt;="&amp;E$4,'XUẤT KHO'!$A$5:$A$1004,"&lt;"&amp;EDATE(E$4,1))</f>
        <v>0</v>
      </c>
      <c r="F27" s="43" t="n">
        <f aca="false">SUMIFS('XUẤT KHO'!$E$5:$E$1004,'XUẤT KHO'!$C$5:$C$1004,$A27,'XUẤT KHO'!$D$5:$D$1004,$B27,'XUẤT KHO'!$A$5:$A$1004,"&gt;="&amp;F$4,'XUẤT KHO'!$A$5:$A$1004,"&lt;"&amp;EDATE(F$4,1))</f>
        <v>6</v>
      </c>
      <c r="G27" s="43" t="n">
        <f aca="false">SUMIFS('XUẤT KHO'!$E$5:$E$1004,'XUẤT KHO'!$C$5:$C$1004,$A27,'XUẤT KHO'!$D$5:$D$1004,$B27,'XUẤT KHO'!$A$5:$A$1004,"&gt;="&amp;G$4,'XUẤT KHO'!$A$5:$A$1004,"&lt;"&amp;EDATE(G$4,1))</f>
        <v>0</v>
      </c>
      <c r="H27" s="43" t="n">
        <f aca="false">SUMIFS('XUẤT KHO'!$E$5:$E$1004,'XUẤT KHO'!$C$5:$C$1004,$A27,'XUẤT KHO'!$D$5:$D$1004,$B27,'XUẤT KHO'!$A$5:$A$1004,"&gt;="&amp;H$4,'XUẤT KHO'!$A$5:$A$1004,"&lt;"&amp;EDATE(H$4,1))</f>
        <v>0</v>
      </c>
      <c r="I27" s="43" t="n">
        <f aca="false">SUMIFS('XUẤT KHO'!$E$5:$E$1004,'XUẤT KHO'!$C$5:$C$1004,$A27,'XUẤT KHO'!$D$5:$D$1004,$B27,'XUẤT KHO'!$A$5:$A$1004,"&gt;="&amp;I$4,'XUẤT KHO'!$A$5:$A$1004,"&lt;"&amp;EDATE(I$4,1))</f>
        <v>0</v>
      </c>
      <c r="J27" s="43" t="n">
        <f aca="false">SUMIFS('XUẤT KHO'!$E$5:$E$1004,'XUẤT KHO'!$C$5:$C$1004,$A27,'XUẤT KHO'!$D$5:$D$1004,$B27,'XUẤT KHO'!$A$5:$A$1004,"&gt;="&amp;J$4,'XUẤT KHO'!$A$5:$A$1004,"&lt;"&amp;EDATE(J$4,1))</f>
        <v>0</v>
      </c>
      <c r="K27" s="44" t="n">
        <f aca="false">SUM(D27:J27)</f>
        <v>11</v>
      </c>
    </row>
    <row r="28" customFormat="false" ht="15" hidden="false" customHeight="false" outlineLevel="0" collapsed="false">
      <c r="A28" s="15" t="str">
        <f aca="false">'TỒN KHO'!C34</f>
        <v>ICL</v>
      </c>
      <c r="B28" s="15" t="str">
        <f aca="false">'TỒN KHO'!E34</f>
        <v>1L</v>
      </c>
      <c r="C28" s="15" t="str">
        <f aca="false">'TỒN KHO'!D34</f>
        <v>Sơn phủ nội thất bóng cao cấp ICL</v>
      </c>
      <c r="D28" s="43" t="n">
        <f aca="false">SUMIFS('XUẤT KHO'!$E$5:$E$1004,'XUẤT KHO'!$C$5:$C$1004,$A28,'XUẤT KHO'!$D$5:$D$1004,$B28,'XUẤT KHO'!$A$5:$A$1004,"&gt;="&amp;D$4,'XUẤT KHO'!$A$5:$A$1004,"&lt;"&amp;EDATE(D$4,1))</f>
        <v>1</v>
      </c>
      <c r="E28" s="43" t="n">
        <f aca="false">SUMIFS('XUẤT KHO'!$E$5:$E$1004,'XUẤT KHO'!$C$5:$C$1004,$A28,'XUẤT KHO'!$D$5:$D$1004,$B28,'XUẤT KHO'!$A$5:$A$1004,"&gt;="&amp;E$4,'XUẤT KHO'!$A$5:$A$1004,"&lt;"&amp;EDATE(E$4,1))</f>
        <v>4</v>
      </c>
      <c r="F28" s="43" t="n">
        <f aca="false">SUMIFS('XUẤT KHO'!$E$5:$E$1004,'XUẤT KHO'!$C$5:$C$1004,$A28,'XUẤT KHO'!$D$5:$D$1004,$B28,'XUẤT KHO'!$A$5:$A$1004,"&gt;="&amp;F$4,'XUẤT KHO'!$A$5:$A$1004,"&lt;"&amp;EDATE(F$4,1))</f>
        <v>0</v>
      </c>
      <c r="G28" s="43" t="n">
        <f aca="false">SUMIFS('XUẤT KHO'!$E$5:$E$1004,'XUẤT KHO'!$C$5:$C$1004,$A28,'XUẤT KHO'!$D$5:$D$1004,$B28,'XUẤT KHO'!$A$5:$A$1004,"&gt;="&amp;G$4,'XUẤT KHO'!$A$5:$A$1004,"&lt;"&amp;EDATE(G$4,1))</f>
        <v>0</v>
      </c>
      <c r="H28" s="43" t="n">
        <f aca="false">SUMIFS('XUẤT KHO'!$E$5:$E$1004,'XUẤT KHO'!$C$5:$C$1004,$A28,'XUẤT KHO'!$D$5:$D$1004,$B28,'XUẤT KHO'!$A$5:$A$1004,"&gt;="&amp;H$4,'XUẤT KHO'!$A$5:$A$1004,"&lt;"&amp;EDATE(H$4,1))</f>
        <v>0</v>
      </c>
      <c r="I28" s="43" t="n">
        <f aca="false">SUMIFS('XUẤT KHO'!$E$5:$E$1004,'XUẤT KHO'!$C$5:$C$1004,$A28,'XUẤT KHO'!$D$5:$D$1004,$B28,'XUẤT KHO'!$A$5:$A$1004,"&gt;="&amp;I$4,'XUẤT KHO'!$A$5:$A$1004,"&lt;"&amp;EDATE(I$4,1))</f>
        <v>0</v>
      </c>
      <c r="J28" s="43" t="n">
        <f aca="false">SUMIFS('XUẤT KHO'!$E$5:$E$1004,'XUẤT KHO'!$C$5:$C$1004,$A28,'XUẤT KHO'!$D$5:$D$1004,$B28,'XUẤT KHO'!$A$5:$A$1004,"&gt;="&amp;J$4,'XUẤT KHO'!$A$5:$A$1004,"&lt;"&amp;EDATE(J$4,1))</f>
        <v>0</v>
      </c>
      <c r="K28" s="44" t="n">
        <f aca="false">SUM(D28:J28)</f>
        <v>5</v>
      </c>
    </row>
    <row r="29" customFormat="false" ht="15" hidden="false" customHeight="false" outlineLevel="0" collapsed="false">
      <c r="A29" s="15" t="str">
        <f aca="false">'TỒN KHO'!C35</f>
        <v>ESI</v>
      </c>
      <c r="B29" s="15" t="str">
        <f aca="false">'TỒN KHO'!E35</f>
        <v>5L</v>
      </c>
      <c r="C29" s="15" t="str">
        <f aca="false">'TỒN KHO'!D35</f>
        <v>Sơn ngoại thất bền màu Silver ESI</v>
      </c>
      <c r="D29" s="43" t="n">
        <f aca="false">SUMIFS('XUẤT KHO'!$E$5:$E$1004,'XUẤT KHO'!$C$5:$C$1004,$A29,'XUẤT KHO'!$D$5:$D$1004,$B29,'XUẤT KHO'!$A$5:$A$1004,"&gt;="&amp;D$4,'XUẤT KHO'!$A$5:$A$1004,"&lt;"&amp;EDATE(D$4,1))</f>
        <v>0</v>
      </c>
      <c r="E29" s="43" t="n">
        <f aca="false">SUMIFS('XUẤT KHO'!$E$5:$E$1004,'XUẤT KHO'!$C$5:$C$1004,$A29,'XUẤT KHO'!$D$5:$D$1004,$B29,'XUẤT KHO'!$A$5:$A$1004,"&gt;="&amp;E$4,'XUẤT KHO'!$A$5:$A$1004,"&lt;"&amp;EDATE(E$4,1))</f>
        <v>0</v>
      </c>
      <c r="F29" s="43" t="n">
        <f aca="false">SUMIFS('XUẤT KHO'!$E$5:$E$1004,'XUẤT KHO'!$C$5:$C$1004,$A29,'XUẤT KHO'!$D$5:$D$1004,$B29,'XUẤT KHO'!$A$5:$A$1004,"&gt;="&amp;F$4,'XUẤT KHO'!$A$5:$A$1004,"&lt;"&amp;EDATE(F$4,1))</f>
        <v>0</v>
      </c>
      <c r="G29" s="43" t="n">
        <f aca="false">SUMIFS('XUẤT KHO'!$E$5:$E$1004,'XUẤT KHO'!$C$5:$C$1004,$A29,'XUẤT KHO'!$D$5:$D$1004,$B29,'XUẤT KHO'!$A$5:$A$1004,"&gt;="&amp;G$4,'XUẤT KHO'!$A$5:$A$1004,"&lt;"&amp;EDATE(G$4,1))</f>
        <v>0</v>
      </c>
      <c r="H29" s="43" t="n">
        <f aca="false">SUMIFS('XUẤT KHO'!$E$5:$E$1004,'XUẤT KHO'!$C$5:$C$1004,$A29,'XUẤT KHO'!$D$5:$D$1004,$B29,'XUẤT KHO'!$A$5:$A$1004,"&gt;="&amp;H$4,'XUẤT KHO'!$A$5:$A$1004,"&lt;"&amp;EDATE(H$4,1))</f>
        <v>0</v>
      </c>
      <c r="I29" s="43" t="n">
        <f aca="false">SUMIFS('XUẤT KHO'!$E$5:$E$1004,'XUẤT KHO'!$C$5:$C$1004,$A29,'XUẤT KHO'!$D$5:$D$1004,$B29,'XUẤT KHO'!$A$5:$A$1004,"&gt;="&amp;I$4,'XUẤT KHO'!$A$5:$A$1004,"&lt;"&amp;EDATE(I$4,1))</f>
        <v>0</v>
      </c>
      <c r="J29" s="43" t="n">
        <f aca="false">SUMIFS('XUẤT KHO'!$E$5:$E$1004,'XUẤT KHO'!$C$5:$C$1004,$A29,'XUẤT KHO'!$D$5:$D$1004,$B29,'XUẤT KHO'!$A$5:$A$1004,"&gt;="&amp;J$4,'XUẤT KHO'!$A$5:$A$1004,"&lt;"&amp;EDATE(J$4,1))</f>
        <v>0</v>
      </c>
      <c r="K29" s="44" t="n">
        <f aca="false">SUM(D29:J29)</f>
        <v>0</v>
      </c>
    </row>
    <row r="30" customFormat="false" ht="15" hidden="false" customHeight="false" outlineLevel="0" collapsed="false">
      <c r="A30" s="15" t="str">
        <f aca="false">'TỒN KHO'!C36</f>
        <v>ESI</v>
      </c>
      <c r="B30" s="15" t="str">
        <f aca="false">'TỒN KHO'!E36</f>
        <v>18L</v>
      </c>
      <c r="C30" s="15" t="str">
        <f aca="false">'TỒN KHO'!D36</f>
        <v>Sơn ngoại thất bền màu Silver ESI</v>
      </c>
      <c r="D30" s="43" t="n">
        <f aca="false">SUMIFS('XUẤT KHO'!$E$5:$E$1004,'XUẤT KHO'!$C$5:$C$1004,$A30,'XUẤT KHO'!$D$5:$D$1004,$B30,'XUẤT KHO'!$A$5:$A$1004,"&gt;="&amp;D$4,'XUẤT KHO'!$A$5:$A$1004,"&lt;"&amp;EDATE(D$4,1))</f>
        <v>1</v>
      </c>
      <c r="E30" s="43" t="n">
        <f aca="false">SUMIFS('XUẤT KHO'!$E$5:$E$1004,'XUẤT KHO'!$C$5:$C$1004,$A30,'XUẤT KHO'!$D$5:$D$1004,$B30,'XUẤT KHO'!$A$5:$A$1004,"&gt;="&amp;E$4,'XUẤT KHO'!$A$5:$A$1004,"&lt;"&amp;EDATE(E$4,1))</f>
        <v>4</v>
      </c>
      <c r="F30" s="43" t="n">
        <f aca="false">SUMIFS('XUẤT KHO'!$E$5:$E$1004,'XUẤT KHO'!$C$5:$C$1004,$A30,'XUẤT KHO'!$D$5:$D$1004,$B30,'XUẤT KHO'!$A$5:$A$1004,"&gt;="&amp;F$4,'XUẤT KHO'!$A$5:$A$1004,"&lt;"&amp;EDATE(F$4,1))</f>
        <v>0</v>
      </c>
      <c r="G30" s="43" t="n">
        <f aca="false">SUMIFS('XUẤT KHO'!$E$5:$E$1004,'XUẤT KHO'!$C$5:$C$1004,$A30,'XUẤT KHO'!$D$5:$D$1004,$B30,'XUẤT KHO'!$A$5:$A$1004,"&gt;="&amp;G$4,'XUẤT KHO'!$A$5:$A$1004,"&lt;"&amp;EDATE(G$4,1))</f>
        <v>0</v>
      </c>
      <c r="H30" s="43" t="n">
        <f aca="false">SUMIFS('XUẤT KHO'!$E$5:$E$1004,'XUẤT KHO'!$C$5:$C$1004,$A30,'XUẤT KHO'!$D$5:$D$1004,$B30,'XUẤT KHO'!$A$5:$A$1004,"&gt;="&amp;H$4,'XUẤT KHO'!$A$5:$A$1004,"&lt;"&amp;EDATE(H$4,1))</f>
        <v>0</v>
      </c>
      <c r="I30" s="43" t="n">
        <f aca="false">SUMIFS('XUẤT KHO'!$E$5:$E$1004,'XUẤT KHO'!$C$5:$C$1004,$A30,'XUẤT KHO'!$D$5:$D$1004,$B30,'XUẤT KHO'!$A$5:$A$1004,"&gt;="&amp;I$4,'XUẤT KHO'!$A$5:$A$1004,"&lt;"&amp;EDATE(I$4,1))</f>
        <v>0</v>
      </c>
      <c r="J30" s="43" t="n">
        <f aca="false">SUMIFS('XUẤT KHO'!$E$5:$E$1004,'XUẤT KHO'!$C$5:$C$1004,$A30,'XUẤT KHO'!$D$5:$D$1004,$B30,'XUẤT KHO'!$A$5:$A$1004,"&gt;="&amp;J$4,'XUẤT KHO'!$A$5:$A$1004,"&lt;"&amp;EDATE(J$4,1))</f>
        <v>0</v>
      </c>
      <c r="K30" s="44" t="n">
        <f aca="false">SUM(D30:J30)</f>
        <v>5</v>
      </c>
    </row>
    <row r="31" customFormat="false" ht="15" hidden="false" customHeight="false" outlineLevel="0" collapsed="false">
      <c r="A31" s="15" t="str">
        <f aca="false">'TỒN KHO'!C37</f>
        <v>ESG10</v>
      </c>
      <c r="B31" s="15" t="str">
        <f aca="false">'TỒN KHO'!E37</f>
        <v>1L</v>
      </c>
      <c r="C31" s="15" t="str">
        <f aca="false">'TỒN KHO'!D37</f>
        <v>Sơn ngoại thất cao cấp bóng mờ Imperia ESG10</v>
      </c>
      <c r="D31" s="43" t="n">
        <f aca="false">SUMIFS('XUẤT KHO'!$E$5:$E$1004,'XUẤT KHO'!$C$5:$C$1004,$A31,'XUẤT KHO'!$D$5:$D$1004,$B31,'XUẤT KHO'!$A$5:$A$1004,"&gt;="&amp;D$4,'XUẤT KHO'!$A$5:$A$1004,"&lt;"&amp;EDATE(D$4,1))</f>
        <v>1</v>
      </c>
      <c r="E31" s="43" t="n">
        <f aca="false">SUMIFS('XUẤT KHO'!$E$5:$E$1004,'XUẤT KHO'!$C$5:$C$1004,$A31,'XUẤT KHO'!$D$5:$D$1004,$B31,'XUẤT KHO'!$A$5:$A$1004,"&gt;="&amp;E$4,'XUẤT KHO'!$A$5:$A$1004,"&lt;"&amp;EDATE(E$4,1))</f>
        <v>1</v>
      </c>
      <c r="F31" s="43" t="n">
        <f aca="false">SUMIFS('XUẤT KHO'!$E$5:$E$1004,'XUẤT KHO'!$C$5:$C$1004,$A31,'XUẤT KHO'!$D$5:$D$1004,$B31,'XUẤT KHO'!$A$5:$A$1004,"&gt;="&amp;F$4,'XUẤT KHO'!$A$5:$A$1004,"&lt;"&amp;EDATE(F$4,1))</f>
        <v>0</v>
      </c>
      <c r="G31" s="43" t="n">
        <f aca="false">SUMIFS('XUẤT KHO'!$E$5:$E$1004,'XUẤT KHO'!$C$5:$C$1004,$A31,'XUẤT KHO'!$D$5:$D$1004,$B31,'XUẤT KHO'!$A$5:$A$1004,"&gt;="&amp;G$4,'XUẤT KHO'!$A$5:$A$1004,"&lt;"&amp;EDATE(G$4,1))</f>
        <v>4</v>
      </c>
      <c r="H31" s="43" t="n">
        <f aca="false">SUMIFS('XUẤT KHO'!$E$5:$E$1004,'XUẤT KHO'!$C$5:$C$1004,$A31,'XUẤT KHO'!$D$5:$D$1004,$B31,'XUẤT KHO'!$A$5:$A$1004,"&gt;="&amp;H$4,'XUẤT KHO'!$A$5:$A$1004,"&lt;"&amp;EDATE(H$4,1))</f>
        <v>0</v>
      </c>
      <c r="I31" s="43" t="n">
        <f aca="false">SUMIFS('XUẤT KHO'!$E$5:$E$1004,'XUẤT KHO'!$C$5:$C$1004,$A31,'XUẤT KHO'!$D$5:$D$1004,$B31,'XUẤT KHO'!$A$5:$A$1004,"&gt;="&amp;I$4,'XUẤT KHO'!$A$5:$A$1004,"&lt;"&amp;EDATE(I$4,1))</f>
        <v>0</v>
      </c>
      <c r="J31" s="43" t="n">
        <f aca="false">SUMIFS('XUẤT KHO'!$E$5:$E$1004,'XUẤT KHO'!$C$5:$C$1004,$A31,'XUẤT KHO'!$D$5:$D$1004,$B31,'XUẤT KHO'!$A$5:$A$1004,"&gt;="&amp;J$4,'XUẤT KHO'!$A$5:$A$1004,"&lt;"&amp;EDATE(J$4,1))</f>
        <v>0</v>
      </c>
      <c r="K31" s="44" t="n">
        <f aca="false">SUM(D31:J31)</f>
        <v>6</v>
      </c>
    </row>
    <row r="32" customFormat="false" ht="15" hidden="false" customHeight="false" outlineLevel="0" collapsed="false">
      <c r="A32" s="15" t="str">
        <f aca="false">'TỒN KHO'!C38</f>
        <v>ESG10</v>
      </c>
      <c r="B32" s="15" t="str">
        <f aca="false">'TỒN KHO'!E38</f>
        <v>5L</v>
      </c>
      <c r="C32" s="15" t="str">
        <f aca="false">'TỒN KHO'!D38</f>
        <v>Sơn ngoại thất cao cấp bóng mờ Imperia ESG10</v>
      </c>
      <c r="D32" s="43" t="n">
        <f aca="false">SUMIFS('XUẤT KHO'!$E$5:$E$1004,'XUẤT KHO'!$C$5:$C$1004,$A32,'XUẤT KHO'!$D$5:$D$1004,$B32,'XUẤT KHO'!$A$5:$A$1004,"&gt;="&amp;D$4,'XUẤT KHO'!$A$5:$A$1004,"&lt;"&amp;EDATE(D$4,1))</f>
        <v>8</v>
      </c>
      <c r="E32" s="43" t="n">
        <f aca="false">SUMIFS('XUẤT KHO'!$E$5:$E$1004,'XUẤT KHO'!$C$5:$C$1004,$A32,'XUẤT KHO'!$D$5:$D$1004,$B32,'XUẤT KHO'!$A$5:$A$1004,"&gt;="&amp;E$4,'XUẤT KHO'!$A$5:$A$1004,"&lt;"&amp;EDATE(E$4,1))</f>
        <v>3</v>
      </c>
      <c r="F32" s="43" t="n">
        <f aca="false">SUMIFS('XUẤT KHO'!$E$5:$E$1004,'XUẤT KHO'!$C$5:$C$1004,$A32,'XUẤT KHO'!$D$5:$D$1004,$B32,'XUẤT KHO'!$A$5:$A$1004,"&gt;="&amp;F$4,'XUẤT KHO'!$A$5:$A$1004,"&lt;"&amp;EDATE(F$4,1))</f>
        <v>0</v>
      </c>
      <c r="G32" s="43" t="n">
        <f aca="false">SUMIFS('XUẤT KHO'!$E$5:$E$1004,'XUẤT KHO'!$C$5:$C$1004,$A32,'XUẤT KHO'!$D$5:$D$1004,$B32,'XUẤT KHO'!$A$5:$A$1004,"&gt;="&amp;G$4,'XUẤT KHO'!$A$5:$A$1004,"&lt;"&amp;EDATE(G$4,1))</f>
        <v>2</v>
      </c>
      <c r="H32" s="43" t="n">
        <f aca="false">SUMIFS('XUẤT KHO'!$E$5:$E$1004,'XUẤT KHO'!$C$5:$C$1004,$A32,'XUẤT KHO'!$D$5:$D$1004,$B32,'XUẤT KHO'!$A$5:$A$1004,"&gt;="&amp;H$4,'XUẤT KHO'!$A$5:$A$1004,"&lt;"&amp;EDATE(H$4,1))</f>
        <v>0</v>
      </c>
      <c r="I32" s="43" t="n">
        <f aca="false">SUMIFS('XUẤT KHO'!$E$5:$E$1004,'XUẤT KHO'!$C$5:$C$1004,$A32,'XUẤT KHO'!$D$5:$D$1004,$B32,'XUẤT KHO'!$A$5:$A$1004,"&gt;="&amp;I$4,'XUẤT KHO'!$A$5:$A$1004,"&lt;"&amp;EDATE(I$4,1))</f>
        <v>0</v>
      </c>
      <c r="J32" s="43" t="n">
        <f aca="false">SUMIFS('XUẤT KHO'!$E$5:$E$1004,'XUẤT KHO'!$C$5:$C$1004,$A32,'XUẤT KHO'!$D$5:$D$1004,$B32,'XUẤT KHO'!$A$5:$A$1004,"&gt;="&amp;J$4,'XUẤT KHO'!$A$5:$A$1004,"&lt;"&amp;EDATE(J$4,1))</f>
        <v>0</v>
      </c>
      <c r="K32" s="44" t="n">
        <f aca="false">SUM(D32:J32)</f>
        <v>13</v>
      </c>
    </row>
    <row r="33" customFormat="false" ht="15" hidden="false" customHeight="false" outlineLevel="0" collapsed="false">
      <c r="A33" s="15" t="str">
        <f aca="false">'TỒN KHO'!C39</f>
        <v>ESG10</v>
      </c>
      <c r="B33" s="15" t="str">
        <f aca="false">'TỒN KHO'!E39</f>
        <v>18L</v>
      </c>
      <c r="C33" s="15" t="str">
        <f aca="false">'TỒN KHO'!D39</f>
        <v>Sơn ngoại thất cao cấp bóng mờ Imperia ESG10</v>
      </c>
      <c r="D33" s="43" t="n">
        <f aca="false">SUMIFS('XUẤT KHO'!$E$5:$E$1004,'XUẤT KHO'!$C$5:$C$1004,$A33,'XUẤT KHO'!$D$5:$D$1004,$B33,'XUẤT KHO'!$A$5:$A$1004,"&gt;="&amp;D$4,'XUẤT KHO'!$A$5:$A$1004,"&lt;"&amp;EDATE(D$4,1))</f>
        <v>0</v>
      </c>
      <c r="E33" s="43" t="n">
        <f aca="false">SUMIFS('XUẤT KHO'!$E$5:$E$1004,'XUẤT KHO'!$C$5:$C$1004,$A33,'XUẤT KHO'!$D$5:$D$1004,$B33,'XUẤT KHO'!$A$5:$A$1004,"&gt;="&amp;E$4,'XUẤT KHO'!$A$5:$A$1004,"&lt;"&amp;EDATE(E$4,1))</f>
        <v>6</v>
      </c>
      <c r="F33" s="43" t="n">
        <f aca="false">SUMIFS('XUẤT KHO'!$E$5:$E$1004,'XUẤT KHO'!$C$5:$C$1004,$A33,'XUẤT KHO'!$D$5:$D$1004,$B33,'XUẤT KHO'!$A$5:$A$1004,"&gt;="&amp;F$4,'XUẤT KHO'!$A$5:$A$1004,"&lt;"&amp;EDATE(F$4,1))</f>
        <v>0</v>
      </c>
      <c r="G33" s="43" t="n">
        <f aca="false">SUMIFS('XUẤT KHO'!$E$5:$E$1004,'XUẤT KHO'!$C$5:$C$1004,$A33,'XUẤT KHO'!$D$5:$D$1004,$B33,'XUẤT KHO'!$A$5:$A$1004,"&gt;="&amp;G$4,'XUẤT KHO'!$A$5:$A$1004,"&lt;"&amp;EDATE(G$4,1))</f>
        <v>2</v>
      </c>
      <c r="H33" s="43" t="n">
        <f aca="false">SUMIFS('XUẤT KHO'!$E$5:$E$1004,'XUẤT KHO'!$C$5:$C$1004,$A33,'XUẤT KHO'!$D$5:$D$1004,$B33,'XUẤT KHO'!$A$5:$A$1004,"&gt;="&amp;H$4,'XUẤT KHO'!$A$5:$A$1004,"&lt;"&amp;EDATE(H$4,1))</f>
        <v>0</v>
      </c>
      <c r="I33" s="43" t="n">
        <f aca="false">SUMIFS('XUẤT KHO'!$E$5:$E$1004,'XUẤT KHO'!$C$5:$C$1004,$A33,'XUẤT KHO'!$D$5:$D$1004,$B33,'XUẤT KHO'!$A$5:$A$1004,"&gt;="&amp;I$4,'XUẤT KHO'!$A$5:$A$1004,"&lt;"&amp;EDATE(I$4,1))</f>
        <v>0</v>
      </c>
      <c r="J33" s="43" t="n">
        <f aca="false">SUMIFS('XUẤT KHO'!$E$5:$E$1004,'XUẤT KHO'!$C$5:$C$1004,$A33,'XUẤT KHO'!$D$5:$D$1004,$B33,'XUẤT KHO'!$A$5:$A$1004,"&gt;="&amp;J$4,'XUẤT KHO'!$A$5:$A$1004,"&lt;"&amp;EDATE(J$4,1))</f>
        <v>0</v>
      </c>
      <c r="K33" s="44" t="n">
        <f aca="false">SUM(D33:J33)</f>
        <v>8</v>
      </c>
    </row>
    <row r="34" customFormat="false" ht="15" hidden="false" customHeight="false" outlineLevel="0" collapsed="false">
      <c r="A34" s="15" t="str">
        <f aca="false">'TỒN KHO'!C40</f>
        <v>EG09</v>
      </c>
      <c r="B34" s="15" t="str">
        <f aca="false">'TỒN KHO'!E40</f>
        <v>1L</v>
      </c>
      <c r="C34" s="15" t="str">
        <f aca="false">'TỒN KHO'!D40</f>
        <v>Sơn ngoại thất siêu bóng cao cấp Imperia EG09</v>
      </c>
      <c r="D34" s="43" t="n">
        <f aca="false">SUMIFS('XUẤT KHO'!$E$5:$E$1004,'XUẤT KHO'!$C$5:$C$1004,$A34,'XUẤT KHO'!$D$5:$D$1004,$B34,'XUẤT KHO'!$A$5:$A$1004,"&gt;="&amp;D$4,'XUẤT KHO'!$A$5:$A$1004,"&lt;"&amp;EDATE(D$4,1))</f>
        <v>26</v>
      </c>
      <c r="E34" s="43" t="n">
        <f aca="false">SUMIFS('XUẤT KHO'!$E$5:$E$1004,'XUẤT KHO'!$C$5:$C$1004,$A34,'XUẤT KHO'!$D$5:$D$1004,$B34,'XUẤT KHO'!$A$5:$A$1004,"&gt;="&amp;E$4,'XUẤT KHO'!$A$5:$A$1004,"&lt;"&amp;EDATE(E$4,1))</f>
        <v>0</v>
      </c>
      <c r="F34" s="43" t="n">
        <f aca="false">SUMIFS('XUẤT KHO'!$E$5:$E$1004,'XUẤT KHO'!$C$5:$C$1004,$A34,'XUẤT KHO'!$D$5:$D$1004,$B34,'XUẤT KHO'!$A$5:$A$1004,"&gt;="&amp;F$4,'XUẤT KHO'!$A$5:$A$1004,"&lt;"&amp;EDATE(F$4,1))</f>
        <v>4</v>
      </c>
      <c r="G34" s="43" t="n">
        <f aca="false">SUMIFS('XUẤT KHO'!$E$5:$E$1004,'XUẤT KHO'!$C$5:$C$1004,$A34,'XUẤT KHO'!$D$5:$D$1004,$B34,'XUẤT KHO'!$A$5:$A$1004,"&gt;="&amp;G$4,'XUẤT KHO'!$A$5:$A$1004,"&lt;"&amp;EDATE(G$4,1))</f>
        <v>4</v>
      </c>
      <c r="H34" s="43" t="n">
        <f aca="false">SUMIFS('XUẤT KHO'!$E$5:$E$1004,'XUẤT KHO'!$C$5:$C$1004,$A34,'XUẤT KHO'!$D$5:$D$1004,$B34,'XUẤT KHO'!$A$5:$A$1004,"&gt;="&amp;H$4,'XUẤT KHO'!$A$5:$A$1004,"&lt;"&amp;EDATE(H$4,1))</f>
        <v>0</v>
      </c>
      <c r="I34" s="43" t="n">
        <f aca="false">SUMIFS('XUẤT KHO'!$E$5:$E$1004,'XUẤT KHO'!$C$5:$C$1004,$A34,'XUẤT KHO'!$D$5:$D$1004,$B34,'XUẤT KHO'!$A$5:$A$1004,"&gt;="&amp;I$4,'XUẤT KHO'!$A$5:$A$1004,"&lt;"&amp;EDATE(I$4,1))</f>
        <v>0</v>
      </c>
      <c r="J34" s="43" t="n">
        <f aca="false">SUMIFS('XUẤT KHO'!$E$5:$E$1004,'XUẤT KHO'!$C$5:$C$1004,$A34,'XUẤT KHO'!$D$5:$D$1004,$B34,'XUẤT KHO'!$A$5:$A$1004,"&gt;="&amp;J$4,'XUẤT KHO'!$A$5:$A$1004,"&lt;"&amp;EDATE(J$4,1))</f>
        <v>0</v>
      </c>
      <c r="K34" s="44" t="n">
        <f aca="false">SUM(D34:J34)</f>
        <v>34</v>
      </c>
    </row>
    <row r="35" customFormat="false" ht="15" hidden="false" customHeight="false" outlineLevel="0" collapsed="false">
      <c r="A35" s="15" t="str">
        <f aca="false">'TỒN KHO'!C41</f>
        <v>EG09</v>
      </c>
      <c r="B35" s="15" t="str">
        <f aca="false">'TỒN KHO'!E41</f>
        <v>5L</v>
      </c>
      <c r="C35" s="15" t="str">
        <f aca="false">'TỒN KHO'!D41</f>
        <v>Sơn ngoại thất siêu bóng cao cấp Imperia EG09</v>
      </c>
      <c r="D35" s="43" t="n">
        <f aca="false">SUMIFS('XUẤT KHO'!$E$5:$E$1004,'XUẤT KHO'!$C$5:$C$1004,$A35,'XUẤT KHO'!$D$5:$D$1004,$B35,'XUẤT KHO'!$A$5:$A$1004,"&gt;="&amp;D$4,'XUẤT KHO'!$A$5:$A$1004,"&lt;"&amp;EDATE(D$4,1))</f>
        <v>13</v>
      </c>
      <c r="E35" s="43" t="n">
        <f aca="false">SUMIFS('XUẤT KHO'!$E$5:$E$1004,'XUẤT KHO'!$C$5:$C$1004,$A35,'XUẤT KHO'!$D$5:$D$1004,$B35,'XUẤT KHO'!$A$5:$A$1004,"&gt;="&amp;E$4,'XUẤT KHO'!$A$5:$A$1004,"&lt;"&amp;EDATE(E$4,1))</f>
        <v>2</v>
      </c>
      <c r="F35" s="43" t="n">
        <f aca="false">SUMIFS('XUẤT KHO'!$E$5:$E$1004,'XUẤT KHO'!$C$5:$C$1004,$A35,'XUẤT KHO'!$D$5:$D$1004,$B35,'XUẤT KHO'!$A$5:$A$1004,"&gt;="&amp;F$4,'XUẤT KHO'!$A$5:$A$1004,"&lt;"&amp;EDATE(F$4,1))</f>
        <v>7</v>
      </c>
      <c r="G35" s="43" t="n">
        <f aca="false">SUMIFS('XUẤT KHO'!$E$5:$E$1004,'XUẤT KHO'!$C$5:$C$1004,$A35,'XUẤT KHO'!$D$5:$D$1004,$B35,'XUẤT KHO'!$A$5:$A$1004,"&gt;="&amp;G$4,'XUẤT KHO'!$A$5:$A$1004,"&lt;"&amp;EDATE(G$4,1))</f>
        <v>8</v>
      </c>
      <c r="H35" s="43" t="n">
        <f aca="false">SUMIFS('XUẤT KHO'!$E$5:$E$1004,'XUẤT KHO'!$C$5:$C$1004,$A35,'XUẤT KHO'!$D$5:$D$1004,$B35,'XUẤT KHO'!$A$5:$A$1004,"&gt;="&amp;H$4,'XUẤT KHO'!$A$5:$A$1004,"&lt;"&amp;EDATE(H$4,1))</f>
        <v>0</v>
      </c>
      <c r="I35" s="43" t="n">
        <f aca="false">SUMIFS('XUẤT KHO'!$E$5:$E$1004,'XUẤT KHO'!$C$5:$C$1004,$A35,'XUẤT KHO'!$D$5:$D$1004,$B35,'XUẤT KHO'!$A$5:$A$1004,"&gt;="&amp;I$4,'XUẤT KHO'!$A$5:$A$1004,"&lt;"&amp;EDATE(I$4,1))</f>
        <v>0</v>
      </c>
      <c r="J35" s="43" t="n">
        <f aca="false">SUMIFS('XUẤT KHO'!$E$5:$E$1004,'XUẤT KHO'!$C$5:$C$1004,$A35,'XUẤT KHO'!$D$5:$D$1004,$B35,'XUẤT KHO'!$A$5:$A$1004,"&gt;="&amp;J$4,'XUẤT KHO'!$A$5:$A$1004,"&lt;"&amp;EDATE(J$4,1))</f>
        <v>0</v>
      </c>
      <c r="K35" s="44" t="n">
        <f aca="false">SUM(D35:J35)</f>
        <v>30</v>
      </c>
    </row>
    <row r="36" customFormat="false" ht="15" hidden="false" customHeight="false" outlineLevel="0" collapsed="false">
      <c r="A36" s="15" t="str">
        <f aca="false">'TỒN KHO'!C42</f>
        <v>EG09</v>
      </c>
      <c r="B36" s="15" t="str">
        <f aca="false">'TỒN KHO'!E42</f>
        <v>18L</v>
      </c>
      <c r="C36" s="15" t="str">
        <f aca="false">'TỒN KHO'!D42</f>
        <v>Sơn ngoại thất siêu bóng cao cấp Imperia EG09</v>
      </c>
      <c r="D36" s="43" t="n">
        <f aca="false">SUMIFS('XUẤT KHO'!$E$5:$E$1004,'XUẤT KHO'!$C$5:$C$1004,$A36,'XUẤT KHO'!$D$5:$D$1004,$B36,'XUẤT KHO'!$A$5:$A$1004,"&gt;="&amp;D$4,'XUẤT KHO'!$A$5:$A$1004,"&lt;"&amp;EDATE(D$4,1))</f>
        <v>12</v>
      </c>
      <c r="E36" s="43" t="n">
        <f aca="false">SUMIFS('XUẤT KHO'!$E$5:$E$1004,'XUẤT KHO'!$C$5:$C$1004,$A36,'XUẤT KHO'!$D$5:$D$1004,$B36,'XUẤT KHO'!$A$5:$A$1004,"&gt;="&amp;E$4,'XUẤT KHO'!$A$5:$A$1004,"&lt;"&amp;EDATE(E$4,1))</f>
        <v>4</v>
      </c>
      <c r="F36" s="43" t="n">
        <f aca="false">SUMIFS('XUẤT KHO'!$E$5:$E$1004,'XUẤT KHO'!$C$5:$C$1004,$A36,'XUẤT KHO'!$D$5:$D$1004,$B36,'XUẤT KHO'!$A$5:$A$1004,"&gt;="&amp;F$4,'XUẤT KHO'!$A$5:$A$1004,"&lt;"&amp;EDATE(F$4,1))</f>
        <v>6</v>
      </c>
      <c r="G36" s="43" t="n">
        <f aca="false">SUMIFS('XUẤT KHO'!$E$5:$E$1004,'XUẤT KHO'!$C$5:$C$1004,$A36,'XUẤT KHO'!$D$5:$D$1004,$B36,'XUẤT KHO'!$A$5:$A$1004,"&gt;="&amp;G$4,'XUẤT KHO'!$A$5:$A$1004,"&lt;"&amp;EDATE(G$4,1))</f>
        <v>4</v>
      </c>
      <c r="H36" s="43" t="n">
        <f aca="false">SUMIFS('XUẤT KHO'!$E$5:$E$1004,'XUẤT KHO'!$C$5:$C$1004,$A36,'XUẤT KHO'!$D$5:$D$1004,$B36,'XUẤT KHO'!$A$5:$A$1004,"&gt;="&amp;H$4,'XUẤT KHO'!$A$5:$A$1004,"&lt;"&amp;EDATE(H$4,1))</f>
        <v>0</v>
      </c>
      <c r="I36" s="43" t="n">
        <f aca="false">SUMIFS('XUẤT KHO'!$E$5:$E$1004,'XUẤT KHO'!$C$5:$C$1004,$A36,'XUẤT KHO'!$D$5:$D$1004,$B36,'XUẤT KHO'!$A$5:$A$1004,"&gt;="&amp;I$4,'XUẤT KHO'!$A$5:$A$1004,"&lt;"&amp;EDATE(I$4,1))</f>
        <v>0</v>
      </c>
      <c r="J36" s="43" t="n">
        <f aca="false">SUMIFS('XUẤT KHO'!$E$5:$E$1004,'XUẤT KHO'!$C$5:$C$1004,$A36,'XUẤT KHO'!$D$5:$D$1004,$B36,'XUẤT KHO'!$A$5:$A$1004,"&gt;="&amp;J$4,'XUẤT KHO'!$A$5:$A$1004,"&lt;"&amp;EDATE(J$4,1))</f>
        <v>0</v>
      </c>
      <c r="K36" s="44" t="n">
        <f aca="false">SUM(D36:J36)</f>
        <v>26</v>
      </c>
    </row>
    <row r="37" customFormat="false" ht="15" hidden="false" customHeight="false" outlineLevel="0" collapsed="false">
      <c r="A37" s="15" t="str">
        <f aca="false">'TỒN KHO'!C43</f>
        <v>E9</v>
      </c>
      <c r="B37" s="15" t="str">
        <f aca="false">'TỒN KHO'!E43</f>
        <v>1L</v>
      </c>
      <c r="C37" s="15" t="str">
        <f aca="false">'TỒN KHO'!D43</f>
        <v>Sơn ngoại thất siêu bóng cao cấp Saphir E9</v>
      </c>
      <c r="D37" s="43" t="n">
        <f aca="false">SUMIFS('XUẤT KHO'!$E$5:$E$1004,'XUẤT KHO'!$C$5:$C$1004,$A37,'XUẤT KHO'!$D$5:$D$1004,$B37,'XUẤT KHO'!$A$5:$A$1004,"&gt;="&amp;D$4,'XUẤT KHO'!$A$5:$A$1004,"&lt;"&amp;EDATE(D$4,1))</f>
        <v>0</v>
      </c>
      <c r="E37" s="43" t="n">
        <f aca="false">SUMIFS('XUẤT KHO'!$E$5:$E$1004,'XUẤT KHO'!$C$5:$C$1004,$A37,'XUẤT KHO'!$D$5:$D$1004,$B37,'XUẤT KHO'!$A$5:$A$1004,"&gt;="&amp;E$4,'XUẤT KHO'!$A$5:$A$1004,"&lt;"&amp;EDATE(E$4,1))</f>
        <v>0</v>
      </c>
      <c r="F37" s="43" t="n">
        <f aca="false">SUMIFS('XUẤT KHO'!$E$5:$E$1004,'XUẤT KHO'!$C$5:$C$1004,$A37,'XUẤT KHO'!$D$5:$D$1004,$B37,'XUẤT KHO'!$A$5:$A$1004,"&gt;="&amp;F$4,'XUẤT KHO'!$A$5:$A$1004,"&lt;"&amp;EDATE(F$4,1))</f>
        <v>0</v>
      </c>
      <c r="G37" s="43" t="n">
        <f aca="false">SUMIFS('XUẤT KHO'!$E$5:$E$1004,'XUẤT KHO'!$C$5:$C$1004,$A37,'XUẤT KHO'!$D$5:$D$1004,$B37,'XUẤT KHO'!$A$5:$A$1004,"&gt;="&amp;G$4,'XUẤT KHO'!$A$5:$A$1004,"&lt;"&amp;EDATE(G$4,1))</f>
        <v>0</v>
      </c>
      <c r="H37" s="43" t="n">
        <f aca="false">SUMIFS('XUẤT KHO'!$E$5:$E$1004,'XUẤT KHO'!$C$5:$C$1004,$A37,'XUẤT KHO'!$D$5:$D$1004,$B37,'XUẤT KHO'!$A$5:$A$1004,"&gt;="&amp;H$4,'XUẤT KHO'!$A$5:$A$1004,"&lt;"&amp;EDATE(H$4,1))</f>
        <v>0</v>
      </c>
      <c r="I37" s="43" t="n">
        <f aca="false">SUMIFS('XUẤT KHO'!$E$5:$E$1004,'XUẤT KHO'!$C$5:$C$1004,$A37,'XUẤT KHO'!$D$5:$D$1004,$B37,'XUẤT KHO'!$A$5:$A$1004,"&gt;="&amp;I$4,'XUẤT KHO'!$A$5:$A$1004,"&lt;"&amp;EDATE(I$4,1))</f>
        <v>0</v>
      </c>
      <c r="J37" s="43" t="n">
        <f aca="false">SUMIFS('XUẤT KHO'!$E$5:$E$1004,'XUẤT KHO'!$C$5:$C$1004,$A37,'XUẤT KHO'!$D$5:$D$1004,$B37,'XUẤT KHO'!$A$5:$A$1004,"&gt;="&amp;J$4,'XUẤT KHO'!$A$5:$A$1004,"&lt;"&amp;EDATE(J$4,1))</f>
        <v>0</v>
      </c>
      <c r="K37" s="44" t="n">
        <f aca="false">SUM(D37:J37)</f>
        <v>0</v>
      </c>
    </row>
    <row r="38" customFormat="false" ht="15" hidden="false" customHeight="false" outlineLevel="0" collapsed="false">
      <c r="A38" s="15" t="str">
        <f aca="false">'TỒN KHO'!C44</f>
        <v>E9</v>
      </c>
      <c r="B38" s="15" t="str">
        <f aca="false">'TỒN KHO'!E44</f>
        <v>5L</v>
      </c>
      <c r="C38" s="15" t="str">
        <f aca="false">'TỒN KHO'!D44</f>
        <v>Sơn ngoại thất siêu bóng cao cấp Saphir E9</v>
      </c>
      <c r="D38" s="43" t="n">
        <f aca="false">SUMIFS('XUẤT KHO'!$E$5:$E$1004,'XUẤT KHO'!$C$5:$C$1004,$A38,'XUẤT KHO'!$D$5:$D$1004,$B38,'XUẤT KHO'!$A$5:$A$1004,"&gt;="&amp;D$4,'XUẤT KHO'!$A$5:$A$1004,"&lt;"&amp;EDATE(D$4,1))</f>
        <v>0</v>
      </c>
      <c r="E38" s="43" t="n">
        <f aca="false">SUMIFS('XUẤT KHO'!$E$5:$E$1004,'XUẤT KHO'!$C$5:$C$1004,$A38,'XUẤT KHO'!$D$5:$D$1004,$B38,'XUẤT KHO'!$A$5:$A$1004,"&gt;="&amp;E$4,'XUẤT KHO'!$A$5:$A$1004,"&lt;"&amp;EDATE(E$4,1))</f>
        <v>0</v>
      </c>
      <c r="F38" s="43" t="n">
        <f aca="false">SUMIFS('XUẤT KHO'!$E$5:$E$1004,'XUẤT KHO'!$C$5:$C$1004,$A38,'XUẤT KHO'!$D$5:$D$1004,$B38,'XUẤT KHO'!$A$5:$A$1004,"&gt;="&amp;F$4,'XUẤT KHO'!$A$5:$A$1004,"&lt;"&amp;EDATE(F$4,1))</f>
        <v>0</v>
      </c>
      <c r="G38" s="43" t="n">
        <f aca="false">SUMIFS('XUẤT KHO'!$E$5:$E$1004,'XUẤT KHO'!$C$5:$C$1004,$A38,'XUẤT KHO'!$D$5:$D$1004,$B38,'XUẤT KHO'!$A$5:$A$1004,"&gt;="&amp;G$4,'XUẤT KHO'!$A$5:$A$1004,"&lt;"&amp;EDATE(G$4,1))</f>
        <v>0</v>
      </c>
      <c r="H38" s="43" t="n">
        <f aca="false">SUMIFS('XUẤT KHO'!$E$5:$E$1004,'XUẤT KHO'!$C$5:$C$1004,$A38,'XUẤT KHO'!$D$5:$D$1004,$B38,'XUẤT KHO'!$A$5:$A$1004,"&gt;="&amp;H$4,'XUẤT KHO'!$A$5:$A$1004,"&lt;"&amp;EDATE(H$4,1))</f>
        <v>0</v>
      </c>
      <c r="I38" s="43" t="n">
        <f aca="false">SUMIFS('XUẤT KHO'!$E$5:$E$1004,'XUẤT KHO'!$C$5:$C$1004,$A38,'XUẤT KHO'!$D$5:$D$1004,$B38,'XUẤT KHO'!$A$5:$A$1004,"&gt;="&amp;I$4,'XUẤT KHO'!$A$5:$A$1004,"&lt;"&amp;EDATE(I$4,1))</f>
        <v>0</v>
      </c>
      <c r="J38" s="43" t="n">
        <f aca="false">SUMIFS('XUẤT KHO'!$E$5:$E$1004,'XUẤT KHO'!$C$5:$C$1004,$A38,'XUẤT KHO'!$D$5:$D$1004,$B38,'XUẤT KHO'!$A$5:$A$1004,"&gt;="&amp;J$4,'XUẤT KHO'!$A$5:$A$1004,"&lt;"&amp;EDATE(J$4,1))</f>
        <v>0</v>
      </c>
      <c r="K38" s="44" t="n">
        <f aca="false">SUM(D38:J38)</f>
        <v>0</v>
      </c>
    </row>
    <row r="39" customFormat="false" ht="15" hidden="false" customHeight="false" outlineLevel="0" collapsed="false">
      <c r="A39" s="15" t="str">
        <f aca="false">'TỒN KHO'!C45</f>
        <v>CT12</v>
      </c>
      <c r="B39" s="15" t="str">
        <f aca="false">'TỒN KHO'!E45</f>
        <v>5L</v>
      </c>
      <c r="C39" s="15" t="str">
        <f aca="false">'TỒN KHO'!D45</f>
        <v>Sơn chống thấm đa năng Imperia CT12</v>
      </c>
      <c r="D39" s="43" t="n">
        <f aca="false">SUMIFS('XUẤT KHO'!$E$5:$E$1004,'XUẤT KHO'!$C$5:$C$1004,$A39,'XUẤT KHO'!$D$5:$D$1004,$B39,'XUẤT KHO'!$A$5:$A$1004,"&gt;="&amp;D$4,'XUẤT KHO'!$A$5:$A$1004,"&lt;"&amp;EDATE(D$4,1))</f>
        <v>2</v>
      </c>
      <c r="E39" s="43" t="n">
        <f aca="false">SUMIFS('XUẤT KHO'!$E$5:$E$1004,'XUẤT KHO'!$C$5:$C$1004,$A39,'XUẤT KHO'!$D$5:$D$1004,$B39,'XUẤT KHO'!$A$5:$A$1004,"&gt;="&amp;E$4,'XUẤT KHO'!$A$5:$A$1004,"&lt;"&amp;EDATE(E$4,1))</f>
        <v>1</v>
      </c>
      <c r="F39" s="43" t="n">
        <f aca="false">SUMIFS('XUẤT KHO'!$E$5:$E$1004,'XUẤT KHO'!$C$5:$C$1004,$A39,'XUẤT KHO'!$D$5:$D$1004,$B39,'XUẤT KHO'!$A$5:$A$1004,"&gt;="&amp;F$4,'XUẤT KHO'!$A$5:$A$1004,"&lt;"&amp;EDATE(F$4,1))</f>
        <v>0</v>
      </c>
      <c r="G39" s="43" t="n">
        <f aca="false">SUMIFS('XUẤT KHO'!$E$5:$E$1004,'XUẤT KHO'!$C$5:$C$1004,$A39,'XUẤT KHO'!$D$5:$D$1004,$B39,'XUẤT KHO'!$A$5:$A$1004,"&gt;="&amp;G$4,'XUẤT KHO'!$A$5:$A$1004,"&lt;"&amp;EDATE(G$4,1))</f>
        <v>1</v>
      </c>
      <c r="H39" s="43" t="n">
        <f aca="false">SUMIFS('XUẤT KHO'!$E$5:$E$1004,'XUẤT KHO'!$C$5:$C$1004,$A39,'XUẤT KHO'!$D$5:$D$1004,$B39,'XUẤT KHO'!$A$5:$A$1004,"&gt;="&amp;H$4,'XUẤT KHO'!$A$5:$A$1004,"&lt;"&amp;EDATE(H$4,1))</f>
        <v>0</v>
      </c>
      <c r="I39" s="43" t="n">
        <f aca="false">SUMIFS('XUẤT KHO'!$E$5:$E$1004,'XUẤT KHO'!$C$5:$C$1004,$A39,'XUẤT KHO'!$D$5:$D$1004,$B39,'XUẤT KHO'!$A$5:$A$1004,"&gt;="&amp;I$4,'XUẤT KHO'!$A$5:$A$1004,"&lt;"&amp;EDATE(I$4,1))</f>
        <v>0</v>
      </c>
      <c r="J39" s="43" t="n">
        <f aca="false">SUMIFS('XUẤT KHO'!$E$5:$E$1004,'XUẤT KHO'!$C$5:$C$1004,$A39,'XUẤT KHO'!$D$5:$D$1004,$B39,'XUẤT KHO'!$A$5:$A$1004,"&gt;="&amp;J$4,'XUẤT KHO'!$A$5:$A$1004,"&lt;"&amp;EDATE(J$4,1))</f>
        <v>0</v>
      </c>
      <c r="K39" s="44" t="n">
        <f aca="false">SUM(D39:J39)</f>
        <v>4</v>
      </c>
    </row>
    <row r="40" customFormat="false" ht="15" hidden="false" customHeight="false" outlineLevel="0" collapsed="false">
      <c r="A40" s="15" t="str">
        <f aca="false">'TỒN KHO'!C46</f>
        <v>CT12</v>
      </c>
      <c r="B40" s="15" t="str">
        <f aca="false">'TỒN KHO'!E46</f>
        <v>18L</v>
      </c>
      <c r="C40" s="15" t="str">
        <f aca="false">'TỒN KHO'!D46</f>
        <v>Sơn chống thấm đa năng Imperia CT12</v>
      </c>
      <c r="D40" s="43" t="n">
        <f aca="false">SUMIFS('XUẤT KHO'!$E$5:$E$1004,'XUẤT KHO'!$C$5:$C$1004,$A40,'XUẤT KHO'!$D$5:$D$1004,$B40,'XUẤT KHO'!$A$5:$A$1004,"&gt;="&amp;D$4,'XUẤT KHO'!$A$5:$A$1004,"&lt;"&amp;EDATE(D$4,1))</f>
        <v>10</v>
      </c>
      <c r="E40" s="43" t="n">
        <f aca="false">SUMIFS('XUẤT KHO'!$E$5:$E$1004,'XUẤT KHO'!$C$5:$C$1004,$A40,'XUẤT KHO'!$D$5:$D$1004,$B40,'XUẤT KHO'!$A$5:$A$1004,"&gt;="&amp;E$4,'XUẤT KHO'!$A$5:$A$1004,"&lt;"&amp;EDATE(E$4,1))</f>
        <v>7</v>
      </c>
      <c r="F40" s="43" t="n">
        <f aca="false">SUMIFS('XUẤT KHO'!$E$5:$E$1004,'XUẤT KHO'!$C$5:$C$1004,$A40,'XUẤT KHO'!$D$5:$D$1004,$B40,'XUẤT KHO'!$A$5:$A$1004,"&gt;="&amp;F$4,'XUẤT KHO'!$A$5:$A$1004,"&lt;"&amp;EDATE(F$4,1))</f>
        <v>7</v>
      </c>
      <c r="G40" s="43" t="n">
        <f aca="false">SUMIFS('XUẤT KHO'!$E$5:$E$1004,'XUẤT KHO'!$C$5:$C$1004,$A40,'XUẤT KHO'!$D$5:$D$1004,$B40,'XUẤT KHO'!$A$5:$A$1004,"&gt;="&amp;G$4,'XUẤT KHO'!$A$5:$A$1004,"&lt;"&amp;EDATE(G$4,1))</f>
        <v>0</v>
      </c>
      <c r="H40" s="43" t="n">
        <f aca="false">SUMIFS('XUẤT KHO'!$E$5:$E$1004,'XUẤT KHO'!$C$5:$C$1004,$A40,'XUẤT KHO'!$D$5:$D$1004,$B40,'XUẤT KHO'!$A$5:$A$1004,"&gt;="&amp;H$4,'XUẤT KHO'!$A$5:$A$1004,"&lt;"&amp;EDATE(H$4,1))</f>
        <v>0</v>
      </c>
      <c r="I40" s="43" t="n">
        <f aca="false">SUMIFS('XUẤT KHO'!$E$5:$E$1004,'XUẤT KHO'!$C$5:$C$1004,$A40,'XUẤT KHO'!$D$5:$D$1004,$B40,'XUẤT KHO'!$A$5:$A$1004,"&gt;="&amp;I$4,'XUẤT KHO'!$A$5:$A$1004,"&lt;"&amp;EDATE(I$4,1))</f>
        <v>0</v>
      </c>
      <c r="J40" s="43" t="n">
        <f aca="false">SUMIFS('XUẤT KHO'!$E$5:$E$1004,'XUẤT KHO'!$C$5:$C$1004,$A40,'XUẤT KHO'!$D$5:$D$1004,$B40,'XUẤT KHO'!$A$5:$A$1004,"&gt;="&amp;J$4,'XUẤT KHO'!$A$5:$A$1004,"&lt;"&amp;EDATE(J$4,1))</f>
        <v>0</v>
      </c>
      <c r="K40" s="44" t="n">
        <f aca="false">SUM(D40:J40)</f>
        <v>24</v>
      </c>
    </row>
    <row r="41" customFormat="false" ht="15" hidden="false" customHeight="false" outlineLevel="0" collapsed="false">
      <c r="A41" s="15" t="str">
        <f aca="false">'TỒN KHO'!C47</f>
        <v>ETM-309</v>
      </c>
      <c r="B41" s="15" t="str">
        <f aca="false">'TỒN KHO'!E47</f>
        <v>5L</v>
      </c>
      <c r="C41" s="15" t="str">
        <f aca="false">'TỒN KHO'!D47</f>
        <v>Sơn chống thấm màu ETM 309 (ghi đậm)</v>
      </c>
      <c r="D41" s="43" t="n">
        <f aca="false">SUMIFS('XUẤT KHO'!$E$5:$E$1004,'XUẤT KHO'!$C$5:$C$1004,$A41,'XUẤT KHO'!$D$5:$D$1004,$B41,'XUẤT KHO'!$A$5:$A$1004,"&gt;="&amp;D$4,'XUẤT KHO'!$A$5:$A$1004,"&lt;"&amp;EDATE(D$4,1))</f>
        <v>7</v>
      </c>
      <c r="E41" s="43" t="n">
        <f aca="false">SUMIFS('XUẤT KHO'!$E$5:$E$1004,'XUẤT KHO'!$C$5:$C$1004,$A41,'XUẤT KHO'!$D$5:$D$1004,$B41,'XUẤT KHO'!$A$5:$A$1004,"&gt;="&amp;E$4,'XUẤT KHO'!$A$5:$A$1004,"&lt;"&amp;EDATE(E$4,1))</f>
        <v>2</v>
      </c>
      <c r="F41" s="43" t="n">
        <f aca="false">SUMIFS('XUẤT KHO'!$E$5:$E$1004,'XUẤT KHO'!$C$5:$C$1004,$A41,'XUẤT KHO'!$D$5:$D$1004,$B41,'XUẤT KHO'!$A$5:$A$1004,"&gt;="&amp;F$4,'XUẤT KHO'!$A$5:$A$1004,"&lt;"&amp;EDATE(F$4,1))</f>
        <v>0</v>
      </c>
      <c r="G41" s="43" t="n">
        <f aca="false">SUMIFS('XUẤT KHO'!$E$5:$E$1004,'XUẤT KHO'!$C$5:$C$1004,$A41,'XUẤT KHO'!$D$5:$D$1004,$B41,'XUẤT KHO'!$A$5:$A$1004,"&gt;="&amp;G$4,'XUẤT KHO'!$A$5:$A$1004,"&lt;"&amp;EDATE(G$4,1))</f>
        <v>1</v>
      </c>
      <c r="H41" s="43" t="n">
        <f aca="false">SUMIFS('XUẤT KHO'!$E$5:$E$1004,'XUẤT KHO'!$C$5:$C$1004,$A41,'XUẤT KHO'!$D$5:$D$1004,$B41,'XUẤT KHO'!$A$5:$A$1004,"&gt;="&amp;H$4,'XUẤT KHO'!$A$5:$A$1004,"&lt;"&amp;EDATE(H$4,1))</f>
        <v>0</v>
      </c>
      <c r="I41" s="43" t="n">
        <f aca="false">SUMIFS('XUẤT KHO'!$E$5:$E$1004,'XUẤT KHO'!$C$5:$C$1004,$A41,'XUẤT KHO'!$D$5:$D$1004,$B41,'XUẤT KHO'!$A$5:$A$1004,"&gt;="&amp;I$4,'XUẤT KHO'!$A$5:$A$1004,"&lt;"&amp;EDATE(I$4,1))</f>
        <v>0</v>
      </c>
      <c r="J41" s="43" t="n">
        <f aca="false">SUMIFS('XUẤT KHO'!$E$5:$E$1004,'XUẤT KHO'!$C$5:$C$1004,$A41,'XUẤT KHO'!$D$5:$D$1004,$B41,'XUẤT KHO'!$A$5:$A$1004,"&gt;="&amp;J$4,'XUẤT KHO'!$A$5:$A$1004,"&lt;"&amp;EDATE(J$4,1))</f>
        <v>0</v>
      </c>
      <c r="K41" s="44" t="n">
        <f aca="false">SUM(D41:J41)</f>
        <v>10</v>
      </c>
    </row>
    <row r="42" customFormat="false" ht="15" hidden="false" customHeight="false" outlineLevel="0" collapsed="false">
      <c r="A42" s="15" t="str">
        <f aca="false">'TỒN KHO'!C48</f>
        <v>ETM-309</v>
      </c>
      <c r="B42" s="15" t="str">
        <f aca="false">'TỒN KHO'!E48</f>
        <v>18L</v>
      </c>
      <c r="C42" s="15" t="str">
        <f aca="false">'TỒN KHO'!D48</f>
        <v>Sơn chống thấm màu ETM 309 (ghi đậm)</v>
      </c>
      <c r="D42" s="43" t="n">
        <f aca="false">SUMIFS('XUẤT KHO'!$E$5:$E$1004,'XUẤT KHO'!$C$5:$C$1004,$A42,'XUẤT KHO'!$D$5:$D$1004,$B42,'XUẤT KHO'!$A$5:$A$1004,"&gt;="&amp;D$4,'XUẤT KHO'!$A$5:$A$1004,"&lt;"&amp;EDATE(D$4,1))</f>
        <v>22</v>
      </c>
      <c r="E42" s="43" t="n">
        <f aca="false">SUMIFS('XUẤT KHO'!$E$5:$E$1004,'XUẤT KHO'!$C$5:$C$1004,$A42,'XUẤT KHO'!$D$5:$D$1004,$B42,'XUẤT KHO'!$A$5:$A$1004,"&gt;="&amp;E$4,'XUẤT KHO'!$A$5:$A$1004,"&lt;"&amp;EDATE(E$4,1))</f>
        <v>12</v>
      </c>
      <c r="F42" s="43" t="n">
        <f aca="false">SUMIFS('XUẤT KHO'!$E$5:$E$1004,'XUẤT KHO'!$C$5:$C$1004,$A42,'XUẤT KHO'!$D$5:$D$1004,$B42,'XUẤT KHO'!$A$5:$A$1004,"&gt;="&amp;F$4,'XUẤT KHO'!$A$5:$A$1004,"&lt;"&amp;EDATE(F$4,1))</f>
        <v>13</v>
      </c>
      <c r="G42" s="43" t="n">
        <f aca="false">SUMIFS('XUẤT KHO'!$E$5:$E$1004,'XUẤT KHO'!$C$5:$C$1004,$A42,'XUẤT KHO'!$D$5:$D$1004,$B42,'XUẤT KHO'!$A$5:$A$1004,"&gt;="&amp;G$4,'XUẤT KHO'!$A$5:$A$1004,"&lt;"&amp;EDATE(G$4,1))</f>
        <v>6</v>
      </c>
      <c r="H42" s="43" t="n">
        <f aca="false">SUMIFS('XUẤT KHO'!$E$5:$E$1004,'XUẤT KHO'!$C$5:$C$1004,$A42,'XUẤT KHO'!$D$5:$D$1004,$B42,'XUẤT KHO'!$A$5:$A$1004,"&gt;="&amp;H$4,'XUẤT KHO'!$A$5:$A$1004,"&lt;"&amp;EDATE(H$4,1))</f>
        <v>0</v>
      </c>
      <c r="I42" s="43" t="n">
        <f aca="false">SUMIFS('XUẤT KHO'!$E$5:$E$1004,'XUẤT KHO'!$C$5:$C$1004,$A42,'XUẤT KHO'!$D$5:$D$1004,$B42,'XUẤT KHO'!$A$5:$A$1004,"&gt;="&amp;I$4,'XUẤT KHO'!$A$5:$A$1004,"&lt;"&amp;EDATE(I$4,1))</f>
        <v>0</v>
      </c>
      <c r="J42" s="43" t="n">
        <f aca="false">SUMIFS('XUẤT KHO'!$E$5:$E$1004,'XUẤT KHO'!$C$5:$C$1004,$A42,'XUẤT KHO'!$D$5:$D$1004,$B42,'XUẤT KHO'!$A$5:$A$1004,"&gt;="&amp;J$4,'XUẤT KHO'!$A$5:$A$1004,"&lt;"&amp;EDATE(J$4,1))</f>
        <v>0</v>
      </c>
      <c r="K42" s="44" t="n">
        <f aca="false">SUM(D42:J42)</f>
        <v>53</v>
      </c>
    </row>
    <row r="43" customFormat="false" ht="15" hidden="false" customHeight="false" outlineLevel="0" collapsed="false">
      <c r="A43" s="15" t="str">
        <f aca="false">'TỒN KHO'!C49</f>
        <v>ETM-99</v>
      </c>
      <c r="B43" s="15" t="str">
        <f aca="false">'TỒN KHO'!E49</f>
        <v>5L</v>
      </c>
      <c r="C43" s="15" t="str">
        <f aca="false">'TỒN KHO'!D49</f>
        <v>Sơn chống thấm ETM 99 (trắng)</v>
      </c>
      <c r="D43" s="43" t="n">
        <f aca="false">SUMIFS('XUẤT KHO'!$E$5:$E$1004,'XUẤT KHO'!$C$5:$C$1004,$A43,'XUẤT KHO'!$D$5:$D$1004,$B43,'XUẤT KHO'!$A$5:$A$1004,"&gt;="&amp;D$4,'XUẤT KHO'!$A$5:$A$1004,"&lt;"&amp;EDATE(D$4,1))</f>
        <v>0</v>
      </c>
      <c r="E43" s="43" t="n">
        <f aca="false">SUMIFS('XUẤT KHO'!$E$5:$E$1004,'XUẤT KHO'!$C$5:$C$1004,$A43,'XUẤT KHO'!$D$5:$D$1004,$B43,'XUẤT KHO'!$A$5:$A$1004,"&gt;="&amp;E$4,'XUẤT KHO'!$A$5:$A$1004,"&lt;"&amp;EDATE(E$4,1))</f>
        <v>0</v>
      </c>
      <c r="F43" s="43" t="n">
        <f aca="false">SUMIFS('XUẤT KHO'!$E$5:$E$1004,'XUẤT KHO'!$C$5:$C$1004,$A43,'XUẤT KHO'!$D$5:$D$1004,$B43,'XUẤT KHO'!$A$5:$A$1004,"&gt;="&amp;F$4,'XUẤT KHO'!$A$5:$A$1004,"&lt;"&amp;EDATE(F$4,1))</f>
        <v>0</v>
      </c>
      <c r="G43" s="43" t="n">
        <f aca="false">SUMIFS('XUẤT KHO'!$E$5:$E$1004,'XUẤT KHO'!$C$5:$C$1004,$A43,'XUẤT KHO'!$D$5:$D$1004,$B43,'XUẤT KHO'!$A$5:$A$1004,"&gt;="&amp;G$4,'XUẤT KHO'!$A$5:$A$1004,"&lt;"&amp;EDATE(G$4,1))</f>
        <v>0</v>
      </c>
      <c r="H43" s="43" t="n">
        <f aca="false">SUMIFS('XUẤT KHO'!$E$5:$E$1004,'XUẤT KHO'!$C$5:$C$1004,$A43,'XUẤT KHO'!$D$5:$D$1004,$B43,'XUẤT KHO'!$A$5:$A$1004,"&gt;="&amp;H$4,'XUẤT KHO'!$A$5:$A$1004,"&lt;"&amp;EDATE(H$4,1))</f>
        <v>0</v>
      </c>
      <c r="I43" s="43" t="n">
        <f aca="false">SUMIFS('XUẤT KHO'!$E$5:$E$1004,'XUẤT KHO'!$C$5:$C$1004,$A43,'XUẤT KHO'!$D$5:$D$1004,$B43,'XUẤT KHO'!$A$5:$A$1004,"&gt;="&amp;I$4,'XUẤT KHO'!$A$5:$A$1004,"&lt;"&amp;EDATE(I$4,1))</f>
        <v>0</v>
      </c>
      <c r="J43" s="43" t="n">
        <f aca="false">SUMIFS('XUẤT KHO'!$E$5:$E$1004,'XUẤT KHO'!$C$5:$C$1004,$A43,'XUẤT KHO'!$D$5:$D$1004,$B43,'XUẤT KHO'!$A$5:$A$1004,"&gt;="&amp;J$4,'XUẤT KHO'!$A$5:$A$1004,"&lt;"&amp;EDATE(J$4,1))</f>
        <v>0</v>
      </c>
      <c r="K43" s="44" t="n">
        <f aca="false">SUM(D43:J43)</f>
        <v>0</v>
      </c>
    </row>
    <row r="44" customFormat="false" ht="15" hidden="false" customHeight="false" outlineLevel="0" collapsed="false">
      <c r="A44" s="15" t="str">
        <f aca="false">'TỒN KHO'!C50</f>
        <v>ETM-99</v>
      </c>
      <c r="B44" s="15" t="str">
        <f aca="false">'TỒN KHO'!E50</f>
        <v>18L</v>
      </c>
      <c r="C44" s="15" t="str">
        <f aca="false">'TỒN KHO'!D50</f>
        <v>Sơn chống thấm ETM 99 (trắng)</v>
      </c>
      <c r="D44" s="43" t="n">
        <f aca="false">SUMIFS('XUẤT KHO'!$E$5:$E$1004,'XUẤT KHO'!$C$5:$C$1004,$A44,'XUẤT KHO'!$D$5:$D$1004,$B44,'XUẤT KHO'!$A$5:$A$1004,"&gt;="&amp;D$4,'XUẤT KHO'!$A$5:$A$1004,"&lt;"&amp;EDATE(D$4,1))</f>
        <v>3</v>
      </c>
      <c r="E44" s="43" t="n">
        <f aca="false">SUMIFS('XUẤT KHO'!$E$5:$E$1004,'XUẤT KHO'!$C$5:$C$1004,$A44,'XUẤT KHO'!$D$5:$D$1004,$B44,'XUẤT KHO'!$A$5:$A$1004,"&gt;="&amp;E$4,'XUẤT KHO'!$A$5:$A$1004,"&lt;"&amp;EDATE(E$4,1))</f>
        <v>0</v>
      </c>
      <c r="F44" s="43" t="n">
        <f aca="false">SUMIFS('XUẤT KHO'!$E$5:$E$1004,'XUẤT KHO'!$C$5:$C$1004,$A44,'XUẤT KHO'!$D$5:$D$1004,$B44,'XUẤT KHO'!$A$5:$A$1004,"&gt;="&amp;F$4,'XUẤT KHO'!$A$5:$A$1004,"&lt;"&amp;EDATE(F$4,1))</f>
        <v>0</v>
      </c>
      <c r="G44" s="43" t="n">
        <f aca="false">SUMIFS('XUẤT KHO'!$E$5:$E$1004,'XUẤT KHO'!$C$5:$C$1004,$A44,'XUẤT KHO'!$D$5:$D$1004,$B44,'XUẤT KHO'!$A$5:$A$1004,"&gt;="&amp;G$4,'XUẤT KHO'!$A$5:$A$1004,"&lt;"&amp;EDATE(G$4,1))</f>
        <v>0</v>
      </c>
      <c r="H44" s="43" t="n">
        <f aca="false">SUMIFS('XUẤT KHO'!$E$5:$E$1004,'XUẤT KHO'!$C$5:$C$1004,$A44,'XUẤT KHO'!$D$5:$D$1004,$B44,'XUẤT KHO'!$A$5:$A$1004,"&gt;="&amp;H$4,'XUẤT KHO'!$A$5:$A$1004,"&lt;"&amp;EDATE(H$4,1))</f>
        <v>0</v>
      </c>
      <c r="I44" s="43" t="n">
        <f aca="false">SUMIFS('XUẤT KHO'!$E$5:$E$1004,'XUẤT KHO'!$C$5:$C$1004,$A44,'XUẤT KHO'!$D$5:$D$1004,$B44,'XUẤT KHO'!$A$5:$A$1004,"&gt;="&amp;I$4,'XUẤT KHO'!$A$5:$A$1004,"&lt;"&amp;EDATE(I$4,1))</f>
        <v>0</v>
      </c>
      <c r="J44" s="43" t="n">
        <f aca="false">SUMIFS('XUẤT KHO'!$E$5:$E$1004,'XUẤT KHO'!$C$5:$C$1004,$A44,'XUẤT KHO'!$D$5:$D$1004,$B44,'XUẤT KHO'!$A$5:$A$1004,"&gt;="&amp;J$4,'XUẤT KHO'!$A$5:$A$1004,"&lt;"&amp;EDATE(J$4,1))</f>
        <v>0</v>
      </c>
      <c r="K44" s="44" t="n">
        <f aca="false">SUM(D44:J44)</f>
        <v>3</v>
      </c>
    </row>
    <row r="45" customFormat="false" ht="15" hidden="false" customHeight="false" outlineLevel="0" collapsed="false">
      <c r="A45" s="15" t="str">
        <f aca="false">'TỒN KHO'!C51</f>
        <v>ETM-303</v>
      </c>
      <c r="B45" s="15" t="str">
        <f aca="false">'TỒN KHO'!E51</f>
        <v>5L</v>
      </c>
      <c r="C45" s="15" t="str">
        <f aca="false">'TỒN KHO'!D51</f>
        <v>Sơn chống thấm màu ETM 303 (ghi nhạt)</v>
      </c>
      <c r="D45" s="43" t="n">
        <f aca="false">SUMIFS('XUẤT KHO'!$E$5:$E$1004,'XUẤT KHO'!$C$5:$C$1004,$A45,'XUẤT KHO'!$D$5:$D$1004,$B45,'XUẤT KHO'!$A$5:$A$1004,"&gt;="&amp;D$4,'XUẤT KHO'!$A$5:$A$1004,"&lt;"&amp;EDATE(D$4,1))</f>
        <v>0</v>
      </c>
      <c r="E45" s="43" t="n">
        <f aca="false">SUMIFS('XUẤT KHO'!$E$5:$E$1004,'XUẤT KHO'!$C$5:$C$1004,$A45,'XUẤT KHO'!$D$5:$D$1004,$B45,'XUẤT KHO'!$A$5:$A$1004,"&gt;="&amp;E$4,'XUẤT KHO'!$A$5:$A$1004,"&lt;"&amp;EDATE(E$4,1))</f>
        <v>0</v>
      </c>
      <c r="F45" s="43" t="n">
        <f aca="false">SUMIFS('XUẤT KHO'!$E$5:$E$1004,'XUẤT KHO'!$C$5:$C$1004,$A45,'XUẤT KHO'!$D$5:$D$1004,$B45,'XUẤT KHO'!$A$5:$A$1004,"&gt;="&amp;F$4,'XUẤT KHO'!$A$5:$A$1004,"&lt;"&amp;EDATE(F$4,1))</f>
        <v>0</v>
      </c>
      <c r="G45" s="43" t="n">
        <f aca="false">SUMIFS('XUẤT KHO'!$E$5:$E$1004,'XUẤT KHO'!$C$5:$C$1004,$A45,'XUẤT KHO'!$D$5:$D$1004,$B45,'XUẤT KHO'!$A$5:$A$1004,"&gt;="&amp;G$4,'XUẤT KHO'!$A$5:$A$1004,"&lt;"&amp;EDATE(G$4,1))</f>
        <v>0</v>
      </c>
      <c r="H45" s="43" t="n">
        <f aca="false">SUMIFS('XUẤT KHO'!$E$5:$E$1004,'XUẤT KHO'!$C$5:$C$1004,$A45,'XUẤT KHO'!$D$5:$D$1004,$B45,'XUẤT KHO'!$A$5:$A$1004,"&gt;="&amp;H$4,'XUẤT KHO'!$A$5:$A$1004,"&lt;"&amp;EDATE(H$4,1))</f>
        <v>0</v>
      </c>
      <c r="I45" s="43" t="n">
        <f aca="false">SUMIFS('XUẤT KHO'!$E$5:$E$1004,'XUẤT KHO'!$C$5:$C$1004,$A45,'XUẤT KHO'!$D$5:$D$1004,$B45,'XUẤT KHO'!$A$5:$A$1004,"&gt;="&amp;I$4,'XUẤT KHO'!$A$5:$A$1004,"&lt;"&amp;EDATE(I$4,1))</f>
        <v>0</v>
      </c>
      <c r="J45" s="43" t="n">
        <f aca="false">SUMIFS('XUẤT KHO'!$E$5:$E$1004,'XUẤT KHO'!$C$5:$C$1004,$A45,'XUẤT KHO'!$D$5:$D$1004,$B45,'XUẤT KHO'!$A$5:$A$1004,"&gt;="&amp;J$4,'XUẤT KHO'!$A$5:$A$1004,"&lt;"&amp;EDATE(J$4,1))</f>
        <v>0</v>
      </c>
      <c r="K45" s="44" t="n">
        <f aca="false">SUM(D45:J45)</f>
        <v>0</v>
      </c>
    </row>
    <row r="46" customFormat="false" ht="15" hidden="false" customHeight="false" outlineLevel="0" collapsed="false">
      <c r="A46" s="15" t="str">
        <f aca="false">'TỒN KHO'!C52</f>
        <v>ETM-303</v>
      </c>
      <c r="B46" s="15" t="str">
        <f aca="false">'TỒN KHO'!E52</f>
        <v>18L</v>
      </c>
      <c r="C46" s="15" t="str">
        <f aca="false">'TỒN KHO'!D52</f>
        <v>Sơn chống thấm màu ETM 303 (ghi nhạt)</v>
      </c>
      <c r="D46" s="43" t="n">
        <f aca="false">SUMIFS('XUẤT KHO'!$E$5:$E$1004,'XUẤT KHO'!$C$5:$C$1004,$A46,'XUẤT KHO'!$D$5:$D$1004,$B46,'XUẤT KHO'!$A$5:$A$1004,"&gt;="&amp;D$4,'XUẤT KHO'!$A$5:$A$1004,"&lt;"&amp;EDATE(D$4,1))</f>
        <v>0</v>
      </c>
      <c r="E46" s="43" t="n">
        <f aca="false">SUMIFS('XUẤT KHO'!$E$5:$E$1004,'XUẤT KHO'!$C$5:$C$1004,$A46,'XUẤT KHO'!$D$5:$D$1004,$B46,'XUẤT KHO'!$A$5:$A$1004,"&gt;="&amp;E$4,'XUẤT KHO'!$A$5:$A$1004,"&lt;"&amp;EDATE(E$4,1))</f>
        <v>0</v>
      </c>
      <c r="F46" s="43" t="n">
        <f aca="false">SUMIFS('XUẤT KHO'!$E$5:$E$1004,'XUẤT KHO'!$C$5:$C$1004,$A46,'XUẤT KHO'!$D$5:$D$1004,$B46,'XUẤT KHO'!$A$5:$A$1004,"&gt;="&amp;F$4,'XUẤT KHO'!$A$5:$A$1004,"&lt;"&amp;EDATE(F$4,1))</f>
        <v>0</v>
      </c>
      <c r="G46" s="43" t="n">
        <f aca="false">SUMIFS('XUẤT KHO'!$E$5:$E$1004,'XUẤT KHO'!$C$5:$C$1004,$A46,'XUẤT KHO'!$D$5:$D$1004,$B46,'XUẤT KHO'!$A$5:$A$1004,"&gt;="&amp;G$4,'XUẤT KHO'!$A$5:$A$1004,"&lt;"&amp;EDATE(G$4,1))</f>
        <v>0</v>
      </c>
      <c r="H46" s="43" t="n">
        <f aca="false">SUMIFS('XUẤT KHO'!$E$5:$E$1004,'XUẤT KHO'!$C$5:$C$1004,$A46,'XUẤT KHO'!$D$5:$D$1004,$B46,'XUẤT KHO'!$A$5:$A$1004,"&gt;="&amp;H$4,'XUẤT KHO'!$A$5:$A$1004,"&lt;"&amp;EDATE(H$4,1))</f>
        <v>0</v>
      </c>
      <c r="I46" s="43" t="n">
        <f aca="false">SUMIFS('XUẤT KHO'!$E$5:$E$1004,'XUẤT KHO'!$C$5:$C$1004,$A46,'XUẤT KHO'!$D$5:$D$1004,$B46,'XUẤT KHO'!$A$5:$A$1004,"&gt;="&amp;I$4,'XUẤT KHO'!$A$5:$A$1004,"&lt;"&amp;EDATE(I$4,1))</f>
        <v>0</v>
      </c>
      <c r="J46" s="43" t="n">
        <f aca="false">SUMIFS('XUẤT KHO'!$E$5:$E$1004,'XUẤT KHO'!$C$5:$C$1004,$A46,'XUẤT KHO'!$D$5:$D$1004,$B46,'XUẤT KHO'!$A$5:$A$1004,"&gt;="&amp;J$4,'XUẤT KHO'!$A$5:$A$1004,"&lt;"&amp;EDATE(J$4,1))</f>
        <v>0</v>
      </c>
      <c r="K46" s="44" t="n">
        <f aca="false">SUM(D46:J46)</f>
        <v>0</v>
      </c>
    </row>
    <row r="47" customFormat="false" ht="15" hidden="false" customHeight="false" outlineLevel="0" collapsed="false">
      <c r="A47" s="15" t="str">
        <f aca="false">'TỒN KHO'!C53</f>
        <v>CTS</v>
      </c>
      <c r="B47" s="15" t="str">
        <f aca="false">'TỒN KHO'!E53</f>
        <v>5L</v>
      </c>
      <c r="C47" s="15" t="str">
        <f aca="false">'TỒN KHO'!D53</f>
        <v>Sơn chống thấm siêu co giãn CTS-01</v>
      </c>
      <c r="D47" s="43" t="n">
        <f aca="false">SUMIFS('XUẤT KHO'!$E$5:$E$1004,'XUẤT KHO'!$C$5:$C$1004,$A47,'XUẤT KHO'!$D$5:$D$1004,$B47,'XUẤT KHO'!$A$5:$A$1004,"&gt;="&amp;D$4,'XUẤT KHO'!$A$5:$A$1004,"&lt;"&amp;EDATE(D$4,1))</f>
        <v>0</v>
      </c>
      <c r="E47" s="43" t="n">
        <f aca="false">SUMIFS('XUẤT KHO'!$E$5:$E$1004,'XUẤT KHO'!$C$5:$C$1004,$A47,'XUẤT KHO'!$D$5:$D$1004,$B47,'XUẤT KHO'!$A$5:$A$1004,"&gt;="&amp;E$4,'XUẤT KHO'!$A$5:$A$1004,"&lt;"&amp;EDATE(E$4,1))</f>
        <v>0</v>
      </c>
      <c r="F47" s="43" t="n">
        <f aca="false">SUMIFS('XUẤT KHO'!$E$5:$E$1004,'XUẤT KHO'!$C$5:$C$1004,$A47,'XUẤT KHO'!$D$5:$D$1004,$B47,'XUẤT KHO'!$A$5:$A$1004,"&gt;="&amp;F$4,'XUẤT KHO'!$A$5:$A$1004,"&lt;"&amp;EDATE(F$4,1))</f>
        <v>0</v>
      </c>
      <c r="G47" s="43" t="n">
        <f aca="false">SUMIFS('XUẤT KHO'!$E$5:$E$1004,'XUẤT KHO'!$C$5:$C$1004,$A47,'XUẤT KHO'!$D$5:$D$1004,$B47,'XUẤT KHO'!$A$5:$A$1004,"&gt;="&amp;G$4,'XUẤT KHO'!$A$5:$A$1004,"&lt;"&amp;EDATE(G$4,1))</f>
        <v>1</v>
      </c>
      <c r="H47" s="43" t="n">
        <f aca="false">SUMIFS('XUẤT KHO'!$E$5:$E$1004,'XUẤT KHO'!$C$5:$C$1004,$A47,'XUẤT KHO'!$D$5:$D$1004,$B47,'XUẤT KHO'!$A$5:$A$1004,"&gt;="&amp;H$4,'XUẤT KHO'!$A$5:$A$1004,"&lt;"&amp;EDATE(H$4,1))</f>
        <v>0</v>
      </c>
      <c r="I47" s="43" t="n">
        <f aca="false">SUMIFS('XUẤT KHO'!$E$5:$E$1004,'XUẤT KHO'!$C$5:$C$1004,$A47,'XUẤT KHO'!$D$5:$D$1004,$B47,'XUẤT KHO'!$A$5:$A$1004,"&gt;="&amp;I$4,'XUẤT KHO'!$A$5:$A$1004,"&lt;"&amp;EDATE(I$4,1))</f>
        <v>0</v>
      </c>
      <c r="J47" s="43" t="n">
        <f aca="false">SUMIFS('XUẤT KHO'!$E$5:$E$1004,'XUẤT KHO'!$C$5:$C$1004,$A47,'XUẤT KHO'!$D$5:$D$1004,$B47,'XUẤT KHO'!$A$5:$A$1004,"&gt;="&amp;J$4,'XUẤT KHO'!$A$5:$A$1004,"&lt;"&amp;EDATE(J$4,1))</f>
        <v>0</v>
      </c>
      <c r="K47" s="44" t="n">
        <f aca="false">SUM(D47:J47)</f>
        <v>1</v>
      </c>
    </row>
    <row r="48" customFormat="false" ht="15" hidden="false" customHeight="false" outlineLevel="0" collapsed="false">
      <c r="A48" s="15" t="str">
        <f aca="false">'TỒN KHO'!C54</f>
        <v>CTS</v>
      </c>
      <c r="B48" s="15" t="str">
        <f aca="false">'TỒN KHO'!E54</f>
        <v>18L</v>
      </c>
      <c r="C48" s="15" t="str">
        <f aca="false">'TỒN KHO'!D54</f>
        <v>Sơn chống thấm siêu co giãn CTS-01</v>
      </c>
      <c r="D48" s="43" t="n">
        <f aca="false">SUMIFS('XUẤT KHO'!$E$5:$E$1004,'XUẤT KHO'!$C$5:$C$1004,$A48,'XUẤT KHO'!$D$5:$D$1004,$B48,'XUẤT KHO'!$A$5:$A$1004,"&gt;="&amp;D$4,'XUẤT KHO'!$A$5:$A$1004,"&lt;"&amp;EDATE(D$4,1))</f>
        <v>0</v>
      </c>
      <c r="E48" s="43" t="n">
        <f aca="false">SUMIFS('XUẤT KHO'!$E$5:$E$1004,'XUẤT KHO'!$C$5:$C$1004,$A48,'XUẤT KHO'!$D$5:$D$1004,$B48,'XUẤT KHO'!$A$5:$A$1004,"&gt;="&amp;E$4,'XUẤT KHO'!$A$5:$A$1004,"&lt;"&amp;EDATE(E$4,1))</f>
        <v>0</v>
      </c>
      <c r="F48" s="43" t="n">
        <f aca="false">SUMIFS('XUẤT KHO'!$E$5:$E$1004,'XUẤT KHO'!$C$5:$C$1004,$A48,'XUẤT KHO'!$D$5:$D$1004,$B48,'XUẤT KHO'!$A$5:$A$1004,"&gt;="&amp;F$4,'XUẤT KHO'!$A$5:$A$1004,"&lt;"&amp;EDATE(F$4,1))</f>
        <v>0</v>
      </c>
      <c r="G48" s="43" t="n">
        <f aca="false">SUMIFS('XUẤT KHO'!$E$5:$E$1004,'XUẤT KHO'!$C$5:$C$1004,$A48,'XUẤT KHO'!$D$5:$D$1004,$B48,'XUẤT KHO'!$A$5:$A$1004,"&gt;="&amp;G$4,'XUẤT KHO'!$A$5:$A$1004,"&lt;"&amp;EDATE(G$4,1))</f>
        <v>3</v>
      </c>
      <c r="H48" s="43" t="n">
        <f aca="false">SUMIFS('XUẤT KHO'!$E$5:$E$1004,'XUẤT KHO'!$C$5:$C$1004,$A48,'XUẤT KHO'!$D$5:$D$1004,$B48,'XUẤT KHO'!$A$5:$A$1004,"&gt;="&amp;H$4,'XUẤT KHO'!$A$5:$A$1004,"&lt;"&amp;EDATE(H$4,1))</f>
        <v>0</v>
      </c>
      <c r="I48" s="43" t="n">
        <f aca="false">SUMIFS('XUẤT KHO'!$E$5:$E$1004,'XUẤT KHO'!$C$5:$C$1004,$A48,'XUẤT KHO'!$D$5:$D$1004,$B48,'XUẤT KHO'!$A$5:$A$1004,"&gt;="&amp;I$4,'XUẤT KHO'!$A$5:$A$1004,"&lt;"&amp;EDATE(I$4,1))</f>
        <v>0</v>
      </c>
      <c r="J48" s="43" t="n">
        <f aca="false">SUMIFS('XUẤT KHO'!$E$5:$E$1004,'XUẤT KHO'!$C$5:$C$1004,$A48,'XUẤT KHO'!$D$5:$D$1004,$B48,'XUẤT KHO'!$A$5:$A$1004,"&gt;="&amp;J$4,'XUẤT KHO'!$A$5:$A$1004,"&lt;"&amp;EDATE(J$4,1))</f>
        <v>0</v>
      </c>
      <c r="K48" s="44" t="n">
        <f aca="false">SUM(D48:J48)</f>
        <v>3</v>
      </c>
    </row>
    <row r="49" customFormat="false" ht="15" hidden="false" customHeight="false" outlineLevel="0" collapsed="false">
      <c r="A49" s="15" t="str">
        <f aca="false">'TỒN KHO'!C55</f>
        <v>BA-NOI</v>
      </c>
      <c r="B49" s="15" t="str">
        <f aca="false">'TỒN KHO'!E55</f>
        <v>Bao</v>
      </c>
      <c r="C49" s="15" t="str">
        <f aca="false">'TỒN KHO'!D55</f>
        <v>Bột bả nội thất Imperia IP15 (40kg)</v>
      </c>
      <c r="D49" s="43" t="n">
        <f aca="false">SUMIFS('XUẤT KHO'!$E$5:$E$1004,'XUẤT KHO'!$C$5:$C$1004,$A49,'XUẤT KHO'!$D$5:$D$1004,$B49,'XUẤT KHO'!$A$5:$A$1004,"&gt;="&amp;D$4,'XUẤT KHO'!$A$5:$A$1004,"&lt;"&amp;EDATE(D$4,1))</f>
        <v>9</v>
      </c>
      <c r="E49" s="43" t="n">
        <f aca="false">SUMIFS('XUẤT KHO'!$E$5:$E$1004,'XUẤT KHO'!$C$5:$C$1004,$A49,'XUẤT KHO'!$D$5:$D$1004,$B49,'XUẤT KHO'!$A$5:$A$1004,"&gt;="&amp;E$4,'XUẤT KHO'!$A$5:$A$1004,"&lt;"&amp;EDATE(E$4,1))</f>
        <v>12</v>
      </c>
      <c r="F49" s="43" t="n">
        <f aca="false">SUMIFS('XUẤT KHO'!$E$5:$E$1004,'XUẤT KHO'!$C$5:$C$1004,$A49,'XUẤT KHO'!$D$5:$D$1004,$B49,'XUẤT KHO'!$A$5:$A$1004,"&gt;="&amp;F$4,'XUẤT KHO'!$A$5:$A$1004,"&lt;"&amp;EDATE(F$4,1))</f>
        <v>3</v>
      </c>
      <c r="G49" s="43" t="n">
        <f aca="false">SUMIFS('XUẤT KHO'!$E$5:$E$1004,'XUẤT KHO'!$C$5:$C$1004,$A49,'XUẤT KHO'!$D$5:$D$1004,$B49,'XUẤT KHO'!$A$5:$A$1004,"&gt;="&amp;G$4,'XUẤT KHO'!$A$5:$A$1004,"&lt;"&amp;EDATE(G$4,1))</f>
        <v>8</v>
      </c>
      <c r="H49" s="43" t="n">
        <f aca="false">SUMIFS('XUẤT KHO'!$E$5:$E$1004,'XUẤT KHO'!$C$5:$C$1004,$A49,'XUẤT KHO'!$D$5:$D$1004,$B49,'XUẤT KHO'!$A$5:$A$1004,"&gt;="&amp;H$4,'XUẤT KHO'!$A$5:$A$1004,"&lt;"&amp;EDATE(H$4,1))</f>
        <v>0</v>
      </c>
      <c r="I49" s="43" t="n">
        <f aca="false">SUMIFS('XUẤT KHO'!$E$5:$E$1004,'XUẤT KHO'!$C$5:$C$1004,$A49,'XUẤT KHO'!$D$5:$D$1004,$B49,'XUẤT KHO'!$A$5:$A$1004,"&gt;="&amp;I$4,'XUẤT KHO'!$A$5:$A$1004,"&lt;"&amp;EDATE(I$4,1))</f>
        <v>0</v>
      </c>
      <c r="J49" s="43" t="n">
        <f aca="false">SUMIFS('XUẤT KHO'!$E$5:$E$1004,'XUẤT KHO'!$C$5:$C$1004,$A49,'XUẤT KHO'!$D$5:$D$1004,$B49,'XUẤT KHO'!$A$5:$A$1004,"&gt;="&amp;J$4,'XUẤT KHO'!$A$5:$A$1004,"&lt;"&amp;EDATE(J$4,1))</f>
        <v>0</v>
      </c>
      <c r="K49" s="44" t="n">
        <f aca="false">SUM(D49:J49)</f>
        <v>32</v>
      </c>
    </row>
    <row r="50" customFormat="false" ht="15" hidden="false" customHeight="false" outlineLevel="0" collapsed="false">
      <c r="A50" s="15" t="str">
        <f aca="false">'TỒN KHO'!C56</f>
        <v>BA-NGOAI</v>
      </c>
      <c r="B50" s="15" t="str">
        <f aca="false">'TỒN KHO'!E56</f>
        <v>Bao</v>
      </c>
      <c r="C50" s="15" t="str">
        <f aca="false">'TỒN KHO'!D56</f>
        <v>Bột bả ngoại thất Imperia EP14 (40kg)</v>
      </c>
      <c r="D50" s="43" t="n">
        <f aca="false">SUMIFS('XUẤT KHO'!$E$5:$E$1004,'XUẤT KHO'!$C$5:$C$1004,$A50,'XUẤT KHO'!$D$5:$D$1004,$B50,'XUẤT KHO'!$A$5:$A$1004,"&gt;="&amp;D$4,'XUẤT KHO'!$A$5:$A$1004,"&lt;"&amp;EDATE(D$4,1))</f>
        <v>0</v>
      </c>
      <c r="E50" s="43" t="n">
        <f aca="false">SUMIFS('XUẤT KHO'!$E$5:$E$1004,'XUẤT KHO'!$C$5:$C$1004,$A50,'XUẤT KHO'!$D$5:$D$1004,$B50,'XUẤT KHO'!$A$5:$A$1004,"&gt;="&amp;E$4,'XUẤT KHO'!$A$5:$A$1004,"&lt;"&amp;EDATE(E$4,1))</f>
        <v>6</v>
      </c>
      <c r="F50" s="43" t="n">
        <f aca="false">SUMIFS('XUẤT KHO'!$E$5:$E$1004,'XUẤT KHO'!$C$5:$C$1004,$A50,'XUẤT KHO'!$D$5:$D$1004,$B50,'XUẤT KHO'!$A$5:$A$1004,"&gt;="&amp;F$4,'XUẤT KHO'!$A$5:$A$1004,"&lt;"&amp;EDATE(F$4,1))</f>
        <v>0</v>
      </c>
      <c r="G50" s="43" t="n">
        <f aca="false">SUMIFS('XUẤT KHO'!$E$5:$E$1004,'XUẤT KHO'!$C$5:$C$1004,$A50,'XUẤT KHO'!$D$5:$D$1004,$B50,'XUẤT KHO'!$A$5:$A$1004,"&gt;="&amp;G$4,'XUẤT KHO'!$A$5:$A$1004,"&lt;"&amp;EDATE(G$4,1))</f>
        <v>3</v>
      </c>
      <c r="H50" s="43" t="n">
        <f aca="false">SUMIFS('XUẤT KHO'!$E$5:$E$1004,'XUẤT KHO'!$C$5:$C$1004,$A50,'XUẤT KHO'!$D$5:$D$1004,$B50,'XUẤT KHO'!$A$5:$A$1004,"&gt;="&amp;H$4,'XUẤT KHO'!$A$5:$A$1004,"&lt;"&amp;EDATE(H$4,1))</f>
        <v>0</v>
      </c>
      <c r="I50" s="43" t="n">
        <f aca="false">SUMIFS('XUẤT KHO'!$E$5:$E$1004,'XUẤT KHO'!$C$5:$C$1004,$A50,'XUẤT KHO'!$D$5:$D$1004,$B50,'XUẤT KHO'!$A$5:$A$1004,"&gt;="&amp;I$4,'XUẤT KHO'!$A$5:$A$1004,"&lt;"&amp;EDATE(I$4,1))</f>
        <v>0</v>
      </c>
      <c r="J50" s="43" t="n">
        <f aca="false">SUMIFS('XUẤT KHO'!$E$5:$E$1004,'XUẤT KHO'!$C$5:$C$1004,$A50,'XUẤT KHO'!$D$5:$D$1004,$B50,'XUẤT KHO'!$A$5:$A$1004,"&gt;="&amp;J$4,'XUẤT KHO'!$A$5:$A$1004,"&lt;"&amp;EDATE(J$4,1))</f>
        <v>0</v>
      </c>
      <c r="K50" s="44" t="n">
        <f aca="false">SUM(D50:J50)</f>
        <v>9</v>
      </c>
    </row>
    <row r="51" customFormat="false" ht="15" hidden="false" customHeight="false" outlineLevel="0" collapsed="false">
      <c r="A51" s="45"/>
      <c r="B51" s="45"/>
      <c r="C51" s="45" t="s">
        <v>590</v>
      </c>
      <c r="D51" s="46" t="n">
        <f aca="false">SUM(D5:D50)</f>
        <v>283</v>
      </c>
      <c r="E51" s="46" t="n">
        <f aca="false">SUM(E5:E50)</f>
        <v>141</v>
      </c>
      <c r="F51" s="46" t="n">
        <f aca="false">SUM(F5:F50)</f>
        <v>113</v>
      </c>
      <c r="G51" s="46" t="n">
        <f aca="false">SUM(G5:G50)</f>
        <v>123</v>
      </c>
      <c r="H51" s="46" t="n">
        <f aca="false">SUM(H5:H50)</f>
        <v>0</v>
      </c>
      <c r="I51" s="46" t="n">
        <f aca="false">SUM(I5:I50)</f>
        <v>0</v>
      </c>
      <c r="J51" s="46" t="n">
        <f aca="false">SUM(J5:J50)</f>
        <v>0</v>
      </c>
      <c r="K51" s="46" t="n">
        <f aca="false">SUM(K5:K50)</f>
        <v>660</v>
      </c>
    </row>
    <row r="52" customFormat="false" ht="15" hidden="false" customHeight="false" outlineLevel="0" collapsed="false">
      <c r="A52" s="45"/>
      <c r="B52" s="45"/>
      <c r="C52" s="45" t="s">
        <v>591</v>
      </c>
      <c r="D52" s="46" t="n">
        <f aca="false">SUMIFS('XUẤT KHO'!$H$5:$H$1004,'XUẤT KHO'!$A$5:$A$1004,"&gt;="&amp;D$4,'XUẤT KHO'!$A$5:$A$1004,"&lt;"&amp;EDATE(D$4,1))</f>
        <v>856465350</v>
      </c>
      <c r="E52" s="46" t="n">
        <f aca="false">SUMIFS('XUẤT KHO'!$H$5:$H$1004,'XUẤT KHO'!$A$5:$A$1004,"&gt;="&amp;E$4,'XUẤT KHO'!$A$5:$A$1004,"&lt;"&amp;EDATE(E$4,1))</f>
        <v>492462400</v>
      </c>
      <c r="F52" s="46" t="n">
        <f aca="false">SUMIFS('XUẤT KHO'!$H$5:$H$1004,'XUẤT KHO'!$A$5:$A$1004,"&gt;="&amp;F$4,'XUẤT KHO'!$A$5:$A$1004,"&lt;"&amp;EDATE(F$4,1))</f>
        <v>399198050</v>
      </c>
      <c r="G52" s="46" t="n">
        <f aca="false">SUMIFS('XUẤT KHO'!$H$5:$H$1004,'XUẤT KHO'!$A$5:$A$1004,"&gt;="&amp;G$4,'XUẤT KHO'!$A$5:$A$1004,"&lt;"&amp;EDATE(G$4,1))</f>
        <v>368195300</v>
      </c>
      <c r="H52" s="46" t="n">
        <f aca="false">SUMIFS('XUẤT KHO'!$H$5:$H$1004,'XUẤT KHO'!$A$5:$A$1004,"&gt;="&amp;H$4,'XUẤT KHO'!$A$5:$A$1004,"&lt;"&amp;EDATE(H$4,1))</f>
        <v>0</v>
      </c>
      <c r="I52" s="46" t="n">
        <f aca="false">SUMIFS('XUẤT KHO'!$H$5:$H$1004,'XUẤT KHO'!$A$5:$A$1004,"&gt;="&amp;I$4,'XUẤT KHO'!$A$5:$A$1004,"&lt;"&amp;EDATE(I$4,1))</f>
        <v>0</v>
      </c>
      <c r="J52" s="46" t="n">
        <f aca="false">SUMIFS('XUẤT KHO'!$H$5:$H$1004,'XUẤT KHO'!$A$5:$A$1004,"&gt;="&amp;J$4,'XUẤT KHO'!$A$5:$A$1004,"&lt;"&amp;EDATE(J$4,1))</f>
        <v>0</v>
      </c>
      <c r="K52" s="46" t="n">
        <f aca="false">SUM(D52:J52)</f>
        <v>2116321100</v>
      </c>
    </row>
    <row r="54" customFormat="false" ht="15" hidden="false" customHeight="false" outlineLevel="0" collapsed="false">
      <c r="A54" s="2" t="s">
        <v>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4"/>
  </cols>
  <sheetData>
    <row r="1" customFormat="false" ht="19.7" hidden="false" customHeight="false" outlineLevel="0" collapsed="false">
      <c r="A1" s="22" t="s">
        <v>593</v>
      </c>
    </row>
    <row r="2" customFormat="false" ht="15" hidden="false" customHeight="false" outlineLevel="0" collapsed="false">
      <c r="A2" s="2" t="s">
        <v>594</v>
      </c>
    </row>
    <row r="4" customFormat="false" ht="31.5" hidden="false" customHeight="true" outlineLevel="0" collapsed="false">
      <c r="A4" s="13" t="s">
        <v>595</v>
      </c>
      <c r="B4" s="13" t="s">
        <v>8</v>
      </c>
      <c r="C4" s="13" t="s">
        <v>9</v>
      </c>
      <c r="D4" s="13" t="s">
        <v>596</v>
      </c>
    </row>
    <row r="5" customFormat="false" ht="15" hidden="false" customHeight="false" outlineLevel="0" collapsed="false">
      <c r="A5" s="47" t="s">
        <v>51</v>
      </c>
      <c r="B5" s="47" t="s">
        <v>51</v>
      </c>
      <c r="C5" s="47" t="s">
        <v>54</v>
      </c>
      <c r="D5" s="48" t="n">
        <v>195</v>
      </c>
    </row>
    <row r="6" customFormat="false" ht="15" hidden="false" customHeight="false" outlineLevel="0" collapsed="false">
      <c r="A6" s="47" t="s">
        <v>51</v>
      </c>
      <c r="B6" s="47" t="s">
        <v>51</v>
      </c>
      <c r="C6" s="47" t="s">
        <v>53</v>
      </c>
      <c r="D6" s="48" t="n">
        <v>6</v>
      </c>
    </row>
    <row r="7" customFormat="false" ht="15" hidden="false" customHeight="false" outlineLevel="0" collapsed="false">
      <c r="A7" s="47" t="s">
        <v>55</v>
      </c>
      <c r="B7" s="47" t="s">
        <v>55</v>
      </c>
      <c r="C7" s="47" t="s">
        <v>54</v>
      </c>
      <c r="D7" s="48" t="n">
        <v>253</v>
      </c>
    </row>
    <row r="8" customFormat="false" ht="15" hidden="false" customHeight="false" outlineLevel="0" collapsed="false">
      <c r="A8" s="47" t="s">
        <v>57</v>
      </c>
      <c r="B8" s="47" t="s">
        <v>57</v>
      </c>
      <c r="C8" s="47" t="s">
        <v>54</v>
      </c>
      <c r="D8" s="48" t="n">
        <v>25</v>
      </c>
    </row>
    <row r="9" customFormat="false" ht="15" hidden="false" customHeight="false" outlineLevel="0" collapsed="false">
      <c r="A9" s="47" t="s">
        <v>57</v>
      </c>
      <c r="B9" s="47" t="s">
        <v>57</v>
      </c>
      <c r="C9" s="47" t="s">
        <v>53</v>
      </c>
      <c r="D9" s="48" t="n">
        <v>7</v>
      </c>
    </row>
    <row r="10" customFormat="false" ht="15" hidden="false" customHeight="false" outlineLevel="0" collapsed="false">
      <c r="A10" s="47" t="s">
        <v>59</v>
      </c>
      <c r="B10" s="47" t="s">
        <v>59</v>
      </c>
      <c r="C10" s="47" t="s">
        <v>54</v>
      </c>
      <c r="D10" s="48" t="n">
        <v>14</v>
      </c>
    </row>
    <row r="11" customFormat="false" ht="15" hidden="false" customHeight="false" outlineLevel="0" collapsed="false">
      <c r="A11" s="47" t="s">
        <v>59</v>
      </c>
      <c r="B11" s="47" t="s">
        <v>59</v>
      </c>
      <c r="C11" s="47" t="s">
        <v>53</v>
      </c>
      <c r="D11" s="48" t="n">
        <v>4</v>
      </c>
    </row>
    <row r="12" customFormat="false" ht="15" hidden="false" customHeight="false" outlineLevel="0" collapsed="false">
      <c r="A12" s="47" t="s">
        <v>65</v>
      </c>
      <c r="B12" s="47" t="s">
        <v>65</v>
      </c>
      <c r="C12" s="47" t="s">
        <v>54</v>
      </c>
      <c r="D12" s="48" t="n">
        <v>34</v>
      </c>
    </row>
    <row r="13" customFormat="false" ht="15" hidden="false" customHeight="false" outlineLevel="0" collapsed="false">
      <c r="A13" s="47" t="s">
        <v>65</v>
      </c>
      <c r="B13" s="47" t="s">
        <v>65</v>
      </c>
      <c r="C13" s="47" t="s">
        <v>53</v>
      </c>
      <c r="D13" s="48" t="n">
        <v>12</v>
      </c>
    </row>
    <row r="14" customFormat="false" ht="15" hidden="false" customHeight="false" outlineLevel="0" collapsed="false">
      <c r="A14" s="47" t="s">
        <v>88</v>
      </c>
      <c r="B14" s="47" t="s">
        <v>88</v>
      </c>
      <c r="C14" s="47" t="s">
        <v>54</v>
      </c>
      <c r="D14" s="48" t="n">
        <v>46</v>
      </c>
    </row>
    <row r="15" customFormat="false" ht="15" hidden="false" customHeight="false" outlineLevel="0" collapsed="false">
      <c r="A15" s="47" t="s">
        <v>88</v>
      </c>
      <c r="B15" s="47" t="s">
        <v>88</v>
      </c>
      <c r="C15" s="47" t="s">
        <v>53</v>
      </c>
      <c r="D15" s="48" t="n">
        <v>33</v>
      </c>
    </row>
    <row r="16" customFormat="false" ht="15" hidden="false" customHeight="false" outlineLevel="0" collapsed="false">
      <c r="A16" s="47" t="s">
        <v>90</v>
      </c>
      <c r="B16" s="47" t="s">
        <v>90</v>
      </c>
      <c r="C16" s="47" t="s">
        <v>54</v>
      </c>
      <c r="D16" s="48" t="n">
        <v>120</v>
      </c>
    </row>
    <row r="17" customFormat="false" ht="15" hidden="false" customHeight="false" outlineLevel="0" collapsed="false">
      <c r="A17" s="47" t="s">
        <v>90</v>
      </c>
      <c r="B17" s="47" t="s">
        <v>90</v>
      </c>
      <c r="C17" s="47" t="s">
        <v>53</v>
      </c>
      <c r="D17" s="48" t="n">
        <v>23</v>
      </c>
    </row>
    <row r="18" customFormat="false" ht="15" hidden="false" customHeight="false" outlineLevel="0" collapsed="false">
      <c r="A18" s="47" t="s">
        <v>96</v>
      </c>
      <c r="B18" s="47" t="s">
        <v>96</v>
      </c>
      <c r="C18" s="47" t="s">
        <v>54</v>
      </c>
      <c r="D18" s="48" t="n">
        <v>9</v>
      </c>
    </row>
    <row r="19" customFormat="false" ht="15" hidden="false" customHeight="false" outlineLevel="0" collapsed="false">
      <c r="A19" s="47" t="s">
        <v>597</v>
      </c>
      <c r="B19" s="47" t="s">
        <v>67</v>
      </c>
      <c r="C19" s="47" t="s">
        <v>54</v>
      </c>
      <c r="D19" s="48" t="n">
        <v>71</v>
      </c>
    </row>
    <row r="20" customFormat="false" ht="15" hidden="false" customHeight="false" outlineLevel="0" collapsed="false">
      <c r="A20" s="47" t="s">
        <v>597</v>
      </c>
      <c r="B20" s="47" t="s">
        <v>67</v>
      </c>
      <c r="C20" s="47" t="s">
        <v>53</v>
      </c>
      <c r="D20" s="48" t="n">
        <v>24</v>
      </c>
    </row>
    <row r="21" customFormat="false" ht="15" hidden="false" customHeight="false" outlineLevel="0" collapsed="false">
      <c r="A21" s="47" t="s">
        <v>598</v>
      </c>
      <c r="B21" s="47" t="s">
        <v>80</v>
      </c>
      <c r="C21" s="47" t="s">
        <v>54</v>
      </c>
      <c r="D21" s="48" t="n">
        <v>72</v>
      </c>
    </row>
    <row r="22" customFormat="false" ht="15" hidden="false" customHeight="false" outlineLevel="0" collapsed="false">
      <c r="A22" s="47" t="s">
        <v>598</v>
      </c>
      <c r="B22" s="47" t="s">
        <v>80</v>
      </c>
      <c r="C22" s="47" t="s">
        <v>53</v>
      </c>
      <c r="D22" s="48" t="n">
        <v>22</v>
      </c>
    </row>
    <row r="23" customFormat="false" ht="15" hidden="false" customHeight="false" outlineLevel="0" collapsed="false">
      <c r="A23" s="47" t="s">
        <v>599</v>
      </c>
      <c r="B23" s="47" t="s">
        <v>80</v>
      </c>
      <c r="C23" s="47" t="s">
        <v>53</v>
      </c>
      <c r="D23" s="48" t="n">
        <v>3</v>
      </c>
    </row>
    <row r="24" customFormat="false" ht="15" hidden="false" customHeight="false" outlineLevel="0" collapsed="false">
      <c r="A24" s="47" t="s">
        <v>61</v>
      </c>
      <c r="B24" s="47" t="s">
        <v>61</v>
      </c>
      <c r="C24" s="47" t="s">
        <v>54</v>
      </c>
      <c r="D24" s="48" t="n">
        <v>94</v>
      </c>
    </row>
    <row r="25" customFormat="false" ht="15" hidden="false" customHeight="false" outlineLevel="0" collapsed="false">
      <c r="A25" s="47" t="s">
        <v>61</v>
      </c>
      <c r="B25" s="47" t="s">
        <v>61</v>
      </c>
      <c r="C25" s="47" t="s">
        <v>53</v>
      </c>
      <c r="D25" s="48" t="n">
        <v>21</v>
      </c>
    </row>
    <row r="26" customFormat="false" ht="15" hidden="false" customHeight="false" outlineLevel="0" collapsed="false">
      <c r="A26" s="47" t="s">
        <v>63</v>
      </c>
      <c r="B26" s="47" t="s">
        <v>63</v>
      </c>
      <c r="C26" s="47" t="s">
        <v>54</v>
      </c>
      <c r="D26" s="48" t="n">
        <v>68</v>
      </c>
    </row>
    <row r="27" customFormat="false" ht="15" hidden="false" customHeight="false" outlineLevel="0" collapsed="false">
      <c r="A27" s="47" t="s">
        <v>63</v>
      </c>
      <c r="B27" s="47" t="s">
        <v>63</v>
      </c>
      <c r="C27" s="47" t="s">
        <v>53</v>
      </c>
      <c r="D27" s="48" t="n">
        <v>21</v>
      </c>
    </row>
    <row r="28" customFormat="false" ht="15" hidden="false" customHeight="false" outlineLevel="0" collapsed="false">
      <c r="A28" s="47" t="s">
        <v>600</v>
      </c>
      <c r="B28" s="47" t="s">
        <v>71</v>
      </c>
      <c r="C28" s="47" t="s">
        <v>54</v>
      </c>
      <c r="D28" s="48" t="n">
        <v>185</v>
      </c>
    </row>
    <row r="29" customFormat="false" ht="15" hidden="false" customHeight="false" outlineLevel="0" collapsed="false">
      <c r="A29" s="47" t="s">
        <v>600</v>
      </c>
      <c r="B29" s="47" t="s">
        <v>71</v>
      </c>
      <c r="C29" s="47" t="s">
        <v>53</v>
      </c>
      <c r="D29" s="48" t="n">
        <v>107</v>
      </c>
    </row>
    <row r="30" customFormat="false" ht="15" hidden="false" customHeight="false" outlineLevel="0" collapsed="false">
      <c r="A30" s="47" t="s">
        <v>601</v>
      </c>
      <c r="B30" s="47" t="s">
        <v>69</v>
      </c>
      <c r="C30" s="47" t="s">
        <v>54</v>
      </c>
      <c r="D30" s="48" t="n">
        <v>52</v>
      </c>
    </row>
    <row r="31" customFormat="false" ht="15" hidden="false" customHeight="false" outlineLevel="0" collapsed="false">
      <c r="A31" s="47" t="s">
        <v>601</v>
      </c>
      <c r="B31" s="47" t="s">
        <v>69</v>
      </c>
      <c r="C31" s="47" t="s">
        <v>53</v>
      </c>
      <c r="D31" s="48" t="n">
        <v>44</v>
      </c>
    </row>
    <row r="32" customFormat="false" ht="15" hidden="false" customHeight="false" outlineLevel="0" collapsed="false">
      <c r="A32" s="47" t="s">
        <v>602</v>
      </c>
      <c r="B32" s="47" t="s">
        <v>84</v>
      </c>
      <c r="C32" s="47" t="s">
        <v>54</v>
      </c>
      <c r="D32" s="48" t="n">
        <v>239</v>
      </c>
    </row>
    <row r="33" customFormat="false" ht="15" hidden="false" customHeight="false" outlineLevel="0" collapsed="false">
      <c r="A33" s="47" t="s">
        <v>602</v>
      </c>
      <c r="B33" s="47" t="s">
        <v>84</v>
      </c>
      <c r="C33" s="47" t="s">
        <v>53</v>
      </c>
      <c r="D33" s="48" t="n">
        <v>65</v>
      </c>
    </row>
    <row r="34" customFormat="false" ht="15" hidden="false" customHeight="false" outlineLevel="0" collapsed="false">
      <c r="A34" s="47" t="s">
        <v>602</v>
      </c>
      <c r="B34" s="47" t="s">
        <v>84</v>
      </c>
      <c r="C34" s="47" t="s">
        <v>79</v>
      </c>
      <c r="D34" s="48" t="n">
        <v>83</v>
      </c>
    </row>
    <row r="35" customFormat="false" ht="15" hidden="false" customHeight="false" outlineLevel="0" collapsed="false">
      <c r="A35" s="47" t="s">
        <v>603</v>
      </c>
      <c r="B35" s="47" t="s">
        <v>84</v>
      </c>
      <c r="C35" s="47" t="s">
        <v>53</v>
      </c>
      <c r="D35" s="48" t="n">
        <v>58</v>
      </c>
    </row>
    <row r="36" customFormat="false" ht="15" hidden="false" customHeight="false" outlineLevel="0" collapsed="false">
      <c r="A36" s="47" t="s">
        <v>603</v>
      </c>
      <c r="B36" s="47" t="s">
        <v>84</v>
      </c>
      <c r="C36" s="47" t="s">
        <v>79</v>
      </c>
      <c r="D36" s="48" t="n">
        <v>50</v>
      </c>
    </row>
    <row r="37" customFormat="false" ht="15" hidden="false" customHeight="false" outlineLevel="0" collapsed="false">
      <c r="A37" s="47" t="s">
        <v>604</v>
      </c>
      <c r="B37" s="47" t="s">
        <v>84</v>
      </c>
      <c r="C37" s="47" t="s">
        <v>53</v>
      </c>
      <c r="D37" s="48" t="n">
        <v>57</v>
      </c>
    </row>
    <row r="38" customFormat="false" ht="15" hidden="false" customHeight="false" outlineLevel="0" collapsed="false">
      <c r="A38" s="47" t="s">
        <v>604</v>
      </c>
      <c r="B38" s="47" t="s">
        <v>84</v>
      </c>
      <c r="C38" s="47" t="s">
        <v>79</v>
      </c>
      <c r="D38" s="48" t="n">
        <v>53</v>
      </c>
    </row>
    <row r="39" customFormat="false" ht="15" hidden="false" customHeight="false" outlineLevel="0" collapsed="false">
      <c r="A39" s="47" t="s">
        <v>605</v>
      </c>
      <c r="B39" s="47" t="s">
        <v>84</v>
      </c>
      <c r="C39" s="47" t="s">
        <v>53</v>
      </c>
      <c r="D39" s="48" t="n">
        <v>50</v>
      </c>
    </row>
    <row r="40" customFormat="false" ht="15" hidden="false" customHeight="false" outlineLevel="0" collapsed="false">
      <c r="A40" s="47" t="s">
        <v>605</v>
      </c>
      <c r="B40" s="47" t="s">
        <v>84</v>
      </c>
      <c r="C40" s="47" t="s">
        <v>79</v>
      </c>
      <c r="D40" s="48" t="n">
        <v>39</v>
      </c>
    </row>
    <row r="41" customFormat="false" ht="15" hidden="false" customHeight="false" outlineLevel="0" collapsed="false">
      <c r="A41" s="47" t="s">
        <v>606</v>
      </c>
      <c r="B41" s="47" t="s">
        <v>82</v>
      </c>
      <c r="C41" s="47" t="s">
        <v>54</v>
      </c>
      <c r="D41" s="48" t="n">
        <v>30</v>
      </c>
    </row>
    <row r="42" customFormat="false" ht="15" hidden="false" customHeight="false" outlineLevel="0" collapsed="false">
      <c r="A42" s="47" t="s">
        <v>606</v>
      </c>
      <c r="B42" s="47" t="s">
        <v>82</v>
      </c>
      <c r="C42" s="47" t="s">
        <v>53</v>
      </c>
      <c r="D42" s="48" t="n">
        <v>36</v>
      </c>
    </row>
    <row r="43" customFormat="false" ht="15" hidden="false" customHeight="false" outlineLevel="0" collapsed="false">
      <c r="A43" s="47" t="s">
        <v>607</v>
      </c>
      <c r="B43" s="47" t="s">
        <v>82</v>
      </c>
      <c r="C43" s="47" t="s">
        <v>53</v>
      </c>
      <c r="D43" s="48" t="n">
        <v>31</v>
      </c>
    </row>
    <row r="44" customFormat="false" ht="15" hidden="false" customHeight="false" outlineLevel="0" collapsed="false">
      <c r="A44" s="47" t="s">
        <v>607</v>
      </c>
      <c r="B44" s="47" t="s">
        <v>82</v>
      </c>
      <c r="C44" s="47" t="s">
        <v>79</v>
      </c>
      <c r="D44" s="48" t="n">
        <v>46</v>
      </c>
    </row>
    <row r="45" customFormat="false" ht="15" hidden="false" customHeight="false" outlineLevel="0" collapsed="false">
      <c r="A45" s="47" t="s">
        <v>608</v>
      </c>
      <c r="B45" s="47" t="s">
        <v>82</v>
      </c>
      <c r="C45" s="47" t="s">
        <v>53</v>
      </c>
      <c r="D45" s="48" t="n">
        <v>44</v>
      </c>
    </row>
    <row r="46" customFormat="false" ht="15" hidden="false" customHeight="false" outlineLevel="0" collapsed="false">
      <c r="A46" s="47" t="s">
        <v>608</v>
      </c>
      <c r="B46" s="47" t="s">
        <v>82</v>
      </c>
      <c r="C46" s="47" t="s">
        <v>79</v>
      </c>
      <c r="D46" s="48" t="n">
        <v>32</v>
      </c>
    </row>
    <row r="47" customFormat="false" ht="15" hidden="false" customHeight="false" outlineLevel="0" collapsed="false">
      <c r="A47" s="47" t="s">
        <v>609</v>
      </c>
      <c r="B47" s="47" t="s">
        <v>82</v>
      </c>
      <c r="C47" s="47" t="s">
        <v>53</v>
      </c>
      <c r="D47" s="48" t="n">
        <v>29</v>
      </c>
    </row>
    <row r="48" customFormat="false" ht="15" hidden="false" customHeight="false" outlineLevel="0" collapsed="false">
      <c r="A48" s="47" t="s">
        <v>609</v>
      </c>
      <c r="B48" s="47" t="s">
        <v>82</v>
      </c>
      <c r="C48" s="47" t="s">
        <v>79</v>
      </c>
      <c r="D48" s="48" t="n">
        <v>33</v>
      </c>
    </row>
    <row r="49" customFormat="false" ht="15" hidden="false" customHeight="false" outlineLevel="0" collapsed="false">
      <c r="A49" s="47" t="s">
        <v>610</v>
      </c>
      <c r="B49" s="47" t="s">
        <v>73</v>
      </c>
      <c r="C49" s="47" t="s">
        <v>54</v>
      </c>
      <c r="D49" s="48" t="n">
        <v>24</v>
      </c>
    </row>
    <row r="50" customFormat="false" ht="15" hidden="false" customHeight="false" outlineLevel="0" collapsed="false">
      <c r="A50" s="47" t="s">
        <v>610</v>
      </c>
      <c r="B50" s="47" t="s">
        <v>73</v>
      </c>
      <c r="C50" s="47" t="s">
        <v>53</v>
      </c>
      <c r="D50" s="48" t="n">
        <v>12</v>
      </c>
    </row>
    <row r="51" customFormat="false" ht="15" hidden="false" customHeight="false" outlineLevel="0" collapsed="false">
      <c r="A51" s="47" t="s">
        <v>611</v>
      </c>
      <c r="B51" s="47" t="s">
        <v>86</v>
      </c>
      <c r="C51" s="47" t="s">
        <v>53</v>
      </c>
      <c r="D51" s="48" t="n">
        <v>35</v>
      </c>
    </row>
    <row r="52" customFormat="false" ht="15" hidden="false" customHeight="false" outlineLevel="0" collapsed="false">
      <c r="A52" s="47" t="s">
        <v>611</v>
      </c>
      <c r="B52" s="47" t="s">
        <v>86</v>
      </c>
      <c r="C52" s="47" t="s">
        <v>79</v>
      </c>
      <c r="D52" s="48" t="n">
        <v>1</v>
      </c>
    </row>
    <row r="53" customFormat="false" ht="15" hidden="false" customHeight="false" outlineLevel="0" collapsed="false">
      <c r="A53" s="47" t="s">
        <v>612</v>
      </c>
      <c r="B53" s="47" t="s">
        <v>86</v>
      </c>
      <c r="C53" s="47" t="s">
        <v>53</v>
      </c>
      <c r="D53" s="48" t="n">
        <v>18</v>
      </c>
    </row>
    <row r="54" customFormat="false" ht="15" hidden="false" customHeight="false" outlineLevel="0" collapsed="false">
      <c r="A54" s="47" t="s">
        <v>613</v>
      </c>
      <c r="B54" s="47" t="s">
        <v>86</v>
      </c>
      <c r="C54" s="47" t="s">
        <v>53</v>
      </c>
      <c r="D54" s="48" t="n">
        <v>9</v>
      </c>
    </row>
    <row r="55" customFormat="false" ht="15" hidden="false" customHeight="false" outlineLevel="0" collapsed="false">
      <c r="A55" s="47" t="s">
        <v>614</v>
      </c>
      <c r="B55" s="47" t="s">
        <v>86</v>
      </c>
      <c r="C55" s="47" t="s">
        <v>53</v>
      </c>
      <c r="D55" s="48" t="n">
        <v>19</v>
      </c>
    </row>
    <row r="56" customFormat="false" ht="15" hidden="false" customHeight="false" outlineLevel="0" collapsed="false">
      <c r="A56" s="47" t="s">
        <v>614</v>
      </c>
      <c r="B56" s="47" t="s">
        <v>86</v>
      </c>
      <c r="C56" s="47" t="s">
        <v>79</v>
      </c>
      <c r="D56" s="48" t="n">
        <v>5</v>
      </c>
    </row>
    <row r="57" customFormat="false" ht="15" hidden="false" customHeight="false" outlineLevel="0" collapsed="false">
      <c r="A57" s="47" t="s">
        <v>77</v>
      </c>
      <c r="B57" s="47" t="s">
        <v>77</v>
      </c>
      <c r="C57" s="47" t="s">
        <v>79</v>
      </c>
      <c r="D57" s="48" t="n">
        <v>11</v>
      </c>
    </row>
    <row r="58" customFormat="false" ht="15" hidden="false" customHeight="false" outlineLevel="0" collapsed="false">
      <c r="A58" s="47" t="s">
        <v>75</v>
      </c>
      <c r="B58" s="47" t="s">
        <v>75</v>
      </c>
      <c r="C58" s="47" t="s">
        <v>54</v>
      </c>
      <c r="D58" s="48" t="n">
        <v>22</v>
      </c>
    </row>
    <row r="59" customFormat="false" ht="15" hidden="false" customHeight="false" outlineLevel="0" collapsed="false">
      <c r="A59" s="47" t="s">
        <v>615</v>
      </c>
      <c r="B59" s="47" t="s">
        <v>92</v>
      </c>
      <c r="C59" s="47" t="s">
        <v>54</v>
      </c>
      <c r="D59" s="48" t="n">
        <v>7</v>
      </c>
    </row>
    <row r="60" customFormat="false" ht="15" hidden="false" customHeight="false" outlineLevel="0" collapsed="false">
      <c r="A60" s="47" t="s">
        <v>94</v>
      </c>
      <c r="B60" s="47" t="s">
        <v>94</v>
      </c>
      <c r="C60" s="47" t="s">
        <v>53</v>
      </c>
      <c r="D60" s="48" t="n">
        <v>3</v>
      </c>
    </row>
    <row r="61" customFormat="false" ht="15" hidden="false" customHeight="false" outlineLevel="0" collapsed="false">
      <c r="A61" s="47" t="s">
        <v>616</v>
      </c>
      <c r="B61" s="47" t="s">
        <v>98</v>
      </c>
      <c r="C61" s="47" t="s">
        <v>100</v>
      </c>
      <c r="D61" s="48" t="n">
        <v>11</v>
      </c>
    </row>
    <row r="62" customFormat="false" ht="15" hidden="false" customHeight="false" outlineLevel="0" collapsed="false">
      <c r="A62" s="47" t="s">
        <v>617</v>
      </c>
      <c r="B62" s="47" t="s">
        <v>101</v>
      </c>
      <c r="C62" s="47" t="s">
        <v>100</v>
      </c>
      <c r="D62" s="48" t="n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4"/>
  </cols>
  <sheetData>
    <row r="1" customFormat="false" ht="19.7" hidden="false" customHeight="false" outlineLevel="0" collapsed="false">
      <c r="A1" s="22" t="s">
        <v>618</v>
      </c>
    </row>
    <row r="2" customFormat="false" ht="15" hidden="false" customHeight="false" outlineLevel="0" collapsed="false">
      <c r="A2" s="2" t="s">
        <v>619</v>
      </c>
    </row>
    <row r="4" customFormat="false" ht="31.5" hidden="false" customHeight="true" outlineLevel="0" collapsed="false">
      <c r="A4" s="13" t="s">
        <v>8</v>
      </c>
      <c r="B4" s="13" t="s">
        <v>10</v>
      </c>
      <c r="C4" s="13" t="s">
        <v>21</v>
      </c>
    </row>
    <row r="5" customFormat="false" ht="15" hidden="false" customHeight="false" outlineLevel="0" collapsed="false">
      <c r="A5" s="15" t="s">
        <v>51</v>
      </c>
      <c r="B5" s="15" t="s">
        <v>52</v>
      </c>
      <c r="C5" s="15" t="s">
        <v>25</v>
      </c>
    </row>
    <row r="6" customFormat="false" ht="15" hidden="false" customHeight="false" outlineLevel="0" collapsed="false">
      <c r="A6" s="15" t="s">
        <v>55</v>
      </c>
      <c r="B6" s="15" t="s">
        <v>56</v>
      </c>
      <c r="C6" s="15" t="s">
        <v>25</v>
      </c>
    </row>
    <row r="7" customFormat="false" ht="15" hidden="false" customHeight="false" outlineLevel="0" collapsed="false">
      <c r="A7" s="15" t="s">
        <v>57</v>
      </c>
      <c r="B7" s="15" t="s">
        <v>58</v>
      </c>
      <c r="C7" s="15" t="s">
        <v>25</v>
      </c>
    </row>
    <row r="8" customFormat="false" ht="15" hidden="false" customHeight="false" outlineLevel="0" collapsed="false">
      <c r="A8" s="15" t="s">
        <v>59</v>
      </c>
      <c r="B8" s="15" t="s">
        <v>60</v>
      </c>
      <c r="C8" s="15" t="s">
        <v>25</v>
      </c>
    </row>
    <row r="9" customFormat="false" ht="15" hidden="false" customHeight="false" outlineLevel="0" collapsed="false">
      <c r="A9" s="15" t="s">
        <v>61</v>
      </c>
      <c r="B9" s="15" t="s">
        <v>62</v>
      </c>
      <c r="C9" s="15" t="s">
        <v>25</v>
      </c>
    </row>
    <row r="10" customFormat="false" ht="15" hidden="false" customHeight="false" outlineLevel="0" collapsed="false">
      <c r="A10" s="15" t="s">
        <v>63</v>
      </c>
      <c r="B10" s="15" t="s">
        <v>64</v>
      </c>
      <c r="C10" s="15" t="s">
        <v>25</v>
      </c>
    </row>
    <row r="11" customFormat="false" ht="15" hidden="false" customHeight="false" outlineLevel="0" collapsed="false">
      <c r="A11" s="15" t="s">
        <v>65</v>
      </c>
      <c r="B11" s="15" t="s">
        <v>66</v>
      </c>
      <c r="C11" s="15" t="s">
        <v>26</v>
      </c>
    </row>
    <row r="12" customFormat="false" ht="15" hidden="false" customHeight="false" outlineLevel="0" collapsed="false">
      <c r="A12" s="15" t="s">
        <v>67</v>
      </c>
      <c r="B12" s="15" t="s">
        <v>68</v>
      </c>
      <c r="C12" s="15" t="s">
        <v>26</v>
      </c>
    </row>
    <row r="13" customFormat="false" ht="15" hidden="false" customHeight="false" outlineLevel="0" collapsed="false">
      <c r="A13" s="15" t="s">
        <v>69</v>
      </c>
      <c r="B13" s="15" t="s">
        <v>70</v>
      </c>
      <c r="C13" s="15" t="s">
        <v>26</v>
      </c>
    </row>
    <row r="14" customFormat="false" ht="15" hidden="false" customHeight="false" outlineLevel="0" collapsed="false">
      <c r="A14" s="15" t="s">
        <v>71</v>
      </c>
      <c r="B14" s="15" t="s">
        <v>72</v>
      </c>
      <c r="C14" s="15" t="s">
        <v>26</v>
      </c>
    </row>
    <row r="15" customFormat="false" ht="15" hidden="false" customHeight="false" outlineLevel="0" collapsed="false">
      <c r="A15" s="15" t="s">
        <v>73</v>
      </c>
      <c r="B15" s="15" t="s">
        <v>74</v>
      </c>
      <c r="C15" s="15" t="s">
        <v>26</v>
      </c>
    </row>
    <row r="16" customFormat="false" ht="15" hidden="false" customHeight="false" outlineLevel="0" collapsed="false">
      <c r="A16" s="15" t="s">
        <v>75</v>
      </c>
      <c r="B16" s="15" t="s">
        <v>76</v>
      </c>
      <c r="C16" s="15" t="s">
        <v>26</v>
      </c>
    </row>
    <row r="17" customFormat="false" ht="15" hidden="false" customHeight="false" outlineLevel="0" collapsed="false">
      <c r="A17" s="15" t="s">
        <v>77</v>
      </c>
      <c r="B17" s="15" t="s">
        <v>78</v>
      </c>
      <c r="C17" s="15" t="s">
        <v>26</v>
      </c>
    </row>
    <row r="18" customFormat="false" ht="15" hidden="false" customHeight="false" outlineLevel="0" collapsed="false">
      <c r="A18" s="15" t="s">
        <v>80</v>
      </c>
      <c r="B18" s="15" t="s">
        <v>81</v>
      </c>
      <c r="C18" s="15" t="s">
        <v>27</v>
      </c>
    </row>
    <row r="19" customFormat="false" ht="15" hidden="false" customHeight="false" outlineLevel="0" collapsed="false">
      <c r="A19" s="15" t="s">
        <v>82</v>
      </c>
      <c r="B19" s="15" t="s">
        <v>83</v>
      </c>
      <c r="C19" s="15" t="s">
        <v>27</v>
      </c>
    </row>
    <row r="20" customFormat="false" ht="15" hidden="false" customHeight="false" outlineLevel="0" collapsed="false">
      <c r="A20" s="15" t="s">
        <v>84</v>
      </c>
      <c r="B20" s="15" t="s">
        <v>85</v>
      </c>
      <c r="C20" s="15" t="s">
        <v>27</v>
      </c>
    </row>
    <row r="21" customFormat="false" ht="15" hidden="false" customHeight="false" outlineLevel="0" collapsed="false">
      <c r="A21" s="15" t="s">
        <v>86</v>
      </c>
      <c r="B21" s="15" t="s">
        <v>87</v>
      </c>
      <c r="C21" s="15" t="s">
        <v>27</v>
      </c>
    </row>
    <row r="22" customFormat="false" ht="15" hidden="false" customHeight="false" outlineLevel="0" collapsed="false">
      <c r="A22" s="15" t="s">
        <v>88</v>
      </c>
      <c r="B22" s="15" t="s">
        <v>89</v>
      </c>
      <c r="C22" s="15" t="s">
        <v>28</v>
      </c>
    </row>
    <row r="23" customFormat="false" ht="15" hidden="false" customHeight="false" outlineLevel="0" collapsed="false">
      <c r="A23" s="15" t="s">
        <v>90</v>
      </c>
      <c r="B23" s="15" t="s">
        <v>91</v>
      </c>
      <c r="C23" s="15" t="s">
        <v>28</v>
      </c>
    </row>
    <row r="24" customFormat="false" ht="15" hidden="false" customHeight="false" outlineLevel="0" collapsed="false">
      <c r="A24" s="15" t="s">
        <v>92</v>
      </c>
      <c r="B24" s="15" t="s">
        <v>93</v>
      </c>
      <c r="C24" s="15" t="s">
        <v>28</v>
      </c>
    </row>
    <row r="25" customFormat="false" ht="15" hidden="false" customHeight="false" outlineLevel="0" collapsed="false">
      <c r="A25" s="15" t="s">
        <v>94</v>
      </c>
      <c r="B25" s="15" t="s">
        <v>95</v>
      </c>
      <c r="C25" s="15" t="s">
        <v>28</v>
      </c>
    </row>
    <row r="26" customFormat="false" ht="15" hidden="false" customHeight="false" outlineLevel="0" collapsed="false">
      <c r="A26" s="15" t="s">
        <v>96</v>
      </c>
      <c r="B26" s="15" t="s">
        <v>97</v>
      </c>
      <c r="C26" s="15" t="s">
        <v>28</v>
      </c>
    </row>
    <row r="27" customFormat="false" ht="15" hidden="false" customHeight="false" outlineLevel="0" collapsed="false">
      <c r="A27" s="15" t="s">
        <v>98</v>
      </c>
      <c r="B27" s="15" t="s">
        <v>99</v>
      </c>
      <c r="C27" s="15" t="s">
        <v>29</v>
      </c>
    </row>
    <row r="28" customFormat="false" ht="15" hidden="false" customHeight="false" outlineLevel="0" collapsed="false">
      <c r="A28" s="15" t="s">
        <v>101</v>
      </c>
      <c r="B28" s="15" t="s">
        <v>102</v>
      </c>
      <c r="C28" s="15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70"/>
    <col collapsed="false" customWidth="true" hidden="false" outlineLevel="0" max="4" min="4" style="0" width="26"/>
  </cols>
  <sheetData>
    <row r="1" customFormat="false" ht="19.7" hidden="false" customHeight="false" outlineLevel="0" collapsed="false">
      <c r="A1" s="22" t="s">
        <v>620</v>
      </c>
    </row>
    <row r="2" customFormat="false" ht="15" hidden="false" customHeight="false" outlineLevel="0" collapsed="false">
      <c r="A2" s="2" t="s">
        <v>621</v>
      </c>
    </row>
    <row r="4" customFormat="false" ht="27.75" hidden="false" customHeight="true" outlineLevel="0" collapsed="false">
      <c r="A4" s="13" t="s">
        <v>7</v>
      </c>
      <c r="B4" s="13" t="s">
        <v>622</v>
      </c>
      <c r="C4" s="13" t="s">
        <v>623</v>
      </c>
      <c r="D4" s="13" t="s">
        <v>624</v>
      </c>
    </row>
    <row r="5" customFormat="false" ht="35.05" hidden="false" customHeight="false" outlineLevel="0" collapsed="false">
      <c r="A5" s="49" t="n">
        <v>1</v>
      </c>
      <c r="B5" s="49" t="s">
        <v>625</v>
      </c>
      <c r="C5" s="49" t="s">
        <v>626</v>
      </c>
      <c r="D5" s="49" t="s">
        <v>627</v>
      </c>
    </row>
    <row r="6" customFormat="false" ht="23.85" hidden="false" customHeight="false" outlineLevel="0" collapsed="false">
      <c r="A6" s="49" t="n">
        <v>2</v>
      </c>
      <c r="B6" s="49" t="s">
        <v>628</v>
      </c>
      <c r="C6" s="49" t="s">
        <v>629</v>
      </c>
      <c r="D6" s="49" t="s">
        <v>630</v>
      </c>
    </row>
    <row r="7" customFormat="false" ht="23.85" hidden="false" customHeight="false" outlineLevel="0" collapsed="false">
      <c r="A7" s="49" t="n">
        <v>3</v>
      </c>
      <c r="B7" s="49" t="s">
        <v>631</v>
      </c>
      <c r="C7" s="49" t="s">
        <v>632</v>
      </c>
      <c r="D7" s="49" t="s">
        <v>633</v>
      </c>
    </row>
    <row r="8" customFormat="false" ht="23.85" hidden="false" customHeight="false" outlineLevel="0" collapsed="false">
      <c r="A8" s="49" t="n">
        <v>4</v>
      </c>
      <c r="B8" s="49" t="s">
        <v>634</v>
      </c>
      <c r="C8" s="49" t="s">
        <v>635</v>
      </c>
      <c r="D8" s="49" t="s">
        <v>636</v>
      </c>
    </row>
    <row r="9" customFormat="false" ht="23.85" hidden="false" customHeight="false" outlineLevel="0" collapsed="false">
      <c r="A9" s="49" t="n">
        <v>5</v>
      </c>
      <c r="B9" s="49" t="s">
        <v>637</v>
      </c>
      <c r="C9" s="49" t="s">
        <v>638</v>
      </c>
      <c r="D9" s="49" t="s">
        <v>633</v>
      </c>
    </row>
    <row r="10" customFormat="false" ht="23.85" hidden="false" customHeight="false" outlineLevel="0" collapsed="false">
      <c r="A10" s="49" t="n">
        <v>6</v>
      </c>
      <c r="B10" s="49" t="s">
        <v>639</v>
      </c>
      <c r="C10" s="49" t="s">
        <v>640</v>
      </c>
      <c r="D10" s="49" t="s">
        <v>633</v>
      </c>
    </row>
    <row r="11" customFormat="false" ht="23.85" hidden="false" customHeight="false" outlineLevel="0" collapsed="false">
      <c r="A11" s="49" t="n">
        <v>7</v>
      </c>
      <c r="B11" s="49" t="s">
        <v>641</v>
      </c>
      <c r="C11" s="49" t="s">
        <v>642</v>
      </c>
      <c r="D11" s="49" t="s">
        <v>633</v>
      </c>
    </row>
    <row r="12" customFormat="false" ht="23.85" hidden="false" customHeight="false" outlineLevel="0" collapsed="false">
      <c r="A12" s="49" t="n">
        <v>8</v>
      </c>
      <c r="B12" s="49" t="s">
        <v>643</v>
      </c>
      <c r="C12" s="49" t="s">
        <v>644</v>
      </c>
      <c r="D12" s="49" t="s">
        <v>645</v>
      </c>
    </row>
    <row r="13" customFormat="false" ht="23.85" hidden="false" customHeight="false" outlineLevel="0" collapsed="false">
      <c r="A13" s="49" t="n">
        <v>9</v>
      </c>
      <c r="B13" s="49" t="s">
        <v>646</v>
      </c>
      <c r="C13" s="49" t="s">
        <v>647</v>
      </c>
      <c r="D13" s="49" t="s">
        <v>648</v>
      </c>
    </row>
    <row r="14" customFormat="false" ht="15" hidden="false" customHeight="false" outlineLevel="0" collapsed="false">
      <c r="A14" s="49" t="n">
        <v>10</v>
      </c>
      <c r="B14" s="49" t="s">
        <v>649</v>
      </c>
      <c r="C14" s="49" t="s">
        <v>650</v>
      </c>
      <c r="D14" s="49" t="s">
        <v>651</v>
      </c>
    </row>
    <row r="16" customFormat="false" ht="15" hidden="false" customHeight="false" outlineLevel="0" collapsed="false">
      <c r="B16" s="2" t="s">
        <v>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9.7" hidden="false" customHeight="false" outlineLevel="0" collapsed="false">
      <c r="A1" s="22" t="s">
        <v>653</v>
      </c>
    </row>
    <row r="2" customFormat="false" ht="15" hidden="false" customHeight="false" outlineLevel="0" collapsed="false">
      <c r="A2" s="2" t="s">
        <v>654</v>
      </c>
    </row>
    <row r="4" customFormat="false" ht="33.75" hidden="false" customHeight="true" outlineLevel="0" collapsed="false">
      <c r="A4" s="50" t="s">
        <v>655</v>
      </c>
    </row>
    <row r="5" customFormat="false" ht="33.75" hidden="false" customHeight="true" outlineLevel="0" collapsed="false">
      <c r="A5" s="50" t="s">
        <v>656</v>
      </c>
    </row>
    <row r="6" customFormat="false" ht="33.75" hidden="false" customHeight="true" outlineLevel="0" collapsed="false">
      <c r="A6" s="50" t="s">
        <v>657</v>
      </c>
    </row>
    <row r="7" customFormat="false" ht="33.75" hidden="false" customHeight="true" outlineLevel="0" collapsed="false">
      <c r="A7" s="50" t="s">
        <v>658</v>
      </c>
    </row>
    <row r="8" customFormat="false" ht="33.75" hidden="false" customHeight="true" outlineLevel="0" collapsed="false">
      <c r="A8" s="50" t="s">
        <v>659</v>
      </c>
    </row>
    <row r="9" customFormat="false" ht="33.75" hidden="false" customHeight="true" outlineLevel="0" collapsed="false">
      <c r="A9" s="50" t="s">
        <v>660</v>
      </c>
    </row>
    <row r="10" customFormat="false" ht="33.75" hidden="false" customHeight="true" outlineLevel="0" collapsed="false">
      <c r="A10" s="50" t="s">
        <v>661</v>
      </c>
    </row>
    <row r="11" customFormat="false" ht="33.75" hidden="false" customHeight="true" outlineLevel="0" collapsed="false">
      <c r="A11" s="50" t="s">
        <v>662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2026-10-08T16:11:34Z</dcterms:created>
  <dc:creator>openpyxl</dc:creator>
  <dc:description/>
  <dc:language>en-US</dc:language>
  <cp:lastModifiedBy/>
  <dcterms:modified xsi:type="dcterms:W3CDTF">2026-10-08T16:11:38Z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